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CS_Compliance" sheetId="1" state="visible" r:id="rId1"/>
    <sheet xmlns:r="http://schemas.openxmlformats.org/officeDocument/2006/relationships" name="GICS_Calculations" sheetId="2" state="visible" r:id="rId2"/>
    <sheet xmlns:r="http://schemas.openxmlformats.org/officeDocument/2006/relationships" name="Prospectus_80pct" sheetId="3" state="visible" r:id="rId3"/>
    <sheet xmlns:r="http://schemas.openxmlformats.org/officeDocument/2006/relationships" name="40Act_Diversification" sheetId="4" state="visible" r:id="rId4"/>
    <sheet xmlns:r="http://schemas.openxmlformats.org/officeDocument/2006/relationships" name="IRS_Diversification" sheetId="5" state="visible" r:id="rId5"/>
    <sheet xmlns:r="http://schemas.openxmlformats.org/officeDocument/2006/relationships" name="Illiquid" sheetId="6" state="visible" r:id="rId6"/>
    <sheet xmlns:r="http://schemas.openxmlformats.org/officeDocument/2006/relationships" name="Real_Estate" sheetId="7" state="visible" r:id="rId7"/>
    <sheet xmlns:r="http://schemas.openxmlformats.org/officeDocument/2006/relationships" name="Commodities" sheetId="8" state="visible" r:id="rId8"/>
    <sheet xmlns:r="http://schemas.openxmlformats.org/officeDocument/2006/relationships" name="12d1_Other_Investment_Companies" sheetId="9" state="visible" r:id="rId9"/>
    <sheet xmlns:r="http://schemas.openxmlformats.org/officeDocument/2006/relationships" name="12d2_Insurance_Companies" sheetId="10" state="visible" r:id="rId10"/>
    <sheet xmlns:r="http://schemas.openxmlformats.org/officeDocument/2006/relationships" name="12d3_Securities_Business" sheetId="11" state="visible" r:id="rId11"/>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4" fontId="0" fillId="0" borderId="0" pivotButton="0" quotePrefix="0" xfId="0"/>
    <xf numFmtId="10"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cols>
    <col width="50" customWidth="1" min="1" max="1"/>
    <col width="6" customWidth="1" min="2" max="2"/>
    <col width="25" customWidth="1" min="3" max="3"/>
    <col width="22" customWidth="1" min="4" max="4"/>
    <col width="28" customWidth="1" min="5" max="5"/>
    <col width="29" customWidth="1" min="6" max="6"/>
    <col width="35" customWidth="1" min="7" max="7"/>
    <col width="36" customWidth="1" min="8" max="8"/>
    <col width="27" customWidth="1" min="9" max="9"/>
  </cols>
  <sheetData>
    <row r="1">
      <c r="A1" s="1" t="inlineStr">
        <is>
          <t>Date</t>
        </is>
      </c>
      <c r="B1" s="1" t="inlineStr">
        <is>
          <t>Fund</t>
        </is>
      </c>
      <c r="C1" s="1" t="inlineStr">
        <is>
          <t>Overall GICS Compliance</t>
        </is>
      </c>
      <c r="D1" s="1" t="inlineStr">
        <is>
          <t>Industry Exceeds 25%</t>
        </is>
      </c>
      <c r="E1" s="1" t="inlineStr">
        <is>
          <t>Industry Group Exceeds 25%</t>
        </is>
      </c>
      <c r="F1" s="1" t="inlineStr">
        <is>
          <t>Index Industry Exceeds 25%?</t>
        </is>
      </c>
      <c r="G1" s="1" t="inlineStr">
        <is>
          <t>Index Industry Group Exceeds 25%?</t>
        </is>
      </c>
      <c r="H1" s="1" t="inlineStr">
        <is>
          <t>Can Fund exceed 25% if Index does?</t>
        </is>
      </c>
      <c r="I1" s="1" t="inlineStr">
        <is>
          <t>Exceptions to Conc Policy</t>
        </is>
      </c>
    </row>
    <row r="2">
      <c r="A2" s="2" t="n">
        <v>45980</v>
      </c>
      <c r="B2" t="inlineStr">
        <is>
          <t>KNG</t>
        </is>
      </c>
      <c r="C2" t="inlineStr">
        <is>
          <t>PASS</t>
        </is>
      </c>
      <c r="D2" t="b">
        <v>0</v>
      </c>
      <c r="E2" t="b">
        <v>0</v>
      </c>
      <c r="F2" t="b">
        <v>0</v>
      </c>
      <c r="G2" t="b">
        <v>0</v>
      </c>
      <c r="H2" t="inlineStr">
        <is>
          <t>Yes</t>
        </is>
      </c>
      <c r="I2" t="inlineStr"/>
    </row>
    <row r="3">
      <c r="A3" s="2" t="n">
        <v>45980</v>
      </c>
      <c r="B3" t="inlineStr">
        <is>
          <t>RDVI</t>
        </is>
      </c>
      <c r="C3" t="inlineStr">
        <is>
          <t>PASS</t>
        </is>
      </c>
      <c r="D3" t="b">
        <v>0</v>
      </c>
      <c r="E3" t="b">
        <v>0</v>
      </c>
      <c r="F3" t="b">
        <v>0</v>
      </c>
      <c r="G3" t="b">
        <v>0</v>
      </c>
      <c r="H3" t="inlineStr">
        <is>
          <t>No</t>
        </is>
      </c>
      <c r="I3" t="inlineStr"/>
    </row>
    <row r="4">
      <c r="A4" t="inlineStr">
        <is>
          <t>* Certain funds may not have more than 25% of total assets in any industry or group of industries. However, other funds may have more than 25% of total assets in an industry or group of industries if (1) the fund’s Underlying ETF invests more than 25% of its assets in that industry or group of industries or (2) the fund is specifically permitted to concentrate in a specified industry or group of industries in its fundamental investment policy (such as information technology). Therefore, some funds have additional info listed about their underlying ETF (represented by an index) or have a note that they can concentrate in a certain industry or group of industries.</t>
        </is>
      </c>
      <c r="B4" t="inlineStr"/>
      <c r="C4" t="inlineStr"/>
      <c r="D4" t="inlineStr"/>
      <c r="E4" t="inlineStr"/>
      <c r="F4" t="inlineStr"/>
      <c r="G4" t="inlineStr"/>
      <c r="H4" t="inlineStr"/>
      <c r="I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4"/>
  <sheetViews>
    <sheetView workbookViewId="0">
      <selection activeCell="A1" sqref="A1"/>
    </sheetView>
  </sheetViews>
  <sheetFormatPr baseColWidth="8" defaultRowHeight="15"/>
  <cols>
    <col width="12" customWidth="1" min="1" max="1"/>
    <col width="6" customWidth="1" min="2" max="2"/>
    <col width="26" customWidth="1" min="3" max="3"/>
    <col width="48" customWidth="1" min="4" max="4"/>
    <col width="24" customWidth="1" min="5" max="5"/>
    <col width="21" customWidth="1" min="6" max="6"/>
    <col width="22" customWidth="1" min="7" max="7"/>
    <col width="13" customWidth="1" min="8" max="8"/>
    <col width="14" customWidth="1" min="9" max="9"/>
  </cols>
  <sheetData>
    <row r="1">
      <c r="A1" s="1" t="inlineStr">
        <is>
          <t>Date</t>
        </is>
      </c>
      <c r="B1" s="1" t="inlineStr">
        <is>
          <t>Fund</t>
        </is>
      </c>
      <c r="C1" s="1" t="inlineStr">
        <is>
          <t>GICS_Class</t>
        </is>
      </c>
      <c r="D1" s="1" t="inlineStr">
        <is>
          <t>GICS_Class Value</t>
        </is>
      </c>
      <c r="E1" s="1" t="inlineStr">
        <is>
          <t>GICS_SECTOR_NAME</t>
        </is>
      </c>
      <c r="F1" s="1" t="inlineStr">
        <is>
          <t>Exceeding_Fund_25%?</t>
        </is>
      </c>
      <c r="G1" s="1" t="inlineStr">
        <is>
          <t>Exceeding_Index_25%?</t>
        </is>
      </c>
      <c r="H1" s="1" t="inlineStr">
        <is>
          <t>Fund_Weight</t>
        </is>
      </c>
      <c r="I1" s="1" t="inlineStr">
        <is>
          <t>Index_Weight</t>
        </is>
      </c>
    </row>
    <row r="2">
      <c r="A2" s="2" t="n">
        <v>45980</v>
      </c>
      <c r="B2" t="inlineStr">
        <is>
          <t>KNG</t>
        </is>
      </c>
      <c r="C2" t="inlineStr">
        <is>
          <t>GICS_INDUSTRY_GROUP_NAME</t>
        </is>
      </c>
      <c r="D2" t="inlineStr">
        <is>
          <t>Capital Goods</t>
        </is>
      </c>
      <c r="E2" t="inlineStr">
        <is>
          <t>Industrials</t>
        </is>
      </c>
      <c r="F2" t="inlineStr"/>
      <c r="G2" t="inlineStr"/>
      <c r="H2" t="inlineStr">
        <is>
          <t>15.78%</t>
        </is>
      </c>
      <c r="I2" t="inlineStr">
        <is>
          <t>0.00%</t>
        </is>
      </c>
    </row>
    <row r="3">
      <c r="A3" s="2" t="n">
        <v>45980</v>
      </c>
      <c r="B3" t="inlineStr">
        <is>
          <t>KNG</t>
        </is>
      </c>
      <c r="C3" t="inlineStr">
        <is>
          <t>GICS_INDUSTRY_GROUP_NAME</t>
        </is>
      </c>
      <c r="D3" t="inlineStr">
        <is>
          <t>Materials</t>
        </is>
      </c>
      <c r="E3" t="inlineStr">
        <is>
          <t>Materials</t>
        </is>
      </c>
      <c r="F3" t="inlineStr"/>
      <c r="G3" t="inlineStr"/>
      <c r="H3" t="inlineStr">
        <is>
          <t>12.18%</t>
        </is>
      </c>
      <c r="I3" t="inlineStr">
        <is>
          <t>0.00%</t>
        </is>
      </c>
    </row>
    <row r="4">
      <c r="A4" s="2" t="n">
        <v>45980</v>
      </c>
      <c r="B4" t="inlineStr">
        <is>
          <t>KNG</t>
        </is>
      </c>
      <c r="C4" t="inlineStr">
        <is>
          <t>GICS_INDUSTRY_GROUP_NAME</t>
        </is>
      </c>
      <c r="D4" t="inlineStr">
        <is>
          <t>Food, Beverage &amp; Tobacco</t>
        </is>
      </c>
      <c r="E4" t="inlineStr">
        <is>
          <t>Consumer Staples</t>
        </is>
      </c>
      <c r="F4" t="inlineStr"/>
      <c r="G4" t="inlineStr"/>
      <c r="H4" t="inlineStr">
        <is>
          <t>9.96%</t>
        </is>
      </c>
      <c r="I4" t="inlineStr">
        <is>
          <t>0.00%</t>
        </is>
      </c>
    </row>
    <row r="5">
      <c r="A5" s="2" t="n">
        <v>45980</v>
      </c>
      <c r="B5" t="inlineStr">
        <is>
          <t>KNG</t>
        </is>
      </c>
      <c r="C5" t="inlineStr">
        <is>
          <t>GICS_INDUSTRY_NAME</t>
        </is>
      </c>
      <c r="D5" t="inlineStr">
        <is>
          <t>Chemicals</t>
        </is>
      </c>
      <c r="E5" t="inlineStr">
        <is>
          <t>Materials</t>
        </is>
      </c>
      <c r="F5" t="inlineStr"/>
      <c r="G5" t="inlineStr"/>
      <c r="H5" t="inlineStr">
        <is>
          <t>9.06%</t>
        </is>
      </c>
      <c r="I5" t="inlineStr">
        <is>
          <t>0.00%</t>
        </is>
      </c>
    </row>
    <row r="6">
      <c r="A6" s="2" t="n">
        <v>45980</v>
      </c>
      <c r="B6" t="inlineStr">
        <is>
          <t>KNG</t>
        </is>
      </c>
      <c r="C6" t="inlineStr">
        <is>
          <t>GICS_INDUSTRY_NAME</t>
        </is>
      </c>
      <c r="D6" t="inlineStr">
        <is>
          <t>Machinery</t>
        </is>
      </c>
      <c r="E6" t="inlineStr">
        <is>
          <t>Industrials</t>
        </is>
      </c>
      <c r="F6" t="inlineStr"/>
      <c r="G6" t="inlineStr"/>
      <c r="H6" t="inlineStr">
        <is>
          <t>8.70%</t>
        </is>
      </c>
      <c r="I6" t="inlineStr">
        <is>
          <t>0.00%</t>
        </is>
      </c>
    </row>
    <row r="7">
      <c r="A7" s="2" t="n">
        <v>45980</v>
      </c>
      <c r="B7" t="inlineStr">
        <is>
          <t>KNG</t>
        </is>
      </c>
      <c r="C7" t="inlineStr">
        <is>
          <t>GICS_INDUSTRY_GROUP_NAME</t>
        </is>
      </c>
      <c r="D7" t="inlineStr">
        <is>
          <t>Household &amp; Personal Products</t>
        </is>
      </c>
      <c r="E7" t="inlineStr">
        <is>
          <t>Consumer Staples</t>
        </is>
      </c>
      <c r="F7" t="inlineStr"/>
      <c r="G7" t="inlineStr"/>
      <c r="H7" t="inlineStr">
        <is>
          <t>8.28%</t>
        </is>
      </c>
      <c r="I7" t="inlineStr">
        <is>
          <t>0.00%</t>
        </is>
      </c>
    </row>
    <row r="8">
      <c r="A8" s="2" t="n">
        <v>45980</v>
      </c>
      <c r="B8" t="inlineStr">
        <is>
          <t>KNG</t>
        </is>
      </c>
      <c r="C8" t="inlineStr">
        <is>
          <t>GICS_INDUSTRY_GROUP_NAME</t>
        </is>
      </c>
      <c r="D8" t="inlineStr">
        <is>
          <t>Insurance</t>
        </is>
      </c>
      <c r="E8" t="inlineStr">
        <is>
          <t>Financials</t>
        </is>
      </c>
      <c r="F8" t="inlineStr"/>
      <c r="G8" t="inlineStr"/>
      <c r="H8" t="inlineStr">
        <is>
          <t>7.19%</t>
        </is>
      </c>
      <c r="I8" t="inlineStr">
        <is>
          <t>0.00%</t>
        </is>
      </c>
    </row>
    <row r="9">
      <c r="A9" s="2" t="n">
        <v>45980</v>
      </c>
      <c r="B9" t="inlineStr">
        <is>
          <t>KNG</t>
        </is>
      </c>
      <c r="C9" t="inlineStr">
        <is>
          <t>GICS_INDUSTRY_NAME</t>
        </is>
      </c>
      <c r="D9" t="inlineStr">
        <is>
          <t>Insurance</t>
        </is>
      </c>
      <c r="E9" t="inlineStr">
        <is>
          <t>Financials</t>
        </is>
      </c>
      <c r="F9" t="inlineStr"/>
      <c r="G9" t="inlineStr"/>
      <c r="H9" t="inlineStr">
        <is>
          <t>7.19%</t>
        </is>
      </c>
      <c r="I9" t="inlineStr">
        <is>
          <t>0.00%</t>
        </is>
      </c>
    </row>
    <row r="10">
      <c r="A10" s="2" t="n">
        <v>45980</v>
      </c>
      <c r="B10" t="inlineStr">
        <is>
          <t>KNG</t>
        </is>
      </c>
      <c r="C10" t="inlineStr">
        <is>
          <t>GICS_INDUSTRY_NAME</t>
        </is>
      </c>
      <c r="D10" t="inlineStr">
        <is>
          <t>Household Products</t>
        </is>
      </c>
      <c r="E10" t="inlineStr">
        <is>
          <t>Consumer Staples</t>
        </is>
      </c>
      <c r="F10" t="inlineStr"/>
      <c r="G10" t="inlineStr"/>
      <c r="H10" t="inlineStr">
        <is>
          <t>6.73%</t>
        </is>
      </c>
      <c r="I10" t="inlineStr">
        <is>
          <t>0.00%</t>
        </is>
      </c>
    </row>
    <row r="11">
      <c r="A11" s="2" t="n">
        <v>45980</v>
      </c>
      <c r="B11" t="inlineStr">
        <is>
          <t>KNG</t>
        </is>
      </c>
      <c r="C11" t="inlineStr">
        <is>
          <t>GICS_INDUSTRY_GROUP_NAME</t>
        </is>
      </c>
      <c r="D11" t="inlineStr">
        <is>
          <t>Health Care Equipment &amp; Services</t>
        </is>
      </c>
      <c r="E11" t="inlineStr">
        <is>
          <t>Health Care</t>
        </is>
      </c>
      <c r="F11" t="inlineStr"/>
      <c r="G11" t="inlineStr"/>
      <c r="H11" t="inlineStr">
        <is>
          <t>6.40%</t>
        </is>
      </c>
      <c r="I11" t="inlineStr">
        <is>
          <t>0.00%</t>
        </is>
      </c>
    </row>
    <row r="12">
      <c r="A12" s="2" t="n">
        <v>45980</v>
      </c>
      <c r="B12" t="inlineStr">
        <is>
          <t>KNG</t>
        </is>
      </c>
      <c r="C12" t="inlineStr">
        <is>
          <t>GICS_INDUSTRY_GROUP_NAME</t>
        </is>
      </c>
      <c r="D12" t="inlineStr">
        <is>
          <t>Utilities</t>
        </is>
      </c>
      <c r="E12" t="inlineStr">
        <is>
          <t>Utilities</t>
        </is>
      </c>
      <c r="F12" t="inlineStr"/>
      <c r="G12" t="inlineStr"/>
      <c r="H12" t="inlineStr">
        <is>
          <t>5.70%</t>
        </is>
      </c>
      <c r="I12" t="inlineStr">
        <is>
          <t>0.00%</t>
        </is>
      </c>
    </row>
    <row r="13">
      <c r="A13" s="2" t="n">
        <v>45980</v>
      </c>
      <c r="B13" t="inlineStr">
        <is>
          <t>KNG</t>
        </is>
      </c>
      <c r="C13" t="inlineStr">
        <is>
          <t>GICS_INDUSTRY_GROUP_NAME</t>
        </is>
      </c>
      <c r="D13" t="inlineStr">
        <is>
          <t>Financial Services</t>
        </is>
      </c>
      <c r="E13" t="inlineStr">
        <is>
          <t>Financials</t>
        </is>
      </c>
      <c r="F13" t="inlineStr"/>
      <c r="G13" t="inlineStr"/>
      <c r="H13" t="inlineStr">
        <is>
          <t>5.65%</t>
        </is>
      </c>
      <c r="I13" t="inlineStr">
        <is>
          <t>0.00%</t>
        </is>
      </c>
    </row>
    <row r="14">
      <c r="A14" s="2" t="n">
        <v>45980</v>
      </c>
      <c r="B14" t="inlineStr">
        <is>
          <t>KNG</t>
        </is>
      </c>
      <c r="C14" t="inlineStr">
        <is>
          <t>GICS_INDUSTRY_NAME</t>
        </is>
      </c>
      <c r="D14" t="inlineStr">
        <is>
          <t>Capital Markets</t>
        </is>
      </c>
      <c r="E14" t="inlineStr">
        <is>
          <t>Financials</t>
        </is>
      </c>
      <c r="F14" t="inlineStr"/>
      <c r="G14" t="inlineStr"/>
      <c r="H14" t="inlineStr">
        <is>
          <t>5.65%</t>
        </is>
      </c>
      <c r="I14" t="inlineStr">
        <is>
          <t>0.00%</t>
        </is>
      </c>
    </row>
    <row r="15">
      <c r="A15" s="2" t="n">
        <v>45980</v>
      </c>
      <c r="B15" t="inlineStr">
        <is>
          <t>KNG</t>
        </is>
      </c>
      <c r="C15" t="inlineStr">
        <is>
          <t>GICS_INDUSTRY_NAME</t>
        </is>
      </c>
      <c r="D15" t="inlineStr">
        <is>
          <t>Food Products</t>
        </is>
      </c>
      <c r="E15" t="inlineStr">
        <is>
          <t>Consumer Staples</t>
        </is>
      </c>
      <c r="F15" t="inlineStr"/>
      <c r="G15" t="inlineStr"/>
      <c r="H15" t="inlineStr">
        <is>
          <t>5.64%</t>
        </is>
      </c>
      <c r="I15" t="inlineStr">
        <is>
          <t>0.00%</t>
        </is>
      </c>
    </row>
    <row r="16">
      <c r="A16" s="2" t="n">
        <v>45980</v>
      </c>
      <c r="B16" t="inlineStr">
        <is>
          <t>KNG</t>
        </is>
      </c>
      <c r="C16" t="inlineStr">
        <is>
          <t>GICS_INDUSTRY_NAME</t>
        </is>
      </c>
      <c r="D16" t="inlineStr">
        <is>
          <t>Health Care Equipment &amp; Supplies</t>
        </is>
      </c>
      <c r="E16" t="inlineStr">
        <is>
          <t>Health Care</t>
        </is>
      </c>
      <c r="F16" t="inlineStr"/>
      <c r="G16" t="inlineStr"/>
      <c r="H16" t="inlineStr">
        <is>
          <t>4.49%</t>
        </is>
      </c>
      <c r="I16" t="inlineStr">
        <is>
          <t>0.00%</t>
        </is>
      </c>
    </row>
    <row r="17">
      <c r="A17" s="2" t="n">
        <v>45980</v>
      </c>
      <c r="B17" t="inlineStr">
        <is>
          <t>KNG</t>
        </is>
      </c>
      <c r="C17" t="inlineStr">
        <is>
          <t>GICS_INDUSTRY_GROUP_NAME</t>
        </is>
      </c>
      <c r="D17" t="inlineStr">
        <is>
          <t>Pharmaceuticals, Biotechnology &amp; Life Sciences</t>
        </is>
      </c>
      <c r="E17" t="inlineStr">
        <is>
          <t>Health Care</t>
        </is>
      </c>
      <c r="F17" t="inlineStr"/>
      <c r="G17" t="inlineStr"/>
      <c r="H17" t="inlineStr">
        <is>
          <t>4.41%</t>
        </is>
      </c>
      <c r="I17" t="inlineStr">
        <is>
          <t>0.00%</t>
        </is>
      </c>
    </row>
    <row r="18">
      <c r="A18" s="2" t="n">
        <v>45980</v>
      </c>
      <c r="B18" t="inlineStr">
        <is>
          <t>KNG</t>
        </is>
      </c>
      <c r="C18" t="inlineStr">
        <is>
          <t>GICS_INDUSTRY_NAME</t>
        </is>
      </c>
      <c r="D18" t="inlineStr">
        <is>
          <t>Beverages</t>
        </is>
      </c>
      <c r="E18" t="inlineStr">
        <is>
          <t>Consumer Staples</t>
        </is>
      </c>
      <c r="F18" t="inlineStr"/>
      <c r="G18" t="inlineStr"/>
      <c r="H18" t="inlineStr">
        <is>
          <t>4.32%</t>
        </is>
      </c>
      <c r="I18" t="inlineStr">
        <is>
          <t>0.00%</t>
        </is>
      </c>
    </row>
    <row r="19">
      <c r="A19" s="2" t="n">
        <v>45980</v>
      </c>
      <c r="B19" t="inlineStr">
        <is>
          <t>KNG</t>
        </is>
      </c>
      <c r="C19" t="inlineStr">
        <is>
          <t>GICS_INDUSTRY_GROUP_NAME</t>
        </is>
      </c>
      <c r="D19" t="inlineStr">
        <is>
          <t>Equity Real Estate Investment Trusts</t>
        </is>
      </c>
      <c r="E19" t="inlineStr">
        <is>
          <t>Real Estate</t>
        </is>
      </c>
      <c r="F19" t="inlineStr"/>
      <c r="G19" t="inlineStr"/>
      <c r="H19" t="inlineStr">
        <is>
          <t>4.20%</t>
        </is>
      </c>
      <c r="I19" t="inlineStr">
        <is>
          <t>0.00%</t>
        </is>
      </c>
    </row>
    <row r="20">
      <c r="A20" s="2" t="n">
        <v>45980</v>
      </c>
      <c r="B20" t="inlineStr">
        <is>
          <t>KNG</t>
        </is>
      </c>
      <c r="C20" t="inlineStr">
        <is>
          <t>GICS_INDUSTRY_GROUP_NAME</t>
        </is>
      </c>
      <c r="D20" t="inlineStr">
        <is>
          <t>Consumer Staples Distribution &amp; Retail</t>
        </is>
      </c>
      <c r="E20" t="inlineStr">
        <is>
          <t>Consumer Staples</t>
        </is>
      </c>
      <c r="F20" t="inlineStr"/>
      <c r="G20" t="inlineStr"/>
      <c r="H20" t="inlineStr">
        <is>
          <t>4.15%</t>
        </is>
      </c>
      <c r="I20" t="inlineStr">
        <is>
          <t>0.00%</t>
        </is>
      </c>
    </row>
    <row r="21">
      <c r="A21" s="2" t="n">
        <v>45980</v>
      </c>
      <c r="B21" t="inlineStr">
        <is>
          <t>KNG</t>
        </is>
      </c>
      <c r="C21" t="inlineStr">
        <is>
          <t>GICS_INDUSTRY_NAME</t>
        </is>
      </c>
      <c r="D21" t="inlineStr">
        <is>
          <t>Consumer Staples Distribution &amp; Retail</t>
        </is>
      </c>
      <c r="E21" t="inlineStr">
        <is>
          <t>Consumer Staples</t>
        </is>
      </c>
      <c r="F21" t="inlineStr"/>
      <c r="G21" t="inlineStr"/>
      <c r="H21" t="inlineStr">
        <is>
          <t>4.15%</t>
        </is>
      </c>
      <c r="I21" t="inlineStr">
        <is>
          <t>0.00%</t>
        </is>
      </c>
    </row>
    <row r="22">
      <c r="A22" s="2" t="n">
        <v>45980</v>
      </c>
      <c r="B22" t="inlineStr">
        <is>
          <t>KNG</t>
        </is>
      </c>
      <c r="C22" t="inlineStr">
        <is>
          <t>GICS_INDUSTRY_GROUP_NAME</t>
        </is>
      </c>
      <c r="D22" t="inlineStr">
        <is>
          <t>Transportation</t>
        </is>
      </c>
      <c r="E22" t="inlineStr">
        <is>
          <t>Industrials</t>
        </is>
      </c>
      <c r="F22" t="inlineStr"/>
      <c r="G22" t="inlineStr"/>
      <c r="H22" t="inlineStr">
        <is>
          <t>3.48%</t>
        </is>
      </c>
      <c r="I22" t="inlineStr">
        <is>
          <t>0.00%</t>
        </is>
      </c>
    </row>
    <row r="23">
      <c r="A23" s="2" t="n">
        <v>45980</v>
      </c>
      <c r="B23" t="inlineStr">
        <is>
          <t>KNG</t>
        </is>
      </c>
      <c r="C23" t="inlineStr">
        <is>
          <t>GICS_INDUSTRY_NAME</t>
        </is>
      </c>
      <c r="D23" t="inlineStr">
        <is>
          <t>Air Freight &amp; Logistics</t>
        </is>
      </c>
      <c r="E23" t="inlineStr">
        <is>
          <t>Industrials</t>
        </is>
      </c>
      <c r="F23" t="inlineStr"/>
      <c r="G23" t="inlineStr"/>
      <c r="H23" t="inlineStr">
        <is>
          <t>3.48%</t>
        </is>
      </c>
      <c r="I23" t="inlineStr">
        <is>
          <t>0.00%</t>
        </is>
      </c>
    </row>
    <row r="24">
      <c r="A24" s="2" t="n">
        <v>45980</v>
      </c>
      <c r="B24" t="inlineStr">
        <is>
          <t>KNG</t>
        </is>
      </c>
      <c r="C24" t="inlineStr">
        <is>
          <t>GICS_INDUSTRY_GROUP_NAME</t>
        </is>
      </c>
      <c r="D24" t="inlineStr">
        <is>
          <t>Energy</t>
        </is>
      </c>
      <c r="E24" t="inlineStr">
        <is>
          <t>Energy</t>
        </is>
      </c>
      <c r="F24" t="inlineStr"/>
      <c r="G24" t="inlineStr"/>
      <c r="H24" t="inlineStr">
        <is>
          <t>2.94%</t>
        </is>
      </c>
      <c r="I24" t="inlineStr">
        <is>
          <t>0.00%</t>
        </is>
      </c>
    </row>
    <row r="25">
      <c r="A25" s="2" t="n">
        <v>45980</v>
      </c>
      <c r="B25" t="inlineStr">
        <is>
          <t>KNG</t>
        </is>
      </c>
      <c r="C25" t="inlineStr">
        <is>
          <t>GICS_INDUSTRY_NAME</t>
        </is>
      </c>
      <c r="D25" t="inlineStr">
        <is>
          <t>Oil, Gas &amp; Consumable Fuels</t>
        </is>
      </c>
      <c r="E25" t="inlineStr">
        <is>
          <t>Energy</t>
        </is>
      </c>
      <c r="F25" t="inlineStr"/>
      <c r="G25" t="inlineStr"/>
      <c r="H25" t="inlineStr">
        <is>
          <t>2.94%</t>
        </is>
      </c>
      <c r="I25" t="inlineStr">
        <is>
          <t>0.00%</t>
        </is>
      </c>
    </row>
    <row r="26">
      <c r="A26" s="2" t="n">
        <v>45980</v>
      </c>
      <c r="B26" t="inlineStr">
        <is>
          <t>KNG</t>
        </is>
      </c>
      <c r="C26" t="inlineStr">
        <is>
          <t>GICS_INDUSTRY_NAME</t>
        </is>
      </c>
      <c r="D26" t="inlineStr">
        <is>
          <t>Electric Utilities</t>
        </is>
      </c>
      <c r="E26" t="inlineStr">
        <is>
          <t>Utilities</t>
        </is>
      </c>
      <c r="F26" t="inlineStr"/>
      <c r="G26" t="inlineStr"/>
      <c r="H26" t="inlineStr">
        <is>
          <t>2.81%</t>
        </is>
      </c>
      <c r="I26" t="inlineStr">
        <is>
          <t>0.00%</t>
        </is>
      </c>
    </row>
    <row r="27">
      <c r="A27" s="2" t="n">
        <v>45980</v>
      </c>
      <c r="B27" t="inlineStr">
        <is>
          <t>KNG</t>
        </is>
      </c>
      <c r="C27" t="inlineStr">
        <is>
          <t>GICS_INDUSTRY_NAME</t>
        </is>
      </c>
      <c r="D27" t="inlineStr">
        <is>
          <t>Retail REITs</t>
        </is>
      </c>
      <c r="E27" t="inlineStr">
        <is>
          <t>Real Estate</t>
        </is>
      </c>
      <c r="F27" t="inlineStr"/>
      <c r="G27" t="inlineStr"/>
      <c r="H27" t="inlineStr">
        <is>
          <t>2.79%</t>
        </is>
      </c>
      <c r="I27" t="inlineStr">
        <is>
          <t>0.00%</t>
        </is>
      </c>
    </row>
    <row r="28">
      <c r="A28" s="2" t="n">
        <v>45980</v>
      </c>
      <c r="B28" t="inlineStr">
        <is>
          <t>KNG</t>
        </is>
      </c>
      <c r="C28" t="inlineStr">
        <is>
          <t>GICS_INDUSTRY_GROUP_NAME</t>
        </is>
      </c>
      <c r="D28" t="inlineStr">
        <is>
          <t>Consumer Discretionary Distribution &amp; Retail</t>
        </is>
      </c>
      <c r="E28" t="inlineStr">
        <is>
          <t>Consumer Discretionary</t>
        </is>
      </c>
      <c r="F28" t="inlineStr"/>
      <c r="G28" t="inlineStr"/>
      <c r="H28" t="inlineStr">
        <is>
          <t>2.77%</t>
        </is>
      </c>
      <c r="I28" t="inlineStr">
        <is>
          <t>0.00%</t>
        </is>
      </c>
    </row>
    <row r="29">
      <c r="A29" s="2" t="n">
        <v>45980</v>
      </c>
      <c r="B29" t="inlineStr">
        <is>
          <t>KNG</t>
        </is>
      </c>
      <c r="C29" t="inlineStr">
        <is>
          <t>GICS_INDUSTRY_NAME</t>
        </is>
      </c>
      <c r="D29" t="inlineStr">
        <is>
          <t>Trading Companies &amp; Distributors</t>
        </is>
      </c>
      <c r="E29" t="inlineStr">
        <is>
          <t>Industrials</t>
        </is>
      </c>
      <c r="F29" t="inlineStr"/>
      <c r="G29" t="inlineStr"/>
      <c r="H29" t="inlineStr">
        <is>
          <t>2.77%</t>
        </is>
      </c>
      <c r="I29" t="inlineStr">
        <is>
          <t>0.00%</t>
        </is>
      </c>
    </row>
    <row r="30">
      <c r="A30" s="2" t="n">
        <v>45980</v>
      </c>
      <c r="B30" t="inlineStr">
        <is>
          <t>KNG</t>
        </is>
      </c>
      <c r="C30" t="inlineStr">
        <is>
          <t>GICS_INDUSTRY_GROUP_NAME</t>
        </is>
      </c>
      <c r="D30" t="inlineStr">
        <is>
          <t>Software &amp; Services</t>
        </is>
      </c>
      <c r="E30" t="inlineStr">
        <is>
          <t>Information Technology</t>
        </is>
      </c>
      <c r="F30" t="inlineStr"/>
      <c r="G30" t="inlineStr"/>
      <c r="H30" t="inlineStr">
        <is>
          <t>2.76%</t>
        </is>
      </c>
      <c r="I30" t="inlineStr">
        <is>
          <t>0.00%</t>
        </is>
      </c>
    </row>
    <row r="31">
      <c r="A31" s="2" t="n">
        <v>45980</v>
      </c>
      <c r="B31" t="inlineStr">
        <is>
          <t>KNG</t>
        </is>
      </c>
      <c r="C31" t="inlineStr">
        <is>
          <t>GICS_INDUSTRY_GROUP_NAME</t>
        </is>
      </c>
      <c r="D31" t="inlineStr">
        <is>
          <t>Commercial &amp; Professional Services</t>
        </is>
      </c>
      <c r="E31" t="inlineStr">
        <is>
          <t>Industrials</t>
        </is>
      </c>
      <c r="F31" t="inlineStr"/>
      <c r="G31" t="inlineStr"/>
      <c r="H31" t="inlineStr">
        <is>
          <t>2.69%</t>
        </is>
      </c>
      <c r="I31" t="inlineStr">
        <is>
          <t>0.00%</t>
        </is>
      </c>
    </row>
    <row r="32">
      <c r="A32" s="2" t="n">
        <v>45980</v>
      </c>
      <c r="B32" t="inlineStr">
        <is>
          <t>KNG</t>
        </is>
      </c>
      <c r="C32" t="inlineStr">
        <is>
          <t>GICS_INDUSTRY_NAME</t>
        </is>
      </c>
      <c r="D32" t="inlineStr">
        <is>
          <t>Health Care Providers &amp; Services</t>
        </is>
      </c>
      <c r="E32" t="inlineStr">
        <is>
          <t>Health Care</t>
        </is>
      </c>
      <c r="F32" t="inlineStr"/>
      <c r="G32" t="inlineStr"/>
      <c r="H32" t="inlineStr">
        <is>
          <t>1.91%</t>
        </is>
      </c>
      <c r="I32" t="inlineStr">
        <is>
          <t>0.00%</t>
        </is>
      </c>
    </row>
    <row r="33">
      <c r="A33" s="2" t="n">
        <v>45980</v>
      </c>
      <c r="B33" t="inlineStr">
        <is>
          <t>KNG</t>
        </is>
      </c>
      <c r="C33" t="inlineStr">
        <is>
          <t>GICS_INDUSTRY_NAME</t>
        </is>
      </c>
      <c r="D33" t="inlineStr">
        <is>
          <t>Metals &amp; Mining</t>
        </is>
      </c>
      <c r="E33" t="inlineStr">
        <is>
          <t>Materials</t>
        </is>
      </c>
      <c r="F33" t="inlineStr"/>
      <c r="G33" t="inlineStr"/>
      <c r="H33" t="inlineStr">
        <is>
          <t>1.60%</t>
        </is>
      </c>
      <c r="I33" t="inlineStr">
        <is>
          <t>0.00%</t>
        </is>
      </c>
    </row>
    <row r="34">
      <c r="A34" s="2" t="n">
        <v>45980</v>
      </c>
      <c r="B34" t="inlineStr">
        <is>
          <t>KNG</t>
        </is>
      </c>
      <c r="C34" t="inlineStr">
        <is>
          <t>GICS_INDUSTRY_NAME</t>
        </is>
      </c>
      <c r="D34" t="inlineStr">
        <is>
          <t>Personal Care Products</t>
        </is>
      </c>
      <c r="E34" t="inlineStr">
        <is>
          <t>Consumer Staples</t>
        </is>
      </c>
      <c r="F34" t="inlineStr"/>
      <c r="G34" t="inlineStr"/>
      <c r="H34" t="inlineStr">
        <is>
          <t>1.56%</t>
        </is>
      </c>
      <c r="I34" t="inlineStr">
        <is>
          <t>0.00%</t>
        </is>
      </c>
    </row>
    <row r="35">
      <c r="A35" s="2" t="n">
        <v>45980</v>
      </c>
      <c r="B35" t="inlineStr">
        <is>
          <t>KNG</t>
        </is>
      </c>
      <c r="C35" t="inlineStr">
        <is>
          <t>GICS_INDUSTRY_NAME</t>
        </is>
      </c>
      <c r="D35" t="inlineStr">
        <is>
          <t>Pharmaceuticals</t>
        </is>
      </c>
      <c r="E35" t="inlineStr">
        <is>
          <t>Health Care</t>
        </is>
      </c>
      <c r="F35" t="inlineStr"/>
      <c r="G35" t="inlineStr"/>
      <c r="H35" t="inlineStr">
        <is>
          <t>1.54%</t>
        </is>
      </c>
      <c r="I35" t="inlineStr">
        <is>
          <t>0.00%</t>
        </is>
      </c>
    </row>
    <row r="36">
      <c r="A36" s="2" t="n">
        <v>45980</v>
      </c>
      <c r="B36" t="inlineStr">
        <is>
          <t>KNG</t>
        </is>
      </c>
      <c r="C36" t="inlineStr">
        <is>
          <t>GICS_INDUSTRY_NAME</t>
        </is>
      </c>
      <c r="D36" t="inlineStr">
        <is>
          <t>Containers &amp; Packaging</t>
        </is>
      </c>
      <c r="E36" t="inlineStr">
        <is>
          <t>Materials</t>
        </is>
      </c>
      <c r="F36" t="inlineStr"/>
      <c r="G36" t="inlineStr"/>
      <c r="H36" t="inlineStr">
        <is>
          <t>1.52%</t>
        </is>
      </c>
      <c r="I36" t="inlineStr">
        <is>
          <t>0.00%</t>
        </is>
      </c>
    </row>
    <row r="37">
      <c r="A37" s="2" t="n">
        <v>45980</v>
      </c>
      <c r="B37" t="inlineStr">
        <is>
          <t>KNG</t>
        </is>
      </c>
      <c r="C37" t="inlineStr">
        <is>
          <t>GICS_INDUSTRY_NAME</t>
        </is>
      </c>
      <c r="D37" t="inlineStr">
        <is>
          <t>Biotechnology</t>
        </is>
      </c>
      <c r="E37" t="inlineStr">
        <is>
          <t>Health Care</t>
        </is>
      </c>
      <c r="F37" t="inlineStr"/>
      <c r="G37" t="inlineStr"/>
      <c r="H37" t="inlineStr">
        <is>
          <t>1.50%</t>
        </is>
      </c>
      <c r="I37" t="inlineStr">
        <is>
          <t>0.00%</t>
        </is>
      </c>
    </row>
    <row r="38">
      <c r="A38" s="2" t="n">
        <v>45980</v>
      </c>
      <c r="B38" t="inlineStr">
        <is>
          <t>KNG</t>
        </is>
      </c>
      <c r="C38" t="inlineStr">
        <is>
          <t>GICS_INDUSTRY_NAME</t>
        </is>
      </c>
      <c r="D38" t="inlineStr">
        <is>
          <t>Aerospace &amp; Defense</t>
        </is>
      </c>
      <c r="E38" t="inlineStr">
        <is>
          <t>Industrials</t>
        </is>
      </c>
      <c r="F38" t="inlineStr"/>
      <c r="G38" t="inlineStr"/>
      <c r="H38" t="inlineStr">
        <is>
          <t>1.49%</t>
        </is>
      </c>
      <c r="I38" t="inlineStr">
        <is>
          <t>0.00%</t>
        </is>
      </c>
    </row>
    <row r="39">
      <c r="A39" s="2" t="n">
        <v>45980</v>
      </c>
      <c r="B39" t="inlineStr">
        <is>
          <t>KNG</t>
        </is>
      </c>
      <c r="C39" t="inlineStr">
        <is>
          <t>GICS_INDUSTRY_NAME</t>
        </is>
      </c>
      <c r="D39" t="inlineStr">
        <is>
          <t>IT Services</t>
        </is>
      </c>
      <c r="E39" t="inlineStr">
        <is>
          <t>Information Technology</t>
        </is>
      </c>
      <c r="F39" t="inlineStr"/>
      <c r="G39" t="inlineStr"/>
      <c r="H39" t="inlineStr">
        <is>
          <t>1.48%</t>
        </is>
      </c>
      <c r="I39" t="inlineStr">
        <is>
          <t>0.00%</t>
        </is>
      </c>
    </row>
    <row r="40">
      <c r="A40" s="2" t="n">
        <v>45980</v>
      </c>
      <c r="B40" t="inlineStr">
        <is>
          <t>KNG</t>
        </is>
      </c>
      <c r="C40" t="inlineStr">
        <is>
          <t>GICS_INDUSTRY_NAME</t>
        </is>
      </c>
      <c r="D40" t="inlineStr">
        <is>
          <t>Electrical Equipment</t>
        </is>
      </c>
      <c r="E40" t="inlineStr">
        <is>
          <t>Industrials</t>
        </is>
      </c>
      <c r="F40" t="inlineStr"/>
      <c r="G40" t="inlineStr"/>
      <c r="H40" t="inlineStr">
        <is>
          <t>1.45%</t>
        </is>
      </c>
      <c r="I40" t="inlineStr">
        <is>
          <t>0.00%</t>
        </is>
      </c>
    </row>
    <row r="41">
      <c r="A41" s="2" t="n">
        <v>45980</v>
      </c>
      <c r="B41" t="inlineStr">
        <is>
          <t>KNG</t>
        </is>
      </c>
      <c r="C41" t="inlineStr">
        <is>
          <t>GICS_INDUSTRY_NAME</t>
        </is>
      </c>
      <c r="D41" t="inlineStr">
        <is>
          <t>Multi-Utilities</t>
        </is>
      </c>
      <c r="E41" t="inlineStr">
        <is>
          <t>Utilities</t>
        </is>
      </c>
      <c r="F41" t="inlineStr"/>
      <c r="G41" t="inlineStr"/>
      <c r="H41" t="inlineStr">
        <is>
          <t>1.45%</t>
        </is>
      </c>
      <c r="I41" t="inlineStr">
        <is>
          <t>0.00%</t>
        </is>
      </c>
    </row>
    <row r="42">
      <c r="A42" s="2" t="n">
        <v>45980</v>
      </c>
      <c r="B42" t="inlineStr">
        <is>
          <t>KNG</t>
        </is>
      </c>
      <c r="C42" t="inlineStr">
        <is>
          <t>GICS_INDUSTRY_NAME</t>
        </is>
      </c>
      <c r="D42" t="inlineStr">
        <is>
          <t>Gas Utilities</t>
        </is>
      </c>
      <c r="E42" t="inlineStr">
        <is>
          <t>Utilities</t>
        </is>
      </c>
      <c r="F42" t="inlineStr"/>
      <c r="G42" t="inlineStr"/>
      <c r="H42" t="inlineStr">
        <is>
          <t>1.44%</t>
        </is>
      </c>
      <c r="I42" t="inlineStr">
        <is>
          <t>0.00%</t>
        </is>
      </c>
    </row>
    <row r="43">
      <c r="A43" s="2" t="n">
        <v>45980</v>
      </c>
      <c r="B43" t="inlineStr">
        <is>
          <t>KNG</t>
        </is>
      </c>
      <c r="C43" t="inlineStr">
        <is>
          <t>GICS_INDUSTRY_GROUP_NAME</t>
        </is>
      </c>
      <c r="D43" t="inlineStr">
        <is>
          <t>Consumer Services</t>
        </is>
      </c>
      <c r="E43" t="inlineStr">
        <is>
          <t>Consumer Discretionary</t>
        </is>
      </c>
      <c r="F43" t="inlineStr"/>
      <c r="G43" t="inlineStr"/>
      <c r="H43" t="inlineStr">
        <is>
          <t>1.44%</t>
        </is>
      </c>
      <c r="I43" t="inlineStr">
        <is>
          <t>0.00%</t>
        </is>
      </c>
    </row>
    <row r="44">
      <c r="A44" s="2" t="n">
        <v>45980</v>
      </c>
      <c r="B44" t="inlineStr">
        <is>
          <t>KNG</t>
        </is>
      </c>
      <c r="C44" t="inlineStr">
        <is>
          <t>GICS_INDUSTRY_NAME</t>
        </is>
      </c>
      <c r="D44" t="inlineStr">
        <is>
          <t>Hotels, Restaurants &amp; Leisure</t>
        </is>
      </c>
      <c r="E44" t="inlineStr">
        <is>
          <t>Consumer Discretionary</t>
        </is>
      </c>
      <c r="F44" t="inlineStr"/>
      <c r="G44" t="inlineStr"/>
      <c r="H44" t="inlineStr">
        <is>
          <t>1.44%</t>
        </is>
      </c>
      <c r="I44" t="inlineStr">
        <is>
          <t>0.00%</t>
        </is>
      </c>
    </row>
    <row r="45">
      <c r="A45" s="2" t="n">
        <v>45980</v>
      </c>
      <c r="B45" t="inlineStr">
        <is>
          <t>KNG</t>
        </is>
      </c>
      <c r="C45" t="inlineStr">
        <is>
          <t>GICS_INDUSTRY_NAME</t>
        </is>
      </c>
      <c r="D45" t="inlineStr">
        <is>
          <t>Residential REITs</t>
        </is>
      </c>
      <c r="E45" t="inlineStr">
        <is>
          <t>Real Estate</t>
        </is>
      </c>
      <c r="F45" t="inlineStr"/>
      <c r="G45" t="inlineStr"/>
      <c r="H45" t="inlineStr">
        <is>
          <t>1.42%</t>
        </is>
      </c>
      <c r="I45" t="inlineStr">
        <is>
          <t>0.00%</t>
        </is>
      </c>
    </row>
    <row r="46">
      <c r="A46" s="2" t="n">
        <v>45980</v>
      </c>
      <c r="B46" t="inlineStr">
        <is>
          <t>KNG</t>
        </is>
      </c>
      <c r="C46" t="inlineStr">
        <is>
          <t>GICS_INDUSTRY_NAME</t>
        </is>
      </c>
      <c r="D46" t="inlineStr">
        <is>
          <t>Commercial Services &amp; Supplies</t>
        </is>
      </c>
      <c r="E46" t="inlineStr">
        <is>
          <t>Industrials</t>
        </is>
      </c>
      <c r="F46" t="inlineStr"/>
      <c r="G46" t="inlineStr"/>
      <c r="H46" t="inlineStr">
        <is>
          <t>1.40%</t>
        </is>
      </c>
      <c r="I46" t="inlineStr">
        <is>
          <t>0.00%</t>
        </is>
      </c>
    </row>
    <row r="47">
      <c r="A47" s="2" t="n">
        <v>45980</v>
      </c>
      <c r="B47" t="inlineStr">
        <is>
          <t>KNG</t>
        </is>
      </c>
      <c r="C47" t="inlineStr">
        <is>
          <t>GICS_INDUSTRY_NAME</t>
        </is>
      </c>
      <c r="D47" t="inlineStr">
        <is>
          <t>Distributors</t>
        </is>
      </c>
      <c r="E47" t="inlineStr">
        <is>
          <t>Consumer Discretionary</t>
        </is>
      </c>
      <c r="F47" t="inlineStr"/>
      <c r="G47" t="inlineStr"/>
      <c r="H47" t="inlineStr">
        <is>
          <t>1.39%</t>
        </is>
      </c>
      <c r="I47" t="inlineStr">
        <is>
          <t>0.00%</t>
        </is>
      </c>
    </row>
    <row r="48">
      <c r="A48" s="2" t="n">
        <v>45980</v>
      </c>
      <c r="B48" t="inlineStr">
        <is>
          <t>KNG</t>
        </is>
      </c>
      <c r="C48" t="inlineStr">
        <is>
          <t>GICS_INDUSTRY_NAME</t>
        </is>
      </c>
      <c r="D48" t="inlineStr">
        <is>
          <t>Specialty Retail</t>
        </is>
      </c>
      <c r="E48" t="inlineStr">
        <is>
          <t>Consumer Discretionary</t>
        </is>
      </c>
      <c r="F48" t="inlineStr"/>
      <c r="G48" t="inlineStr"/>
      <c r="H48" t="inlineStr">
        <is>
          <t>1.38%</t>
        </is>
      </c>
      <c r="I48" t="inlineStr">
        <is>
          <t>0.00%</t>
        </is>
      </c>
    </row>
    <row r="49">
      <c r="A49" s="2" t="n">
        <v>45980</v>
      </c>
      <c r="B49" t="inlineStr">
        <is>
          <t>KNG</t>
        </is>
      </c>
      <c r="C49" t="inlineStr">
        <is>
          <t>GICS_INDUSTRY_NAME</t>
        </is>
      </c>
      <c r="D49" t="inlineStr">
        <is>
          <t>Building Products</t>
        </is>
      </c>
      <c r="E49" t="inlineStr">
        <is>
          <t>Industrials</t>
        </is>
      </c>
      <c r="F49" t="inlineStr"/>
      <c r="G49" t="inlineStr"/>
      <c r="H49" t="inlineStr">
        <is>
          <t>1.37%</t>
        </is>
      </c>
      <c r="I49" t="inlineStr">
        <is>
          <t>0.00%</t>
        </is>
      </c>
    </row>
    <row r="50">
      <c r="A50" s="2" t="n">
        <v>45980</v>
      </c>
      <c r="B50" t="inlineStr">
        <is>
          <t>KNG</t>
        </is>
      </c>
      <c r="C50" t="inlineStr">
        <is>
          <t>GICS_INDUSTRY_NAME</t>
        </is>
      </c>
      <c r="D50" t="inlineStr">
        <is>
          <t>Life Sciences Tools &amp; Services</t>
        </is>
      </c>
      <c r="E50" t="inlineStr">
        <is>
          <t>Health Care</t>
        </is>
      </c>
      <c r="F50" t="inlineStr"/>
      <c r="G50" t="inlineStr"/>
      <c r="H50" t="inlineStr">
        <is>
          <t>1.37%</t>
        </is>
      </c>
      <c r="I50" t="inlineStr">
        <is>
          <t>0.00%</t>
        </is>
      </c>
    </row>
    <row r="51">
      <c r="A51" s="2" t="n">
        <v>45980</v>
      </c>
      <c r="B51" t="inlineStr">
        <is>
          <t>KNG</t>
        </is>
      </c>
      <c r="C51" t="inlineStr">
        <is>
          <t>GICS_INDUSTRY_NAME</t>
        </is>
      </c>
      <c r="D51" t="inlineStr">
        <is>
          <t>Professional Services</t>
        </is>
      </c>
      <c r="E51" t="inlineStr">
        <is>
          <t>Industrials</t>
        </is>
      </c>
      <c r="F51" t="inlineStr"/>
      <c r="G51" t="inlineStr"/>
      <c r="H51" t="inlineStr">
        <is>
          <t>1.30%</t>
        </is>
      </c>
      <c r="I51" t="inlineStr">
        <is>
          <t>0.00%</t>
        </is>
      </c>
    </row>
    <row r="52">
      <c r="A52" s="2" t="n">
        <v>45980</v>
      </c>
      <c r="B52" t="inlineStr">
        <is>
          <t>KNG</t>
        </is>
      </c>
      <c r="C52" t="inlineStr">
        <is>
          <t>GICS_INDUSTRY_NAME</t>
        </is>
      </c>
      <c r="D52" t="inlineStr">
        <is>
          <t>Software</t>
        </is>
      </c>
      <c r="E52" t="inlineStr">
        <is>
          <t>Information Technology</t>
        </is>
      </c>
      <c r="F52" t="inlineStr"/>
      <c r="G52" t="inlineStr"/>
      <c r="H52" t="inlineStr">
        <is>
          <t>1.29%</t>
        </is>
      </c>
      <c r="I52" t="inlineStr">
        <is>
          <t>0.00%</t>
        </is>
      </c>
    </row>
    <row r="53">
      <c r="A53" s="2" t="n">
        <v>45980</v>
      </c>
      <c r="B53" t="inlineStr">
        <is>
          <t>RDVI</t>
        </is>
      </c>
      <c r="C53" t="inlineStr">
        <is>
          <t>GICS_INDUSTRY_GROUP_NAME</t>
        </is>
      </c>
      <c r="D53" t="inlineStr">
        <is>
          <t>Financial Services</t>
        </is>
      </c>
      <c r="E53" t="inlineStr">
        <is>
          <t>Financials</t>
        </is>
      </c>
      <c r="F53" t="inlineStr"/>
      <c r="G53" t="inlineStr"/>
      <c r="H53" t="inlineStr">
        <is>
          <t>15.28%</t>
        </is>
      </c>
      <c r="I53" t="inlineStr">
        <is>
          <t>0.00%</t>
        </is>
      </c>
    </row>
    <row r="54">
      <c r="A54" s="2" t="n">
        <v>45980</v>
      </c>
      <c r="B54" t="inlineStr">
        <is>
          <t>RDVI</t>
        </is>
      </c>
      <c r="C54" t="inlineStr">
        <is>
          <t>GICS_INDUSTRY_GROUP_NAME</t>
        </is>
      </c>
      <c r="D54" t="inlineStr">
        <is>
          <t>Semiconductors &amp; Semiconductor Equipment</t>
        </is>
      </c>
      <c r="E54" t="inlineStr">
        <is>
          <t>Information Technology</t>
        </is>
      </c>
      <c r="F54" t="inlineStr"/>
      <c r="G54" t="inlineStr"/>
      <c r="H54" t="inlineStr">
        <is>
          <t>14.09%</t>
        </is>
      </c>
      <c r="I54" t="inlineStr">
        <is>
          <t>0.00%</t>
        </is>
      </c>
    </row>
    <row r="55">
      <c r="A55" s="2" t="n">
        <v>45980</v>
      </c>
      <c r="B55" t="inlineStr">
        <is>
          <t>RDVI</t>
        </is>
      </c>
      <c r="C55" t="inlineStr">
        <is>
          <t>GICS_INDUSTRY_NAME</t>
        </is>
      </c>
      <c r="D55" t="inlineStr">
        <is>
          <t>Semiconductors &amp; Semiconductor Equipment</t>
        </is>
      </c>
      <c r="E55" t="inlineStr">
        <is>
          <t>Information Technology</t>
        </is>
      </c>
      <c r="F55" t="inlineStr"/>
      <c r="G55" t="inlineStr"/>
      <c r="H55" t="inlineStr">
        <is>
          <t>14.09%</t>
        </is>
      </c>
      <c r="I55" t="inlineStr">
        <is>
          <t>0.00%</t>
        </is>
      </c>
    </row>
    <row r="56">
      <c r="A56" s="2" t="n">
        <v>45980</v>
      </c>
      <c r="B56" t="inlineStr">
        <is>
          <t>RDVI</t>
        </is>
      </c>
      <c r="C56" t="inlineStr">
        <is>
          <t>GICS_INDUSTRY_GROUP_NAME</t>
        </is>
      </c>
      <c r="D56" t="inlineStr">
        <is>
          <t>Insurance</t>
        </is>
      </c>
      <c r="E56" t="inlineStr">
        <is>
          <t>Financials</t>
        </is>
      </c>
      <c r="F56" t="inlineStr"/>
      <c r="G56" t="inlineStr"/>
      <c r="H56" t="inlineStr">
        <is>
          <t>12.42%</t>
        </is>
      </c>
      <c r="I56" t="inlineStr">
        <is>
          <t>0.00%</t>
        </is>
      </c>
    </row>
    <row r="57">
      <c r="A57" s="2" t="n">
        <v>45980</v>
      </c>
      <c r="B57" t="inlineStr">
        <is>
          <t>RDVI</t>
        </is>
      </c>
      <c r="C57" t="inlineStr">
        <is>
          <t>GICS_INDUSTRY_NAME</t>
        </is>
      </c>
      <c r="D57" t="inlineStr">
        <is>
          <t>Insurance</t>
        </is>
      </c>
      <c r="E57" t="inlineStr">
        <is>
          <t>Financials</t>
        </is>
      </c>
      <c r="F57" t="inlineStr"/>
      <c r="G57" t="inlineStr"/>
      <c r="H57" t="inlineStr">
        <is>
          <t>12.42%</t>
        </is>
      </c>
      <c r="I57" t="inlineStr">
        <is>
          <t>0.00%</t>
        </is>
      </c>
    </row>
    <row r="58">
      <c r="A58" s="2" t="n">
        <v>45980</v>
      </c>
      <c r="B58" t="inlineStr">
        <is>
          <t>RDVI</t>
        </is>
      </c>
      <c r="C58" t="inlineStr">
        <is>
          <t>GICS_INDUSTRY_GROUP_NAME</t>
        </is>
      </c>
      <c r="D58" t="inlineStr">
        <is>
          <t>Capital Goods</t>
        </is>
      </c>
      <c r="E58" t="inlineStr">
        <is>
          <t>Industrials</t>
        </is>
      </c>
      <c r="F58" t="inlineStr"/>
      <c r="G58" t="inlineStr"/>
      <c r="H58" t="inlineStr">
        <is>
          <t>10.62%</t>
        </is>
      </c>
      <c r="I58" t="inlineStr">
        <is>
          <t>0.00%</t>
        </is>
      </c>
    </row>
    <row r="59">
      <c r="A59" s="2" t="n">
        <v>45980</v>
      </c>
      <c r="B59" t="inlineStr">
        <is>
          <t>RDVI</t>
        </is>
      </c>
      <c r="C59" t="inlineStr">
        <is>
          <t>GICS_INDUSTRY_NAME</t>
        </is>
      </c>
      <c r="D59" t="inlineStr">
        <is>
          <t>Capital Markets</t>
        </is>
      </c>
      <c r="E59" t="inlineStr">
        <is>
          <t>Financials</t>
        </is>
      </c>
      <c r="F59" t="inlineStr"/>
      <c r="G59" t="inlineStr"/>
      <c r="H59" t="inlineStr">
        <is>
          <t>8.51%</t>
        </is>
      </c>
      <c r="I59" t="inlineStr">
        <is>
          <t>0.00%</t>
        </is>
      </c>
    </row>
    <row r="60">
      <c r="A60" s="2" t="n">
        <v>45980</v>
      </c>
      <c r="B60" t="inlineStr">
        <is>
          <t>RDVI</t>
        </is>
      </c>
      <c r="C60" t="inlineStr">
        <is>
          <t>GICS_INDUSTRY_GROUP_NAME</t>
        </is>
      </c>
      <c r="D60" t="inlineStr">
        <is>
          <t>Media &amp; Entertainment</t>
        </is>
      </c>
      <c r="E60" t="inlineStr">
        <is>
          <t>Communication Services</t>
        </is>
      </c>
      <c r="F60" t="inlineStr"/>
      <c r="G60" t="inlineStr"/>
      <c r="H60" t="inlineStr">
        <is>
          <t>7.33%</t>
        </is>
      </c>
      <c r="I60" t="inlineStr">
        <is>
          <t>0.00%</t>
        </is>
      </c>
    </row>
    <row r="61">
      <c r="A61" s="2" t="n">
        <v>45980</v>
      </c>
      <c r="B61" t="inlineStr">
        <is>
          <t>RDVI</t>
        </is>
      </c>
      <c r="C61" t="inlineStr">
        <is>
          <t>GICS_INDUSTRY_GROUP_NAME</t>
        </is>
      </c>
      <c r="D61" t="inlineStr">
        <is>
          <t>Banks</t>
        </is>
      </c>
      <c r="E61" t="inlineStr">
        <is>
          <t>Financials</t>
        </is>
      </c>
      <c r="F61" t="inlineStr"/>
      <c r="G61" t="inlineStr"/>
      <c r="H61" t="inlineStr">
        <is>
          <t>6.88%</t>
        </is>
      </c>
      <c r="I61" t="inlineStr">
        <is>
          <t>0.00%</t>
        </is>
      </c>
    </row>
    <row r="62">
      <c r="A62" s="2" t="n">
        <v>45980</v>
      </c>
      <c r="B62" t="inlineStr">
        <is>
          <t>RDVI</t>
        </is>
      </c>
      <c r="C62" t="inlineStr">
        <is>
          <t>GICS_INDUSTRY_NAME</t>
        </is>
      </c>
      <c r="D62" t="inlineStr">
        <is>
          <t>Banks</t>
        </is>
      </c>
      <c r="E62" t="inlineStr">
        <is>
          <t>Financials</t>
        </is>
      </c>
      <c r="F62" t="inlineStr"/>
      <c r="G62" t="inlineStr"/>
      <c r="H62" t="inlineStr">
        <is>
          <t>6.88%</t>
        </is>
      </c>
      <c r="I62" t="inlineStr">
        <is>
          <t>0.00%</t>
        </is>
      </c>
    </row>
    <row r="63">
      <c r="A63" s="2" t="n">
        <v>45980</v>
      </c>
      <c r="B63" t="inlineStr">
        <is>
          <t>RDVI</t>
        </is>
      </c>
      <c r="C63" t="inlineStr">
        <is>
          <t>GICS_INDUSTRY_GROUP_NAME</t>
        </is>
      </c>
      <c r="D63" t="inlineStr">
        <is>
          <t>Software &amp; Services</t>
        </is>
      </c>
      <c r="E63" t="inlineStr">
        <is>
          <t>Information Technology</t>
        </is>
      </c>
      <c r="F63" t="inlineStr"/>
      <c r="G63" t="inlineStr"/>
      <c r="H63" t="inlineStr">
        <is>
          <t>6.82%</t>
        </is>
      </c>
      <c r="I63" t="inlineStr">
        <is>
          <t>0.00%</t>
        </is>
      </c>
    </row>
    <row r="64">
      <c r="A64" s="2" t="n">
        <v>45980</v>
      </c>
      <c r="B64" t="inlineStr">
        <is>
          <t>RDVI</t>
        </is>
      </c>
      <c r="C64" t="inlineStr">
        <is>
          <t>GICS_INDUSTRY_NAME</t>
        </is>
      </c>
      <c r="D64" t="inlineStr">
        <is>
          <t>Machinery</t>
        </is>
      </c>
      <c r="E64" t="inlineStr">
        <is>
          <t>Industrials</t>
        </is>
      </c>
      <c r="F64" t="inlineStr"/>
      <c r="G64" t="inlineStr"/>
      <c r="H64" t="inlineStr">
        <is>
          <t>6.53%</t>
        </is>
      </c>
      <c r="I64" t="inlineStr">
        <is>
          <t>0.00%</t>
        </is>
      </c>
    </row>
    <row r="65">
      <c r="A65" s="2" t="n">
        <v>45980</v>
      </c>
      <c r="B65" t="inlineStr">
        <is>
          <t>RDVI</t>
        </is>
      </c>
      <c r="C65" t="inlineStr">
        <is>
          <t>GICS_INDUSTRY_GROUP_NAME</t>
        </is>
      </c>
      <c r="D65" t="inlineStr">
        <is>
          <t>Consumer Discretionary Distribution &amp; Retail</t>
        </is>
      </c>
      <c r="E65" t="inlineStr">
        <is>
          <t>Consumer Discretionary</t>
        </is>
      </c>
      <c r="F65" t="inlineStr"/>
      <c r="G65" t="inlineStr"/>
      <c r="H65" t="inlineStr">
        <is>
          <t>6.13%</t>
        </is>
      </c>
      <c r="I65" t="inlineStr">
        <is>
          <t>0.00%</t>
        </is>
      </c>
    </row>
    <row r="66">
      <c r="A66" s="2" t="n">
        <v>45980</v>
      </c>
      <c r="B66" t="inlineStr">
        <is>
          <t>RDVI</t>
        </is>
      </c>
      <c r="C66" t="inlineStr">
        <is>
          <t>GICS_INDUSTRY_NAME</t>
        </is>
      </c>
      <c r="D66" t="inlineStr">
        <is>
          <t>Interactive Media &amp; Services</t>
        </is>
      </c>
      <c r="E66" t="inlineStr">
        <is>
          <t>Communication Services</t>
        </is>
      </c>
      <c r="F66" t="inlineStr"/>
      <c r="G66" t="inlineStr"/>
      <c r="H66" t="inlineStr">
        <is>
          <t>4.83%</t>
        </is>
      </c>
      <c r="I66" t="inlineStr">
        <is>
          <t>0.00%</t>
        </is>
      </c>
    </row>
    <row r="67">
      <c r="A67" s="2" t="n">
        <v>45980</v>
      </c>
      <c r="B67" t="inlineStr">
        <is>
          <t>RDVI</t>
        </is>
      </c>
      <c r="C67" t="inlineStr">
        <is>
          <t>GICS_INDUSTRY_GROUP_NAME</t>
        </is>
      </c>
      <c r="D67" t="inlineStr">
        <is>
          <t>Consumer Durables &amp; Apparel</t>
        </is>
      </c>
      <c r="E67" t="inlineStr">
        <is>
          <t>Consumer Discretionary</t>
        </is>
      </c>
      <c r="F67" t="inlineStr"/>
      <c r="G67" t="inlineStr"/>
      <c r="H67" t="inlineStr">
        <is>
          <t>4.03%</t>
        </is>
      </c>
      <c r="I67" t="inlineStr">
        <is>
          <t>0.00%</t>
        </is>
      </c>
    </row>
    <row r="68">
      <c r="A68" s="2" t="n">
        <v>45980</v>
      </c>
      <c r="B68" t="inlineStr">
        <is>
          <t>RDVI</t>
        </is>
      </c>
      <c r="C68" t="inlineStr">
        <is>
          <t>GICS_INDUSTRY_NAME</t>
        </is>
      </c>
      <c r="D68" t="inlineStr">
        <is>
          <t>Household Durables</t>
        </is>
      </c>
      <c r="E68" t="inlineStr">
        <is>
          <t>Consumer Discretionary</t>
        </is>
      </c>
      <c r="F68" t="inlineStr"/>
      <c r="G68" t="inlineStr"/>
      <c r="H68" t="inlineStr">
        <is>
          <t>4.03%</t>
        </is>
      </c>
      <c r="I68" t="inlineStr">
        <is>
          <t>0.00%</t>
        </is>
      </c>
    </row>
    <row r="69">
      <c r="A69" s="2" t="n">
        <v>45980</v>
      </c>
      <c r="B69" t="inlineStr">
        <is>
          <t>RDVI</t>
        </is>
      </c>
      <c r="C69" t="inlineStr">
        <is>
          <t>GICS_INDUSTRY_NAME</t>
        </is>
      </c>
      <c r="D69" t="inlineStr">
        <is>
          <t>Specialty Retail</t>
        </is>
      </c>
      <c r="E69" t="inlineStr">
        <is>
          <t>Consumer Discretionary</t>
        </is>
      </c>
      <c r="F69" t="inlineStr"/>
      <c r="G69" t="inlineStr"/>
      <c r="H69" t="inlineStr">
        <is>
          <t>3.97%</t>
        </is>
      </c>
      <c r="I69" t="inlineStr">
        <is>
          <t>0.00%</t>
        </is>
      </c>
    </row>
    <row r="70">
      <c r="A70" s="2" t="n">
        <v>45980</v>
      </c>
      <c r="B70" t="inlineStr">
        <is>
          <t>RDVI</t>
        </is>
      </c>
      <c r="C70" t="inlineStr">
        <is>
          <t>GICS_INDUSTRY_NAME</t>
        </is>
      </c>
      <c r="D70" t="inlineStr">
        <is>
          <t>Consumer Finance</t>
        </is>
      </c>
      <c r="E70" t="inlineStr">
        <is>
          <t>Financials</t>
        </is>
      </c>
      <c r="F70" t="inlineStr"/>
      <c r="G70" t="inlineStr"/>
      <c r="H70" t="inlineStr">
        <is>
          <t>3.69%</t>
        </is>
      </c>
      <c r="I70" t="inlineStr">
        <is>
          <t>0.00%</t>
        </is>
      </c>
    </row>
    <row r="71">
      <c r="A71" s="2" t="n">
        <v>45980</v>
      </c>
      <c r="B71" t="inlineStr">
        <is>
          <t>RDVI</t>
        </is>
      </c>
      <c r="C71" t="inlineStr">
        <is>
          <t>GICS_INDUSTRY_NAME</t>
        </is>
      </c>
      <c r="D71" t="inlineStr">
        <is>
          <t>Software</t>
        </is>
      </c>
      <c r="E71" t="inlineStr">
        <is>
          <t>Information Technology</t>
        </is>
      </c>
      <c r="F71" t="inlineStr"/>
      <c r="G71" t="inlineStr"/>
      <c r="H71" t="inlineStr">
        <is>
          <t>3.62%</t>
        </is>
      </c>
      <c r="I71" t="inlineStr">
        <is>
          <t>0.00%</t>
        </is>
      </c>
    </row>
    <row r="72">
      <c r="A72" s="2" t="n">
        <v>45980</v>
      </c>
      <c r="B72" t="inlineStr">
        <is>
          <t>RDVI</t>
        </is>
      </c>
      <c r="C72" t="inlineStr">
        <is>
          <t>GICS_INDUSTRY_GROUP_NAME</t>
        </is>
      </c>
      <c r="D72" t="inlineStr">
        <is>
          <t>Health Care Equipment &amp; Services</t>
        </is>
      </c>
      <c r="E72" t="inlineStr">
        <is>
          <t>Health Care</t>
        </is>
      </c>
      <c r="F72" t="inlineStr"/>
      <c r="G72" t="inlineStr"/>
      <c r="H72" t="inlineStr">
        <is>
          <t>3.44%</t>
        </is>
      </c>
      <c r="I72" t="inlineStr">
        <is>
          <t>0.00%</t>
        </is>
      </c>
    </row>
    <row r="73">
      <c r="A73" s="2" t="n">
        <v>45980</v>
      </c>
      <c r="B73" t="inlineStr">
        <is>
          <t>RDVI</t>
        </is>
      </c>
      <c r="C73" t="inlineStr">
        <is>
          <t>GICS_INDUSTRY_NAME</t>
        </is>
      </c>
      <c r="D73" t="inlineStr">
        <is>
          <t>IT Services</t>
        </is>
      </c>
      <c r="E73" t="inlineStr">
        <is>
          <t>Information Technology</t>
        </is>
      </c>
      <c r="F73" t="inlineStr"/>
      <c r="G73" t="inlineStr"/>
      <c r="H73" t="inlineStr">
        <is>
          <t>3.20%</t>
        </is>
      </c>
      <c r="I73" t="inlineStr">
        <is>
          <t>0.00%</t>
        </is>
      </c>
    </row>
    <row r="74">
      <c r="A74" s="2" t="n">
        <v>45980</v>
      </c>
      <c r="B74" t="inlineStr">
        <is>
          <t>RDVI</t>
        </is>
      </c>
      <c r="C74" t="inlineStr">
        <is>
          <t>GICS_INDUSTRY_NAME</t>
        </is>
      </c>
      <c r="D74" t="inlineStr">
        <is>
          <t>Financial Services</t>
        </is>
      </c>
      <c r="E74" t="inlineStr">
        <is>
          <t>Financials</t>
        </is>
      </c>
      <c r="F74" t="inlineStr"/>
      <c r="G74" t="inlineStr"/>
      <c r="H74" t="inlineStr">
        <is>
          <t>3.08%</t>
        </is>
      </c>
      <c r="I74" t="inlineStr">
        <is>
          <t>0.00%</t>
        </is>
      </c>
    </row>
    <row r="75">
      <c r="A75" s="2" t="n">
        <v>45980</v>
      </c>
      <c r="B75" t="inlineStr">
        <is>
          <t>RDVI</t>
        </is>
      </c>
      <c r="C75" t="inlineStr">
        <is>
          <t>GICS_INDUSTRY_GROUP_NAME</t>
        </is>
      </c>
      <c r="D75" t="inlineStr">
        <is>
          <t>Energy</t>
        </is>
      </c>
      <c r="E75" t="inlineStr">
        <is>
          <t>Energy</t>
        </is>
      </c>
      <c r="F75" t="inlineStr"/>
      <c r="G75" t="inlineStr"/>
      <c r="H75" t="inlineStr">
        <is>
          <t>3.04%</t>
        </is>
      </c>
      <c r="I75" t="inlineStr">
        <is>
          <t>0.00%</t>
        </is>
      </c>
    </row>
    <row r="76">
      <c r="A76" s="2" t="n">
        <v>45980</v>
      </c>
      <c r="B76" t="inlineStr">
        <is>
          <t>RDVI</t>
        </is>
      </c>
      <c r="C76" t="inlineStr">
        <is>
          <t>GICS_INDUSTRY_GROUP_NAME</t>
        </is>
      </c>
      <c r="D76" t="inlineStr">
        <is>
          <t>Commercial &amp; Professional Services</t>
        </is>
      </c>
      <c r="E76" t="inlineStr">
        <is>
          <t>Industrials</t>
        </is>
      </c>
      <c r="F76" t="inlineStr"/>
      <c r="G76" t="inlineStr"/>
      <c r="H76" t="inlineStr">
        <is>
          <t>2.67%</t>
        </is>
      </c>
      <c r="I76" t="inlineStr">
        <is>
          <t>0.00%</t>
        </is>
      </c>
    </row>
    <row r="77">
      <c r="A77" s="2" t="n">
        <v>45980</v>
      </c>
      <c r="B77" t="inlineStr">
        <is>
          <t>RDVI</t>
        </is>
      </c>
      <c r="C77" t="inlineStr">
        <is>
          <t>GICS_INDUSTRY_GROUP_NAME</t>
        </is>
      </c>
      <c r="D77" t="inlineStr">
        <is>
          <t>Technology Hardware &amp; Equipment</t>
        </is>
      </c>
      <c r="E77" t="inlineStr">
        <is>
          <t>Information Technology</t>
        </is>
      </c>
      <c r="F77" t="inlineStr"/>
      <c r="G77" t="inlineStr"/>
      <c r="H77" t="inlineStr">
        <is>
          <t>2.29%</t>
        </is>
      </c>
      <c r="I77" t="inlineStr">
        <is>
          <t>0.00%</t>
        </is>
      </c>
    </row>
    <row r="78">
      <c r="A78" s="2" t="n">
        <v>45980</v>
      </c>
      <c r="B78" t="inlineStr">
        <is>
          <t>RDVI</t>
        </is>
      </c>
      <c r="C78" t="inlineStr">
        <is>
          <t>GICS_INDUSTRY_NAME</t>
        </is>
      </c>
      <c r="D78" t="inlineStr">
        <is>
          <t>Professional Services</t>
        </is>
      </c>
      <c r="E78" t="inlineStr">
        <is>
          <t>Industrials</t>
        </is>
      </c>
      <c r="F78" t="inlineStr"/>
      <c r="G78" t="inlineStr"/>
      <c r="H78" t="inlineStr">
        <is>
          <t>2.20%</t>
        </is>
      </c>
      <c r="I78" t="inlineStr">
        <is>
          <t>0.00%</t>
        </is>
      </c>
    </row>
    <row r="79">
      <c r="A79" s="2" t="n">
        <v>45980</v>
      </c>
      <c r="B79" t="inlineStr">
        <is>
          <t>RDVI</t>
        </is>
      </c>
      <c r="C79" t="inlineStr">
        <is>
          <t>GICS_INDUSTRY_NAME</t>
        </is>
      </c>
      <c r="D79" t="inlineStr">
        <is>
          <t>Energy Equipment &amp; Services</t>
        </is>
      </c>
      <c r="E79" t="inlineStr">
        <is>
          <t>Energy</t>
        </is>
      </c>
      <c r="F79" t="inlineStr"/>
      <c r="G79" t="inlineStr"/>
      <c r="H79" t="inlineStr">
        <is>
          <t>2.17%</t>
        </is>
      </c>
      <c r="I79" t="inlineStr">
        <is>
          <t>0.00%</t>
        </is>
      </c>
    </row>
    <row r="80">
      <c r="A80" s="2" t="n">
        <v>45980</v>
      </c>
      <c r="B80" t="inlineStr">
        <is>
          <t>RDVI</t>
        </is>
      </c>
      <c r="C80" t="inlineStr">
        <is>
          <t>GICS_INDUSTRY_NAME</t>
        </is>
      </c>
      <c r="D80" t="inlineStr">
        <is>
          <t>Broadline Retail</t>
        </is>
      </c>
      <c r="E80" t="inlineStr">
        <is>
          <t>Consumer Discretionary</t>
        </is>
      </c>
      <c r="F80" t="inlineStr"/>
      <c r="G80" t="inlineStr"/>
      <c r="H80" t="inlineStr">
        <is>
          <t>2.16%</t>
        </is>
      </c>
      <c r="I80" t="inlineStr">
        <is>
          <t>0.00%</t>
        </is>
      </c>
    </row>
    <row r="81">
      <c r="A81" s="2" t="n">
        <v>45980</v>
      </c>
      <c r="B81" t="inlineStr">
        <is>
          <t>RDVI</t>
        </is>
      </c>
      <c r="C81" t="inlineStr">
        <is>
          <t>GICS_INDUSTRY_NAME</t>
        </is>
      </c>
      <c r="D81" t="inlineStr">
        <is>
          <t>Entertainment</t>
        </is>
      </c>
      <c r="E81" t="inlineStr">
        <is>
          <t>Communication Services</t>
        </is>
      </c>
      <c r="F81" t="inlineStr"/>
      <c r="G81" t="inlineStr"/>
      <c r="H81" t="inlineStr">
        <is>
          <t>1.95%</t>
        </is>
      </c>
      <c r="I81" t="inlineStr">
        <is>
          <t>0.00%</t>
        </is>
      </c>
    </row>
    <row r="82">
      <c r="A82" s="2" t="n">
        <v>45980</v>
      </c>
      <c r="B82" t="inlineStr">
        <is>
          <t>RDVI</t>
        </is>
      </c>
      <c r="C82" t="inlineStr">
        <is>
          <t>GICS_INDUSTRY_NAME</t>
        </is>
      </c>
      <c r="D82" t="inlineStr">
        <is>
          <t>Health Care Equipment &amp; Supplies</t>
        </is>
      </c>
      <c r="E82" t="inlineStr">
        <is>
          <t>Health Care</t>
        </is>
      </c>
      <c r="F82" t="inlineStr"/>
      <c r="G82" t="inlineStr"/>
      <c r="H82" t="inlineStr">
        <is>
          <t>1.79%</t>
        </is>
      </c>
      <c r="I82" t="inlineStr">
        <is>
          <t>0.00%</t>
        </is>
      </c>
    </row>
    <row r="83">
      <c r="A83" s="2" t="n">
        <v>45980</v>
      </c>
      <c r="B83" t="inlineStr">
        <is>
          <t>RDVI</t>
        </is>
      </c>
      <c r="C83" t="inlineStr">
        <is>
          <t>GICS_INDUSTRY_NAME</t>
        </is>
      </c>
      <c r="D83" t="inlineStr">
        <is>
          <t>Aerospace &amp; Defense</t>
        </is>
      </c>
      <c r="E83" t="inlineStr">
        <is>
          <t>Industrials</t>
        </is>
      </c>
      <c r="F83" t="inlineStr"/>
      <c r="G83" t="inlineStr"/>
      <c r="H83" t="inlineStr">
        <is>
          <t>1.78%</t>
        </is>
      </c>
      <c r="I83" t="inlineStr">
        <is>
          <t>0.00%</t>
        </is>
      </c>
    </row>
    <row r="84">
      <c r="A84" s="2" t="n">
        <v>45980</v>
      </c>
      <c r="B84" t="inlineStr">
        <is>
          <t>RDVI</t>
        </is>
      </c>
      <c r="C84" t="inlineStr">
        <is>
          <t>GICS_INDUSTRY_GROUP_NAME</t>
        </is>
      </c>
      <c r="D84" t="inlineStr">
        <is>
          <t>Consumer Services</t>
        </is>
      </c>
      <c r="E84" t="inlineStr">
        <is>
          <t>Consumer Discretionary</t>
        </is>
      </c>
      <c r="F84" t="inlineStr"/>
      <c r="G84" t="inlineStr"/>
      <c r="H84" t="inlineStr">
        <is>
          <t>1.68%</t>
        </is>
      </c>
      <c r="I84" t="inlineStr">
        <is>
          <t>0.00%</t>
        </is>
      </c>
    </row>
    <row r="85">
      <c r="A85" s="2" t="n">
        <v>45980</v>
      </c>
      <c r="B85" t="inlineStr">
        <is>
          <t>RDVI</t>
        </is>
      </c>
      <c r="C85" t="inlineStr">
        <is>
          <t>GICS_INDUSTRY_NAME</t>
        </is>
      </c>
      <c r="D85" t="inlineStr">
        <is>
          <t>Hotels, Restaurants &amp; Leisure</t>
        </is>
      </c>
      <c r="E85" t="inlineStr">
        <is>
          <t>Consumer Discretionary</t>
        </is>
      </c>
      <c r="F85" t="inlineStr"/>
      <c r="G85" t="inlineStr"/>
      <c r="H85" t="inlineStr">
        <is>
          <t>1.68%</t>
        </is>
      </c>
      <c r="I85" t="inlineStr">
        <is>
          <t>0.00%</t>
        </is>
      </c>
    </row>
    <row r="86">
      <c r="A86" s="2" t="n">
        <v>45980</v>
      </c>
      <c r="B86" t="inlineStr">
        <is>
          <t>RDVI</t>
        </is>
      </c>
      <c r="C86" t="inlineStr">
        <is>
          <t>GICS_INDUSTRY_NAME</t>
        </is>
      </c>
      <c r="D86" t="inlineStr">
        <is>
          <t>Health Care Providers &amp; Services</t>
        </is>
      </c>
      <c r="E86" t="inlineStr">
        <is>
          <t>Health Care</t>
        </is>
      </c>
      <c r="F86" t="inlineStr"/>
      <c r="G86" t="inlineStr"/>
      <c r="H86" t="inlineStr">
        <is>
          <t>1.65%</t>
        </is>
      </c>
      <c r="I86" t="inlineStr">
        <is>
          <t>0.00%</t>
        </is>
      </c>
    </row>
    <row r="87">
      <c r="A87" s="2" t="n">
        <v>45980</v>
      </c>
      <c r="B87" t="inlineStr">
        <is>
          <t>RDVI</t>
        </is>
      </c>
      <c r="C87" t="inlineStr">
        <is>
          <t>GICS_INDUSTRY_NAME</t>
        </is>
      </c>
      <c r="D87" t="inlineStr">
        <is>
          <t>Technology Hardware, Storage &amp; Peripherals</t>
        </is>
      </c>
      <c r="E87" t="inlineStr">
        <is>
          <t>Information Technology</t>
        </is>
      </c>
      <c r="F87" t="inlineStr"/>
      <c r="G87" t="inlineStr"/>
      <c r="H87" t="inlineStr">
        <is>
          <t>1.65%</t>
        </is>
      </c>
      <c r="I87" t="inlineStr">
        <is>
          <t>0.00%</t>
        </is>
      </c>
    </row>
    <row r="88">
      <c r="A88" s="2" t="n">
        <v>45980</v>
      </c>
      <c r="B88" t="inlineStr">
        <is>
          <t>RDVI</t>
        </is>
      </c>
      <c r="C88" t="inlineStr">
        <is>
          <t>GICS_INDUSTRY_NAME</t>
        </is>
      </c>
      <c r="D88" t="inlineStr">
        <is>
          <t>Electrical Equipment</t>
        </is>
      </c>
      <c r="E88" t="inlineStr">
        <is>
          <t>Industrials</t>
        </is>
      </c>
      <c r="F88" t="inlineStr"/>
      <c r="G88" t="inlineStr"/>
      <c r="H88" t="inlineStr">
        <is>
          <t>1.06%</t>
        </is>
      </c>
      <c r="I88" t="inlineStr">
        <is>
          <t>0.00%</t>
        </is>
      </c>
    </row>
    <row r="89">
      <c r="A89" s="2" t="n">
        <v>45980</v>
      </c>
      <c r="B89" t="inlineStr">
        <is>
          <t>RDVI</t>
        </is>
      </c>
      <c r="C89" t="inlineStr">
        <is>
          <t>GICS_INDUSTRY_NAME</t>
        </is>
      </c>
      <c r="D89" t="inlineStr">
        <is>
          <t>Construction &amp; Engineering</t>
        </is>
      </c>
      <c r="E89" t="inlineStr">
        <is>
          <t>Industrials</t>
        </is>
      </c>
      <c r="F89" t="inlineStr"/>
      <c r="G89" t="inlineStr"/>
      <c r="H89" t="inlineStr">
        <is>
          <t>0.92%</t>
        </is>
      </c>
      <c r="I89" t="inlineStr">
        <is>
          <t>0.00%</t>
        </is>
      </c>
    </row>
    <row r="90">
      <c r="A90" s="2" t="n">
        <v>45980</v>
      </c>
      <c r="B90" t="inlineStr">
        <is>
          <t>RDVI</t>
        </is>
      </c>
      <c r="C90" t="inlineStr">
        <is>
          <t>GICS_INDUSTRY_GROUP_NAME</t>
        </is>
      </c>
      <c r="D90" t="inlineStr">
        <is>
          <t>Consumer Staples Distribution &amp; Retail</t>
        </is>
      </c>
      <c r="E90" t="inlineStr">
        <is>
          <t>Consumer Staples</t>
        </is>
      </c>
      <c r="F90" t="inlineStr"/>
      <c r="G90" t="inlineStr"/>
      <c r="H90" t="inlineStr">
        <is>
          <t>0.87%</t>
        </is>
      </c>
      <c r="I90" t="inlineStr">
        <is>
          <t>0.00%</t>
        </is>
      </c>
    </row>
    <row r="91">
      <c r="A91" s="2" t="n">
        <v>45980</v>
      </c>
      <c r="B91" t="inlineStr">
        <is>
          <t>RDVI</t>
        </is>
      </c>
      <c r="C91" t="inlineStr">
        <is>
          <t>GICS_INDUSTRY_NAME</t>
        </is>
      </c>
      <c r="D91" t="inlineStr">
        <is>
          <t>Consumer Staples Distribution &amp; Retail</t>
        </is>
      </c>
      <c r="E91" t="inlineStr">
        <is>
          <t>Consumer Staples</t>
        </is>
      </c>
      <c r="F91" t="inlineStr"/>
      <c r="G91" t="inlineStr"/>
      <c r="H91" t="inlineStr">
        <is>
          <t>0.87%</t>
        </is>
      </c>
      <c r="I91" t="inlineStr">
        <is>
          <t>0.00%</t>
        </is>
      </c>
    </row>
    <row r="92">
      <c r="A92" s="2" t="n">
        <v>45980</v>
      </c>
      <c r="B92" t="inlineStr">
        <is>
          <t>RDVI</t>
        </is>
      </c>
      <c r="C92" t="inlineStr">
        <is>
          <t>GICS_INDUSTRY_NAME</t>
        </is>
      </c>
      <c r="D92" t="inlineStr">
        <is>
          <t>Oil, Gas &amp; Consumable Fuels</t>
        </is>
      </c>
      <c r="E92" t="inlineStr">
        <is>
          <t>Energy</t>
        </is>
      </c>
      <c r="F92" t="inlineStr"/>
      <c r="G92" t="inlineStr"/>
      <c r="H92" t="inlineStr">
        <is>
          <t>0.87%</t>
        </is>
      </c>
      <c r="I92" t="inlineStr">
        <is>
          <t>0.00%</t>
        </is>
      </c>
    </row>
    <row r="93">
      <c r="A93" s="2" t="n">
        <v>45980</v>
      </c>
      <c r="B93" t="inlineStr">
        <is>
          <t>RDVI</t>
        </is>
      </c>
      <c r="C93" t="inlineStr">
        <is>
          <t>GICS_INDUSTRY_GROUP_NAME</t>
        </is>
      </c>
      <c r="D93" t="inlineStr">
        <is>
          <t>Food, Beverage &amp; Tobacco</t>
        </is>
      </c>
      <c r="E93" t="inlineStr">
        <is>
          <t>Consumer Staples</t>
        </is>
      </c>
      <c r="F93" t="inlineStr"/>
      <c r="G93" t="inlineStr"/>
      <c r="H93" t="inlineStr">
        <is>
          <t>0.71%</t>
        </is>
      </c>
      <c r="I93" t="inlineStr">
        <is>
          <t>0.00%</t>
        </is>
      </c>
    </row>
    <row r="94">
      <c r="A94" s="2" t="n">
        <v>45980</v>
      </c>
      <c r="B94" t="inlineStr">
        <is>
          <t>RDVI</t>
        </is>
      </c>
      <c r="C94" t="inlineStr">
        <is>
          <t>GICS_INDUSTRY_NAME</t>
        </is>
      </c>
      <c r="D94" t="inlineStr">
        <is>
          <t>Beverages</t>
        </is>
      </c>
      <c r="E94" t="inlineStr">
        <is>
          <t>Consumer Staples</t>
        </is>
      </c>
      <c r="F94" t="inlineStr"/>
      <c r="G94" t="inlineStr"/>
      <c r="H94" t="inlineStr">
        <is>
          <t>0.71%</t>
        </is>
      </c>
      <c r="I94" t="inlineStr">
        <is>
          <t>0.00%</t>
        </is>
      </c>
    </row>
    <row r="95">
      <c r="A95" s="2" t="n">
        <v>45980</v>
      </c>
      <c r="B95" t="inlineStr">
        <is>
          <t>RDVI</t>
        </is>
      </c>
      <c r="C95" t="inlineStr">
        <is>
          <t>GICS_INDUSTRY_GROUP_NAME</t>
        </is>
      </c>
      <c r="D95" t="inlineStr">
        <is>
          <t>Transportation</t>
        </is>
      </c>
      <c r="E95" t="inlineStr">
        <is>
          <t>Industrials</t>
        </is>
      </c>
      <c r="F95" t="inlineStr"/>
      <c r="G95" t="inlineStr"/>
      <c r="H95" t="inlineStr">
        <is>
          <t>0.69%</t>
        </is>
      </c>
      <c r="I95" t="inlineStr">
        <is>
          <t>0.00%</t>
        </is>
      </c>
    </row>
    <row r="96">
      <c r="A96" s="2" t="n">
        <v>45980</v>
      </c>
      <c r="B96" t="inlineStr">
        <is>
          <t>RDVI</t>
        </is>
      </c>
      <c r="C96" t="inlineStr">
        <is>
          <t>GICS_INDUSTRY_NAME</t>
        </is>
      </c>
      <c r="D96" t="inlineStr">
        <is>
          <t>Ground Transportation</t>
        </is>
      </c>
      <c r="E96" t="inlineStr">
        <is>
          <t>Industrials</t>
        </is>
      </c>
      <c r="F96" t="inlineStr"/>
      <c r="G96" t="inlineStr"/>
      <c r="H96" t="inlineStr">
        <is>
          <t>0.69%</t>
        </is>
      </c>
      <c r="I96" t="inlineStr">
        <is>
          <t>0.00%</t>
        </is>
      </c>
    </row>
    <row r="97">
      <c r="A97" s="2" t="n">
        <v>45980</v>
      </c>
      <c r="B97" t="inlineStr">
        <is>
          <t>RDVI</t>
        </is>
      </c>
      <c r="C97" t="inlineStr">
        <is>
          <t>GICS_INDUSTRY_NAME</t>
        </is>
      </c>
      <c r="D97" t="inlineStr">
        <is>
          <t>Communications Equipment</t>
        </is>
      </c>
      <c r="E97" t="inlineStr">
        <is>
          <t>Information Technology</t>
        </is>
      </c>
      <c r="F97" t="inlineStr"/>
      <c r="G97" t="inlineStr"/>
      <c r="H97" t="inlineStr">
        <is>
          <t>0.64%</t>
        </is>
      </c>
      <c r="I97" t="inlineStr">
        <is>
          <t>0.00%</t>
        </is>
      </c>
    </row>
    <row r="98">
      <c r="A98" s="2" t="n">
        <v>45980</v>
      </c>
      <c r="B98" t="inlineStr">
        <is>
          <t>RDVI</t>
        </is>
      </c>
      <c r="C98" t="inlineStr">
        <is>
          <t>GICS_INDUSTRY_GROUP_NAME</t>
        </is>
      </c>
      <c r="D98" t="inlineStr">
        <is>
          <t>Pharmaceuticals, Biotechnology &amp; Life Sciences</t>
        </is>
      </c>
      <c r="E98" t="inlineStr">
        <is>
          <t>Health Care</t>
        </is>
      </c>
      <c r="F98" t="inlineStr"/>
      <c r="G98" t="inlineStr"/>
      <c r="H98" t="inlineStr">
        <is>
          <t>0.59%</t>
        </is>
      </c>
      <c r="I98" t="inlineStr">
        <is>
          <t>0.00%</t>
        </is>
      </c>
    </row>
    <row r="99">
      <c r="A99" s="2" t="n">
        <v>45980</v>
      </c>
      <c r="B99" t="inlineStr">
        <is>
          <t>RDVI</t>
        </is>
      </c>
      <c r="C99" t="inlineStr">
        <is>
          <t>GICS_INDUSTRY_NAME</t>
        </is>
      </c>
      <c r="D99" t="inlineStr">
        <is>
          <t>Pharmaceuticals</t>
        </is>
      </c>
      <c r="E99" t="inlineStr">
        <is>
          <t>Health Care</t>
        </is>
      </c>
      <c r="F99" t="inlineStr"/>
      <c r="G99" t="inlineStr"/>
      <c r="H99" t="inlineStr">
        <is>
          <t>0.59%</t>
        </is>
      </c>
      <c r="I99" t="inlineStr">
        <is>
          <t>0.00%</t>
        </is>
      </c>
    </row>
    <row r="100">
      <c r="A100" s="2" t="n">
        <v>45980</v>
      </c>
      <c r="B100" t="inlineStr">
        <is>
          <t>RDVI</t>
        </is>
      </c>
      <c r="C100" t="inlineStr">
        <is>
          <t>GICS_INDUSTRY_NAME</t>
        </is>
      </c>
      <c r="D100" t="inlineStr">
        <is>
          <t>Media</t>
        </is>
      </c>
      <c r="E100" t="inlineStr">
        <is>
          <t>Communication Services</t>
        </is>
      </c>
      <c r="F100" t="inlineStr"/>
      <c r="G100" t="inlineStr"/>
      <c r="H100" t="inlineStr">
        <is>
          <t>0.55%</t>
        </is>
      </c>
      <c r="I100" t="inlineStr">
        <is>
          <t>0.00%</t>
        </is>
      </c>
    </row>
    <row r="101">
      <c r="A101" s="2" t="n">
        <v>45980</v>
      </c>
      <c r="B101" t="inlineStr">
        <is>
          <t>RDVI</t>
        </is>
      </c>
      <c r="C101" t="inlineStr">
        <is>
          <t>GICS_INDUSTRY_NAME</t>
        </is>
      </c>
      <c r="D101" t="inlineStr">
        <is>
          <t>Commercial Services &amp; Supplies</t>
        </is>
      </c>
      <c r="E101" t="inlineStr">
        <is>
          <t>Industrials</t>
        </is>
      </c>
      <c r="F101" t="inlineStr"/>
      <c r="G101" t="inlineStr"/>
      <c r="H101" t="inlineStr">
        <is>
          <t>0.47%</t>
        </is>
      </c>
      <c r="I101" t="inlineStr">
        <is>
          <t>0.00%</t>
        </is>
      </c>
    </row>
    <row r="102">
      <c r="A102" s="2" t="n">
        <v>45980</v>
      </c>
      <c r="B102" t="inlineStr">
        <is>
          <t>RDVI</t>
        </is>
      </c>
      <c r="C102" t="inlineStr">
        <is>
          <t>GICS_INDUSTRY_GROUP_NAME</t>
        </is>
      </c>
      <c r="D102" t="inlineStr">
        <is>
          <t>Materials</t>
        </is>
      </c>
      <c r="E102" t="inlineStr">
        <is>
          <t>Materials</t>
        </is>
      </c>
      <c r="F102" t="inlineStr"/>
      <c r="G102" t="inlineStr"/>
      <c r="H102" t="inlineStr">
        <is>
          <t>0.42%</t>
        </is>
      </c>
      <c r="I102" t="inlineStr">
        <is>
          <t>0.00%</t>
        </is>
      </c>
    </row>
    <row r="103">
      <c r="A103" s="2" t="n">
        <v>45980</v>
      </c>
      <c r="B103" t="inlineStr">
        <is>
          <t>RDVI</t>
        </is>
      </c>
      <c r="C103" t="inlineStr">
        <is>
          <t>GICS_INDUSTRY_NAME</t>
        </is>
      </c>
      <c r="D103" t="inlineStr">
        <is>
          <t>Chemicals</t>
        </is>
      </c>
      <c r="E103" t="inlineStr">
        <is>
          <t>Materials</t>
        </is>
      </c>
      <c r="F103" t="inlineStr"/>
      <c r="G103" t="inlineStr"/>
      <c r="H103" t="inlineStr">
        <is>
          <t>0.42%</t>
        </is>
      </c>
      <c r="I103" t="inlineStr">
        <is>
          <t>0.00%</t>
        </is>
      </c>
    </row>
    <row r="104">
      <c r="A104" s="2" t="n">
        <v>45980</v>
      </c>
      <c r="B104" t="inlineStr">
        <is>
          <t>RDVI</t>
        </is>
      </c>
      <c r="C104" t="inlineStr">
        <is>
          <t>GICS_INDUSTRY_NAME</t>
        </is>
      </c>
      <c r="D104" t="inlineStr">
        <is>
          <t>Building Products</t>
        </is>
      </c>
      <c r="E104" t="inlineStr">
        <is>
          <t>Industrials</t>
        </is>
      </c>
      <c r="F104" t="inlineStr"/>
      <c r="G104" t="inlineStr"/>
      <c r="H104" t="inlineStr">
        <is>
          <t>0.32%</t>
        </is>
      </c>
      <c r="I104" t="inlineStr">
        <is>
          <t>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50" customWidth="1" min="1" max="1"/>
    <col width="6" customWidth="1" min="2" max="2"/>
    <col width="31" customWidth="1" min="3" max="3"/>
    <col width="27" customWidth="1" min="4" max="4"/>
    <col width="41" customWidth="1" min="5" max="5"/>
    <col width="27" customWidth="1" min="6" max="6"/>
    <col width="20" customWidth="1" min="7" max="7"/>
    <col width="18" customWidth="1" min="8" max="8"/>
    <col width="20" customWidth="1" min="9" max="9"/>
    <col width="19" customWidth="1" min="10" max="10"/>
    <col width="19" customWidth="1" min="11" max="11"/>
    <col width="9" customWidth="1" min="12" max="12"/>
    <col width="28" customWidth="1" min="13" max="13"/>
    <col width="26" customWidth="1" min="14" max="14"/>
    <col width="14" customWidth="1" min="15" max="15"/>
    <col width="27" customWidth="1" min="16" max="16"/>
  </cols>
  <sheetData>
    <row r="1">
      <c r="A1" s="1" t="inlineStr">
        <is>
          <t>Date</t>
        </is>
      </c>
      <c r="B1" s="1" t="inlineStr">
        <is>
          <t>Fund</t>
        </is>
      </c>
      <c r="C1" s="1" t="inlineStr">
        <is>
          <t>Prospectus 80% Compliance</t>
        </is>
      </c>
      <c r="D1" s="1" t="inlineStr">
        <is>
          <t>Total Equity Market Value</t>
        </is>
      </c>
      <c r="E1" s="1" t="inlineStr">
        <is>
          <t>Total Option Delta Notional Value (DAN)</t>
        </is>
      </c>
      <c r="F1" s="1" t="inlineStr">
        <is>
          <t>Total Option Market Value</t>
        </is>
      </c>
      <c r="G1" s="1" t="inlineStr">
        <is>
          <t>Total T-Bill Value</t>
        </is>
      </c>
      <c r="H1" s="1" t="inlineStr">
        <is>
          <t>Total Cash Value</t>
        </is>
      </c>
      <c r="I1" s="1" t="inlineStr">
        <is>
          <t>Max(CCET - DAN, 0)</t>
        </is>
      </c>
      <c r="J1" s="1" t="inlineStr">
        <is>
          <t>Denominator</t>
        </is>
      </c>
      <c r="K1" s="1" t="inlineStr">
        <is>
          <t>Numerator</t>
        </is>
      </c>
      <c r="L1" s="1" t="inlineStr">
        <is>
          <t>Formula</t>
        </is>
      </c>
      <c r="M1" s="1" t="inlineStr">
        <is>
          <t>Denominator (Market Value)</t>
        </is>
      </c>
      <c r="N1" s="1" t="inlineStr">
        <is>
          <t>Numerator (Market Value)</t>
        </is>
      </c>
      <c r="O1" s="1" t="inlineStr">
        <is>
          <t>Formula (MV)</t>
        </is>
      </c>
      <c r="P1" s="1" t="inlineStr">
        <is>
          <t>Options in Scope for 80%?</t>
        </is>
      </c>
    </row>
    <row r="2">
      <c r="A2" s="2" t="n">
        <v>45980</v>
      </c>
      <c r="B2" t="inlineStr">
        <is>
          <t>KNG</t>
        </is>
      </c>
      <c r="C2" s="3">
        <f>IF(K2/J2&gt;=0.8,"PASS","FAIL")</f>
        <v/>
      </c>
      <c r="D2" s="3" t="n">
        <v>3478494822.34</v>
      </c>
      <c r="E2" s="3" t="n">
        <v>303358720.704942</v>
      </c>
      <c r="F2" s="3" t="n">
        <v>-19058460</v>
      </c>
      <c r="G2" s="3" t="n">
        <v>0</v>
      </c>
      <c r="H2" s="3" t="n">
        <v>19431201.51</v>
      </c>
      <c r="I2" s="3" t="n">
        <v>0</v>
      </c>
      <c r="J2" s="3" t="n">
        <v>3801284744.554942</v>
      </c>
      <c r="K2" s="3" t="n">
        <v>3781853543.044942</v>
      </c>
      <c r="L2" s="4">
        <f>K2/J2</f>
        <v/>
      </c>
      <c r="M2" s="3" t="n">
        <v>3478867563.85</v>
      </c>
      <c r="N2" s="3" t="n">
        <v>3459436362.34</v>
      </c>
      <c r="O2" s="4">
        <f>N2/M2</f>
        <v/>
      </c>
      <c r="P2" t="inlineStr">
        <is>
          <t>Yes</t>
        </is>
      </c>
    </row>
    <row r="3">
      <c r="A3" s="2" t="n">
        <v>45980</v>
      </c>
      <c r="B3" t="inlineStr">
        <is>
          <t>RDVI</t>
        </is>
      </c>
      <c r="C3" s="3">
        <f>IF(K3/J3&gt;=0.8,"PASS","FAIL")</f>
        <v/>
      </c>
      <c r="D3" s="3" t="n">
        <v>2447481284.665</v>
      </c>
      <c r="E3" s="3" t="n">
        <v>135033199.85792</v>
      </c>
      <c r="F3" s="3" t="n">
        <v>-3656720</v>
      </c>
      <c r="G3" s="3" t="n">
        <v>0</v>
      </c>
      <c r="H3" s="3" t="n">
        <v>5819303.93</v>
      </c>
      <c r="I3" s="3" t="n">
        <v>0</v>
      </c>
      <c r="J3" s="3" t="n">
        <v>2588333788.45292</v>
      </c>
      <c r="K3" s="3" t="n">
        <v>2447481284.665</v>
      </c>
      <c r="L3" s="4">
        <f>K3/J3</f>
        <v/>
      </c>
      <c r="M3" s="3" t="n">
        <v>2449643868.595</v>
      </c>
      <c r="N3" s="3" t="n">
        <v>2447481284.665</v>
      </c>
      <c r="O3" s="4">
        <f>N3/M3</f>
        <v/>
      </c>
      <c r="P3" t="inlineStr">
        <is>
          <t>No</t>
        </is>
      </c>
    </row>
    <row r="4">
      <c r="A4" t="inlineStr">
        <is>
          <t>* Note: Some funds' 80% policies include the options positions while others only include equity exposure.</t>
        </is>
      </c>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 CCET = Cash, Cash Equivalents, and T-bills (less than 1-year maturity).</t>
        </is>
      </c>
      <c r="B5" t="inlineStr"/>
      <c r="C5" t="inlineStr"/>
      <c r="D5" t="inlineStr"/>
      <c r="E5" t="inlineStr"/>
      <c r="F5" t="inlineStr"/>
      <c r="G5" t="inlineStr"/>
      <c r="H5" t="inlineStr"/>
      <c r="I5" t="inlineStr"/>
      <c r="J5" t="inlineStr"/>
      <c r="K5" t="inlineStr"/>
      <c r="L5" t="inlineStr"/>
      <c r="M5" t="inlineStr"/>
      <c r="N5" t="inlineStr"/>
      <c r="O5" t="inlineStr"/>
      <c r="P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cols>
    <col width="50" customWidth="1" min="1" max="1"/>
    <col width="6" customWidth="1" min="2" max="2"/>
    <col width="19" customWidth="1" min="3" max="3"/>
    <col width="19" customWidth="1" min="4" max="4"/>
    <col width="26" customWidth="1" min="5" max="5"/>
    <col width="32" customWidth="1" min="6" max="6"/>
    <col width="30" customWidth="1" min="7" max="7"/>
    <col width="41" customWidth="1" min="8" max="8"/>
    <col width="48" customWidth="1" min="9" max="9"/>
    <col width="15" customWidth="1" min="10" max="10"/>
    <col width="30" customWidth="1" min="11" max="11"/>
    <col width="15" customWidth="1" min="12" max="12"/>
    <col width="10" customWidth="1" min="13" max="13"/>
    <col width="42" customWidth="1" min="14" max="14"/>
    <col width="50" customWidth="1" min="15" max="15"/>
    <col width="50" customWidth="1" min="16" max="16"/>
    <col width="42" customWidth="1" min="17" max="17"/>
    <col width="43" customWidth="1" min="18" max="18"/>
    <col width="50" customWidth="1" min="19" max="19"/>
    <col width="40" customWidth="1" min="20" max="20"/>
    <col width="20" customWidth="1" min="21" max="21"/>
    <col width="23" customWidth="1" min="22" max="22"/>
    <col width="7" customWidth="1" min="23" max="23"/>
  </cols>
  <sheetData>
    <row r="1">
      <c r="A1" s="1" t="inlineStr">
        <is>
          <t>Date</t>
        </is>
      </c>
      <c r="B1" s="1" t="inlineStr">
        <is>
          <t>Fund</t>
        </is>
      </c>
      <c r="C1" s="1" t="inlineStr">
        <is>
          <t>Fund Registration</t>
        </is>
      </c>
      <c r="D1" s="1" t="inlineStr">
        <is>
          <t>Fund Status Today</t>
        </is>
      </c>
      <c r="E1" s="1" t="inlineStr">
        <is>
          <t>Registration Match</t>
        </is>
      </c>
      <c r="F1" s="1" t="inlineStr">
        <is>
          <t>Condition 40 Act 1</t>
        </is>
      </c>
      <c r="G1" s="1" t="inlineStr">
        <is>
          <t>Condition 40 Act 2a</t>
        </is>
      </c>
      <c r="H1" s="1" t="inlineStr">
        <is>
          <t>Condition 40 Act 2b</t>
        </is>
      </c>
      <c r="I1" s="1" t="inlineStr">
        <is>
          <t>Condition 2a OCC</t>
        </is>
      </c>
      <c r="J1" s="1" t="inlineStr">
        <is>
          <t>Total Assets</t>
        </is>
      </c>
      <c r="K1" s="1" t="inlineStr">
        <is>
          <t>Non-Qualifying Assets Weight</t>
        </is>
      </c>
      <c r="L1" s="1" t="inlineStr">
        <is>
          <t>Net Assets</t>
        </is>
      </c>
      <c r="M1" s="1" t="inlineStr">
        <is>
          <t>Expenses</t>
        </is>
      </c>
      <c r="N1" s="1" t="inlineStr">
        <is>
          <t>Issuer Limited Assets (Condition 2a) Sum</t>
        </is>
      </c>
      <c r="O1" s="1" t="inlineStr">
        <is>
          <t>Issuer Limited Assets (Condition 2a) (Ticker, IIV Shares, Mkt Value)</t>
        </is>
      </c>
      <c r="P1" s="1" t="inlineStr">
        <is>
          <t>Excluded Securities (25% Bucket)</t>
        </is>
      </c>
      <c r="Q1" s="1" t="inlineStr">
        <is>
          <t>Cumulative Weight of Excluded Securities</t>
        </is>
      </c>
      <c r="R1" s="1" t="inlineStr">
        <is>
          <t>Cumulative Weight of Remaining Securities</t>
        </is>
      </c>
      <c r="S1" s="1" t="inlineStr">
        <is>
          <t>Remaining Securities (Ticker, IIV Shares, Vest Weight, Vest Ownership of Float)</t>
        </is>
      </c>
      <c r="T1" s="1" t="inlineStr">
        <is>
          <t>Max Ownership % of Float in 75% bucket</t>
        </is>
      </c>
      <c r="U1" s="1" t="inlineStr">
        <is>
          <t>OCC Market Value</t>
        </is>
      </c>
      <c r="V1" s="1" t="inlineStr">
        <is>
          <t>OCC Weight</t>
        </is>
      </c>
      <c r="W1" s="1" t="inlineStr">
        <is>
          <t>Notes</t>
        </is>
      </c>
    </row>
    <row r="2">
      <c r="A2" s="2" t="n">
        <v>45980</v>
      </c>
      <c r="B2" t="inlineStr">
        <is>
          <t>KNG</t>
        </is>
      </c>
      <c r="C2" t="inlineStr">
        <is>
          <t>diversified</t>
        </is>
      </c>
      <c r="D2" t="inlineStr">
        <is>
          <t>diversified</t>
        </is>
      </c>
      <c r="E2" s="3">
        <f>IF(C2=D2,"PASS","FAIL")</f>
        <v/>
      </c>
      <c r="F2" s="3">
        <f>IF(L2/J2&gt;=0.75,"PASS","FAIL")</f>
        <v/>
      </c>
      <c r="G2" s="3">
        <f>IF(O2="None","PASS","FAIL")</f>
        <v/>
      </c>
      <c r="H2" s="3">
        <f>IF(T2="","",IF(T2&lt;=0.1,"PASS","FAIL"))</f>
        <v/>
      </c>
      <c r="I2" s="3">
        <f>IF(U2=0,"PASS",IF(U2&lt;=0.05*L2,"PASS","FAIL"))</f>
        <v/>
      </c>
      <c r="J2" s="3" t="n">
        <v>3488511819.2</v>
      </c>
      <c r="K2" s="5" t="n">
        <v>0</v>
      </c>
      <c r="L2" s="3" t="n">
        <v>3469753217.49</v>
      </c>
      <c r="M2" s="3" t="n">
        <v>0</v>
      </c>
      <c r="N2" s="3" t="n">
        <v>0</v>
      </c>
      <c r="O2" t="inlineStr">
        <is>
          <t>None</t>
        </is>
      </c>
      <c r="P2" t="inlineStr">
        <is>
          <t>ALB, CAH, CHRW, EXPD, CAT, NUE, DOV, CB, KVUE, JNJ, MDT, CINF, AMCR, ABBV, NEE</t>
        </is>
      </c>
      <c r="Q2" s="5" t="n">
        <v>0.2406648092206594</v>
      </c>
      <c r="R2" s="5" t="n">
        <v>0.7593351907793406</v>
      </c>
      <c r="S2" t="inlineStr">
        <is>
          <t>(None, 106,721, 1.49%, 0.0344261%), (None, 272,158, 1.49%, 0.0949518%), (None, 474,697, 1.49%, 0.0905713%), (None, 446,311, 1.49%, 0.0105832%), (None, 151,367, 1.48%, 0.0560369%), (None, 178,069, 1.46%, 0.0190502%), (None, 488,755, 1.46%, 0.4581282%), (None, 202,236, 1.46%, 0.0908558%), (None, 723,008, 1.46%, 0.0168079%), (None, 153,368, 1.45%, 0.0618685%), (None, 400,126, 1.45%, 0.0230107%), (None, 393,488, 1.44%, 0.0700406%), (None, 502,220, 1.44%, 0.1391439%), (None, 641,073, 1.44%, 0.0795312%), (None, 288,987, 1.44%, 0.1787254%), (None, 165,092, 1.43%, 0.0231821%), (None, 329,093, 1.43%, 0.0163441%), (None, 218,652, 1.42%, 0.3891554%), (None, 1,822,584, 1.42%, 0.6003065%), (None, 746,523, 1.42%, 0.2947889%), (None, 336,380, 1.42%, 0.0143953%), (None, 651,352, 1.41%, 0.1360211%), (None, 193,764, 1.41%, 0.3008570%), (None, 334,553, 1.41%, 0.0244674%), (None, 202,390, 1.40%, 0.0697656%), (None, 52,887, 1.40%, 0.1112255%), (None, 506,898, 1.40%, 0.5875714%), (None, 2,266,332, 1.39%, 0.4350211%), (None, 498,215, 1.39%, 0.2282908%), (None, 264,530, 1.39%, 0.0658253%), (None, 185,497, 1.39%, 0.0654921%), (None, 385,347, 1.38%, 0.2770078%), (None, 849,450, 1.38%, 0.0923410%), (None, 826,951, 1.38%, 0.1720772%), (None, 477,845, 1.38%, 0.0059934%), (None, 210,232, 1.38%, 0.0374745%), (None, 468,234, 1.38%, 0.2861333%), (None, 580,983, 1.37%, 0.2419451%), (None, 750,681, 1.37%, 0.6621391%), (None, 184,822, 1.36%, 0.2568991%), (None, 1,201,798, 1.36%, 0.1046830%), (None, 501,142, 1.36%, 0.2233253%), (None, 2,119,936, 1.35%, 0.3854440%), (None, 176,589, 1.35%, 0.4719115%), (None, 113,793, 1.35%, 0.0243695%), (None, 544,532, 1.34%, 0.1202598%), (None, 739,515, 1.32%, 0.4774607%), (None, 700,168, 1.31%, 0.1866174%), (None, 573,950, 1.30%, 0.1681063%), (None, 180,296, 1.29%, 0.0509141%), (None, 158,625, 1.29%, 0.3434254%), (None, 100,593, 1.28%, 0.0934554%), (None, 425,889, 1.25%, 0.1283346%), (None, 433,205, 1.22%, 0.3551431%)</t>
        </is>
      </c>
      <c r="T2" s="5" t="n">
        <v>0.006621390977145171</v>
      </c>
      <c r="U2" s="3" t="n">
        <v>19058460</v>
      </c>
      <c r="V2" s="5" t="n">
        <v>0.005463206372157445</v>
      </c>
      <c r="W2" t="inlineStr"/>
    </row>
    <row r="3">
      <c r="A3" s="2" t="n">
        <v>45980</v>
      </c>
      <c r="B3" t="inlineStr">
        <is>
          <t>RDVI</t>
        </is>
      </c>
      <c r="C3" t="inlineStr">
        <is>
          <t>non-diversified</t>
        </is>
      </c>
      <c r="D3" t="inlineStr">
        <is>
          <t>diversified</t>
        </is>
      </c>
      <c r="E3" s="3">
        <f>IF(C3=D3,"PASS","FAIL")</f>
        <v/>
      </c>
      <c r="F3" s="3">
        <f>IF(L3/J3&gt;=0.75,"PASS","FAIL")</f>
        <v/>
      </c>
      <c r="G3" s="3">
        <f>IF(O3="None","PASS","FAIL")</f>
        <v/>
      </c>
      <c r="H3" s="3">
        <f>IF(T3="","",IF(T3&lt;=0.1,"PASS","FAIL"))</f>
        <v/>
      </c>
      <c r="I3" s="3">
        <f>IF(U3=0,"PASS",IF(U3&lt;=0.05*L3,"PASS","FAIL"))</f>
        <v/>
      </c>
      <c r="J3" s="3" t="n">
        <v>2452651208.62</v>
      </c>
      <c r="K3" s="5" t="n">
        <v>0</v>
      </c>
      <c r="L3" s="3" t="n">
        <v>2450748867.16</v>
      </c>
      <c r="M3" s="3" t="n">
        <v>0</v>
      </c>
      <c r="N3" s="3" t="n">
        <v>0</v>
      </c>
      <c r="O3" t="inlineStr">
        <is>
          <t>None</t>
        </is>
      </c>
      <c r="P3" t="inlineStr">
        <is>
          <t>GOOGLE, KLAC, AMAT, NVDA, LRCX, MLI, BK, BKR, EBAY, JPM</t>
        </is>
      </c>
      <c r="Q3" s="5" t="n">
        <v>0.2501569135969633</v>
      </c>
      <c r="R3" s="5" t="n">
        <v>0.7498430864030367</v>
      </c>
      <c r="S3" t="inlineStr">
        <is>
          <t>(None, 151,611, 2.13%, 0.0220092%), (None, 320,549, 2.10%, 0.0985618%), (None, 105,040, 2.09%, 0.0014133%), (None, 174,196, 2.03%, 0.0780926%), (None, 370,864, 2.00%, 0.1330930%), (None, 163,063, 1.95%, 0.0414338%), (None, 467,351, 1.95%, 0.3396802%), (None, 237,039, 1.95%, 0.0950420%), (None, 604,774, 1.89%, 0.3614231%), (None, 291,752, 1.88%, 0.1463267%), (None, 404,155, 1.87%, 0.2073473%), (None, 261,413, 1.86%, 0.2171222%), (None, 137,908, 1.86%, 0.2651691%), (None, 50,137, 1.81%, 0.1046549%), (None, 144,911, 1.78%, 0.0137381%), (None, 134,401, 1.78%, 0.0079639%), (None, 448,922, 1.77%, 0.0854757%), (None, 591,517, 1.74%, 0.1225570%), (None, 71,465, 1.72%, 0.0032814%), (None, 8,754, 1.67%, 0.0271578%), (None, 150,252, 1.65%, 0.0010168%), (None, 337,213, 1.57%, 0.1207297%), (None, 524,842, 1.55%, 0.1457202%), (None, 149,348, 1.52%, 0.0421747%), (None, 164,066, 1.52%, 0.0172338%), (None, 222,942, 1.51%, 0.0208162%), (None, 147,869, 1.45%, 0.0237406%), (None, 34,453, 1.43%, 0.0222061%), (None, 182,609, 1.36%, 0.0465651%), (None, 258,612, 1.33%, 0.0148724%), (None, 266,896, 1.25%, 0.1192546%), (None, 86,454, 1.12%, 0.0389014%), (None, 43,635, 1.06%, 0.0160825%), (None, 113,726, 0.97%, 0.0434597%), (None, 43,054, 0.93%, 0.0048307%), (None, 207,394, 0.93%, 0.0395704%), (None, 200,098, 0.92%, 0.1517811%), (None, 159,552, 0.89%, 0.0546298%), (None, 23,985, 0.87%, 0.0054120%), (None, 44,730, 0.82%, 0.0481456%), (None, 89,076, 0.81%, 0.0151904%), (None, 105,932, 0.71%, 0.1404887%), (None, 133,316, 0.69%, 0.0637575%), (None, 102,698, 0.67%, 0.1825125%), (None, 199,739, 0.64%, 0.0050553%), (None, 71,238, 0.59%, 0.0029568%), (None, 208,037, 0.55%, 0.0998442%), (None, 106,395, 0.55%, 0.0562587%), (None, 15,367, 0.53%, 0.0124503%), (None, 244,774, 0.52%, 0.0033519%), (None, 73,995, 0.49%, 0.0474271%), (None, 100,257, 0.48%, 0.0023774%), (None, 290,947, 0.47%, 0.1531791%), (None, 116,957, 0.47%, 0.0471036%), (None, 152,649, 0.47%, 0.0231675%), (None, 62,203, 0.46%, 0.0453529%), (None, 45,242, 0.45%, 0.0309948%), (None, 85,694, 0.45%, 0.1279566%), (None, 59,183, 0.44%, 0.0385078%), (None, 131,907, 0.42%, 0.0845695%), (None, 30,518, 0.39%, 0.0726999%), (None, 88,751, 0.39%, 0.0163567%), (None, 206,235, 0.37%, 0.0719763%), (None, 25,894, 0.32%, 0.0619685%)</t>
        </is>
      </c>
      <c r="T3" s="5" t="n">
        <v>0.003614231168944483</v>
      </c>
      <c r="U3" s="3" t="n">
        <v>3656720</v>
      </c>
      <c r="V3" s="5" t="n">
        <v>0.001490925406412548</v>
      </c>
      <c r="W3" t="inlineStr"/>
    </row>
    <row r="4">
      <c r="A4" t="inlineStr">
        <is>
          <t>* To be classified as a diversified company under the 1940 Act, at least 75% of the value of the fund's total assets must be invested in:</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 1) cash and cash items (including receivables),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 2) government securities,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 3) securities of other investment companies, and</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 4) other securities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 xml:space="preserve">* </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 Compliance Conditions:</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 Condition 40 Act 1: 75% of the fund must be invested in diversified assets.</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 Condition 40 Act 2a: No single issuer in the 75% can exceed 5% of total assets.</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 Condition 40 Act 2b: No single issuer in the 75% can exceed 10% of the issuer's voting securities.</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cols>
    <col width="50" customWidth="1" min="1" max="1"/>
    <col width="6" customWidth="1" min="2" max="2"/>
    <col width="17" customWidth="1" min="3" max="3"/>
    <col width="31" customWidth="1" min="4" max="4"/>
    <col width="28" customWidth="1" min="5" max="5"/>
    <col width="22" customWidth="1" min="6" max="6"/>
    <col width="19" customWidth="1" min="7" max="7"/>
    <col width="15" customWidth="1" min="8" max="8"/>
    <col width="25" customWidth="1" min="9" max="9"/>
    <col width="10" customWidth="1" min="10" max="10"/>
    <col width="23" customWidth="1" min="11" max="11"/>
    <col width="30" customWidth="1" min="12" max="12"/>
    <col width="24" customWidth="1" min="13" max="13"/>
    <col width="18" customWidth="1" min="14" max="14"/>
    <col width="16" customWidth="1" min="15" max="15"/>
    <col width="22" customWidth="1" min="16" max="16"/>
    <col width="27" customWidth="1" min="17" max="17"/>
    <col width="34" customWidth="1" min="18" max="18"/>
  </cols>
  <sheetData>
    <row r="1">
      <c r="A1" s="1" t="inlineStr">
        <is>
          <t>Date</t>
        </is>
      </c>
      <c r="B1" s="1" t="inlineStr">
        <is>
          <t>Fund</t>
        </is>
      </c>
      <c r="C1" s="1" t="inlineStr">
        <is>
          <t>condition_IRS_1</t>
        </is>
      </c>
      <c r="D1" s="1" t="inlineStr">
        <is>
          <t>condition_IRS_2_a_50</t>
        </is>
      </c>
      <c r="E1" s="1" t="inlineStr">
        <is>
          <t>condition_IRS_2_a_5</t>
        </is>
      </c>
      <c r="F1" s="1" t="inlineStr">
        <is>
          <t>condition_IRS_2_a_10</t>
        </is>
      </c>
      <c r="G1" s="1" t="inlineStr">
        <is>
          <t>condition_IRS_2_b</t>
        </is>
      </c>
      <c r="H1" s="1" t="inlineStr">
        <is>
          <t>total_assets</t>
        </is>
      </c>
      <c r="I1" s="1" t="inlineStr">
        <is>
          <t>qualifying_assets_value</t>
        </is>
      </c>
      <c r="J1" s="1" t="inlineStr">
        <is>
          <t>expenses</t>
        </is>
      </c>
      <c r="K1" s="1" t="inlineStr">
        <is>
          <t>five_pct_gross_assets</t>
        </is>
      </c>
      <c r="L1" s="1" t="inlineStr">
        <is>
          <t>sum_large_securities_weights</t>
        </is>
      </c>
      <c r="M1" s="1" t="inlineStr">
        <is>
          <t>large_securities_count</t>
        </is>
      </c>
      <c r="N1" s="1" t="inlineStr">
        <is>
          <t>large_securities</t>
        </is>
      </c>
      <c r="O1" s="1" t="inlineStr">
        <is>
          <t>overlap_weight</t>
        </is>
      </c>
      <c r="P1" s="1" t="inlineStr">
        <is>
          <t>overlap_constituents</t>
        </is>
      </c>
      <c r="Q1" s="1" t="inlineStr">
        <is>
          <t>bottom_50_largest_holding</t>
        </is>
      </c>
      <c r="R1" s="1" t="inlineStr">
        <is>
          <t>bottom_50_second_largest_holding</t>
        </is>
      </c>
    </row>
    <row r="2">
      <c r="A2" s="2" t="n">
        <v>45980</v>
      </c>
      <c r="B2" t="inlineStr">
        <is>
          <t>KNG</t>
        </is>
      </c>
      <c r="C2" t="inlineStr">
        <is>
          <t>PASS</t>
        </is>
      </c>
      <c r="D2" s="3">
        <f>IF(I2/H2&gt;=0.5,"PASS","FAIL")</f>
        <v/>
      </c>
      <c r="E2" s="3">
        <f>IF(L2&lt;=0.5,"PASS","FAIL")</f>
        <v/>
      </c>
      <c r="F2" t="inlineStr">
        <is>
          <t>PASS</t>
        </is>
      </c>
      <c r="G2" t="inlineStr">
        <is>
          <t>PASS</t>
        </is>
      </c>
      <c r="H2" s="3" t="n">
        <v>3488511819.2</v>
      </c>
      <c r="I2" s="3" t="n">
        <v>3459436362.34</v>
      </c>
      <c r="J2" s="3" t="n">
        <v>0</v>
      </c>
      <c r="K2" s="5" t="n">
        <v>174425590.96</v>
      </c>
      <c r="L2" s="5" t="n">
        <v>0</v>
      </c>
      <c r="M2" s="3" t="n">
        <v>0</v>
      </c>
      <c r="N2" t="inlineStr">
        <is>
          <t>None</t>
        </is>
      </c>
      <c r="O2" s="5" t="n">
        <v>0</v>
      </c>
      <c r="P2" t="inlineStr">
        <is>
          <t>None</t>
        </is>
      </c>
      <c r="Q2" t="inlineStr">
        <is>
          <t>NDSN (1.43%)</t>
        </is>
      </c>
      <c r="R2" t="inlineStr">
        <is>
          <t>BF/B (1.43%)</t>
        </is>
      </c>
    </row>
    <row r="3">
      <c r="A3" s="2" t="n">
        <v>45980</v>
      </c>
      <c r="B3" t="inlineStr">
        <is>
          <t>RDVI</t>
        </is>
      </c>
      <c r="C3" t="inlineStr">
        <is>
          <t>PASS</t>
        </is>
      </c>
      <c r="D3" s="3">
        <f>IF(I3/H3&gt;=0.5,"PASS","FAIL")</f>
        <v/>
      </c>
      <c r="E3" s="3">
        <f>IF(L3&lt;=0.5,"PASS","FAIL")</f>
        <v/>
      </c>
      <c r="F3" t="inlineStr">
        <is>
          <t>PASS</t>
        </is>
      </c>
      <c r="G3" t="inlineStr">
        <is>
          <t>PASS</t>
        </is>
      </c>
      <c r="H3" s="3" t="n">
        <v>2452651208.62</v>
      </c>
      <c r="I3" s="3" t="n">
        <v>2443824564.665</v>
      </c>
      <c r="J3" s="3" t="n">
        <v>0</v>
      </c>
      <c r="K3" s="5" t="n">
        <v>122632560.431</v>
      </c>
      <c r="L3" s="5" t="n">
        <v>0</v>
      </c>
      <c r="M3" s="3" t="n">
        <v>0</v>
      </c>
      <c r="N3" t="inlineStr">
        <is>
          <t>None</t>
        </is>
      </c>
      <c r="O3" s="5" t="n">
        <v>0</v>
      </c>
      <c r="P3" t="inlineStr">
        <is>
          <t>None</t>
        </is>
      </c>
      <c r="Q3" t="inlineStr">
        <is>
          <t>SNA (1.86%)</t>
        </is>
      </c>
      <c r="R3" t="inlineStr">
        <is>
          <t>MPWR (1.81%)</t>
        </is>
      </c>
    </row>
    <row r="4">
      <c r="A4" t="inlineStr">
        <is>
          <t>* IRS Condition 1: 90% of income must come from qualifying sources.</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 IRS Condition 2a: At least 50% of assets must be allocated to qualifying securities.</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 IRS Condition 2a5: for 50% of portfolio, no issuer is more than 5% of fund assets.</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 IRS Condition 2a10: for 50% of portfolio, fund doesn't hold more than 10% of any issuer's outstanding float.</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 IRS Condition 2b: No single issuer may constitute more than 25% of assets.</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50" customWidth="1" min="1" max="1"/>
    <col width="6" customWidth="1" min="2" max="2"/>
    <col width="15" customWidth="1" min="3" max="3"/>
    <col width="22" customWidth="1" min="4" max="4"/>
    <col width="21" customWidth="1" min="5" max="5"/>
    <col width="28" customWidth="1" min="6" max="6"/>
    <col width="29" customWidth="1" min="7" max="7"/>
    <col width="32" customWidth="1" min="8" max="8"/>
  </cols>
  <sheetData>
    <row r="1">
      <c r="A1" s="1" t="inlineStr">
        <is>
          <t>Date</t>
        </is>
      </c>
      <c r="B1" s="1" t="inlineStr">
        <is>
          <t>Fund</t>
        </is>
      </c>
      <c r="C1" s="1" t="inlineStr">
        <is>
          <t>Total Assets</t>
        </is>
      </c>
      <c r="D1" s="1" t="inlineStr">
        <is>
          <t>Total Illiquid Value</t>
        </is>
      </c>
      <c r="E1" s="1" t="inlineStr">
        <is>
          <t>Illiquid Percentage</t>
        </is>
      </c>
      <c r="F1" s="1" t="inlineStr">
        <is>
          <t>Equity Holdings Percentage</t>
        </is>
      </c>
      <c r="G1" s="1" t="inlineStr">
        <is>
          <t>Max 15% Illiquid Compliance</t>
        </is>
      </c>
      <c r="H1" s="1" t="inlineStr">
        <is>
          <t>Equity Holdings 85% Compliance</t>
        </is>
      </c>
    </row>
    <row r="2">
      <c r="A2" s="2" t="n">
        <v>45980</v>
      </c>
      <c r="B2" t="inlineStr">
        <is>
          <t>KNG</t>
        </is>
      </c>
      <c r="C2" s="3" t="n">
        <v>3488511819.2</v>
      </c>
      <c r="D2" s="3" t="n">
        <v>0</v>
      </c>
      <c r="E2" s="5" t="n">
        <v>0</v>
      </c>
      <c r="F2" s="5" t="n">
        <v>0.9971285759145579</v>
      </c>
      <c r="G2" s="3">
        <f>IF(E2&lt;=0.15,"PASS","FAIL")</f>
        <v/>
      </c>
      <c r="H2" s="3">
        <f>IF(F2&gt;=0.85,"PASS","FAIL")</f>
        <v/>
      </c>
    </row>
    <row r="3">
      <c r="A3" s="2" t="n">
        <v>45980</v>
      </c>
      <c r="B3" t="inlineStr">
        <is>
          <t>RDVI</t>
        </is>
      </c>
      <c r="C3" s="3" t="n">
        <v>2452651208.62</v>
      </c>
      <c r="D3" s="3" t="n">
        <v>0</v>
      </c>
      <c r="E3" s="5" t="n">
        <v>0</v>
      </c>
      <c r="F3" s="5" t="n">
        <v>0.9978921079618537</v>
      </c>
      <c r="G3" s="3">
        <f>IF(E3&lt;=0.15,"PASS","FAIL")</f>
        <v/>
      </c>
      <c r="H3" s="3">
        <f>IF(F3&gt;=0.85,"PASS","FAIL")</f>
        <v/>
      </c>
    </row>
    <row r="4">
      <c r="A4" t="inlineStr">
        <is>
          <t>* We search for tags in Bloomberg for any illiquid or restricted securities.</t>
        </is>
      </c>
      <c r="B4" t="inlineStr"/>
      <c r="C4" t="inlineStr"/>
      <c r="D4" t="inlineStr"/>
      <c r="E4" t="inlineStr"/>
      <c r="F4" t="inlineStr"/>
      <c r="G4" t="inlineStr"/>
      <c r="H4" t="inlineStr"/>
    </row>
    <row r="5">
      <c r="A5" t="inlineStr">
        <is>
          <t>* If none, it reports 'None'.</t>
        </is>
      </c>
      <c r="B5" t="inlineStr"/>
      <c r="C5" t="inlineStr"/>
      <c r="D5" t="inlineStr"/>
      <c r="E5" t="inlineStr"/>
      <c r="F5" t="inlineStr"/>
      <c r="G5" t="inlineStr"/>
      <c r="H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0" customWidth="1" min="1" max="1"/>
    <col width="6" customWidth="1" min="2" max="2"/>
    <col width="22" customWidth="1" min="3" max="3"/>
    <col width="20" customWidth="1" min="4" max="4"/>
  </cols>
  <sheetData>
    <row r="1">
      <c r="A1" s="1" t="inlineStr">
        <is>
          <t>Date</t>
        </is>
      </c>
      <c r="B1" s="1" t="inlineStr">
        <is>
          <t>Fund</t>
        </is>
      </c>
      <c r="C1" s="1" t="inlineStr">
        <is>
          <t>Real Estate Exposure</t>
        </is>
      </c>
      <c r="D1" s="1" t="inlineStr">
        <is>
          <t>Total Exposure</t>
        </is>
      </c>
    </row>
    <row r="2">
      <c r="A2" s="2" t="n">
        <v>45980</v>
      </c>
      <c r="B2" t="inlineStr">
        <is>
          <t>KNG</t>
        </is>
      </c>
      <c r="C2" s="3" t="n">
        <v>0</v>
      </c>
      <c r="D2" s="3" t="n">
        <v>3478494822.34</v>
      </c>
    </row>
    <row r="3">
      <c r="A3" s="2" t="n">
        <v>45980</v>
      </c>
      <c r="B3" t="inlineStr">
        <is>
          <t>RDVI</t>
        </is>
      </c>
      <c r="C3" s="3" t="n">
        <v>0</v>
      </c>
      <c r="D3" s="3" t="n">
        <v>2447481284.665</v>
      </c>
    </row>
    <row r="4">
      <c r="A4" t="inlineStr">
        <is>
          <t>* We search for tags in Bloomberg for any fund holdings categorized as real estate.</t>
        </is>
      </c>
      <c r="B4" t="inlineStr"/>
      <c r="C4" t="inlineStr"/>
      <c r="D4" t="inlineStr"/>
    </row>
    <row r="5">
      <c r="A5" t="inlineStr">
        <is>
          <t>* If none, it reports 'None'.</t>
        </is>
      </c>
      <c r="B5" t="inlineStr"/>
      <c r="C5" t="inlineStr"/>
      <c r="D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50" customWidth="1" min="1" max="1"/>
    <col width="6" customWidth="1" min="2" max="2"/>
    <col width="22" customWidth="1" min="3" max="3"/>
  </cols>
  <sheetData>
    <row r="1">
      <c r="A1" s="1" t="inlineStr">
        <is>
          <t>Date</t>
        </is>
      </c>
      <c r="B1" s="1" t="inlineStr">
        <is>
          <t>Fund</t>
        </is>
      </c>
      <c r="C1" s="1" t="inlineStr">
        <is>
          <t>Commodities Exposure</t>
        </is>
      </c>
    </row>
    <row r="2">
      <c r="A2" s="2" t="n">
        <v>45980</v>
      </c>
      <c r="B2" t="inlineStr">
        <is>
          <t>KNG</t>
        </is>
      </c>
      <c r="C2" s="3" t="n">
        <v>0</v>
      </c>
    </row>
    <row r="3">
      <c r="A3" s="2" t="n">
        <v>45980</v>
      </c>
      <c r="B3" t="inlineStr">
        <is>
          <t>RDVI</t>
        </is>
      </c>
      <c r="C3" s="3" t="n">
        <v>0</v>
      </c>
    </row>
    <row r="4">
      <c r="A4" t="inlineStr">
        <is>
          <t>* We search for tags in Bloomberg for any fund holdings categorized as commodities.</t>
        </is>
      </c>
      <c r="B4" t="inlineStr"/>
      <c r="C4" t="inlineStr"/>
    </row>
    <row r="5">
      <c r="A5" t="inlineStr">
        <is>
          <t>* If none, it reports 'None'.</t>
        </is>
      </c>
      <c r="B5" t="inlineStr"/>
      <c r="C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50" customWidth="1" min="1" max="1"/>
    <col width="6" customWidth="1" min="2" max="2"/>
    <col width="15" customWidth="1" min="3" max="3"/>
    <col width="22" customWidth="1" min="4" max="4"/>
    <col width="17" customWidth="1" min="5" max="5"/>
    <col width="25" customWidth="1" min="6" max="6"/>
    <col width="29" customWidth="1" min="7" max="7"/>
    <col width="32" customWidth="1" min="8" max="8"/>
    <col width="32" customWidth="1" min="9" max="9"/>
    <col width="50" customWidth="1" min="10" max="10"/>
  </cols>
  <sheetData>
    <row r="1">
      <c r="A1" s="1" t="inlineStr">
        <is>
          <t>Date</t>
        </is>
      </c>
      <c r="B1" s="1" t="inlineStr">
        <is>
          <t>Fund</t>
        </is>
      </c>
      <c r="C1" s="1" t="inlineStr">
        <is>
          <t>Total Assets</t>
        </is>
      </c>
      <c r="D1" s="1" t="inlineStr">
        <is>
          <t>Investment Companies</t>
        </is>
      </c>
      <c r="E1" s="1" t="inlineStr">
        <is>
          <t>Ownership % Max</t>
        </is>
      </c>
      <c r="F1" s="1" t="inlineStr">
        <is>
          <t>Equity Market Value Sum</t>
        </is>
      </c>
      <c r="G1" s="1" t="inlineStr">
        <is>
          <t>Test 1 (&lt;=3% Ownership)</t>
        </is>
      </c>
      <c r="H1" s="1" t="inlineStr">
        <is>
          <t>Test 2 (&lt;=5% Total Assets)</t>
        </is>
      </c>
      <c r="I1" s="1" t="inlineStr">
        <is>
          <t>Test 3 (&lt;=10% Total Assets)</t>
        </is>
      </c>
      <c r="J1" s="1" t="inlineStr">
        <is>
          <t>12d1(a) Compliant</t>
        </is>
      </c>
    </row>
    <row r="2">
      <c r="A2" s="2" t="n">
        <v>45980</v>
      </c>
      <c r="B2" t="inlineStr">
        <is>
          <t>KNG</t>
        </is>
      </c>
      <c r="C2" s="3" t="n">
        <v>3488511819.2</v>
      </c>
      <c r="D2" t="inlineStr">
        <is>
          <t>None</t>
        </is>
      </c>
      <c r="E2" s="5" t="n">
        <v>0</v>
      </c>
      <c r="F2" s="3" t="n">
        <v>0</v>
      </c>
      <c r="G2" s="5">
        <f>IF(E2&lt;=0.03,"PASS","FAIL")</f>
        <v/>
      </c>
      <c r="H2" s="3">
        <f>IF(F2/C2&lt;=0.05,"PASS","FAIL")</f>
        <v/>
      </c>
      <c r="I2" s="3">
        <f>IF(F2/C2&lt;=0.10,"PASS","FAIL")</f>
        <v/>
      </c>
      <c r="J2" s="3">
        <f>IF(AND(G2="PASS",H2="PASS",I2="PASS"),"PASS","FAIL")</f>
        <v/>
      </c>
    </row>
    <row r="3">
      <c r="A3" s="2" t="n">
        <v>45980</v>
      </c>
      <c r="B3" t="inlineStr">
        <is>
          <t>RDVI</t>
        </is>
      </c>
      <c r="C3" s="3" t="n">
        <v>2452651208.62</v>
      </c>
      <c r="D3" t="inlineStr">
        <is>
          <t>None</t>
        </is>
      </c>
      <c r="E3" s="5" t="n">
        <v>0</v>
      </c>
      <c r="F3" s="3" t="n">
        <v>0</v>
      </c>
      <c r="G3" s="5">
        <f>IF(E3&lt;=0.03,"PASS","FAIL")</f>
        <v/>
      </c>
      <c r="H3" s="3">
        <f>IF(F3/C3&lt;=0.05,"PASS","FAIL")</f>
        <v/>
      </c>
      <c r="I3" s="3">
        <f>IF(F3/C3&lt;=0.10,"PASS","FAIL")</f>
        <v/>
      </c>
      <c r="J3" s="3">
        <f>IF(AND(G3="PASS",H3="PASS",I3="PASS"),"PASS","FAIL")</f>
        <v/>
      </c>
    </row>
    <row r="4">
      <c r="A4" t="inlineStr">
        <is>
          <t>* The Fund will not purchase or otherwise acquire: (i) more than 3% of the total outstanding voting stock of the acquired company; (ii) securities issued by the acquired company having an aggregate value in excess of 5% of the value of the total assets of the acquiring company; or (iii) securities issued by the acquired company and all other investment companies (other than treasury stock of the acquiring company) having an aggregate value in excess of 10% of the value of the total assets of the acquiring company.</t>
        </is>
      </c>
      <c r="B4" t="inlineStr"/>
      <c r="C4" t="inlineStr"/>
      <c r="D4" t="inlineStr"/>
      <c r="E4" t="inlineStr"/>
      <c r="F4" t="inlineStr"/>
      <c r="G4" t="inlineStr"/>
      <c r="H4" t="inlineStr"/>
      <c r="I4" t="inlineStr"/>
      <c r="J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50" customWidth="1" min="1" max="1"/>
    <col width="6" customWidth="1" min="2" max="2"/>
    <col width="11" customWidth="1" min="3" max="3"/>
    <col width="15" customWidth="1" min="4" max="4"/>
    <col width="50" customWidth="1" min="5" max="5"/>
  </cols>
  <sheetData>
    <row r="1">
      <c r="A1" s="1" t="inlineStr">
        <is>
          <t>Date</t>
        </is>
      </c>
      <c r="B1" s="1" t="inlineStr">
        <is>
          <t>Fund</t>
        </is>
      </c>
      <c r="C1" s="1" t="inlineStr">
        <is>
          <t>Compliant</t>
        </is>
      </c>
      <c r="D1" s="1" t="inlineStr">
        <is>
          <t>Total Assets</t>
        </is>
      </c>
      <c r="E1" s="1" t="inlineStr">
        <is>
          <t>Insurance Holdings</t>
        </is>
      </c>
    </row>
    <row r="2">
      <c r="A2" s="2" t="n">
        <v>45980</v>
      </c>
      <c r="B2" t="inlineStr">
        <is>
          <t>KNG</t>
        </is>
      </c>
      <c r="C2" t="inlineStr">
        <is>
          <t>PASS</t>
        </is>
      </c>
      <c r="D2" s="3" t="n">
        <v>3488511819.2</v>
      </c>
      <c r="E2" t="inlineStr">
        <is>
          <t>AFL (0.09057%), BRO (0.16811%), CB (0.04704%), CINF (0.21107%), ERIE (0.34343%)</t>
        </is>
      </c>
    </row>
    <row r="3">
      <c r="A3" s="2" t="n">
        <v>45980</v>
      </c>
      <c r="B3" t="inlineStr">
        <is>
          <t>RDVI</t>
        </is>
      </c>
      <c r="C3" t="inlineStr">
        <is>
          <t>PASS</t>
        </is>
      </c>
      <c r="D3" s="3" t="n">
        <v>2452651208.62</v>
      </c>
      <c r="E3" t="inlineStr">
        <is>
          <t>AFL (0.03957%), ALL (0.04346%), CB (0.04143%), CINF (0.04743%), EG (0.07270%), HIG (0.13309%), LNC (0.15318%), MET (0.02317%), PGR (0.01519%), TRV (0.07809%), UNM (0.36142%)</t>
        </is>
      </c>
    </row>
    <row r="4">
      <c r="A4" t="inlineStr">
        <is>
          <t>* The Fund may not own more than 10% of the total outstanding voting stock of an insurance company.</t>
        </is>
      </c>
      <c r="B4" t="inlineStr"/>
      <c r="C4" t="inlineStr"/>
      <c r="D4" t="inlineStr"/>
      <c r="E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cols>
    <col width="50" customWidth="1" min="1" max="1"/>
    <col width="6" customWidth="1" min="2" max="2"/>
    <col width="29" customWidth="1" min="3" max="3"/>
    <col width="21" customWidth="1" min="4" max="4"/>
    <col width="29" customWidth="1" min="5" max="5"/>
    <col width="50" customWidth="1" min="6" max="6"/>
    <col width="50" customWidth="1" min="7" max="7"/>
    <col width="50" customWidth="1" min="8" max="8"/>
    <col width="15" customWidth="1" min="9" max="9"/>
    <col width="23" customWidth="1" min="10" max="10"/>
    <col width="22" customWidth="1" min="11" max="11"/>
  </cols>
  <sheetData>
    <row r="1">
      <c r="A1" s="1" t="inlineStr">
        <is>
          <t>Date</t>
        </is>
      </c>
      <c r="B1" s="1" t="inlineStr">
        <is>
          <t>Fund</t>
        </is>
      </c>
      <c r="C1" s="1" t="inlineStr">
        <is>
          <t>Rule 1 (&lt;=5% equities)</t>
        </is>
      </c>
      <c r="D1" s="1" t="inlineStr">
        <is>
          <t>Rule 2 (&lt;=10% debt)</t>
        </is>
      </c>
      <c r="E1" s="1" t="inlineStr">
        <is>
          <t>Rule 3 (&lt;=5% total assets)</t>
        </is>
      </c>
      <c r="F1" s="1" t="inlineStr">
        <is>
          <t>12d3 Sec Biz Compliant</t>
        </is>
      </c>
      <c r="G1" s="1" t="inlineStr">
        <is>
          <t>SEC-Related Businesses (Shs Out %)</t>
        </is>
      </c>
      <c r="H1" s="1" t="inlineStr">
        <is>
          <t>Combined Holdings (Portfolio %)</t>
        </is>
      </c>
      <c r="I1" s="1" t="inlineStr">
        <is>
          <t>Total Assets</t>
        </is>
      </c>
      <c r="J1" s="1" t="inlineStr">
        <is>
          <t>Max Ownership %</t>
        </is>
      </c>
      <c r="K1" s="1" t="inlineStr">
        <is>
          <t>Max Weight</t>
        </is>
      </c>
    </row>
    <row r="2">
      <c r="A2" s="2" t="n">
        <v>45980</v>
      </c>
      <c r="B2" t="inlineStr">
        <is>
          <t>KNG</t>
        </is>
      </c>
      <c r="C2" s="3">
        <f>IF(K2&lt;=0.05,"PASS","FAIL")</f>
        <v/>
      </c>
      <c r="D2" t="inlineStr">
        <is>
          <t>PASS</t>
        </is>
      </c>
      <c r="E2" s="3">
        <f>IF(L2&lt;=0.05,"PASS","FAIL")</f>
        <v/>
      </c>
      <c r="F2" s="3">
        <f>IF(AND(C2="PASS",D2="PASS",E2="PASS",F2="PASS"),"PASS","FAIL")</f>
        <v/>
      </c>
      <c r="G2" t="inlineStr">
        <is>
          <t>None (0.43502%), None (0.47191%), None (0.03443%), None (0.22829%)</t>
        </is>
      </c>
      <c r="H2" t="inlineStr">
        <is>
          <t>None (1.39%), None (1.35%), None (1.49%), None (1.39%)</t>
        </is>
      </c>
      <c r="I2" s="3" t="n">
        <v>3488511819.2</v>
      </c>
      <c r="J2" s="5" t="n">
        <v>0.004719114995908599</v>
      </c>
      <c r="K2" s="5" t="n">
        <v>0.01490325086871072</v>
      </c>
    </row>
    <row r="3">
      <c r="A3" s="2" t="n">
        <v>45980</v>
      </c>
      <c r="B3" t="inlineStr">
        <is>
          <t>RDVI</t>
        </is>
      </c>
      <c r="C3" s="3">
        <f>IF(K3&lt;=0.05,"PASS","FAIL")</f>
        <v/>
      </c>
      <c r="D3" t="inlineStr">
        <is>
          <t>PASS</t>
        </is>
      </c>
      <c r="E3" s="3">
        <f>IF(L3&lt;=0.05,"PASS","FAIL")</f>
        <v/>
      </c>
      <c r="F3" s="3">
        <f>IF(AND(C3="PASS",D3="PASS",E3="PASS",F3="PASS"),"PASS","FAIL")</f>
        <v/>
      </c>
      <c r="G3" t="inlineStr">
        <is>
          <t>None (0.04815%), None (0.00335%), None (0.07377%), None (0.02221%), None (0.33968%), None (0.00637%), None (0.03851%), None (0.05626%), None (0.04657%), None (0.14633%), None (0.12073%), None (0.12796%)</t>
        </is>
      </c>
      <c r="H3" t="inlineStr">
        <is>
          <t>None (0.82%), None (0.52%), None (2.25%), None (1.43%), None (1.95%), None (2.14%), None (0.44%), None (0.55%), None (1.36%), None (1.88%), None (1.57%), None (0.45%)</t>
        </is>
      </c>
      <c r="I3" s="3" t="n">
        <v>2452651208.62</v>
      </c>
      <c r="J3" s="5" t="n">
        <v>0.003396801700177926</v>
      </c>
      <c r="K3" s="5" t="n">
        <v>0.02254875006508458</v>
      </c>
    </row>
    <row r="4">
      <c r="A4" t="inlineStr">
        <is>
          <t>* Notwithstanding section 12(d)(3) of the Act, an acquiring company may acquire any security issued by a person that, in its most recent fiscal year, derived more than 15 percent of its gross revenues from securities related activities, provided that: (1) Immediately after the acquisition of any equity security, the acquiring company owns not more than 5% of the outstanding securities of that class of the issuer's equity securities; (2) Immediately after the acquisition of any debt security, the acquiring company owns not more than 10% of the outstanding principal amount of the issuer's debt securities; and (3) Immediately after any such acquisition, the acquiring company has invested not more than 5% of the value of its total assets in the securities of the issuer.</t>
        </is>
      </c>
      <c r="B4" t="inlineStr"/>
      <c r="C4" t="inlineStr"/>
      <c r="D4" t="inlineStr"/>
      <c r="E4" t="inlineStr"/>
      <c r="F4" t="inlineStr"/>
      <c r="G4" t="inlineStr"/>
      <c r="H4" t="inlineStr"/>
      <c r="I4" t="inlineStr"/>
      <c r="J4" t="inlineStr"/>
      <c r="K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2025-11-21T04:14:20Z</dcterms:created>
  <dcterms:modified xmlns:dcterms="http://purl.org/dc/terms/" xmlns:xsi="http://www.w3.org/2001/XMLSchema-instance" xsi:type="dcterms:W3CDTF">2025-11-21T04:14:20Z</dcterms:modified>
</cp:coreProperties>
</file>