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Act_Diversification" sheetId="1" state="visible" r:id="rId1"/>
    <sheet xmlns:r="http://schemas.openxmlformats.org/officeDocument/2006/relationships" name="IRS_Diver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9" customWidth="1" min="3" max="3"/>
    <col width="34" customWidth="1" min="4" max="4"/>
    <col width="26" customWidth="1" min="5" max="5"/>
    <col width="43" customWidth="1" min="6" max="6"/>
    <col width="50" customWidth="1" min="7" max="7"/>
    <col width="14" customWidth="1" min="8" max="8"/>
    <col width="30" customWidth="1" min="9" max="9"/>
    <col width="14" customWidth="1" min="10" max="10"/>
    <col width="10" customWidth="1" min="11" max="11"/>
    <col width="42" customWidth="1" min="12" max="12"/>
    <col width="50" customWidth="1" min="13" max="13"/>
    <col width="50" customWidth="1" min="14" max="14"/>
    <col width="42" customWidth="1" min="15" max="15"/>
    <col width="43" customWidth="1" min="16" max="16"/>
    <col width="50" customWidth="1" min="17" max="17"/>
    <col width="40" customWidth="1" min="18" max="18"/>
    <col width="20" customWidth="1" min="19" max="19"/>
    <col width="23" customWidth="1" min="20" max="20"/>
    <col width="7" customWidth="1" min="21" max="21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Fund Registration</t>
        </is>
      </c>
      <c r="D1" s="1" t="inlineStr">
        <is>
          <t>Condition 40 Act 1</t>
        </is>
      </c>
      <c r="E1" s="1" t="inlineStr">
        <is>
          <t>Condition 40 Act 2a</t>
        </is>
      </c>
      <c r="F1" s="1" t="inlineStr">
        <is>
          <t>Condition 40 Act 2b</t>
        </is>
      </c>
      <c r="G1" s="1" t="inlineStr">
        <is>
          <t>Condition 2a OCC</t>
        </is>
      </c>
      <c r="H1" s="1" t="inlineStr">
        <is>
          <t>Total Assets</t>
        </is>
      </c>
      <c r="I1" s="1" t="inlineStr">
        <is>
          <t>Non-Qualifying Assets Weight</t>
        </is>
      </c>
      <c r="J1" s="1" t="inlineStr">
        <is>
          <t>Net Assets</t>
        </is>
      </c>
      <c r="K1" s="1" t="inlineStr">
        <is>
          <t>Expenses</t>
        </is>
      </c>
      <c r="L1" s="1" t="inlineStr">
        <is>
          <t>Issuer Limited Assets (Condition 2a) Sum</t>
        </is>
      </c>
      <c r="M1" s="1" t="inlineStr">
        <is>
          <t>Issuer Limited Assets (Condition 2a) (Ticker, Shares, Mkt Value)</t>
        </is>
      </c>
      <c r="N1" s="1" t="inlineStr">
        <is>
          <t>Excluded Securities (25% Bucket)</t>
        </is>
      </c>
      <c r="O1" s="1" t="inlineStr">
        <is>
          <t>Cumulative Weight of Excluded Securities</t>
        </is>
      </c>
      <c r="P1" s="1" t="inlineStr">
        <is>
          <t>Cumulative Weight of Remaining Securities</t>
        </is>
      </c>
      <c r="Q1" s="1" t="inlineStr">
        <is>
          <t>Remaining Securities (Ticker, Shares Held, Vest Weight, Vest Ownership of Float)</t>
        </is>
      </c>
      <c r="R1" s="1" t="inlineStr">
        <is>
          <t>Max Ownership % of Float in 75% bucket</t>
        </is>
      </c>
      <c r="S1" s="1" t="inlineStr">
        <is>
          <t>OCC Market Value</t>
        </is>
      </c>
      <c r="T1" s="1" t="inlineStr">
        <is>
          <t>OCC Weight</t>
        </is>
      </c>
      <c r="U1" s="1" t="inlineStr">
        <is>
          <t>Notes</t>
        </is>
      </c>
    </row>
    <row r="2">
      <c r="A2" s="2" t="n">
        <v>45867</v>
      </c>
      <c r="B2" t="inlineStr">
        <is>
          <t>P21026</t>
        </is>
      </c>
      <c r="C2" t="inlineStr">
        <is>
          <t>diversified</t>
        </is>
      </c>
      <c r="D2" s="3">
        <f>IF(J2/H2&gt;=0.75,"PASS","FAIL")</f>
        <v/>
      </c>
      <c r="E2" s="3">
        <f>IF(L2=0,"PASS","FAIL")</f>
        <v/>
      </c>
      <c r="F2" s="3">
        <f>IF(R2="","",IF(R2&lt;=0.1,"PASS","FAIL"))</f>
        <v/>
      </c>
      <c r="G2" s="3">
        <f>IF(S2=0,"PASS",IF(S2&lt;=0.05*J2,"PASS","FAIL"))</f>
        <v/>
      </c>
      <c r="H2" s="3" t="n">
        <v>23947329.82</v>
      </c>
      <c r="I2" s="4" t="n">
        <v>0</v>
      </c>
      <c r="J2" s="3" t="n">
        <v>21626785.8</v>
      </c>
      <c r="K2" s="3" t="n">
        <v>1574.17</v>
      </c>
      <c r="L2" s="3" t="n">
        <v>0</v>
      </c>
      <c r="M2" t="inlineStr">
        <is>
          <t>None</t>
        </is>
      </c>
      <c r="N2" t="inlineStr">
        <is>
          <t>NVDA, MSFT, AAPL, AMZN</t>
        </is>
      </c>
      <c r="O2" s="4" t="n">
        <v>0.2527278473345771</v>
      </c>
      <c r="P2" s="4" t="n">
        <v>0.7472721526654229</v>
      </c>
      <c r="Q2" t="inlineStr">
        <is>
          <t>(GOOGLE, 0, 3.66%, 0.0000399%), (AVGO, 0, 3.19%, 0.0000550%), (META, 0, 2.69%, 0.0000423%), (BRK/B, 0, 2.14%, 0.0000778%), (CSCO, 0, 1.85%, 0.0001647%), (LIN, 0, 1.81%, 0.0001972%), (AMT, 0, 1.68%, 0.0003992%), (JPM, 0, 1.68%, 0.0000494%), (TSLA, 0, 1.64%, 0.0000371%), (XOM, 0, 1.54%, 0.0000771%), (V, 0, 1.48%, 0.0000595%), (LLY, 0, 1.24%, 0.0000409%), (CB, 0, 1.15%, 0.0002620%), (WM, 0, 1.13%, 0.0002867%), (MA, 0, 1.13%, 0.0000539%), (GE, 0, 1.08%, 0.0000912%), (ORCL, 0, 1.00%, 0.0000340%), (NEE, 0, 0.89%, 0.0001425%), (NFLX, 0, 0.88%, 0.0000427%), (JNJ, 0, 0.83%, 0.0000491%), (CVX, 0, 0.81%, 0.0000611%), (PG, 0, 0.81%, 0.0000533%), (WMT, 0, 0.81%, 0.0000247%), (PLTR, 0, 0.80%, 0.0000543%), (UNH, 0, 0.79%, 0.0000795%), (COST, 0, 0.78%, 0.0000454%), (RTX, 0, 0.77%, 0.0000882%), (CAT, 0, 0.77%, 0.0000916%), (MCD, 0, 0.74%, 0.0000824%), (ABT, 0, 0.72%, 0.0000780%), (HD, 0, 0.70%, 0.0000447%), (ABBV, 0, 0.69%, 0.0000491%), (AMD, 0, 0.66%, 0.0000556%), (KO, 0, 0.65%, 0.0000523%), (BAC, 0, 0.64%, 0.0000435%), (CRM, 0, 0.64%, 0.0000604%), (BKNG, 0, 0.63%, 0.0000838%), (SO, 0, 0.63%, 0.0001437%), (BA, 0, 0.63%, 0.0000874%), (NKE, 0, 0.62%, 0.0001616%), (PM, 0, 0.61%, 0.0000579%), (IBM, 0, 0.61%, 0.0000596%), (ISRG, 0, 0.58%, 0.0000787%), (ETN, 0, 0.57%, 0.0000902%), (INTU, 0, 0.57%, 0.0000606%), (GS, 0, 0.56%, 0.0000613%), (DUK, 0, 0.55%, 0.0001435%), (WFC, 0, 0.55%, 0.0000501%), (HON, 0, 0.53%, 0.0000910%), (UBER, 0, 0.52%, 0.0000686%), (MET, 0, 0.52%, 0.0002406%), (NOW, 0, 0.51%, 0.0000596%), (DE, 0, 0.48%, 0.0000836%), (PEP, 0, 0.48%, 0.0000582%), (T, 0, 0.44%, 0.0002496%), (ACN, 0, 0.44%, 0.0000604%), (MS, 0, 0.43%, 0.0000455%), (MRK, 0, 0.43%, 0.0000498%), (AXP, 0, 0.42%, 0.0000473%), (QCOM, 0, 0.41%, 0.0000572%), (SPGI, 0, 0.41%, 0.0000614%), (ADBE, 0, 0.41%, 0.0000633%), (TXN, 0, 0.40%, 0.0000558%), (VZ, 0, 0.40%, 0.0000533%), (BLK, 0, 0.40%, 0.0000549%), (COP, 0, 0.39%, 0.0000774%), (MDT, 0, 0.39%, 0.0000782%), (DIS, 0, 0.38%, 0.0000426%), (UNP, 0, 0.38%, 0.0000695%), (TMO, 0, 0.38%, 0.0000500%), (C, 0, 0.36%, 0.0000495%), (AMAT, 0, 0.36%, 0.0000575%), (SBUX, 0, 0.36%, 0.0000818%), (SCHW, 0, 0.36%, 0.0000482%), (AMGN, 0, 0.33%, 0.0000490%), (LMT, 0, 0.33%, 0.0000808%), (EMR, 0, 0.31%, 0.0000901%), (MMM, 0, 0.30%, 0.0000911%), (GILD, 0, 0.29%, 0.0000493%), (PFE, 0, 0.28%, 0.0000490%), (DHR, 0, 0.27%, 0.0000447%), (TJX, 0, 0.27%, 0.0000454%), (CVS, 0, 0.24%, 0.0000775%), (MO, 0, 0.24%, 0.0000586%), (LOW, 0, 0.24%, 0.0000453%), (MDLZ, 0, 0.22%, 0.0000601%), (CMCSA, 0, 0.22%, 0.0000444%), (ELV, 0, 0.22%, 0.0000814%), (INTC, 0, 0.20%, 0.0000515%), (BMY, 0, 0.19%, 0.0000489%), (UPS, 0, 0.19%, 0.0000675%), (PYPL, 0, 0.18%, 0.0000627%), (CL, 0, 0.16%, 0.0000536%), (FDX, 0, 0.15%, 0.0000648%), (USB, 0, 0.14%, 0.0000483%), (TGT, 0, 0.09%, 0.0000460%), (nan, 0, -0.01%, 0.0000000%), (nan, 0, -0.01%, 0.0000000%)</t>
        </is>
      </c>
      <c r="R2" s="4" t="n">
        <v>3.992339151881056e-06</v>
      </c>
      <c r="S2" s="3" t="n">
        <v>4282277.109999999</v>
      </c>
      <c r="T2" s="4" t="n">
        <v>0.1788206510783338</v>
      </c>
      <c r="U2" t="inlineStr"/>
    </row>
    <row r="3">
      <c r="A3" s="2" t="n">
        <v>45867</v>
      </c>
      <c r="B3" t="inlineStr">
        <is>
          <t>HE3B1</t>
        </is>
      </c>
      <c r="C3" t="inlineStr">
        <is>
          <t>diversified</t>
        </is>
      </c>
      <c r="D3" s="3">
        <f>IF(J3/H3&gt;=0.75,"PASS","FAIL")</f>
        <v/>
      </c>
      <c r="E3" s="3">
        <f>IF(L3=0,"PASS","FAIL")</f>
        <v/>
      </c>
      <c r="F3" s="3">
        <f>IF(R3="","",IF(R3&lt;=0.1,"PASS","FAIL"))</f>
        <v/>
      </c>
      <c r="G3" s="3">
        <f>IF(S3=0,"PASS",IF(S3&lt;=0.05*J3,"PASS","FAIL"))</f>
        <v/>
      </c>
      <c r="H3" s="3" t="n">
        <v>43746916.99</v>
      </c>
      <c r="I3" s="4" t="n">
        <v>0</v>
      </c>
      <c r="J3" s="3" t="n">
        <v>36929348.29</v>
      </c>
      <c r="K3" s="3" t="n">
        <v>2688.12</v>
      </c>
      <c r="L3" s="3" t="n">
        <v>0</v>
      </c>
      <c r="M3" t="inlineStr">
        <is>
          <t>None</t>
        </is>
      </c>
      <c r="N3" t="inlineStr">
        <is>
          <t>NVDA, MSFT, AAPL, AMZN</t>
        </is>
      </c>
      <c r="O3" s="4" t="n">
        <v>0.2586451389554159</v>
      </c>
      <c r="P3" s="4" t="n">
        <v>0.7413548610445841</v>
      </c>
      <c r="Q3" t="inlineStr">
        <is>
          <t>(GOOGLE, 0, 3.50%, 0.0000697%), (AVGO, 0, 3.06%, 0.0000959%), (META, 0, 2.58%, 0.0000739%), (BRK/B, 0, 2.04%, 0.0001358%), (CSCO, 0, 1.76%, 0.0002876%), (LIN, 0, 1.73%, 0.0003444%), (AMT, 0, 1.61%, 0.0006970%), (JPM, 0, 1.61%, 0.0000862%), (TSLA, 0, 1.57%, 0.0000647%), (XOM, 0, 1.47%, 0.0001346%), (V, 0, 1.42%, 0.0001039%), (LLY, 0, 1.19%, 0.0000715%), (CB, 0, 1.10%, 0.0004576%), (WM, 0, 1.08%, 0.0005007%), (MA, 0, 1.08%, 0.0000939%), (GE, 0, 1.03%, 0.0001592%), (ORCL, 0, 0.96%, 0.0000592%), (NEE, 0, 0.85%, 0.0002488%), (NFLX, 0, 0.84%, 0.0000746%), (JNJ, 0, 0.79%, 0.0000857%), (CVX, 0, 0.78%, 0.0001066%), (PG, 0, 0.77%, 0.0000930%), (WMT, 0, 0.77%, 0.0000431%), (PLTR, 0, 0.76%, 0.0000947%), (UNH, 0, 0.76%, 0.0001388%), (COST, 0, 0.75%, 0.0000792%), (RTX, 0, 0.74%, 0.0001540%), (CAT, 0, 0.73%, 0.0001599%), (MCD, 0, 0.71%, 0.0001439%), (ABT, 0, 0.69%, 0.0001362%), (HD, 0, 0.67%, 0.0000781%), (ABBV, 0, 0.66%, 0.0000858%), (AMD, 0, 0.63%, 0.0000970%), (KO, 0, 0.62%, 0.0000913%), (BAC, 0, 0.62%, 0.0000759%), (CRM, 0, 0.61%, 0.0001056%), (BKNG, 0, 0.60%, 0.0001458%), (SO, 0, 0.60%, 0.0002510%), (BA, 0, 0.60%, 0.0001526%), (NKE, 0, 0.60%, 0.0002822%), (PM, 0, 0.58%, 0.0001012%), (IBM, 0, 0.58%, 0.0001040%), (ISRG, 0, 0.55%, 0.0001371%), (ETN, 0, 0.55%, 0.0001575%), (INTU, 0, 0.54%, 0.0001058%), (GS, 0, 0.53%, 0.0001070%), (DUK, 0, 0.53%, 0.0002504%), (WFC, 0, 0.53%, 0.0000875%), (HON, 0, 0.51%, 0.0001589%), (UBER, 0, 0.50%, 0.0001198%), (MET, 0, 0.50%, 0.0004201%), (NOW, 0, 0.49%, 0.0001038%), (DE, 0, 0.46%, 0.0001461%), (PEP, 0, 0.46%, 0.0001017%), (T, 0, 0.42%, 0.0004358%), (ACN, 0, 0.42%, 0.0001055%), (MS, 0, 0.41%, 0.0000794%), (MRK, 0, 0.41%, 0.0000869%), (AXP, 0, 0.40%, 0.0000825%), (QCOM, 0, 0.40%, 0.0000999%), (ADBE, 0, 0.39%, 0.0001106%), (SPGI, 0, 0.39%, 0.0001070%), (TXN, 0, 0.38%, 0.0000974%), (VZ, 0, 0.38%, 0.0000931%), (BLK, 0, 0.38%, 0.0000962%), (COP, 0, 0.37%, 0.0001352%), (MDT, 0, 0.37%, 0.0001366%), (DIS, 0, 0.37%, 0.0000744%), (UNP, 0, 0.36%, 0.0001212%), (TMO, 0, 0.36%, 0.0000873%), (C, 0, 0.34%, 0.0000865%), (AMAT, 0, 0.34%, 0.0001004%), (SBUX, 0, 0.34%, 0.0001429%), (SCHW, 0, 0.34%, 0.0000841%), (AMGN, 0, 0.32%, 0.0000856%), (LMT, 0, 0.31%, 0.0001413%), (EMR, 0, 0.30%, 0.0001572%), (MMM, 0, 0.29%, 0.0001591%), (GILD, 0, 0.28%, 0.0000861%), (PFE, 0, 0.27%, 0.0000855%), (DHR, 0, 0.26%, 0.0000780%), (TJX, 0, 0.25%, 0.0000792%), (CVS, 0, 0.23%, 0.0001354%), (LOW, 0, 0.23%, 0.0000792%), (MO, 0, 0.23%, 0.0001023%), (MDLZ, 0, 0.21%, 0.0001050%), (CMCSA, 0, 0.21%, 0.0000775%), (ELV, 0, 0.21%, 0.0001426%), (INTC, 0, 0.19%, 0.0000899%), (BMY, 0, 0.19%, 0.0000855%), (UPS, 0, 0.18%, 0.0001179%), (PYPL, 0, 0.17%, 0.0001094%), (CL, 0, 0.15%, 0.0000935%), (FDX, 0, 0.14%, 0.0001132%), (USB, 0, 0.14%, 0.0000844%), (TGT, 0, 0.09%, 0.0000803%), (nan, 0, -0.00%, 0.0000000%), (nan, 0, -0.01%, 0.0000000%)</t>
        </is>
      </c>
      <c r="R3" s="4" t="n">
        <v>6.970038872438676e-06</v>
      </c>
      <c r="S3" s="3" t="n">
        <v>14857939.02</v>
      </c>
      <c r="T3" s="4" t="n">
        <v>0.3396339683410454</v>
      </c>
      <c r="U3" t="inlineStr"/>
    </row>
    <row r="4">
      <c r="A4" s="2" t="n">
        <v>45867</v>
      </c>
      <c r="B4" t="inlineStr">
        <is>
          <t>P30128</t>
        </is>
      </c>
      <c r="C4" t="inlineStr">
        <is>
          <t>diversified</t>
        </is>
      </c>
      <c r="D4" s="3">
        <f>IF(J4/H4&gt;=0.75,"PASS","FAIL")</f>
        <v/>
      </c>
      <c r="E4" s="3">
        <f>IF(L4=0,"PASS","FAIL")</f>
        <v/>
      </c>
      <c r="F4" s="3">
        <f>IF(R4="","",IF(R4&lt;=0.1,"PASS","FAIL"))</f>
        <v/>
      </c>
      <c r="G4" s="3">
        <f>IF(S4=0,"PASS",IF(S4&lt;=0.05*J4,"PASS","FAIL"))</f>
        <v/>
      </c>
      <c r="H4" s="3" t="n">
        <v>40754343.38</v>
      </c>
      <c r="I4" s="4" t="n">
        <v>0</v>
      </c>
      <c r="J4" s="3" t="n">
        <v>35070206.04</v>
      </c>
      <c r="K4" s="3" t="n">
        <v>2552.05</v>
      </c>
      <c r="L4" s="3" t="n">
        <v>0</v>
      </c>
      <c r="M4" t="inlineStr">
        <is>
          <t>None</t>
        </is>
      </c>
      <c r="N4" t="inlineStr">
        <is>
          <t>NVDA, MSFT, AAPL, AMZN</t>
        </is>
      </c>
      <c r="O4" s="4" t="n">
        <v>0.2506730775967805</v>
      </c>
      <c r="P4" s="4" t="n">
        <v>0.7493269224032195</v>
      </c>
      <c r="Q4" t="inlineStr">
        <is>
          <t>(GOOGLE, 0, 3.46%, 0.0000642%), (AVGO, 0, 3.02%, 0.0000883%), (META, 0, 2.54%, 0.0000680%), (BRK/B, 0, 2.02%, 0.0001250%), (CSCO, 0, 1.74%, 0.0002646%), (LIN, 0, 1.71%, 0.0003170%), (AMT, 0, 1.59%, 0.0006415%), (JPM, 0, 1.59%, 0.0000794%), (TSLA, 0, 1.55%, 0.0000596%), (XOM, 0, 1.45%, 0.0001239%), (V, 0, 1.40%, 0.0000956%), (LLY, 0, 1.17%, 0.0000658%), (CB, 0, 1.09%, 0.0004210%), (WM, 0, 1.07%, 0.0004607%), (MA, 0, 1.06%, 0.0000865%), (GE, 0, 1.02%, 0.0001465%), (ORCL, 0, 0.95%, 0.0000545%), (NEE, 0, 0.84%, 0.0002290%), (NFLX, 0, 0.83%, 0.0000684%), (JNJ, 0, 0.78%, 0.0000789%), (CVX, 0, 0.77%, 0.0000981%), (PG, 0, 0.76%, 0.0000856%), (WMT, 0, 0.76%, 0.0000397%), (PLTR, 0, 0.76%, 0.0000872%), (UNH, 0, 0.75%, 0.0001277%), (COST, 0, 0.74%, 0.0000729%), (RTX, 0, 0.73%, 0.0001417%), (CAT, 0, 0.72%, 0.0001471%), (MCD, 0, 0.70%, 0.0001324%), (ABT, 0, 0.68%, 0.0001254%), (HD, 0, 0.66%, 0.0000718%), (ABBV, 0, 0.65%, 0.0000790%), (AMD, 0, 0.62%, 0.0000893%), (KO, 0, 0.61%, 0.0000841%), (BAC, 0, 0.61%, 0.0000698%), (CRM, 0, 0.61%, 0.0000972%), (BKNG, 0, 0.61%, 0.0001365%), (SO, 0, 0.59%, 0.0002310%), (BA, 0, 0.59%, 0.0001404%), (NKE, 0, 0.59%, 0.0002597%), (PM, 0, 0.57%, 0.0000931%), (IBM, 0, 0.57%, 0.0000956%), (ISRG, 0, 0.54%, 0.0001264%), (ETN, 0, 0.54%, 0.0001449%), (INTU, 0, 0.53%, 0.0000972%), (GS, 0, 0.53%, 0.0000984%), (DUK, 0, 0.52%, 0.0002305%), (WFC, 0, 0.52%, 0.0000805%), (HON, 0, 0.50%, 0.0001462%), (UBER, 0, 0.49%, 0.0001102%), (MET, 0, 0.49%, 0.0003866%), (NOW, 0, 0.48%, 0.0000957%), (DE, 0, 0.46%, 0.0001343%), (PEP, 0, 0.45%, 0.0000935%), (T, 0, 0.41%, 0.0004011%), (ACN, 0, 0.41%, 0.0000970%), (MS, 0, 0.41%, 0.0000730%), (MRK, 0, 0.40%, 0.0000800%), (AXP, 0, 0.40%, 0.0000759%), (QCOM, 0, 0.39%, 0.0000919%), (ADBE, 0, 0.39%, 0.0001018%), (SPGI, 0, 0.39%, 0.0000984%), (TXN, 0, 0.38%, 0.0000896%), (VZ, 0, 0.38%, 0.0000857%), (BLK, 0, 0.38%, 0.0000885%), (COP, 0, 0.37%, 0.0001244%), (MDT, 0, 0.36%, 0.0001257%), (DIS, 0, 0.36%, 0.0000684%), (UNP, 0, 0.36%, 0.0001116%), (TMO, 0, 0.36%, 0.0000804%), (C, 0, 0.34%, 0.0000796%), (SBUX, 0, 0.34%, 0.0001315%), (AMAT, 0, 0.34%, 0.0000924%), (SCHW, 0, 0.34%, 0.0000774%), (AMGN, 0, 0.31%, 0.0000788%), (LMT, 0, 0.31%, 0.0001301%), (EMR, 0, 0.29%, 0.0001446%), (MMM, 0, 0.29%, 0.0001465%), (GILD, 0, 0.28%, 0.0000792%), (PFE, 0, 0.27%, 0.0000787%), (DHR, 0, 0.26%, 0.0000718%), (TJX, 0, 0.25%, 0.0000730%), (CVS, 0, 0.23%, 0.0001246%), (MO, 0, 0.23%, 0.0000942%), (LOW, 0, 0.23%, 0.0000727%), (MDLZ, 0, 0.21%, 0.0000966%), (CMCSA, 0, 0.21%, 0.0000713%), (ELV, 0, 0.21%, 0.0001314%), (INTC, 0, 0.19%, 0.0000828%), (BMY, 0, 0.18%, 0.0000786%), (UPS, 0, 0.18%, 0.0001084%), (PYPL, 0, 0.17%, 0.0001007%), (CL, 0, 0.15%, 0.0000861%), (FDX, 0, 0.14%, 0.0001038%), (USB, 0, 0.14%, 0.0000777%), (TGT, 0, 0.09%, 0.0000739%), (nan, 0, -0.00%, 0.0000000%), (nan, 0, -0.01%, 0.0000000%)</t>
        </is>
      </c>
      <c r="R4" s="4" t="n">
        <v>6.414657288977428e-06</v>
      </c>
      <c r="S4" s="3" t="n">
        <v>11119553.89</v>
      </c>
      <c r="T4" s="4" t="n">
        <v>0.2728434068074538</v>
      </c>
      <c r="U4" t="inlineStr"/>
    </row>
    <row r="5">
      <c r="A5" s="2" t="n">
        <v>45867</v>
      </c>
      <c r="B5" t="inlineStr">
        <is>
          <t>P20127</t>
        </is>
      </c>
      <c r="C5" t="inlineStr">
        <is>
          <t>diversified</t>
        </is>
      </c>
      <c r="D5" s="3">
        <f>IF(J5/H5&gt;=0.75,"PASS","FAIL")</f>
        <v/>
      </c>
      <c r="E5" s="3">
        <f>IF(L5=0,"PASS","FAIL")</f>
        <v/>
      </c>
      <c r="F5" s="3">
        <f>IF(R5="","",IF(R5&lt;=0.1,"PASS","FAIL"))</f>
        <v/>
      </c>
      <c r="G5" s="3">
        <f>IF(S5=0,"PASS",IF(S5&lt;=0.05*J5,"PASS","FAIL"))</f>
        <v/>
      </c>
      <c r="H5" s="3" t="n">
        <v>103149449.35</v>
      </c>
      <c r="I5" s="4" t="n">
        <v>0</v>
      </c>
      <c r="J5" s="3" t="n">
        <v>92956931.51000001</v>
      </c>
      <c r="K5" s="3" t="n">
        <v>6763.16</v>
      </c>
      <c r="L5" s="3" t="n">
        <v>0</v>
      </c>
      <c r="M5" t="inlineStr">
        <is>
          <t>None</t>
        </is>
      </c>
      <c r="N5" t="inlineStr">
        <is>
          <t>NVDA, MSFT, AAPL, AMZN</t>
        </is>
      </c>
      <c r="O5" s="4" t="n">
        <v>0.2509165459865769</v>
      </c>
      <c r="P5" s="4" t="n">
        <v>0.749083454013423</v>
      </c>
      <c r="Q5" t="inlineStr">
        <is>
          <t>(GOOGLE, 0, 3.63%, 0.0001704%), (AVGO, 0, 3.16%, 0.0002345%), (META, 0, 2.67%, 0.0001806%), (BRK/B, 0, 2.12%, 0.0003319%), (CSCO, 0, 1.83%, 0.0007028%), (LIN, 0, 1.79%, 0.0008418%), (AMT, 0, 1.67%, 0.0017033%), (JPM, 0, 1.66%, 0.0002107%), (TSLA, 0, 1.63%, 0.0001582%), (XOM, 0, 1.52%, 0.0003290%), (V, 0, 1.47%, 0.0002540%), (LLY, 0, 1.23%, 0.0001747%), (CB, 0, 1.14%, 0.0011183%), (WM, 0, 1.12%, 0.0012237%), (MA, 0, 1.12%, 0.0002296%), (GE, 0, 1.07%, 0.0003891%), (ORCL, 0, 0.99%, 0.0001448%), (NEE, 0, 0.88%, 0.0006080%), (NFLX, 0, 0.87%, 0.0001820%), (JNJ, 0, 0.82%, 0.0002095%), (CVX, 0, 0.81%, 0.0002605%), (PG, 0, 0.80%, 0.0002272%), (WMT, 0, 0.80%, 0.0001054%), (PLTR, 0, 0.79%, 0.0002315%), (UNH, 0, 0.79%, 0.0003391%), (COST, 0, 0.78%, 0.0001936%), (RTX, 0, 0.76%, 0.0003764%), (CAT, 0, 0.76%, 0.0003908%), (MCD, 0, 0.73%, 0.0003516%), (ABT, 0, 0.71%, 0.0003329%), (HD, 0, 0.69%, 0.0001908%), (ABBV, 0, 0.68%, 0.0002097%), (AMD, 0, 0.65%, 0.0002371%), (KO, 0, 0.64%, 0.0002232%), (BAC, 0, 0.64%, 0.0001855%), (CRM, 0, 0.64%, 0.0002579%), (BKNG, 0, 0.63%, 0.0003599%), (SO, 0, 0.62%, 0.0006133%), (BA, 0, 0.62%, 0.0003728%), (NKE, 0, 0.62%, 0.0006897%), (PM, 0, 0.60%, 0.0002474%), (IBM, 0, 0.58%, 0.0002434%), (ISRG, 0, 0.57%, 0.0003354%), (ETN, 0, 0.56%, 0.0003848%), (INTU, 0, 0.56%, 0.0002582%), (GS, 0, 0.55%, 0.0002614%), (DUK, 0, 0.55%, 0.0006122%), (WFC, 0, 0.55%, 0.0002139%), (HON, 0, 0.53%, 0.0003883%), (UBER, 0, 0.51%, 0.0002927%), (MET, 0, 0.51%, 0.0010267%), (NOW, 0, 0.50%, 0.0002543%), (DE, 0, 0.48%, 0.0003570%), (PEP, 0, 0.47%, 0.0002485%), (T, 0, 0.43%, 0.0010651%), (ACN, 0, 0.43%, 0.0002577%), (MS, 0, 0.43%, 0.0001940%), (MRK, 0, 0.42%, 0.0002123%), (AXP, 0, 0.41%, 0.0002016%), (QCOM, 0, 0.41%, 0.0002441%), (SPGI, 0, 0.41%, 0.0002619%), (ADBE, 0, 0.41%, 0.0002702%), (VZ, 0, 0.40%, 0.0002275%), (TXN, 0, 0.40%, 0.0002379%), (BLK, 0, 0.39%, 0.0002344%), (COP, 0, 0.39%, 0.0003305%), (MDT, 0, 0.38%, 0.0003338%), (DIS, 0, 0.38%, 0.0001817%), (UNP, 0, 0.38%, 0.0002964%), (TMO, 0, 0.37%, 0.0002135%), (C, 0, 0.36%, 0.0002114%), (AMAT, 0, 0.35%, 0.0002453%), (SCHW, 0, 0.35%, 0.0002056%), (SBUX, 0, 0.35%, 0.0003492%), (AMGN, 0, 0.33%, 0.0002093%), (LMT, 0, 0.32%, 0.0003457%), (EMR, 0, 0.31%, 0.0003842%), (MMM, 0, 0.30%, 0.0003887%), (GILD, 0, 0.29%, 0.0002103%), (PFE, 0, 0.28%, 0.0002089%), (DHR, 0, 0.27%, 0.0001907%), (TJX, 0, 0.26%, 0.0001937%), (CVS, 0, 0.24%, 0.0003309%), (MO, 0, 0.24%, 0.0002500%), (LOW, 0, 0.24%, 0.0001933%), (MDLZ, 0, 0.22%, 0.0002567%), (CMCSA, 0, 0.22%, 0.0001895%), (ELV, 0, 0.22%, 0.0003483%), (INTC, 0, 0.20%, 0.0002198%), (BMY, 0, 0.19%, 0.0002088%), (UPS, 0, 0.19%, 0.0002880%), (PYPL, 0, 0.17%, 0.0002675%), (CL, 0, 0.15%, 0.0002285%), (FDX, 0, 0.15%, 0.0002763%), (USB, 0, 0.14%, 0.0002063%), (TGT, 0, 0.09%, 0.0001963%), (nan, 0, -0.01%, 0.0000000%), (nan, 0, -0.01%, 0.0000000%)</t>
        </is>
      </c>
      <c r="R5" s="4" t="n">
        <v>1.703312594815385e-05</v>
      </c>
      <c r="S5" s="3" t="n">
        <v>19057321.5</v>
      </c>
      <c r="T5" s="4" t="n">
        <v>0.1847544666509652</v>
      </c>
      <c r="U5" t="inlineStr"/>
    </row>
    <row r="6">
      <c r="A6" s="2" t="n">
        <v>45867</v>
      </c>
      <c r="B6" t="inlineStr">
        <is>
          <t>P2726</t>
        </is>
      </c>
      <c r="C6" t="inlineStr">
        <is>
          <t>diversified</t>
        </is>
      </c>
      <c r="D6" s="3">
        <f>IF(J6/H6&gt;=0.75,"PASS","FAIL")</f>
        <v/>
      </c>
      <c r="E6" s="3">
        <f>IF(L6=0,"PASS","FAIL")</f>
        <v/>
      </c>
      <c r="F6" s="3">
        <f>IF(R6="","",IF(R6&lt;=0.1,"PASS","FAIL"))</f>
        <v/>
      </c>
      <c r="G6" s="3">
        <f>IF(S6=0,"PASS",IF(S6&lt;=0.05*J6,"PASS","FAIL"))</f>
        <v/>
      </c>
      <c r="H6" s="3" t="n">
        <v>35101677.24</v>
      </c>
      <c r="I6" s="4" t="n">
        <v>0</v>
      </c>
      <c r="J6" s="3" t="n">
        <v>32566396.66</v>
      </c>
      <c r="K6" s="3" t="n">
        <v>2370.12</v>
      </c>
      <c r="L6" s="3" t="n">
        <v>0</v>
      </c>
      <c r="M6" t="inlineStr">
        <is>
          <t>None</t>
        </is>
      </c>
      <c r="N6" t="inlineStr">
        <is>
          <t>NVDA, MSFT, AAPL, AMZN</t>
        </is>
      </c>
      <c r="O6" s="4" t="n">
        <v>0.2551660319302885</v>
      </c>
      <c r="P6" s="4" t="n">
        <v>0.7448339680697116</v>
      </c>
      <c r="Q6" t="inlineStr">
        <is>
          <t>(GOOGLE, 0, 3.80%, 0.0000607%), (AVGO, 0, 3.31%, 0.0000835%), (META, 0, 2.79%, 0.0000643%), (BRK/B, 0, 2.22%, 0.0001182%), (CSCO, 0, 1.91%, 0.0002504%), (LIN, 0, 1.88%, 0.0002998%), (AMT, 0, 1.74%, 0.0006069%), (JPM, 0, 1.74%, 0.0000751%), (TSLA, 0, 1.70%, 0.0000564%), (XOM, 0, 1.59%, 0.0001172%), (V, 0, 1.54%, 0.0000905%), (LLY, 0, 1.29%, 0.0000622%), (CB, 0, 1.20%, 0.0003984%), (WM, 0, 1.18%, 0.0004359%), (MA, 0, 1.17%, 0.0000818%), (GE, 0, 1.12%, 0.0001386%), (ORCL, 0, 1.04%, 0.0000516%), (NEE, 0, 0.92%, 0.0002166%), (NFLX, 0, 0.91%, 0.0000649%), (JNJ, 0, 0.86%, 0.0000746%), (CVX, 0, 0.84%, 0.0000928%), (PG, 0, 0.84%, 0.0000810%), (WMT, 0, 0.84%, 0.0000375%), (PLTR, 0, 0.83%, 0.0000825%), (UNH, 0, 0.82%, 0.0001208%), (COST, 0, 0.81%, 0.0000688%), (RTX, 0, 0.80%, 0.0001341%), (CAT, 0, 0.79%, 0.0001392%), (MCD, 0, 0.77%, 0.0001253%), (ABT, 0, 0.75%, 0.0001186%), (HD, 0, 0.72%, 0.0000679%), (ABBV, 0, 0.72%, 0.0000747%), (AMD, 0, 0.68%, 0.0000844%), (KO, 0, 0.67%, 0.0000795%), (BAC, 0, 0.67%, 0.0000661%), (CRM, 0, 0.67%, 0.0000919%), (BKNG, 0, 0.65%, 0.0001272%), (SO, 0, 0.65%, 0.0002185%), (BA, 0, 0.65%, 0.0001329%), (NKE, 0, 0.65%, 0.0002457%), (PM, 0, 0.63%, 0.0000881%), (IBM, 0, 0.63%, 0.0000905%), (ISRG, 0, 0.60%, 0.0001196%), (ETN, 0, 0.59%, 0.0001372%), (INTU, 0, 0.58%, 0.0000918%), (GS, 0, 0.58%, 0.0000930%), (DUK, 0, 0.57%, 0.0002181%), (WFC, 0, 0.57%, 0.0000762%), (HON, 0, 0.55%, 0.0001383%), (UBER, 0, 0.54%, 0.0001043%), (MET, 0, 0.54%, 0.0003657%), (NOW, 0, 0.53%, 0.0000904%), (DE, 0, 0.50%, 0.0001273%), (PEP, 0, 0.49%, 0.0000885%), (T, 0, 0.46%, 0.0003794%), (ACN, 0, 0.45%, 0.0000918%), (MS, 0, 0.45%, 0.0000691%), (MRK, 0, 0.44%, 0.0000756%), (AXP, 0, 0.43%, 0.0000719%), (QCOM, 0, 0.43%, 0.0000869%), (ADBE, 0, 0.43%, 0.0000963%), (SPGI, 0, 0.42%, 0.0000931%), (TXN, 0, 0.42%, 0.0000847%), (VZ, 0, 0.42%, 0.0000810%), (BLK, 0, 0.41%, 0.0000833%), (COP, 0, 0.41%, 0.0001177%), (MDT, 0, 0.40%, 0.0001189%), (DIS, 0, 0.40%, 0.0000647%), (UNP, 0, 0.39%, 0.0001055%), (TMO, 0, 0.39%, 0.0000761%), (C, 0, 0.37%, 0.0000753%), (AMAT, 0, 0.37%, 0.0000874%), (SCHW, 0, 0.37%, 0.0000732%), (SBUX, 0, 0.37%, 0.0001244%), (AMGN, 0, 0.35%, 0.0000745%), (LMT, 0, 0.34%, 0.0001232%), (EMR, 0, 0.32%, 0.0001368%), (MMM, 0, 0.32%, 0.0001385%), (GILD, 0, 0.30%, 0.0000750%), (PFE, 0, 0.29%, 0.0000744%), (DHR, 0, 0.28%, 0.0000680%), (TJX, 0, 0.28%, 0.0000690%), (CVS, 0, 0.25%, 0.0001178%), (MO, 0, 0.25%, 0.0000891%), (LOW, 0, 0.25%, 0.0000688%), (MDLZ, 0, 0.23%, 0.0000914%), (CMCSA, 0, 0.23%, 0.0000675%), (ELV, 0, 0.23%, 0.0001242%), (INTC, 0, 0.21%, 0.0000783%), (BMY, 0, 0.20%, 0.0000744%), (UPS, 0, 0.20%, 0.0001026%), (PYPL, 0, 0.18%, 0.0000953%), (CL, 0, 0.16%, 0.0000814%), (FDX, 0, 0.15%, 0.0000983%), (USB, 0, 0.15%, 0.0000735%), (TGT, 0, 0.09%, 0.0000700%), (nan, 0, -0.01%, 0.0000000%), (nan, 0, -0.01%, 0.0000000%)</t>
        </is>
      </c>
      <c r="R6" s="4" t="n">
        <v>6.068611840820802e-06</v>
      </c>
      <c r="S6" s="3" t="n">
        <v>4819276.21</v>
      </c>
      <c r="T6" s="4" t="n">
        <v>0.1372947559471093</v>
      </c>
      <c r="U6" t="inlineStr"/>
    </row>
    <row r="7">
      <c r="A7" s="2" t="n">
        <v>45867</v>
      </c>
      <c r="B7" t="inlineStr">
        <is>
          <t>P31027</t>
        </is>
      </c>
      <c r="C7" t="inlineStr">
        <is>
          <t>diversified</t>
        </is>
      </c>
      <c r="D7" s="3">
        <f>IF(J7/H7&gt;=0.75,"PASS","FAIL")</f>
        <v/>
      </c>
      <c r="E7" s="3">
        <f>IF(L7=0,"PASS","FAIL")</f>
        <v/>
      </c>
      <c r="F7" s="3">
        <f>IF(R7="","",IF(R7&lt;=0.1,"PASS","FAIL"))</f>
        <v/>
      </c>
      <c r="G7" s="3">
        <f>IF(S7=0,"PASS",IF(S7&lt;=0.05*J7,"PASS","FAIL"))</f>
        <v/>
      </c>
      <c r="H7" s="3" t="n">
        <v>15543418.45</v>
      </c>
      <c r="I7" s="4" t="n">
        <v>0</v>
      </c>
      <c r="J7" s="3" t="n">
        <v>13688567.5</v>
      </c>
      <c r="K7" s="3" t="n">
        <v>996.5599999999999</v>
      </c>
      <c r="L7" s="3" t="n">
        <v>0</v>
      </c>
      <c r="M7" t="inlineStr">
        <is>
          <t>None</t>
        </is>
      </c>
      <c r="N7" t="inlineStr">
        <is>
          <t>NVDA, MSFT, AAPL, AMZN</t>
        </is>
      </c>
      <c r="O7" s="4" t="n">
        <v>0.2529060473274504</v>
      </c>
      <c r="P7" s="4" t="n">
        <v>0.7470939526725495</v>
      </c>
      <c r="Q7" t="inlineStr">
        <is>
          <t>(GOOGLE, 0, 3.57%, 0.0000253%), (AVGO, 0, 3.11%, 0.0000348%), (META, 0, 2.63%, 0.0000268%), (BRK/B, 0, 2.09%, 0.0000493%), (CSCO, 0, 1.80%, 0.0001042%), (LIN, 0, 1.76%, 0.0001249%), (AMT, 0, 1.64%, 0.0002527%), (JPM, 0, 1.64%, 0.0000312%), (TSLA, 0, 1.60%, 0.0000235%), (XOM, 0, 1.50%, 0.0000488%), (V, 0, 1.45%, 0.0000377%), (LLY, 0, 1.21%, 0.0000259%), (CB, 0, 1.13%, 0.0001659%), (WM, 0, 1.11%, 0.0001814%), (MA, 0, 1.10%, 0.0000341%), (GE, 0, 1.05%, 0.0000577%), (ORCL, 0, 0.98%, 0.0000215%), (NEE, 0, 0.87%, 0.0000902%), (NFLX, 0, 0.86%, 0.0000269%), (JNJ, 0, 0.81%, 0.0000311%), (CVX, 0, 0.79%, 0.0000386%), (PG, 0, 0.79%, 0.0000337%), (WMT, 0, 0.79%, 0.0000156%), (PLTR, 0, 0.78%, 0.0000343%), (UNH, 0, 0.78%, 0.0000503%), (COST, 0, 0.76%, 0.0000287%), (RTX, 0, 0.75%, 0.0000559%), (CAT, 0, 0.75%, 0.0000581%), (MCD, 0, 0.72%, 0.0000521%), (ABT, 0, 0.70%, 0.0000494%), (HD, 0, 0.68%, 0.0000283%), (ABBV, 0, 0.67%, 0.0000311%), (AMD, 0, 0.64%, 0.0000352%), (KO, 0, 0.63%, 0.0000331%), (BAC, 0, 0.63%, 0.0000275%), (CRM, 0, 0.63%, 0.0000382%), (BKNG, 0, 0.61%, 0.0000527%), (SO, 0, 0.61%, 0.0000910%), (BA, 0, 0.61%, 0.0000553%), (NKE, 0, 0.61%, 0.0001023%), (PM, 0, 0.59%, 0.0000367%), (IBM, 0, 0.59%, 0.0000377%), (ISRG, 0, 0.56%, 0.0000496%), (ETN, 0, 0.56%, 0.0000570%), (INTU, 0, 0.55%, 0.0000384%), (GS, 0, 0.55%, 0.0000387%), (DUK, 0, 0.54%, 0.0000909%), (WFC, 0, 0.54%, 0.0000317%), (HON, 0, 0.52%, 0.0000576%), (UBER, 0, 0.51%, 0.0000434%), (MET, 0, 0.51%, 0.0001523%), (NOW, 0, 0.50%, 0.0000375%), (DE, 0, 0.47%, 0.0000529%), (PEP, 0, 0.46%, 0.0000369%), (T, 0, 0.43%, 0.0001580%), (ACN, 0, 0.43%, 0.0000382%), (MS, 0, 0.42%, 0.0000288%), (MRK, 0, 0.42%, 0.0000315%), (AXP, 0, 0.41%, 0.0000299%), (QCOM, 0, 0.40%, 0.0000362%), (SPGI, 0, 0.40%, 0.0000390%), (ADBE, 0, 0.40%, 0.0000401%), (VZ, 0, 0.39%, 0.0000337%), (TXN, 0, 0.39%, 0.0000353%), (BLK, 0, 0.39%, 0.0000349%), (COP, 0, 0.38%, 0.0000490%), (MDT, 0, 0.38%, 0.0000495%), (DIS, 0, 0.37%, 0.0000270%), (UNP, 0, 0.37%, 0.0000440%), (TMO, 0, 0.37%, 0.0000317%), (C, 0, 0.35%, 0.0000313%), (SBUX, 0, 0.35%, 0.0000518%), (SCHW, 0, 0.35%, 0.0000305%), (AMAT, 0, 0.35%, 0.0000364%), (AMGN, 0, 0.33%, 0.0000310%), (LMT, 0, 0.32%, 0.0000514%), (EMR, 0, 0.30%, 0.0000570%), (MMM, 0, 0.30%, 0.0000576%), (GILD, 0, 0.28%, 0.0000312%), (PFE, 0, 0.28%, 0.0000310%), (DHR, 0, 0.27%, 0.0000283%), (TJX, 0, 0.26%, 0.0000288%), (CVS, 0, 0.24%, 0.0000491%), (LOW, 0, 0.24%, 0.0000287%), (MO, 0, 0.24%, 0.0000371%), (MDLZ, 0, 0.22%, 0.0000381%), (CMCSA, 0, 0.21%, 0.0000281%), (ELV, 0, 0.21%, 0.0000517%), (INTC, 0, 0.20%, 0.0000326%), (BMY, 0, 0.19%, 0.0000310%), (UPS, 0, 0.18%, 0.0000428%), (PYPL, 0, 0.17%, 0.0000397%), (CL, 0, 0.15%, 0.0000339%), (FDX, 0, 0.15%, 0.0000411%), (USB, 0, 0.14%, 0.0000306%), (TGT, 0, 0.09%, 0.0000290%), (nan, 0, -0.01%, 0.0000000%), (nan, 0, -0.01%, 0.0000000%)</t>
        </is>
      </c>
      <c r="R7" s="4" t="n">
        <v>2.526986204748684e-06</v>
      </c>
      <c r="S7" s="3" t="n">
        <v>4304919.840000001</v>
      </c>
      <c r="T7" s="4" t="n">
        <v>0.2769609435561455</v>
      </c>
      <c r="U7" t="inlineStr"/>
    </row>
    <row r="8">
      <c r="A8" s="2" t="n">
        <v>45867</v>
      </c>
      <c r="B8" t="inlineStr">
        <is>
          <t>R21126</t>
        </is>
      </c>
      <c r="C8" t="inlineStr">
        <is>
          <t>diversified</t>
        </is>
      </c>
      <c r="D8" s="3">
        <f>IF(J8/H8&gt;=0.75,"PASS","FAIL")</f>
        <v/>
      </c>
      <c r="E8" s="3">
        <f>IF(L8=0,"PASS","FAIL")</f>
        <v/>
      </c>
      <c r="F8" s="3">
        <f>IF(R8="","",IF(R8&lt;=0.1,"PASS","FAIL"))</f>
        <v/>
      </c>
      <c r="G8" s="3">
        <f>IF(S8=0,"PASS",IF(S8&lt;=0.05*J8,"PASS","FAIL"))</f>
        <v/>
      </c>
      <c r="H8" s="3" t="n">
        <v>55695857.06</v>
      </c>
      <c r="I8" s="4" t="n">
        <v>0</v>
      </c>
      <c r="J8" s="3" t="n">
        <v>50398598.49</v>
      </c>
      <c r="K8" s="3" t="n">
        <v>3656.78</v>
      </c>
      <c r="L8" s="3" t="n">
        <v>0</v>
      </c>
      <c r="M8" t="inlineStr">
        <is>
          <t>None</t>
        </is>
      </c>
      <c r="N8" t="inlineStr">
        <is>
          <t>BK, EBAY, MSFT, JPM, META, GOOGLE, BKNG, BLK, RJF, MLI, UNM, AMAT</t>
        </is>
      </c>
      <c r="O8" s="4" t="n">
        <v>0.2678389660513752</v>
      </c>
      <c r="P8" s="4" t="n">
        <v>0.7321610339486249</v>
      </c>
      <c r="Q8" t="inlineStr">
        <is>
          <t>(EWBC, 0, 1.89%, 0.0074132%), (V, 0, 1.86%, 0.0001740%), (AXP, 0, 1.85%, 0.0004840%), (HIG, 0, 1.78%, 0.0028401%), (PHM, 0, 1.76%, 0.0043029%), (TRV, 0, 1.75%, 0.0016856%), (EA, 0, 1.75%, 0.0026431%), (ADP, 0, 1.75%, 0.0007808%), (NVDA, 0, 1.74%, 0.0000227%), (KLAC, 0, 1.72%, 0.0007961%), (SNA, 0, 1.72%, 0.0056665%), (PCAR, 0, 1.67%, 0.0017797%), (ROST, 0, 1.65%, 0.0020247%), (CRM, 0, 1.63%, 0.0003557%), (CTSH, 0, 1.61%, 0.0024751%), (CB, 0, 1.61%, 0.0008474%), (SYF, 0, 1.58%, 0.0034270%), (PAYC, 0, 1.53%, 0.0062478%), (LEN, 0, 1.45%, 0.0031175%), (BKR, 0, 1.45%, 0.0017816%), (ACN, 0, 1.41%, 0.0004521%), (WSM, 0, 1.40%, 0.0034313%), (QCOM, 0, 1.39%, 0.0004419%), (DHI, 0, 1.23%, 0.0015747%), (AFL, 0, 1.18%, 0.0012208%), (ODFL, 0, 1.18%, 0.0019270%), (ELV, 0, 1.17%, 0.0010187%), (AAPL, 0, 1.17%, 0.0000208%), (LRCX, 0, 1.08%, 0.0004848%), (CSCO, 0, 1.08%, 0.0002237%), (GE, 0, 1.03%, 0.0002023%), (STT, 0, 1.00%, 0.0017550%), (MPWR, 0, 0.98%, 0.0015744%), (CF, 0, 0.95%, 0.0034586%), (PNC, 0, 0.91%, 0.0006666%), (MTB, 0, 0.91%, 0.0016969%), (AMP, 0, 0.89%, 0.0010279%), (CSL, 0, 0.84%, 0.0026301%), (XOM, 0, 0.83%, 0.0000962%), (COST, 0, 0.82%, 0.0001106%), (EOG, 0, 0.81%, 0.0006762%), (ABT, 0, 0.81%, 0.0002029%), (EG, 0, 0.74%, 0.0029571%), (GEV, 0, 0.57%, 0.0001843%), (NTRS, 0, 0.54%, 0.0012030%), (CRBG, 0, 0.51%, 0.0014511%), (MA, 0, 0.48%, 0.0000533%), (JNJ, 0, 0.46%, 0.0000633%), (DOV, 0, 0.44%, 0.0009697%), (ACM, 0, 0.44%, 0.0016256%), (CINF, 0, 0.43%, 0.0010146%), (WTFC, 0, 0.43%, 0.0027378%), (SLM, 0, 0.42%, 0.0035978%), (MCK, 0, 0.42%, 0.0002645%), (MTG, 0, 0.41%, 0.0039957%), (EQH, 0, 0.41%, 0.0014726%), (JXN, 0, 0.41%, 0.0036869%), (LNC, 0, 0.39%, 0.0032763%), (ALL, 0, 0.39%, 0.0004277%), (NKE, 0, 0.39%, 0.0002332%), (NUE, 0, 0.38%, 0.0006626%), (ADM, 0, 0.37%, 0.0007886%), (PGR, 0, 0.36%, 0.0001416%), (FANG, 0, 0.32%, 0.0004090%)</t>
        </is>
      </c>
      <c r="R8" s="4" t="n">
        <v>7.413195880477544e-05</v>
      </c>
      <c r="S8" s="3" t="n">
        <v>10378126.65</v>
      </c>
      <c r="T8" s="4" t="n">
        <v>0.1863357024710089</v>
      </c>
      <c r="U8" t="inlineStr"/>
    </row>
    <row r="9">
      <c r="A9" s="2" t="n">
        <v>45867</v>
      </c>
      <c r="B9" t="inlineStr">
        <is>
          <t>P3727</t>
        </is>
      </c>
      <c r="C9" t="inlineStr">
        <is>
          <t>diversified</t>
        </is>
      </c>
      <c r="D9" s="3">
        <f>IF(J9/H9&gt;=0.75,"PASS","FAIL")</f>
        <v/>
      </c>
      <c r="E9" s="3">
        <f>IF(L9=0,"PASS","FAIL")</f>
        <v/>
      </c>
      <c r="F9" s="3">
        <f>IF(R9="","",IF(R9&lt;=0.1,"PASS","FAIL"))</f>
        <v/>
      </c>
      <c r="G9" s="3">
        <f>IF(S9=0,"PASS",IF(S9&lt;=0.05*J9,"PASS","FAIL"))</f>
        <v/>
      </c>
      <c r="H9" s="3" t="n">
        <v>79475406.98999999</v>
      </c>
      <c r="I9" s="4" t="n">
        <v>0</v>
      </c>
      <c r="J9" s="3" t="n">
        <v>70744738.52</v>
      </c>
      <c r="K9" s="3" t="n">
        <v>5148.21</v>
      </c>
      <c r="L9" s="3" t="n">
        <v>0</v>
      </c>
      <c r="M9" t="inlineStr">
        <is>
          <t>None</t>
        </is>
      </c>
      <c r="N9" t="inlineStr">
        <is>
          <t>NVDA, MSFT, AAPL, AMZN</t>
        </is>
      </c>
      <c r="O9" s="4" t="n">
        <v>0.2541368405074713</v>
      </c>
      <c r="P9" s="4" t="n">
        <v>0.7458631594925287</v>
      </c>
      <c r="Q9" t="inlineStr">
        <is>
          <t>(GOOGLE, 0, 3.63%, 0.0001312%), (AVGO, 0, 3.16%, 0.0001806%), (META, 0, 2.67%, 0.0001391%), (BRK/B, 0, 2.12%, 0.0002556%), (CSCO, 0, 1.83%, 0.0005413%), (LIN, 0, 1.79%, 0.0006483%), (AMT, 0, 1.66%, 0.0013118%), (JPM, 0, 1.66%, 0.0001623%), (TSLA, 0, 1.63%, 0.0001219%), (XOM, 0, 1.52%, 0.0002534%), (V, 0, 1.47%, 0.0001956%), (LLY, 0, 1.23%, 0.0001345%), (CB, 0, 1.14%, 0.0008611%), (WM, 0, 1.12%, 0.0009425%), (MA, 0, 1.12%, 0.0001768%), (GE, 0, 1.07%, 0.0002996%), (ORCL, 0, 0.99%, 0.0001115%), (NEE, 0, 0.88%, 0.0004683%), (NFLX, 0, 0.87%, 0.0001402%), (JNJ, 0, 0.82%, 0.0001613%), (CVX, 0, 0.81%, 0.0002006%), (PG, 0, 0.80%, 0.0001750%), (WMT, 0, 0.80%, 0.0000812%), (PLTR, 0, 0.79%, 0.0001783%), (UNH, 0, 0.79%, 0.0002612%), (COST, 0, 0.78%, 0.0001489%), (RTX, 0, 0.76%, 0.0002899%), (CAT, 0, 0.76%, 0.0003010%), (MCD, 0, 0.73%, 0.0002707%), (ABT, 0, 0.71%, 0.0002564%), (HD, 0, 0.69%, 0.0001469%), (ABBV, 0, 0.68%, 0.0001615%), (AMD, 0, 0.65%, 0.0001826%), (KO, 0, 0.64%, 0.0001719%), (BAC, 0, 0.64%, 0.0001428%), (CRM, 0, 0.64%, 0.0001986%), (BKNG, 0, 0.63%, 0.0002761%), (SO, 0, 0.62%, 0.0004723%), (BA, 0, 0.62%, 0.0002872%), (NKE, 0, 0.62%, 0.0005311%), (PM, 0, 0.60%, 0.0001905%), (IBM, 0, 0.60%, 0.0001957%), (ISRG, 0, 0.57%, 0.0002584%), (ETN, 0, 0.56%, 0.0002964%), (INTU, 0, 0.56%, 0.0001987%), (GS, 0, 0.55%, 0.0002010%), (DUK, 0, 0.55%, 0.0004715%), (WFC, 0, 0.55%, 0.0001647%), (HON, 0, 0.53%, 0.0002991%), (UBER, 0, 0.51%, 0.0002255%), (MET, 0, 0.51%, 0.0007908%), (NOW, 0, 0.50%, 0.0001957%), (DE, 0, 0.48%, 0.0002748%), (PEP, 0, 0.47%, 0.0001914%), (T, 0, 0.43%, 0.0008203%), (ACN, 0, 0.43%, 0.0001984%), (MS, 0, 0.43%, 0.0001494%), (MRK, 0, 0.42%, 0.0001635%), (AXP, 0, 0.41%, 0.0001553%), (QCOM, 0, 0.41%, 0.0001880%), (SPGI, 0, 0.41%, 0.0002015%), (ADBE, 0, 0.41%, 0.0002081%), (TXN, 0, 0.40%, 0.0001832%), (VZ, 0, 0.40%, 0.0001752%), (BLK, 0, 0.39%, 0.0001808%), (COP, 0, 0.39%, 0.0002545%), (MDT, 0, 0.38%, 0.0002570%), (DIS, 0, 0.38%, 0.0001399%), (UNP, 0, 0.38%, 0.0002283%), (TMO, 0, 0.37%, 0.0001642%), (C, 0, 0.36%, 0.0001629%), (AMAT, 0, 0.35%, 0.0001889%), (SBUX, 0, 0.35%, 0.0002689%), (SCHW, 0, 0.35%, 0.0001583%), (AMGN, 0, 0.33%, 0.0001612%), (LMT, 0, 0.32%, 0.0002662%), (EMR, 0, 0.31%, 0.0002958%), (MMM, 0, 0.30%, 0.0002993%), (GILD, 0, 0.29%, 0.0001620%), (PFE, 0, 0.28%, 0.0001609%), (DHR, 0, 0.27%, 0.0001470%), (TJX, 0, 0.26%, 0.0001492%), (CVS, 0, 0.24%, 0.0002548%), (MO, 0, 0.24%, 0.0001925%), (LOW, 0, 0.24%, 0.0001489%), (MDLZ, 0, 0.22%, 0.0001976%), (CMCSA, 0, 0.22%, 0.0001459%), (ELV, 0, 0.22%, 0.0002682%), (INTC, 0, 0.20%, 0.0001693%), (BMY, 0, 0.19%, 0.0001608%), (UPS, 0, 0.19%, 0.0002219%), (PYPL, 0, 0.17%, 0.0002060%), (CL, 0, 0.15%, 0.0001760%), (FDX, 0, 0.15%, 0.0002128%), (USB, 0, 0.14%, 0.0001589%), (TGT, 0, 0.09%, 0.0001512%), (nan, 0, -0.00%, 0.0000000%), (nan, 0, -0.01%, 0.0000000%)</t>
        </is>
      </c>
      <c r="R9" s="4" t="n">
        <v>1.311768578475204e-05</v>
      </c>
      <c r="S9" s="3" t="n">
        <v>18011649.54</v>
      </c>
      <c r="T9" s="4" t="n">
        <v>0.2266317370638482</v>
      </c>
      <c r="U9" t="inlineStr"/>
    </row>
    <row r="10">
      <c r="A10" s="2" t="n">
        <v>45867</v>
      </c>
      <c r="B10" t="inlineStr">
        <is>
          <t>HE3B2</t>
        </is>
      </c>
      <c r="C10" t="inlineStr">
        <is>
          <t>diversified</t>
        </is>
      </c>
      <c r="D10" s="3">
        <f>IF(J10/H10&gt;=0.75,"PASS","FAIL")</f>
        <v/>
      </c>
      <c r="E10" s="3">
        <f>IF(L10=0,"PASS","FAIL")</f>
        <v/>
      </c>
      <c r="F10" s="3">
        <f>IF(R10="","",IF(R10&lt;=0.1,"PASS","FAIL"))</f>
        <v/>
      </c>
      <c r="G10" s="3">
        <f>IF(S10=0,"PASS",IF(S10&lt;=0.05*J10,"PASS","FAIL"))</f>
        <v/>
      </c>
      <c r="H10" s="3" t="n">
        <v>24509189.3</v>
      </c>
      <c r="I10" s="4" t="n">
        <v>0</v>
      </c>
      <c r="J10" s="3" t="n">
        <v>20554225.05</v>
      </c>
      <c r="K10" s="3" t="n">
        <v>1495.76</v>
      </c>
      <c r="L10" s="3" t="n">
        <v>0</v>
      </c>
      <c r="M10" t="inlineStr">
        <is>
          <t>None</t>
        </is>
      </c>
      <c r="N10" t="inlineStr">
        <is>
          <t>NVDA, MSFT, AAPL, AMZN, GOOGLE</t>
        </is>
      </c>
      <c r="O10" s="4" t="n">
        <v>0.2912082589073335</v>
      </c>
      <c r="P10" s="4" t="n">
        <v>0.7087917410926665</v>
      </c>
      <c r="Q10" t="inlineStr">
        <is>
          <t>(AVGO, 0, 2.95%, 0.0000518%), (META, 0, 2.48%, 0.0000399%), (BRK/B, 0, 1.97%, 0.0000733%), (CSCO, 0, 1.70%, 0.0001553%), (LIN, 0, 1.67%, 0.0001861%), (AMT, 0, 1.55%, 0.0003764%), (JPM, 0, 1.55%, 0.0000466%), (TSLA, 0, 1.51%, 0.0000350%), (XOM, 0, 1.42%, 0.0000727%), (V, 0, 1.36%, 0.0000561%), (LLY, 0, 1.14%, 0.0000386%), (CB, 0, 1.06%, 0.0002472%), (WM, 0, 1.04%, 0.0002703%), (MA, 0, 1.04%, 0.0000507%), (GE, 0, 1.00%, 0.0000860%), (ORCL, 0, 0.92%, 0.0000320%), (NEE, 0, 0.82%, 0.0001344%), (NFLX, 0, 0.81%, 0.0000401%), (JNJ, 0, 0.76%, 0.0000463%), (CVX, 0, 0.75%, 0.0000576%), (PG, 0, 0.75%, 0.0000502%), (WMT, 0, 0.74%, 0.0000233%), (PLTR, 0, 0.74%, 0.0000512%), (UNH, 0, 0.73%, 0.0000750%), (COST, 0, 0.72%, 0.0000429%), (RTX, 0, 0.71%, 0.0000832%), (CAT, 0, 0.71%, 0.0000864%), (MCD, 0, 0.68%, 0.0000778%), (ABT, 0, 0.66%, 0.0000736%), (HD, 0, 0.64%, 0.0000422%), (ABBV, 0, 0.64%, 0.0000464%), (AMD, 0, 0.60%, 0.0000524%), (KO, 0, 0.60%, 0.0000493%), (BKNG, 0, 0.59%, 0.0000807%), (BAC, 0, 0.59%, 0.0000410%), (CRM, 0, 0.59%, 0.0000570%), (SO, 0, 0.58%, 0.0001355%), (BA, 0, 0.58%, 0.0000824%), (NKE, 0, 0.58%, 0.0001524%), (PM, 0, 0.56%, 0.0000547%), (IBM, 0, 0.56%, 0.0000562%), (ISRG, 0, 0.53%, 0.0000742%), (ETN, 0, 0.52%, 0.0000850%), (INTU, 0, 0.52%, 0.0000570%), (GS, 0, 0.52%, 0.0000577%), (DUK, 0, 0.51%, 0.0001353%), (WFC, 0, 0.51%, 0.0000473%), (HON, 0, 0.49%, 0.0000858%), (UBER, 0, 0.48%, 0.0000647%), (MET, 0, 0.48%, 0.0002269%), (NOW, 0, 0.47%, 0.0000562%), (DE, 0, 0.44%, 0.0000788%), (PEP, 0, 0.44%, 0.0000549%), (T, 0, 0.40%, 0.0002354%), (ACN, 0, 0.40%, 0.0000570%), (MS, 0, 0.40%, 0.0000428%), (MRK, 0, 0.39%, 0.0000469%), (AXP, 0, 0.39%, 0.0000446%), (QCOM, 0, 0.38%, 0.0000539%), (SPGI, 0, 0.38%, 0.0000578%), (ADBE, 0, 0.38%, 0.0000597%), (TXN, 0, 0.37%, 0.0000526%), (VZ, 0, 0.37%, 0.0000503%), (BLK, 0, 0.37%, 0.0000517%), (COP, 0, 0.36%, 0.0000730%), (MDT, 0, 0.36%, 0.0000738%), (DIS, 0, 0.35%, 0.0000402%), (UNP, 0, 0.35%, 0.0000654%), (TMO, 0, 0.35%, 0.0000471%), (C, 0, 0.33%, 0.0000467%), (AMAT, 0, 0.33%, 0.0000542%), (SCHW, 0, 0.33%, 0.0000454%), (SBUX, 0, 0.33%, 0.0000772%), (AMGN, 0, 0.31%, 0.0000463%), (LMT, 0, 0.30%, 0.0000765%), (EMR, 0, 0.29%, 0.0000849%), (MMM, 0, 0.28%, 0.0000858%), (GILD, 0, 0.27%, 0.0000465%), (PFE, 0, 0.26%, 0.0000462%), (DHR, 0, 0.25%, 0.0000422%), (TJX, 0, 0.25%, 0.0000428%), (CVS, 0, 0.23%, 0.0000731%), (MO, 0, 0.22%, 0.0000553%), (LOW, 0, 0.22%, 0.0000428%), (MDLZ, 0, 0.21%, 0.0000567%), (CMCSA, 0, 0.20%, 0.0000419%), (ELV, 0, 0.20%, 0.0000769%), (INTC, 0, 0.19%, 0.0000486%), (BMY, 0, 0.18%, 0.0000462%), (UPS, 0, 0.17%, 0.0000637%), (PYPL, 0, 0.16%, 0.0000591%), (CL, 0, 0.14%, 0.0000505%), (FDX, 0, 0.14%, 0.0000610%), (USB, 0, 0.13%, 0.0000456%), (TGT, 0, 0.08%, 0.0000434%), (nan, 0, -0.00%, 0.0000000%), (nan, 0, -0.01%, 0.0000000%)</t>
        </is>
      </c>
      <c r="R10" s="4" t="n">
        <v>3.763778269456619e-06</v>
      </c>
      <c r="S10" s="3" t="n">
        <v>58594</v>
      </c>
      <c r="T10" s="4" t="n">
        <v>0.002390695150410381</v>
      </c>
      <c r="U10" t="inlineStr"/>
    </row>
    <row r="11">
      <c r="A11" s="2" t="n">
        <v>45867</v>
      </c>
      <c r="B11" t="inlineStr">
        <is>
          <t>TR2B1</t>
        </is>
      </c>
      <c r="C11" t="inlineStr">
        <is>
          <t>diversified</t>
        </is>
      </c>
      <c r="D11" s="3">
        <f>IF(J11/H11&gt;=0.75,"PASS","FAIL")</f>
        <v/>
      </c>
      <c r="E11" s="3">
        <f>IF(L11=0,"PASS","FAIL")</f>
        <v/>
      </c>
      <c r="F11" s="3">
        <f>IF(R11="","",IF(R11&lt;=0.1,"PASS","FAIL"))</f>
        <v/>
      </c>
      <c r="G11" s="3">
        <f>IF(S11=0,"PASS",IF(S11&lt;=0.05*J11,"PASS","FAIL"))</f>
        <v/>
      </c>
      <c r="H11" s="3" t="n">
        <v>138150963.63</v>
      </c>
      <c r="I11" s="4" t="n">
        <v>0</v>
      </c>
      <c r="J11" s="3" t="n">
        <v>120742856.34</v>
      </c>
      <c r="K11" s="3" t="n">
        <v>8787.809999999999</v>
      </c>
      <c r="L11" s="3" t="n">
        <v>0</v>
      </c>
      <c r="M11" t="inlineStr">
        <is>
          <t>None</t>
        </is>
      </c>
      <c r="N11" t="inlineStr">
        <is>
          <t>NVDA, MSFT, AAPL, AMZN</t>
        </is>
      </c>
      <c r="O11" s="4" t="n">
        <v>0.2593555729029559</v>
      </c>
      <c r="P11" s="4" t="n">
        <v>0.7406444270970441</v>
      </c>
      <c r="Q11" t="inlineStr">
        <is>
          <t>(GOOGLE, 0, 3.64%, 0.0002288%), (AVGO, 0, 3.17%, 0.0003148%), (META, 0, 2.67%, 0.0002425%), (BRK/B, 0, 2.12%, 0.0004456%), (CSCO, 0, 1.83%, 0.0009436%), (LIN, 0, 1.80%, 0.0011303%), (AMT, 0, 1.67%, 0.0022871%), (JPM, 0, 1.67%, 0.0002829%), (TSLA, 0, 1.63%, 0.0002125%), (XOM, 0, 1.53%, 0.0004417%), (V, 0, 1.47%, 0.0003410%), (LLY, 0, 1.23%, 0.0002346%), (CB, 0, 1.15%, 0.0015015%), (WM, 0, 1.13%, 0.0016430%), (MA, 0, 1.12%, 0.0003082%), (GE, 0, 1.07%, 0.0005224%), (ORCL, 0, 0.99%, 0.0001944%), (NEE, 0, 0.88%, 0.0008164%), (NFLX, 0, 0.87%, 0.0002443%), (JNJ, 0, 0.82%, 0.0002812%), (CVX, 0, 0.81%, 0.0003497%), (PG, 0, 0.80%, 0.0003051%), (WMT, 0, 0.80%, 0.0001415%), (PLTR, 0, 0.79%, 0.0003108%), (UNH, 0, 0.79%, 0.0004553%), (COST, 0, 0.78%, 0.0002597%), (RTX, 0, 0.77%, 0.0005054%), (CAT, 0, 0.76%, 0.0005247%), (MCD, 0, 0.73%, 0.0004721%), (ABT, 0, 0.71%, 0.0004470%), (HD, 0, 0.69%, 0.0002561%), (ABBV, 0, 0.69%, 0.0002815%), (AMD, 0, 0.65%, 0.0003183%), (KO, 0, 0.64%, 0.0002997%), (BAC, 0, 0.64%, 0.0002490%), (CRM, 0, 0.64%, 0.0003463%), (BKNG, 0, 0.63%, 0.0004840%), (SO, 0, 0.62%, 0.0008234%), (BA, 0, 0.62%, 0.0005007%), (NKE, 0, 0.62%, 0.0009260%), (PM, 0, 0.60%, 0.0003321%), (IBM, 0, 0.60%, 0.0003412%), (ISRG, 0, 0.57%, 0.0004502%), (ETN, 0, 0.57%, 0.0005168%), (INTU, 0, 0.56%, 0.0003468%), (GS, 0, 0.55%, 0.0003508%), (DUK, 0, 0.55%, 0.0008220%), (WFC, 0, 0.55%, 0.0002872%), (HON, 0, 0.53%, 0.0005214%), (UBER, 0, 0.52%, 0.0003931%), (MET, 0, 0.52%, 0.0013786%), (NOW, 0, 0.50%, 0.0003413%), (DE, 0, 0.48%, 0.0004790%), (PEP, 0, 0.47%, 0.0003336%), (T, 0, 0.44%, 0.0014300%), (ACN, 0, 0.43%, 0.0003460%), (MS, 0, 0.43%, 0.0002605%), (MRK, 0, 0.43%, 0.0002850%), (AXP, 0, 0.42%, 0.0002707%), (QCOM, 0, 0.41%, 0.0003277%), (SPGI, 0, 0.41%, 0.0003514%), (ADBE, 0, 0.41%, 0.0003626%), (TXN, 0, 0.40%, 0.0003195%), (VZ, 0, 0.40%, 0.0003054%), (BLK, 0, 0.39%, 0.0003151%), (COP, 0, 0.39%, 0.0004437%), (MDT, 0, 0.38%, 0.0004481%), (DIS, 0, 0.38%, 0.0002440%), (UNP, 0, 0.38%, 0.0003979%), (TMO, 0, 0.37%, 0.0002867%), (C, 0, 0.36%, 0.0002839%), (AMAT, 0, 0.35%, 0.0003294%), (SCHW, 0, 0.35%, 0.0002760%), (SBUX, 0, 0.35%, 0.0004688%), (AMGN, 0, 0.33%, 0.0002810%), (LMT, 0, 0.32%, 0.0004641%), (EMR, 0, 0.31%, 0.0005158%), (MMM, 0, 0.30%, 0.0005218%), (GILD, 0, 0.29%, 0.0002824%), (PFE, 0, 0.28%, 0.0002805%), (DHR, 0, 0.27%, 0.0002561%), (TJX, 0, 0.26%, 0.0002600%), (CVS, 0, 0.24%, 0.0004443%), (MO, 0, 0.24%, 0.0003357%), (LOW, 0, 0.24%, 0.0002596%), (MDLZ, 0, 0.22%, 0.0003446%), (CMCSA, 0, 0.22%, 0.0002544%), (ELV, 0, 0.22%, 0.0004675%), (INTC, 0, 0.20%, 0.0002951%), (BMY, 0, 0.19%, 0.0002804%), (UPS, 0, 0.19%, 0.0003868%), (PYPL, 0, 0.17%, 0.0003591%), (CL, 0, 0.15%, 0.0003068%), (FDX, 0, 0.15%, 0.0003708%), (USB, 0, 0.14%, 0.0002770%), (TGT, 0, 0.09%, 0.0002634%), (nan, 0, -0.01%, 0.0000000%), (nan, 0, -0.01%, 0.0000000%)</t>
        </is>
      </c>
      <c r="R11" s="4" t="n">
        <v>2.28710408235369e-05</v>
      </c>
      <c r="S11" s="3" t="n">
        <v>35926238.44</v>
      </c>
      <c r="T11" s="4" t="n">
        <v>0.2600505815957876</v>
      </c>
      <c r="U11" t="inlineStr"/>
    </row>
    <row r="12">
      <c r="A12" s="2" t="n">
        <v>45867</v>
      </c>
      <c r="B12" t="inlineStr">
        <is>
          <t>TR2B2</t>
        </is>
      </c>
      <c r="C12" t="inlineStr">
        <is>
          <t>diversified</t>
        </is>
      </c>
      <c r="D12" s="3">
        <f>IF(J12/H12&gt;=0.75,"PASS","FAIL")</f>
        <v/>
      </c>
      <c r="E12" s="3">
        <f>IF(L12=0,"PASS","FAIL")</f>
        <v/>
      </c>
      <c r="F12" s="3">
        <f>IF(R12="","",IF(R12&lt;=0.1,"PASS","FAIL"))</f>
        <v/>
      </c>
      <c r="G12" s="3">
        <f>IF(S12=0,"PASS",IF(S12&lt;=0.05*J12,"PASS","FAIL"))</f>
        <v/>
      </c>
      <c r="H12" s="3" t="n">
        <v>166314669.03</v>
      </c>
      <c r="I12" s="4" t="n">
        <v>0</v>
      </c>
      <c r="J12" s="3" t="n">
        <v>142218844.88</v>
      </c>
      <c r="K12" s="3" t="n">
        <v>10345.96</v>
      </c>
      <c r="L12" s="3" t="n">
        <v>0</v>
      </c>
      <c r="M12" t="inlineStr">
        <is>
          <t>None</t>
        </is>
      </c>
      <c r="N12" t="inlineStr">
        <is>
          <t>NVDA, MSFT, AAPL, AMZN, GOOGLE</t>
        </is>
      </c>
      <c r="O12" s="4" t="n">
        <v>0.2907473095769388</v>
      </c>
      <c r="P12" s="4" t="n">
        <v>0.7092526904230612</v>
      </c>
      <c r="Q12" t="inlineStr">
        <is>
          <t>(AVGO, 0, 3.00%, 0.0003582%), (META, 0, 2.53%, 0.0002759%), (BRK/B, 0, 2.01%, 0.0005071%), (CSCO, 0, 1.73%, 0.0010737%), (LIN, 0, 1.70%, 0.0012862%), (AMT, 0, 1.58%, 0.0026026%), (JPM, 0, 1.58%, 0.0003219%), (TSLA, 0, 1.54%, 0.0002418%), (XOM, 0, 1.44%, 0.0005026%), (V, 0, 1.39%, 0.0003880%), (LLY, 0, 1.16%, 0.0002669%), (CB, 0, 1.08%, 0.0017085%), (WM, 0, 1.06%, 0.0018696%), (MA, 0, 1.06%, 0.0003507%), (GE, 0, 1.01%, 0.0005943%), (ORCL, 0, 0.94%, 0.0002212%), (NEE, 0, 0.83%, 0.0009290%), (NFLX, 0, 0.83%, 0.0002780%), (JNJ, 0, 0.78%, 0.0003201%), (CVX, 0, 0.76%, 0.0003980%), (PG, 0, 0.76%, 0.0003472%), (WMT, 0, 0.76%, 0.0001610%), (PLTR, 0, 0.75%, 0.0003537%), (UNH, 0, 0.75%, 0.0005181%), (COST, 0, 0.74%, 0.0002956%), (RTX, 0, 0.72%, 0.0005750%), (CAT, 0, 0.72%, 0.0005970%), (MCD, 0, 0.69%, 0.0005373%), (ABT, 0, 0.68%, 0.0005087%), (HD, 0, 0.65%, 0.0002914%), (ABBV, 0, 0.65%, 0.0003203%), (AMD, 0, 0.61%, 0.0003621%), (KO, 0, 0.61%, 0.0003410%), (BAC, 0, 0.60%, 0.0002834%), (CRM, 0, 0.60%, 0.0003941%), (BKNG, 0, 0.60%, 0.0005491%), (SO, 0, 0.59%, 0.0009370%), (BA, 0, 0.59%, 0.0005698%), (NKE, 0, 0.59%, 0.0010537%), (PM, 0, 0.57%, 0.0003779%), (IBM, 0, 0.57%, 0.0003881%), (ISRG, 0, 0.54%, 0.0005123%), (ETN, 0, 0.53%, 0.0005880%), (INTU, 0, 0.53%, 0.0003945%), (GS, 0, 0.52%, 0.0003991%), (DUK, 0, 0.52%, 0.0009354%), (WFC, 0, 0.52%, 0.0003268%), (HON, 0, 0.50%, 0.0005933%), (UBER, 0, 0.49%, 0.0004472%), (MET, 0, 0.49%, 0.0015687%), (NOW, 0, 0.48%, 0.0003885%), (DE, 0, 0.45%, 0.0005453%), (PEP, 0, 0.45%, 0.0003796%), (T, 0, 0.41%, 0.0016272%), (ACN, 0, 0.41%, 0.0003937%), (MS, 0, 0.41%, 0.0002964%), (MRK, 0, 0.40%, 0.0003243%), (AXP, 0, 0.39%, 0.0003080%), (QCOM, 0, 0.39%, 0.0003729%), (SPGI, 0, 0.38%, 0.0003999%), (ADBE, 0, 0.38%, 0.0004126%), (TXN, 0, 0.38%, 0.0003636%), (VZ, 0, 0.38%, 0.0003476%), (BLK, 0, 0.37%, 0.0003584%), (COP, 0, 0.37%, 0.0005049%), (MDT, 0, 0.36%, 0.0005099%), (DIS, 0, 0.36%, 0.0002777%), (UNP, 0, 0.36%, 0.0004527%), (TMO, 0, 0.35%, 0.0003261%), (C, 0, 0.34%, 0.0003230%), (AMAT, 0, 0.34%, 0.0003748%), (SCHW, 0, 0.33%, 0.0003141%), (SBUX, 0, 0.33%, 0.0005335%), (AMGN, 0, 0.31%, 0.0003197%), (LMT, 0, 0.31%, 0.0005281%), (EMR, 0, 0.29%, 0.0005869%), (MMM, 0, 0.29%, 0.0005939%), (GILD, 0, 0.27%, 0.0003213%), (PFE, 0, 0.27%, 0.0003192%), (DHR, 0, 0.25%, 0.0002915%), (TJX, 0, 0.25%, 0.0002960%), (CVS, 0, 0.23%, 0.0005056%), (MO, 0, 0.23%, 0.0003820%), (LOW, 0, 0.23%, 0.0002955%), (MDLZ, 0, 0.21%, 0.0003921%), (CMCSA, 0, 0.21%, 0.0002895%), (ELV, 0, 0.21%, 0.0005323%), (INTC, 0, 0.19%, 0.0003358%), (BMY, 0, 0.18%, 0.0003190%), (UPS, 0, 0.18%, 0.0004402%), (PYPL, 0, 0.17%, 0.0004087%), (CL, 0, 0.15%, 0.0003492%), (FDX, 0, 0.14%, 0.0004221%), (USB, 0, 0.14%, 0.0003152%), (TGT, 0, 0.09%, 0.0002997%), (nan, 0, -0.01%, 0.0000000%), (nan, 0, -0.01%, 0.0000000%)</t>
        </is>
      </c>
      <c r="R12" s="4" t="n">
        <v>2.602603543419946e-05</v>
      </c>
      <c r="S12" s="3" t="n">
        <v>492893</v>
      </c>
      <c r="T12" s="4" t="n">
        <v>0.002963617117327705</v>
      </c>
      <c r="U12" t="inlineStr"/>
    </row>
    <row r="13">
      <c r="A13" s="2" t="n">
        <v>45868</v>
      </c>
      <c r="B13" t="inlineStr">
        <is>
          <t>P21026</t>
        </is>
      </c>
      <c r="C13" t="inlineStr">
        <is>
          <t>diversified</t>
        </is>
      </c>
      <c r="D13" s="3">
        <f>IF(J13/H13&gt;=0.75,"PASS","FAIL")</f>
        <v/>
      </c>
      <c r="E13" s="3">
        <f>IF(L13=0,"PASS","FAIL")</f>
        <v/>
      </c>
      <c r="F13" s="3">
        <f>IF(R13="","",IF(R13&lt;=0.1,"PASS","FAIL"))</f>
        <v/>
      </c>
      <c r="G13" s="3">
        <f>IF(S13=0,"PASS",IF(S13&lt;=0.05*J13,"PASS","FAIL"))</f>
        <v/>
      </c>
      <c r="H13" s="3" t="n">
        <v>23919832.67</v>
      </c>
      <c r="I13" s="4" t="n">
        <v>0</v>
      </c>
      <c r="J13" s="3" t="n">
        <v>21597718.49</v>
      </c>
      <c r="K13" s="3" t="n">
        <v>1570.87</v>
      </c>
      <c r="L13" s="3" t="n">
        <v>0</v>
      </c>
      <c r="M13" t="inlineStr">
        <is>
          <t>None</t>
        </is>
      </c>
      <c r="N13" t="inlineStr">
        <is>
          <t>NVDA, MSFT, AAPL, AMZN</t>
        </is>
      </c>
      <c r="O13" s="4" t="n">
        <v>0.2537822720736833</v>
      </c>
      <c r="P13" s="4" t="n">
        <v>0.7462177279263167</v>
      </c>
      <c r="Q13" t="inlineStr">
        <is>
          <t>(GOOGLE, 0, 3.69%, 0.0000399%), (AVGO, 0, 3.26%, 0.0000550%), (META, 0, 2.67%, 0.0000423%), (BRK/B, 0, 2.13%, 0.0000778%), (CSCO, 0, 1.85%, 0.0001647%), (LIN, 0, 1.79%, 0.0001972%), (JPM, 0, 1.69%, 0.0000494%), (AMT, 0, 1.63%, 0.0003992%), (TSLA, 0, 1.63%, 0.0000371%), (XOM, 0, 1.53%, 0.0000771%), (V, 0, 1.48%, 0.0000595%), (LLY, 0, 1.23%, 0.0000409%), (CB, 0, 1.15%, 0.0002620%), (WM, 0, 1.12%, 0.0002867%), (MA, 0, 1.12%, 0.0000539%), (GE, 0, 1.09%, 0.0000912%), (ORCL, 0, 1.00%, 0.0000340%), (NFLX, 0, 0.90%, 0.0000427%), (NEE, 0, 0.88%, 0.0001425%), (JNJ, 0, 0.82%, 0.0000491%), (PLTR, 0, 0.82%, 0.0000543%), (WMT, 0, 0.80%, 0.0000247%), (UNH, 0, 0.80%, 0.0000795%), (CVX, 0, 0.80%, 0.0000611%), (PG, 0, 0.79%, 0.0000533%), (RTX, 0, 0.78%, 0.0000882%), (CAT, 0, 0.78%, 0.0000916%), (COST, 0, 0.78%, 0.0000454%), (MCD, 0, 0.74%, 0.0000824%), (ABT, 0, 0.72%, 0.0000780%), (HD, 0, 0.69%, 0.0000447%), (ABBV, 0, 0.68%, 0.0000491%), (AMD, 0, 0.66%, 0.0000556%), (KO, 0, 0.64%, 0.0000523%), (BAC, 0, 0.64%, 0.0000435%), (BKNG, 0, 0.63%, 0.0000838%), (CRM, 0, 0.63%, 0.0000604%), (BA, 0, 0.63%, 0.0000874%), (SO, 0, 0.63%, 0.0001437%), (NKE, 0, 0.61%, 0.0001616%), (PM, 0, 0.61%, 0.0000579%), (IBM, 0, 0.60%, 0.0000596%), (ISRG, 0, 0.58%, 0.0000787%), (ETN, 0, 0.57%, 0.0000902%), (INTU, 0, 0.57%, 0.0000606%), (GS, 0, 0.56%, 0.0000613%), (DUK, 0, 0.56%, 0.0001435%), (WFC, 0, 0.55%, 0.0000501%), (HON, 0, 0.53%, 0.0000910%), (UBER, 0, 0.52%, 0.0000686%), (NOW, 0, 0.51%, 0.0000596%), (MET, 0, 0.50%, 0.0002406%), (DE, 0, 0.48%, 0.0000836%), (PEP, 0, 0.47%, 0.0000582%), (T, 0, 0.44%, 0.0002496%), (MS, 0, 0.44%, 0.0000455%), (ACN, 0, 0.43%, 0.0000604%), (MRK, 0, 0.42%, 0.0000498%), (AXP, 0, 0.41%, 0.0000473%), (SPGI, 0, 0.41%, 0.0000614%), (QCOM, 0, 0.41%, 0.0000572%), (ADBE, 0, 0.40%, 0.0000633%), (VZ, 0, 0.40%, 0.0000533%), (TXN, 0, 0.40%, 0.0000558%), (BLK, 0, 0.40%, 0.0000549%), (COP, 0, 0.39%, 0.0000774%), (UNP, 0, 0.39%, 0.0000695%), (MDT, 0, 0.38%, 0.0000782%), (DIS, 0, 0.38%, 0.0000426%), (TMO, 0, 0.37%, 0.0000500%), (C, 0, 0.36%, 0.0000495%), (AMAT, 0, 0.36%, 0.0000575%), (SBUX, 0, 0.36%, 0.0000818%), (SCHW, 0, 0.36%, 0.0000482%), (AMGN, 0, 0.33%, 0.0000490%), (LMT, 0, 0.33%, 0.0000808%), (EMR, 0, 0.31%, 0.0000901%), (MMM, 0, 0.30%, 0.0000911%), (GILD, 0, 0.29%, 0.0000493%), (PFE, 0, 0.28%, 0.0000490%), (DHR, 0, 0.27%, 0.0000447%), (TJX, 0, 0.26%, 0.0000454%), (CVS, 0, 0.25%, 0.0000775%), (MO, 0, 0.25%, 0.0000586%), (LOW, 0, 0.24%, 0.0000453%), (ELV, 0, 0.22%, 0.0000814%), (CMCSA, 0, 0.22%, 0.0000444%), (MDLZ, 0, 0.21%, 0.0000601%), (INTC, 0, 0.20%, 0.0000515%), (BMY, 0, 0.19%, 0.0000489%), (UPS, 0, 0.18%, 0.0000675%), (PYPL, 0, 0.17%, 0.0000627%), (CL, 0, 0.15%, 0.0000536%), (USB, 0, 0.14%, 0.0000483%), (FDX, 0, 0.14%, 0.0000648%), (TGT, 0, 0.09%, 0.0000460%), (nan, 0, -0.01%, 0.0000000%), (nan, 0, -0.01%, 0.0000000%)</t>
        </is>
      </c>
      <c r="R13" s="4" t="n">
        <v>3.992339151881056e-06</v>
      </c>
      <c r="S13" s="3" t="n">
        <v>4286054.88</v>
      </c>
      <c r="T13" s="4" t="n">
        <v>0.1791841497861113</v>
      </c>
      <c r="U13" t="inlineStr"/>
    </row>
    <row r="14">
      <c r="A14" s="2" t="n">
        <v>45868</v>
      </c>
      <c r="B14" t="inlineStr">
        <is>
          <t>HE3B1</t>
        </is>
      </c>
      <c r="C14" t="inlineStr">
        <is>
          <t>diversified</t>
        </is>
      </c>
      <c r="D14" s="3">
        <f>IF(J14/H14&gt;=0.75,"PASS","FAIL")</f>
        <v/>
      </c>
      <c r="E14" s="3">
        <f>IF(L14=0,"PASS","FAIL")</f>
        <v/>
      </c>
      <c r="F14" s="3">
        <f>IF(R14="","",IF(R14&lt;=0.1,"PASS","FAIL"))</f>
        <v/>
      </c>
      <c r="G14" s="3">
        <f>IF(S14=0,"PASS",IF(S14&lt;=0.05*J14,"PASS","FAIL"))</f>
        <v/>
      </c>
      <c r="H14" s="3" t="n">
        <v>43696649.9</v>
      </c>
      <c r="I14" s="4" t="n">
        <v>0</v>
      </c>
      <c r="J14" s="3" t="n">
        <v>36876400.03</v>
      </c>
      <c r="K14" s="3" t="n">
        <v>2681.72</v>
      </c>
      <c r="L14" s="3" t="n">
        <v>0</v>
      </c>
      <c r="M14" t="inlineStr">
        <is>
          <t>None</t>
        </is>
      </c>
      <c r="N14" t="inlineStr">
        <is>
          <t>NVDA, MSFT, AAPL, AMZN</t>
        </is>
      </c>
      <c r="O14" s="4" t="n">
        <v>0.2597631371882045</v>
      </c>
      <c r="P14" s="4" t="n">
        <v>0.7402368628117955</v>
      </c>
      <c r="Q14" t="inlineStr">
        <is>
          <t>(GOOGLE, 0, 3.52%, 0.0000697%), (AVGO, 0, 3.12%, 0.0000959%), (META, 0, 2.55%, 0.0000739%), (BRK/B, 0, 2.03%, 0.0001358%), (CSCO, 0, 1.77%, 0.0002876%), (LIN, 0, 1.71%, 0.0003444%), (JPM, 0, 1.62%, 0.0000862%), (AMT, 0, 1.56%, 0.0006970%), (TSLA, 0, 1.55%, 0.0000647%), (XOM, 0, 1.46%, 0.0001346%), (V, 0, 1.42%, 0.0001039%), (LLY, 0, 1.18%, 0.0000715%), (CB, 0, 1.09%, 0.0004576%), (WM, 0, 1.07%, 0.0005007%), (MA, 0, 1.07%, 0.0000939%), (GE, 0, 1.05%, 0.0001592%), (ORCL, 0, 0.96%, 0.0000592%), (NFLX, 0, 0.85%, 0.0000746%), (NEE, 0, 0.84%, 0.0002488%), (JNJ, 0, 0.79%, 0.0000857%), (PLTR, 0, 0.78%, 0.0000947%), (WMT, 0, 0.77%, 0.0000431%), (UNH, 0, 0.76%, 0.0001388%), (CVX, 0, 0.76%, 0.0001066%), (PG, 0, 0.76%, 0.0000930%), (RTX, 0, 0.75%, 0.0001540%), (COST, 0, 0.74%, 0.0000792%), (CAT, 0, 0.74%, 0.0001599%), (MCD, 0, 0.71%, 0.0001439%), (ABT, 0, 0.69%, 0.0001362%), (HD, 0, 0.66%, 0.0000781%), (ABBV, 0, 0.65%, 0.0000858%), (AMD, 0, 0.64%, 0.0000970%), (KO, 0, 0.62%, 0.0000913%), (BAC, 0, 0.61%, 0.0000759%), (CRM, 0, 0.61%, 0.0001056%), (BKNG, 0, 0.60%, 0.0001458%), (BA, 0, 0.60%, 0.0001526%), (SO, 0, 0.60%, 0.0002510%), (NKE, 0, 0.59%, 0.0002822%), (PM, 0, 0.58%, 0.0001012%), (IBM, 0, 0.58%, 0.0001040%), (ISRG, 0, 0.55%, 0.0001371%), (ETN, 0, 0.55%, 0.0001575%), (INTU, 0, 0.54%, 0.0001058%), (DUK, 0, 0.54%, 0.0002504%), (GS, 0, 0.53%, 0.0001070%), (WFC, 0, 0.52%, 0.0000875%), (HON, 0, 0.51%, 0.0001589%), (UBER, 0, 0.50%, 0.0001198%), (NOW, 0, 0.48%, 0.0001038%), (MET, 0, 0.48%, 0.0004201%), (DE, 0, 0.46%, 0.0001461%), (PEP, 0, 0.45%, 0.0001017%), (T, 0, 0.42%, 0.0004358%), (MS, 0, 0.42%, 0.0000794%), (ACN, 0, 0.41%, 0.0001055%), (MRK, 0, 0.41%, 0.0000869%), (AXP, 0, 0.39%, 0.0000825%), (QCOM, 0, 0.39%, 0.0000999%), (SPGI, 0, 0.39%, 0.0001070%), (ADBE, 0, 0.39%, 0.0001106%), (VZ, 0, 0.38%, 0.0000931%), (TXN, 0, 0.38%, 0.0000974%), (BLK, 0, 0.38%, 0.0000962%), (COP, 0, 0.37%, 0.0001352%), (UNP, 0, 0.37%, 0.0001212%), (MDT, 0, 0.37%, 0.0001366%), (DIS, 0, 0.37%, 0.0000744%), (TMO, 0, 0.36%, 0.0000873%), (C, 0, 0.35%, 0.0000865%), (SBUX, 0, 0.34%, 0.0001429%), (AMAT, 0, 0.34%, 0.0001004%), (SCHW, 0, 0.34%, 0.0000841%), (AMGN, 0, 0.32%, 0.0000856%), (LMT, 0, 0.31%, 0.0001413%), (EMR, 0, 0.29%, 0.0001572%), (MMM, 0, 0.28%, 0.0001591%), (GILD, 0, 0.28%, 0.0000861%), (PFE, 0, 0.26%, 0.0000855%), (DHR, 0, 0.26%, 0.0000780%), (TJX, 0, 0.25%, 0.0000792%), (CVS, 0, 0.24%, 0.0001354%), (MO, 0, 0.24%, 0.0001023%), (LOW, 0, 0.23%, 0.0000792%), (ELV, 0, 0.21%, 0.0001426%), (CMCSA, 0, 0.21%, 0.0000775%), (MDLZ, 0, 0.20%, 0.0001050%), (INTC, 0, 0.19%, 0.0000899%), (BMY, 0, 0.18%, 0.0000855%), (UPS, 0, 0.17%, 0.0001179%), (PYPL, 0, 0.16%, 0.0001094%), (CL, 0, 0.15%, 0.0000935%), (USB, 0, 0.14%, 0.0000844%), (FDX, 0, 0.14%, 0.0001132%), (TGT, 0, 0.09%, 0.0000803%), (nan, 0, -0.01%, 0.0000000%), (nan, 0, -0.01%, 0.0000000%)</t>
        </is>
      </c>
      <c r="R14" s="4" t="n">
        <v>6.970038872438676e-06</v>
      </c>
      <c r="S14" s="3" t="n">
        <v>14843724.86</v>
      </c>
      <c r="T14" s="4" t="n">
        <v>0.3396993795627339</v>
      </c>
      <c r="U14" t="inlineStr"/>
    </row>
    <row r="15">
      <c r="A15" s="2" t="n">
        <v>45868</v>
      </c>
      <c r="B15" t="inlineStr">
        <is>
          <t>P30128</t>
        </is>
      </c>
      <c r="C15" t="inlineStr">
        <is>
          <t>diversified</t>
        </is>
      </c>
      <c r="D15" s="3">
        <f>IF(J15/H15&gt;=0.75,"PASS","FAIL")</f>
        <v/>
      </c>
      <c r="E15" s="3">
        <f>IF(L15=0,"PASS","FAIL")</f>
        <v/>
      </c>
      <c r="F15" s="3">
        <f>IF(R15="","",IF(R15&lt;=0.1,"PASS","FAIL"))</f>
        <v/>
      </c>
      <c r="G15" s="3">
        <f>IF(S15=0,"PASS",IF(S15&lt;=0.05*J15,"PASS","FAIL"))</f>
        <v/>
      </c>
      <c r="H15" s="3" t="n">
        <v>40706285.1</v>
      </c>
      <c r="I15" s="4" t="n">
        <v>0</v>
      </c>
      <c r="J15" s="3" t="n">
        <v>35019601.57</v>
      </c>
      <c r="K15" s="3" t="n">
        <v>2546.87</v>
      </c>
      <c r="L15" s="3" t="n">
        <v>0</v>
      </c>
      <c r="M15" t="inlineStr">
        <is>
          <t>None</t>
        </is>
      </c>
      <c r="N15" t="inlineStr">
        <is>
          <t>NVDA, MSFT, AAPL, AMZN</t>
        </is>
      </c>
      <c r="O15" s="4" t="n">
        <v>0.2517589048629487</v>
      </c>
      <c r="P15" s="4" t="n">
        <v>0.7482410951370513</v>
      </c>
      <c r="Q15" t="inlineStr">
        <is>
          <t>(GOOGLE, 0, 3.48%, 0.0000642%), (AVGO, 0, 3.09%, 0.0000883%), (META, 0, 2.52%, 0.0000680%), (BRK/B, 0, 2.01%, 0.0001250%), (CSCO, 0, 1.75%, 0.0002646%), (LIN, 0, 1.69%, 0.0003170%), (JPM, 0, 1.60%, 0.0000794%), (AMT, 0, 1.54%, 0.0006415%), (TSLA, 0, 1.54%, 0.0000596%), (XOM, 0, 1.44%, 0.0001239%), (V, 0, 1.40%, 0.0000956%), (LLY, 0, 1.16%, 0.0000658%), (CB, 0, 1.08%, 0.0004210%), (WM, 0, 1.06%, 0.0004607%), (MA, 0, 1.06%, 0.0000865%), (GE, 0, 1.03%, 0.0001465%), (ORCL, 0, 0.95%, 0.0000545%), (NFLX, 0, 0.84%, 0.0000684%), (NEE, 0, 0.83%, 0.0002290%), (JNJ, 0, 0.78%, 0.0000789%), (PLTR, 0, 0.77%, 0.0000872%), (WMT, 0, 0.76%, 0.0000397%), (UNH, 0, 0.76%, 0.0001277%), (CVX, 0, 0.75%, 0.0000981%), (PG, 0, 0.75%, 0.0000856%), (RTX, 0, 0.74%, 0.0001417%), (COST, 0, 0.73%, 0.0000729%), (CAT, 0, 0.73%, 0.0001471%), (MCD, 0, 0.70%, 0.0001324%), (ABT, 0, 0.68%, 0.0001254%), (HD, 0, 0.65%, 0.0000718%), (ABBV, 0, 0.64%, 0.0000790%), (AMD, 0, 0.63%, 0.0000893%), (KO, 0, 0.61%, 0.0000841%), (BAC, 0, 0.61%, 0.0000698%), (BKNG, 0, 0.61%, 0.0001365%), (CRM, 0, 0.60%, 0.0000972%), (BA, 0, 0.59%, 0.0001404%), (SO, 0, 0.59%, 0.0002310%), (NKE, 0, 0.58%, 0.0002597%), (PM, 0, 0.58%, 0.0000931%), (IBM, 0, 0.57%, 0.0000956%), (ISRG, 0, 0.55%, 0.0001264%), (ETN, 0, 0.54%, 0.0001449%), (INTU, 0, 0.53%, 0.0000972%), (DUK, 0, 0.53%, 0.0002305%), (GS, 0, 0.53%, 0.0000984%), (WFC, 0, 0.52%, 0.0000805%), (HON, 0, 0.51%, 0.0001462%), (UBER, 0, 0.49%, 0.0001102%), (NOW, 0, 0.48%, 0.0000957%), (MET, 0, 0.47%, 0.0003866%), (DE, 0, 0.45%, 0.0001343%), (PEP, 0, 0.45%, 0.0000935%), (T, 0, 0.42%, 0.0004011%), (MS, 0, 0.41%, 0.0000730%), (ACN, 0, 0.41%, 0.0000970%), (MRK, 0, 0.40%, 0.0000800%), (AXP, 0, 0.39%, 0.0000759%), (QCOM, 0, 0.39%, 0.0000919%), (SPGI, 0, 0.39%, 0.0000984%), (ADBE, 0, 0.38%, 0.0001018%), (VZ, 0, 0.38%, 0.0000857%), (TXN, 0, 0.38%, 0.0000896%), (BLK, 0, 0.37%, 0.0000885%), (COP, 0, 0.37%, 0.0001244%), (UNP, 0, 0.37%, 0.0001116%), (MDT, 0, 0.36%, 0.0001257%), (DIS, 0, 0.36%, 0.0000684%), (TMO, 0, 0.35%, 0.0000804%), (C, 0, 0.34%, 0.0000796%), (SBUX, 0, 0.34%, 0.0001315%), (AMAT, 0, 0.34%, 0.0000924%), (SCHW, 0, 0.34%, 0.0000774%), (AMGN, 0, 0.31%, 0.0000788%), (LMT, 0, 0.31%, 0.0001301%), (EMR, 0, 0.29%, 0.0001446%), (MMM, 0, 0.28%, 0.0001465%), (GILD, 0, 0.28%, 0.0000792%), (PFE, 0, 0.26%, 0.0000787%), (DHR, 0, 0.25%, 0.0000718%), (TJX, 0, 0.25%, 0.0000730%), (CVS, 0, 0.24%, 0.0001246%), (MO, 0, 0.24%, 0.0000942%), (LOW, 0, 0.23%, 0.0000727%), (ELV, 0, 0.21%, 0.0001314%), (CMCSA, 0, 0.21%, 0.0000713%), (MDLZ, 0, 0.20%, 0.0000966%), (INTC, 0, 0.19%, 0.0000828%), (BMY, 0, 0.18%, 0.0000786%), (UPS, 0, 0.17%, 0.0001084%), (PYPL, 0, 0.16%, 0.0001007%), (CL, 0, 0.15%, 0.0000861%), (USB, 0, 0.14%, 0.0000777%), (FDX, 0, 0.13%, 0.0001038%), (TGT, 0, 0.08%, 0.0000739%), (nan, 0, -0.01%, 0.0000000%), (nan, 0, -0.01%, 0.0000000%)</t>
        </is>
      </c>
      <c r="R15" s="4" t="n">
        <v>6.414657288977428e-06</v>
      </c>
      <c r="S15" s="3" t="n">
        <v>11122649.78</v>
      </c>
      <c r="T15" s="4" t="n">
        <v>0.273241583030135</v>
      </c>
      <c r="U15" t="inlineStr"/>
    </row>
    <row r="16">
      <c r="A16" s="2" t="n">
        <v>45868</v>
      </c>
      <c r="B16" t="inlineStr">
        <is>
          <t>P20127</t>
        </is>
      </c>
      <c r="C16" t="inlineStr">
        <is>
          <t>diversified</t>
        </is>
      </c>
      <c r="D16" s="3">
        <f>IF(J16/H16&gt;=0.75,"PASS","FAIL")</f>
        <v/>
      </c>
      <c r="E16" s="3">
        <f>IF(L16=0,"PASS","FAIL")</f>
        <v/>
      </c>
      <c r="F16" s="3">
        <f>IF(R16="","",IF(R16&lt;=0.1,"PASS","FAIL"))</f>
        <v/>
      </c>
      <c r="G16" s="3">
        <f>IF(S16=0,"PASS",IF(S16&lt;=0.05*J16,"PASS","FAIL"))</f>
        <v/>
      </c>
      <c r="H16" s="3" t="n">
        <v>103031141.08</v>
      </c>
      <c r="I16" s="4" t="n">
        <v>0</v>
      </c>
      <c r="J16" s="3" t="n">
        <v>92831874.31</v>
      </c>
      <c r="K16" s="3" t="n">
        <v>6749.61</v>
      </c>
      <c r="L16" s="3" t="n">
        <v>0</v>
      </c>
      <c r="M16" t="inlineStr">
        <is>
          <t>None</t>
        </is>
      </c>
      <c r="N16" t="inlineStr">
        <is>
          <t>NVDA, MSFT, AAPL, AMZN</t>
        </is>
      </c>
      <c r="O16" s="4" t="n">
        <v>0.2519665133754639</v>
      </c>
      <c r="P16" s="4" t="n">
        <v>0.7480334866245362</v>
      </c>
      <c r="Q16" t="inlineStr">
        <is>
          <t>(GOOGLE, 0, 3.65%, 0.0001704%), (AVGO, 0, 3.23%, 0.0002345%), (META, 0, 2.64%, 0.0001806%), (BRK/B, 0, 2.11%, 0.0003319%), (CSCO, 0, 1.83%, 0.0007028%), (LIN, 0, 1.78%, 0.0008418%), (JPM, 0, 1.68%, 0.0002107%), (AMT, 0, 1.61%, 0.0017033%), (TSLA, 0, 1.61%, 0.0001582%), (XOM, 0, 1.51%, 0.0003290%), (V, 0, 1.47%, 0.0002540%), (LLY, 0, 1.22%, 0.0001747%), (CB, 0, 1.13%, 0.0011183%), (WM, 0, 1.11%, 0.0012237%), (MA, 0, 1.11%, 0.0002296%), (GE, 0, 1.08%, 0.0003891%), (ORCL, 0, 0.99%, 0.0001448%), (NFLX, 0, 0.88%, 0.0001820%), (NEE, 0, 0.87%, 0.0006080%), (JNJ, 0, 0.82%, 0.0002095%), (PLTR, 0, 0.81%, 0.0002315%), (WMT, 0, 0.79%, 0.0001054%), (UNH, 0, 0.79%, 0.0003391%), (CVX, 0, 0.79%, 0.0002605%), (PG, 0, 0.78%, 0.0002272%), (RTX, 0, 0.77%, 0.0003764%), (COST, 0, 0.77%, 0.0001936%), (CAT, 0, 0.77%, 0.0003908%), (MCD, 0, 0.73%, 0.0003516%), (ABT, 0, 0.72%, 0.0003329%), (HD, 0, 0.68%, 0.0001908%), (ABBV, 0, 0.67%, 0.0002097%), (AMD, 0, 0.66%, 0.0002371%), (KO, 0, 0.64%, 0.0002232%), (BAC, 0, 0.64%, 0.0001855%), (BKNG, 0, 0.63%, 0.0003599%), (CRM, 0, 0.63%, 0.0002579%), (BA, 0, 0.62%, 0.0003728%), (SO, 0, 0.62%, 0.0006133%), (NKE, 0, 0.61%, 0.0006897%), (PM, 0, 0.60%, 0.0002474%), (IBM, 0, 0.60%, 0.0002541%), (ISRG, 0, 0.57%, 0.0003354%), (ETN, 0, 0.56%, 0.0003848%), (INTU, 0, 0.56%, 0.0002582%), (DUK, 0, 0.56%, 0.0006122%), (GS, 0, 0.55%, 0.0002614%), (WFC, 0, 0.54%, 0.0002139%), (HON, 0, 0.53%, 0.0003883%), (UBER, 0, 0.52%, 0.0002927%), (NOW, 0, 0.50%, 0.0002543%), (MET, 0, 0.50%, 0.0010267%), (DE, 0, 0.47%, 0.0003570%), (PEP, 0, 0.47%, 0.0002485%), (T, 0, 0.44%, 0.0010651%), (MS, 0, 0.43%, 0.0001940%), (ACN, 0, 0.43%, 0.0002577%), (MRK, 0, 0.42%, 0.0002123%), (AXP, 0, 0.41%, 0.0002016%), (SPGI, 0, 0.41%, 0.0002619%), (QCOM, 0, 0.40%, 0.0002441%), (ADBE, 0, 0.40%, 0.0002702%), (VZ, 0, 0.40%, 0.0002275%), (TXN, 0, 0.39%, 0.0002379%), (BLK, 0, 0.39%, 0.0002344%), (COP, 0, 0.38%, 0.0003305%), (UNP, 0, 0.38%, 0.0002964%), (MDT, 0, 0.38%, 0.0003338%), (DIS, 0, 0.38%, 0.0001817%), (TMO, 0, 0.37%, 0.0002135%), (C, 0, 0.36%, 0.0002114%), (SBUX, 0, 0.36%, 0.0003492%), (AMAT, 0, 0.36%, 0.0002453%), (SCHW, 0, 0.36%, 0.0002056%), (AMGN, 0, 0.33%, 0.0002093%), (LMT, 0, 0.32%, 0.0003457%), (EMR, 0, 0.31%, 0.0003842%), (MMM, 0, 0.29%, 0.0003887%), (GILD, 0, 0.29%, 0.0002103%), (PFE, 0, 0.27%, 0.0002089%), (DHR, 0, 0.27%, 0.0001907%), (TJX, 0, 0.26%, 0.0001937%), (CVS, 0, 0.25%, 0.0003309%), (MO, 0, 0.25%, 0.0002500%), (LOW, 0, 0.24%, 0.0001933%), (ELV, 0, 0.22%, 0.0003483%), (CMCSA, 0, 0.22%, 0.0001895%), (MDLZ, 0, 0.21%, 0.0002567%), (INTC, 0, 0.20%, 0.0002198%), (BMY, 0, 0.19%, 0.0002088%), (UPS, 0, 0.18%, 0.0002880%), (PYPL, 0, 0.17%, 0.0002675%), (CL, 0, 0.15%, 0.0002285%), (USB, 0, 0.14%, 0.0002063%), (FDX, 0, 0.14%, 0.0002763%), (TGT, 0, 0.09%, 0.0001963%), (nan, 0, -0.01%, 0.0000000%), (nan, 0, -0.01%, 0.0000000%)</t>
        </is>
      </c>
      <c r="R16" s="4" t="n">
        <v>1.703312594815385e-05</v>
      </c>
      <c r="S16" s="3" t="n">
        <v>19112643.68</v>
      </c>
      <c r="T16" s="4" t="n">
        <v>0.185503562123608</v>
      </c>
      <c r="U16" t="inlineStr"/>
    </row>
    <row r="17">
      <c r="A17" s="2" t="n">
        <v>45868</v>
      </c>
      <c r="B17" t="inlineStr">
        <is>
          <t>P2726</t>
        </is>
      </c>
      <c r="C17" t="inlineStr">
        <is>
          <t>diversified</t>
        </is>
      </c>
      <c r="D17" s="3">
        <f>IF(J17/H17&gt;=0.75,"PASS","FAIL")</f>
        <v/>
      </c>
      <c r="E17" s="3">
        <f>IF(L17=0,"PASS","FAIL")</f>
        <v/>
      </c>
      <c r="F17" s="3">
        <f>IF(R17="","",IF(R17&lt;=0.1,"PASS","FAIL"))</f>
        <v/>
      </c>
      <c r="G17" s="3">
        <f>IF(S17=0,"PASS",IF(S17&lt;=0.05*J17,"PASS","FAIL"))</f>
        <v/>
      </c>
      <c r="H17" s="3" t="n">
        <v>35057183.7</v>
      </c>
      <c r="I17" s="4" t="n">
        <v>0</v>
      </c>
      <c r="J17" s="3" t="n">
        <v>32519538.71</v>
      </c>
      <c r="K17" s="3" t="n">
        <v>2364.41</v>
      </c>
      <c r="L17" s="3" t="n">
        <v>0</v>
      </c>
      <c r="M17" t="inlineStr">
        <is>
          <t>None</t>
        </is>
      </c>
      <c r="N17" t="inlineStr">
        <is>
          <t>NVDA, MSFT, AAPL, AMZN</t>
        </is>
      </c>
      <c r="O17" s="4" t="n">
        <v>0.2562558877084392</v>
      </c>
      <c r="P17" s="4" t="n">
        <v>0.7437441122915609</v>
      </c>
      <c r="Q17" t="inlineStr">
        <is>
          <t>(GOOGLE, 0, 3.83%, 0.0000607%), (AVGO, 0, 3.39%, 0.0000835%), (META, 0, 2.76%, 0.0000643%), (BRK/B, 0, 2.21%, 0.0001182%), (CSCO, 0, 1.92%, 0.0002504%), (LIN, 0, 1.86%, 0.0002998%), (JPM, 0, 1.76%, 0.0000751%), (AMT, 0, 1.69%, 0.0006069%), (TSLA, 0, 1.69%, 0.0000564%), (XOM, 0, 1.59%, 0.0001172%), (V, 0, 1.54%, 0.0000905%), (LLY, 0, 1.27%, 0.0000622%), (CB, 0, 1.19%, 0.0003984%), (WM, 0, 1.16%, 0.0004359%), (MA, 0, 1.16%, 0.0000818%), (GE, 0, 1.14%, 0.0001386%), (ORCL, 0, 1.04%, 0.0000516%), (NFLX, 0, 0.93%, 0.0000649%), (NEE, 0, 0.91%, 0.0002166%), (JNJ, 0, 0.86%, 0.0000746%), (PLTR, 0, 0.85%, 0.0000825%), (WMT, 0, 0.83%, 0.0000375%), (UNH, 0, 0.83%, 0.0001208%), (CVX, 0, 0.83%, 0.0000928%), (PG, 0, 0.82%, 0.0000810%), (RTX, 0, 0.81%, 0.0001341%), (CAT, 0, 0.80%, 0.0001392%), (COST, 0, 0.80%, 0.0000688%), (MCD, 0, 0.77%, 0.0001253%), (ABT, 0, 0.75%, 0.0001186%), (HD, 0, 0.71%, 0.0000679%), (ABBV, 0, 0.71%, 0.0000747%), (AMD, 0, 0.69%, 0.0000844%), (KO, 0, 0.67%, 0.0000795%), (BAC, 0, 0.67%, 0.0000661%), (CRM, 0, 0.66%, 0.0000919%), (BKNG, 0, 0.66%, 0.0001272%), (BA, 0, 0.65%, 0.0001329%), (SO, 0, 0.65%, 0.0002185%), (NKE, 0, 0.64%, 0.0002457%), (PM, 0, 0.63%, 0.0000881%), (IBM, 0, 0.63%, 0.0000905%), (ISRG, 0, 0.60%, 0.0001196%), (ETN, 0, 0.59%, 0.0001372%), (INTU, 0, 0.58%, 0.0000918%), (DUK, 0, 0.58%, 0.0002181%), (GS, 0, 0.58%, 0.0000930%), (WFC, 0, 0.57%, 0.0000762%), (HON, 0, 0.55%, 0.0001383%), (UBER, 0, 0.54%, 0.0001043%), (NOW, 0, 0.52%, 0.0000904%), (MET, 0, 0.52%, 0.0003657%), (DE, 0, 0.50%, 0.0001273%), (PEP, 0, 0.49%, 0.0000885%), (T, 0, 0.46%, 0.0003794%), (MS, 0, 0.45%, 0.0000691%), (ACN, 0, 0.45%, 0.0000918%), (MRK, 0, 0.44%, 0.0000756%), (AXP, 0, 0.43%, 0.0000719%), (QCOM, 0, 0.42%, 0.0000869%), (SPGI, 0, 0.42%, 0.0000931%), (ADBE, 0, 0.42%, 0.0000963%), (VZ, 0, 0.41%, 0.0000810%), (TXN, 0, 0.41%, 0.0000847%), (BLK, 0, 0.41%, 0.0000833%), (COP, 0, 0.40%, 0.0001177%), (UNP, 0, 0.40%, 0.0001055%), (MDT, 0, 0.40%, 0.0001189%), (DIS, 0, 0.40%, 0.0000647%), (TMO, 0, 0.39%, 0.0000761%), (C, 0, 0.38%, 0.0000753%), (SBUX, 0, 0.37%, 0.0001244%), (AMAT, 0, 0.37%, 0.0000874%), (SCHW, 0, 0.37%, 0.0000732%), (AMGN, 0, 0.34%, 0.0000745%), (LMT, 0, 0.34%, 0.0001232%), (EMR, 0, 0.32%, 0.0001368%), (MMM, 0, 0.31%, 0.0001385%), (GILD, 0, 0.30%, 0.0000750%), (PFE, 0, 0.29%, 0.0000744%), (DHR, 0, 0.28%, 0.0000680%), (TJX, 0, 0.27%, 0.0000690%), (CVS, 0, 0.26%, 0.0001178%), (MO, 0, 0.26%, 0.0000891%), (LOW, 0, 0.25%, 0.0000688%), (ELV, 0, 0.23%, 0.0001242%), (CMCSA, 0, 0.23%, 0.0000675%), (MDLZ, 0, 0.22%, 0.0000914%), (INTC, 0, 0.21%, 0.0000783%), (BMY, 0, 0.20%, 0.0000744%), (UPS, 0, 0.19%, 0.0001026%), (PYPL, 0, 0.18%, 0.0000953%), (CL, 0, 0.16%, 0.0000814%), (USB, 0, 0.15%, 0.0000735%), (FDX, 0, 0.15%, 0.0000983%), (TGT, 0, 0.09%, 0.0000700%), (nan, 0, -0.01%, 0.0000000%), (nan, 0, -0.01%, 0.0000000%)</t>
        </is>
      </c>
      <c r="R17" s="4" t="n">
        <v>6.068611840820802e-06</v>
      </c>
      <c r="S17" s="3" t="n">
        <v>4817593.54</v>
      </c>
      <c r="T17" s="4" t="n">
        <v>0.1374210085221421</v>
      </c>
      <c r="U17" t="inlineStr"/>
    </row>
    <row r="18">
      <c r="A18" s="2" t="n">
        <v>45868</v>
      </c>
      <c r="B18" t="inlineStr">
        <is>
          <t>P31027</t>
        </is>
      </c>
      <c r="C18" t="inlineStr">
        <is>
          <t>diversified</t>
        </is>
      </c>
      <c r="D18" s="3">
        <f>IF(J18/H18&gt;=0.75,"PASS","FAIL")</f>
        <v/>
      </c>
      <c r="E18" s="3">
        <f>IF(L18=0,"PASS","FAIL")</f>
        <v/>
      </c>
      <c r="F18" s="3">
        <f>IF(R18="","",IF(R18&lt;=0.1,"PASS","FAIL"))</f>
        <v/>
      </c>
      <c r="G18" s="3">
        <f>IF(S18=0,"PASS",IF(S18&lt;=0.05*J18,"PASS","FAIL"))</f>
        <v/>
      </c>
      <c r="H18" s="3" t="n">
        <v>15525103.6</v>
      </c>
      <c r="I18" s="4" t="n">
        <v>0</v>
      </c>
      <c r="J18" s="3" t="n">
        <v>13669258.82</v>
      </c>
      <c r="K18" s="3" t="n">
        <v>994.54</v>
      </c>
      <c r="L18" s="3" t="n">
        <v>0</v>
      </c>
      <c r="M18" t="inlineStr">
        <is>
          <t>None</t>
        </is>
      </c>
      <c r="N18" t="inlineStr">
        <is>
          <t>NVDA, MSFT, AAPL, AMZN</t>
        </is>
      </c>
      <c r="O18" s="4" t="n">
        <v>0.2539844000115289</v>
      </c>
      <c r="P18" s="4" t="n">
        <v>0.746015599988471</v>
      </c>
      <c r="Q18" t="inlineStr">
        <is>
          <t>(GOOGLE, 0, 3.60%, 0.0000253%), (AVGO, 0, 3.18%, 0.0000348%), (META, 0, 2.60%, 0.0000268%), (BRK/B, 0, 2.08%, 0.0000493%), (CSCO, 0, 1.81%, 0.0001042%), (LIN, 0, 1.75%, 0.0001249%), (JPM, 0, 1.65%, 0.0000312%), (AMT, 0, 1.59%, 0.0002527%), (TSLA, 0, 1.59%, 0.0000235%), (XOM, 0, 1.49%, 0.0000488%), (V, 0, 1.45%, 0.0000377%), (LLY, 0, 1.20%, 0.0000259%), (CB, 0, 1.12%, 0.0001659%), (WM, 0, 1.09%, 0.0001814%), (MA, 0, 1.09%, 0.0000341%), (GE, 0, 1.07%, 0.0000577%), (ORCL, 0, 0.98%, 0.0000215%), (NFLX, 0, 0.87%, 0.0000269%), (NEE, 0, 0.86%, 0.0000902%), (JNJ, 0, 0.80%, 0.0000311%), (PLTR, 0, 0.80%, 0.0000343%), (UNH, 0, 0.78%, 0.0000503%), (WMT, 0, 0.78%, 0.0000156%), (CVX, 0, 0.78%, 0.0000386%), (PG, 0, 0.77%, 0.0000337%), (RTX, 0, 0.76%, 0.0000559%), (CAT, 0, 0.76%, 0.0000581%), (COST, 0, 0.76%, 0.0000287%), (MCD, 0, 0.72%, 0.0000521%), (ABT, 0, 0.71%, 0.0000494%), (HD, 0, 0.67%, 0.0000283%), (ABBV, 0, 0.66%, 0.0000311%), (AMD, 0, 0.65%, 0.0000352%), (KO, 0, 0.63%, 0.0000331%), (BAC, 0, 0.63%, 0.0000275%), (CRM, 0, 0.62%, 0.0000382%), (BKNG, 0, 0.61%, 0.0000527%), (SO, 0, 0.61%, 0.0000910%), (BA, 0, 0.61%, 0.0000553%), (NKE, 0, 0.60%, 0.0001023%), (PM, 0, 0.60%, 0.0000367%), (IBM, 0, 0.59%, 0.0000377%), (ISRG, 0, 0.57%, 0.0000496%), (ETN, 0, 0.56%, 0.0000570%), (INTU, 0, 0.56%, 0.0000384%), (DUK, 0, 0.55%, 0.0000909%), (GS, 0, 0.55%, 0.0000387%), (WFC, 0, 0.53%, 0.0000317%), (HON, 0, 0.52%, 0.0000576%), (UBER, 0, 0.51%, 0.0000434%), (NOW, 0, 0.49%, 0.0000375%), (MET, 0, 0.49%, 0.0001523%), (DE, 0, 0.47%, 0.0000529%), (PEP, 0, 0.46%, 0.0000369%), (T, 0, 0.43%, 0.0001580%), (MS, 0, 0.43%, 0.0000288%), (ACN, 0, 0.42%, 0.0000382%), (MRK, 0, 0.41%, 0.0000315%), (SPGI, 0, 0.40%, 0.0000390%), (AXP, 0, 0.40%, 0.0000299%), (QCOM, 0, 0.40%, 0.0000362%), (ADBE, 0, 0.39%, 0.0000401%), (VZ, 0, 0.39%, 0.0000337%), (TXN, 0, 0.39%, 0.0000353%), (BLK, 0, 0.39%, 0.0000349%), (COP, 0, 0.38%, 0.0000490%), (UNP, 0, 0.38%, 0.0000440%), (MDT, 0, 0.37%, 0.0000495%), (DIS, 0, 0.37%, 0.0000270%), (TMO, 0, 0.36%, 0.0000317%), (C, 0, 0.36%, 0.0000313%), (SBUX, 0, 0.35%, 0.0000518%), (SCHW, 0, 0.35%, 0.0000305%), (AMAT, 0, 0.35%, 0.0000364%), (AMGN, 0, 0.32%, 0.0000310%), (LMT, 0, 0.32%, 0.0000514%), (EMR, 0, 0.30%, 0.0000570%), (MMM, 0, 0.29%, 0.0000576%), (GILD, 0, 0.29%, 0.0000312%), (PFE, 0, 0.27%, 0.0000310%), (DHR, 0, 0.26%, 0.0000283%), (TJX, 0, 0.26%, 0.0000288%), (CVS, 0, 0.25%, 0.0000491%), (MO, 0, 0.25%, 0.0000371%), (LOW, 0, 0.24%, 0.0000287%), (ELV, 0, 0.22%, 0.0000517%), (CMCSA, 0, 0.21%, 0.0000281%), (MDLZ, 0, 0.21%, 0.0000381%), (INTC, 0, 0.20%, 0.0000326%), (BMY, 0, 0.19%, 0.0000310%), (UPS, 0, 0.18%, 0.0000428%), (PYPL, 0, 0.17%, 0.0000397%), (CL, 0, 0.15%, 0.0000339%), (USB, 0, 0.14%, 0.0000306%), (FDX, 0, 0.14%, 0.0000411%), (TGT, 0, 0.09%, 0.0000290%), (nan, 0, -0.01%, 0.0000000%), (nan, 0, -0.01%, 0.0000000%)</t>
        </is>
      </c>
      <c r="R18" s="4" t="n">
        <v>2.526986204748684e-06</v>
      </c>
      <c r="S18" s="3" t="n">
        <v>4309697.96</v>
      </c>
      <c r="T18" s="4" t="n">
        <v>0.2775954396851819</v>
      </c>
      <c r="U18" t="inlineStr"/>
    </row>
    <row r="19">
      <c r="A19" s="2" t="n">
        <v>45868</v>
      </c>
      <c r="B19" t="inlineStr">
        <is>
          <t>R21126</t>
        </is>
      </c>
      <c r="C19" t="inlineStr">
        <is>
          <t>diversified</t>
        </is>
      </c>
      <c r="D19" s="3">
        <f>IF(J19/H19&gt;=0.75,"PASS","FAIL")</f>
        <v/>
      </c>
      <c r="E19" s="3">
        <f>IF(L19=0,"PASS","FAIL")</f>
        <v/>
      </c>
      <c r="F19" s="3">
        <f>IF(R19="","",IF(R19&lt;=0.1,"PASS","FAIL"))</f>
        <v/>
      </c>
      <c r="G19" s="3">
        <f>IF(S19=0,"PASS",IF(S19&lt;=0.05*J19,"PASS","FAIL"))</f>
        <v/>
      </c>
      <c r="H19" s="3" t="n">
        <v>55353192.68</v>
      </c>
      <c r="I19" s="4" t="n">
        <v>0</v>
      </c>
      <c r="J19" s="3" t="n">
        <v>50052275.03</v>
      </c>
      <c r="K19" s="3" t="n">
        <v>3659.76</v>
      </c>
      <c r="L19" s="3" t="n">
        <v>0</v>
      </c>
      <c r="M19" t="inlineStr">
        <is>
          <t>None</t>
        </is>
      </c>
      <c r="N19" t="inlineStr">
        <is>
          <t>BK, MSFT, EBAY, JPM, GOOGLE, META, BKNG, RJF, BLK, MLI, AMAT, V</t>
        </is>
      </c>
      <c r="O19" s="4" t="n">
        <v>0.2688360657319756</v>
      </c>
      <c r="P19" s="4" t="n">
        <v>0.7311639342680244</v>
      </c>
      <c r="Q19" t="inlineStr">
        <is>
          <t>(EWBC, 0, 1.87%, 0.0074132%), (EA, 0, 1.86%, 0.0026431%), (AXP, 0, 1.82%, 0.0004840%), (NVDA, 0, 1.79%, 0.0000227%), (HIG, 0, 1.78%, 0.0028401%), (ADP, 0, 1.78%, 0.0007808%), (TRV, 0, 1.76%, 0.0016856%), (KLAC, 0, 1.75%, 0.0007961%), (SNA, 0, 1.72%, 0.0056665%), (PHM, 0, 1.71%, 0.0043029%), (UNM, 0, 1.71%, 0.0078068%), (PCAR, 0, 1.67%, 0.0017797%), (ROST, 0, 1.65%, 0.0020247%), (CRM, 0, 1.62%, 0.0003557%), (CB, 0, 1.60%, 0.0008474%), (CTSH, 0, 1.58%, 0.0024751%), (SYF, 0, 1.56%, 0.0034270%), (PAYC, 0, 1.53%, 0.0062478%), (BKR, 0, 1.44%, 0.0017816%), (WSM, 0, 1.43%, 0.0034313%), (LEN, 0, 1.41%, 0.0031175%), (ACN, 0, 1.39%, 0.0004521%), (QCOM, 0, 1.37%, 0.0004419%), (ELV, 0, 1.20%, 0.0010187%), (DHI, 0, 1.20%, 0.0015747%), (AFL, 0, 1.16%, 0.0012208%), (AAPL, 0, 1.16%, 0.0000208%), (LRCX, 0, 1.09%, 0.0004848%), (CSCO, 0, 1.09%, 0.0002237%), (ODFL, 0, 1.07%, 0.0019270%), (GE, 0, 1.05%, 0.0002023%), (STT, 0, 1.00%, 0.0017550%), (MPWR, 0, 1.00%, 0.0015744%), (CF, 0, 0.94%, 0.0034586%), (PNC, 0, 0.91%, 0.0006666%), (MTB, 0, 0.90%, 0.0016969%), (AMP, 0, 0.89%, 0.0010279%), (XOM, 0, 0.83%, 0.0000962%), (COST, 0, 0.82%, 0.0001106%), (ABT, 0, 0.82%, 0.0002029%), (CSL, 0, 0.81%, 0.0026301%), (EOG, 0, 0.81%, 0.0006762%), (EG, 0, 0.75%, 0.0029571%), (GEV, 0, 0.59%, 0.0001843%), (NTRS, 0, 0.54%, 0.0012030%), (CRBG, 0, 0.50%, 0.0014511%), (MA, 0, 0.48%, 0.0000533%), (JNJ, 0, 0.46%, 0.0000633%), (DOV, 0, 0.44%, 0.0009697%), (ACM, 0, 0.44%, 0.0016256%), (WTFC, 0, 0.43%, 0.0027378%), (CINF, 0, 0.43%, 0.0010146%), (MCK, 0, 0.42%, 0.0002645%), (SLM, 0, 0.42%, 0.0035978%), (MTG, 0, 0.41%, 0.0039957%), (EQH, 0, 0.40%, 0.0014726%), (JXN, 0, 0.40%, 0.0036869%), (NUE, 0, 0.39%, 0.0006626%), (ALL, 0, 0.39%, 0.0004277%), (LNC, 0, 0.38%, 0.0032763%), (NKE, 0, 0.38%, 0.0002332%), (ADM, 0, 0.38%, 0.0007886%), (PGR, 0, 0.36%, 0.0001416%), (FANG, 0, 0.32%, 0.0004090%)</t>
        </is>
      </c>
      <c r="R19" s="4" t="n">
        <v>7.806793601435473e-05</v>
      </c>
      <c r="S19" s="3" t="n">
        <v>10439065.61</v>
      </c>
      <c r="T19" s="4" t="n">
        <v>0.1885901265054184</v>
      </c>
      <c r="U19" t="inlineStr"/>
    </row>
    <row r="20">
      <c r="A20" s="2" t="n">
        <v>45868</v>
      </c>
      <c r="B20" t="inlineStr">
        <is>
          <t>P3727</t>
        </is>
      </c>
      <c r="C20" t="inlineStr">
        <is>
          <t>diversified</t>
        </is>
      </c>
      <c r="D20" s="3">
        <f>IF(J20/H20&gt;=0.75,"PASS","FAIL")</f>
        <v/>
      </c>
      <c r="E20" s="3">
        <f>IF(L20=0,"PASS","FAIL")</f>
        <v/>
      </c>
      <c r="F20" s="3">
        <f>IF(R20="","",IF(R20&lt;=0.1,"PASS","FAIL"))</f>
        <v/>
      </c>
      <c r="G20" s="3">
        <f>IF(S20=0,"PASS",IF(S20&lt;=0.05*J20,"PASS","FAIL"))</f>
        <v/>
      </c>
      <c r="H20" s="3" t="n">
        <v>79381863.22</v>
      </c>
      <c r="I20" s="4" t="n">
        <v>0</v>
      </c>
      <c r="J20" s="3" t="n">
        <v>70646058.48999999</v>
      </c>
      <c r="K20" s="3" t="n">
        <v>5136.26</v>
      </c>
      <c r="L20" s="3" t="n">
        <v>0</v>
      </c>
      <c r="M20" t="inlineStr">
        <is>
          <t>None</t>
        </is>
      </c>
      <c r="N20" t="inlineStr">
        <is>
          <t>NVDA, MSFT, AAPL, AMZN</t>
        </is>
      </c>
      <c r="O20" s="4" t="n">
        <v>0.2552265297653126</v>
      </c>
      <c r="P20" s="4" t="n">
        <v>0.7447734702346873</v>
      </c>
      <c r="Q20" t="inlineStr">
        <is>
          <t>(GOOGLE, 0, 3.65%, 0.0001312%), (AVGO, 0, 3.24%, 0.0001806%), (META, 0, 2.64%, 0.0001391%), (BRK/B, 0, 2.11%, 0.0002556%), (CSCO, 0, 1.83%, 0.0005413%), (LIN, 0, 1.78%, 0.0006483%), (JPM, 0, 1.68%, 0.0001623%), (AMT, 0, 1.61%, 0.0013118%), (TSLA, 0, 1.61%, 0.0001219%), (XOM, 0, 1.52%, 0.0002534%), (V, 0, 1.47%, 0.0001956%), (LLY, 0, 1.22%, 0.0001345%), (CB, 0, 1.13%, 0.0008611%), (WM, 0, 1.11%, 0.0009425%), (MA, 0, 1.11%, 0.0001768%), (GE, 0, 1.08%, 0.0002996%), (ORCL, 0, 0.99%, 0.0001115%), (NFLX, 0, 0.88%, 0.0001402%), (NEE, 0, 0.87%, 0.0004683%), (JNJ, 0, 0.82%, 0.0001613%), (PLTR, 0, 0.81%, 0.0001783%), (WMT, 0, 0.79%, 0.0000812%), (UNH, 0, 0.79%, 0.0002612%), (CVX, 0, 0.79%, 0.0002006%), (PG, 0, 0.78%, 0.0001750%), (RTX, 0, 0.77%, 0.0002899%), (COST, 0, 0.77%, 0.0001489%), (CAT, 0, 0.77%, 0.0003010%), (MCD, 0, 0.73%, 0.0002707%), (ABT, 0, 0.72%, 0.0002564%), (HD, 0, 0.68%, 0.0001469%), (ABBV, 0, 0.67%, 0.0001615%), (AMD, 0, 0.66%, 0.0001826%), (KO, 0, 0.64%, 0.0001719%), (BAC, 0, 0.64%, 0.0001428%), (BKNG, 0, 0.63%, 0.0002761%), (CRM, 0, 0.63%, 0.0001986%), (BA, 0, 0.62%, 0.0002872%), (SO, 0, 0.62%, 0.0004723%), (NKE, 0, 0.61%, 0.0005311%), (PM, 0, 0.60%, 0.0001905%), (IBM, 0, 0.60%, 0.0001957%), (ISRG, 0, 0.57%, 0.0002584%), (ETN, 0, 0.57%, 0.0002964%), (INTU, 0, 0.56%, 0.0001987%), (DUK, 0, 0.56%, 0.0004715%), (GS, 0, 0.55%, 0.0002010%), (WFC, 0, 0.54%, 0.0001647%), (HON, 0, 0.53%, 0.0002991%), (UBER, 0, 0.52%, 0.0002255%), (NOW, 0, 0.50%, 0.0001957%), (MET, 0, 0.50%, 0.0007908%), (DE, 0, 0.47%, 0.0002748%), (PEP, 0, 0.47%, 0.0001914%), (T, 0, 0.44%, 0.0008203%), (MS, 0, 0.43%, 0.0001494%), (ACN, 0, 0.43%, 0.0001984%), (MRK, 0, 0.42%, 0.0001635%), (AXP, 0, 0.41%, 0.0001553%), (SPGI, 0, 0.41%, 0.0002015%), (QCOM, 0, 0.40%, 0.0001880%), (ADBE, 0, 0.40%, 0.0002081%), (VZ, 0, 0.40%, 0.0001752%), (TXN, 0, 0.40%, 0.0001832%), (BLK, 0, 0.39%, 0.0001808%), (COP, 0, 0.38%, 0.0002545%), (UNP, 0, 0.38%, 0.0002283%), (MDT, 0, 0.38%, 0.0002570%), (DIS, 0, 0.38%, 0.0001399%), (TMO, 0, 0.37%, 0.0001642%), (C, 0, 0.36%, 0.0001629%), (AMAT, 0, 0.36%, 0.0001889%), (SBUX, 0, 0.36%, 0.0002689%), (SCHW, 0, 0.36%, 0.0001583%), (AMGN, 0, 0.33%, 0.0001612%), (LMT, 0, 0.32%, 0.0002662%), (EMR, 0, 0.31%, 0.0002958%), (MMM, 0, 0.29%, 0.0002993%), (GILD, 0, 0.29%, 0.0001620%), (PFE, 0, 0.27%, 0.0001609%), (DHR, 0, 0.27%, 0.0001470%), (TJX, 0, 0.26%, 0.0001492%), (CVS, 0, 0.25%, 0.0002548%), (MO, 0, 0.25%, 0.0001925%), (LOW, 0, 0.24%, 0.0001489%), (ELV, 0, 0.22%, 0.0002682%), (CMCSA, 0, 0.22%, 0.0001459%), (MDLZ, 0, 0.21%, 0.0001976%), (INTC, 0, 0.20%, 0.0001693%), (BMY, 0, 0.19%, 0.0001608%), (UPS, 0, 0.18%, 0.0002219%), (PYPL, 0, 0.17%, 0.0002060%), (CL, 0, 0.15%, 0.0001760%), (USB, 0, 0.14%, 0.0001589%), (FDX, 0, 0.14%, 0.0002128%), (TGT, 0, 0.09%, 0.0001512%), (nan, 0, -0.01%, 0.0000000%), (nan, 0, -0.01%, 0.0000000%)</t>
        </is>
      </c>
      <c r="R20" s="4" t="n">
        <v>1.311768578475204e-05</v>
      </c>
      <c r="S20" s="3" t="n">
        <v>18032678.64</v>
      </c>
      <c r="T20" s="4" t="n">
        <v>0.227163711061102</v>
      </c>
      <c r="U20" t="inlineStr"/>
    </row>
    <row r="21">
      <c r="A21" s="2" t="n">
        <v>45868</v>
      </c>
      <c r="B21" t="inlineStr">
        <is>
          <t>HE3B2</t>
        </is>
      </c>
      <c r="C21" t="inlineStr">
        <is>
          <t>diversified</t>
        </is>
      </c>
      <c r="D21" s="3">
        <f>IF(J21/H21&gt;=0.75,"PASS","FAIL")</f>
        <v/>
      </c>
      <c r="E21" s="3">
        <f>IF(L21=0,"PASS","FAIL")</f>
        <v/>
      </c>
      <c r="F21" s="3">
        <f>IF(R21="","",IF(R21&lt;=0.1,"PASS","FAIL"))</f>
        <v/>
      </c>
      <c r="G21" s="3">
        <f>IF(S21=0,"PASS",IF(S21&lt;=0.05*J21,"PASS","FAIL"))</f>
        <v/>
      </c>
      <c r="H21" s="3" t="n">
        <v>24477663.72</v>
      </c>
      <c r="I21" s="4" t="n">
        <v>0</v>
      </c>
      <c r="J21" s="3" t="n">
        <v>20515213.68</v>
      </c>
      <c r="K21" s="3" t="n">
        <v>7486.34</v>
      </c>
      <c r="L21" s="3" t="n">
        <v>0</v>
      </c>
      <c r="M21" t="inlineStr">
        <is>
          <t>None</t>
        </is>
      </c>
      <c r="N21" t="inlineStr">
        <is>
          <t>NVDA, MSFT, AAPL, AMZN, GOOGLE</t>
        </is>
      </c>
      <c r="O21" s="4" t="n">
        <v>0.2927322782825629</v>
      </c>
      <c r="P21" s="4" t="n">
        <v>0.7072677217174371</v>
      </c>
      <c r="Q21" t="inlineStr">
        <is>
          <t>(AVGO, 0, 3.01%, 0.0000518%), (META, 0, 2.46%, 0.0000399%), (BRK/B, 0, 1.96%, 0.0000733%), (CSCO, 0, 1.71%, 0.0001553%), (LIN, 0, 1.65%, 0.0001861%), (JPM, 0, 1.56%, 0.0000466%), (AMT, 0, 1.50%, 0.0003764%), (TSLA, 0, 1.50%, 0.0000350%), (XOM, 0, 1.41%, 0.0000727%), (V, 0, 1.36%, 0.0000561%), (LLY, 0, 1.13%, 0.0000386%), (CB, 0, 1.06%, 0.0002472%), (WM, 0, 1.03%, 0.0002703%), (MA, 0, 1.03%, 0.0000507%), (GE, 0, 1.01%, 0.0000860%), (ORCL, 0, 0.93%, 0.0000320%), (NFLX, 0, 0.82%, 0.0000401%), (NEE, 0, 0.81%, 0.0001344%), (JNJ, 0, 0.76%, 0.0000463%), (PLTR, 0, 0.75%, 0.0000512%), (WMT, 0, 0.74%, 0.0000233%), (UNH, 0, 0.74%, 0.0000750%), (CVX, 0, 0.74%, 0.0000576%), (PG, 0, 0.73%, 0.0000502%), (COST, 0, 0.72%, 0.0000429%), (RTX, 0, 0.72%, 0.0000832%), (CAT, 0, 0.72%, 0.0000864%), (MCD, 0, 0.68%, 0.0000778%), (ABT, 0, 0.67%, 0.0000736%), (HD, 0, 0.64%, 0.0000422%), (ABBV, 0, 0.63%, 0.0000464%), (AMD, 0, 0.61%, 0.0000524%), (BKNG, 0, 0.60%, 0.0000807%), (KO, 0, 0.59%, 0.0000493%), (BAC, 0, 0.59%, 0.0000410%), (CRM, 0, 0.59%, 0.0000570%), (BA, 0, 0.58%, 0.0000824%), (SO, 0, 0.58%, 0.0001355%), (NKE, 0, 0.57%, 0.0001524%), (PM, 0, 0.56%, 0.0000547%), (IBM, 0, 0.56%, 0.0000562%), (ISRG, 0, 0.53%, 0.0000742%), (ETN, 0, 0.53%, 0.0000850%), (INTU, 0, 0.52%, 0.0000570%), (DUK, 0, 0.52%, 0.0001353%), (GS, 0, 0.52%, 0.0000577%), (WFC, 0, 0.50%, 0.0000473%), (HON, 0, 0.49%, 0.0000858%), (UBER, 0, 0.48%, 0.0000647%), (NOW, 0, 0.47%, 0.0000562%), (MET, 0, 0.46%, 0.0002269%), (DE, 0, 0.44%, 0.0000788%), (PEP, 0, 0.44%, 0.0000549%), (T, 0, 0.41%, 0.0002354%), (MS, 0, 0.40%, 0.0000428%), (ACN, 0, 0.40%, 0.0000570%), (MRK, 0, 0.39%, 0.0000469%), (AXP, 0, 0.38%, 0.0000446%), (SPGI, 0, 0.38%, 0.0000578%), (QCOM, 0, 0.38%, 0.0000539%), (ADBE, 0, 0.37%, 0.0000597%), (VZ, 0, 0.37%, 0.0000503%), (TXN, 0, 0.37%, 0.0000526%), (BLK, 0, 0.36%, 0.0000517%), (COP, 0, 0.36%, 0.0000730%), (UNP, 0, 0.36%, 0.0000654%), (MDT, 0, 0.35%, 0.0000738%), (DIS, 0, 0.35%, 0.0000402%), (TMO, 0, 0.34%, 0.0000471%), (C, 0, 0.34%, 0.0000467%), (AMAT, 0, 0.33%, 0.0000542%), (SBUX, 0, 0.33%, 0.0000772%), (SCHW, 0, 0.33%, 0.0000454%), (AMGN, 0, 0.31%, 0.0000463%), (LMT, 0, 0.30%, 0.0000765%), (EMR, 0, 0.28%, 0.0000849%), (MMM, 0, 0.27%, 0.0000858%), (GILD, 0, 0.27%, 0.0000465%), (PFE, 0, 0.26%, 0.0000462%), (DHR, 0, 0.25%, 0.0000422%), (TJX, 0, 0.24%, 0.0000428%), (CVS, 0, 0.23%, 0.0000731%), (MO, 0, 0.23%, 0.0000553%), (LOW, 0, 0.22%, 0.0000428%), (ELV, 0, 0.20%, 0.0000769%), (CMCSA, 0, 0.20%, 0.0000419%), (MDLZ, 0, 0.20%, 0.0000567%), (INTC, 0, 0.19%, 0.0000486%), (BMY, 0, 0.18%, 0.0000462%), (UPS, 0, 0.17%, 0.0000637%), (PYPL, 0, 0.16%, 0.0000591%), (CL, 0, 0.14%, 0.0000505%), (USB, 0, 0.13%, 0.0000456%), (FDX, 0, 0.13%, 0.0000610%), (TGT, 0, 0.08%, 0.0000434%), (nan, 0, -0.01%, 0.0000000%), (nan, 0, -0.01%, 0.0000000%)</t>
        </is>
      </c>
      <c r="R21" s="4" t="n">
        <v>3.763778269456619e-06</v>
      </c>
      <c r="S21" s="3" t="n">
        <v>57977</v>
      </c>
      <c r="T21" s="4" t="n">
        <v>0.002368567550530921</v>
      </c>
      <c r="U21" t="inlineStr"/>
    </row>
    <row r="22">
      <c r="A22" s="2" t="n">
        <v>45868</v>
      </c>
      <c r="B22" t="inlineStr">
        <is>
          <t>TR2B1</t>
        </is>
      </c>
      <c r="C22" t="inlineStr">
        <is>
          <t>diversified</t>
        </is>
      </c>
      <c r="D22" s="3">
        <f>IF(J22/H22&gt;=0.75,"PASS","FAIL")</f>
        <v/>
      </c>
      <c r="E22" s="3">
        <f>IF(L22=0,"PASS","FAIL")</f>
        <v/>
      </c>
      <c r="F22" s="3">
        <f>IF(R22="","",IF(R22&lt;=0.1,"PASS","FAIL"))</f>
        <v/>
      </c>
      <c r="G22" s="3">
        <f>IF(S22=0,"PASS",IF(S22&lt;=0.05*J22,"PASS","FAIL"))</f>
        <v/>
      </c>
      <c r="H22" s="3" t="n">
        <v>137999660.42</v>
      </c>
      <c r="I22" s="4" t="n">
        <v>0</v>
      </c>
      <c r="J22" s="3" t="n">
        <v>120582786.87</v>
      </c>
      <c r="K22" s="3" t="n">
        <v>8766.809999999999</v>
      </c>
      <c r="L22" s="3" t="n">
        <v>0</v>
      </c>
      <c r="M22" t="inlineStr">
        <is>
          <t>None</t>
        </is>
      </c>
      <c r="N22" t="inlineStr">
        <is>
          <t>NVDA, MSFT, AAPL, AMZN</t>
        </is>
      </c>
      <c r="O22" s="4" t="n">
        <v>0.260436061772703</v>
      </c>
      <c r="P22" s="4" t="n">
        <v>0.739563938227297</v>
      </c>
      <c r="Q22" t="inlineStr">
        <is>
          <t>(GOOGLE, 0, 3.66%, 0.0002288%), (AVGO, 0, 3.24%, 0.0003148%), (META, 0, 2.65%, 0.0002425%), (BRK/B, 0, 2.11%, 0.0004456%), (CSCO, 0, 1.84%, 0.0009436%), (LIN, 0, 1.78%, 0.0011303%), (JPM, 0, 1.68%, 0.0002829%), (AMT, 0, 1.62%, 0.0022871%), (TSLA, 0, 1.61%, 0.0002125%), (XOM, 0, 1.52%, 0.0004417%), (V, 0, 1.47%, 0.0003410%), (LLY, 0, 1.22%, 0.0002346%), (CB, 0, 1.14%, 0.0015015%), (WM, 0, 1.11%, 0.0016430%), (MA, 0, 1.11%, 0.0003082%), (GE, 0, 1.09%, 0.0005224%), (ORCL, 0, 1.00%, 0.0001944%), (NFLX, 0, 0.89%, 0.0002443%), (NEE, 0, 0.88%, 0.0008164%), (JNJ, 0, 0.82%, 0.0002812%), (PLTR, 0, 0.81%, 0.0003108%), (WMT, 0, 0.79%, 0.0001415%), (UNH, 0, 0.79%, 0.0004553%), (CVX, 0, 0.79%, 0.0003497%), (PG, 0, 0.79%, 0.0003051%), (RTX, 0, 0.77%, 0.0005054%), (COST, 0, 0.77%, 0.0002597%), (CAT, 0, 0.77%, 0.0005247%), (MCD, 0, 0.74%, 0.0004721%), (ABT, 0, 0.72%, 0.0004470%), (HD, 0, 0.68%, 0.0002561%), (ABBV, 0, 0.68%, 0.0002815%), (AMD, 0, 0.66%, 0.0003183%), (KO, 0, 0.64%, 0.0002997%), (BAC, 0, 0.64%, 0.0002490%), (BKNG, 0, 0.63%, 0.0004840%), (CRM, 0, 0.63%, 0.0003463%), (BA, 0, 0.62%, 0.0005007%), (SO, 0, 0.62%, 0.0008234%), (NKE, 0, 0.61%, 0.0009260%), (PM, 0, 0.61%, 0.0003321%), (IBM, 0, 0.60%, 0.0003412%), (ISRG, 0, 0.57%, 0.0004502%), (ETN, 0, 0.57%, 0.0005168%), (INTU, 0, 0.56%, 0.0003468%), (DUK, 0, 0.56%, 0.0008220%), (GS, 0, 0.55%, 0.0003508%), (WFC, 0, 0.54%, 0.0002872%), (HON, 0, 0.53%, 0.0005214%), (UBER, 0, 0.52%, 0.0003931%), (NOW, 0, 0.50%, 0.0003413%), (MET, 0, 0.50%, 0.0013786%), (DE, 0, 0.48%, 0.0004790%), (PEP, 0, 0.47%, 0.0003336%), (T, 0, 0.44%, 0.0014300%), (MS, 0, 0.43%, 0.0002605%), (ACN, 0, 0.43%, 0.0003460%), (MRK, 0, 0.42%, 0.0002850%), (AXP, 0, 0.41%, 0.0002707%), (SPGI, 0, 0.41%, 0.0003514%), (QCOM, 0, 0.40%, 0.0003277%), (ADBE, 0, 0.40%, 0.0003626%), (VZ, 0, 0.40%, 0.0003054%), (TXN, 0, 0.40%, 0.0003195%), (BLK, 0, 0.39%, 0.0003151%), (COP, 0, 0.39%, 0.0004437%), (UNP, 0, 0.38%, 0.0003979%), (MDT, 0, 0.38%, 0.0004481%), (DIS, 0, 0.38%, 0.0002440%), (TMO, 0, 0.37%, 0.0002867%), (C, 0, 0.36%, 0.0002839%), (SBUX, 0, 0.36%, 0.0004688%), (AMAT, 0, 0.36%, 0.0003294%), (SCHW, 0, 0.36%, 0.0002760%), (AMGN, 0, 0.33%, 0.0002810%), (LMT, 0, 0.33%, 0.0004641%), (EMR, 0, 0.31%, 0.0005158%), (MMM, 0, 0.29%, 0.0005218%), (GILD, 0, 0.29%, 0.0002824%), (PFE, 0, 0.28%, 0.0002805%), (DHR, 0, 0.27%, 0.0002561%), (TJX, 0, 0.26%, 0.0002600%), (CVS, 0, 0.25%, 0.0004443%), (MO, 0, 0.25%, 0.0003357%), (LOW, 0, 0.24%, 0.0002596%), (ELV, 0, 0.22%, 0.0004675%), (CMCSA, 0, 0.22%, 0.0002544%), (MDLZ, 0, 0.21%, 0.0003446%), (INTC, 0, 0.20%, 0.0002951%), (BMY, 0, 0.19%, 0.0002804%), (UPS, 0, 0.18%, 0.0003868%), (PYPL, 0, 0.17%, 0.0003591%), (CL, 0, 0.15%, 0.0003068%), (USB, 0, 0.14%, 0.0002770%), (FDX, 0, 0.14%, 0.0003708%), (TGT, 0, 0.09%, 0.0002634%), (nan, 0, -0.01%, 0.0000000%), (nan, 0, -0.01%, 0.0000000%)</t>
        </is>
      </c>
      <c r="R22" s="4" t="n">
        <v>2.28710408235369e-05</v>
      </c>
      <c r="S22" s="3" t="n">
        <v>35944875.13999999</v>
      </c>
      <c r="T22" s="4" t="n">
        <v>0.2604707506569384</v>
      </c>
      <c r="U22" t="inlineStr"/>
    </row>
    <row r="23">
      <c r="A23" s="2" t="n">
        <v>45868</v>
      </c>
      <c r="B23" t="inlineStr">
        <is>
          <t>TR2B2</t>
        </is>
      </c>
      <c r="C23" t="inlineStr">
        <is>
          <t>diversified</t>
        </is>
      </c>
      <c r="D23" s="3">
        <f>IF(J23/H23&gt;=0.75,"PASS","FAIL")</f>
        <v/>
      </c>
      <c r="E23" s="3">
        <f>IF(L23=0,"PASS","FAIL")</f>
        <v/>
      </c>
      <c r="F23" s="3">
        <f>IF(R23="","",IF(R23&lt;=0.1,"PASS","FAIL"))</f>
        <v/>
      </c>
      <c r="G23" s="3">
        <f>IF(S23=0,"PASS",IF(S23&lt;=0.05*J23,"PASS","FAIL"))</f>
        <v/>
      </c>
      <c r="H23" s="3" t="n">
        <v>166135916.95</v>
      </c>
      <c r="I23" s="4" t="n">
        <v>0</v>
      </c>
      <c r="J23" s="3" t="n">
        <v>141988353.5</v>
      </c>
      <c r="K23" s="3" t="n">
        <v>51739.85</v>
      </c>
      <c r="L23" s="3" t="n">
        <v>0</v>
      </c>
      <c r="M23" t="inlineStr">
        <is>
          <t>None</t>
        </is>
      </c>
      <c r="N23" t="inlineStr">
        <is>
          <t>NVDA, MSFT, AAPL, AMZN, GOOGLE</t>
        </is>
      </c>
      <c r="O23" s="4" t="n">
        <v>0.292175860043338</v>
      </c>
      <c r="P23" s="4" t="n">
        <v>0.707824139956662</v>
      </c>
      <c r="Q23" t="inlineStr">
        <is>
          <t>(AVGO, 0, 3.06%, 0.0003582%), (META, 0, 2.50%, 0.0002759%), (BRK/B, 0, 2.00%, 0.0005071%), (CSCO, 0, 1.74%, 0.0010737%), (LIN, 0, 1.68%, 0.0012862%), (JPM, 0, 1.59%, 0.0003219%), (AMT, 0, 1.53%, 0.0026026%), (TSLA, 0, 1.53%, 0.0002418%), (XOM, 0, 1.44%, 0.0005026%), (V, 0, 1.39%, 0.0003880%), (LLY, 0, 1.15%, 0.0002669%), (CB, 0, 1.08%, 0.0017085%), (WM, 0, 1.05%, 0.0018696%), (MA, 0, 1.05%, 0.0003507%), (GE, 0, 1.03%, 0.0005943%), (ORCL, 0, 0.94%, 0.0002212%), (NFLX, 0, 0.84%, 0.0002780%), (NEE, 0, 0.83%, 0.0009290%), (JNJ, 0, 0.77%, 0.0003201%), (PLTR, 0, 0.77%, 0.0003537%), (WMT, 0, 0.75%, 0.0001610%), (UNH, 0, 0.75%, 0.0005181%), (CVX, 0, 0.75%, 0.0003980%), (PG, 0, 0.74%, 0.0003472%), (RTX, 0, 0.73%, 0.0005750%), (COST, 0, 0.73%, 0.0002956%), (CAT, 0, 0.73%, 0.0005970%), (MCD, 0, 0.70%, 0.0005373%), (ABT, 0, 0.68%, 0.0005087%), (HD, 0, 0.65%, 0.0002914%), (ABBV, 0, 0.64%, 0.0003203%), (AMD, 0, 0.62%, 0.0003621%), (KO, 0, 0.61%, 0.0003410%), (BAC, 0, 0.60%, 0.0002834%), (BKNG, 0, 0.60%, 0.0005491%), (CRM, 0, 0.60%, 0.0003941%), (BA, 0, 0.59%, 0.0005698%), (SO, 0, 0.59%, 0.0009370%), (NKE, 0, 0.58%, 0.0010537%), (PM, 0, 0.57%, 0.0003779%), (IBM, 0, 0.57%, 0.0003881%), (ISRG, 0, 0.54%, 0.0005123%), (ETN, 0, 0.54%, 0.0005880%), (INTU, 0, 0.53%, 0.0003945%), (DUK, 0, 0.53%, 0.0009354%), (GS, 0, 0.52%, 0.0003991%), (WFC, 0, 0.51%, 0.0003268%), (HON, 0, 0.50%, 0.0005933%), (UBER, 0, 0.49%, 0.0004472%), (NOW, 0, 0.47%, 0.0003885%), (MET, 0, 0.47%, 0.0015687%), (DE, 0, 0.45%, 0.0005453%), (PEP, 0, 0.45%, 0.0003796%), (T, 0, 0.41%, 0.0016272%), (MS, 0, 0.41%, 0.0002964%), (ACN, 0, 0.40%, 0.0003937%), (MRK, 0, 0.40%, 0.0003243%), (AXP, 0, 0.39%, 0.0003080%), (SPGI, 0, 0.38%, 0.0003999%), (QCOM, 0, 0.38%, 0.0003729%), (ADBE, 0, 0.38%, 0.0004126%), (VZ, 0, 0.38%, 0.0003476%), (TXN, 0, 0.37%, 0.0003636%), (BLK, 0, 0.37%, 0.0003584%), (COP, 0, 0.36%, 0.0005049%), (UNP, 0, 0.36%, 0.0004527%), (MDT, 0, 0.36%, 0.0005099%), (DIS, 0, 0.36%, 0.0002777%), (TMO, 0, 0.35%, 0.0003261%), (C, 0, 0.34%, 0.0003230%), (SBUX, 0, 0.34%, 0.0005335%), (AMAT, 0, 0.34%, 0.0003748%), (SCHW, 0, 0.34%, 0.0003141%), (AMGN, 0, 0.31%, 0.0003197%), (LMT, 0, 0.31%, 0.0005281%), (EMR, 0, 0.29%, 0.0005869%), (MMM, 0, 0.28%, 0.0005939%), (GILD, 0, 0.28%, 0.0003213%), (PFE, 0, 0.26%, 0.0003192%), (DHR, 0, 0.25%, 0.0002915%), (TJX, 0, 0.25%, 0.0002960%), (CVS, 0, 0.24%, 0.0005056%), (MO, 0, 0.24%, 0.0003820%), (LOW, 0, 0.23%, 0.0002955%), (ELV, 0, 0.21%, 0.0005323%), (CMCSA, 0, 0.21%, 0.0002895%), (MDLZ, 0, 0.20%, 0.0003921%), (INTC, 0, 0.19%, 0.0003358%), (BMY, 0, 0.18%, 0.0003190%), (UPS, 0, 0.17%, 0.0004402%), (PYPL, 0, 0.16%, 0.0004087%), (CL, 0, 0.14%, 0.0003492%), (USB, 0, 0.14%, 0.0003152%), (FDX, 0, 0.13%, 0.0004221%), (TGT, 0, 0.08%, 0.0002997%), (nan, 0, -0.01%, 0.0000000%), (nan, 0, -0.01%, 0.0000000%)</t>
        </is>
      </c>
      <c r="R23" s="4" t="n">
        <v>2.602603543419946e-05</v>
      </c>
      <c r="S23" s="3" t="n">
        <v>489276</v>
      </c>
      <c r="T23" s="4" t="n">
        <v>0.002945034457222467</v>
      </c>
      <c r="U23" t="inlineStr"/>
    </row>
    <row r="24">
      <c r="A24" t="inlineStr">
        <is>
          <t>* To be classified as a diversified company under the 1940 Act, at least 75% of the value of the fund's total assets must be invested in: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* 1) cash and cash items (including receivables),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* 2) government securities,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* 3) securities of other investment companies, 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* 4) other securities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 xml:space="preserve">* 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* Compliance Conditions: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* Condition 40 Act 1: 75% of the fund must be invested in diversified assets.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* Condition 40 Act 2a: No single issuer in the 75% can exceed 5% of total assets.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* Condition 40 Act 2b: No single issuer in the 75% can exceed 10% of the issuer's voting securities.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7" customWidth="1" min="3" max="3"/>
    <col width="33" customWidth="1" min="4" max="4"/>
    <col width="29" customWidth="1" min="5" max="5"/>
    <col width="22" customWidth="1" min="6" max="6"/>
    <col width="19" customWidth="1" min="7" max="7"/>
    <col width="14" customWidth="1" min="8" max="8"/>
    <col width="25" customWidth="1" min="9" max="9"/>
    <col width="10" customWidth="1" min="10" max="10"/>
    <col width="23" customWidth="1" min="11" max="11"/>
    <col width="30" customWidth="1" min="12" max="12"/>
    <col width="24" customWidth="1" min="13" max="13"/>
    <col width="45" customWidth="1" min="14" max="14"/>
    <col width="22" customWidth="1" min="15" max="15"/>
    <col width="50" customWidth="1" min="16" max="16"/>
    <col width="27" customWidth="1" min="17" max="17"/>
    <col width="34" customWidth="1" min="18" max="18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condition_IRS_1</t>
        </is>
      </c>
      <c r="D1" s="1" t="inlineStr">
        <is>
          <t>condition_IRS_2_a_50</t>
        </is>
      </c>
      <c r="E1" s="1" t="inlineStr">
        <is>
          <t>condition_IRS_2_a_5</t>
        </is>
      </c>
      <c r="F1" s="1" t="inlineStr">
        <is>
          <t>condition_IRS_2_a_10</t>
        </is>
      </c>
      <c r="G1" s="1" t="inlineStr">
        <is>
          <t>condition_IRS_2_b</t>
        </is>
      </c>
      <c r="H1" s="1" t="inlineStr">
        <is>
          <t>total_assets</t>
        </is>
      </c>
      <c r="I1" s="1" t="inlineStr">
        <is>
          <t>qualifying_assets_value</t>
        </is>
      </c>
      <c r="J1" s="1" t="inlineStr">
        <is>
          <t>expenses</t>
        </is>
      </c>
      <c r="K1" s="1" t="inlineStr">
        <is>
          <t>five_pct_gross_assets</t>
        </is>
      </c>
      <c r="L1" s="1" t="inlineStr">
        <is>
          <t>sum_large_securities_weights</t>
        </is>
      </c>
      <c r="M1" s="1" t="inlineStr">
        <is>
          <t>large_securities_count</t>
        </is>
      </c>
      <c r="N1" s="1" t="inlineStr">
        <is>
          <t>large_securities</t>
        </is>
      </c>
      <c r="O1" s="1" t="inlineStr">
        <is>
          <t>overlap_weight</t>
        </is>
      </c>
      <c r="P1" s="1" t="inlineStr">
        <is>
          <t>overlap_constituents</t>
        </is>
      </c>
      <c r="Q1" s="1" t="inlineStr">
        <is>
          <t>bottom_50_largest_holding</t>
        </is>
      </c>
      <c r="R1" s="1" t="inlineStr">
        <is>
          <t>bottom_50_second_largest_holding</t>
        </is>
      </c>
    </row>
    <row r="2">
      <c r="A2" s="2" t="n">
        <v>45867</v>
      </c>
      <c r="B2" t="inlineStr">
        <is>
          <t>P21026</t>
        </is>
      </c>
      <c r="C2" t="inlineStr">
        <is>
          <t>PASS</t>
        </is>
      </c>
      <c r="D2" s="3">
        <f>IF(I2/H2&gt;=0.5,"PASS","FAIL")</f>
        <v/>
      </c>
      <c r="E2" s="3">
        <f>IF(L2&lt;=0.5,"PASS","FAIL")</f>
        <v/>
      </c>
      <c r="F2" t="inlineStr">
        <is>
          <t>PASS</t>
        </is>
      </c>
      <c r="G2" t="inlineStr">
        <is>
          <t>PASS</t>
        </is>
      </c>
      <c r="H2" s="3" t="n">
        <v>23947329.82</v>
      </c>
      <c r="I2" s="3" t="n">
        <v>23172075.78536899</v>
      </c>
      <c r="J2" s="3" t="n">
        <v>1574.17</v>
      </c>
      <c r="K2" s="4" t="n">
        <v>1197366.491</v>
      </c>
      <c r="L2" s="4" t="n">
        <v>0.2289700614739986</v>
      </c>
      <c r="M2" s="3" t="n">
        <v>3</v>
      </c>
      <c r="N2" t="inlineStr">
        <is>
          <t>(NVDA, 8.72%), (MSFT, 7.71%), (AAPL, 6.47%)</t>
        </is>
      </c>
      <c r="O2" s="4" t="n">
        <v>0.06007291360590614</v>
      </c>
      <c r="P2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2" t="inlineStr">
        <is>
          <t>AMT (1.88%)</t>
        </is>
      </c>
      <c r="R2" t="inlineStr">
        <is>
          <t>XOM (1.80%)</t>
        </is>
      </c>
    </row>
    <row r="3">
      <c r="A3" s="2" t="n">
        <v>45867</v>
      </c>
      <c r="B3" t="inlineStr">
        <is>
          <t>HE3B1</t>
        </is>
      </c>
      <c r="C3" t="inlineStr">
        <is>
          <t>PASS</t>
        </is>
      </c>
      <c r="D3" s="3">
        <f>IF(I3/H3&gt;=0.5,"PASS","FAIL")</f>
        <v/>
      </c>
      <c r="E3" s="3">
        <f>IF(L3&lt;=0.5,"PASS","FAIL")</f>
        <v/>
      </c>
      <c r="F3" t="inlineStr">
        <is>
          <t>PASS</t>
        </is>
      </c>
      <c r="G3" t="inlineStr">
        <is>
          <t>PASS</t>
        </is>
      </c>
      <c r="H3" s="3" t="n">
        <v>43746916.99</v>
      </c>
      <c r="I3" s="3" t="n">
        <v>42788578.027346</v>
      </c>
      <c r="J3" s="3" t="n">
        <v>2688.12</v>
      </c>
      <c r="K3" s="4" t="n">
        <v>2187345.8495</v>
      </c>
      <c r="L3" s="4" t="n">
        <v>0.2528833015854448</v>
      </c>
      <c r="M3" s="3" t="n">
        <v>3</v>
      </c>
      <c r="N3" t="inlineStr">
        <is>
          <t>(NVDA, 9.63%), (MSFT, 8.52%), (AAPL, 7.14%)</t>
        </is>
      </c>
      <c r="O3" s="4" t="n">
        <v>0.1107920834387923</v>
      </c>
      <c r="P3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3" t="inlineStr">
        <is>
          <t>CSCO (2.18%)</t>
        </is>
      </c>
      <c r="R3" t="inlineStr">
        <is>
          <t>LIN (2.12%)</t>
        </is>
      </c>
    </row>
    <row r="4">
      <c r="A4" s="2" t="n">
        <v>45867</v>
      </c>
      <c r="B4" t="inlineStr">
        <is>
          <t>P30128</t>
        </is>
      </c>
      <c r="C4" t="inlineStr">
        <is>
          <t>PASS</t>
        </is>
      </c>
      <c r="D4" s="3">
        <f>IF(I4/H4&gt;=0.5,"PASS","FAIL")</f>
        <v/>
      </c>
      <c r="E4" s="3">
        <f>IF(L4&lt;=0.5,"PASS","FAIL")</f>
        <v/>
      </c>
      <c r="F4" t="inlineStr">
        <is>
          <t>PASS</t>
        </is>
      </c>
      <c r="G4" t="inlineStr">
        <is>
          <t>PASS</t>
        </is>
      </c>
      <c r="H4" s="3" t="n">
        <v>40754343.38</v>
      </c>
      <c r="I4" s="3" t="n">
        <v>38861221.47167199</v>
      </c>
      <c r="J4" s="3" t="n">
        <v>2552.05</v>
      </c>
      <c r="K4" s="4" t="n">
        <v>2037717.169</v>
      </c>
      <c r="L4" s="4" t="n">
        <v>0.2406737282051053</v>
      </c>
      <c r="M4" s="3" t="n">
        <v>3</v>
      </c>
      <c r="N4" t="inlineStr">
        <is>
          <t>(NVDA, 9.16%), (MSFT, 8.11%), (AAPL, 6.80%)</t>
        </is>
      </c>
      <c r="O4" s="4" t="n">
        <v>0.09668656086373681</v>
      </c>
      <c r="P4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4" t="inlineStr">
        <is>
          <t>LIN (2.05%)</t>
        </is>
      </c>
      <c r="R4" t="inlineStr">
        <is>
          <t>AMT (1.88%)</t>
        </is>
      </c>
    </row>
    <row r="5">
      <c r="A5" s="2" t="n">
        <v>45867</v>
      </c>
      <c r="B5" t="inlineStr">
        <is>
          <t>P20127</t>
        </is>
      </c>
      <c r="C5" t="inlineStr">
        <is>
          <t>PASS</t>
        </is>
      </c>
      <c r="D5" s="3">
        <f>IF(I5/H5&gt;=0.5,"PASS","FAIL")</f>
        <v/>
      </c>
      <c r="E5" s="3">
        <f>IF(L5&lt;=0.5,"PASS","FAIL")</f>
        <v/>
      </c>
      <c r="F5" t="inlineStr">
        <is>
          <t>PASS</t>
        </is>
      </c>
      <c r="G5" t="inlineStr">
        <is>
          <t>PASS</t>
        </is>
      </c>
      <c r="H5" s="3" t="n">
        <v>103149449.35</v>
      </c>
      <c r="I5" s="3" t="n">
        <v>99435851.29742999</v>
      </c>
      <c r="J5" s="3" t="n">
        <v>6763.16</v>
      </c>
      <c r="K5" s="4" t="n">
        <v>5157472.4675</v>
      </c>
      <c r="L5" s="4" t="n">
        <v>0.2291703454720673</v>
      </c>
      <c r="M5" s="3" t="n">
        <v>3</v>
      </c>
      <c r="N5" t="inlineStr">
        <is>
          <t>(NVDA, 8.72%), (MSFT, 7.72%), (AAPL, 6.48%)</t>
        </is>
      </c>
      <c r="O5" s="4" t="n">
        <v>0.06522455301337969</v>
      </c>
      <c r="P5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5" t="inlineStr">
        <is>
          <t>AMT (1.87%)</t>
        </is>
      </c>
      <c r="R5" t="inlineStr">
        <is>
          <t>XOM (1.79%)</t>
        </is>
      </c>
    </row>
    <row r="6">
      <c r="A6" s="2" t="n">
        <v>45867</v>
      </c>
      <c r="B6" t="inlineStr">
        <is>
          <t>P2726</t>
        </is>
      </c>
      <c r="C6" t="inlineStr">
        <is>
          <t>PASS</t>
        </is>
      </c>
      <c r="D6" s="3">
        <f>IF(I6/H6&gt;=0.5,"PASS","FAIL")</f>
        <v/>
      </c>
      <c r="E6" s="3">
        <f>IF(L6&lt;=0.5,"PASS","FAIL")</f>
        <v/>
      </c>
      <c r="F6" t="inlineStr">
        <is>
          <t>PASS</t>
        </is>
      </c>
      <c r="G6" t="inlineStr">
        <is>
          <t>PASS</t>
        </is>
      </c>
      <c r="H6" s="3" t="n">
        <v>35101677.24</v>
      </c>
      <c r="I6" s="3" t="n">
        <v>34542057.605649</v>
      </c>
      <c r="J6" s="3" t="n">
        <v>2370.12</v>
      </c>
      <c r="K6" s="4" t="n">
        <v>1755083.862</v>
      </c>
      <c r="L6" s="4" t="n">
        <v>0.2249362862557174</v>
      </c>
      <c r="M6" s="3" t="n">
        <v>3</v>
      </c>
      <c r="N6" t="inlineStr">
        <is>
          <t>(NVDA, 8.56%), (MSFT, 7.57%), (AAPL, 6.36%)</t>
        </is>
      </c>
      <c r="O6" s="4" t="n">
        <v>0.04302511430787118</v>
      </c>
      <c r="P6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6" t="inlineStr">
        <is>
          <t>AMT (1.89%)</t>
        </is>
      </c>
      <c r="R6" t="inlineStr">
        <is>
          <t>XOM (1.79%)</t>
        </is>
      </c>
    </row>
    <row r="7">
      <c r="A7" s="2" t="n">
        <v>45867</v>
      </c>
      <c r="B7" t="inlineStr">
        <is>
          <t>P31027</t>
        </is>
      </c>
      <c r="C7" t="inlineStr">
        <is>
          <t>PASS</t>
        </is>
      </c>
      <c r="D7" s="3">
        <f>IF(I7/H7&gt;=0.5,"PASS","FAIL")</f>
        <v/>
      </c>
      <c r="E7" s="3">
        <f>IF(L7&lt;=0.5,"PASS","FAIL")</f>
        <v/>
      </c>
      <c r="F7" t="inlineStr">
        <is>
          <t>PASS</t>
        </is>
      </c>
      <c r="G7" t="inlineStr">
        <is>
          <t>PASS</t>
        </is>
      </c>
      <c r="H7" s="3" t="n">
        <v>15543418.45</v>
      </c>
      <c r="I7" s="3" t="n">
        <v>15235485.033566</v>
      </c>
      <c r="J7" s="3" t="n">
        <v>996.5599999999999</v>
      </c>
      <c r="K7" s="4" t="n">
        <v>777170.9225</v>
      </c>
      <c r="L7" s="4" t="n">
        <v>0.2413365523568481</v>
      </c>
      <c r="M7" s="3" t="n">
        <v>3</v>
      </c>
      <c r="N7" t="inlineStr">
        <is>
          <t>(NVDA, 9.19%), (MSFT, 8.13%), (AAPL, 6.82%)</t>
        </is>
      </c>
      <c r="O7" s="4" t="n">
        <v>0.0953187587615902</v>
      </c>
      <c r="P7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7" t="inlineStr">
        <is>
          <t>LIN (2.07%)</t>
        </is>
      </c>
      <c r="R7" t="inlineStr">
        <is>
          <t>AMT (1.89%)</t>
        </is>
      </c>
    </row>
    <row r="8">
      <c r="A8" s="2" t="n">
        <v>45867</v>
      </c>
      <c r="B8" t="inlineStr">
        <is>
          <t>R21126</t>
        </is>
      </c>
      <c r="C8" t="inlineStr">
        <is>
          <t>PASS</t>
        </is>
      </c>
      <c r="D8" s="3">
        <f>IF(I8/H8&gt;=0.5,"PASS","FAIL")</f>
        <v/>
      </c>
      <c r="E8" s="3">
        <f>IF(L8&lt;=0.5,"PASS","FAIL")</f>
        <v/>
      </c>
      <c r="F8" t="inlineStr">
        <is>
          <t>PASS</t>
        </is>
      </c>
      <c r="G8" t="inlineStr">
        <is>
          <t>PASS</t>
        </is>
      </c>
      <c r="H8" s="3" t="n">
        <v>55695857.06</v>
      </c>
      <c r="I8" s="3" t="n">
        <v>52620706.134348</v>
      </c>
      <c r="J8" s="3" t="n">
        <v>3656.78</v>
      </c>
      <c r="K8" s="4" t="n">
        <v>2784792.853</v>
      </c>
      <c r="L8" s="4" t="n">
        <v>0</v>
      </c>
      <c r="M8" s="3" t="n">
        <v>0</v>
      </c>
      <c r="N8" t="inlineStr">
        <is>
          <t>None</t>
        </is>
      </c>
      <c r="O8" s="4" t="n">
        <v>0.03715474388191416</v>
      </c>
      <c r="P8" t="inlineStr">
        <is>
          <t>AAPL: 5.84%, ABT: 0.41%, ACN: 0.32%, ADM: 0.05%, ADP: 0.23%, AFL: 0.09%, ALL: 0.10%, AMAT: 0.28%, AMP: 0.09%, AXP: 0.32%, BK: 0.13%, BKNG: 0.34%, BKR: 0.08%, BLK: 0.30%, CB: 0.18%, CF: 0.03%, CINF: 0.04%, COST: 0.77%, CRM: 0.47%, CSCO: 0.50%, CTSH: 0.07%, DHI: 0.08%, DOV: 0.05%, EA: 0.06%, EBAY: 0.07%, EG: 0.03%, ELV: 0.12%, EOG: 0.12%, FANG: 0.05%, GE: 0.53%, GEV: 0.32%, GOOGL: 2.11%, HIG: 0.07%, JNJ: 0.75%, JPM: 1.53%, KLAC: 0.22%, LEN: 0.05%, LRCX: 0.23%, MA: 0.85%, MCK: 0.16%, META: 2.81%, MPWR: 0.06%, MSFT: 7.05%, MTB: 0.06%, NKE: 0.17%, NTRS: 0.05%, NUE: 0.06%, NVDA: 7.92%, ODFL: 0.06%, PAYC: 0.02%, PCAR: 0.10%, PGR: 0.26%, PHM: 0.04%, PNC: 0.14%, QCOM: 0.33%, RJF: 0.06%, ROST: 0.08%, SNA: 0.03%, STT: 0.06%, SYF: 0.05%, TRV: 0.11%, V: 1.11%, WSM: 0.04%, XOM: 0.90%</t>
        </is>
      </c>
      <c r="Q8" t="inlineStr">
        <is>
          <t>SNA (1.90%)</t>
        </is>
      </c>
      <c r="R8" t="inlineStr">
        <is>
          <t>AAPL (1.90%)</t>
        </is>
      </c>
    </row>
    <row r="9">
      <c r="A9" s="2" t="n">
        <v>45867</v>
      </c>
      <c r="B9" t="inlineStr">
        <is>
          <t>P3727</t>
        </is>
      </c>
      <c r="C9" t="inlineStr">
        <is>
          <t>PASS</t>
        </is>
      </c>
      <c r="D9" s="3">
        <f>IF(I9/H9&gt;=0.5,"PASS","FAIL")</f>
        <v/>
      </c>
      <c r="E9" s="3">
        <f>IF(L9&lt;=0.5,"PASS","FAIL")</f>
        <v/>
      </c>
      <c r="F9" t="inlineStr">
        <is>
          <t>PASS</t>
        </is>
      </c>
      <c r="G9" t="inlineStr">
        <is>
          <t>PASS</t>
        </is>
      </c>
      <c r="H9" s="3" t="n">
        <v>79475406.98999999</v>
      </c>
      <c r="I9" s="3" t="n">
        <v>77475411.48917799</v>
      </c>
      <c r="J9" s="3" t="n">
        <v>5148.21</v>
      </c>
      <c r="K9" s="4" t="n">
        <v>3973770.3495</v>
      </c>
      <c r="L9" s="4" t="n">
        <v>0.2356016138199446</v>
      </c>
      <c r="M9" s="3" t="n">
        <v>3</v>
      </c>
      <c r="N9" t="inlineStr">
        <is>
          <t>(NVDA, 8.97%), (MSFT, 7.93%), (AAPL, 6.66%)</t>
        </is>
      </c>
      <c r="O9" s="4" t="n">
        <v>0.076268218543891</v>
      </c>
      <c r="P9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9" t="inlineStr">
        <is>
          <t>TSLA (2.04%)</t>
        </is>
      </c>
      <c r="R9" t="inlineStr">
        <is>
          <t>AMT (1.89%)</t>
        </is>
      </c>
    </row>
    <row r="10">
      <c r="A10" s="2" t="n">
        <v>45867</v>
      </c>
      <c r="B10" t="inlineStr">
        <is>
          <t>HE3B2</t>
        </is>
      </c>
      <c r="C10" t="inlineStr">
        <is>
          <t>FAIL</t>
        </is>
      </c>
      <c r="D10" s="3">
        <f>IF(I10/H10&gt;=0.5,"PASS","FAIL")</f>
        <v/>
      </c>
      <c r="E10" s="3">
        <f>IF(L10&lt;=0.5,"PASS","FAIL")</f>
        <v/>
      </c>
      <c r="F10" t="inlineStr">
        <is>
          <t>FAIL</t>
        </is>
      </c>
      <c r="G10" t="inlineStr">
        <is>
          <t>PASS</t>
        </is>
      </c>
      <c r="H10" s="3" t="n">
        <v>0</v>
      </c>
      <c r="I10" s="3" t="n">
        <v>0</v>
      </c>
      <c r="J10" s="3" t="n">
        <v>0</v>
      </c>
      <c r="K10" s="4" t="n">
        <v>0</v>
      </c>
      <c r="L10" s="4" t="n">
        <v>0</v>
      </c>
      <c r="M10" s="3" t="n">
        <v>0</v>
      </c>
      <c r="N10" t="inlineStr">
        <is>
          <t>None</t>
        </is>
      </c>
      <c r="O10" s="4" t="n">
        <v>0</v>
      </c>
      <c r="P10" t="inlineStr">
        <is>
          <t>None</t>
        </is>
      </c>
      <c r="Q10" t="inlineStr">
        <is>
          <t>N/A (0.00%)</t>
        </is>
      </c>
      <c r="R10" t="inlineStr">
        <is>
          <t>N/A (0.00%)</t>
        </is>
      </c>
    </row>
    <row r="11">
      <c r="A11" s="2" t="n">
        <v>45867</v>
      </c>
      <c r="B11" t="inlineStr">
        <is>
          <t>TR2B1</t>
        </is>
      </c>
      <c r="C11" t="inlineStr">
        <is>
          <t>PASS</t>
        </is>
      </c>
      <c r="D11" s="3">
        <f>IF(I11/H11&gt;=0.5,"PASS","FAIL")</f>
        <v/>
      </c>
      <c r="E11" s="3">
        <f>IF(L11&lt;=0.5,"PASS","FAIL")</f>
        <v/>
      </c>
      <c r="F11" t="inlineStr">
        <is>
          <t>PASS</t>
        </is>
      </c>
      <c r="G11" t="inlineStr">
        <is>
          <t>PASS</t>
        </is>
      </c>
      <c r="H11" s="3" t="n">
        <v>138150963.63</v>
      </c>
      <c r="I11" s="3" t="n">
        <v>135735656.13178</v>
      </c>
      <c r="J11" s="3" t="n">
        <v>8787.809999999999</v>
      </c>
      <c r="K11" s="4" t="n">
        <v>6907548.1815</v>
      </c>
      <c r="L11" s="4" t="n">
        <v>0.2422890260558499</v>
      </c>
      <c r="M11" s="3" t="n">
        <v>3</v>
      </c>
      <c r="N11" t="inlineStr">
        <is>
          <t>(NVDA, 9.22%), (MSFT, 8.16%), (AAPL, 6.85%)</t>
        </is>
      </c>
      <c r="O11" s="4" t="n">
        <v>0.08127032252811513</v>
      </c>
      <c r="P11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11" t="inlineStr">
        <is>
          <t>LIN (2.11%)</t>
        </is>
      </c>
      <c r="R11" t="inlineStr">
        <is>
          <t>TSLA (2.10%)</t>
        </is>
      </c>
    </row>
    <row r="12">
      <c r="A12" s="2" t="n">
        <v>45867</v>
      </c>
      <c r="B12" t="inlineStr">
        <is>
          <t>TR2B2</t>
        </is>
      </c>
      <c r="C12" t="inlineStr">
        <is>
          <t>FAIL</t>
        </is>
      </c>
      <c r="D12" s="3">
        <f>IF(I12/H12&gt;=0.5,"PASS","FAIL")</f>
        <v/>
      </c>
      <c r="E12" s="3">
        <f>IF(L12&lt;=0.5,"PASS","FAIL")</f>
        <v/>
      </c>
      <c r="F12" t="inlineStr">
        <is>
          <t>FAIL</t>
        </is>
      </c>
      <c r="G12" t="inlineStr">
        <is>
          <t>PASS</t>
        </is>
      </c>
      <c r="H12" s="3" t="n">
        <v>0</v>
      </c>
      <c r="I12" s="3" t="n">
        <v>0</v>
      </c>
      <c r="J12" s="3" t="n">
        <v>0</v>
      </c>
      <c r="K12" s="4" t="n">
        <v>0</v>
      </c>
      <c r="L12" s="4" t="n">
        <v>0</v>
      </c>
      <c r="M12" s="3" t="n">
        <v>0</v>
      </c>
      <c r="N12" t="inlineStr">
        <is>
          <t>None</t>
        </is>
      </c>
      <c r="O12" s="4" t="n">
        <v>0</v>
      </c>
      <c r="P12" t="inlineStr">
        <is>
          <t>None</t>
        </is>
      </c>
      <c r="Q12" t="inlineStr">
        <is>
          <t>N/A (0.00%)</t>
        </is>
      </c>
      <c r="R12" t="inlineStr">
        <is>
          <t>N/A (0.00%)</t>
        </is>
      </c>
    </row>
    <row r="13">
      <c r="A13" s="2" t="n">
        <v>45868</v>
      </c>
      <c r="B13" t="inlineStr">
        <is>
          <t>P21026</t>
        </is>
      </c>
      <c r="C13" t="inlineStr">
        <is>
          <t>PASS</t>
        </is>
      </c>
      <c r="D13" s="3">
        <f>IF(I13/H13&gt;=0.5,"PASS","FAIL")</f>
        <v/>
      </c>
      <c r="E13" s="3">
        <f>IF(L13&lt;=0.5,"PASS","FAIL")</f>
        <v/>
      </c>
      <c r="F13" t="inlineStr">
        <is>
          <t>PASS</t>
        </is>
      </c>
      <c r="G13" t="inlineStr">
        <is>
          <t>PASS</t>
        </is>
      </c>
      <c r="H13" s="3" t="n">
        <v>23919832.67</v>
      </c>
      <c r="I13" s="3" t="n">
        <v>23138601.85344</v>
      </c>
      <c r="J13" s="3" t="n">
        <v>1570.87</v>
      </c>
      <c r="K13" s="4" t="n">
        <v>1195991.6335</v>
      </c>
      <c r="L13" s="4" t="n">
        <v>0.2303863676000715</v>
      </c>
      <c r="M13" s="3" t="n">
        <v>3</v>
      </c>
      <c r="N13" t="inlineStr">
        <is>
          <t>(NVDA, 8.90%), (MSFT, 7.73%), (AAPL, 6.40%)</t>
        </is>
      </c>
      <c r="O13" s="4" t="n">
        <v>0.06041553314260704</v>
      </c>
      <c r="P13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13" t="inlineStr">
        <is>
          <t>AMT (1.82%)</t>
        </is>
      </c>
      <c r="R13" t="inlineStr">
        <is>
          <t>XOM (1.79%)</t>
        </is>
      </c>
    </row>
    <row r="14">
      <c r="A14" s="2" t="n">
        <v>45868</v>
      </c>
      <c r="B14" t="inlineStr">
        <is>
          <t>HE3B1</t>
        </is>
      </c>
      <c r="C14" t="inlineStr">
        <is>
          <t>PASS</t>
        </is>
      </c>
      <c r="D14" s="3">
        <f>IF(I14/H14&gt;=0.5,"PASS","FAIL")</f>
        <v/>
      </c>
      <c r="E14" s="3">
        <f>IF(L14&lt;=0.5,"PASS","FAIL")</f>
        <v/>
      </c>
      <c r="F14" t="inlineStr">
        <is>
          <t>PASS</t>
        </is>
      </c>
      <c r="G14" t="inlineStr">
        <is>
          <t>PASS</t>
        </is>
      </c>
      <c r="H14" s="3" t="n">
        <v>43696649.9</v>
      </c>
      <c r="I14" s="3" t="n">
        <v>42727204.59595399</v>
      </c>
      <c r="J14" s="3" t="n">
        <v>2681.72</v>
      </c>
      <c r="K14" s="4" t="n">
        <v>2184832.495</v>
      </c>
      <c r="L14" s="4" t="n">
        <v>0.254355916903367</v>
      </c>
      <c r="M14" s="3" t="n">
        <v>3</v>
      </c>
      <c r="N14" t="inlineStr">
        <is>
          <t>(NVDA, 9.82%), (MSFT, 8.54%), (AAPL, 7.07%)</t>
        </is>
      </c>
      <c r="O14" s="4" t="n">
        <v>0.1111142070860219</v>
      </c>
      <c r="P14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14" t="inlineStr">
        <is>
          <t>CSCO (2.19%)</t>
        </is>
      </c>
      <c r="R14" t="inlineStr">
        <is>
          <t>TSLA (2.17%)</t>
        </is>
      </c>
    </row>
    <row r="15">
      <c r="A15" s="2" t="n">
        <v>45868</v>
      </c>
      <c r="B15" t="inlineStr">
        <is>
          <t>P30128</t>
        </is>
      </c>
      <c r="C15" t="inlineStr">
        <is>
          <t>PASS</t>
        </is>
      </c>
      <c r="D15" s="3">
        <f>IF(I15/H15&gt;=0.5,"PASS","FAIL")</f>
        <v/>
      </c>
      <c r="E15" s="3">
        <f>IF(L15&lt;=0.5,"PASS","FAIL")</f>
        <v/>
      </c>
      <c r="F15" t="inlineStr">
        <is>
          <t>PASS</t>
        </is>
      </c>
      <c r="G15" t="inlineStr">
        <is>
          <t>PASS</t>
        </is>
      </c>
      <c r="H15" s="3" t="n">
        <v>40706285.1</v>
      </c>
      <c r="I15" s="3" t="n">
        <v>38808548.906257</v>
      </c>
      <c r="J15" s="3" t="n">
        <v>2546.87</v>
      </c>
      <c r="K15" s="4" t="n">
        <v>2035314.255</v>
      </c>
      <c r="L15" s="4" t="n">
        <v>0.2421290545877275</v>
      </c>
      <c r="M15" s="3" t="n">
        <v>3</v>
      </c>
      <c r="N15" t="inlineStr">
        <is>
          <t>(NVDA, 9.35%), (MSFT, 8.13%), (AAPL, 6.73%)</t>
        </is>
      </c>
      <c r="O15" s="4" t="n">
        <v>0.09708620024029163</v>
      </c>
      <c r="P15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15" t="inlineStr">
        <is>
          <t>LIN (2.03%)</t>
        </is>
      </c>
      <c r="R15" t="inlineStr">
        <is>
          <t>XOM (1.83%)</t>
        </is>
      </c>
    </row>
    <row r="16">
      <c r="A16" s="2" t="n">
        <v>45868</v>
      </c>
      <c r="B16" t="inlineStr">
        <is>
          <t>P20127</t>
        </is>
      </c>
      <c r="C16" t="inlineStr">
        <is>
          <t>PASS</t>
        </is>
      </c>
      <c r="D16" s="3">
        <f>IF(I16/H16&gt;=0.5,"PASS","FAIL")</f>
        <v/>
      </c>
      <c r="E16" s="3">
        <f>IF(L16&lt;=0.5,"PASS","FAIL")</f>
        <v/>
      </c>
      <c r="F16" t="inlineStr">
        <is>
          <t>PASS</t>
        </is>
      </c>
      <c r="G16" t="inlineStr">
        <is>
          <t>PASS</t>
        </is>
      </c>
      <c r="H16" s="3" t="n">
        <v>103031141.08</v>
      </c>
      <c r="I16" s="3" t="n">
        <v>99335541.68459602</v>
      </c>
      <c r="J16" s="3" t="n">
        <v>6749.61</v>
      </c>
      <c r="K16" s="4" t="n">
        <v>5151557.054</v>
      </c>
      <c r="L16" s="4" t="n">
        <v>0.2306316047463202</v>
      </c>
      <c r="M16" s="3" t="n">
        <v>3</v>
      </c>
      <c r="N16" t="inlineStr">
        <is>
          <t>(NVDA, 8.91%), (MSFT, 7.74%), (AAPL, 6.41%)</t>
        </is>
      </c>
      <c r="O16" s="4" t="n">
        <v>0.06572950822060333</v>
      </c>
      <c r="P16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16" t="inlineStr">
        <is>
          <t>AMT (1.81%)</t>
        </is>
      </c>
      <c r="R16" t="inlineStr">
        <is>
          <t>XOM (1.78%)</t>
        </is>
      </c>
    </row>
    <row r="17">
      <c r="A17" s="2" t="n">
        <v>45868</v>
      </c>
      <c r="B17" t="inlineStr">
        <is>
          <t>P2726</t>
        </is>
      </c>
      <c r="C17" t="inlineStr">
        <is>
          <t>PASS</t>
        </is>
      </c>
      <c r="D17" s="3">
        <f>IF(I17/H17&gt;=0.5,"PASS","FAIL")</f>
        <v/>
      </c>
      <c r="E17" s="3">
        <f>IF(L17&lt;=0.5,"PASS","FAIL")</f>
        <v/>
      </c>
      <c r="F17" t="inlineStr">
        <is>
          <t>PASS</t>
        </is>
      </c>
      <c r="G17" t="inlineStr">
        <is>
          <t>PASS</t>
        </is>
      </c>
      <c r="H17" s="3" t="n">
        <v>35057183.7</v>
      </c>
      <c r="I17" s="3" t="n">
        <v>34485607.642456</v>
      </c>
      <c r="J17" s="3" t="n">
        <v>2364.41</v>
      </c>
      <c r="K17" s="4" t="n">
        <v>1752859.185</v>
      </c>
      <c r="L17" s="4" t="n">
        <v>0.2263281832715763</v>
      </c>
      <c r="M17" s="3" t="n">
        <v>3</v>
      </c>
      <c r="N17" t="inlineStr">
        <is>
          <t>(NVDA, 8.75%), (MSFT, 7.60%), (AAPL, 6.29%)</t>
        </is>
      </c>
      <c r="O17" s="4" t="n">
        <v>0.04320433767347946</v>
      </c>
      <c r="P17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17" t="inlineStr">
        <is>
          <t>AMT (1.83%)</t>
        </is>
      </c>
      <c r="R17" t="inlineStr">
        <is>
          <t>XOM (1.78%)</t>
        </is>
      </c>
    </row>
    <row r="18">
      <c r="A18" s="2" t="n">
        <v>45868</v>
      </c>
      <c r="B18" t="inlineStr">
        <is>
          <t>P31027</t>
        </is>
      </c>
      <c r="C18" t="inlineStr">
        <is>
          <t>PASS</t>
        </is>
      </c>
      <c r="D18" s="3">
        <f>IF(I18/H18&gt;=0.5,"PASS","FAIL")</f>
        <v/>
      </c>
      <c r="E18" s="3">
        <f>IF(L18&lt;=0.5,"PASS","FAIL")</f>
        <v/>
      </c>
      <c r="F18" t="inlineStr">
        <is>
          <t>PASS</t>
        </is>
      </c>
      <c r="G18" t="inlineStr">
        <is>
          <t>PASS</t>
        </is>
      </c>
      <c r="H18" s="3" t="n">
        <v>15525103.6</v>
      </c>
      <c r="I18" s="3" t="n">
        <v>15216830.383124</v>
      </c>
      <c r="J18" s="3" t="n">
        <v>994.54</v>
      </c>
      <c r="K18" s="4" t="n">
        <v>776255.1800000001</v>
      </c>
      <c r="L18" s="4" t="n">
        <v>0.2428408061232394</v>
      </c>
      <c r="M18" s="3" t="n">
        <v>3</v>
      </c>
      <c r="N18" t="inlineStr">
        <is>
          <t>(NVDA, 9.38%), (MSFT, 8.16%), (AAPL, 6.75%)</t>
        </is>
      </c>
      <c r="O18" s="4" t="n">
        <v>0.09586148546693113</v>
      </c>
      <c r="P18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18" t="inlineStr">
        <is>
          <t>TSLA (2.07%)</t>
        </is>
      </c>
      <c r="R18" t="inlineStr">
        <is>
          <t>LIN (2.05%)</t>
        </is>
      </c>
    </row>
    <row r="19">
      <c r="A19" s="2" t="n">
        <v>45868</v>
      </c>
      <c r="B19" t="inlineStr">
        <is>
          <t>R21126</t>
        </is>
      </c>
      <c r="C19" t="inlineStr">
        <is>
          <t>PASS</t>
        </is>
      </c>
      <c r="D19" s="3">
        <f>IF(I19/H19&gt;=0.5,"PASS","FAIL")</f>
        <v/>
      </c>
      <c r="E19" s="3">
        <f>IF(L19&lt;=0.5,"PASS","FAIL")</f>
        <v/>
      </c>
      <c r="F19" t="inlineStr">
        <is>
          <t>PASS</t>
        </is>
      </c>
      <c r="G19" t="inlineStr">
        <is>
          <t>PASS</t>
        </is>
      </c>
      <c r="H19" s="3" t="n">
        <v>55353192.68</v>
      </c>
      <c r="I19" s="3" t="n">
        <v>52212881.67206001</v>
      </c>
      <c r="J19" s="3" t="n">
        <v>3659.76</v>
      </c>
      <c r="K19" s="4" t="n">
        <v>2767659.634</v>
      </c>
      <c r="L19" s="4" t="n">
        <v>0</v>
      </c>
      <c r="M19" s="3" t="n">
        <v>0</v>
      </c>
      <c r="N19" t="inlineStr">
        <is>
          <t>None</t>
        </is>
      </c>
      <c r="O19" s="4" t="n">
        <v>0.03760052801456583</v>
      </c>
      <c r="P19" t="inlineStr">
        <is>
          <t>AAPL: 5.84%, ABT: 0.41%, ACN: 0.32%, ADM: 0.05%, ADP: 0.23%, AFL: 0.09%, ALL: 0.10%, AMAT: 0.28%, AMP: 0.09%, AXP: 0.32%, BK: 0.13%, BKNG: 0.34%, BKR: 0.08%, BLK: 0.30%, CB: 0.18%, CF: 0.03%, CINF: 0.04%, COST: 0.77%, CRM: 0.47%, CSCO: 0.50%, CTSH: 0.07%, DHI: 0.08%, DOV: 0.05%, EA: 0.06%, EBAY: 0.07%, EG: 0.03%, ELV: 0.12%, EOG: 0.12%, FANG: 0.05%, GE: 0.53%, GEV: 0.32%, GOOGL: 2.11%, HIG: 0.07%, JNJ: 0.75%, JPM: 1.53%, KLAC: 0.22%, LEN: 0.05%, LRCX: 0.23%, MA: 0.85%, MCK: 0.16%, META: 2.81%, MPWR: 0.06%, MSFT: 7.05%, MTB: 0.06%, NKE: 0.17%, NTRS: 0.05%, NUE: 0.06%, NVDA: 7.92%, ODFL: 0.06%, PAYC: 0.02%, PCAR: 0.10%, PGR: 0.26%, PHM: 0.04%, PNC: 0.14%, QCOM: 0.33%, RJF: 0.06%, ROST: 0.08%, SNA: 0.03%, STT: 0.06%, SYF: 0.05%, TRV: 0.11%, V: 1.11%, WSM: 0.04%, XOM: 0.90%</t>
        </is>
      </c>
      <c r="Q19" t="inlineStr">
        <is>
          <t>AAPL (1.90%)</t>
        </is>
      </c>
      <c r="R19" t="inlineStr">
        <is>
          <t>UNM (1.89%)</t>
        </is>
      </c>
    </row>
    <row r="20">
      <c r="A20" s="2" t="n">
        <v>45868</v>
      </c>
      <c r="B20" t="inlineStr">
        <is>
          <t>P3727</t>
        </is>
      </c>
      <c r="C20" t="inlineStr">
        <is>
          <t>PASS</t>
        </is>
      </c>
      <c r="D20" s="3">
        <f>IF(I20/H20&gt;=0.5,"PASS","FAIL")</f>
        <v/>
      </c>
      <c r="E20" s="3">
        <f>IF(L20&lt;=0.5,"PASS","FAIL")</f>
        <v/>
      </c>
      <c r="F20" t="inlineStr">
        <is>
          <t>PASS</t>
        </is>
      </c>
      <c r="G20" t="inlineStr">
        <is>
          <t>PASS</t>
        </is>
      </c>
      <c r="H20" s="3" t="n">
        <v>79381863.22</v>
      </c>
      <c r="I20" s="3" t="n">
        <v>77368753.09862398</v>
      </c>
      <c r="J20" s="3" t="n">
        <v>5136.26</v>
      </c>
      <c r="K20" s="4" t="n">
        <v>3969093.161</v>
      </c>
      <c r="L20" s="4" t="n">
        <v>0.2370580027168336</v>
      </c>
      <c r="M20" s="3" t="n">
        <v>3</v>
      </c>
      <c r="N20" t="inlineStr">
        <is>
          <t>(NVDA, 9.16%), (MSFT, 7.96%), (AAPL, 6.59%)</t>
        </is>
      </c>
      <c r="O20" s="4" t="n">
        <v>0.07667096477386008</v>
      </c>
      <c r="P20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20" t="inlineStr">
        <is>
          <t>TSLA (2.03%)</t>
        </is>
      </c>
      <c r="R20" t="inlineStr">
        <is>
          <t>AMT (1.84%)</t>
        </is>
      </c>
    </row>
    <row r="21">
      <c r="A21" s="2" t="n">
        <v>45868</v>
      </c>
      <c r="B21" t="inlineStr">
        <is>
          <t>HE3B2</t>
        </is>
      </c>
      <c r="C21" t="inlineStr">
        <is>
          <t>FAIL</t>
        </is>
      </c>
      <c r="D21" s="3">
        <f>IF(I21/H21&gt;=0.5,"PASS","FAIL")</f>
        <v/>
      </c>
      <c r="E21" s="3">
        <f>IF(L21&lt;=0.5,"PASS","FAIL")</f>
        <v/>
      </c>
      <c r="F21" t="inlineStr">
        <is>
          <t>FAIL</t>
        </is>
      </c>
      <c r="G21" t="inlineStr">
        <is>
          <t>PASS</t>
        </is>
      </c>
      <c r="H21" s="3" t="n">
        <v>0</v>
      </c>
      <c r="I21" s="3" t="n">
        <v>0</v>
      </c>
      <c r="J21" s="3" t="n">
        <v>0</v>
      </c>
      <c r="K21" s="4" t="n">
        <v>0</v>
      </c>
      <c r="L21" s="4" t="n">
        <v>0</v>
      </c>
      <c r="M21" s="3" t="n">
        <v>0</v>
      </c>
      <c r="N21" t="inlineStr">
        <is>
          <t>None</t>
        </is>
      </c>
      <c r="O21" s="4" t="n">
        <v>0</v>
      </c>
      <c r="P21" t="inlineStr">
        <is>
          <t>None</t>
        </is>
      </c>
      <c r="Q21" t="inlineStr">
        <is>
          <t>N/A (0.00%)</t>
        </is>
      </c>
      <c r="R21" t="inlineStr">
        <is>
          <t>N/A (0.00%)</t>
        </is>
      </c>
    </row>
    <row r="22">
      <c r="A22" s="2" t="n">
        <v>45868</v>
      </c>
      <c r="B22" t="inlineStr">
        <is>
          <t>TR2B1</t>
        </is>
      </c>
      <c r="C22" t="inlineStr">
        <is>
          <t>PASS</t>
        </is>
      </c>
      <c r="D22" s="3">
        <f>IF(I22/H22&gt;=0.5,"PASS","FAIL")</f>
        <v/>
      </c>
      <c r="E22" s="3">
        <f>IF(L22&lt;=0.5,"PASS","FAIL")</f>
        <v/>
      </c>
      <c r="F22" t="inlineStr">
        <is>
          <t>PASS</t>
        </is>
      </c>
      <c r="G22" t="inlineStr">
        <is>
          <t>PASS</t>
        </is>
      </c>
      <c r="H22" s="3" t="n">
        <v>137999660.42</v>
      </c>
      <c r="I22" s="3" t="n">
        <v>135539435.319717</v>
      </c>
      <c r="J22" s="3" t="n">
        <v>8766.809999999999</v>
      </c>
      <c r="K22" s="4" t="n">
        <v>6899983.021</v>
      </c>
      <c r="L22" s="4" t="n">
        <v>0.2437368012700584</v>
      </c>
      <c r="M22" s="3" t="n">
        <v>3</v>
      </c>
      <c r="N22" t="inlineStr">
        <is>
          <t>(NVDA, 9.41%), (MSFT, 8.18%), (AAPL, 6.78%)</t>
        </is>
      </c>
      <c r="O22" s="4" t="n">
        <v>0.08159896955866003</v>
      </c>
      <c r="P22" t="inlineStr">
        <is>
      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      </is>
      </c>
      <c r="Q22" t="inlineStr">
        <is>
          <t>LIN (2.09%)</t>
        </is>
      </c>
      <c r="R22" t="inlineStr">
        <is>
          <t>TSLA (2.08%)</t>
        </is>
      </c>
    </row>
    <row r="23">
      <c r="A23" s="2" t="n">
        <v>45868</v>
      </c>
      <c r="B23" t="inlineStr">
        <is>
          <t>TR2B2</t>
        </is>
      </c>
      <c r="C23" t="inlineStr">
        <is>
          <t>FAIL</t>
        </is>
      </c>
      <c r="D23" s="3">
        <f>IF(I23/H23&gt;=0.5,"PASS","FAIL")</f>
        <v/>
      </c>
      <c r="E23" s="3">
        <f>IF(L23&lt;=0.5,"PASS","FAIL")</f>
        <v/>
      </c>
      <c r="F23" t="inlineStr">
        <is>
          <t>FAIL</t>
        </is>
      </c>
      <c r="G23" t="inlineStr">
        <is>
          <t>PASS</t>
        </is>
      </c>
      <c r="H23" s="3" t="n">
        <v>0</v>
      </c>
      <c r="I23" s="3" t="n">
        <v>0</v>
      </c>
      <c r="J23" s="3" t="n">
        <v>0</v>
      </c>
      <c r="K23" s="4" t="n">
        <v>0</v>
      </c>
      <c r="L23" s="4" t="n">
        <v>0</v>
      </c>
      <c r="M23" s="3" t="n">
        <v>0</v>
      </c>
      <c r="N23" t="inlineStr">
        <is>
          <t>None</t>
        </is>
      </c>
      <c r="O23" s="4" t="n">
        <v>0</v>
      </c>
      <c r="P23" t="inlineStr">
        <is>
          <t>None</t>
        </is>
      </c>
      <c r="Q23" t="inlineStr">
        <is>
          <t>N/A (0.00%)</t>
        </is>
      </c>
      <c r="R23" t="inlineStr">
        <is>
          <t>N/A (0.00%)</t>
        </is>
      </c>
    </row>
    <row r="24">
      <c r="A24" t="inlineStr">
        <is>
          <t>* IRS Condition 1: 90% of income must come from qualifying sources.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* IRS Condition 2a: At least 50% of assets must be allocated to qualifying securities.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* IRS Condition 2a5: for 50% of portfolio, no issuer is more than 5% of fund assets.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* IRS Condition 2a10: for 50% of portfolio, fund doesn't hold more than 10% of any issuer's outstanding float.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* IRS Condition 2b: No single issuer may constitute more than 25% of assets.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2025-11-01T18:21:14Z</dcterms:created>
  <dcterms:modified xmlns:dcterms="http://purl.org/dc/terms/" xmlns:xsi="http://www.w3.org/2001/XMLSchema-instance" xsi:type="dcterms:W3CDTF">2025-11-01T18:21:14Z</dcterms:modified>
</cp:coreProperties>
</file>