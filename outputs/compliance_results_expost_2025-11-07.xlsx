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CS_Compliance" sheetId="1" state="visible" r:id="rId1"/>
    <sheet xmlns:r="http://schemas.openxmlformats.org/officeDocument/2006/relationships" name="GICS_Calculations" sheetId="2" state="visible" r:id="rId2"/>
    <sheet xmlns:r="http://schemas.openxmlformats.org/officeDocument/2006/relationships" name="Prospectus_80pct" sheetId="3" state="visible" r:id="rId3"/>
    <sheet xmlns:r="http://schemas.openxmlformats.org/officeDocument/2006/relationships" name="40Act_Diversification" sheetId="4" state="visible" r:id="rId4"/>
    <sheet xmlns:r="http://schemas.openxmlformats.org/officeDocument/2006/relationships" name="IRS_Diversification" sheetId="5" state="visible" r:id="rId5"/>
  </sheets>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4" fontId="0" fillId="0" borderId="0" pivotButton="0" quotePrefix="0" xfId="0"/>
    <xf numFmtId="10"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50" customWidth="1" min="1" max="1"/>
    <col width="6" customWidth="1" min="2" max="2"/>
    <col width="25" customWidth="1" min="3" max="3"/>
    <col width="22" customWidth="1" min="4" max="4"/>
    <col width="28" customWidth="1" min="5" max="5"/>
    <col width="29" customWidth="1" min="6" max="6"/>
    <col width="35" customWidth="1" min="7" max="7"/>
    <col width="36" customWidth="1" min="8" max="8"/>
    <col width="31" customWidth="1" min="9" max="9"/>
  </cols>
  <sheetData>
    <row r="1">
      <c r="A1" s="1" t="inlineStr">
        <is>
          <t>Date</t>
        </is>
      </c>
      <c r="B1" s="1" t="inlineStr">
        <is>
          <t>Fund</t>
        </is>
      </c>
      <c r="C1" s="1" t="inlineStr">
        <is>
          <t>Overall GICS Compliance</t>
        </is>
      </c>
      <c r="D1" s="1" t="inlineStr">
        <is>
          <t>Industry Exceeds 25%</t>
        </is>
      </c>
      <c r="E1" s="1" t="inlineStr">
        <is>
          <t>Industry Group Exceeds 25%</t>
        </is>
      </c>
      <c r="F1" s="1" t="inlineStr">
        <is>
          <t>Index Industry Exceeds 25%?</t>
        </is>
      </c>
      <c r="G1" s="1" t="inlineStr">
        <is>
          <t>Index Industry Group Exceeds 25%?</t>
        </is>
      </c>
      <c r="H1" s="1" t="inlineStr">
        <is>
          <t>Can Fund exceed 25% if Index does?</t>
        </is>
      </c>
      <c r="I1" s="1" t="inlineStr">
        <is>
          <t>Exceptions to Conc Policy</t>
        </is>
      </c>
    </row>
    <row r="2">
      <c r="A2" s="2" t="n">
        <v>45968</v>
      </c>
      <c r="B2" t="inlineStr">
        <is>
          <t>TDVI</t>
        </is>
      </c>
      <c r="C2" t="inlineStr">
        <is>
          <t>PASS</t>
        </is>
      </c>
      <c r="D2" t="b">
        <v>1</v>
      </c>
      <c r="E2" t="b">
        <v>1</v>
      </c>
      <c r="F2" t="b">
        <v>1</v>
      </c>
      <c r="G2" t="b">
        <v>1</v>
      </c>
      <c r="H2" t="inlineStr">
        <is>
          <t>No</t>
        </is>
      </c>
      <c r="I2" t="inlineStr">
        <is>
          <t>Information Technology Sector</t>
        </is>
      </c>
    </row>
    <row r="3">
      <c r="A3" t="inlineStr">
        <is>
          <t>* Certain funds may not have more than 25% of total assets in any industry or group of industries. However, other funds may have more than 25% of total assets in an industry or group of industries if (1) the fund’s Underlying ETF invests more than 25% of its assets in that industry or group of industries or (2) the fund is specifically permitted to concentrate in a specified industry or group of industries in its fundamental investment policy (such as information technology). Therefore, some funds have additional info listed about their underlying ETF (represented by an index) or have a note that they can concentrate in a certain industry or group of industries.</t>
        </is>
      </c>
      <c r="B3" t="inlineStr"/>
      <c r="C3" t="inlineStr"/>
      <c r="D3" t="inlineStr"/>
      <c r="E3" t="inlineStr"/>
      <c r="F3" t="inlineStr"/>
      <c r="G3" t="inlineStr"/>
      <c r="H3" t="inlineStr"/>
      <c r="I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2" customWidth="1" min="1" max="1"/>
    <col width="6" customWidth="1" min="2" max="2"/>
    <col width="26" customWidth="1" min="3" max="3"/>
    <col width="48" customWidth="1" min="4" max="4"/>
    <col width="24" customWidth="1" min="5" max="5"/>
    <col width="21" customWidth="1" min="6" max="6"/>
    <col width="22" customWidth="1" min="7" max="7"/>
    <col width="13" customWidth="1" min="8" max="8"/>
    <col width="14" customWidth="1" min="9" max="9"/>
  </cols>
  <sheetData>
    <row r="1">
      <c r="A1" s="1" t="inlineStr">
        <is>
          <t>Date</t>
        </is>
      </c>
      <c r="B1" s="1" t="inlineStr">
        <is>
          <t>Fund</t>
        </is>
      </c>
      <c r="C1" s="1" t="inlineStr">
        <is>
          <t>GICS_Class</t>
        </is>
      </c>
      <c r="D1" s="1" t="inlineStr">
        <is>
          <t>GICS_Class Value</t>
        </is>
      </c>
      <c r="E1" s="1" t="inlineStr">
        <is>
          <t>GICS_SECTOR_NAME</t>
        </is>
      </c>
      <c r="F1" s="1" t="inlineStr">
        <is>
          <t>Exceeding_Fund_25%?</t>
        </is>
      </c>
      <c r="G1" s="1" t="inlineStr">
        <is>
          <t>Exceeding_Index_25%?</t>
        </is>
      </c>
      <c r="H1" s="1" t="inlineStr">
        <is>
          <t>Fund_Weight</t>
        </is>
      </c>
      <c r="I1" s="1" t="inlineStr">
        <is>
          <t>Index_Weight</t>
        </is>
      </c>
    </row>
    <row r="2">
      <c r="A2" s="2" t="n">
        <v>45968</v>
      </c>
      <c r="B2" t="inlineStr">
        <is>
          <t>TDVI</t>
        </is>
      </c>
      <c r="C2" t="inlineStr">
        <is>
          <t>GICS_INDUSTRY_GROUP_NAME</t>
        </is>
      </c>
      <c r="D2" t="inlineStr">
        <is>
          <t>Semiconductors &amp; Semiconductor Equipment</t>
        </is>
      </c>
      <c r="E2" t="inlineStr">
        <is>
          <t>Information Technology</t>
        </is>
      </c>
      <c r="F2" t="b">
        <v>1</v>
      </c>
      <c r="G2" t="b">
        <v>1</v>
      </c>
      <c r="H2" t="inlineStr">
        <is>
          <t>36.94%</t>
        </is>
      </c>
      <c r="I2" t="inlineStr">
        <is>
          <t>37.56%</t>
        </is>
      </c>
    </row>
    <row r="3">
      <c r="A3" s="2" t="n">
        <v>45968</v>
      </c>
      <c r="B3" t="inlineStr">
        <is>
          <t>TDVI</t>
        </is>
      </c>
      <c r="C3" t="inlineStr">
        <is>
          <t>GICS_INDUSTRY_NAME</t>
        </is>
      </c>
      <c r="D3" t="inlineStr">
        <is>
          <t>Semiconductors &amp; Semiconductor Equipment</t>
        </is>
      </c>
      <c r="E3" t="inlineStr">
        <is>
          <t>Information Technology</t>
        </is>
      </c>
      <c r="F3" t="b">
        <v>1</v>
      </c>
      <c r="G3" t="b">
        <v>1</v>
      </c>
      <c r="H3" t="inlineStr">
        <is>
          <t>36.94%</t>
        </is>
      </c>
      <c r="I3" t="inlineStr">
        <is>
          <t>37.56%</t>
        </is>
      </c>
    </row>
    <row r="4">
      <c r="A4" s="2" t="n">
        <v>45968</v>
      </c>
      <c r="B4" t="inlineStr">
        <is>
          <t>TDVI</t>
        </is>
      </c>
      <c r="C4" t="inlineStr">
        <is>
          <t>GICS_INDUSTRY_GROUP_NAME</t>
        </is>
      </c>
      <c r="D4" t="inlineStr">
        <is>
          <t>Software &amp; Services</t>
        </is>
      </c>
      <c r="E4" t="inlineStr">
        <is>
          <t>Information Technology</t>
        </is>
      </c>
      <c r="F4" t="b">
        <v>1</v>
      </c>
      <c r="G4" t="b">
        <v>1</v>
      </c>
      <c r="H4" t="inlineStr">
        <is>
          <t>36.72%</t>
        </is>
      </c>
      <c r="I4" t="inlineStr">
        <is>
          <t>31.16%</t>
        </is>
      </c>
    </row>
    <row r="5">
      <c r="A5" s="2" t="n">
        <v>45968</v>
      </c>
      <c r="B5" t="inlineStr">
        <is>
          <t>TDVI</t>
        </is>
      </c>
      <c r="C5" t="inlineStr">
        <is>
          <t>GICS_INDUSTRY_NAME</t>
        </is>
      </c>
      <c r="D5" t="inlineStr">
        <is>
          <t>Software</t>
        </is>
      </c>
      <c r="E5" t="inlineStr">
        <is>
          <t>Information Technology</t>
        </is>
      </c>
      <c r="F5" t="inlineStr"/>
      <c r="G5" t="inlineStr"/>
      <c r="H5" t="inlineStr">
        <is>
          <t>23.55%</t>
        </is>
      </c>
      <c r="I5" t="inlineStr">
        <is>
          <t>20.30%</t>
        </is>
      </c>
    </row>
    <row r="6">
      <c r="A6" s="2" t="n">
        <v>45968</v>
      </c>
      <c r="B6" t="inlineStr">
        <is>
          <t>TDVI</t>
        </is>
      </c>
      <c r="C6" t="inlineStr">
        <is>
          <t>GICS_INDUSTRY_GROUP_NAME</t>
        </is>
      </c>
      <c r="D6" t="inlineStr">
        <is>
          <t>Technology Hardware &amp; Equipment</t>
        </is>
      </c>
      <c r="E6" t="inlineStr">
        <is>
          <t>Information Technology</t>
        </is>
      </c>
      <c r="F6" t="inlineStr"/>
      <c r="G6" t="inlineStr"/>
      <c r="H6" t="inlineStr">
        <is>
          <t>13.67%</t>
        </is>
      </c>
      <c r="I6" t="inlineStr">
        <is>
          <t>16.24%</t>
        </is>
      </c>
    </row>
    <row r="7">
      <c r="A7" s="2" t="n">
        <v>45968</v>
      </c>
      <c r="B7" t="inlineStr">
        <is>
          <t>TDVI</t>
        </is>
      </c>
      <c r="C7" t="inlineStr">
        <is>
          <t>GICS_INDUSTRY_NAME</t>
        </is>
      </c>
      <c r="D7" t="inlineStr">
        <is>
          <t>IT Services</t>
        </is>
      </c>
      <c r="E7" t="inlineStr">
        <is>
          <t>Information Technology</t>
        </is>
      </c>
      <c r="F7" t="inlineStr"/>
      <c r="G7" t="inlineStr"/>
      <c r="H7" t="inlineStr">
        <is>
          <t>13.17%</t>
        </is>
      </c>
      <c r="I7" t="inlineStr">
        <is>
          <t>10.87%</t>
        </is>
      </c>
    </row>
    <row r="8">
      <c r="A8" s="2" t="n">
        <v>45968</v>
      </c>
      <c r="B8" t="inlineStr">
        <is>
          <t>TDVI</t>
        </is>
      </c>
      <c r="C8" t="inlineStr">
        <is>
          <t>GICS_INDUSTRY_GROUP_NAME</t>
        </is>
      </c>
      <c r="D8" t="inlineStr">
        <is>
          <t>Telecommunication Services</t>
        </is>
      </c>
      <c r="E8" t="inlineStr">
        <is>
          <t>Communication Services</t>
        </is>
      </c>
      <c r="F8" t="inlineStr"/>
      <c r="G8" t="inlineStr"/>
      <c r="H8" t="inlineStr">
        <is>
          <t>9.13%</t>
        </is>
      </c>
      <c r="I8" t="inlineStr">
        <is>
          <t>10.84%</t>
        </is>
      </c>
    </row>
    <row r="9">
      <c r="A9" s="2" t="n">
        <v>45968</v>
      </c>
      <c r="B9" t="inlineStr">
        <is>
          <t>TDVI</t>
        </is>
      </c>
      <c r="C9" t="inlineStr">
        <is>
          <t>GICS_INDUSTRY_NAME</t>
        </is>
      </c>
      <c r="D9" t="inlineStr">
        <is>
          <t>Diversified Telecommunication Services</t>
        </is>
      </c>
      <c r="E9" t="inlineStr">
        <is>
          <t>Communication Services</t>
        </is>
      </c>
      <c r="F9" t="inlineStr"/>
      <c r="G9" t="inlineStr"/>
      <c r="H9" t="inlineStr">
        <is>
          <t>5.10%</t>
        </is>
      </c>
      <c r="I9" t="inlineStr">
        <is>
          <t>6.06%</t>
        </is>
      </c>
    </row>
    <row r="10">
      <c r="A10" s="2" t="n">
        <v>45968</v>
      </c>
      <c r="B10" t="inlineStr">
        <is>
          <t>TDVI</t>
        </is>
      </c>
      <c r="C10" t="inlineStr">
        <is>
          <t>GICS_INDUSTRY_NAME</t>
        </is>
      </c>
      <c r="D10" t="inlineStr">
        <is>
          <t>Technology Hardware, Storage &amp; Peripherals</t>
        </is>
      </c>
      <c r="E10" t="inlineStr">
        <is>
          <t>Information Technology</t>
        </is>
      </c>
      <c r="F10" t="inlineStr"/>
      <c r="G10" t="inlineStr"/>
      <c r="H10" t="inlineStr">
        <is>
          <t>4.89%</t>
        </is>
      </c>
      <c r="I10" t="inlineStr">
        <is>
          <t>5.81%</t>
        </is>
      </c>
    </row>
    <row r="11">
      <c r="A11" s="2" t="n">
        <v>45968</v>
      </c>
      <c r="B11" t="inlineStr">
        <is>
          <t>TDVI</t>
        </is>
      </c>
      <c r="C11" t="inlineStr">
        <is>
          <t>GICS_INDUSTRY_NAME</t>
        </is>
      </c>
      <c r="D11" t="inlineStr">
        <is>
          <t>Electronic Equipment, Instruments &amp; Components</t>
        </is>
      </c>
      <c r="E11" t="inlineStr">
        <is>
          <t>Information Technology</t>
        </is>
      </c>
      <c r="F11" t="inlineStr"/>
      <c r="G11" t="inlineStr"/>
      <c r="H11" t="inlineStr">
        <is>
          <t>4.49%</t>
        </is>
      </c>
      <c r="I11" t="inlineStr">
        <is>
          <t>5.35%</t>
        </is>
      </c>
    </row>
    <row r="12">
      <c r="A12" s="2" t="n">
        <v>45968</v>
      </c>
      <c r="B12" t="inlineStr">
        <is>
          <t>TDVI</t>
        </is>
      </c>
      <c r="C12" t="inlineStr">
        <is>
          <t>GICS_INDUSTRY_NAME</t>
        </is>
      </c>
      <c r="D12" t="inlineStr">
        <is>
          <t>Communications Equipment</t>
        </is>
      </c>
      <c r="E12" t="inlineStr">
        <is>
          <t>Information Technology</t>
        </is>
      </c>
      <c r="F12" t="inlineStr"/>
      <c r="G12" t="inlineStr"/>
      <c r="H12" t="inlineStr">
        <is>
          <t>4.29%</t>
        </is>
      </c>
      <c r="I12" t="inlineStr">
        <is>
          <t>5.09%</t>
        </is>
      </c>
    </row>
    <row r="13">
      <c r="A13" s="2" t="n">
        <v>45968</v>
      </c>
      <c r="B13" t="inlineStr">
        <is>
          <t>TDVI</t>
        </is>
      </c>
      <c r="C13" t="inlineStr">
        <is>
          <t>GICS_INDUSTRY_NAME</t>
        </is>
      </c>
      <c r="D13" t="inlineStr">
        <is>
          <t>Wireless Telecommunication Services</t>
        </is>
      </c>
      <c r="E13" t="inlineStr">
        <is>
          <t>Communication Services</t>
        </is>
      </c>
      <c r="F13" t="inlineStr"/>
      <c r="G13" t="inlineStr"/>
      <c r="H13" t="inlineStr">
        <is>
          <t>4.03%</t>
        </is>
      </c>
      <c r="I13" t="inlineStr">
        <is>
          <t>4.78%</t>
        </is>
      </c>
    </row>
    <row r="14">
      <c r="A14" s="2" t="n">
        <v>45968</v>
      </c>
      <c r="B14" t="inlineStr">
        <is>
          <t>TDVI</t>
        </is>
      </c>
      <c r="C14" t="inlineStr">
        <is>
          <t>GICS_INDUSTRY_GROUP_NAME</t>
        </is>
      </c>
      <c r="D14" t="inlineStr">
        <is>
          <t>Commercial &amp; Professional Services</t>
        </is>
      </c>
      <c r="E14" t="inlineStr">
        <is>
          <t>Industrials</t>
        </is>
      </c>
      <c r="F14" t="inlineStr"/>
      <c r="G14" t="inlineStr"/>
      <c r="H14" t="inlineStr">
        <is>
          <t>1.87%</t>
        </is>
      </c>
      <c r="I14" t="inlineStr">
        <is>
          <t>2.23%</t>
        </is>
      </c>
    </row>
    <row r="15">
      <c r="A15" s="2" t="n">
        <v>45968</v>
      </c>
      <c r="B15" t="inlineStr">
        <is>
          <t>TDVI</t>
        </is>
      </c>
      <c r="C15" t="inlineStr">
        <is>
          <t>GICS_INDUSTRY_NAME</t>
        </is>
      </c>
      <c r="D15" t="inlineStr">
        <is>
          <t>Professional Services</t>
        </is>
      </c>
      <c r="E15" t="inlineStr">
        <is>
          <t>Industrials</t>
        </is>
      </c>
      <c r="F15" t="inlineStr"/>
      <c r="G15" t="inlineStr"/>
      <c r="H15" t="inlineStr">
        <is>
          <t>1.87%</t>
        </is>
      </c>
      <c r="I15" t="inlineStr">
        <is>
          <t>2.23%</t>
        </is>
      </c>
    </row>
    <row r="16">
      <c r="A16" s="2" t="n">
        <v>45968</v>
      </c>
      <c r="B16" t="inlineStr">
        <is>
          <t>TDVI</t>
        </is>
      </c>
      <c r="C16" t="inlineStr">
        <is>
          <t>GICS_INDUSTRY_GROUP_NAME</t>
        </is>
      </c>
      <c r="D16" t="inlineStr">
        <is>
          <t>Media &amp; Entertainment</t>
        </is>
      </c>
      <c r="E16" t="inlineStr">
        <is>
          <t>Communication Services</t>
        </is>
      </c>
      <c r="F16" t="inlineStr"/>
      <c r="G16" t="inlineStr"/>
      <c r="H16" t="inlineStr">
        <is>
          <t>1.66%</t>
        </is>
      </c>
      <c r="I16" t="inlineStr">
        <is>
          <t>1.98%</t>
        </is>
      </c>
    </row>
    <row r="17">
      <c r="A17" s="2" t="n">
        <v>45968</v>
      </c>
      <c r="B17" t="inlineStr">
        <is>
          <t>TDVI</t>
        </is>
      </c>
      <c r="C17" t="inlineStr">
        <is>
          <t>GICS_INDUSTRY_NAME</t>
        </is>
      </c>
      <c r="D17" t="inlineStr">
        <is>
          <t>Media</t>
        </is>
      </c>
      <c r="E17" t="inlineStr">
        <is>
          <t>Communication Services</t>
        </is>
      </c>
      <c r="F17" t="inlineStr"/>
      <c r="G17" t="inlineStr"/>
      <c r="H17" t="inlineStr">
        <is>
          <t>1.30%</t>
        </is>
      </c>
      <c r="I17" t="inlineStr">
        <is>
          <t>1.54%</t>
        </is>
      </c>
    </row>
    <row r="18">
      <c r="A18" s="2" t="n">
        <v>45968</v>
      </c>
      <c r="B18" t="inlineStr">
        <is>
          <t>TDVI</t>
        </is>
      </c>
      <c r="C18" t="inlineStr">
        <is>
          <t>GICS_INDUSTRY_NAME</t>
        </is>
      </c>
      <c r="D18" t="inlineStr">
        <is>
          <t>Interactive Media &amp; Services</t>
        </is>
      </c>
      <c r="E18" t="inlineStr">
        <is>
          <t>Communication Services</t>
        </is>
      </c>
      <c r="F18" t="inlineStr"/>
      <c r="G18" t="inlineStr"/>
      <c r="H18" t="inlineStr">
        <is>
          <t>0.36%</t>
        </is>
      </c>
      <c r="I18" t="inlineStr">
        <is>
          <t>0.43%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50" customWidth="1" min="1" max="1"/>
    <col width="6" customWidth="1" min="2" max="2"/>
    <col width="31" customWidth="1" min="3" max="3"/>
    <col width="27" customWidth="1" min="4" max="4"/>
    <col width="41" customWidth="1" min="5" max="5"/>
    <col width="27" customWidth="1" min="6" max="6"/>
    <col width="20" customWidth="1" min="7" max="7"/>
    <col width="18" customWidth="1" min="8" max="8"/>
    <col width="20" customWidth="1" min="9" max="9"/>
    <col width="20" customWidth="1" min="10" max="10"/>
    <col width="20" customWidth="1" min="11" max="11"/>
    <col width="9" customWidth="1" min="12" max="12"/>
    <col width="28" customWidth="1" min="13" max="13"/>
    <col width="26" customWidth="1" min="14" max="14"/>
    <col width="14" customWidth="1" min="15" max="15"/>
    <col width="27" customWidth="1" min="16" max="16"/>
  </cols>
  <sheetData>
    <row r="1">
      <c r="A1" s="1" t="inlineStr">
        <is>
          <t>Date</t>
        </is>
      </c>
      <c r="B1" s="1" t="inlineStr">
        <is>
          <t>Fund</t>
        </is>
      </c>
      <c r="C1" s="1" t="inlineStr">
        <is>
          <t>Prospectus 80% Compliance</t>
        </is>
      </c>
      <c r="D1" s="1" t="inlineStr">
        <is>
          <t>Total Equity Market Value</t>
        </is>
      </c>
      <c r="E1" s="1" t="inlineStr">
        <is>
          <t>Total Option Delta Notional Value (DAN)</t>
        </is>
      </c>
      <c r="F1" s="1" t="inlineStr">
        <is>
          <t>Total Option Market Value</t>
        </is>
      </c>
      <c r="G1" s="1" t="inlineStr">
        <is>
          <t>Total T-Bill Value</t>
        </is>
      </c>
      <c r="H1" s="1" t="inlineStr">
        <is>
          <t>Total Cash Value</t>
        </is>
      </c>
      <c r="I1" s="1" t="inlineStr">
        <is>
          <t>Max(CCET - DAN, 0)</t>
        </is>
      </c>
      <c r="J1" s="1" t="inlineStr">
        <is>
          <t>Denominator</t>
        </is>
      </c>
      <c r="K1" s="1" t="inlineStr">
        <is>
          <t>Numerator</t>
        </is>
      </c>
      <c r="L1" s="1" t="inlineStr">
        <is>
          <t>Formula</t>
        </is>
      </c>
      <c r="M1" s="1" t="inlineStr">
        <is>
          <t>Denominator (Market Value)</t>
        </is>
      </c>
      <c r="N1" s="1" t="inlineStr">
        <is>
          <t>Numerator (Market Value)</t>
        </is>
      </c>
      <c r="O1" s="1" t="inlineStr">
        <is>
          <t>Formula (MV)</t>
        </is>
      </c>
      <c r="P1" s="1" t="inlineStr">
        <is>
          <t>Options in Scope for 80%?</t>
        </is>
      </c>
    </row>
    <row r="2">
      <c r="A2" s="2" t="n">
        <v>45968</v>
      </c>
      <c r="B2" t="inlineStr">
        <is>
          <t>TDVI</t>
        </is>
      </c>
      <c r="C2" s="3">
        <f>IF(K2/J2&gt;=0.8,"PASS","FAIL")</f>
        <v/>
      </c>
      <c r="D2" s="3" t="n">
        <v>229652450.936</v>
      </c>
      <c r="E2" s="3" t="n">
        <v>13085884.5</v>
      </c>
      <c r="F2" s="3" t="n">
        <v>-244920</v>
      </c>
      <c r="G2" s="3" t="n">
        <v>0</v>
      </c>
      <c r="H2" s="3" t="n">
        <v>412314.68</v>
      </c>
      <c r="I2" s="3" t="n">
        <v>0</v>
      </c>
      <c r="J2" s="3" t="n">
        <v>243150650.116</v>
      </c>
      <c r="K2" s="3" t="n">
        <v>229652450.936</v>
      </c>
      <c r="L2" s="4">
        <f>K2/J2</f>
        <v/>
      </c>
      <c r="M2" s="3" t="n">
        <v>229819845.616</v>
      </c>
      <c r="N2" s="3" t="n">
        <v>229652450.936</v>
      </c>
      <c r="O2" s="4">
        <f>N2/M2</f>
        <v/>
      </c>
      <c r="P2" t="inlineStr">
        <is>
          <t>No</t>
        </is>
      </c>
    </row>
    <row r="3">
      <c r="A3" t="inlineStr">
        <is>
          <t>* Note: Some funds' 80% policies include the options positions while others only include equity exposure.</t>
        </is>
      </c>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 CCET = Cash, Cash Equivalents, and T-bills (less than 1-year maturity).</t>
        </is>
      </c>
      <c r="B4" t="inlineStr"/>
      <c r="C4" t="inlineStr"/>
      <c r="D4" t="inlineStr"/>
      <c r="E4" t="inlineStr"/>
      <c r="F4" t="inlineStr"/>
      <c r="G4" t="inlineStr"/>
      <c r="H4" t="inlineStr"/>
      <c r="I4" t="inlineStr"/>
      <c r="J4" t="inlineStr"/>
      <c r="K4" t="inlineStr"/>
      <c r="L4" t="inlineStr"/>
      <c r="M4" t="inlineStr"/>
      <c r="N4" t="inlineStr"/>
      <c r="O4" t="inlineStr"/>
      <c r="P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2"/>
  <sheetViews>
    <sheetView workbookViewId="0">
      <selection activeCell="A1" sqref="A1"/>
    </sheetView>
  </sheetViews>
  <sheetFormatPr baseColWidth="8" defaultRowHeight="15"/>
  <cols>
    <col width="50" customWidth="1" min="1" max="1"/>
    <col width="6" customWidth="1" min="2" max="2"/>
    <col width="19" customWidth="1" min="3" max="3"/>
    <col width="19" customWidth="1" min="4" max="4"/>
    <col width="26" customWidth="1" min="5" max="5"/>
    <col width="32" customWidth="1" min="6" max="6"/>
    <col width="30" customWidth="1" min="7" max="7"/>
    <col width="41" customWidth="1" min="8" max="8"/>
    <col width="48" customWidth="1" min="9" max="9"/>
    <col width="14" customWidth="1" min="10" max="10"/>
    <col width="30" customWidth="1" min="11" max="11"/>
    <col width="13" customWidth="1" min="12" max="12"/>
    <col width="10" customWidth="1" min="13" max="13"/>
    <col width="42" customWidth="1" min="14" max="14"/>
    <col width="50" customWidth="1" min="15" max="15"/>
    <col width="34" customWidth="1" min="16" max="16"/>
    <col width="42" customWidth="1" min="17" max="17"/>
    <col width="43" customWidth="1" min="18" max="18"/>
    <col width="50" customWidth="1" min="19" max="19"/>
    <col width="40" customWidth="1" min="20" max="20"/>
    <col width="20" customWidth="1" min="21" max="21"/>
    <col width="23" customWidth="1" min="22" max="22"/>
    <col width="7" customWidth="1" min="23" max="23"/>
  </cols>
  <sheetData>
    <row r="1">
      <c r="A1" s="1" t="inlineStr">
        <is>
          <t>Date</t>
        </is>
      </c>
      <c r="B1" s="1" t="inlineStr">
        <is>
          <t>Fund</t>
        </is>
      </c>
      <c r="C1" s="1" t="inlineStr">
        <is>
          <t>Fund Registration</t>
        </is>
      </c>
      <c r="D1" s="1" t="inlineStr">
        <is>
          <t>Fund Status Today</t>
        </is>
      </c>
      <c r="E1" s="1" t="inlineStr">
        <is>
          <t>Registration Match</t>
        </is>
      </c>
      <c r="F1" s="1" t="inlineStr">
        <is>
          <t>Condition 40 Act 1</t>
        </is>
      </c>
      <c r="G1" s="1" t="inlineStr">
        <is>
          <t>Condition 40 Act 2a</t>
        </is>
      </c>
      <c r="H1" s="1" t="inlineStr">
        <is>
          <t>Condition 40 Act 2b</t>
        </is>
      </c>
      <c r="I1" s="1" t="inlineStr">
        <is>
          <t>Condition 2a OCC</t>
        </is>
      </c>
      <c r="J1" s="1" t="inlineStr">
        <is>
          <t>Total Assets</t>
        </is>
      </c>
      <c r="K1" s="1" t="inlineStr">
        <is>
          <t>Non-Qualifying Assets Weight</t>
        </is>
      </c>
      <c r="L1" s="1" t="inlineStr">
        <is>
          <t>Net Assets</t>
        </is>
      </c>
      <c r="M1" s="1" t="inlineStr">
        <is>
          <t>Expenses</t>
        </is>
      </c>
      <c r="N1" s="1" t="inlineStr">
        <is>
          <t>Issuer Limited Assets (Condition 2a) Sum</t>
        </is>
      </c>
      <c r="O1" s="1" t="inlineStr">
        <is>
          <t>Issuer Limited Assets (Condition 2a) (Ticker, IIV Shares, Mkt Value)</t>
        </is>
      </c>
      <c r="P1" s="1" t="inlineStr">
        <is>
          <t>Excluded Securities (25% Bucket)</t>
        </is>
      </c>
      <c r="Q1" s="1" t="inlineStr">
        <is>
          <t>Cumulative Weight of Excluded Securities</t>
        </is>
      </c>
      <c r="R1" s="1" t="inlineStr">
        <is>
          <t>Cumulative Weight of Remaining Securities</t>
        </is>
      </c>
      <c r="S1" s="1" t="inlineStr">
        <is>
          <t>Remaining Securities (Ticker, IIV Shares, Vest Weight, Vest Ownership of Float)</t>
        </is>
      </c>
      <c r="T1" s="1" t="inlineStr">
        <is>
          <t>Max Ownership % of Float in 75% bucket</t>
        </is>
      </c>
      <c r="U1" s="1" t="inlineStr">
        <is>
          <t>OCC Market Value</t>
        </is>
      </c>
      <c r="V1" s="1" t="inlineStr">
        <is>
          <t>OCC Weight</t>
        </is>
      </c>
      <c r="W1" s="1" t="inlineStr">
        <is>
          <t>Notes</t>
        </is>
      </c>
    </row>
    <row r="2">
      <c r="A2" s="2" t="n">
        <v>45968</v>
      </c>
      <c r="B2" t="inlineStr">
        <is>
          <t>TDVI</t>
        </is>
      </c>
      <c r="C2" t="inlineStr">
        <is>
          <t>non-diversified</t>
        </is>
      </c>
      <c r="D2" t="inlineStr">
        <is>
          <t>non-diversified</t>
        </is>
      </c>
      <c r="E2" s="3">
        <f>IF(C2=D2,"PASS","FAIL")</f>
        <v/>
      </c>
      <c r="F2" s="3">
        <f>IF(L2/J2&gt;=0.75,"PASS","FAIL")</f>
        <v/>
      </c>
      <c r="G2" s="3">
        <f>IF(O2="None","PASS","FAIL")</f>
        <v/>
      </c>
      <c r="H2" s="3">
        <f>IF(T2="","",IF(T2&lt;=0.1,"PASS","FAIL"))</f>
        <v/>
      </c>
      <c r="I2" s="3">
        <f>IF(U2=0,"PASS",IF(U2&lt;=0.05*L2,"PASS","FAIL"))</f>
        <v/>
      </c>
      <c r="J2" s="3" t="n">
        <v>194544312.53</v>
      </c>
      <c r="K2" s="5" t="n">
        <v>0</v>
      </c>
      <c r="L2" s="3" t="n">
        <v>194507832.8</v>
      </c>
      <c r="M2" s="3" t="n">
        <v>4035.53</v>
      </c>
      <c r="N2" s="3" t="n">
        <v>92560667.76000001</v>
      </c>
      <c r="O2" t="inlineStr">
        <is>
          <t>(IBM, 61,119, 27,896,993.04), (AVGO, 50,041, 24,232,785.18), (TSM, 32,230, 14,879,543.55), (ORCL, 58,401, 13,857,973.29), (TXN, 73,497, 11,693,372.70)</t>
        </is>
      </c>
      <c r="P2" t="inlineStr">
        <is>
          <t>MSFT</t>
        </is>
      </c>
      <c r="Q2" s="5" t="n">
        <v>0.1513706156516284</v>
      </c>
      <c r="R2" s="5" t="n">
        <v>0.8486293843483717</v>
      </c>
      <c r="S2" t="inlineStr">
        <is>
          <t>(IBM, 91,119, 14.34%, 0.0097481%), (AVGO, 70,041, 12.46%, 0.0014832%), (TSM, 52,230, 7.65%, 0.0010070%), (ORCL, 58,401, 7.12%, 0.0020486%), (TXN, 73,497, 6.01%, 0.0080888%), (QCOM, 46,294, 4.04%, 0.0043225%), (AMAT, 22,321, 2.62%, 0.0028019%), (LRCX, 31,546, 2.56%, 0.0025116%), (ADI, 20,290, 2.36%, 0.0041244%), (CRM, 16,520, 2.04%, 0.0017353%), (CSCO, 53,848, 1.96%, 0.0013621%), (RCI, 101,291, 1.95%, 10129100.0000000%), (VZ, 84,115, 1.72%, 0.0019949%), (TU, 225,616, 1.70%, 22561600.0000000%), (KLAC, 2,772, 1.69%, 0.0021097%), (GLW, 38,835, 1.69%, 0.0045296%), (T, 127,020, 1.61%, 0.0017917%), (MSI, 7,875, 1.58%, 0.0047282%), (TMUS, 14,764, 1.57%, 0.0013200%), (INTU, 4,721, 1.56%, 0.0016933%), (CMCSA, 109,521, 1.53%, 0.0030134%), (APH, 20,084, 1.42%, 0.0016408%), (STX, 9,859, 1.41%, 0.0046165%), (HPQ, 101,640, 1.37%, 0.0108741%), (TEL, 10,327, 1.28%, 0.0034950%), (TIGO, 50,959, 1.24%, 0.0305071%), (NXPI, 11,814, 1.23%, 0.0046942%), (MCHP, 40,979, 1.16%, 0.0075824%), (DELL, 14,639, 1.10%, 0.0043451%), (TRI, 15,628, 1.10%, 0.0035135%), (HPE, 82,030, 0.99%, 0.0062170%), (CTSH, 22,377, 0.84%, 0.0046363%), (NOK, 165,817, 0.58%, 0.0029738%), (NTAP, 9,989, 0.58%, 0.0050040%), (SWKS, 15,047, 0.53%, 0.0101204%), (UI, 1,621, 0.52%, 0.0026794%), (MPWR, 873, 0.43%, 0.0018223%), (ROP, 1,789, 0.41%, 0.0016621%), (CDW, 5,386, 0.39%, 0.0041369%), (OTEX, 21,910, 0.39%, 0.0086941%), (CCOI, 30,298, 0.38%, 0.0616801%), (GEN, 27,666, 0.37%, 0.0044860%), (LOGI, 5,293, 0.33%, 529300.0000000%), (SSNC, 7,474, 0.32%, 0.0030628%), (LDOS, 3,040, 0.31%, 0.0023777%), (ERIC, 61,422, 0.31%, 0.0019752%), (DOX, 7,016, 0.31%, 0.0063786%), (IDCC, 1,175, 0.23%, 0.0045641%), (SAP, 1,636, 0.21%, 0.0001332%), (SNX, 2,600, 0.20%, 0.0031926%), (TLK, 16,747, 0.18%, 0.0016906%), (MTCH, 9,967, 0.17%, 0.0042220%), (JOYY, 5,460, 0.17%, 0.0155833%), (AMKR, 9,059, 0.16%, 0.0036647%), (AVT, 5,477, 0.13%, 0.0067343%), (ITRN, 6,192, 0.12%, 0.0311256%), (IRDM, 14,074, 0.12%, 0.0134364%), (VIV, 18,541, 0.12%, 0.0011370%), (ASX, 15,319, 0.12%, 0.0006928%), (SIMO, 2,280, 0.11%, 0.0067091%), (ENTG, 2,457, 0.11%, 0.0016207%), (DLB, 2,987, 0.10%, 0.0048820%), (OLED, 1,581, 0.10%, 0.0033255%), (WB, 17,678, 0.09%, 0.0112596%), (KBR, 4,364, 0.09%, 0.0034365%), (RELX, 4,157, 0.09%, 0.0002278%), (CHT, 4,136, 0.09%, 0.0005332%), (TEF, 41,315, 0.09%, 0.0007286%), (PAYC, 1,007, 0.08%, 0.0017896%), (CNXC, 4,314, 0.08%, 0.0069293%), (SAIC, 1,610, 0.08%, 0.0034983%), (UMC, 17,268, 0.07%, 0.0006876%), (VSH, 8,668, 0.06%, 0.0070191%), (YOU, 3,383, 0.06%, 0.0034722%), (CSGS, 1,509, 0.06%, 0.0052910%), (KLIC, 3,075, 0.06%, 0.0058970%), (INGM, 4,884, 0.05%, 0.0020777%), (HIMX, 12,812, 0.05%, 0.0073421%), (POWI, 2,801, 0.05%, 0.0050618%), (WIT, 35,678, 0.05%, 0.0003403%), (STM, 3,729, 0.04%, 0.0004179%), (MGIC, 3,696, 0.04%, 0.0075276%), (KARO, 1,719, 0.04%, 0.0055643%), (BHE, 1,633, 0.04%, 0.0045769%), (OPRA, 4,864, 0.03%, 0.0054257%), (ADEA, 3,945, 0.03%, 0.0036024%), (ATEN, 2,653, 0.02%, 0.0036988%), (CNXN, 537, 0.02%, 0.0021271%), (HCKT, 1,649, 0.02%, 0.0060780%), (SHEN, 2,443, 0.01%, 0.0044501%), (OSPN, 1,650, 0.01%, 0.0043390%), (CLMB, 68, 0.00%, 0.0014740%)</t>
        </is>
      </c>
      <c r="T2" s="5" t="n">
        <v>225616</v>
      </c>
      <c r="U2" s="3" t="n">
        <v>244920</v>
      </c>
      <c r="V2" s="5" t="n">
        <v>0.001258941969646282</v>
      </c>
      <c r="W2" t="inlineStr"/>
    </row>
    <row r="3">
      <c r="A3" t="inlineStr">
        <is>
          <t>* To be classified as a diversified company under the 1940 Act, at least 75% of the value of the fund's total assets must be invested in:</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 1) cash and cash items (including receivables),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is>
          <t>* 2) government securities,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 3) securities of other investment companies, and</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 4) other securities</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 xml:space="preserve">* </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 Compliance Conditions:</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 Condition 40 Act 1: 75% of the fund must be invested in diversified assets.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 Condition 40 Act 2a: No single issuer in the 75% can exceed 5% of total assets.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 Condition 40 Act 2b: No single issuer in the 75% can exceed 10% of the issuer's voting securities.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50" customWidth="1" min="1" max="1"/>
    <col width="6" customWidth="1" min="2" max="2"/>
    <col width="17" customWidth="1" min="3" max="3"/>
    <col width="31" customWidth="1" min="4" max="4"/>
    <col width="28" customWidth="1" min="5" max="5"/>
    <col width="22" customWidth="1" min="6" max="6"/>
    <col width="19" customWidth="1" min="7" max="7"/>
    <col width="14" customWidth="1" min="8" max="8"/>
    <col width="25" customWidth="1" min="9" max="9"/>
    <col width="10" customWidth="1" min="10" max="10"/>
    <col width="23" customWidth="1" min="11" max="11"/>
    <col width="30" customWidth="1" min="12" max="12"/>
    <col width="24" customWidth="1" min="13" max="13"/>
    <col width="50" customWidth="1" min="14" max="14"/>
    <col width="16" customWidth="1" min="15" max="15"/>
    <col width="22" customWidth="1" min="16" max="16"/>
    <col width="27" customWidth="1" min="17" max="17"/>
    <col width="34" customWidth="1" min="18" max="18"/>
  </cols>
  <sheetData>
    <row r="1">
      <c r="A1" s="1" t="inlineStr">
        <is>
          <t>Date</t>
        </is>
      </c>
      <c r="B1" s="1" t="inlineStr">
        <is>
          <t>Fund</t>
        </is>
      </c>
      <c r="C1" s="1" t="inlineStr">
        <is>
          <t>condition_IRS_1</t>
        </is>
      </c>
      <c r="D1" s="1" t="inlineStr">
        <is>
          <t>condition_IRS_2_a_50</t>
        </is>
      </c>
      <c r="E1" s="1" t="inlineStr">
        <is>
          <t>condition_IRS_2_a_5</t>
        </is>
      </c>
      <c r="F1" s="1" t="inlineStr">
        <is>
          <t>condition_IRS_2_a_10</t>
        </is>
      </c>
      <c r="G1" s="1" t="inlineStr">
        <is>
          <t>condition_IRS_2_b</t>
        </is>
      </c>
      <c r="H1" s="1" t="inlineStr">
        <is>
          <t>total_assets</t>
        </is>
      </c>
      <c r="I1" s="1" t="inlineStr">
        <is>
          <t>qualifying_assets_value</t>
        </is>
      </c>
      <c r="J1" s="1" t="inlineStr">
        <is>
          <t>expenses</t>
        </is>
      </c>
      <c r="K1" s="1" t="inlineStr">
        <is>
          <t>five_pct_gross_assets</t>
        </is>
      </c>
      <c r="L1" s="1" t="inlineStr">
        <is>
          <t>sum_large_securities_weights</t>
        </is>
      </c>
      <c r="M1" s="1" t="inlineStr">
        <is>
          <t>large_securities_count</t>
        </is>
      </c>
      <c r="N1" s="1" t="inlineStr">
        <is>
          <t>large_securities</t>
        </is>
      </c>
      <c r="O1" s="1" t="inlineStr">
        <is>
          <t>overlap_weight</t>
        </is>
      </c>
      <c r="P1" s="1" t="inlineStr">
        <is>
          <t>overlap_constituents</t>
        </is>
      </c>
      <c r="Q1" s="1" t="inlineStr">
        <is>
          <t>bottom_50_largest_holding</t>
        </is>
      </c>
      <c r="R1" s="1" t="inlineStr">
        <is>
          <t>bottom_50_second_largest_holding</t>
        </is>
      </c>
    </row>
    <row r="2">
      <c r="A2" s="2" t="n">
        <v>45968</v>
      </c>
      <c r="B2" t="inlineStr">
        <is>
          <t>TDVI</t>
        </is>
      </c>
      <c r="C2" t="inlineStr">
        <is>
          <t>PASS</t>
        </is>
      </c>
      <c r="D2" s="3">
        <f>IF(I2/H2&gt;=0.5,"PASS","FAIL")</f>
        <v/>
      </c>
      <c r="E2" s="3">
        <f>IF(L2&lt;=0.5,"PASS","FAIL")</f>
        <v/>
      </c>
      <c r="F2" t="inlineStr">
        <is>
          <t>FAIL</t>
        </is>
      </c>
      <c r="G2" t="inlineStr">
        <is>
          <t>PASS</t>
        </is>
      </c>
      <c r="H2" s="3" t="n">
        <v>194544312.53</v>
      </c>
      <c r="I2" s="3" t="n">
        <v>229407530.936</v>
      </c>
      <c r="J2" s="3" t="n">
        <v>4035.53</v>
      </c>
      <c r="K2" s="5" t="n">
        <v>9727215.626500001</v>
      </c>
      <c r="L2" s="5" t="n">
        <v>0.6272417742962997</v>
      </c>
      <c r="M2" s="3" t="n">
        <v>6</v>
      </c>
      <c r="N2" t="inlineStr">
        <is>
          <t>(MSFT, 15.14%), (IBM, 14.34%), (AVGO, 12.46%), (TSM, 7.65%), (ORCL, 7.12%), (TXN, 6.01%)</t>
        </is>
      </c>
      <c r="O2" s="5" t="n">
        <v>0</v>
      </c>
      <c r="P2" t="inlineStr">
        <is>
          <t>None</t>
        </is>
      </c>
      <c r="Q2" t="inlineStr">
        <is>
          <t>ORCL (7.12%)</t>
        </is>
      </c>
      <c r="R2" t="inlineStr">
        <is>
          <t>TXN (6.01%)</t>
        </is>
      </c>
    </row>
    <row r="3">
      <c r="A3" t="inlineStr">
        <is>
          <t>* IRS Condition 1: 90% of income must come from qualifying sources.</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 IRS Condition 2a: At least 50% of assets must be allocated to qualifying securities.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 IRS Condition 2a5: for 50% of portfolio, no issuer is more than 5% of fund assets.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 IRS Condition 2a10: for 50% of portfolio, fund doesn't hold more than 10% of any issuer's outstanding float.</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 IRS Condition 2b: No single issuer may constitute more than 25% of assets.</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2025-11-11T20:28:06Z</dcterms:created>
  <dcterms:modified xmlns:dcterms="http://purl.org/dc/terms/" xmlns:xsi="http://www.w3.org/2001/XMLSchema-instance" xsi:type="dcterms:W3CDTF">2025-11-11T20:28:06Z</dcterms:modified>
</cp:coreProperties>
</file>