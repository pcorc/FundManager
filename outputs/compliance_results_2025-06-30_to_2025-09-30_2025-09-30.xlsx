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atrickCorcoran\OneDrive - Vest Financial\Documents\Coding\VestFundManager\outputs\"/>
    </mc:Choice>
  </mc:AlternateContent>
  <xr:revisionPtr revIDLastSave="0" documentId="13_ncr:1_{83AADB78-C866-4061-9134-4D66C9E5A791}" xr6:coauthVersionLast="47" xr6:coauthVersionMax="47" xr10:uidLastSave="{00000000-0000-0000-0000-000000000000}"/>
  <bookViews>
    <workbookView xWindow="57480" yWindow="-7815" windowWidth="29040" windowHeight="15720" xr2:uid="{00000000-000D-0000-FFFF-FFFF00000000}"/>
  </bookViews>
  <sheets>
    <sheet name="40Act_Diversification" sheetId="1" r:id="rId1"/>
    <sheet name="IRS_Diversification" sheetId="2" r:id="rId2"/>
  </sheets>
  <definedNames>
    <definedName name="_xlnm._FilterDatabase" localSheetId="0" hidden="1">'40Act_Diversification'!$A$1:$U$679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38" i="2" l="1"/>
  <c r="D738" i="2"/>
  <c r="E737" i="2"/>
  <c r="D737" i="2"/>
  <c r="E736" i="2"/>
  <c r="D736" i="2"/>
  <c r="E735" i="2"/>
  <c r="D735" i="2"/>
  <c r="E734" i="2"/>
  <c r="D734" i="2"/>
  <c r="E733" i="2"/>
  <c r="D733" i="2"/>
  <c r="E732" i="2"/>
  <c r="D732" i="2"/>
  <c r="E731" i="2"/>
  <c r="D731" i="2"/>
  <c r="E730" i="2"/>
  <c r="D730" i="2"/>
  <c r="E729" i="2"/>
  <c r="D729" i="2"/>
  <c r="E728" i="2"/>
  <c r="D728" i="2"/>
  <c r="E727" i="2"/>
  <c r="D727" i="2"/>
  <c r="E726" i="2"/>
  <c r="D726" i="2"/>
  <c r="E725" i="2"/>
  <c r="D725" i="2"/>
  <c r="E724" i="2"/>
  <c r="D724" i="2"/>
  <c r="E723" i="2"/>
  <c r="D723" i="2"/>
  <c r="E722" i="2"/>
  <c r="D722" i="2"/>
  <c r="E721" i="2"/>
  <c r="D721" i="2"/>
  <c r="E720" i="2"/>
  <c r="D720" i="2"/>
  <c r="E719" i="2"/>
  <c r="D719" i="2"/>
  <c r="E718" i="2"/>
  <c r="D718" i="2"/>
  <c r="E717" i="2"/>
  <c r="D717" i="2"/>
  <c r="E716" i="2"/>
  <c r="D716" i="2"/>
  <c r="E715" i="2"/>
  <c r="D715" i="2"/>
  <c r="E714" i="2"/>
  <c r="D714" i="2"/>
  <c r="E713" i="2"/>
  <c r="D713" i="2"/>
  <c r="E712" i="2"/>
  <c r="D712" i="2"/>
  <c r="E711" i="2"/>
  <c r="D711" i="2"/>
  <c r="E710" i="2"/>
  <c r="D710" i="2"/>
  <c r="E709" i="2"/>
  <c r="D709" i="2"/>
  <c r="E708" i="2"/>
  <c r="D708" i="2"/>
  <c r="E707" i="2"/>
  <c r="D707" i="2"/>
  <c r="E706" i="2"/>
  <c r="D706" i="2"/>
  <c r="E705" i="2"/>
  <c r="D705" i="2"/>
  <c r="E704" i="2"/>
  <c r="D704" i="2"/>
  <c r="E703" i="2"/>
  <c r="D703" i="2"/>
  <c r="E702" i="2"/>
  <c r="D702" i="2"/>
  <c r="E701" i="2"/>
  <c r="D701" i="2"/>
  <c r="E700" i="2"/>
  <c r="D700" i="2"/>
  <c r="E699" i="2"/>
  <c r="D699" i="2"/>
  <c r="E698" i="2"/>
  <c r="D698" i="2"/>
  <c r="E697" i="2"/>
  <c r="D697" i="2"/>
  <c r="E696" i="2"/>
  <c r="D696" i="2"/>
  <c r="E695" i="2"/>
  <c r="D695" i="2"/>
  <c r="E694" i="2"/>
  <c r="D694" i="2"/>
  <c r="E693" i="2"/>
  <c r="D693" i="2"/>
  <c r="E692" i="2"/>
  <c r="D692" i="2"/>
  <c r="E691" i="2"/>
  <c r="D691" i="2"/>
  <c r="E690" i="2"/>
  <c r="D690" i="2"/>
  <c r="E689" i="2"/>
  <c r="D689" i="2"/>
  <c r="E688" i="2"/>
  <c r="D688" i="2"/>
  <c r="E687" i="2"/>
  <c r="D687" i="2"/>
  <c r="E686" i="2"/>
  <c r="D686" i="2"/>
  <c r="E685" i="2"/>
  <c r="D685" i="2"/>
  <c r="E684" i="2"/>
  <c r="D684" i="2"/>
  <c r="E683" i="2"/>
  <c r="D683" i="2"/>
  <c r="E682" i="2"/>
  <c r="D682" i="2"/>
  <c r="E681" i="2"/>
  <c r="D681" i="2"/>
  <c r="E680" i="2"/>
  <c r="D680" i="2"/>
  <c r="E679" i="2"/>
  <c r="D679" i="2"/>
  <c r="E678" i="2"/>
  <c r="D678" i="2"/>
  <c r="E677" i="2"/>
  <c r="D677" i="2"/>
  <c r="E676" i="2"/>
  <c r="D676" i="2"/>
  <c r="E675" i="2"/>
  <c r="D675" i="2"/>
  <c r="E674" i="2"/>
  <c r="D674" i="2"/>
  <c r="E673" i="2"/>
  <c r="D673" i="2"/>
  <c r="E672" i="2"/>
  <c r="D672" i="2"/>
  <c r="E671" i="2"/>
  <c r="D671" i="2"/>
  <c r="E670" i="2"/>
  <c r="D670" i="2"/>
  <c r="E669" i="2"/>
  <c r="D669" i="2"/>
  <c r="E668" i="2"/>
  <c r="D668" i="2"/>
  <c r="E667" i="2"/>
  <c r="D667" i="2"/>
  <c r="E666" i="2"/>
  <c r="D666" i="2"/>
  <c r="E665" i="2"/>
  <c r="D665" i="2"/>
  <c r="E664" i="2"/>
  <c r="D664" i="2"/>
  <c r="E663" i="2"/>
  <c r="D663" i="2"/>
  <c r="E662" i="2"/>
  <c r="D662" i="2"/>
  <c r="E661" i="2"/>
  <c r="D661" i="2"/>
  <c r="E660" i="2"/>
  <c r="D660" i="2"/>
  <c r="E659" i="2"/>
  <c r="D659" i="2"/>
  <c r="E658" i="2"/>
  <c r="D658" i="2"/>
  <c r="E657" i="2"/>
  <c r="D657" i="2"/>
  <c r="E656" i="2"/>
  <c r="D656" i="2"/>
  <c r="E655" i="2"/>
  <c r="D655" i="2"/>
  <c r="E654" i="2"/>
  <c r="D654" i="2"/>
  <c r="E653" i="2"/>
  <c r="D653" i="2"/>
  <c r="E652" i="2"/>
  <c r="D652" i="2"/>
  <c r="E651" i="2"/>
  <c r="D651" i="2"/>
  <c r="E650" i="2"/>
  <c r="D650" i="2"/>
  <c r="E649" i="2"/>
  <c r="D649" i="2"/>
  <c r="E648" i="2"/>
  <c r="D648" i="2"/>
  <c r="E647" i="2"/>
  <c r="D647" i="2"/>
  <c r="E646" i="2"/>
  <c r="D646" i="2"/>
  <c r="E645" i="2"/>
  <c r="D645" i="2"/>
  <c r="E644" i="2"/>
  <c r="D644" i="2"/>
  <c r="E643" i="2"/>
  <c r="D643" i="2"/>
  <c r="E642" i="2"/>
  <c r="D642" i="2"/>
  <c r="E641" i="2"/>
  <c r="D641" i="2"/>
  <c r="E640" i="2"/>
  <c r="D640" i="2"/>
  <c r="E639" i="2"/>
  <c r="D639" i="2"/>
  <c r="E638" i="2"/>
  <c r="D638" i="2"/>
  <c r="E637" i="2"/>
  <c r="D637" i="2"/>
  <c r="E636" i="2"/>
  <c r="D636" i="2"/>
  <c r="E635" i="2"/>
  <c r="D635" i="2"/>
  <c r="E634" i="2"/>
  <c r="D634" i="2"/>
  <c r="E633" i="2"/>
  <c r="D633" i="2"/>
  <c r="E632" i="2"/>
  <c r="D632" i="2"/>
  <c r="E631" i="2"/>
  <c r="D631" i="2"/>
  <c r="E630" i="2"/>
  <c r="D630" i="2"/>
  <c r="E629" i="2"/>
  <c r="D629" i="2"/>
  <c r="E628" i="2"/>
  <c r="D628" i="2"/>
  <c r="E627" i="2"/>
  <c r="D627" i="2"/>
  <c r="E626" i="2"/>
  <c r="D626" i="2"/>
  <c r="E625" i="2"/>
  <c r="D625" i="2"/>
  <c r="E624" i="2"/>
  <c r="D624" i="2"/>
  <c r="E623" i="2"/>
  <c r="D623" i="2"/>
  <c r="E622" i="2"/>
  <c r="D622" i="2"/>
  <c r="E621" i="2"/>
  <c r="D621" i="2"/>
  <c r="E620" i="2"/>
  <c r="D620" i="2"/>
  <c r="E619" i="2"/>
  <c r="D619" i="2"/>
  <c r="E618" i="2"/>
  <c r="D618" i="2"/>
  <c r="E617" i="2"/>
  <c r="D617" i="2"/>
  <c r="E616" i="2"/>
  <c r="D616" i="2"/>
  <c r="E615" i="2"/>
  <c r="D615" i="2"/>
  <c r="E614" i="2"/>
  <c r="D614" i="2"/>
  <c r="E613" i="2"/>
  <c r="D613" i="2"/>
  <c r="E612" i="2"/>
  <c r="D612" i="2"/>
  <c r="E611" i="2"/>
  <c r="D611" i="2"/>
  <c r="E610" i="2"/>
  <c r="D610" i="2"/>
  <c r="E609" i="2"/>
  <c r="D609" i="2"/>
  <c r="E608" i="2"/>
  <c r="D608" i="2"/>
  <c r="E607" i="2"/>
  <c r="D607" i="2"/>
  <c r="E606" i="2"/>
  <c r="D606" i="2"/>
  <c r="E605" i="2"/>
  <c r="D605" i="2"/>
  <c r="E604" i="2"/>
  <c r="D604" i="2"/>
  <c r="E603" i="2"/>
  <c r="D603" i="2"/>
  <c r="E602" i="2"/>
  <c r="D602" i="2"/>
  <c r="E601" i="2"/>
  <c r="D601" i="2"/>
  <c r="E600" i="2"/>
  <c r="D600" i="2"/>
  <c r="E599" i="2"/>
  <c r="D599" i="2"/>
  <c r="E598" i="2"/>
  <c r="D598" i="2"/>
  <c r="E597" i="2"/>
  <c r="D597" i="2"/>
  <c r="E596" i="2"/>
  <c r="D596" i="2"/>
  <c r="E595" i="2"/>
  <c r="D595" i="2"/>
  <c r="E594" i="2"/>
  <c r="D594" i="2"/>
  <c r="E593" i="2"/>
  <c r="D593" i="2"/>
  <c r="E592" i="2"/>
  <c r="D592" i="2"/>
  <c r="E591" i="2"/>
  <c r="D591" i="2"/>
  <c r="E590" i="2"/>
  <c r="D590" i="2"/>
  <c r="E589" i="2"/>
  <c r="D589" i="2"/>
  <c r="E588" i="2"/>
  <c r="D588" i="2"/>
  <c r="E587" i="2"/>
  <c r="D587" i="2"/>
  <c r="E586" i="2"/>
  <c r="D586" i="2"/>
  <c r="E585" i="2"/>
  <c r="D585" i="2"/>
  <c r="E584" i="2"/>
  <c r="D584" i="2"/>
  <c r="E583" i="2"/>
  <c r="D583" i="2"/>
  <c r="E582" i="2"/>
  <c r="D582" i="2"/>
  <c r="E581" i="2"/>
  <c r="D581" i="2"/>
  <c r="E580" i="2"/>
  <c r="D580" i="2"/>
  <c r="E579" i="2"/>
  <c r="D579" i="2"/>
  <c r="E578" i="2"/>
  <c r="D578" i="2"/>
  <c r="E577" i="2"/>
  <c r="D577" i="2"/>
  <c r="E576" i="2"/>
  <c r="D576" i="2"/>
  <c r="E575" i="2"/>
  <c r="D575" i="2"/>
  <c r="E574" i="2"/>
  <c r="D574" i="2"/>
  <c r="E573" i="2"/>
  <c r="D573" i="2"/>
  <c r="E572" i="2"/>
  <c r="D572" i="2"/>
  <c r="E571" i="2"/>
  <c r="D571" i="2"/>
  <c r="E570" i="2"/>
  <c r="D570" i="2"/>
  <c r="E569" i="2"/>
  <c r="D569" i="2"/>
  <c r="E568" i="2"/>
  <c r="D568" i="2"/>
  <c r="E567" i="2"/>
  <c r="D567" i="2"/>
  <c r="E566" i="2"/>
  <c r="D566" i="2"/>
  <c r="E565" i="2"/>
  <c r="D565" i="2"/>
  <c r="E564" i="2"/>
  <c r="D564" i="2"/>
  <c r="E563" i="2"/>
  <c r="D563" i="2"/>
  <c r="E562" i="2"/>
  <c r="D562" i="2"/>
  <c r="E561" i="2"/>
  <c r="D561" i="2"/>
  <c r="E560" i="2"/>
  <c r="D560" i="2"/>
  <c r="E559" i="2"/>
  <c r="D559" i="2"/>
  <c r="E558" i="2"/>
  <c r="D558" i="2"/>
  <c r="E557" i="2"/>
  <c r="D557" i="2"/>
  <c r="E556" i="2"/>
  <c r="D556" i="2"/>
  <c r="E555" i="2"/>
  <c r="D555" i="2"/>
  <c r="E554" i="2"/>
  <c r="D554" i="2"/>
  <c r="E553" i="2"/>
  <c r="D553" i="2"/>
  <c r="E552" i="2"/>
  <c r="D552" i="2"/>
  <c r="E551" i="2"/>
  <c r="D551" i="2"/>
  <c r="E550" i="2"/>
  <c r="D550" i="2"/>
  <c r="E549" i="2"/>
  <c r="D549" i="2"/>
  <c r="E548" i="2"/>
  <c r="D548" i="2"/>
  <c r="E547" i="2"/>
  <c r="D547" i="2"/>
  <c r="E546" i="2"/>
  <c r="D546" i="2"/>
  <c r="E545" i="2"/>
  <c r="D545" i="2"/>
  <c r="E544" i="2"/>
  <c r="D544" i="2"/>
  <c r="E543" i="2"/>
  <c r="D543" i="2"/>
  <c r="E542" i="2"/>
  <c r="D542" i="2"/>
  <c r="E541" i="2"/>
  <c r="D541" i="2"/>
  <c r="E540" i="2"/>
  <c r="D540" i="2"/>
  <c r="E539" i="2"/>
  <c r="D539" i="2"/>
  <c r="E538" i="2"/>
  <c r="D538" i="2"/>
  <c r="E537" i="2"/>
  <c r="D537" i="2"/>
  <c r="E536" i="2"/>
  <c r="D536" i="2"/>
  <c r="E535" i="2"/>
  <c r="D535" i="2"/>
  <c r="E534" i="2"/>
  <c r="D534" i="2"/>
  <c r="E533" i="2"/>
  <c r="D533" i="2"/>
  <c r="E532" i="2"/>
  <c r="D532" i="2"/>
  <c r="E531" i="2"/>
  <c r="D531" i="2"/>
  <c r="E530" i="2"/>
  <c r="D530" i="2"/>
  <c r="E529" i="2"/>
  <c r="D529" i="2"/>
  <c r="E528" i="2"/>
  <c r="D528" i="2"/>
  <c r="E527" i="2"/>
  <c r="D527" i="2"/>
  <c r="E526" i="2"/>
  <c r="D526" i="2"/>
  <c r="E525" i="2"/>
  <c r="D525" i="2"/>
  <c r="E524" i="2"/>
  <c r="D524" i="2"/>
  <c r="E523" i="2"/>
  <c r="D523" i="2"/>
  <c r="E522" i="2"/>
  <c r="D522" i="2"/>
  <c r="E521" i="2"/>
  <c r="D521" i="2"/>
  <c r="E520" i="2"/>
  <c r="D520" i="2"/>
  <c r="E519" i="2"/>
  <c r="D519" i="2"/>
  <c r="E518" i="2"/>
  <c r="D518" i="2"/>
  <c r="E517" i="2"/>
  <c r="D517" i="2"/>
  <c r="E516" i="2"/>
  <c r="D516" i="2"/>
  <c r="E515" i="2"/>
  <c r="D515" i="2"/>
  <c r="E514" i="2"/>
  <c r="D514" i="2"/>
  <c r="E513" i="2"/>
  <c r="D513" i="2"/>
  <c r="E512" i="2"/>
  <c r="D512" i="2"/>
  <c r="E511" i="2"/>
  <c r="D511" i="2"/>
  <c r="E510" i="2"/>
  <c r="D510" i="2"/>
  <c r="E509" i="2"/>
  <c r="D509" i="2"/>
  <c r="E508" i="2"/>
  <c r="D508" i="2"/>
  <c r="E507" i="2"/>
  <c r="D507" i="2"/>
  <c r="E506" i="2"/>
  <c r="D506" i="2"/>
  <c r="E505" i="2"/>
  <c r="D505" i="2"/>
  <c r="E504" i="2"/>
  <c r="D504" i="2"/>
  <c r="E503" i="2"/>
  <c r="D503" i="2"/>
  <c r="E502" i="2"/>
  <c r="D502" i="2"/>
  <c r="E501" i="2"/>
  <c r="D501" i="2"/>
  <c r="E500" i="2"/>
  <c r="D500" i="2"/>
  <c r="E499" i="2"/>
  <c r="D499" i="2"/>
  <c r="E498" i="2"/>
  <c r="D498" i="2"/>
  <c r="E497" i="2"/>
  <c r="D497" i="2"/>
  <c r="E496" i="2"/>
  <c r="D496" i="2"/>
  <c r="E495" i="2"/>
  <c r="D495" i="2"/>
  <c r="E494" i="2"/>
  <c r="D494" i="2"/>
  <c r="E493" i="2"/>
  <c r="D493" i="2"/>
  <c r="E492" i="2"/>
  <c r="D492" i="2"/>
  <c r="E491" i="2"/>
  <c r="D491" i="2"/>
  <c r="E490" i="2"/>
  <c r="D490" i="2"/>
  <c r="E489" i="2"/>
  <c r="D489" i="2"/>
  <c r="E488" i="2"/>
  <c r="D488" i="2"/>
  <c r="E487" i="2"/>
  <c r="D487" i="2"/>
  <c r="E486" i="2"/>
  <c r="D486" i="2"/>
  <c r="E485" i="2"/>
  <c r="D485" i="2"/>
  <c r="E484" i="2"/>
  <c r="D484" i="2"/>
  <c r="E483" i="2"/>
  <c r="D483" i="2"/>
  <c r="E482" i="2"/>
  <c r="D482" i="2"/>
  <c r="E481" i="2"/>
  <c r="D481" i="2"/>
  <c r="E480" i="2"/>
  <c r="D480" i="2"/>
  <c r="E479" i="2"/>
  <c r="D479" i="2"/>
  <c r="E478" i="2"/>
  <c r="D478" i="2"/>
  <c r="E477" i="2"/>
  <c r="D477" i="2"/>
  <c r="E476" i="2"/>
  <c r="D476" i="2"/>
  <c r="E475" i="2"/>
  <c r="D475" i="2"/>
  <c r="E474" i="2"/>
  <c r="D474" i="2"/>
  <c r="E473" i="2"/>
  <c r="D473" i="2"/>
  <c r="E472" i="2"/>
  <c r="D472" i="2"/>
  <c r="E471" i="2"/>
  <c r="D471" i="2"/>
  <c r="E470" i="2"/>
  <c r="D470" i="2"/>
  <c r="E469" i="2"/>
  <c r="D469" i="2"/>
  <c r="E468" i="2"/>
  <c r="D468" i="2"/>
  <c r="E467" i="2"/>
  <c r="D467" i="2"/>
  <c r="E466" i="2"/>
  <c r="D466" i="2"/>
  <c r="E465" i="2"/>
  <c r="D465" i="2"/>
  <c r="E464" i="2"/>
  <c r="D464" i="2"/>
  <c r="E463" i="2"/>
  <c r="D463" i="2"/>
  <c r="E462" i="2"/>
  <c r="D462" i="2"/>
  <c r="E461" i="2"/>
  <c r="D461" i="2"/>
  <c r="E460" i="2"/>
  <c r="D460" i="2"/>
  <c r="E459" i="2"/>
  <c r="D459" i="2"/>
  <c r="E458" i="2"/>
  <c r="D458" i="2"/>
  <c r="E457" i="2"/>
  <c r="D457" i="2"/>
  <c r="E456" i="2"/>
  <c r="D456" i="2"/>
  <c r="E455" i="2"/>
  <c r="D455" i="2"/>
  <c r="E454" i="2"/>
  <c r="D454" i="2"/>
  <c r="E453" i="2"/>
  <c r="D453" i="2"/>
  <c r="E452" i="2"/>
  <c r="D452" i="2"/>
  <c r="E451" i="2"/>
  <c r="D451" i="2"/>
  <c r="E450" i="2"/>
  <c r="D450" i="2"/>
  <c r="E449" i="2"/>
  <c r="D449" i="2"/>
  <c r="E448" i="2"/>
  <c r="D448" i="2"/>
  <c r="E447" i="2"/>
  <c r="D447" i="2"/>
  <c r="E446" i="2"/>
  <c r="D446" i="2"/>
  <c r="E445" i="2"/>
  <c r="D445" i="2"/>
  <c r="E444" i="2"/>
  <c r="D444" i="2"/>
  <c r="E443" i="2"/>
  <c r="D443" i="2"/>
  <c r="E442" i="2"/>
  <c r="D442" i="2"/>
  <c r="E441" i="2"/>
  <c r="D441" i="2"/>
  <c r="E440" i="2"/>
  <c r="D440" i="2"/>
  <c r="E439" i="2"/>
  <c r="D439" i="2"/>
  <c r="E438" i="2"/>
  <c r="D438" i="2"/>
  <c r="E437" i="2"/>
  <c r="D437" i="2"/>
  <c r="E436" i="2"/>
  <c r="D436" i="2"/>
  <c r="E435" i="2"/>
  <c r="D435" i="2"/>
  <c r="E434" i="2"/>
  <c r="D434" i="2"/>
  <c r="E433" i="2"/>
  <c r="D433" i="2"/>
  <c r="E432" i="2"/>
  <c r="D432" i="2"/>
  <c r="E431" i="2"/>
  <c r="D431" i="2"/>
  <c r="E430" i="2"/>
  <c r="D430" i="2"/>
  <c r="E429" i="2"/>
  <c r="D429" i="2"/>
  <c r="E428" i="2"/>
  <c r="D428" i="2"/>
  <c r="E427" i="2"/>
  <c r="D427" i="2"/>
  <c r="E426" i="2"/>
  <c r="D426" i="2"/>
  <c r="E425" i="2"/>
  <c r="D425" i="2"/>
  <c r="E424" i="2"/>
  <c r="D424" i="2"/>
  <c r="E423" i="2"/>
  <c r="D423" i="2"/>
  <c r="E422" i="2"/>
  <c r="D422" i="2"/>
  <c r="E421" i="2"/>
  <c r="D421" i="2"/>
  <c r="E420" i="2"/>
  <c r="D420" i="2"/>
  <c r="E419" i="2"/>
  <c r="D419" i="2"/>
  <c r="E418" i="2"/>
  <c r="D418" i="2"/>
  <c r="E417" i="2"/>
  <c r="D417" i="2"/>
  <c r="E416" i="2"/>
  <c r="D416" i="2"/>
  <c r="E415" i="2"/>
  <c r="D415" i="2"/>
  <c r="E414" i="2"/>
  <c r="D414" i="2"/>
  <c r="E413" i="2"/>
  <c r="D413" i="2"/>
  <c r="E412" i="2"/>
  <c r="D412" i="2"/>
  <c r="E411" i="2"/>
  <c r="D411" i="2"/>
  <c r="E410" i="2"/>
  <c r="D410" i="2"/>
  <c r="E409" i="2"/>
  <c r="D409" i="2"/>
  <c r="E408" i="2"/>
  <c r="D408" i="2"/>
  <c r="E407" i="2"/>
  <c r="D407" i="2"/>
  <c r="E406" i="2"/>
  <c r="D406" i="2"/>
  <c r="E405" i="2"/>
  <c r="D405" i="2"/>
  <c r="E404" i="2"/>
  <c r="D404" i="2"/>
  <c r="E403" i="2"/>
  <c r="D403" i="2"/>
  <c r="E402" i="2"/>
  <c r="D402" i="2"/>
  <c r="E401" i="2"/>
  <c r="D401" i="2"/>
  <c r="E400" i="2"/>
  <c r="D400" i="2"/>
  <c r="E399" i="2"/>
  <c r="D399" i="2"/>
  <c r="E398" i="2"/>
  <c r="D398" i="2"/>
  <c r="E397" i="2"/>
  <c r="D397" i="2"/>
  <c r="E396" i="2"/>
  <c r="D396" i="2"/>
  <c r="E395" i="2"/>
  <c r="D395" i="2"/>
  <c r="E394" i="2"/>
  <c r="D394" i="2"/>
  <c r="E393" i="2"/>
  <c r="D393" i="2"/>
  <c r="E392" i="2"/>
  <c r="D392" i="2"/>
  <c r="E391" i="2"/>
  <c r="D391" i="2"/>
  <c r="E390" i="2"/>
  <c r="D390" i="2"/>
  <c r="E389" i="2"/>
  <c r="D389" i="2"/>
  <c r="E388" i="2"/>
  <c r="D388" i="2"/>
  <c r="E387" i="2"/>
  <c r="D387" i="2"/>
  <c r="E386" i="2"/>
  <c r="D386" i="2"/>
  <c r="E385" i="2"/>
  <c r="D385" i="2"/>
  <c r="E384" i="2"/>
  <c r="D384" i="2"/>
  <c r="E383" i="2"/>
  <c r="D383" i="2"/>
  <c r="E382" i="2"/>
  <c r="D382" i="2"/>
  <c r="E381" i="2"/>
  <c r="D381" i="2"/>
  <c r="E380" i="2"/>
  <c r="D380" i="2"/>
  <c r="E379" i="2"/>
  <c r="D379" i="2"/>
  <c r="E378" i="2"/>
  <c r="D378" i="2"/>
  <c r="E377" i="2"/>
  <c r="D377" i="2"/>
  <c r="E376" i="2"/>
  <c r="D376" i="2"/>
  <c r="E375" i="2"/>
  <c r="D375" i="2"/>
  <c r="E374" i="2"/>
  <c r="D374" i="2"/>
  <c r="E373" i="2"/>
  <c r="D373" i="2"/>
  <c r="E372" i="2"/>
  <c r="D372" i="2"/>
  <c r="E371" i="2"/>
  <c r="D371" i="2"/>
  <c r="E370" i="2"/>
  <c r="D370" i="2"/>
  <c r="E369" i="2"/>
  <c r="D369" i="2"/>
  <c r="E368" i="2"/>
  <c r="D368" i="2"/>
  <c r="E367" i="2"/>
  <c r="D367" i="2"/>
  <c r="E366" i="2"/>
  <c r="D366" i="2"/>
  <c r="E365" i="2"/>
  <c r="D365" i="2"/>
  <c r="E364" i="2"/>
  <c r="D364" i="2"/>
  <c r="E363" i="2"/>
  <c r="D363" i="2"/>
  <c r="E362" i="2"/>
  <c r="D362" i="2"/>
  <c r="E361" i="2"/>
  <c r="D361" i="2"/>
  <c r="E360" i="2"/>
  <c r="D360" i="2"/>
  <c r="E359" i="2"/>
  <c r="D359" i="2"/>
  <c r="E358" i="2"/>
  <c r="D358" i="2"/>
  <c r="E357" i="2"/>
  <c r="D357" i="2"/>
  <c r="E356" i="2"/>
  <c r="D356" i="2"/>
  <c r="E355" i="2"/>
  <c r="D355" i="2"/>
  <c r="E354" i="2"/>
  <c r="D354" i="2"/>
  <c r="E353" i="2"/>
  <c r="D353" i="2"/>
  <c r="E352" i="2"/>
  <c r="D352" i="2"/>
  <c r="E351" i="2"/>
  <c r="D351" i="2"/>
  <c r="E350" i="2"/>
  <c r="D350" i="2"/>
  <c r="E349" i="2"/>
  <c r="D349" i="2"/>
  <c r="E348" i="2"/>
  <c r="D348" i="2"/>
  <c r="E347" i="2"/>
  <c r="D347" i="2"/>
  <c r="E346" i="2"/>
  <c r="D346" i="2"/>
  <c r="E345" i="2"/>
  <c r="D345" i="2"/>
  <c r="E344" i="2"/>
  <c r="D344" i="2"/>
  <c r="E343" i="2"/>
  <c r="D343" i="2"/>
  <c r="E342" i="2"/>
  <c r="D342" i="2"/>
  <c r="E341" i="2"/>
  <c r="D341" i="2"/>
  <c r="E340" i="2"/>
  <c r="D340" i="2"/>
  <c r="E339" i="2"/>
  <c r="D339" i="2"/>
  <c r="E338" i="2"/>
  <c r="D338" i="2"/>
  <c r="E337" i="2"/>
  <c r="D337" i="2"/>
  <c r="E336" i="2"/>
  <c r="D336" i="2"/>
  <c r="E335" i="2"/>
  <c r="D335" i="2"/>
  <c r="E334" i="2"/>
  <c r="D334" i="2"/>
  <c r="E333" i="2"/>
  <c r="D333" i="2"/>
  <c r="E332" i="2"/>
  <c r="D332" i="2"/>
  <c r="E331" i="2"/>
  <c r="D331" i="2"/>
  <c r="E330" i="2"/>
  <c r="D330" i="2"/>
  <c r="E329" i="2"/>
  <c r="D329" i="2"/>
  <c r="E328" i="2"/>
  <c r="D328" i="2"/>
  <c r="E327" i="2"/>
  <c r="D327" i="2"/>
  <c r="E326" i="2"/>
  <c r="D326" i="2"/>
  <c r="E325" i="2"/>
  <c r="D325" i="2"/>
  <c r="E324" i="2"/>
  <c r="D324" i="2"/>
  <c r="E323" i="2"/>
  <c r="D323" i="2"/>
  <c r="E322" i="2"/>
  <c r="D322" i="2"/>
  <c r="E321" i="2"/>
  <c r="D321" i="2"/>
  <c r="E320" i="2"/>
  <c r="D320" i="2"/>
  <c r="E319" i="2"/>
  <c r="D319" i="2"/>
  <c r="E318" i="2"/>
  <c r="D318" i="2"/>
  <c r="E317" i="2"/>
  <c r="D317" i="2"/>
  <c r="E316" i="2"/>
  <c r="D316" i="2"/>
  <c r="E315" i="2"/>
  <c r="D315" i="2"/>
  <c r="E314" i="2"/>
  <c r="D314" i="2"/>
  <c r="E313" i="2"/>
  <c r="D313" i="2"/>
  <c r="E312" i="2"/>
  <c r="D312" i="2"/>
  <c r="E311" i="2"/>
  <c r="D311" i="2"/>
  <c r="E310" i="2"/>
  <c r="D310" i="2"/>
  <c r="E309" i="2"/>
  <c r="D309" i="2"/>
  <c r="E308" i="2"/>
  <c r="D308" i="2"/>
  <c r="E307" i="2"/>
  <c r="D307" i="2"/>
  <c r="E306" i="2"/>
  <c r="D306" i="2"/>
  <c r="E305" i="2"/>
  <c r="D305" i="2"/>
  <c r="E304" i="2"/>
  <c r="D304" i="2"/>
  <c r="E303" i="2"/>
  <c r="D303" i="2"/>
  <c r="E302" i="2"/>
  <c r="D302" i="2"/>
  <c r="E301" i="2"/>
  <c r="D301" i="2"/>
  <c r="E300" i="2"/>
  <c r="D300" i="2"/>
  <c r="E299" i="2"/>
  <c r="D299" i="2"/>
  <c r="E298" i="2"/>
  <c r="D298" i="2"/>
  <c r="E297" i="2"/>
  <c r="D297" i="2"/>
  <c r="E296" i="2"/>
  <c r="D296" i="2"/>
  <c r="E295" i="2"/>
  <c r="D295" i="2"/>
  <c r="E294" i="2"/>
  <c r="D294" i="2"/>
  <c r="E293" i="2"/>
  <c r="D293" i="2"/>
  <c r="E292" i="2"/>
  <c r="D292" i="2"/>
  <c r="E291" i="2"/>
  <c r="D291" i="2"/>
  <c r="E290" i="2"/>
  <c r="D290" i="2"/>
  <c r="E289" i="2"/>
  <c r="D289" i="2"/>
  <c r="E288" i="2"/>
  <c r="D288" i="2"/>
  <c r="E287" i="2"/>
  <c r="D287" i="2"/>
  <c r="E286" i="2"/>
  <c r="D286" i="2"/>
  <c r="E285" i="2"/>
  <c r="D285" i="2"/>
  <c r="E284" i="2"/>
  <c r="D284" i="2"/>
  <c r="E283" i="2"/>
  <c r="D283" i="2"/>
  <c r="E282" i="2"/>
  <c r="D282" i="2"/>
  <c r="E281" i="2"/>
  <c r="D281" i="2"/>
  <c r="E280" i="2"/>
  <c r="D280" i="2"/>
  <c r="E279" i="2"/>
  <c r="D279" i="2"/>
  <c r="E278" i="2"/>
  <c r="D278" i="2"/>
  <c r="E277" i="2"/>
  <c r="D277" i="2"/>
  <c r="E276" i="2"/>
  <c r="D276" i="2"/>
  <c r="E275" i="2"/>
  <c r="D275" i="2"/>
  <c r="E274" i="2"/>
  <c r="D274" i="2"/>
  <c r="E273" i="2"/>
  <c r="D273" i="2"/>
  <c r="E272" i="2"/>
  <c r="D272" i="2"/>
  <c r="E271" i="2"/>
  <c r="D271" i="2"/>
  <c r="E270" i="2"/>
  <c r="D270" i="2"/>
  <c r="E269" i="2"/>
  <c r="D269" i="2"/>
  <c r="E268" i="2"/>
  <c r="D268" i="2"/>
  <c r="E267" i="2"/>
  <c r="D267" i="2"/>
  <c r="E266" i="2"/>
  <c r="D266" i="2"/>
  <c r="E265" i="2"/>
  <c r="D265" i="2"/>
  <c r="E264" i="2"/>
  <c r="D264" i="2"/>
  <c r="E263" i="2"/>
  <c r="D263" i="2"/>
  <c r="E262" i="2"/>
  <c r="D262" i="2"/>
  <c r="E261" i="2"/>
  <c r="D261" i="2"/>
  <c r="E260" i="2"/>
  <c r="D260" i="2"/>
  <c r="E259" i="2"/>
  <c r="D259" i="2"/>
  <c r="E258" i="2"/>
  <c r="D258" i="2"/>
  <c r="E257" i="2"/>
  <c r="D257" i="2"/>
  <c r="E256" i="2"/>
  <c r="D256" i="2"/>
  <c r="E255" i="2"/>
  <c r="D255" i="2"/>
  <c r="E254" i="2"/>
  <c r="D254" i="2"/>
  <c r="E253" i="2"/>
  <c r="D253" i="2"/>
  <c r="E252" i="2"/>
  <c r="D252" i="2"/>
  <c r="E251" i="2"/>
  <c r="D251" i="2"/>
  <c r="E250" i="2"/>
  <c r="D250" i="2"/>
  <c r="E249" i="2"/>
  <c r="D249" i="2"/>
  <c r="E248" i="2"/>
  <c r="D248" i="2"/>
  <c r="E247" i="2"/>
  <c r="D247" i="2"/>
  <c r="E246" i="2"/>
  <c r="D246" i="2"/>
  <c r="E245" i="2"/>
  <c r="D245" i="2"/>
  <c r="E244" i="2"/>
  <c r="D244" i="2"/>
  <c r="E243" i="2"/>
  <c r="D243" i="2"/>
  <c r="E242" i="2"/>
  <c r="D242" i="2"/>
  <c r="E241" i="2"/>
  <c r="D241" i="2"/>
  <c r="E240" i="2"/>
  <c r="D240" i="2"/>
  <c r="E239" i="2"/>
  <c r="D239" i="2"/>
  <c r="E238" i="2"/>
  <c r="D238" i="2"/>
  <c r="E237" i="2"/>
  <c r="D237" i="2"/>
  <c r="E236" i="2"/>
  <c r="D236" i="2"/>
  <c r="E235" i="2"/>
  <c r="D235" i="2"/>
  <c r="E234" i="2"/>
  <c r="D234" i="2"/>
  <c r="E233" i="2"/>
  <c r="D233" i="2"/>
  <c r="E232" i="2"/>
  <c r="D232" i="2"/>
  <c r="E231" i="2"/>
  <c r="D231" i="2"/>
  <c r="E230" i="2"/>
  <c r="D230" i="2"/>
  <c r="E229" i="2"/>
  <c r="D229" i="2"/>
  <c r="E228" i="2"/>
  <c r="D228" i="2"/>
  <c r="E227" i="2"/>
  <c r="D227" i="2"/>
  <c r="E226" i="2"/>
  <c r="D226" i="2"/>
  <c r="E225" i="2"/>
  <c r="D225" i="2"/>
  <c r="E224" i="2"/>
  <c r="D224" i="2"/>
  <c r="E223" i="2"/>
  <c r="D223" i="2"/>
  <c r="E222" i="2"/>
  <c r="D222" i="2"/>
  <c r="E221" i="2"/>
  <c r="D221" i="2"/>
  <c r="E220" i="2"/>
  <c r="D220" i="2"/>
  <c r="E219" i="2"/>
  <c r="D219" i="2"/>
  <c r="E218" i="2"/>
  <c r="D218" i="2"/>
  <c r="E217" i="2"/>
  <c r="D217" i="2"/>
  <c r="E216" i="2"/>
  <c r="D216" i="2"/>
  <c r="E215" i="2"/>
  <c r="D215" i="2"/>
  <c r="E214" i="2"/>
  <c r="D214" i="2"/>
  <c r="E213" i="2"/>
  <c r="D213" i="2"/>
  <c r="E212" i="2"/>
  <c r="D212" i="2"/>
  <c r="E211" i="2"/>
  <c r="D211" i="2"/>
  <c r="E210" i="2"/>
  <c r="D210" i="2"/>
  <c r="E209" i="2"/>
  <c r="D209" i="2"/>
  <c r="E208" i="2"/>
  <c r="D208" i="2"/>
  <c r="E207" i="2"/>
  <c r="D207" i="2"/>
  <c r="E206" i="2"/>
  <c r="D206" i="2"/>
  <c r="E205" i="2"/>
  <c r="D205" i="2"/>
  <c r="E204" i="2"/>
  <c r="D204" i="2"/>
  <c r="E203" i="2"/>
  <c r="D203" i="2"/>
  <c r="E202" i="2"/>
  <c r="D202" i="2"/>
  <c r="E201" i="2"/>
  <c r="D201" i="2"/>
  <c r="E200" i="2"/>
  <c r="D200" i="2"/>
  <c r="E199" i="2"/>
  <c r="D199" i="2"/>
  <c r="E198" i="2"/>
  <c r="D198" i="2"/>
  <c r="E197" i="2"/>
  <c r="D197" i="2"/>
  <c r="E196" i="2"/>
  <c r="D196" i="2"/>
  <c r="E195" i="2"/>
  <c r="D195" i="2"/>
  <c r="E194" i="2"/>
  <c r="D194" i="2"/>
  <c r="E193" i="2"/>
  <c r="D193" i="2"/>
  <c r="E192" i="2"/>
  <c r="D192" i="2"/>
  <c r="E191" i="2"/>
  <c r="D191" i="2"/>
  <c r="E190" i="2"/>
  <c r="D190" i="2"/>
  <c r="E189" i="2"/>
  <c r="D189" i="2"/>
  <c r="E188" i="2"/>
  <c r="D188" i="2"/>
  <c r="E187" i="2"/>
  <c r="D187" i="2"/>
  <c r="E186" i="2"/>
  <c r="D186" i="2"/>
  <c r="E185" i="2"/>
  <c r="D185" i="2"/>
  <c r="E184" i="2"/>
  <c r="D184" i="2"/>
  <c r="E183" i="2"/>
  <c r="D183" i="2"/>
  <c r="E182" i="2"/>
  <c r="D182" i="2"/>
  <c r="E181" i="2"/>
  <c r="D181" i="2"/>
  <c r="E180" i="2"/>
  <c r="D180" i="2"/>
  <c r="E179" i="2"/>
  <c r="D179" i="2"/>
  <c r="E178" i="2"/>
  <c r="D178" i="2"/>
  <c r="E177" i="2"/>
  <c r="D177" i="2"/>
  <c r="E176" i="2"/>
  <c r="D176" i="2"/>
  <c r="E175" i="2"/>
  <c r="D175" i="2"/>
  <c r="E174" i="2"/>
  <c r="D174" i="2"/>
  <c r="E173" i="2"/>
  <c r="D173" i="2"/>
  <c r="E172" i="2"/>
  <c r="D172" i="2"/>
  <c r="E171" i="2"/>
  <c r="D171" i="2"/>
  <c r="E170" i="2"/>
  <c r="D170" i="2"/>
  <c r="E169" i="2"/>
  <c r="D169" i="2"/>
  <c r="E168" i="2"/>
  <c r="D168" i="2"/>
  <c r="E167" i="2"/>
  <c r="D167" i="2"/>
  <c r="E166" i="2"/>
  <c r="D166" i="2"/>
  <c r="E165" i="2"/>
  <c r="D165" i="2"/>
  <c r="E164" i="2"/>
  <c r="D164" i="2"/>
  <c r="E163" i="2"/>
  <c r="D163" i="2"/>
  <c r="E162" i="2"/>
  <c r="D162" i="2"/>
  <c r="E161" i="2"/>
  <c r="D161" i="2"/>
  <c r="E160" i="2"/>
  <c r="D160" i="2"/>
  <c r="E159" i="2"/>
  <c r="D159" i="2"/>
  <c r="E158" i="2"/>
  <c r="D158" i="2"/>
  <c r="E157" i="2"/>
  <c r="D157" i="2"/>
  <c r="E156" i="2"/>
  <c r="D156" i="2"/>
  <c r="E155" i="2"/>
  <c r="D155" i="2"/>
  <c r="E154" i="2"/>
  <c r="D154" i="2"/>
  <c r="E153" i="2"/>
  <c r="D153" i="2"/>
  <c r="E152" i="2"/>
  <c r="D152" i="2"/>
  <c r="E151" i="2"/>
  <c r="D151" i="2"/>
  <c r="E150" i="2"/>
  <c r="D150" i="2"/>
  <c r="E149" i="2"/>
  <c r="D149" i="2"/>
  <c r="E148" i="2"/>
  <c r="D148" i="2"/>
  <c r="E147" i="2"/>
  <c r="D147" i="2"/>
  <c r="E146" i="2"/>
  <c r="D146" i="2"/>
  <c r="E145" i="2"/>
  <c r="D145" i="2"/>
  <c r="E144" i="2"/>
  <c r="D144" i="2"/>
  <c r="E143" i="2"/>
  <c r="D143" i="2"/>
  <c r="E142" i="2"/>
  <c r="D142" i="2"/>
  <c r="E141" i="2"/>
  <c r="D141" i="2"/>
  <c r="E140" i="2"/>
  <c r="D140" i="2"/>
  <c r="E139" i="2"/>
  <c r="D139" i="2"/>
  <c r="E138" i="2"/>
  <c r="D138" i="2"/>
  <c r="E137" i="2"/>
  <c r="D137" i="2"/>
  <c r="E136" i="2"/>
  <c r="D136" i="2"/>
  <c r="E135" i="2"/>
  <c r="D135" i="2"/>
  <c r="E134" i="2"/>
  <c r="D134" i="2"/>
  <c r="E133" i="2"/>
  <c r="D133" i="2"/>
  <c r="E132" i="2"/>
  <c r="D132" i="2"/>
  <c r="E131" i="2"/>
  <c r="D131" i="2"/>
  <c r="E130" i="2"/>
  <c r="D130" i="2"/>
  <c r="E129" i="2"/>
  <c r="D129" i="2"/>
  <c r="E128" i="2"/>
  <c r="D128" i="2"/>
  <c r="E127" i="2"/>
  <c r="D127" i="2"/>
  <c r="E126" i="2"/>
  <c r="D126" i="2"/>
  <c r="E125" i="2"/>
  <c r="D125" i="2"/>
  <c r="E124" i="2"/>
  <c r="D124" i="2"/>
  <c r="E123" i="2"/>
  <c r="D123" i="2"/>
  <c r="E122" i="2"/>
  <c r="D122" i="2"/>
  <c r="E121" i="2"/>
  <c r="D121" i="2"/>
  <c r="E120" i="2"/>
  <c r="D120" i="2"/>
  <c r="E119" i="2"/>
  <c r="D119" i="2"/>
  <c r="E118" i="2"/>
  <c r="D118" i="2"/>
  <c r="E117" i="2"/>
  <c r="D117" i="2"/>
  <c r="E116" i="2"/>
  <c r="D116" i="2"/>
  <c r="E115" i="2"/>
  <c r="D115" i="2"/>
  <c r="E114" i="2"/>
  <c r="D114" i="2"/>
  <c r="E113" i="2"/>
  <c r="D113" i="2"/>
  <c r="E112" i="2"/>
  <c r="D112" i="2"/>
  <c r="E111" i="2"/>
  <c r="D111" i="2"/>
  <c r="E110" i="2"/>
  <c r="D110" i="2"/>
  <c r="E109" i="2"/>
  <c r="D109" i="2"/>
  <c r="E108" i="2"/>
  <c r="D108" i="2"/>
  <c r="E107" i="2"/>
  <c r="D107" i="2"/>
  <c r="E106" i="2"/>
  <c r="D106" i="2"/>
  <c r="E105" i="2"/>
  <c r="D105" i="2"/>
  <c r="E104" i="2"/>
  <c r="D104" i="2"/>
  <c r="E103" i="2"/>
  <c r="D103" i="2"/>
  <c r="E102" i="2"/>
  <c r="D102" i="2"/>
  <c r="E101" i="2"/>
  <c r="D101" i="2"/>
  <c r="E100" i="2"/>
  <c r="D100" i="2"/>
  <c r="E99" i="2"/>
  <c r="D99" i="2"/>
  <c r="E98" i="2"/>
  <c r="D98" i="2"/>
  <c r="E97" i="2"/>
  <c r="D97" i="2"/>
  <c r="E96" i="2"/>
  <c r="D96" i="2"/>
  <c r="E95" i="2"/>
  <c r="D95" i="2"/>
  <c r="E94" i="2"/>
  <c r="D94" i="2"/>
  <c r="E93" i="2"/>
  <c r="D93" i="2"/>
  <c r="E92" i="2"/>
  <c r="D92" i="2"/>
  <c r="E91" i="2"/>
  <c r="D91" i="2"/>
  <c r="E90" i="2"/>
  <c r="D90" i="2"/>
  <c r="E89" i="2"/>
  <c r="D89" i="2"/>
  <c r="E88" i="2"/>
  <c r="D88" i="2"/>
  <c r="E87" i="2"/>
  <c r="D87" i="2"/>
  <c r="E86" i="2"/>
  <c r="D86" i="2"/>
  <c r="E85" i="2"/>
  <c r="D85" i="2"/>
  <c r="E84" i="2"/>
  <c r="D84" i="2"/>
  <c r="E83" i="2"/>
  <c r="D83" i="2"/>
  <c r="E82" i="2"/>
  <c r="D82" i="2"/>
  <c r="E81" i="2"/>
  <c r="D81" i="2"/>
  <c r="E80" i="2"/>
  <c r="D80" i="2"/>
  <c r="E79" i="2"/>
  <c r="D79" i="2"/>
  <c r="E78" i="2"/>
  <c r="D78" i="2"/>
  <c r="E77" i="2"/>
  <c r="D77" i="2"/>
  <c r="E76" i="2"/>
  <c r="D76" i="2"/>
  <c r="E75" i="2"/>
  <c r="D75" i="2"/>
  <c r="E74" i="2"/>
  <c r="D74" i="2"/>
  <c r="E73" i="2"/>
  <c r="D73" i="2"/>
  <c r="E72" i="2"/>
  <c r="D72" i="2"/>
  <c r="E71" i="2"/>
  <c r="D71" i="2"/>
  <c r="E70" i="2"/>
  <c r="D70" i="2"/>
  <c r="E69" i="2"/>
  <c r="D69" i="2"/>
  <c r="E68" i="2"/>
  <c r="D68" i="2"/>
  <c r="E67" i="2"/>
  <c r="D67" i="2"/>
  <c r="E66" i="2"/>
  <c r="D66" i="2"/>
  <c r="E65" i="2"/>
  <c r="D65" i="2"/>
  <c r="E64" i="2"/>
  <c r="D64" i="2"/>
  <c r="E63" i="2"/>
  <c r="D63" i="2"/>
  <c r="E62" i="2"/>
  <c r="D62" i="2"/>
  <c r="E61" i="2"/>
  <c r="D61" i="2"/>
  <c r="E60" i="2"/>
  <c r="D60" i="2"/>
  <c r="E59" i="2"/>
  <c r="D59" i="2"/>
  <c r="E58" i="2"/>
  <c r="D58" i="2"/>
  <c r="E57" i="2"/>
  <c r="D57" i="2"/>
  <c r="E56" i="2"/>
  <c r="D56" i="2"/>
  <c r="E55" i="2"/>
  <c r="D55" i="2"/>
  <c r="E54" i="2"/>
  <c r="D54" i="2"/>
  <c r="E53" i="2"/>
  <c r="D53" i="2"/>
  <c r="E52" i="2"/>
  <c r="D52" i="2"/>
  <c r="E51" i="2"/>
  <c r="D51" i="2"/>
  <c r="E50" i="2"/>
  <c r="D50" i="2"/>
  <c r="E49" i="2"/>
  <c r="D49" i="2"/>
  <c r="E48" i="2"/>
  <c r="D48" i="2"/>
  <c r="E47" i="2"/>
  <c r="D47" i="2"/>
  <c r="E46" i="2"/>
  <c r="D46" i="2"/>
  <c r="E45" i="2"/>
  <c r="D45" i="2"/>
  <c r="E44" i="2"/>
  <c r="D44" i="2"/>
  <c r="E43" i="2"/>
  <c r="D43" i="2"/>
  <c r="E42" i="2"/>
  <c r="D42" i="2"/>
  <c r="E41" i="2"/>
  <c r="D41" i="2"/>
  <c r="E40" i="2"/>
  <c r="D40" i="2"/>
  <c r="E39" i="2"/>
  <c r="D39" i="2"/>
  <c r="E38" i="2"/>
  <c r="D38" i="2"/>
  <c r="E37" i="2"/>
  <c r="D37" i="2"/>
  <c r="E36" i="2"/>
  <c r="D36" i="2"/>
  <c r="E35" i="2"/>
  <c r="D35" i="2"/>
  <c r="E34" i="2"/>
  <c r="D34" i="2"/>
  <c r="E33" i="2"/>
  <c r="D33" i="2"/>
  <c r="E32" i="2"/>
  <c r="D32" i="2"/>
  <c r="E31" i="2"/>
  <c r="D31" i="2"/>
  <c r="E30" i="2"/>
  <c r="D30" i="2"/>
  <c r="E29" i="2"/>
  <c r="D29" i="2"/>
  <c r="E28" i="2"/>
  <c r="D28" i="2"/>
  <c r="E27" i="2"/>
  <c r="D27" i="2"/>
  <c r="E26" i="2"/>
  <c r="D26" i="2"/>
  <c r="E25" i="2"/>
  <c r="D25" i="2"/>
  <c r="E24" i="2"/>
  <c r="D24" i="2"/>
  <c r="E23" i="2"/>
  <c r="D23" i="2"/>
  <c r="E22" i="2"/>
  <c r="D22" i="2"/>
  <c r="E21" i="2"/>
  <c r="D21" i="2"/>
  <c r="E20" i="2"/>
  <c r="D20" i="2"/>
  <c r="E19" i="2"/>
  <c r="D19" i="2"/>
  <c r="E18" i="2"/>
  <c r="D18" i="2"/>
  <c r="E17" i="2"/>
  <c r="D17" i="2"/>
  <c r="E16" i="2"/>
  <c r="D16" i="2"/>
  <c r="E15" i="2"/>
  <c r="D15" i="2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G669" i="1"/>
  <c r="F669" i="1"/>
  <c r="E669" i="1"/>
  <c r="D669" i="1"/>
  <c r="G668" i="1"/>
  <c r="F668" i="1"/>
  <c r="E668" i="1"/>
  <c r="D668" i="1"/>
  <c r="G667" i="1"/>
  <c r="F667" i="1"/>
  <c r="E667" i="1"/>
  <c r="D667" i="1"/>
  <c r="G666" i="1"/>
  <c r="F666" i="1"/>
  <c r="E666" i="1"/>
  <c r="D666" i="1"/>
  <c r="G665" i="1"/>
  <c r="F665" i="1"/>
  <c r="E665" i="1"/>
  <c r="D665" i="1"/>
  <c r="G664" i="1"/>
  <c r="F664" i="1"/>
  <c r="E664" i="1"/>
  <c r="D664" i="1"/>
  <c r="G663" i="1"/>
  <c r="F663" i="1"/>
  <c r="E663" i="1"/>
  <c r="D663" i="1"/>
  <c r="G662" i="1"/>
  <c r="F662" i="1"/>
  <c r="E662" i="1"/>
  <c r="D662" i="1"/>
  <c r="G661" i="1"/>
  <c r="F661" i="1"/>
  <c r="E661" i="1"/>
  <c r="D661" i="1"/>
  <c r="G660" i="1"/>
  <c r="F660" i="1"/>
  <c r="E660" i="1"/>
  <c r="D660" i="1"/>
  <c r="G659" i="1"/>
  <c r="F659" i="1"/>
  <c r="E659" i="1"/>
  <c r="D659" i="1"/>
  <c r="G658" i="1"/>
  <c r="F658" i="1"/>
  <c r="E658" i="1"/>
  <c r="D658" i="1"/>
  <c r="G657" i="1"/>
  <c r="F657" i="1"/>
  <c r="E657" i="1"/>
  <c r="D657" i="1"/>
  <c r="G656" i="1"/>
  <c r="F656" i="1"/>
  <c r="E656" i="1"/>
  <c r="D656" i="1"/>
  <c r="G655" i="1"/>
  <c r="F655" i="1"/>
  <c r="E655" i="1"/>
  <c r="D655" i="1"/>
  <c r="G654" i="1"/>
  <c r="F654" i="1"/>
  <c r="E654" i="1"/>
  <c r="D654" i="1"/>
  <c r="G653" i="1"/>
  <c r="F653" i="1"/>
  <c r="E653" i="1"/>
  <c r="D653" i="1"/>
  <c r="G652" i="1"/>
  <c r="F652" i="1"/>
  <c r="E652" i="1"/>
  <c r="D652" i="1"/>
  <c r="G651" i="1"/>
  <c r="F651" i="1"/>
  <c r="E651" i="1"/>
  <c r="D651" i="1"/>
  <c r="G650" i="1"/>
  <c r="F650" i="1"/>
  <c r="E650" i="1"/>
  <c r="D650" i="1"/>
  <c r="G649" i="1"/>
  <c r="F649" i="1"/>
  <c r="E649" i="1"/>
  <c r="D649" i="1"/>
  <c r="G648" i="1"/>
  <c r="F648" i="1"/>
  <c r="E648" i="1"/>
  <c r="D648" i="1"/>
  <c r="G647" i="1"/>
  <c r="F647" i="1"/>
  <c r="E647" i="1"/>
  <c r="D647" i="1"/>
  <c r="G646" i="1"/>
  <c r="F646" i="1"/>
  <c r="E646" i="1"/>
  <c r="D646" i="1"/>
  <c r="G645" i="1"/>
  <c r="F645" i="1"/>
  <c r="E645" i="1"/>
  <c r="D645" i="1"/>
  <c r="G644" i="1"/>
  <c r="F644" i="1"/>
  <c r="E644" i="1"/>
  <c r="D644" i="1"/>
  <c r="G643" i="1"/>
  <c r="F643" i="1"/>
  <c r="E643" i="1"/>
  <c r="D643" i="1"/>
  <c r="G642" i="1"/>
  <c r="F642" i="1"/>
  <c r="E642" i="1"/>
  <c r="D642" i="1"/>
  <c r="G641" i="1"/>
  <c r="F641" i="1"/>
  <c r="E641" i="1"/>
  <c r="D641" i="1"/>
  <c r="G640" i="1"/>
  <c r="F640" i="1"/>
  <c r="E640" i="1"/>
  <c r="D640" i="1"/>
  <c r="G639" i="1"/>
  <c r="F639" i="1"/>
  <c r="E639" i="1"/>
  <c r="D639" i="1"/>
  <c r="G638" i="1"/>
  <c r="F638" i="1"/>
  <c r="E638" i="1"/>
  <c r="D638" i="1"/>
  <c r="G637" i="1"/>
  <c r="F637" i="1"/>
  <c r="E637" i="1"/>
  <c r="D637" i="1"/>
  <c r="G636" i="1"/>
  <c r="F636" i="1"/>
  <c r="E636" i="1"/>
  <c r="D636" i="1"/>
  <c r="G635" i="1"/>
  <c r="F635" i="1"/>
  <c r="E635" i="1"/>
  <c r="D635" i="1"/>
  <c r="G634" i="1"/>
  <c r="F634" i="1"/>
  <c r="E634" i="1"/>
  <c r="D634" i="1"/>
  <c r="G633" i="1"/>
  <c r="F633" i="1"/>
  <c r="E633" i="1"/>
  <c r="D633" i="1"/>
  <c r="G632" i="1"/>
  <c r="F632" i="1"/>
  <c r="E632" i="1"/>
  <c r="D632" i="1"/>
  <c r="G631" i="1"/>
  <c r="F631" i="1"/>
  <c r="E631" i="1"/>
  <c r="D631" i="1"/>
  <c r="G630" i="1"/>
  <c r="F630" i="1"/>
  <c r="E630" i="1"/>
  <c r="D630" i="1"/>
  <c r="G629" i="1"/>
  <c r="F629" i="1"/>
  <c r="E629" i="1"/>
  <c r="D629" i="1"/>
  <c r="G628" i="1"/>
  <c r="F628" i="1"/>
  <c r="E628" i="1"/>
  <c r="D628" i="1"/>
  <c r="G627" i="1"/>
  <c r="F627" i="1"/>
  <c r="E627" i="1"/>
  <c r="D627" i="1"/>
  <c r="G626" i="1"/>
  <c r="F626" i="1"/>
  <c r="E626" i="1"/>
  <c r="D626" i="1"/>
  <c r="G625" i="1"/>
  <c r="F625" i="1"/>
  <c r="E625" i="1"/>
  <c r="D625" i="1"/>
  <c r="G624" i="1"/>
  <c r="F624" i="1"/>
  <c r="E624" i="1"/>
  <c r="D624" i="1"/>
  <c r="G623" i="1"/>
  <c r="F623" i="1"/>
  <c r="E623" i="1"/>
  <c r="D623" i="1"/>
  <c r="G622" i="1"/>
  <c r="F622" i="1"/>
  <c r="E622" i="1"/>
  <c r="D622" i="1"/>
  <c r="G621" i="1"/>
  <c r="F621" i="1"/>
  <c r="E621" i="1"/>
  <c r="D621" i="1"/>
  <c r="G620" i="1"/>
  <c r="F620" i="1"/>
  <c r="E620" i="1"/>
  <c r="D620" i="1"/>
  <c r="G619" i="1"/>
  <c r="F619" i="1"/>
  <c r="E619" i="1"/>
  <c r="D619" i="1"/>
  <c r="G618" i="1"/>
  <c r="F618" i="1"/>
  <c r="E618" i="1"/>
  <c r="D618" i="1"/>
  <c r="G617" i="1"/>
  <c r="F617" i="1"/>
  <c r="E617" i="1"/>
  <c r="D617" i="1"/>
  <c r="G616" i="1"/>
  <c r="F616" i="1"/>
  <c r="E616" i="1"/>
  <c r="D616" i="1"/>
  <c r="G615" i="1"/>
  <c r="F615" i="1"/>
  <c r="E615" i="1"/>
  <c r="D615" i="1"/>
  <c r="G614" i="1"/>
  <c r="F614" i="1"/>
  <c r="E614" i="1"/>
  <c r="D614" i="1"/>
  <c r="G613" i="1"/>
  <c r="F613" i="1"/>
  <c r="E613" i="1"/>
  <c r="D613" i="1"/>
  <c r="G612" i="1"/>
  <c r="F612" i="1"/>
  <c r="E612" i="1"/>
  <c r="D612" i="1"/>
  <c r="G611" i="1"/>
  <c r="F611" i="1"/>
  <c r="E611" i="1"/>
  <c r="D611" i="1"/>
  <c r="G610" i="1"/>
  <c r="F610" i="1"/>
  <c r="E610" i="1"/>
  <c r="D610" i="1"/>
  <c r="G609" i="1"/>
  <c r="F609" i="1"/>
  <c r="E609" i="1"/>
  <c r="D609" i="1"/>
  <c r="G608" i="1"/>
  <c r="F608" i="1"/>
  <c r="E608" i="1"/>
  <c r="D608" i="1"/>
  <c r="G607" i="1"/>
  <c r="F607" i="1"/>
  <c r="E607" i="1"/>
  <c r="D607" i="1"/>
  <c r="G606" i="1"/>
  <c r="F606" i="1"/>
  <c r="E606" i="1"/>
  <c r="D606" i="1"/>
  <c r="G605" i="1"/>
  <c r="F605" i="1"/>
  <c r="E605" i="1"/>
  <c r="D605" i="1"/>
  <c r="G604" i="1"/>
  <c r="F604" i="1"/>
  <c r="E604" i="1"/>
  <c r="D604" i="1"/>
  <c r="G603" i="1"/>
  <c r="F603" i="1"/>
  <c r="E603" i="1"/>
  <c r="D603" i="1"/>
  <c r="G602" i="1"/>
  <c r="F602" i="1"/>
  <c r="E602" i="1"/>
  <c r="D602" i="1"/>
  <c r="G601" i="1"/>
  <c r="F601" i="1"/>
  <c r="E601" i="1"/>
  <c r="D601" i="1"/>
  <c r="G600" i="1"/>
  <c r="F600" i="1"/>
  <c r="E600" i="1"/>
  <c r="D600" i="1"/>
  <c r="G599" i="1"/>
  <c r="F599" i="1"/>
  <c r="E599" i="1"/>
  <c r="D599" i="1"/>
  <c r="G598" i="1"/>
  <c r="F598" i="1"/>
  <c r="E598" i="1"/>
  <c r="D598" i="1"/>
  <c r="G597" i="1"/>
  <c r="F597" i="1"/>
  <c r="E597" i="1"/>
  <c r="D597" i="1"/>
  <c r="G596" i="1"/>
  <c r="F596" i="1"/>
  <c r="E596" i="1"/>
  <c r="D596" i="1"/>
  <c r="G595" i="1"/>
  <c r="F595" i="1"/>
  <c r="E595" i="1"/>
  <c r="D595" i="1"/>
  <c r="G594" i="1"/>
  <c r="F594" i="1"/>
  <c r="E594" i="1"/>
  <c r="D594" i="1"/>
  <c r="G593" i="1"/>
  <c r="F593" i="1"/>
  <c r="E593" i="1"/>
  <c r="D593" i="1"/>
  <c r="G592" i="1"/>
  <c r="F592" i="1"/>
  <c r="E592" i="1"/>
  <c r="D592" i="1"/>
  <c r="G591" i="1"/>
  <c r="F591" i="1"/>
  <c r="E591" i="1"/>
  <c r="D591" i="1"/>
  <c r="G590" i="1"/>
  <c r="F590" i="1"/>
  <c r="E590" i="1"/>
  <c r="D590" i="1"/>
  <c r="G589" i="1"/>
  <c r="F589" i="1"/>
  <c r="E589" i="1"/>
  <c r="D589" i="1"/>
  <c r="G588" i="1"/>
  <c r="F588" i="1"/>
  <c r="E588" i="1"/>
  <c r="D588" i="1"/>
  <c r="G587" i="1"/>
  <c r="F587" i="1"/>
  <c r="E587" i="1"/>
  <c r="D587" i="1"/>
  <c r="G586" i="1"/>
  <c r="F586" i="1"/>
  <c r="E586" i="1"/>
  <c r="D586" i="1"/>
  <c r="G585" i="1"/>
  <c r="F585" i="1"/>
  <c r="E585" i="1"/>
  <c r="D585" i="1"/>
  <c r="G584" i="1"/>
  <c r="F584" i="1"/>
  <c r="E584" i="1"/>
  <c r="D584" i="1"/>
  <c r="G583" i="1"/>
  <c r="F583" i="1"/>
  <c r="E583" i="1"/>
  <c r="D583" i="1"/>
  <c r="G582" i="1"/>
  <c r="F582" i="1"/>
  <c r="E582" i="1"/>
  <c r="D582" i="1"/>
  <c r="G581" i="1"/>
  <c r="F581" i="1"/>
  <c r="E581" i="1"/>
  <c r="D581" i="1"/>
  <c r="G580" i="1"/>
  <c r="F580" i="1"/>
  <c r="E580" i="1"/>
  <c r="D580" i="1"/>
  <c r="G579" i="1"/>
  <c r="F579" i="1"/>
  <c r="E579" i="1"/>
  <c r="D579" i="1"/>
  <c r="G578" i="1"/>
  <c r="F578" i="1"/>
  <c r="E578" i="1"/>
  <c r="D578" i="1"/>
  <c r="G577" i="1"/>
  <c r="F577" i="1"/>
  <c r="E577" i="1"/>
  <c r="D577" i="1"/>
  <c r="G576" i="1"/>
  <c r="F576" i="1"/>
  <c r="E576" i="1"/>
  <c r="D576" i="1"/>
  <c r="G575" i="1"/>
  <c r="F575" i="1"/>
  <c r="E575" i="1"/>
  <c r="D575" i="1"/>
  <c r="G574" i="1"/>
  <c r="F574" i="1"/>
  <c r="E574" i="1"/>
  <c r="D574" i="1"/>
  <c r="G573" i="1"/>
  <c r="F573" i="1"/>
  <c r="E573" i="1"/>
  <c r="D573" i="1"/>
  <c r="G572" i="1"/>
  <c r="F572" i="1"/>
  <c r="E572" i="1"/>
  <c r="D572" i="1"/>
  <c r="G571" i="1"/>
  <c r="F571" i="1"/>
  <c r="E571" i="1"/>
  <c r="D571" i="1"/>
  <c r="G570" i="1"/>
  <c r="F570" i="1"/>
  <c r="E570" i="1"/>
  <c r="D570" i="1"/>
  <c r="G569" i="1"/>
  <c r="F569" i="1"/>
  <c r="E569" i="1"/>
  <c r="D569" i="1"/>
  <c r="G568" i="1"/>
  <c r="F568" i="1"/>
  <c r="E568" i="1"/>
  <c r="D568" i="1"/>
  <c r="G567" i="1"/>
  <c r="F567" i="1"/>
  <c r="E567" i="1"/>
  <c r="D567" i="1"/>
  <c r="G566" i="1"/>
  <c r="F566" i="1"/>
  <c r="E566" i="1"/>
  <c r="D566" i="1"/>
  <c r="G565" i="1"/>
  <c r="F565" i="1"/>
  <c r="E565" i="1"/>
  <c r="D565" i="1"/>
  <c r="G564" i="1"/>
  <c r="F564" i="1"/>
  <c r="E564" i="1"/>
  <c r="D564" i="1"/>
  <c r="G563" i="1"/>
  <c r="F563" i="1"/>
  <c r="E563" i="1"/>
  <c r="D563" i="1"/>
  <c r="G562" i="1"/>
  <c r="F562" i="1"/>
  <c r="E562" i="1"/>
  <c r="D562" i="1"/>
  <c r="G561" i="1"/>
  <c r="F561" i="1"/>
  <c r="E561" i="1"/>
  <c r="D561" i="1"/>
  <c r="G560" i="1"/>
  <c r="F560" i="1"/>
  <c r="E560" i="1"/>
  <c r="D560" i="1"/>
  <c r="G559" i="1"/>
  <c r="F559" i="1"/>
  <c r="E559" i="1"/>
  <c r="D559" i="1"/>
  <c r="G558" i="1"/>
  <c r="F558" i="1"/>
  <c r="E558" i="1"/>
  <c r="D558" i="1"/>
  <c r="G557" i="1"/>
  <c r="F557" i="1"/>
  <c r="E557" i="1"/>
  <c r="D557" i="1"/>
  <c r="G556" i="1"/>
  <c r="F556" i="1"/>
  <c r="E556" i="1"/>
  <c r="D556" i="1"/>
  <c r="G555" i="1"/>
  <c r="F555" i="1"/>
  <c r="E555" i="1"/>
  <c r="D555" i="1"/>
  <c r="G554" i="1"/>
  <c r="F554" i="1"/>
  <c r="E554" i="1"/>
  <c r="D554" i="1"/>
  <c r="G553" i="1"/>
  <c r="F553" i="1"/>
  <c r="E553" i="1"/>
  <c r="D553" i="1"/>
  <c r="G552" i="1"/>
  <c r="F552" i="1"/>
  <c r="E552" i="1"/>
  <c r="D552" i="1"/>
  <c r="G551" i="1"/>
  <c r="F551" i="1"/>
  <c r="E551" i="1"/>
  <c r="D551" i="1"/>
  <c r="G550" i="1"/>
  <c r="F550" i="1"/>
  <c r="E550" i="1"/>
  <c r="D550" i="1"/>
  <c r="G549" i="1"/>
  <c r="F549" i="1"/>
  <c r="E549" i="1"/>
  <c r="D549" i="1"/>
  <c r="G548" i="1"/>
  <c r="F548" i="1"/>
  <c r="E548" i="1"/>
  <c r="D548" i="1"/>
  <c r="G547" i="1"/>
  <c r="F547" i="1"/>
  <c r="E547" i="1"/>
  <c r="D547" i="1"/>
  <c r="G546" i="1"/>
  <c r="F546" i="1"/>
  <c r="E546" i="1"/>
  <c r="D546" i="1"/>
  <c r="G545" i="1"/>
  <c r="F545" i="1"/>
  <c r="E545" i="1"/>
  <c r="D545" i="1"/>
  <c r="G544" i="1"/>
  <c r="F544" i="1"/>
  <c r="E544" i="1"/>
  <c r="D544" i="1"/>
  <c r="G543" i="1"/>
  <c r="F543" i="1"/>
  <c r="E543" i="1"/>
  <c r="D543" i="1"/>
  <c r="G542" i="1"/>
  <c r="F542" i="1"/>
  <c r="E542" i="1"/>
  <c r="D542" i="1"/>
  <c r="G541" i="1"/>
  <c r="F541" i="1"/>
  <c r="E541" i="1"/>
  <c r="D541" i="1"/>
  <c r="G540" i="1"/>
  <c r="F540" i="1"/>
  <c r="E540" i="1"/>
  <c r="D540" i="1"/>
  <c r="G539" i="1"/>
  <c r="F539" i="1"/>
  <c r="E539" i="1"/>
  <c r="D539" i="1"/>
  <c r="G538" i="1"/>
  <c r="F538" i="1"/>
  <c r="E538" i="1"/>
  <c r="D538" i="1"/>
  <c r="G537" i="1"/>
  <c r="F537" i="1"/>
  <c r="E537" i="1"/>
  <c r="D537" i="1"/>
  <c r="G536" i="1"/>
  <c r="F536" i="1"/>
  <c r="E536" i="1"/>
  <c r="D536" i="1"/>
  <c r="G535" i="1"/>
  <c r="F535" i="1"/>
  <c r="E535" i="1"/>
  <c r="D535" i="1"/>
  <c r="G534" i="1"/>
  <c r="F534" i="1"/>
  <c r="E534" i="1"/>
  <c r="D534" i="1"/>
  <c r="G533" i="1"/>
  <c r="F533" i="1"/>
  <c r="E533" i="1"/>
  <c r="D533" i="1"/>
  <c r="G532" i="1"/>
  <c r="F532" i="1"/>
  <c r="E532" i="1"/>
  <c r="D532" i="1"/>
  <c r="G531" i="1"/>
  <c r="F531" i="1"/>
  <c r="E531" i="1"/>
  <c r="D531" i="1"/>
  <c r="G530" i="1"/>
  <c r="F530" i="1"/>
  <c r="E530" i="1"/>
  <c r="D530" i="1"/>
  <c r="G529" i="1"/>
  <c r="F529" i="1"/>
  <c r="E529" i="1"/>
  <c r="D529" i="1"/>
  <c r="G528" i="1"/>
  <c r="F528" i="1"/>
  <c r="E528" i="1"/>
  <c r="D528" i="1"/>
  <c r="G527" i="1"/>
  <c r="F527" i="1"/>
  <c r="E527" i="1"/>
  <c r="D527" i="1"/>
  <c r="G526" i="1"/>
  <c r="F526" i="1"/>
  <c r="E526" i="1"/>
  <c r="D526" i="1"/>
  <c r="G525" i="1"/>
  <c r="F525" i="1"/>
  <c r="E525" i="1"/>
  <c r="D525" i="1"/>
  <c r="G524" i="1"/>
  <c r="F524" i="1"/>
  <c r="E524" i="1"/>
  <c r="D524" i="1"/>
  <c r="G523" i="1"/>
  <c r="F523" i="1"/>
  <c r="E523" i="1"/>
  <c r="D523" i="1"/>
  <c r="G522" i="1"/>
  <c r="F522" i="1"/>
  <c r="E522" i="1"/>
  <c r="D522" i="1"/>
  <c r="G521" i="1"/>
  <c r="F521" i="1"/>
  <c r="E521" i="1"/>
  <c r="D521" i="1"/>
  <c r="G520" i="1"/>
  <c r="F520" i="1"/>
  <c r="E520" i="1"/>
  <c r="D520" i="1"/>
  <c r="G519" i="1"/>
  <c r="F519" i="1"/>
  <c r="E519" i="1"/>
  <c r="D519" i="1"/>
  <c r="G518" i="1"/>
  <c r="F518" i="1"/>
  <c r="E518" i="1"/>
  <c r="D518" i="1"/>
  <c r="G517" i="1"/>
  <c r="F517" i="1"/>
  <c r="E517" i="1"/>
  <c r="D517" i="1"/>
  <c r="G516" i="1"/>
  <c r="F516" i="1"/>
  <c r="E516" i="1"/>
  <c r="D516" i="1"/>
  <c r="G515" i="1"/>
  <c r="F515" i="1"/>
  <c r="E515" i="1"/>
  <c r="D515" i="1"/>
  <c r="G514" i="1"/>
  <c r="F514" i="1"/>
  <c r="E514" i="1"/>
  <c r="D514" i="1"/>
  <c r="G513" i="1"/>
  <c r="F513" i="1"/>
  <c r="E513" i="1"/>
  <c r="D513" i="1"/>
  <c r="G512" i="1"/>
  <c r="F512" i="1"/>
  <c r="E512" i="1"/>
  <c r="D512" i="1"/>
  <c r="G511" i="1"/>
  <c r="F511" i="1"/>
  <c r="E511" i="1"/>
  <c r="D511" i="1"/>
  <c r="G510" i="1"/>
  <c r="F510" i="1"/>
  <c r="E510" i="1"/>
  <c r="D510" i="1"/>
  <c r="G509" i="1"/>
  <c r="F509" i="1"/>
  <c r="E509" i="1"/>
  <c r="D509" i="1"/>
  <c r="G508" i="1"/>
  <c r="F508" i="1"/>
  <c r="E508" i="1"/>
  <c r="D508" i="1"/>
  <c r="G507" i="1"/>
  <c r="F507" i="1"/>
  <c r="E507" i="1"/>
  <c r="D507" i="1"/>
  <c r="G506" i="1"/>
  <c r="F506" i="1"/>
  <c r="E506" i="1"/>
  <c r="D506" i="1"/>
  <c r="G505" i="1"/>
  <c r="F505" i="1"/>
  <c r="E505" i="1"/>
  <c r="D505" i="1"/>
  <c r="G504" i="1"/>
  <c r="F504" i="1"/>
  <c r="E504" i="1"/>
  <c r="D504" i="1"/>
  <c r="G503" i="1"/>
  <c r="F503" i="1"/>
  <c r="E503" i="1"/>
  <c r="D503" i="1"/>
  <c r="G502" i="1"/>
  <c r="F502" i="1"/>
  <c r="E502" i="1"/>
  <c r="D502" i="1"/>
  <c r="G501" i="1"/>
  <c r="F501" i="1"/>
  <c r="E501" i="1"/>
  <c r="D501" i="1"/>
  <c r="G500" i="1"/>
  <c r="F500" i="1"/>
  <c r="E500" i="1"/>
  <c r="D500" i="1"/>
  <c r="G499" i="1"/>
  <c r="F499" i="1"/>
  <c r="E499" i="1"/>
  <c r="D499" i="1"/>
  <c r="G498" i="1"/>
  <c r="F498" i="1"/>
  <c r="E498" i="1"/>
  <c r="D498" i="1"/>
  <c r="G497" i="1"/>
  <c r="F497" i="1"/>
  <c r="E497" i="1"/>
  <c r="D497" i="1"/>
  <c r="G496" i="1"/>
  <c r="F496" i="1"/>
  <c r="E496" i="1"/>
  <c r="D496" i="1"/>
  <c r="G495" i="1"/>
  <c r="F495" i="1"/>
  <c r="E495" i="1"/>
  <c r="D495" i="1"/>
  <c r="G494" i="1"/>
  <c r="F494" i="1"/>
  <c r="E494" i="1"/>
  <c r="D494" i="1"/>
  <c r="G493" i="1"/>
  <c r="F493" i="1"/>
  <c r="E493" i="1"/>
  <c r="D493" i="1"/>
  <c r="G492" i="1"/>
  <c r="F492" i="1"/>
  <c r="E492" i="1"/>
  <c r="D492" i="1"/>
  <c r="G491" i="1"/>
  <c r="F491" i="1"/>
  <c r="E491" i="1"/>
  <c r="D491" i="1"/>
  <c r="G490" i="1"/>
  <c r="F490" i="1"/>
  <c r="E490" i="1"/>
  <c r="D490" i="1"/>
  <c r="G489" i="1"/>
  <c r="F489" i="1"/>
  <c r="E489" i="1"/>
  <c r="D489" i="1"/>
  <c r="G488" i="1"/>
  <c r="F488" i="1"/>
  <c r="E488" i="1"/>
  <c r="D488" i="1"/>
  <c r="G487" i="1"/>
  <c r="F487" i="1"/>
  <c r="E487" i="1"/>
  <c r="D487" i="1"/>
  <c r="G486" i="1"/>
  <c r="F486" i="1"/>
  <c r="E486" i="1"/>
  <c r="D486" i="1"/>
  <c r="G485" i="1"/>
  <c r="F485" i="1"/>
  <c r="E485" i="1"/>
  <c r="D485" i="1"/>
  <c r="G484" i="1"/>
  <c r="F484" i="1"/>
  <c r="E484" i="1"/>
  <c r="D484" i="1"/>
  <c r="G483" i="1"/>
  <c r="F483" i="1"/>
  <c r="E483" i="1"/>
  <c r="D483" i="1"/>
  <c r="G482" i="1"/>
  <c r="F482" i="1"/>
  <c r="E482" i="1"/>
  <c r="D482" i="1"/>
  <c r="G481" i="1"/>
  <c r="F481" i="1"/>
  <c r="E481" i="1"/>
  <c r="D481" i="1"/>
  <c r="G480" i="1"/>
  <c r="F480" i="1"/>
  <c r="E480" i="1"/>
  <c r="D480" i="1"/>
  <c r="G479" i="1"/>
  <c r="F479" i="1"/>
  <c r="E479" i="1"/>
  <c r="D479" i="1"/>
  <c r="G478" i="1"/>
  <c r="F478" i="1"/>
  <c r="E478" i="1"/>
  <c r="D478" i="1"/>
  <c r="G477" i="1"/>
  <c r="F477" i="1"/>
  <c r="E477" i="1"/>
  <c r="D477" i="1"/>
  <c r="G476" i="1"/>
  <c r="F476" i="1"/>
  <c r="E476" i="1"/>
  <c r="D476" i="1"/>
  <c r="G475" i="1"/>
  <c r="F475" i="1"/>
  <c r="E475" i="1"/>
  <c r="D475" i="1"/>
  <c r="G474" i="1"/>
  <c r="F474" i="1"/>
  <c r="E474" i="1"/>
  <c r="D474" i="1"/>
  <c r="G473" i="1"/>
  <c r="F473" i="1"/>
  <c r="E473" i="1"/>
  <c r="D473" i="1"/>
  <c r="G472" i="1"/>
  <c r="F472" i="1"/>
  <c r="E472" i="1"/>
  <c r="D472" i="1"/>
  <c r="G471" i="1"/>
  <c r="F471" i="1"/>
  <c r="E471" i="1"/>
  <c r="D471" i="1"/>
  <c r="G470" i="1"/>
  <c r="F470" i="1"/>
  <c r="E470" i="1"/>
  <c r="D470" i="1"/>
  <c r="G469" i="1"/>
  <c r="F469" i="1"/>
  <c r="E469" i="1"/>
  <c r="D469" i="1"/>
  <c r="G468" i="1"/>
  <c r="F468" i="1"/>
  <c r="E468" i="1"/>
  <c r="D468" i="1"/>
  <c r="G467" i="1"/>
  <c r="F467" i="1"/>
  <c r="E467" i="1"/>
  <c r="D467" i="1"/>
  <c r="G466" i="1"/>
  <c r="F466" i="1"/>
  <c r="E466" i="1"/>
  <c r="D466" i="1"/>
  <c r="G465" i="1"/>
  <c r="F465" i="1"/>
  <c r="E465" i="1"/>
  <c r="D465" i="1"/>
  <c r="G464" i="1"/>
  <c r="F464" i="1"/>
  <c r="E464" i="1"/>
  <c r="D464" i="1"/>
  <c r="G463" i="1"/>
  <c r="F463" i="1"/>
  <c r="E463" i="1"/>
  <c r="D463" i="1"/>
  <c r="G462" i="1"/>
  <c r="F462" i="1"/>
  <c r="E462" i="1"/>
  <c r="D462" i="1"/>
  <c r="G461" i="1"/>
  <c r="F461" i="1"/>
  <c r="E461" i="1"/>
  <c r="D461" i="1"/>
  <c r="G460" i="1"/>
  <c r="F460" i="1"/>
  <c r="E460" i="1"/>
  <c r="D460" i="1"/>
  <c r="G459" i="1"/>
  <c r="F459" i="1"/>
  <c r="E459" i="1"/>
  <c r="D459" i="1"/>
  <c r="G458" i="1"/>
  <c r="F458" i="1"/>
  <c r="E458" i="1"/>
  <c r="D458" i="1"/>
  <c r="G457" i="1"/>
  <c r="F457" i="1"/>
  <c r="E457" i="1"/>
  <c r="D457" i="1"/>
  <c r="G456" i="1"/>
  <c r="F456" i="1"/>
  <c r="E456" i="1"/>
  <c r="D456" i="1"/>
  <c r="G455" i="1"/>
  <c r="F455" i="1"/>
  <c r="E455" i="1"/>
  <c r="D455" i="1"/>
  <c r="G454" i="1"/>
  <c r="F454" i="1"/>
  <c r="E454" i="1"/>
  <c r="D454" i="1"/>
  <c r="G453" i="1"/>
  <c r="F453" i="1"/>
  <c r="E453" i="1"/>
  <c r="D453" i="1"/>
  <c r="G452" i="1"/>
  <c r="F452" i="1"/>
  <c r="E452" i="1"/>
  <c r="D452" i="1"/>
  <c r="G451" i="1"/>
  <c r="F451" i="1"/>
  <c r="E451" i="1"/>
  <c r="D451" i="1"/>
  <c r="G450" i="1"/>
  <c r="F450" i="1"/>
  <c r="E450" i="1"/>
  <c r="D450" i="1"/>
  <c r="G449" i="1"/>
  <c r="F449" i="1"/>
  <c r="E449" i="1"/>
  <c r="D449" i="1"/>
  <c r="G448" i="1"/>
  <c r="F448" i="1"/>
  <c r="E448" i="1"/>
  <c r="D448" i="1"/>
  <c r="G447" i="1"/>
  <c r="F447" i="1"/>
  <c r="E447" i="1"/>
  <c r="D447" i="1"/>
  <c r="G446" i="1"/>
  <c r="F446" i="1"/>
  <c r="E446" i="1"/>
  <c r="D446" i="1"/>
  <c r="G445" i="1"/>
  <c r="F445" i="1"/>
  <c r="E445" i="1"/>
  <c r="D445" i="1"/>
  <c r="G444" i="1"/>
  <c r="F444" i="1"/>
  <c r="E444" i="1"/>
  <c r="D444" i="1"/>
  <c r="G443" i="1"/>
  <c r="F443" i="1"/>
  <c r="E443" i="1"/>
  <c r="D443" i="1"/>
  <c r="G442" i="1"/>
  <c r="F442" i="1"/>
  <c r="E442" i="1"/>
  <c r="D442" i="1"/>
  <c r="G441" i="1"/>
  <c r="F441" i="1"/>
  <c r="E441" i="1"/>
  <c r="D441" i="1"/>
  <c r="G440" i="1"/>
  <c r="F440" i="1"/>
  <c r="E440" i="1"/>
  <c r="D440" i="1"/>
  <c r="G439" i="1"/>
  <c r="F439" i="1"/>
  <c r="E439" i="1"/>
  <c r="D439" i="1"/>
  <c r="G438" i="1"/>
  <c r="F438" i="1"/>
  <c r="E438" i="1"/>
  <c r="D438" i="1"/>
  <c r="G437" i="1"/>
  <c r="F437" i="1"/>
  <c r="E437" i="1"/>
  <c r="D437" i="1"/>
  <c r="G436" i="1"/>
  <c r="F436" i="1"/>
  <c r="E436" i="1"/>
  <c r="D436" i="1"/>
  <c r="G435" i="1"/>
  <c r="F435" i="1"/>
  <c r="E435" i="1"/>
  <c r="D435" i="1"/>
  <c r="G434" i="1"/>
  <c r="F434" i="1"/>
  <c r="E434" i="1"/>
  <c r="D434" i="1"/>
  <c r="G433" i="1"/>
  <c r="F433" i="1"/>
  <c r="E433" i="1"/>
  <c r="D433" i="1"/>
  <c r="G432" i="1"/>
  <c r="F432" i="1"/>
  <c r="E432" i="1"/>
  <c r="D432" i="1"/>
  <c r="G431" i="1"/>
  <c r="F431" i="1"/>
  <c r="E431" i="1"/>
  <c r="D431" i="1"/>
  <c r="G430" i="1"/>
  <c r="F430" i="1"/>
  <c r="E430" i="1"/>
  <c r="D430" i="1"/>
  <c r="G429" i="1"/>
  <c r="F429" i="1"/>
  <c r="E429" i="1"/>
  <c r="D429" i="1"/>
  <c r="G428" i="1"/>
  <c r="F428" i="1"/>
  <c r="E428" i="1"/>
  <c r="D428" i="1"/>
  <c r="G427" i="1"/>
  <c r="F427" i="1"/>
  <c r="E427" i="1"/>
  <c r="D427" i="1"/>
  <c r="G426" i="1"/>
  <c r="F426" i="1"/>
  <c r="E426" i="1"/>
  <c r="D426" i="1"/>
  <c r="G425" i="1"/>
  <c r="F425" i="1"/>
  <c r="E425" i="1"/>
  <c r="D425" i="1"/>
  <c r="G424" i="1"/>
  <c r="F424" i="1"/>
  <c r="E424" i="1"/>
  <c r="D424" i="1"/>
  <c r="G423" i="1"/>
  <c r="F423" i="1"/>
  <c r="E423" i="1"/>
  <c r="D423" i="1"/>
  <c r="G422" i="1"/>
  <c r="F422" i="1"/>
  <c r="E422" i="1"/>
  <c r="D422" i="1"/>
  <c r="G421" i="1"/>
  <c r="F421" i="1"/>
  <c r="E421" i="1"/>
  <c r="D421" i="1"/>
  <c r="G420" i="1"/>
  <c r="F420" i="1"/>
  <c r="E420" i="1"/>
  <c r="D420" i="1"/>
  <c r="G419" i="1"/>
  <c r="F419" i="1"/>
  <c r="E419" i="1"/>
  <c r="D419" i="1"/>
  <c r="G418" i="1"/>
  <c r="F418" i="1"/>
  <c r="E418" i="1"/>
  <c r="D418" i="1"/>
  <c r="G417" i="1"/>
  <c r="F417" i="1"/>
  <c r="E417" i="1"/>
  <c r="D417" i="1"/>
  <c r="G416" i="1"/>
  <c r="F416" i="1"/>
  <c r="E416" i="1"/>
  <c r="D416" i="1"/>
  <c r="G415" i="1"/>
  <c r="F415" i="1"/>
  <c r="E415" i="1"/>
  <c r="D415" i="1"/>
  <c r="G414" i="1"/>
  <c r="F414" i="1"/>
  <c r="E414" i="1"/>
  <c r="D414" i="1"/>
  <c r="G413" i="1"/>
  <c r="F413" i="1"/>
  <c r="E413" i="1"/>
  <c r="D413" i="1"/>
  <c r="G412" i="1"/>
  <c r="F412" i="1"/>
  <c r="E412" i="1"/>
  <c r="D412" i="1"/>
  <c r="G411" i="1"/>
  <c r="F411" i="1"/>
  <c r="E411" i="1"/>
  <c r="D411" i="1"/>
  <c r="G410" i="1"/>
  <c r="F410" i="1"/>
  <c r="E410" i="1"/>
  <c r="D410" i="1"/>
  <c r="G409" i="1"/>
  <c r="F409" i="1"/>
  <c r="E409" i="1"/>
  <c r="D409" i="1"/>
  <c r="G408" i="1"/>
  <c r="F408" i="1"/>
  <c r="E408" i="1"/>
  <c r="D408" i="1"/>
  <c r="G407" i="1"/>
  <c r="F407" i="1"/>
  <c r="E407" i="1"/>
  <c r="D407" i="1"/>
  <c r="G406" i="1"/>
  <c r="F406" i="1"/>
  <c r="E406" i="1"/>
  <c r="D406" i="1"/>
  <c r="G405" i="1"/>
  <c r="F405" i="1"/>
  <c r="E405" i="1"/>
  <c r="D405" i="1"/>
  <c r="G404" i="1"/>
  <c r="F404" i="1"/>
  <c r="E404" i="1"/>
  <c r="D404" i="1"/>
  <c r="G403" i="1"/>
  <c r="F403" i="1"/>
  <c r="E403" i="1"/>
  <c r="D403" i="1"/>
  <c r="G402" i="1"/>
  <c r="F402" i="1"/>
  <c r="E402" i="1"/>
  <c r="D402" i="1"/>
  <c r="G401" i="1"/>
  <c r="F401" i="1"/>
  <c r="E401" i="1"/>
  <c r="D401" i="1"/>
  <c r="G400" i="1"/>
  <c r="F400" i="1"/>
  <c r="E400" i="1"/>
  <c r="D400" i="1"/>
  <c r="G399" i="1"/>
  <c r="F399" i="1"/>
  <c r="E399" i="1"/>
  <c r="D399" i="1"/>
  <c r="G398" i="1"/>
  <c r="F398" i="1"/>
  <c r="E398" i="1"/>
  <c r="D398" i="1"/>
  <c r="G397" i="1"/>
  <c r="F397" i="1"/>
  <c r="E397" i="1"/>
  <c r="D397" i="1"/>
  <c r="G396" i="1"/>
  <c r="F396" i="1"/>
  <c r="E396" i="1"/>
  <c r="D396" i="1"/>
  <c r="G395" i="1"/>
  <c r="F395" i="1"/>
  <c r="E395" i="1"/>
  <c r="D395" i="1"/>
  <c r="G394" i="1"/>
  <c r="F394" i="1"/>
  <c r="E394" i="1"/>
  <c r="D394" i="1"/>
  <c r="G393" i="1"/>
  <c r="F393" i="1"/>
  <c r="E393" i="1"/>
  <c r="D393" i="1"/>
  <c r="G392" i="1"/>
  <c r="F392" i="1"/>
  <c r="E392" i="1"/>
  <c r="D392" i="1"/>
  <c r="G391" i="1"/>
  <c r="F391" i="1"/>
  <c r="E391" i="1"/>
  <c r="D391" i="1"/>
  <c r="G390" i="1"/>
  <c r="F390" i="1"/>
  <c r="E390" i="1"/>
  <c r="D390" i="1"/>
  <c r="G389" i="1"/>
  <c r="F389" i="1"/>
  <c r="E389" i="1"/>
  <c r="D389" i="1"/>
  <c r="G388" i="1"/>
  <c r="F388" i="1"/>
  <c r="E388" i="1"/>
  <c r="D388" i="1"/>
  <c r="G387" i="1"/>
  <c r="F387" i="1"/>
  <c r="E387" i="1"/>
  <c r="D387" i="1"/>
  <c r="G386" i="1"/>
  <c r="F386" i="1"/>
  <c r="E386" i="1"/>
  <c r="D386" i="1"/>
  <c r="G385" i="1"/>
  <c r="F385" i="1"/>
  <c r="E385" i="1"/>
  <c r="D385" i="1"/>
  <c r="G384" i="1"/>
  <c r="F384" i="1"/>
  <c r="E384" i="1"/>
  <c r="D384" i="1"/>
  <c r="G383" i="1"/>
  <c r="F383" i="1"/>
  <c r="E383" i="1"/>
  <c r="D383" i="1"/>
  <c r="G382" i="1"/>
  <c r="F382" i="1"/>
  <c r="E382" i="1"/>
  <c r="D382" i="1"/>
  <c r="G381" i="1"/>
  <c r="F381" i="1"/>
  <c r="E381" i="1"/>
  <c r="D381" i="1"/>
  <c r="G380" i="1"/>
  <c r="F380" i="1"/>
  <c r="E380" i="1"/>
  <c r="D380" i="1"/>
  <c r="G379" i="1"/>
  <c r="F379" i="1"/>
  <c r="E379" i="1"/>
  <c r="D379" i="1"/>
  <c r="G378" i="1"/>
  <c r="F378" i="1"/>
  <c r="E378" i="1"/>
  <c r="D378" i="1"/>
  <c r="G377" i="1"/>
  <c r="F377" i="1"/>
  <c r="E377" i="1"/>
  <c r="D377" i="1"/>
  <c r="G376" i="1"/>
  <c r="F376" i="1"/>
  <c r="E376" i="1"/>
  <c r="D376" i="1"/>
  <c r="G375" i="1"/>
  <c r="F375" i="1"/>
  <c r="E375" i="1"/>
  <c r="D375" i="1"/>
  <c r="G374" i="1"/>
  <c r="F374" i="1"/>
  <c r="E374" i="1"/>
  <c r="D374" i="1"/>
  <c r="G373" i="1"/>
  <c r="F373" i="1"/>
  <c r="E373" i="1"/>
  <c r="D373" i="1"/>
  <c r="G372" i="1"/>
  <c r="F372" i="1"/>
  <c r="E372" i="1"/>
  <c r="D372" i="1"/>
  <c r="G371" i="1"/>
  <c r="F371" i="1"/>
  <c r="E371" i="1"/>
  <c r="D371" i="1"/>
  <c r="G370" i="1"/>
  <c r="F370" i="1"/>
  <c r="E370" i="1"/>
  <c r="D370" i="1"/>
  <c r="G369" i="1"/>
  <c r="F369" i="1"/>
  <c r="E369" i="1"/>
  <c r="D369" i="1"/>
  <c r="G368" i="1"/>
  <c r="F368" i="1"/>
  <c r="E368" i="1"/>
  <c r="D368" i="1"/>
  <c r="G367" i="1"/>
  <c r="F367" i="1"/>
  <c r="E367" i="1"/>
  <c r="D367" i="1"/>
  <c r="G366" i="1"/>
  <c r="F366" i="1"/>
  <c r="E366" i="1"/>
  <c r="D366" i="1"/>
  <c r="G365" i="1"/>
  <c r="F365" i="1"/>
  <c r="E365" i="1"/>
  <c r="D365" i="1"/>
  <c r="G364" i="1"/>
  <c r="F364" i="1"/>
  <c r="E364" i="1"/>
  <c r="D364" i="1"/>
  <c r="G363" i="1"/>
  <c r="F363" i="1"/>
  <c r="E363" i="1"/>
  <c r="D363" i="1"/>
  <c r="G362" i="1"/>
  <c r="F362" i="1"/>
  <c r="E362" i="1"/>
  <c r="D362" i="1"/>
  <c r="G361" i="1"/>
  <c r="F361" i="1"/>
  <c r="E361" i="1"/>
  <c r="D361" i="1"/>
  <c r="G360" i="1"/>
  <c r="F360" i="1"/>
  <c r="E360" i="1"/>
  <c r="D360" i="1"/>
  <c r="G359" i="1"/>
  <c r="F359" i="1"/>
  <c r="E359" i="1"/>
  <c r="D359" i="1"/>
  <c r="G358" i="1"/>
  <c r="F358" i="1"/>
  <c r="E358" i="1"/>
  <c r="D358" i="1"/>
  <c r="G357" i="1"/>
  <c r="F357" i="1"/>
  <c r="E357" i="1"/>
  <c r="D357" i="1"/>
  <c r="G356" i="1"/>
  <c r="F356" i="1"/>
  <c r="E356" i="1"/>
  <c r="D356" i="1"/>
  <c r="G355" i="1"/>
  <c r="F355" i="1"/>
  <c r="E355" i="1"/>
  <c r="D355" i="1"/>
  <c r="G354" i="1"/>
  <c r="F354" i="1"/>
  <c r="E354" i="1"/>
  <c r="D354" i="1"/>
  <c r="G353" i="1"/>
  <c r="F353" i="1"/>
  <c r="E353" i="1"/>
  <c r="D353" i="1"/>
  <c r="G352" i="1"/>
  <c r="F352" i="1"/>
  <c r="E352" i="1"/>
  <c r="D352" i="1"/>
  <c r="G351" i="1"/>
  <c r="F351" i="1"/>
  <c r="E351" i="1"/>
  <c r="D351" i="1"/>
  <c r="G350" i="1"/>
  <c r="F350" i="1"/>
  <c r="E350" i="1"/>
  <c r="D350" i="1"/>
  <c r="G349" i="1"/>
  <c r="F349" i="1"/>
  <c r="E349" i="1"/>
  <c r="D349" i="1"/>
  <c r="G348" i="1"/>
  <c r="F348" i="1"/>
  <c r="E348" i="1"/>
  <c r="D348" i="1"/>
  <c r="G347" i="1"/>
  <c r="F347" i="1"/>
  <c r="E347" i="1"/>
  <c r="D347" i="1"/>
  <c r="G346" i="1"/>
  <c r="F346" i="1"/>
  <c r="E346" i="1"/>
  <c r="D346" i="1"/>
  <c r="G345" i="1"/>
  <c r="F345" i="1"/>
  <c r="E345" i="1"/>
  <c r="D345" i="1"/>
  <c r="G344" i="1"/>
  <c r="F344" i="1"/>
  <c r="E344" i="1"/>
  <c r="D344" i="1"/>
  <c r="G343" i="1"/>
  <c r="F343" i="1"/>
  <c r="E343" i="1"/>
  <c r="D343" i="1"/>
  <c r="G342" i="1"/>
  <c r="F342" i="1"/>
  <c r="E342" i="1"/>
  <c r="D342" i="1"/>
  <c r="G341" i="1"/>
  <c r="F341" i="1"/>
  <c r="E341" i="1"/>
  <c r="D341" i="1"/>
  <c r="G340" i="1"/>
  <c r="F340" i="1"/>
  <c r="E340" i="1"/>
  <c r="D340" i="1"/>
  <c r="G339" i="1"/>
  <c r="F339" i="1"/>
  <c r="E339" i="1"/>
  <c r="D339" i="1"/>
  <c r="G338" i="1"/>
  <c r="F338" i="1"/>
  <c r="E338" i="1"/>
  <c r="D338" i="1"/>
  <c r="G337" i="1"/>
  <c r="F337" i="1"/>
  <c r="E337" i="1"/>
  <c r="D337" i="1"/>
  <c r="G336" i="1"/>
  <c r="F336" i="1"/>
  <c r="E336" i="1"/>
  <c r="D336" i="1"/>
  <c r="G335" i="1"/>
  <c r="F335" i="1"/>
  <c r="E335" i="1"/>
  <c r="D335" i="1"/>
  <c r="G334" i="1"/>
  <c r="F334" i="1"/>
  <c r="E334" i="1"/>
  <c r="D334" i="1"/>
  <c r="G333" i="1"/>
  <c r="F333" i="1"/>
  <c r="E333" i="1"/>
  <c r="D333" i="1"/>
  <c r="G332" i="1"/>
  <c r="F332" i="1"/>
  <c r="E332" i="1"/>
  <c r="D332" i="1"/>
  <c r="G331" i="1"/>
  <c r="F331" i="1"/>
  <c r="E331" i="1"/>
  <c r="D331" i="1"/>
  <c r="G330" i="1"/>
  <c r="F330" i="1"/>
  <c r="E330" i="1"/>
  <c r="D330" i="1"/>
  <c r="G329" i="1"/>
  <c r="F329" i="1"/>
  <c r="E329" i="1"/>
  <c r="D329" i="1"/>
  <c r="G328" i="1"/>
  <c r="F328" i="1"/>
  <c r="E328" i="1"/>
  <c r="D328" i="1"/>
  <c r="G327" i="1"/>
  <c r="F327" i="1"/>
  <c r="E327" i="1"/>
  <c r="D327" i="1"/>
  <c r="G326" i="1"/>
  <c r="F326" i="1"/>
  <c r="E326" i="1"/>
  <c r="D326" i="1"/>
  <c r="G325" i="1"/>
  <c r="F325" i="1"/>
  <c r="E325" i="1"/>
  <c r="D325" i="1"/>
  <c r="G324" i="1"/>
  <c r="F324" i="1"/>
  <c r="E324" i="1"/>
  <c r="D324" i="1"/>
  <c r="G323" i="1"/>
  <c r="F323" i="1"/>
  <c r="E323" i="1"/>
  <c r="D323" i="1"/>
  <c r="G322" i="1"/>
  <c r="F322" i="1"/>
  <c r="E322" i="1"/>
  <c r="D322" i="1"/>
  <c r="G321" i="1"/>
  <c r="F321" i="1"/>
  <c r="E321" i="1"/>
  <c r="D321" i="1"/>
  <c r="G320" i="1"/>
  <c r="F320" i="1"/>
  <c r="E320" i="1"/>
  <c r="D320" i="1"/>
  <c r="G319" i="1"/>
  <c r="F319" i="1"/>
  <c r="E319" i="1"/>
  <c r="D319" i="1"/>
  <c r="G318" i="1"/>
  <c r="F318" i="1"/>
  <c r="E318" i="1"/>
  <c r="D318" i="1"/>
  <c r="G317" i="1"/>
  <c r="F317" i="1"/>
  <c r="E317" i="1"/>
  <c r="D317" i="1"/>
  <c r="G316" i="1"/>
  <c r="F316" i="1"/>
  <c r="E316" i="1"/>
  <c r="D316" i="1"/>
  <c r="G315" i="1"/>
  <c r="F315" i="1"/>
  <c r="E315" i="1"/>
  <c r="D315" i="1"/>
  <c r="G314" i="1"/>
  <c r="F314" i="1"/>
  <c r="E314" i="1"/>
  <c r="D314" i="1"/>
  <c r="G313" i="1"/>
  <c r="F313" i="1"/>
  <c r="E313" i="1"/>
  <c r="D313" i="1"/>
  <c r="G312" i="1"/>
  <c r="F312" i="1"/>
  <c r="E312" i="1"/>
  <c r="D312" i="1"/>
  <c r="G311" i="1"/>
  <c r="F311" i="1"/>
  <c r="E311" i="1"/>
  <c r="D311" i="1"/>
  <c r="G310" i="1"/>
  <c r="F310" i="1"/>
  <c r="E310" i="1"/>
  <c r="D310" i="1"/>
  <c r="G309" i="1"/>
  <c r="F309" i="1"/>
  <c r="E309" i="1"/>
  <c r="D309" i="1"/>
  <c r="G308" i="1"/>
  <c r="F308" i="1"/>
  <c r="E308" i="1"/>
  <c r="D308" i="1"/>
  <c r="G307" i="1"/>
  <c r="F307" i="1"/>
  <c r="E307" i="1"/>
  <c r="D307" i="1"/>
  <c r="G306" i="1"/>
  <c r="F306" i="1"/>
  <c r="E306" i="1"/>
  <c r="D306" i="1"/>
  <c r="G305" i="1"/>
  <c r="F305" i="1"/>
  <c r="E305" i="1"/>
  <c r="D305" i="1"/>
  <c r="G304" i="1"/>
  <c r="F304" i="1"/>
  <c r="E304" i="1"/>
  <c r="D304" i="1"/>
  <c r="G303" i="1"/>
  <c r="F303" i="1"/>
  <c r="E303" i="1"/>
  <c r="D303" i="1"/>
  <c r="G302" i="1"/>
  <c r="F302" i="1"/>
  <c r="E302" i="1"/>
  <c r="D302" i="1"/>
  <c r="G301" i="1"/>
  <c r="F301" i="1"/>
  <c r="E301" i="1"/>
  <c r="D301" i="1"/>
  <c r="G300" i="1"/>
  <c r="F300" i="1"/>
  <c r="E300" i="1"/>
  <c r="D300" i="1"/>
  <c r="G299" i="1"/>
  <c r="F299" i="1"/>
  <c r="E299" i="1"/>
  <c r="D299" i="1"/>
  <c r="G298" i="1"/>
  <c r="F298" i="1"/>
  <c r="E298" i="1"/>
  <c r="D298" i="1"/>
  <c r="G297" i="1"/>
  <c r="F297" i="1"/>
  <c r="E297" i="1"/>
  <c r="D297" i="1"/>
  <c r="G296" i="1"/>
  <c r="F296" i="1"/>
  <c r="E296" i="1"/>
  <c r="D296" i="1"/>
  <c r="G295" i="1"/>
  <c r="F295" i="1"/>
  <c r="E295" i="1"/>
  <c r="D295" i="1"/>
  <c r="G294" i="1"/>
  <c r="F294" i="1"/>
  <c r="E294" i="1"/>
  <c r="D294" i="1"/>
  <c r="G293" i="1"/>
  <c r="F293" i="1"/>
  <c r="E293" i="1"/>
  <c r="D293" i="1"/>
  <c r="G292" i="1"/>
  <c r="F292" i="1"/>
  <c r="E292" i="1"/>
  <c r="D292" i="1"/>
  <c r="G291" i="1"/>
  <c r="F291" i="1"/>
  <c r="E291" i="1"/>
  <c r="D291" i="1"/>
  <c r="G290" i="1"/>
  <c r="F290" i="1"/>
  <c r="E290" i="1"/>
  <c r="D290" i="1"/>
  <c r="G289" i="1"/>
  <c r="F289" i="1"/>
  <c r="E289" i="1"/>
  <c r="D289" i="1"/>
  <c r="G288" i="1"/>
  <c r="F288" i="1"/>
  <c r="E288" i="1"/>
  <c r="D288" i="1"/>
  <c r="G287" i="1"/>
  <c r="F287" i="1"/>
  <c r="E287" i="1"/>
  <c r="D287" i="1"/>
  <c r="G286" i="1"/>
  <c r="F286" i="1"/>
  <c r="E286" i="1"/>
  <c r="D286" i="1"/>
  <c r="G285" i="1"/>
  <c r="F285" i="1"/>
  <c r="E285" i="1"/>
  <c r="D285" i="1"/>
  <c r="G284" i="1"/>
  <c r="F284" i="1"/>
  <c r="E284" i="1"/>
  <c r="D284" i="1"/>
  <c r="G283" i="1"/>
  <c r="F283" i="1"/>
  <c r="E283" i="1"/>
  <c r="D283" i="1"/>
  <c r="G282" i="1"/>
  <c r="F282" i="1"/>
  <c r="E282" i="1"/>
  <c r="D282" i="1"/>
  <c r="G281" i="1"/>
  <c r="F281" i="1"/>
  <c r="E281" i="1"/>
  <c r="D281" i="1"/>
  <c r="G280" i="1"/>
  <c r="F280" i="1"/>
  <c r="E280" i="1"/>
  <c r="D280" i="1"/>
  <c r="G279" i="1"/>
  <c r="F279" i="1"/>
  <c r="E279" i="1"/>
  <c r="D279" i="1"/>
  <c r="G278" i="1"/>
  <c r="F278" i="1"/>
  <c r="E278" i="1"/>
  <c r="D278" i="1"/>
  <c r="G277" i="1"/>
  <c r="F277" i="1"/>
  <c r="E277" i="1"/>
  <c r="D277" i="1"/>
  <c r="G276" i="1"/>
  <c r="F276" i="1"/>
  <c r="E276" i="1"/>
  <c r="D276" i="1"/>
  <c r="G275" i="1"/>
  <c r="F275" i="1"/>
  <c r="E275" i="1"/>
  <c r="D275" i="1"/>
  <c r="G274" i="1"/>
  <c r="F274" i="1"/>
  <c r="E274" i="1"/>
  <c r="D274" i="1"/>
  <c r="G273" i="1"/>
  <c r="F273" i="1"/>
  <c r="E273" i="1"/>
  <c r="D273" i="1"/>
  <c r="G272" i="1"/>
  <c r="F272" i="1"/>
  <c r="E272" i="1"/>
  <c r="D272" i="1"/>
  <c r="G271" i="1"/>
  <c r="F271" i="1"/>
  <c r="E271" i="1"/>
  <c r="D271" i="1"/>
  <c r="G270" i="1"/>
  <c r="F270" i="1"/>
  <c r="E270" i="1"/>
  <c r="D270" i="1"/>
  <c r="G269" i="1"/>
  <c r="F269" i="1"/>
  <c r="E269" i="1"/>
  <c r="D269" i="1"/>
  <c r="G268" i="1"/>
  <c r="F268" i="1"/>
  <c r="E268" i="1"/>
  <c r="D268" i="1"/>
  <c r="G267" i="1"/>
  <c r="F267" i="1"/>
  <c r="E267" i="1"/>
  <c r="D267" i="1"/>
  <c r="G266" i="1"/>
  <c r="F266" i="1"/>
  <c r="E266" i="1"/>
  <c r="D266" i="1"/>
  <c r="G265" i="1"/>
  <c r="F265" i="1"/>
  <c r="E265" i="1"/>
  <c r="D265" i="1"/>
  <c r="G264" i="1"/>
  <c r="F264" i="1"/>
  <c r="E264" i="1"/>
  <c r="D264" i="1"/>
  <c r="G263" i="1"/>
  <c r="F263" i="1"/>
  <c r="E263" i="1"/>
  <c r="D263" i="1"/>
  <c r="G262" i="1"/>
  <c r="F262" i="1"/>
  <c r="E262" i="1"/>
  <c r="D262" i="1"/>
  <c r="G261" i="1"/>
  <c r="F261" i="1"/>
  <c r="E261" i="1"/>
  <c r="D261" i="1"/>
  <c r="G260" i="1"/>
  <c r="F260" i="1"/>
  <c r="E260" i="1"/>
  <c r="D260" i="1"/>
  <c r="G259" i="1"/>
  <c r="F259" i="1"/>
  <c r="E259" i="1"/>
  <c r="D259" i="1"/>
  <c r="G258" i="1"/>
  <c r="F258" i="1"/>
  <c r="E258" i="1"/>
  <c r="D258" i="1"/>
  <c r="G257" i="1"/>
  <c r="F257" i="1"/>
  <c r="E257" i="1"/>
  <c r="D257" i="1"/>
  <c r="G256" i="1"/>
  <c r="F256" i="1"/>
  <c r="E256" i="1"/>
  <c r="D256" i="1"/>
  <c r="G255" i="1"/>
  <c r="F255" i="1"/>
  <c r="E255" i="1"/>
  <c r="D255" i="1"/>
  <c r="G254" i="1"/>
  <c r="F254" i="1"/>
  <c r="E254" i="1"/>
  <c r="D254" i="1"/>
  <c r="G253" i="1"/>
  <c r="F253" i="1"/>
  <c r="E253" i="1"/>
  <c r="D253" i="1"/>
  <c r="G252" i="1"/>
  <c r="F252" i="1"/>
  <c r="E252" i="1"/>
  <c r="D252" i="1"/>
  <c r="G251" i="1"/>
  <c r="F251" i="1"/>
  <c r="E251" i="1"/>
  <c r="D251" i="1"/>
  <c r="G250" i="1"/>
  <c r="F250" i="1"/>
  <c r="E250" i="1"/>
  <c r="D250" i="1"/>
  <c r="G249" i="1"/>
  <c r="F249" i="1"/>
  <c r="E249" i="1"/>
  <c r="D249" i="1"/>
  <c r="G248" i="1"/>
  <c r="F248" i="1"/>
  <c r="E248" i="1"/>
  <c r="D248" i="1"/>
  <c r="G247" i="1"/>
  <c r="F247" i="1"/>
  <c r="E247" i="1"/>
  <c r="D247" i="1"/>
  <c r="G246" i="1"/>
  <c r="F246" i="1"/>
  <c r="E246" i="1"/>
  <c r="D246" i="1"/>
  <c r="G245" i="1"/>
  <c r="F245" i="1"/>
  <c r="E245" i="1"/>
  <c r="D245" i="1"/>
  <c r="G244" i="1"/>
  <c r="F244" i="1"/>
  <c r="E244" i="1"/>
  <c r="D244" i="1"/>
  <c r="G243" i="1"/>
  <c r="F243" i="1"/>
  <c r="E243" i="1"/>
  <c r="D243" i="1"/>
  <c r="G242" i="1"/>
  <c r="F242" i="1"/>
  <c r="E242" i="1"/>
  <c r="D242" i="1"/>
  <c r="G241" i="1"/>
  <c r="F241" i="1"/>
  <c r="E241" i="1"/>
  <c r="D241" i="1"/>
  <c r="G240" i="1"/>
  <c r="F240" i="1"/>
  <c r="E240" i="1"/>
  <c r="D240" i="1"/>
  <c r="G239" i="1"/>
  <c r="F239" i="1"/>
  <c r="E239" i="1"/>
  <c r="D239" i="1"/>
  <c r="G238" i="1"/>
  <c r="F238" i="1"/>
  <c r="E238" i="1"/>
  <c r="D238" i="1"/>
  <c r="G237" i="1"/>
  <c r="F237" i="1"/>
  <c r="E237" i="1"/>
  <c r="D237" i="1"/>
  <c r="G236" i="1"/>
  <c r="F236" i="1"/>
  <c r="E236" i="1"/>
  <c r="D236" i="1"/>
  <c r="G235" i="1"/>
  <c r="F235" i="1"/>
  <c r="E235" i="1"/>
  <c r="D235" i="1"/>
  <c r="G234" i="1"/>
  <c r="F234" i="1"/>
  <c r="E234" i="1"/>
  <c r="D234" i="1"/>
  <c r="G233" i="1"/>
  <c r="F233" i="1"/>
  <c r="E233" i="1"/>
  <c r="D233" i="1"/>
  <c r="G232" i="1"/>
  <c r="F232" i="1"/>
  <c r="E232" i="1"/>
  <c r="D232" i="1"/>
  <c r="G231" i="1"/>
  <c r="F231" i="1"/>
  <c r="E231" i="1"/>
  <c r="D231" i="1"/>
  <c r="G230" i="1"/>
  <c r="F230" i="1"/>
  <c r="E230" i="1"/>
  <c r="D230" i="1"/>
  <c r="G229" i="1"/>
  <c r="F229" i="1"/>
  <c r="E229" i="1"/>
  <c r="D229" i="1"/>
  <c r="G228" i="1"/>
  <c r="F228" i="1"/>
  <c r="E228" i="1"/>
  <c r="D228" i="1"/>
  <c r="G227" i="1"/>
  <c r="F227" i="1"/>
  <c r="E227" i="1"/>
  <c r="D227" i="1"/>
  <c r="G226" i="1"/>
  <c r="F226" i="1"/>
  <c r="E226" i="1"/>
  <c r="D226" i="1"/>
  <c r="G225" i="1"/>
  <c r="F225" i="1"/>
  <c r="E225" i="1"/>
  <c r="D225" i="1"/>
  <c r="G224" i="1"/>
  <c r="F224" i="1"/>
  <c r="E224" i="1"/>
  <c r="D224" i="1"/>
  <c r="G223" i="1"/>
  <c r="F223" i="1"/>
  <c r="E223" i="1"/>
  <c r="D223" i="1"/>
  <c r="G222" i="1"/>
  <c r="F222" i="1"/>
  <c r="E222" i="1"/>
  <c r="D222" i="1"/>
  <c r="G221" i="1"/>
  <c r="F221" i="1"/>
  <c r="E221" i="1"/>
  <c r="D221" i="1"/>
  <c r="G220" i="1"/>
  <c r="F220" i="1"/>
  <c r="E220" i="1"/>
  <c r="D220" i="1"/>
  <c r="G219" i="1"/>
  <c r="F219" i="1"/>
  <c r="E219" i="1"/>
  <c r="D219" i="1"/>
  <c r="G218" i="1"/>
  <c r="F218" i="1"/>
  <c r="E218" i="1"/>
  <c r="D218" i="1"/>
  <c r="G217" i="1"/>
  <c r="F217" i="1"/>
  <c r="E217" i="1"/>
  <c r="D217" i="1"/>
  <c r="G216" i="1"/>
  <c r="F216" i="1"/>
  <c r="E216" i="1"/>
  <c r="D216" i="1"/>
  <c r="G215" i="1"/>
  <c r="F215" i="1"/>
  <c r="E215" i="1"/>
  <c r="D215" i="1"/>
  <c r="G214" i="1"/>
  <c r="F214" i="1"/>
  <c r="E214" i="1"/>
  <c r="D214" i="1"/>
  <c r="G213" i="1"/>
  <c r="F213" i="1"/>
  <c r="E213" i="1"/>
  <c r="D213" i="1"/>
  <c r="G212" i="1"/>
  <c r="F212" i="1"/>
  <c r="E212" i="1"/>
  <c r="D212" i="1"/>
  <c r="G211" i="1"/>
  <c r="F211" i="1"/>
  <c r="E211" i="1"/>
  <c r="D211" i="1"/>
  <c r="G210" i="1"/>
  <c r="F210" i="1"/>
  <c r="E210" i="1"/>
  <c r="D210" i="1"/>
  <c r="G209" i="1"/>
  <c r="F209" i="1"/>
  <c r="E209" i="1"/>
  <c r="D209" i="1"/>
  <c r="G208" i="1"/>
  <c r="F208" i="1"/>
  <c r="E208" i="1"/>
  <c r="D208" i="1"/>
  <c r="G207" i="1"/>
  <c r="F207" i="1"/>
  <c r="E207" i="1"/>
  <c r="D207" i="1"/>
  <c r="G206" i="1"/>
  <c r="F206" i="1"/>
  <c r="E206" i="1"/>
  <c r="D206" i="1"/>
  <c r="G205" i="1"/>
  <c r="F205" i="1"/>
  <c r="E205" i="1"/>
  <c r="D205" i="1"/>
  <c r="G204" i="1"/>
  <c r="F204" i="1"/>
  <c r="E204" i="1"/>
  <c r="D204" i="1"/>
  <c r="G203" i="1"/>
  <c r="F203" i="1"/>
  <c r="E203" i="1"/>
  <c r="D203" i="1"/>
  <c r="G202" i="1"/>
  <c r="F202" i="1"/>
  <c r="E202" i="1"/>
  <c r="D202" i="1"/>
  <c r="G201" i="1"/>
  <c r="F201" i="1"/>
  <c r="E201" i="1"/>
  <c r="D201" i="1"/>
  <c r="G200" i="1"/>
  <c r="F200" i="1"/>
  <c r="E200" i="1"/>
  <c r="D200" i="1"/>
  <c r="G199" i="1"/>
  <c r="F199" i="1"/>
  <c r="E199" i="1"/>
  <c r="D199" i="1"/>
  <c r="G198" i="1"/>
  <c r="F198" i="1"/>
  <c r="E198" i="1"/>
  <c r="D198" i="1"/>
  <c r="G197" i="1"/>
  <c r="F197" i="1"/>
  <c r="E197" i="1"/>
  <c r="D197" i="1"/>
  <c r="G196" i="1"/>
  <c r="F196" i="1"/>
  <c r="E196" i="1"/>
  <c r="D196" i="1"/>
  <c r="G195" i="1"/>
  <c r="F195" i="1"/>
  <c r="E195" i="1"/>
  <c r="D195" i="1"/>
  <c r="G194" i="1"/>
  <c r="F194" i="1"/>
  <c r="E194" i="1"/>
  <c r="D194" i="1"/>
  <c r="G193" i="1"/>
  <c r="F193" i="1"/>
  <c r="E193" i="1"/>
  <c r="D193" i="1"/>
  <c r="G192" i="1"/>
  <c r="F192" i="1"/>
  <c r="E192" i="1"/>
  <c r="D192" i="1"/>
  <c r="G191" i="1"/>
  <c r="F191" i="1"/>
  <c r="E191" i="1"/>
  <c r="D191" i="1"/>
  <c r="G190" i="1"/>
  <c r="F190" i="1"/>
  <c r="E190" i="1"/>
  <c r="D190" i="1"/>
  <c r="G189" i="1"/>
  <c r="F189" i="1"/>
  <c r="E189" i="1"/>
  <c r="D189" i="1"/>
  <c r="G188" i="1"/>
  <c r="F188" i="1"/>
  <c r="E188" i="1"/>
  <c r="D188" i="1"/>
  <c r="G187" i="1"/>
  <c r="F187" i="1"/>
  <c r="E187" i="1"/>
  <c r="D187" i="1"/>
  <c r="G186" i="1"/>
  <c r="F186" i="1"/>
  <c r="E186" i="1"/>
  <c r="D186" i="1"/>
  <c r="G185" i="1"/>
  <c r="F185" i="1"/>
  <c r="E185" i="1"/>
  <c r="D185" i="1"/>
  <c r="G184" i="1"/>
  <c r="F184" i="1"/>
  <c r="E184" i="1"/>
  <c r="D184" i="1"/>
  <c r="G183" i="1"/>
  <c r="F183" i="1"/>
  <c r="E183" i="1"/>
  <c r="D183" i="1"/>
  <c r="G182" i="1"/>
  <c r="F182" i="1"/>
  <c r="E182" i="1"/>
  <c r="D182" i="1"/>
  <c r="G181" i="1"/>
  <c r="F181" i="1"/>
  <c r="E181" i="1"/>
  <c r="D181" i="1"/>
  <c r="G180" i="1"/>
  <c r="F180" i="1"/>
  <c r="E180" i="1"/>
  <c r="D180" i="1"/>
  <c r="G179" i="1"/>
  <c r="F179" i="1"/>
  <c r="E179" i="1"/>
  <c r="D179" i="1"/>
  <c r="G178" i="1"/>
  <c r="F178" i="1"/>
  <c r="E178" i="1"/>
  <c r="D178" i="1"/>
  <c r="G177" i="1"/>
  <c r="F177" i="1"/>
  <c r="E177" i="1"/>
  <c r="D177" i="1"/>
  <c r="G176" i="1"/>
  <c r="F176" i="1"/>
  <c r="E176" i="1"/>
  <c r="D176" i="1"/>
  <c r="G175" i="1"/>
  <c r="F175" i="1"/>
  <c r="E175" i="1"/>
  <c r="D175" i="1"/>
  <c r="G174" i="1"/>
  <c r="F174" i="1"/>
  <c r="E174" i="1"/>
  <c r="D174" i="1"/>
  <c r="G173" i="1"/>
  <c r="F173" i="1"/>
  <c r="E173" i="1"/>
  <c r="D173" i="1"/>
  <c r="G172" i="1"/>
  <c r="F172" i="1"/>
  <c r="E172" i="1"/>
  <c r="D172" i="1"/>
  <c r="G171" i="1"/>
  <c r="F171" i="1"/>
  <c r="E171" i="1"/>
  <c r="D171" i="1"/>
  <c r="G170" i="1"/>
  <c r="F170" i="1"/>
  <c r="E170" i="1"/>
  <c r="D170" i="1"/>
  <c r="G169" i="1"/>
  <c r="F169" i="1"/>
  <c r="E169" i="1"/>
  <c r="D169" i="1"/>
  <c r="G168" i="1"/>
  <c r="F168" i="1"/>
  <c r="E168" i="1"/>
  <c r="D168" i="1"/>
  <c r="G167" i="1"/>
  <c r="F167" i="1"/>
  <c r="E167" i="1"/>
  <c r="D167" i="1"/>
  <c r="G166" i="1"/>
  <c r="F166" i="1"/>
  <c r="E166" i="1"/>
  <c r="D166" i="1"/>
  <c r="G165" i="1"/>
  <c r="F165" i="1"/>
  <c r="E165" i="1"/>
  <c r="D165" i="1"/>
  <c r="G164" i="1"/>
  <c r="F164" i="1"/>
  <c r="E164" i="1"/>
  <c r="D164" i="1"/>
  <c r="G163" i="1"/>
  <c r="F163" i="1"/>
  <c r="E163" i="1"/>
  <c r="D163" i="1"/>
  <c r="G162" i="1"/>
  <c r="F162" i="1"/>
  <c r="E162" i="1"/>
  <c r="D162" i="1"/>
  <c r="G161" i="1"/>
  <c r="F161" i="1"/>
  <c r="E161" i="1"/>
  <c r="D161" i="1"/>
  <c r="G160" i="1"/>
  <c r="F160" i="1"/>
  <c r="E160" i="1"/>
  <c r="D160" i="1"/>
  <c r="G159" i="1"/>
  <c r="F159" i="1"/>
  <c r="E159" i="1"/>
  <c r="D159" i="1"/>
  <c r="G158" i="1"/>
  <c r="F158" i="1"/>
  <c r="E158" i="1"/>
  <c r="D158" i="1"/>
  <c r="G157" i="1"/>
  <c r="F157" i="1"/>
  <c r="E157" i="1"/>
  <c r="D157" i="1"/>
  <c r="G156" i="1"/>
  <c r="F156" i="1"/>
  <c r="E156" i="1"/>
  <c r="D156" i="1"/>
  <c r="G155" i="1"/>
  <c r="F155" i="1"/>
  <c r="E155" i="1"/>
  <c r="D155" i="1"/>
  <c r="G154" i="1"/>
  <c r="F154" i="1"/>
  <c r="E154" i="1"/>
  <c r="D154" i="1"/>
  <c r="G153" i="1"/>
  <c r="F153" i="1"/>
  <c r="E153" i="1"/>
  <c r="D153" i="1"/>
  <c r="G152" i="1"/>
  <c r="F152" i="1"/>
  <c r="E152" i="1"/>
  <c r="D152" i="1"/>
  <c r="G151" i="1"/>
  <c r="F151" i="1"/>
  <c r="E151" i="1"/>
  <c r="D151" i="1"/>
  <c r="G150" i="1"/>
  <c r="F150" i="1"/>
  <c r="E150" i="1"/>
  <c r="D150" i="1"/>
  <c r="G149" i="1"/>
  <c r="F149" i="1"/>
  <c r="E149" i="1"/>
  <c r="D149" i="1"/>
  <c r="G148" i="1"/>
  <c r="F148" i="1"/>
  <c r="E148" i="1"/>
  <c r="D148" i="1"/>
  <c r="G147" i="1"/>
  <c r="F147" i="1"/>
  <c r="E147" i="1"/>
  <c r="D147" i="1"/>
  <c r="G146" i="1"/>
  <c r="F146" i="1"/>
  <c r="E146" i="1"/>
  <c r="D146" i="1"/>
  <c r="G145" i="1"/>
  <c r="F145" i="1"/>
  <c r="E145" i="1"/>
  <c r="D145" i="1"/>
  <c r="G144" i="1"/>
  <c r="F144" i="1"/>
  <c r="E144" i="1"/>
  <c r="D144" i="1"/>
  <c r="G143" i="1"/>
  <c r="F143" i="1"/>
  <c r="E143" i="1"/>
  <c r="D143" i="1"/>
  <c r="G142" i="1"/>
  <c r="F142" i="1"/>
  <c r="E142" i="1"/>
  <c r="D142" i="1"/>
  <c r="G141" i="1"/>
  <c r="F141" i="1"/>
  <c r="E141" i="1"/>
  <c r="D141" i="1"/>
  <c r="G140" i="1"/>
  <c r="F140" i="1"/>
  <c r="E140" i="1"/>
  <c r="D140" i="1"/>
  <c r="G139" i="1"/>
  <c r="F139" i="1"/>
  <c r="E139" i="1"/>
  <c r="D139" i="1"/>
  <c r="G138" i="1"/>
  <c r="F138" i="1"/>
  <c r="E138" i="1"/>
  <c r="D138" i="1"/>
  <c r="G137" i="1"/>
  <c r="F137" i="1"/>
  <c r="E137" i="1"/>
  <c r="D137" i="1"/>
  <c r="G136" i="1"/>
  <c r="F136" i="1"/>
  <c r="E136" i="1"/>
  <c r="D136" i="1"/>
  <c r="G135" i="1"/>
  <c r="F135" i="1"/>
  <c r="E135" i="1"/>
  <c r="D135" i="1"/>
  <c r="G134" i="1"/>
  <c r="F134" i="1"/>
  <c r="E134" i="1"/>
  <c r="D134" i="1"/>
  <c r="G133" i="1"/>
  <c r="F133" i="1"/>
  <c r="E133" i="1"/>
  <c r="D133" i="1"/>
  <c r="G132" i="1"/>
  <c r="F132" i="1"/>
  <c r="E132" i="1"/>
  <c r="D132" i="1"/>
  <c r="G131" i="1"/>
  <c r="F131" i="1"/>
  <c r="E131" i="1"/>
  <c r="D131" i="1"/>
  <c r="G130" i="1"/>
  <c r="F130" i="1"/>
  <c r="E130" i="1"/>
  <c r="D130" i="1"/>
  <c r="G129" i="1"/>
  <c r="F129" i="1"/>
  <c r="E129" i="1"/>
  <c r="D129" i="1"/>
  <c r="G128" i="1"/>
  <c r="F128" i="1"/>
  <c r="E128" i="1"/>
  <c r="D128" i="1"/>
  <c r="G127" i="1"/>
  <c r="F127" i="1"/>
  <c r="E127" i="1"/>
  <c r="D127" i="1"/>
  <c r="G126" i="1"/>
  <c r="F126" i="1"/>
  <c r="E126" i="1"/>
  <c r="D126" i="1"/>
  <c r="G125" i="1"/>
  <c r="F125" i="1"/>
  <c r="E125" i="1"/>
  <c r="D125" i="1"/>
  <c r="G124" i="1"/>
  <c r="F124" i="1"/>
  <c r="E124" i="1"/>
  <c r="D124" i="1"/>
  <c r="G123" i="1"/>
  <c r="F123" i="1"/>
  <c r="E123" i="1"/>
  <c r="D123" i="1"/>
  <c r="G122" i="1"/>
  <c r="F122" i="1"/>
  <c r="E122" i="1"/>
  <c r="D122" i="1"/>
  <c r="G121" i="1"/>
  <c r="F121" i="1"/>
  <c r="E121" i="1"/>
  <c r="D121" i="1"/>
  <c r="G120" i="1"/>
  <c r="F120" i="1"/>
  <c r="E120" i="1"/>
  <c r="D120" i="1"/>
  <c r="G119" i="1"/>
  <c r="F119" i="1"/>
  <c r="E119" i="1"/>
  <c r="D119" i="1"/>
  <c r="G118" i="1"/>
  <c r="F118" i="1"/>
  <c r="E118" i="1"/>
  <c r="D118" i="1"/>
  <c r="G117" i="1"/>
  <c r="F117" i="1"/>
  <c r="E117" i="1"/>
  <c r="D117" i="1"/>
  <c r="G116" i="1"/>
  <c r="F116" i="1"/>
  <c r="E116" i="1"/>
  <c r="D116" i="1"/>
  <c r="G115" i="1"/>
  <c r="F115" i="1"/>
  <c r="E115" i="1"/>
  <c r="D115" i="1"/>
  <c r="G114" i="1"/>
  <c r="F114" i="1"/>
  <c r="E114" i="1"/>
  <c r="D114" i="1"/>
  <c r="G113" i="1"/>
  <c r="F113" i="1"/>
  <c r="E113" i="1"/>
  <c r="D113" i="1"/>
  <c r="G112" i="1"/>
  <c r="F112" i="1"/>
  <c r="E112" i="1"/>
  <c r="D112" i="1"/>
  <c r="G111" i="1"/>
  <c r="F111" i="1"/>
  <c r="E111" i="1"/>
  <c r="D111" i="1"/>
  <c r="G110" i="1"/>
  <c r="F110" i="1"/>
  <c r="E110" i="1"/>
  <c r="D110" i="1"/>
  <c r="G109" i="1"/>
  <c r="F109" i="1"/>
  <c r="E109" i="1"/>
  <c r="D109" i="1"/>
  <c r="G108" i="1"/>
  <c r="F108" i="1"/>
  <c r="E108" i="1"/>
  <c r="D108" i="1"/>
  <c r="G107" i="1"/>
  <c r="F107" i="1"/>
  <c r="E107" i="1"/>
  <c r="D107" i="1"/>
  <c r="G106" i="1"/>
  <c r="F106" i="1"/>
  <c r="E106" i="1"/>
  <c r="D106" i="1"/>
  <c r="G105" i="1"/>
  <c r="F105" i="1"/>
  <c r="E105" i="1"/>
  <c r="D105" i="1"/>
  <c r="G104" i="1"/>
  <c r="F104" i="1"/>
  <c r="E104" i="1"/>
  <c r="D104" i="1"/>
  <c r="G103" i="1"/>
  <c r="F103" i="1"/>
  <c r="E103" i="1"/>
  <c r="D103" i="1"/>
  <c r="G102" i="1"/>
  <c r="F102" i="1"/>
  <c r="E102" i="1"/>
  <c r="D102" i="1"/>
  <c r="G101" i="1"/>
  <c r="F101" i="1"/>
  <c r="E101" i="1"/>
  <c r="D101" i="1"/>
  <c r="G100" i="1"/>
  <c r="F100" i="1"/>
  <c r="E100" i="1"/>
  <c r="D100" i="1"/>
  <c r="G99" i="1"/>
  <c r="F99" i="1"/>
  <c r="E99" i="1"/>
  <c r="D99" i="1"/>
  <c r="G98" i="1"/>
  <c r="F98" i="1"/>
  <c r="E98" i="1"/>
  <c r="D98" i="1"/>
  <c r="G97" i="1"/>
  <c r="F97" i="1"/>
  <c r="E97" i="1"/>
  <c r="D97" i="1"/>
  <c r="G96" i="1"/>
  <c r="F96" i="1"/>
  <c r="E96" i="1"/>
  <c r="D96" i="1"/>
  <c r="G95" i="1"/>
  <c r="F95" i="1"/>
  <c r="E95" i="1"/>
  <c r="D95" i="1"/>
  <c r="G94" i="1"/>
  <c r="F94" i="1"/>
  <c r="E94" i="1"/>
  <c r="D94" i="1"/>
  <c r="G93" i="1"/>
  <c r="F93" i="1"/>
  <c r="E93" i="1"/>
  <c r="D93" i="1"/>
  <c r="G92" i="1"/>
  <c r="F92" i="1"/>
  <c r="E92" i="1"/>
  <c r="D92" i="1"/>
  <c r="G91" i="1"/>
  <c r="F91" i="1"/>
  <c r="E91" i="1"/>
  <c r="D91" i="1"/>
  <c r="G90" i="1"/>
  <c r="F90" i="1"/>
  <c r="E90" i="1"/>
  <c r="D90" i="1"/>
  <c r="G89" i="1"/>
  <c r="F89" i="1"/>
  <c r="E89" i="1"/>
  <c r="D89" i="1"/>
  <c r="G88" i="1"/>
  <c r="F88" i="1"/>
  <c r="E88" i="1"/>
  <c r="D88" i="1"/>
  <c r="G87" i="1"/>
  <c r="F87" i="1"/>
  <c r="E87" i="1"/>
  <c r="D87" i="1"/>
  <c r="G86" i="1"/>
  <c r="F86" i="1"/>
  <c r="E86" i="1"/>
  <c r="D86" i="1"/>
  <c r="G85" i="1"/>
  <c r="F85" i="1"/>
  <c r="E85" i="1"/>
  <c r="D85" i="1"/>
  <c r="G84" i="1"/>
  <c r="F84" i="1"/>
  <c r="E84" i="1"/>
  <c r="D84" i="1"/>
  <c r="G83" i="1"/>
  <c r="F83" i="1"/>
  <c r="E83" i="1"/>
  <c r="D83" i="1"/>
  <c r="G82" i="1"/>
  <c r="F82" i="1"/>
  <c r="E82" i="1"/>
  <c r="D82" i="1"/>
  <c r="G81" i="1"/>
  <c r="F81" i="1"/>
  <c r="E81" i="1"/>
  <c r="D81" i="1"/>
  <c r="G80" i="1"/>
  <c r="F80" i="1"/>
  <c r="E80" i="1"/>
  <c r="D80" i="1"/>
  <c r="G79" i="1"/>
  <c r="F79" i="1"/>
  <c r="E79" i="1"/>
  <c r="D79" i="1"/>
  <c r="G78" i="1"/>
  <c r="F78" i="1"/>
  <c r="E78" i="1"/>
  <c r="D78" i="1"/>
  <c r="G77" i="1"/>
  <c r="F77" i="1"/>
  <c r="E77" i="1"/>
  <c r="D77" i="1"/>
  <c r="G76" i="1"/>
  <c r="F76" i="1"/>
  <c r="E76" i="1"/>
  <c r="D76" i="1"/>
  <c r="G75" i="1"/>
  <c r="F75" i="1"/>
  <c r="E75" i="1"/>
  <c r="D75" i="1"/>
  <c r="G74" i="1"/>
  <c r="F74" i="1"/>
  <c r="E74" i="1"/>
  <c r="D74" i="1"/>
  <c r="G73" i="1"/>
  <c r="F73" i="1"/>
  <c r="E73" i="1"/>
  <c r="D73" i="1"/>
  <c r="G72" i="1"/>
  <c r="F72" i="1"/>
  <c r="E72" i="1"/>
  <c r="D72" i="1"/>
  <c r="G71" i="1"/>
  <c r="F71" i="1"/>
  <c r="E71" i="1"/>
  <c r="D71" i="1"/>
  <c r="G70" i="1"/>
  <c r="F70" i="1"/>
  <c r="E70" i="1"/>
  <c r="D70" i="1"/>
  <c r="G69" i="1"/>
  <c r="F69" i="1"/>
  <c r="E69" i="1"/>
  <c r="D69" i="1"/>
  <c r="G68" i="1"/>
  <c r="F68" i="1"/>
  <c r="E68" i="1"/>
  <c r="D68" i="1"/>
  <c r="G67" i="1"/>
  <c r="F67" i="1"/>
  <c r="E67" i="1"/>
  <c r="D67" i="1"/>
  <c r="G66" i="1"/>
  <c r="F66" i="1"/>
  <c r="E66" i="1"/>
  <c r="D66" i="1"/>
  <c r="G65" i="1"/>
  <c r="F65" i="1"/>
  <c r="E65" i="1"/>
  <c r="D65" i="1"/>
  <c r="G64" i="1"/>
  <c r="F64" i="1"/>
  <c r="E64" i="1"/>
  <c r="D64" i="1"/>
  <c r="G63" i="1"/>
  <c r="F63" i="1"/>
  <c r="E63" i="1"/>
  <c r="D63" i="1"/>
  <c r="G62" i="1"/>
  <c r="F62" i="1"/>
  <c r="E62" i="1"/>
  <c r="D62" i="1"/>
  <c r="G61" i="1"/>
  <c r="F61" i="1"/>
  <c r="E61" i="1"/>
  <c r="D61" i="1"/>
  <c r="G60" i="1"/>
  <c r="F60" i="1"/>
  <c r="E60" i="1"/>
  <c r="D60" i="1"/>
  <c r="G59" i="1"/>
  <c r="F59" i="1"/>
  <c r="E59" i="1"/>
  <c r="D59" i="1"/>
  <c r="G58" i="1"/>
  <c r="F58" i="1"/>
  <c r="E58" i="1"/>
  <c r="D58" i="1"/>
  <c r="G57" i="1"/>
  <c r="F57" i="1"/>
  <c r="E57" i="1"/>
  <c r="D57" i="1"/>
  <c r="G56" i="1"/>
  <c r="F56" i="1"/>
  <c r="E56" i="1"/>
  <c r="D56" i="1"/>
  <c r="G55" i="1"/>
  <c r="F55" i="1"/>
  <c r="E55" i="1"/>
  <c r="D55" i="1"/>
  <c r="G54" i="1"/>
  <c r="F54" i="1"/>
  <c r="E54" i="1"/>
  <c r="D54" i="1"/>
  <c r="G53" i="1"/>
  <c r="F53" i="1"/>
  <c r="E53" i="1"/>
  <c r="D53" i="1"/>
  <c r="G52" i="1"/>
  <c r="F52" i="1"/>
  <c r="E52" i="1"/>
  <c r="D52" i="1"/>
  <c r="G51" i="1"/>
  <c r="F51" i="1"/>
  <c r="E51" i="1"/>
  <c r="D51" i="1"/>
  <c r="G50" i="1"/>
  <c r="F50" i="1"/>
  <c r="E50" i="1"/>
  <c r="D50" i="1"/>
  <c r="G49" i="1"/>
  <c r="F49" i="1"/>
  <c r="E49" i="1"/>
  <c r="D49" i="1"/>
  <c r="G48" i="1"/>
  <c r="F48" i="1"/>
  <c r="E48" i="1"/>
  <c r="D48" i="1"/>
  <c r="G47" i="1"/>
  <c r="F47" i="1"/>
  <c r="E47" i="1"/>
  <c r="D47" i="1"/>
  <c r="G46" i="1"/>
  <c r="F46" i="1"/>
  <c r="E46" i="1"/>
  <c r="D46" i="1"/>
  <c r="G45" i="1"/>
  <c r="F45" i="1"/>
  <c r="E45" i="1"/>
  <c r="D45" i="1"/>
  <c r="G44" i="1"/>
  <c r="F44" i="1"/>
  <c r="E44" i="1"/>
  <c r="D44" i="1"/>
  <c r="G43" i="1"/>
  <c r="F43" i="1"/>
  <c r="E43" i="1"/>
  <c r="D43" i="1"/>
  <c r="G42" i="1"/>
  <c r="F42" i="1"/>
  <c r="E42" i="1"/>
  <c r="D42" i="1"/>
  <c r="G41" i="1"/>
  <c r="F41" i="1"/>
  <c r="E41" i="1"/>
  <c r="D41" i="1"/>
  <c r="G40" i="1"/>
  <c r="F40" i="1"/>
  <c r="E40" i="1"/>
  <c r="D40" i="1"/>
  <c r="G39" i="1"/>
  <c r="F39" i="1"/>
  <c r="E39" i="1"/>
  <c r="D39" i="1"/>
  <c r="G38" i="1"/>
  <c r="F38" i="1"/>
  <c r="E38" i="1"/>
  <c r="D38" i="1"/>
  <c r="G37" i="1"/>
  <c r="F37" i="1"/>
  <c r="E37" i="1"/>
  <c r="D37" i="1"/>
  <c r="G36" i="1"/>
  <c r="F36" i="1"/>
  <c r="E36" i="1"/>
  <c r="D36" i="1"/>
  <c r="G35" i="1"/>
  <c r="F35" i="1"/>
  <c r="E35" i="1"/>
  <c r="D35" i="1"/>
  <c r="G34" i="1"/>
  <c r="F34" i="1"/>
  <c r="E34" i="1"/>
  <c r="D34" i="1"/>
  <c r="G33" i="1"/>
  <c r="F33" i="1"/>
  <c r="E33" i="1"/>
  <c r="D33" i="1"/>
  <c r="G32" i="1"/>
  <c r="F32" i="1"/>
  <c r="E32" i="1"/>
  <c r="D32" i="1"/>
  <c r="G31" i="1"/>
  <c r="F31" i="1"/>
  <c r="E31" i="1"/>
  <c r="D31" i="1"/>
  <c r="G30" i="1"/>
  <c r="F30" i="1"/>
  <c r="E30" i="1"/>
  <c r="D30" i="1"/>
  <c r="G29" i="1"/>
  <c r="F29" i="1"/>
  <c r="E29" i="1"/>
  <c r="D29" i="1"/>
  <c r="G28" i="1"/>
  <c r="F28" i="1"/>
  <c r="E28" i="1"/>
  <c r="D28" i="1"/>
  <c r="G27" i="1"/>
  <c r="F27" i="1"/>
  <c r="E27" i="1"/>
  <c r="D27" i="1"/>
  <c r="G26" i="1"/>
  <c r="F26" i="1"/>
  <c r="E26" i="1"/>
  <c r="D26" i="1"/>
  <c r="G25" i="1"/>
  <c r="F25" i="1"/>
  <c r="E25" i="1"/>
  <c r="D25" i="1"/>
  <c r="G24" i="1"/>
  <c r="F24" i="1"/>
  <c r="E24" i="1"/>
  <c r="D24" i="1"/>
  <c r="G23" i="1"/>
  <c r="F23" i="1"/>
  <c r="E23" i="1"/>
  <c r="D23" i="1"/>
  <c r="G22" i="1"/>
  <c r="F22" i="1"/>
  <c r="E22" i="1"/>
  <c r="D22" i="1"/>
  <c r="G21" i="1"/>
  <c r="F21" i="1"/>
  <c r="E21" i="1"/>
  <c r="D21" i="1"/>
  <c r="G20" i="1"/>
  <c r="F20" i="1"/>
  <c r="E20" i="1"/>
  <c r="D20" i="1"/>
  <c r="G19" i="1"/>
  <c r="F19" i="1"/>
  <c r="E19" i="1"/>
  <c r="D19" i="1"/>
  <c r="G18" i="1"/>
  <c r="F18" i="1"/>
  <c r="E18" i="1"/>
  <c r="D18" i="1"/>
  <c r="G17" i="1"/>
  <c r="F17" i="1"/>
  <c r="E17" i="1"/>
  <c r="D17" i="1"/>
  <c r="G16" i="1"/>
  <c r="F16" i="1"/>
  <c r="E16" i="1"/>
  <c r="D16" i="1"/>
  <c r="G15" i="1"/>
  <c r="F15" i="1"/>
  <c r="E15" i="1"/>
  <c r="D15" i="1"/>
  <c r="G14" i="1"/>
  <c r="F14" i="1"/>
  <c r="E14" i="1"/>
  <c r="D14" i="1"/>
  <c r="G13" i="1"/>
  <c r="F13" i="1"/>
  <c r="E13" i="1"/>
  <c r="D13" i="1"/>
  <c r="G12" i="1"/>
  <c r="F12" i="1"/>
  <c r="E12" i="1"/>
  <c r="D12" i="1"/>
  <c r="G11" i="1"/>
  <c r="F11" i="1"/>
  <c r="E11" i="1"/>
  <c r="D11" i="1"/>
  <c r="G10" i="1"/>
  <c r="F10" i="1"/>
  <c r="E10" i="1"/>
  <c r="D10" i="1"/>
  <c r="G9" i="1"/>
  <c r="F9" i="1"/>
  <c r="E9" i="1"/>
  <c r="D9" i="1"/>
  <c r="G8" i="1"/>
  <c r="F8" i="1"/>
  <c r="E8" i="1"/>
  <c r="D8" i="1"/>
  <c r="G7" i="1"/>
  <c r="F7" i="1"/>
  <c r="E7" i="1"/>
  <c r="D7" i="1"/>
  <c r="G6" i="1"/>
  <c r="F6" i="1"/>
  <c r="E6" i="1"/>
  <c r="D6" i="1"/>
  <c r="G5" i="1"/>
  <c r="F5" i="1"/>
  <c r="E5" i="1"/>
  <c r="D5" i="1"/>
  <c r="G4" i="1"/>
  <c r="F4" i="1"/>
  <c r="E4" i="1"/>
  <c r="D4" i="1"/>
  <c r="G3" i="1"/>
  <c r="F3" i="1"/>
  <c r="E3" i="1"/>
  <c r="D3" i="1"/>
  <c r="G2" i="1"/>
  <c r="F2" i="1"/>
  <c r="E2" i="1"/>
  <c r="D2" i="1"/>
</calcChain>
</file>

<file path=xl/sharedStrings.xml><?xml version="1.0" encoding="utf-8"?>
<sst xmlns="http://schemas.openxmlformats.org/spreadsheetml/2006/main" count="9290" uniqueCount="1792">
  <si>
    <t>Date</t>
  </si>
  <si>
    <t>Fund</t>
  </si>
  <si>
    <t>Fund Registration</t>
  </si>
  <si>
    <t>Condition 40 Act 1</t>
  </si>
  <si>
    <t>Condition 40 Act 2a</t>
  </si>
  <si>
    <t>Condition 40 Act 2b</t>
  </si>
  <si>
    <t>Condition 2a OCC</t>
  </si>
  <si>
    <t>Total Assets</t>
  </si>
  <si>
    <t>Non-Qualifying Assets Weight</t>
  </si>
  <si>
    <t>Net Assets</t>
  </si>
  <si>
    <t>Expenses</t>
  </si>
  <si>
    <t>Issuer Limited Assets (Condition 2a) Sum</t>
  </si>
  <si>
    <t>Issuer Limited Assets (Condition 2a) (Ticker, Shares, Mkt Value)</t>
  </si>
  <si>
    <t>Excluded Securities (25% Bucket)</t>
  </si>
  <si>
    <t>Cumulative Weight of Excluded Securities</t>
  </si>
  <si>
    <t>Cumulative Weight of Remaining Securities</t>
  </si>
  <si>
    <t>Remaining Securities (Ticker, Shares Held, Vest Weight, Vest Ownership of Float)</t>
  </si>
  <si>
    <t>Max Ownership % of Float in 75% bucket</t>
  </si>
  <si>
    <t>OCC Market Value</t>
  </si>
  <si>
    <t>OCC Weight</t>
  </si>
  <si>
    <t>Notes</t>
  </si>
  <si>
    <t>HE3B2</t>
  </si>
  <si>
    <t>diversified</t>
  </si>
  <si>
    <t>None</t>
  </si>
  <si>
    <t>TR2B1</t>
  </si>
  <si>
    <t>P20127</t>
  </si>
  <si>
    <t>P21026</t>
  </si>
  <si>
    <t>HE3B1</t>
  </si>
  <si>
    <t>P31027</t>
  </si>
  <si>
    <t>P2726</t>
  </si>
  <si>
    <t>R21126</t>
  </si>
  <si>
    <t>P30128</t>
  </si>
  <si>
    <t>P3727</t>
  </si>
  <si>
    <t>TR2B2</t>
  </si>
  <si>
    <t>NVDA</t>
  </si>
  <si>
    <t>NVDA, NVDA, NVDA, NVDA, NVDA, NVDA, MSFT</t>
  </si>
  <si>
    <t>(AAPL, 0, 2.76%, 0.0000616%), (AAPL, 0, 2.76%, 0.0000616%), (AAPL, 0, 2.76%, 0.0000616%), (AAPL, 0, 2.75%, 0.0000616%), (AAPL, 0, 2.75%, 0.0000616%), (AAPL, 0, 2.74%, 0.0000616%), (AMZN, 0, 2.04%, 0.0000590%), (AMZN, 0, 2.03%, 0.0000590%), (AMZN, 0, 2.03%, 0.0000590%), (AMZN, 0, 2.03%, 0.0000590%), (AMZN, 0, 2.03%, 0.0000590%), (AMZN, 0, 2.03%, 0.0000590%), (GOOGLE, 0, 1.74%, 0.0000601%), (AVGO, 0, 1.51%, 0.0000827%), (AVGO, 0, 1.51%, 0.0000827%), (AVGO, 0, 1.51%, 0.0000827%), (AVGO, 0, 1.51%, 0.0000827%), (AVGO, 0, 1.51%, 0.0000827%), (AVGO, 0, 1.51%, 0.0000827%), (META, 0, 1.46%, 0.0000637%), (META, 0, 1.46%, 0.0000637%), (META, 0, 1.46%, 0.0000637%), (META, 0, 1.46%, 0.0000637%), (META, 0, 1.46%, 0.0000637%), (META, 0, 1.46%, 0.0000637%), (BRK/B, 0, 1.16%, 0.0001170%), (BRK/B, 0, 1.16%, 0.0001170%), (BRK/B, 0, 1.16%, 0.0001170%), (BRK/B, 0, 1.15%, 0.0001170%), (BRK/B, 0, 1.15%, 0.0001170%), (BRK/B, 0, 1.15%, 0.0001170%), (CSCO, 0, 0.99%, 0.0002479%), (CSCO, 0, 0.99%, 0.0002479%), (CSCO, 0, 0.99%, 0.0002479%), (CSCO, 0, 0.99%, 0.0002479%), (CSCO, 0, 0.99%, 0.0002479%), (CSCO, 0, 0.99%, 0.0002479%), (LIN, 0, 0.97%, 0.0002969%), (AMT, 0, 0.92%, 0.0006008%), (JPM, 0, 0.87%, 0.0000743%), (JPM, 0, 0.87%, 0.0000743%), (JPM, 0, 0.87%, 0.0000743%), (JPM, 0, 0.87%, 0.0000743%), (JPM, 0, 0.87%, 0.0000743%), (JPM, 0, 0.86%, 0.0000743%), (LLY, 0, 0.66%, 0.0000616%), (LLY, 0, 0.66%, 0.0000616%), (LLY, 0, 0.66%, 0.0000616%), (LLY, 0, 0.66%, 0.0000616%), (LLY, 0, 0.66%, 0.0000616%), (LLY, 0, 0.66%, 0.0000616%), (CB, 0, 0.66%, 0.0003944%), (MA, 0, 0.60%, 0.0000810%), (MA, 0, 0.59%, 0.0000810%), (MA, 0, 0.59%, 0.0000810%), (MA, 0, 0.59%, 0.0000810%), (MA, 0, 0.59%, 0.0000810%), (MA, 0, 0.59%, 0.0000810%), (TSLA, 0, 0.54%, 0.0000740%), (TSLA, 0, 0.54%, 0.0000740%), (TSLA, 0, 0.54%, 0.0000740%), (TSLA, 0, 0.54%, 0.0000740%), (TSLA, 0, 0.54%, 0.0000740%), (TSLA, 0, 0.54%, 0.0000740%), (GE, 0, 0.53%, 0.0001372%), (GE, 0, 0.53%, 0.0001372%), (GE, 0, 0.53%, 0.0001372%), (GE, 0, 0.53%, 0.0001372%), (GE, 0, 0.53%, 0.0001372%), (GE, 0, 0.53%, 0.0001372%), (XOM, 0, 0.52%, 0.0001539%), (V, 0, 0.52%, 0.0001188%), (XOM, 0, 0.52%, 0.0001539%), (XOM, 0, 0.52%, 0.0001539%), (XOM, 0, 0.52%, 0.0001539%), (XOM, 0, 0.52%, 0.0001539%), (V, 0, 0.52%, 0.0001188%), (XOM, 0, 0.52%, 0.0001539%), (V, 0, 0.52%, 0.0001188%), (V, 0, 0.52%, 0.0001188%), (V, 0, 0.52%, 0.0001188%), (V, 0, 0.52%, 0.0001188%), (NFLX, 0, 0.52%, 0.0000642%), (NFLX, 0, 0.52%, 0.0000642%), (NFLX, 0, 0.52%, 0.0000642%), (NFLX, 0, 0.52%, 0.0000642%), (NFLX, 0, 0.52%, 0.0000642%), (NEE, 0, 0.48%, 0.0002144%), (NEE, 0, 0.48%, 0.0002144%), (NEE, 0, 0.48%, 0.0002144%), (NEE, 0, 0.48%, 0.0002144%), (NEE, 0, 0.48%, 0.0002144%), (NEE, 0, 0.47%, 0.0002144%), (ORCL, 0, 0.47%, 0.0000511%), (ORCL, 0, 0.47%, 0.0000511%), (ORCL, 0, 0.46%, 0.0000511%), (ORCL, 0, 0.46%, 0.0000511%), (ORCL, 0, 0.46%, 0.0000511%), (ORCL, 0, 0.46%, 0.0000511%), (PG, 0, 0.44%, 0.0000802%), (PG, 0, 0.44%, 0.0000802%), (PG, 0, 0.44%, 0.0000802%), (PG, 0, 0.44%, 0.0000802%), (PG, 0, 0.44%, 0.0000802%), (PG, 0, 0.44%, 0.0000802%), (COST, 0, 0.44%, 0.0000683%), (COST, 0, 0.44%, 0.0000683%), (COST, 0, 0.44%, 0.0000683%), (COST, 0, 0.44%, 0.0000683%), (COST, 0, 0.44%, 0.0000683%), (ABT, 0, 0.41%, 0.0001174%), (ABT, 0, 0.41%, 0.0001174%), (ABT, 0, 0.41%, 0.0001174%), (ABT, 0, 0.41%, 0.0001174%), (ABT, 0, 0.41%, 0.0001174%), (JNJ, 0, 0.41%, 0.0000739%), (ABT, 0, 0.41%, 0.0001174%), (JNJ, 0, 0.41%, 0.0000739%), (JNJ, 0, 0.40%, 0.0000739%), (JNJ, 0, 0.40%, 0.0000739%), (JNJ, 0, 0.40%, 0.0000739%), (JNJ, 0, 0.40%, 0.0000739%), (CVX, 0, 0.40%, 0.0000918%), (CVX, 0, 0.40%, 0.0000918%), (CVX, 0, 0.40%, 0.0000918%), (CVX, 0, 0.40%, 0.0000918%), (CVX, 0, 0.40%, 0.0000918%), (CVX, 0, 0.40%, 0.0000918%), (WM, 0, 0.39%, 0.0005724%), (MCD, 0, 0.39%, 0.0001240%), (MCD, 0, 0.38%, 0.0001240%), (MCD, 0, 0.38%, 0.0001240%), (MCD, 0, 0.38%, 0.0001240%), (MCD, 0, 0.38%, 0.0001240%), (MCD, 0, 0.38%, 0.0001240%), (CAT, 0, 0.37%, 0.0001378%), (CAT, 0, 0.37%, 0.0001378%), (CAT, 0, 0.37%, 0.0001378%), (CAT, 0, 0.37%, 0.0001378%), (CAT, 0, 0.37%, 0.0001378%), (CAT, 0, 0.37%, 0.0001378%), (HD, 0, 0.37%, 0.0000673%), (HD, 0, 0.36%, 0.0000673%), (HD, 0, 0.36%, 0.0000673%), (HD, 0, 0.36%, 0.0000673%), (HD, 0, 0.36%, 0.0000673%), (HD, 0, 0.36%, 0.0000673%), (ABBV, 0, 0.36%, 0.0000740%), (ABBV, 0, 0.36%, 0.0000740%), (ABBV, 0, 0.36%, 0.0000740%), (ABBV, 0, 0.36%, 0.0000740%), (ABBV, 0, 0.36%, 0.0000740%), (ABBV, 0, 0.36%, 0.0000740%), (IBM, 0, 0.36%, 0.0000896%), (IBM, 0, 0.36%, 0.0000896%), (IBM, 0, 0.36%, 0.0000896%), (IBM, 0, 0.36%, 0.0000896%), (IBM, 0, 0.36%, 0.0000896%), (IBM, 0, 0.36%, 0.0000896%), (KO, 0, 0.35%, 0.0000787%), (KO, 0, 0.35%, 0.0000787%), (KO, 0, 0.35%, 0.0000787%), (KO, 0, 0.35%, 0.0000787%), (KO, 0, 0.35%, 0.0000787%), (KO, 0, 0.35%, 0.0000787%), (CRM, 0, 0.34%, 0.0000909%), (CRM, 0, 0.34%, 0.0000909%), (BKNG, 0, 0.34%, 0.0001272%), (CRM, 0, 0.34%, 0.0000909%), (CRM, 0, 0.34%, 0.0000909%), (CRM, 0, 0.34%, 0.0000909%), (CRM, 0, 0.34%, 0.0000909%), (UNH, 0, 0.34%, 0.0001586%), (BAC, 0, 0.34%, 0.0000654%), (BAC, 0, 0.34%, 0.0000654%), (BAC, 0, 0.34%, 0.0000654%), (BAC, 0, 0.34%, 0.0000654%), (BAC, 0, 0.34%, 0.0000654%), (UNH, 0, 0.34%, 0.0001586%), (BAC, 0, 0.34%, 0.0000654%), (UNH, 0, 0.34%, 0.0001586%), (UNH, 0, 0.34%, 0.0001586%), (UNH, 0, 0.34%, 0.0001586%), (UNH, 0, 0.33%, 0.0001586%), (ISRG, 0, 0.33%, 0.0001182%), (ISRG, 0, 0.33%, 0.0001182%), (ISRG, 0, 0.33%, 0.0001182%), (ISRG, 0, 0.33%, 0.0001182%), (ISRG, 0, 0.33%, 0.0001182%), (ISRG, 0, 0.33%, 0.0001182%), (NKE, 0, 0.31%, 0.0002432%), (NKE, 0, 0.31%, 0.0002432%), (NKE, 0, 0.31%, 0.0002432%), (NKE, 0, 0.31%, 0.0002432%), (NKE, 0, 0.31%, 0.0002432%), (NKE, 0, 0.31%, 0.0002432%), (BA, 0, 0.31%, 0.0001315%), (BA, 0, 0.31%, 0.0001315%), (BA, 0, 0.31%, 0.0001315%), (BA, 0, 0.31%, 0.0001315%), (BA, 0, 0.31%, 0.0001315%), (BA, 0, 0.31%, 0.0001315%), (HON, 0, 0.30%, 0.0001370%), (HON, 0, 0.30%, 0.0001370%), (HON, 0, 0.30%, 0.0001370%), (HON, 0, 0.30%, 0.0001370%), (HON, 0, 0.30%, 0.0001370%), (HON, 0, 0.30%, 0.0001370%), (DUK, 0, 0.29%, 0.0002159%), (INTU, 0, 0.29%, 0.0000911%), (INTU, 0, 0.29%, 0.0000911%), (INTU, 0, 0.29%, 0.0000911%), (INTU, 0, 0.29%, 0.0000911%), (INTU, 0, 0.29%, 0.0000911%), (MET, 0, 0.29%, 0.0003621%), (GS, 0, 0.28%, 0.0000922%), (GS, 0, 0.28%, 0.0000922%), (GS, 0, 0.28%, 0.0000922%), (GS, 0, 0.28%, 0.0000922%), (GS, 0, 0.28%, 0.0000922%), (WMT, 0, 0.28%, 0.0000493%), (WMT, 0, 0.28%, 0.0000493%), (WMT, 0, 0.28%, 0.0000493%), (WMT, 0, 0.28%, 0.0000493%), (WMT, 0, 0.28%, 0.0000493%), (WMT, 0, 0.28%, 0.0000493%), (NOW, 0, 0.28%, 0.0000897%), (NOW, 0, 0.28%, 0.0000897%), (NOW, 0, 0.28%, 0.0000897%), (NOW, 0, 0.28%, 0.0000897%), (ETN, 0, 0.27%, 0.0001358%), (ETN, 0, 0.27%, 0.0001358%), (ETN, 0, 0.27%, 0.0001358%), (ETN, 0, 0.27%, 0.0001358%), (ETN, 0, 0.27%, 0.0001358%), (ETN, 0, 0.27%, 0.0001358%), (AMD, 0, 0.27%, 0.0000836%), (AMD, 0, 0.27%, 0.0000836%), (AMD, 0, 0.27%, 0.0000836%), (AMD, 0, 0.27%, 0.0000836%), (AMD, 0, 0.27%, 0.0000836%), (AMD, 0, 0.27%, 0.0000836%), (DE, 0, 0.25%, 0.0001258%), (DE, 0, 0.25%, 0.0001258%), (DE, 0, 0.25%, 0.0001258%), (DE, 0, 0.25%, 0.0001258%), (DE, 0, 0.25%, 0.0001258%), (ACN, 0, 0.25%, 0.0000909%), (ACN, 0, 0.25%, 0.0000909%), (ACN, 0, 0.25%, 0.0000909%), (ACN, 0, 0.25%, 0.0000909%), (ACN, 0, 0.25%, 0.0000909%), (RTX, 0, 0.25%, 0.0001760%), (RTX, 0, 0.25%, 0.0001760%), (RTX, 0, 0.25%, 0.0001760%), (RTX, 0, 0.25%, 0.0001760%), (RTX, 0, 0.25%, 0.0001760%), (RTX, 0, 0.25%, 0.0001760%), (ACN, 0, 0.25%, 0.0000909%), (PEP, 0, 0.24%, 0.0000876%), (PEP, 0, 0.24%, 0.0000876%), (PEP, 0, 0.24%, 0.0000876%), (PLTR, 0, 0.24%, 0.0001083%), (PLTR, 0, 0.24%, 0.0001083%), (PLTR, 0, 0.24%, 0.0001083%), (PLTR, 0, 0.24%, 0.0001083%), (PLTR, 0, 0.24%, 0.0001083%), (PLTR, 0, 0.24%, 0.0001083%), (PEP, 0, 0.24%, 0.0000876%), (PEP, 0, 0.24%, 0.0000876%), (PEP, 0, 0.23%, 0.0000876%), (PM, 0, 0.23%, 0.0001157%), (PM, 0, 0.23%, 0.0001157%), (PM, 0, 0.23%, 0.0001157%), (PM, 0, 0.23%, 0.0001157%), (PM, 0, 0.23%, 0.0001157%), (PM, 0, 0.23%, 0.0001157%), (AXP, 0, 0.23%, 0.0000711%), (AXP, 0, 0.23%, 0.0000711%), (AXP, 0, 0.23%, 0.0000711%), (AXP, 0, 0.23%, 0.0000711%), (AXP, 0, 0.23%, 0.0000711%), (AXP, 0, 0.23%, 0.0000711%), (ADBE, 0, 0.23%, 0.0000953%), (ADBE, 0, 0.23%, 0.0000953%), (ADBE, 0, 0.23%, 0.0000953%), (ADBE, 0, 0.23%, 0.0000953%), (ADBE, 0, 0.23%, 0.0000953%), (ADBE, 0, 0.23%, 0.0000953%), (MS, 0, 0.23%, 0.0000684%), (MS, 0, 0.23%, 0.0000684%), (MS, 0, 0.23%, 0.0000684%), (MS, 0, 0.23%, 0.0000684%), (MS, 0, 0.23%, 0.0000684%), (MS, 0, 0.23%, 0.0000684%), (MRK, 0, 0.22%, 0.0000749%), (MRK, 0, 0.22%, 0.0000749%), (MRK, 0, 0.22%, 0.0000749%), (MRK, 0, 0.22%, 0.0000749%), (MRK, 0, 0.22%, 0.0000749%), (MRK, 0, 0.22%, 0.0000749%), (SO, 0, 0.21%, 0.0002869%), (SO, 0, 0.21%, 0.0002869%), (SO, 0, 0.21%, 0.0002869%), (SO, 0, 0.21%, 0.0002869%), (SO, 0, 0.21%, 0.0002869%), (SO, 0, 0.21%, 0.0002869%), (DIS, 0, 0.21%, 0.0000641%), (DIS, 0, 0.21%, 0.0000641%), (DIS, 0, 0.21%, 0.0000641%), (DIS, 0, 0.21%, 0.0000641%), (DIS, 0, 0.21%, 0.0000641%), (DIS, 0, 0.21%, 0.0000641%), (BLK, 0, 0.20%, 0.0000827%), (BLK, 0, 0.20%, 0.0000827%), (BLK, 0, 0.20%, 0.0000827%), (COP, 0, 0.20%, 0.0001166%), (MDT, 0, 0.20%, 0.0001177%), (COP, 0, 0.20%, 0.0001166%), (MDT, 0, 0.20%, 0.0001177%), (COP, 0, 0.20%, 0.0001166%), (COP, 0, 0.20%, 0.0001166%), (COP, 0, 0.20%, 0.0001166%), (MDT, 0, 0.20%, 0.0001177%), (MDT, 0, 0.20%, 0.0001177%), (MDT, 0, 0.20%, 0.0001177%), (COP, 0, 0.19%, 0.0001166%), (MDT, 0, 0.19%, 0.0001177%), (UBER, 0, 0.19%, 0.0001369%), (UBER, 0, 0.19%, 0.0001369%), (UBER, 0, 0.19%, 0.0001369%), (LMT, 0, 0.19%, 0.0001219%), (LMT, 0, 0.19%, 0.0001219%), (LMT, 0, 0.19%, 0.0001219%), (LMT, 0, 0.19%, 0.0001219%), (UBER, 0, 0.19%, 0.0001369%), (UBER, 0, 0.19%, 0.0001369%), (LMT, 0, 0.19%, 0.0001219%), (UBER, 0, 0.19%, 0.0001369%), (WFC, 0, 0.19%, 0.0001000%), (WFC, 0, 0.19%, 0.0001000%), (WFC, 0, 0.19%, 0.0001000%), (WFC, 0, 0.19%, 0.0001000%), (WFC, 0, 0.19%, 0.0001000%), (WFC, 0, 0.19%, 0.0001000%), (AMAT, 0, 0.19%, 0.0000865%), (AMAT, 0, 0.19%, 0.0000865%), (AMAT, 0, 0.19%, 0.0000865%), (AMAT, 0, 0.18%, 0.0000865%), (AMAT, 0, 0.18%, 0.0000865%), (AMAT, 0, 0.18%, 0.0000865%), (C, 0, 0.17%, 0.0000746%), (C, 0, 0.17%, 0.0000746%), (C, 0, 0.17%, 0.0000746%), (C, 0, 0.17%, 0.0000746%), (C, 0, 0.17%, 0.0000746%), (C, 0, 0.17%, 0.0000746%), (AMGN, 0, 0.17%, 0.0000738%), (AMGN, 0, 0.17%, 0.0000738%), (AMGN, 0, 0.17%, 0.0000738%), (AMGN, 0, 0.17%, 0.0000738%), (AMGN, 0, 0.17%, 0.0000738%), (AMGN, 0, 0.17%, 0.0000738%), (MMM, 0, 0.16%, 0.0001371%), (MMM, 0, 0.16%, 0.0001371%), (MMM, 0, 0.16%, 0.0001371%), (MMM, 0, 0.16%, 0.0001371%), (MMM, 0, 0.16%, 0.0001371%), (MMM, 0, 0.16%, 0.0001371%), (T, 0, 0.16%, 0.0004981%), (T, 0, 0.16%, 0.0004981%), (T, 0, 0.16%, 0.0004981%), (T, 0, 0.16%, 0.0004981%), (T, 0, 0.16%, 0.0004981%), (T, 0, 0.16%, 0.0004981%), (ELV, 0, 0.16%, 0.0001228%), (TXN, 0, 0.16%, 0.0001113%), (TXN, 0, 0.16%, 0.0001113%), (TXN, 0, 0.15%, 0.0001113%), (TXN, 0, 0.15%, 0.0001113%), (TXN, 0, 0.15%, 0.0001113%), (TXN, 0, 0.15%, 0.0001113%), (PFE, 0, 0.15%, 0.0000737%), (PFE, 0, 0.15%, 0.0000737%), (PFE, 0, 0.15%, 0.0000737%), (PFE, 0, 0.15%, 0.0000737%), (PFE, 0, 0.15%, 0.0000737%), (PFE, 0, 0.15%, 0.0000737%), (EMR, 0, 0.15%, 0.0001355%), (EMR, 0, 0.15%, 0.0001355%), (CVS, 0, 0.15%, 0.0001167%), (EMR, 0, 0.15%, 0.0001355%), (EMR, 0, 0.15%, 0.0001355%), (EMR, 0, 0.15%, 0.0001355%), (GILD, 0, 0.15%, 0.0000742%), (CVS, 0, 0.15%, 0.0001167%), (GILD, 0, 0.15%, 0.0000742%), (CVS, 0, 0.15%, 0.0001167%), (EMR, 0, 0.15%, 0.0001355%), (GILD, 0, 0.15%, 0.0000742%), (CVS, 0, 0.15%, 0.0001167%), (CVS, 0, 0.15%, 0.0001167%), (GILD, 0, 0.15%, 0.0000742%), (GILD, 0, 0.15%, 0.0000742%), (GILD, 0, 0.15%, 0.0000742%), (CVS, 0, 0.15%, 0.0001167%), (QCOM, 0, 0.14%, 0.0001142%), (SPGI, 0, 0.14%, 0.0001225%), (SPGI, 0, 0.14%, 0.0001225%), (SPGI, 0, 0.14%, 0.0001225%), (SPGI, 0, 0.14%, 0.0001225%), (QCOM, 0, 0.14%, 0.0001142%), (SPGI, 0, 0.14%, 0.0001225%), (QCOM, 0, 0.14%, 0.0001142%), (QCOM, 0, 0.14%, 0.0001142%), (QCOM, 0, 0.14%, 0.0001142%), (VZ, 0, 0.14%, 0.0001064%), (VZ, 0, 0.14%, 0.0001064%), (QCOM, 0, 0.14%, 0.0001142%), (VZ, 0, 0.14%, 0.0001064%), (VZ, 0, 0.14%, 0.0001064%), (VZ, 0, 0.14%, 0.0001064%), (UNP, 0, 0.14%, 0.0001386%), (UNP, 0, 0.14%, 0.0001386%), (UNP, 0, 0.14%, 0.0001386%), (UNP, 0, 0.14%, 0.0001386%), (VZ, 0, 0.14%, 0.0001064%), (UNP, 0, 0.14%, 0.0001386%), (UNP, 0, 0.14%, 0.0001386%), (DHR, 0, 0.14%, 0.0000672%), (DHR, 0, 0.14%, 0.0000672%), (DHR, 0, 0.14%, 0.0000672%), (DHR, 0, 0.14%, 0.0000672%), (DHR, 0, 0.14%, 0.0000672%), (DHR, 0, 0.14%, 0.0000672%), (SBUX, 0, 0.13%, 0.0001633%), (SBUX, 0, 0.13%, 0.0001633%), (SBUX, 0, 0.13%, 0.0001633%), (SBUX, 0, 0.13%, 0.0001633%), (LOW, 0, 0.13%, 0.0000682%), (SBUX, 0, 0.13%, 0.0001633%), (LOW, 0, 0.13%, 0.0000682%), (LOW, 0, 0.13%, 0.0000682%), (LOW, 0, 0.13%, 0.0000682%), (LOW, 0, 0.13%, 0.0000682%), (SBUX, 0, 0.13%, 0.0001633%), (LOW, 0, 0.13%, 0.0000682%), (MO, 0, 0.13%, 0.0000882%), (MO, 0, 0.13%, 0.0000882%), (MO, 0, 0.13%, 0.0000882%), (MO, 0, 0.13%, 0.0000882%), (MO, 0, 0.13%, 0.0000882%), (MO, 0, 0.13%, 0.0000882%), (INTC, 0, 0.12%, 0.0000775%), (INTC, 0, 0.12%, 0.0000775%), (INTC, 0, 0.12%, 0.0000775%), (INTC, 0, 0.12%, 0.0000775%), (INTC, 0, 0.12%, 0.0000775%), (INTC, 0, 0.12%, 0.0000775%), (MDLZ, 0, 0.12%, 0.0000905%), (MDLZ, 0, 0.12%, 0.0000905%), (MDLZ, 0, 0.12%, 0.0000905%), (MDLZ, 0, 0.12%, 0.0000905%), (MDLZ, 0, 0.12%, 0.0000905%), (MDLZ, 0, 0.12%, 0.0000905%), (SCHW, 0, 0.12%, 0.0000961%), (SCHW, 0, 0.12%, 0.0000961%), (SCHW, 0, 0.12%, 0.0000961%), (SCHW, 0, 0.12%, 0.0000961%), (SCHW, 0, 0.12%, 0.0000961%), (SCHW, 0, 0.12%, 0.0000961%), (TMO, 0, 0.12%, 0.0000998%), (TMO, 0, 0.12%, 0.0000998%), (TMO, 0, 0.12%, 0.0000998%), (TMO, 0, 0.12%, 0.0000998%), (TMO, 0, 0.11%, 0.0000998%), (BMY, 0, 0.10%, 0.0000736%), (BMY, 0, 0.10%, 0.0000736%), (BMY, 0, 0.10%, 0.0000736%), (BMY, 0, 0.10%, 0.0000736%), (BMY, 0, 0.10%, 0.0000736%), (BMY, 0, 0.10%, 0.0000736%), (TJX, 0, 0.09%, 0.0000906%), (TJX, 0, 0.09%, 0.0000906%), (TJX, 0, 0.09%, 0.0000906%), (TJX, 0, 0.09%, 0.0000906%), (TJX, 0, 0.09%, 0.0000906%), (TJX, 0, 0.09%, 0.0000906%), (CL, 0, 0.09%, 0.0000806%), (CL, 0, 0.09%, 0.0000806%), (CL, 0, 0.09%, 0.0000806%), (CL, 0, 0.09%, 0.0000806%), (CL, 0, 0.09%, 0.0000806%), (CL, 0, 0.09%, 0.0000806%), (CMCSA, 0, 0.09%, 0.0000448%), (FDX, 0, 0.08%, 0.0000975%), (FDX, 0, 0.08%, 0.0000975%), (FDX, 0, 0.08%, 0.0000975%), (FDX, 0, 0.08%, 0.0000975%), (FDX, 0, 0.08%, 0.0000975%), (UPS, 0, 0.08%, 0.0001348%), (UPS, 0, 0.08%, 0.0001348%), (UPS, 0, 0.08%, 0.0001348%), (UPS, 0, 0.08%, 0.0001348%), (UPS, 0, 0.08%, 0.0001348%), (UPS, 0, 0.07%, 0.0001348%), (PYPL, 0, 0.06%, 0.0001252%), (PYPL, 0, 0.06%, 0.0001252%), (PYPL, 0, 0.06%, 0.0001252%), (PYPL, 0, 0.06%, 0.0001252%), (PYPL, 0, 0.06%, 0.0001252%), (PYPL, 0, 0.06%, 0.0001252%), (USB, 0, 0.05%, 0.0000965%), (USB, 0, 0.05%, 0.0000965%), (USB, 0, 0.05%, 0.0000965%), (USB, 0, 0.05%, 0.0000965%), (USB, 0, 0.05%, 0.0000965%), (USB, 0, 0.05%, 0.0000965%), (TGT, 0, 0.03%, 0.0000918%), (TGT, 0, 0.03%, 0.0000918%), (TGT, 0, 0.03%, 0.0000918%), (TGT, 0, 0.03%, 0.0000918%), (TGT, 0, 0.03%, 0.0000918%), (nan, 0, -0.00%, 0.0000000%), (nan, 0, -0.00%, 0.0000000%), (nan, 0, -0.00%, 0.0000000%), (nan, 0, -0.00%, 0.0000000%), (nan, 0, -0.00%, 0.0000000%), (nan, 0, -0.00%, 0.0000000%), (nan, 0, -0.00%, 0.0000000%), (nan, 0, -0.00%, 0.0000000%), (nan, 0, -0.00%, 0.0000000%), (nan, 0, -0.00%, 0.0000000%), (nan, 0, -0.00%, 0.0000000%), (nan, 0, -0.01%, 0.0000000%)</t>
  </si>
  <si>
    <t>NVDA, NVDA, NVDA, NVDA, NVDA</t>
  </si>
  <si>
    <t>(MSFT, 0, 4.30%, 0.0000602%), (MSFT, 0, 4.30%, 0.0000602%), (MSFT, 0, 4.30%, 0.0000602%), (MSFT, 0, 4.30%, 0.0000602%), (MSFT, 0, 4.30%, 0.0000602%), (MSFT, 0, 4.30%, 0.0000602%), (AAPL, 0, 3.68%, 0.0000616%), (AAPL, 0, 3.68%, 0.0000616%), (AAPL, 0, 3.68%, 0.0000616%), (AAPL, 0, 3.67%, 0.0000616%), (AAPL, 0, 3.67%, 0.0000616%), (AAPL, 0, 3.66%, 0.0000616%), (AMZN, 0, 2.72%, 0.0000590%), (AMZN, 0, 2.71%, 0.0000590%), (AMZN, 0, 2.71%, 0.0000590%), (AMZN, 0, 2.71%, 0.0000590%), (AMZN, 0, 2.71%, 0.0000590%), (AMZN, 0, 2.71%, 0.0000590%), (GOOGLE, 0, 2.32%, 0.0000601%), (AVGO, 0, 2.02%, 0.0000827%), (AVGO, 0, 2.02%, 0.0000827%), (AVGO, 0, 2.02%, 0.0000827%), (AVGO, 0, 2.02%, 0.0000827%), (AVGO, 0, 2.02%, 0.0000827%), (AVGO, 0, 2.02%, 0.0000827%), (META, 0, 1.95%, 0.0000637%), (META, 0, 1.95%, 0.0000637%), (META, 0, 1.95%, 0.0000637%), (META, 0, 1.95%, 0.0000637%), (META, 0, 1.95%, 0.0000637%), (META, 0, 1.95%, 0.0000637%), (BRK/B, 0, 1.54%, 0.0001170%), (BRK/B, 0, 1.54%, 0.0001170%), (BRK/B, 0, 1.54%, 0.0001170%), (BRK/B, 0, 1.54%, 0.0001170%), (BRK/B, 0, 1.54%, 0.0001170%), (BRK/B, 0, 1.54%, 0.0001170%), (CSCO, 0, 1.32%, 0.0002479%), (CSCO, 0, 1.32%, 0.0002479%), (CSCO, 0, 1.32%, 0.0002479%), (CSCO, 0, 1.32%, 0.0002479%), (CSCO, 0, 1.32%, 0.0002479%), (CSCO, 0, 1.32%, 0.0002479%), (LIN, 0, 1.29%, 0.0002969%), (AMT, 0, 1.23%, 0.0006008%), (JPM, 0, 1.16%, 0.0000743%), (JPM, 0, 1.16%, 0.0000743%), (JPM, 0, 1.16%, 0.0000743%), (JPM, 0, 1.16%, 0.0000743%), (JPM, 0, 1.16%, 0.0000743%), (JPM, 0, 1.15%, 0.0000743%), (LLY, 0, 0.88%, 0.0000616%), (LLY, 0, 0.88%, 0.0000616%), (LLY, 0, 0.88%, 0.0000616%), (LLY, 0, 0.88%, 0.0000616%), (LLY, 0, 0.88%, 0.0000616%), (LLY, 0, 0.88%, 0.0000616%), (CB, 0, 0.88%, 0.0003944%), (MA, 0, 0.79%, 0.0000810%), (MA, 0, 0.79%, 0.0000810%), (MA, 0, 0.79%, 0.0000810%), (MA, 0, 0.79%, 0.0000810%), (MA, 0, 0.79%, 0.0000810%), (MA, 0, 0.79%, 0.0000810%), (TSLA, 0, 0.72%, 0.0000740%), (TSLA, 0, 0.72%, 0.0000740%), (TSLA, 0, 0.72%, 0.0000740%), (TSLA, 0, 0.72%, 0.0000740%), (TSLA, 0, 0.72%, 0.0000740%), (TSLA, 0, 0.72%, 0.0000740%), (GE, 0, 0.70%, 0.0001372%), (GE, 0, 0.70%, 0.0001372%), (GE, 0, 0.70%, 0.0001372%), (GE, 0, 0.70%, 0.0001372%), (GE, 0, 0.70%, 0.0001372%), (GE, 0, 0.70%, 0.0001372%), (XOM, 0, 0.70%, 0.0001539%), (V, 0, 0.70%, 0.0001188%), (XOM, 0, 0.70%, 0.0001539%), (XOM, 0, 0.70%, 0.0001539%), (XOM, 0, 0.70%, 0.0001539%), (XOM, 0, 0.70%, 0.0001539%), (V, 0, 0.70%, 0.0001188%), (XOM, 0, 0.70%, 0.0001539%), (V, 0, 0.70%, 0.0001188%), (V, 0, 0.70%, 0.0001188%), (V, 0, 0.70%, 0.0001188%), (V, 0, 0.69%, 0.0001188%), (NFLX, 0, 0.69%, 0.0000642%), (NFLX, 0, 0.69%, 0.0000642%), (NFLX, 0, 0.69%, 0.0000642%), (NFLX, 0, 0.69%, 0.0000642%), (NFLX, 0, 0.69%, 0.0000642%), (NEE, 0, 0.64%, 0.0002144%), (NEE, 0, 0.64%, 0.0002144%), (NEE, 0, 0.63%, 0.0002144%), (NEE, 0, 0.63%, 0.0002144%), (NEE, 0, 0.63%, 0.0002144%), (NEE, 0, 0.63%, 0.0002144%), (ORCL, 0, 0.62%, 0.0000511%), (ORCL, 0, 0.62%, 0.0000511%), (ORCL, 0, 0.62%, 0.0000511%), (ORCL, 0, 0.62%, 0.0000511%), (ORCL, 0, 0.62%, 0.0000511%), (ORCL, 0, 0.62%, 0.0000511%), (PG, 0, 0.59%, 0.0000802%), (PG, 0, 0.59%, 0.0000802%), (PG, 0, 0.59%, 0.0000802%), (PG, 0, 0.59%, 0.0000802%), (PG, 0, 0.59%, 0.0000802%), (PG, 0, 0.59%, 0.0000802%), (COST, 0, 0.58%, 0.0000683%), (COST, 0, 0.58%, 0.0000683%), (COST, 0, 0.58%, 0.0000683%), (COST, 0, 0.58%, 0.0000683%), (COST, 0, 0.58%, 0.0000683%), (ABT, 0, 0.54%, 0.0001174%), (ABT, 0, 0.54%, 0.0001174%), (ABT, 0, 0.54%, 0.0001174%), (ABT, 0, 0.54%, 0.0001174%), (ABT, 0, 0.54%, 0.0001174%), (JNJ, 0, 0.54%, 0.0000739%), (ABT, 0, 0.54%, 0.0001174%), (JNJ, 0, 0.54%, 0.0000739%), (JNJ, 0, 0.54%, 0.0000739%), (JNJ, 0, 0.54%, 0.0000739%), (JNJ, 0, 0.54%, 0.0000739%), (JNJ, 0, 0.54%, 0.0000739%), (CVX, 0, 0.53%, 0.0000918%), (CVX, 0, 0.53%, 0.0000918%), (CVX, 0, 0.53%, 0.0000918%), (CVX, 0, 0.53%, 0.0000918%), (CVX, 0, 0.53%, 0.0000918%), (CVX, 0, 0.53%, 0.0000918%), (WM, 0, 0.52%, 0.0005724%), (MCD, 0, 0.51%, 0.0001240%), (MCD, 0, 0.51%, 0.0001240%), (MCD, 0, 0.51%, 0.0001240%), (MCD, 0, 0.51%, 0.0001240%), (MCD, 0, 0.51%, 0.0001240%), (MCD, 0, 0.51%, 0.0001240%), (CAT, 0, 0.49%, 0.0001378%), (CAT, 0, 0.49%, 0.0001378%), (CAT, 0, 0.49%, 0.0001378%), (CAT, 0, 0.49%, 0.0001378%), (CAT, 0, 0.49%, 0.0001378%), (CAT, 0, 0.49%, 0.0001378%), (HD, 0, 0.49%, 0.0000673%), (HD, 0, 0.49%, 0.0000673%), (HD, 0, 0.49%, 0.0000673%), (HD, 0, 0.49%, 0.0000673%), (HD, 0, 0.49%, 0.0000673%), (HD, 0, 0.49%, 0.0000673%), (ABBV, 0, 0.48%, 0.0000740%), (ABBV, 0, 0.48%, 0.0000740%), (ABBV, 0, 0.48%, 0.0000740%), (ABBV, 0, 0.48%, 0.0000740%), (ABBV, 0, 0.48%, 0.0000740%), (ABBV, 0, 0.48%, 0.0000740%), (IBM, 0, 0.48%, 0.0000896%), (IBM, 0, 0.48%, 0.0000896%), (IBM, 0, 0.48%, 0.0000896%), (IBM, 0, 0.48%, 0.0000896%), (IBM, 0, 0.48%, 0.0000896%), (IBM, 0, 0.47%, 0.0000896%), (KO, 0, 0.47%, 0.0000787%), (KO, 0, 0.47%, 0.0000787%), (KO, 0, 0.47%, 0.0000787%), (KO, 0, 0.47%, 0.0000787%), (KO, 0, 0.47%, 0.0000787%), (KO, 0, 0.47%, 0.0000787%), (CRM, 0, 0.46%, 0.0000909%), (CRM, 0, 0.46%, 0.0000909%), (BKNG, 0, 0.46%, 0.0001272%), (CRM, 0, 0.46%, 0.0000909%), (CRM, 0, 0.46%, 0.0000909%), (CRM, 0, 0.46%, 0.0000909%), (CRM, 0, 0.46%, 0.0000909%), (UNH, 0, 0.46%, 0.0001586%), (BAC, 0, 0.46%, 0.0000654%), (BAC, 0, 0.45%, 0.0000654%), (BAC, 0, 0.45%, 0.0000654%), (BAC, 0, 0.45%, 0.0000654%), (BAC, 0, 0.45%, 0.0000654%), (UNH, 0, 0.45%, 0.0001586%), (BAC, 0, 0.45%, 0.0000654%), (UNH, 0, 0.45%, 0.0001586%), (UNH, 0, 0.45%, 0.0001586%), (UNH, 0, 0.45%, 0.0001586%), (UNH, 0, 0.45%, 0.0001586%), (ISRG, 0, 0.44%, 0.0001182%), (ISRG, 0, 0.44%, 0.0001182%), (ISRG, 0, 0.44%, 0.0001182%), (ISRG, 0, 0.44%, 0.0001182%), (ISRG, 0, 0.44%, 0.0001182%), (ISRG, 0, 0.44%, 0.0001182%), (NKE, 0, 0.41%, 0.0002432%), (NKE, 0, 0.41%, 0.0002432%), (NKE, 0, 0.41%, 0.0002432%), (NKE, 0, 0.41%, 0.0002432%), (NKE, 0, 0.41%, 0.0002432%), (NKE, 0, 0.41%, 0.0002432%), (BA, 0, 0.41%, 0.0001315%), (BA, 0, 0.41%, 0.0001315%), (BA, 0, 0.41%, 0.0001315%), (BA, 0, 0.41%, 0.0001315%), (BA, 0, 0.41%, 0.0001315%), (BA, 0, 0.41%, 0.0001315%), (HON, 0, 0.41%, 0.0001370%), (HON, 0, 0.40%, 0.0001370%), (HON, 0, 0.40%, 0.0001370%), (HON, 0, 0.40%, 0.0001370%), (HON, 0, 0.40%, 0.0001370%), (HON, 0, 0.40%, 0.0001370%), (DUK, 0, 0.39%, 0.0002159%), (INTU, 0, 0.39%, 0.0000911%), (INTU, 0, 0.39%, 0.0000911%), (INTU, 0, 0.39%, 0.0000911%), (INTU, 0, 0.39%, 0.0000911%), (INTU, 0, 0.39%, 0.0000911%), (MET, 0, 0.38%, 0.0003621%), (GS, 0, 0.38%, 0.0000922%), (GS, 0, 0.38%, 0.0000922%), (GS, 0, 0.38%, 0.0000922%), (GS, 0, 0.38%, 0.0000922%), (GS, 0, 0.38%, 0.0000922%), (WMT, 0, 0.38%, 0.0000493%), (WMT, 0, 0.38%, 0.0000493%), (WMT, 0, 0.38%, 0.0000493%), (WMT, 0, 0.38%, 0.0000493%), (WMT, 0, 0.38%, 0.0000493%), (WMT, 0, 0.37%, 0.0000493%), (NOW, 0, 0.37%, 0.0000897%), (NOW, 0, 0.37%, 0.0000897%), (NOW, 0, 0.37%, 0.0000897%), (NOW, 0, 0.37%, 0.0000897%), (ETN, 0, 0.37%, 0.0001358%), (ETN, 0, 0.37%, 0.0001358%), (ETN, 0, 0.37%, 0.0001358%), (ETN, 0, 0.37%, 0.0001358%), (ETN, 0, 0.37%, 0.0001358%), (ETN, 0, 0.37%, 0.0001358%), (AMD, 0, 0.36%, 0.0000836%), (AMD, 0, 0.36%, 0.0000836%), (AMD, 0, 0.36%, 0.0000836%), (AMD, 0, 0.36%, 0.0000836%), (AMD, 0, 0.36%, 0.0000836%), (AMD, 0, 0.36%, 0.0000836%), (DE, 0, 0.34%, 0.0001258%), (DE, 0, 0.34%, 0.0001258%), (DE, 0, 0.34%, 0.0001258%), (DE, 0, 0.34%, 0.0001258%), (DE, 0, 0.34%, 0.0001258%), (ACN, 0, 0.33%, 0.0000909%), (ACN, 0, 0.33%, 0.0000909%), (ACN, 0, 0.33%, 0.0000909%), (ACN, 0, 0.33%, 0.0000909%), (ACN, 0, 0.33%, 0.0000909%), (RTX, 0, 0.33%, 0.0001760%), (RTX, 0, 0.33%, 0.0001760%), (RTX, 0, 0.33%, 0.0001760%), (RTX, 0, 0.33%, 0.0001760%), (RTX, 0, 0.33%, 0.0001760%), (RTX, 0, 0.33%, 0.0001760%), (ACN, 0, 0.33%, 0.0000909%), (PEP, 0, 0.32%, 0.0000876%), (PEP, 0, 0.32%, 0.0000876%), (PEP, 0, 0.31%, 0.0000876%), (PLTR, 0, 0.31%, 0.0001083%), (PLTR, 0, 0.31%, 0.0001083%), (PLTR, 0, 0.31%, 0.0001083%), (PLTR, 0, 0.31%, 0.0001083%), (PLTR, 0, 0.31%, 0.0001083%), (PLTR, 0, 0.31%, 0.0001083%), (PEP, 0, 0.31%, 0.0000876%), (PEP, 0, 0.31%, 0.0000876%), (PEP, 0, 0.31%, 0.0000876%), (PM, 0, 0.31%, 0.0001157%), (PM, 0, 0.31%, 0.0001157%), (PM, 0, 0.31%, 0.0001157%), (PM, 0, 0.31%, 0.0001157%), (PM, 0, 0.31%, 0.0001157%), (PM, 0, 0.31%, 0.0001157%), (AXP, 0, 0.31%, 0.0000711%), (AXP, 0, 0.31%, 0.0000711%), (AXP, 0, 0.31%, 0.0000711%), (AXP, 0, 0.31%, 0.0000711%), (AXP, 0, 0.31%, 0.0000711%), (AXP, 0, 0.31%, 0.0000711%), (ADBE, 0, 0.31%, 0.0000953%), (ADBE, 0, 0.31%, 0.0000953%), (ADBE, 0, 0.31%, 0.0000953%), (ADBE, 0, 0.30%, 0.0000953%), (ADBE, 0, 0.30%, 0.0000953%), (ADBE, 0, 0.30%, 0.0000953%), (MS, 0, 0.30%, 0.0000684%), (MS, 0, 0.30%, 0.0000684%), (MS, 0, 0.30%, 0.0000684%), (MS, 0, 0.30%, 0.0000684%), (MS, 0, 0.30%, 0.0000684%), (MS, 0, 0.30%, 0.0000684%), (MRK, 0, 0.30%, 0.0000749%), (MRK, 0, 0.30%, 0.0000749%), (MRK, 0, 0.30%, 0.0000749%), (MRK, 0, 0.30%, 0.0000749%), (MRK, 0, 0.30%, 0.0000749%), (MRK, 0, 0.29%, 0.0000749%), (SO, 0, 0.28%, 0.0002869%), (SO, 0, 0.28%, 0.0002869%), (SO, 0, 0.28%, 0.0002869%), (SO, 0, 0.28%, 0.0002869%), (SO, 0, 0.28%, 0.0002869%), (SO, 0, 0.28%, 0.0002869%), (DIS, 0, 0.28%, 0.0000641%), (DIS, 0, 0.28%, 0.0000641%), (DIS, 0, 0.28%, 0.0000641%), (DIS, 0, 0.28%, 0.0000641%), (DIS, 0, 0.28%, 0.0000641%), (DIS, 0, 0.28%, 0.0000641%), (BLK, 0, 0.26%, 0.0000827%), (BLK, 0, 0.26%, 0.0000827%), (BLK, 0, 0.26%, 0.0000827%), (COP, 0, 0.26%, 0.0001166%), (MDT, 0, 0.26%, 0.0001177%), (COP, 0, 0.26%, 0.0001166%), (MDT, 0, 0.26%, 0.0001177%), (COP, 0, 0.26%, 0.0001166%), (COP, 0, 0.26%, 0.0001166%), (COP, 0, 0.26%, 0.0001166%), (MDT, 0, 0.26%, 0.0001177%), (MDT, 0, 0.26%, 0.0001177%), (MDT, 0, 0.26%, 0.0001177%), (COP, 0, 0.26%, 0.0001166%), (MDT, 0, 0.26%, 0.0001177%), (UBER, 0, 0.26%, 0.0001369%), (UBER, 0, 0.26%, 0.0001369%), (UBER, 0, 0.26%, 0.0001369%), (LMT, 0, 0.26%, 0.0001219%), (LMT, 0, 0.26%, 0.0001219%), (LMT, 0, 0.26%, 0.0001219%), (LMT, 0, 0.26%, 0.0001219%), (UBER, 0, 0.26%, 0.0001369%), (UBER, 0, 0.26%, 0.0001369%), (LMT, 0, 0.25%, 0.0001219%), (UBER, 0, 0.25%, 0.0001369%), (WFC, 0, 0.25%, 0.0001000%), (WFC, 0, 0.25%, 0.0001000%), (WFC, 0, 0.25%, 0.0001000%), (WFC, 0, 0.25%, 0.0001000%), (WFC, 0, 0.25%, 0.0001000%), (WFC, 0, 0.25%, 0.0001000%), (AMAT, 0, 0.25%, 0.0000865%), (AMAT, 0, 0.25%, 0.0000865%), (AMAT, 0, 0.25%, 0.0000865%), (AMAT, 0, 0.25%, 0.0000865%), (AMAT, 0, 0.25%, 0.0000865%), (AMAT, 0, 0.25%, 0.0000865%), (C, 0, 0.23%, 0.0000746%), (C, 0, 0.23%, 0.0000746%), (C, 0, 0.23%, 0.0000746%), (C, 0, 0.23%, 0.0000746%), (C, 0, 0.23%, 0.0000746%), (C, 0, 0.23%, 0.0000746%), (AMGN, 0, 0.22%, 0.0000738%), (AMGN, 0, 0.22%, 0.0000738%), (AMGN, 0, 0.22%, 0.0000738%), (AMGN, 0, 0.22%, 0.0000738%), (AMGN, 0, 0.22%, 0.0000738%), (AMGN, 0, 0.22%, 0.0000738%), (MMM, 0, 0.22%, 0.0001371%), (MMM, 0, 0.22%, 0.0001371%), (MMM, 0, 0.22%, 0.0001371%), (MMM, 0, 0.22%, 0.0001371%), (MMM, 0, 0.22%, 0.0001371%), (MMM, 0, 0.22%, 0.0001371%), (T, 0, 0.22%, 0.0004981%), (T, 0, 0.21%, 0.0004981%), (T, 0, 0.21%, 0.0004981%), (T, 0, 0.21%, 0.0004981%), (T, 0, 0.21%, 0.0004981%), (T, 0, 0.21%, 0.0004981%), (ELV, 0, 0.21%, 0.0001228%), (TXN, 0, 0.21%, 0.0001113%), (TXN, 0, 0.21%, 0.0001113%), (TXN, 0, 0.21%, 0.0001113%), (TXN, 0, 0.21%, 0.0001113%), (TXN, 0, 0.21%, 0.0001113%), (TXN, 0, 0.21%, 0.0001113%), (PFE, 0, 0.20%, 0.0000737%), (PFE, 0, 0.20%, 0.0000737%), (PFE, 0, 0.20%, 0.0000737%), (PFE, 0, 0.20%, 0.0000737%), (PFE, 0, 0.20%, 0.0000737%), (PFE, 0, 0.20%, 0.0000737%), (EMR, 0, 0.20%, 0.0001355%), (EMR, 0, 0.20%, 0.0001355%), (CVS, 0, 0.20%, 0.0001167%), (EMR, 0, 0.20%, 0.0001355%), (EMR, 0, 0.20%, 0.0001355%), (EMR, 0, 0.20%, 0.0001355%), (GILD, 0, 0.20%, 0.0000742%), (CVS, 0, 0.20%, 0.0001167%), (GILD, 0, 0.20%, 0.0000742%), (CVS, 0, 0.20%, 0.0001167%), (EMR, 0, 0.20%, 0.0001355%), (GILD, 0, 0.20%, 0.0000742%), (CVS, 0, 0.20%, 0.0001167%), (CVS, 0, 0.20%, 0.0001167%), (GILD, 0, 0.20%, 0.0000742%), (GILD, 0, 0.20%, 0.0000742%), (GILD, 0, 0.20%, 0.0000742%), (CVS, 0, 0.20%, 0.0001167%), (QCOM, 0, 0.19%, 0.0001142%), (SPGI, 0, 0.19%, 0.0001225%), (SPGI, 0, 0.19%, 0.0001225%), (SPGI, 0, 0.19%, 0.0001225%), (SPGI, 0, 0.19%, 0.0001225%), (QCOM, 0, 0.19%, 0.0001142%), (SPGI, 0, 0.19%, 0.0001225%), (QCOM, 0, 0.19%, 0.0001142%), (QCOM, 0, 0.19%, 0.0001142%), (QCOM, 0, 0.19%, 0.0001142%), (VZ, 0, 0.19%, 0.0001064%), (VZ, 0, 0.19%, 0.0001064%), (QCOM, 0, 0.19%, 0.0001142%), (VZ, 0, 0.19%, 0.0001064%), (VZ, 0, 0.19%, 0.0001064%), (VZ, 0, 0.19%, 0.0001064%), (UNP, 0, 0.19%, 0.0001386%), (UNP, 0, 0.19%, 0.0001386%), (UNP, 0, 0.19%, 0.0001386%), (UNP, 0, 0.19%, 0.0001386%), (VZ, 0, 0.19%, 0.0001064%), (UNP, 0, 0.19%, 0.0001386%), (UNP, 0, 0.19%, 0.0001386%), (DHR, 0, 0.19%, 0.0000672%), (DHR, 0, 0.19%, 0.0000672%), (DHR, 0, 0.19%, 0.0000672%), (DHR, 0, 0.19%, 0.0000672%), (DHR, 0, 0.19%, 0.0000672%), (DHR, 0, 0.19%, 0.0000672%), (SBUX, 0, 0.17%, 0.0001633%), (SBUX, 0, 0.17%, 0.0001633%), (SBUX, 0, 0.17%, 0.0001633%), (SBUX, 0, 0.17%, 0.0001633%), (LOW, 0, 0.17%, 0.0000682%), (SBUX, 0, 0.17%, 0.0001633%), (LOW, 0, 0.17%, 0.0000682%), (LOW, 0, 0.17%, 0.0000682%), (LOW, 0, 0.17%, 0.0000682%), (LOW, 0, 0.17%, 0.0000682%), (SBUX, 0, 0.17%, 0.0001633%), (LOW, 0, 0.17%, 0.0000682%), (MO, 0, 0.17%, 0.0000882%), (MO, 0, 0.17%, 0.0000882%), (MO, 0, 0.17%, 0.0000882%), (MO, 0, 0.17%, 0.0000882%), (MO, 0, 0.17%, 0.0000882%), (MO, 0, 0.17%, 0.0000882%), (INTC, 0, 0.16%, 0.0000775%), (INTC, 0, 0.16%, 0.0000775%), (INTC, 0, 0.16%, 0.0000775%), (INTC, 0, 0.16%, 0.0000775%), (INTC, 0, 0.16%, 0.0000775%), (INTC, 0, 0.16%, 0.0000775%), (MDLZ, 0, 0.16%, 0.0000905%), (MDLZ, 0, 0.16%, 0.0000905%), (MDLZ, 0, 0.16%, 0.0000905%), (MDLZ, 0, 0.16%, 0.0000905%), (MDLZ, 0, 0.16%, 0.0000905%), (MDLZ, 0, 0.16%, 0.0000905%), (SCHW, 0, 0.16%, 0.0000961%), (SCHW, 0, 0.16%, 0.0000961%), (SCHW, 0, 0.15%, 0.0000961%), (SCHW, 0, 0.15%, 0.0000961%), (SCHW, 0, 0.15%, 0.0000961%), (SCHW, 0, 0.15%, 0.0000961%), (TMO, 0, 0.15%, 0.0000998%), (TMO, 0, 0.15%, 0.0000998%), (TMO, 0, 0.15%, 0.0000998%), (TMO, 0, 0.15%, 0.0000998%), (TMO, 0, 0.15%, 0.0000998%), (BMY, 0, 0.14%, 0.0000736%), (BMY, 0, 0.14%, 0.0000736%), (BMY, 0, 0.14%, 0.0000736%), (BMY, 0, 0.14%, 0.0000736%), (BMY, 0, 0.14%, 0.0000736%), (BMY, 0, 0.14%, 0.0000736%), (TJX, 0, 0.12%, 0.0000906%), (TJX, 0, 0.12%, 0.0000906%), (TJX, 0, 0.12%, 0.0000906%), (TJX, 0, 0.12%, 0.0000906%), (TJX, 0, 0.12%, 0.0000906%), (TJX, 0, 0.12%, 0.0000906%), (CL, 0, 0.12%, 0.0000806%), (CL, 0, 0.12%, 0.0000806%), (CL, 0, 0.12%, 0.0000806%), (CL, 0, 0.12%, 0.0000806%), (CL, 0, 0.12%, 0.0000806%), (CL, 0, 0.12%, 0.0000806%), (CMCSA, 0, 0.12%, 0.0000448%), (FDX, 0, 0.10%, 0.0000975%), (FDX, 0, 0.10%, 0.0000975%), (FDX, 0, 0.10%, 0.0000975%), (FDX, 0, 0.10%, 0.0000975%), (FDX, 0, 0.10%, 0.0000975%), (UPS, 0, 0.10%, 0.0001348%), (UPS, 0, 0.10%, 0.0001348%), (UPS, 0, 0.10%, 0.0001348%), (UPS, 0, 0.10%, 0.0001348%), (UPS, 0, 0.10%, 0.0001348%), (UPS, 0, 0.10%, 0.0001348%), (PYPL, 0, 0.09%, 0.0001252%), (PYPL, 0, 0.09%, 0.0001252%), (PYPL, 0, 0.09%, 0.0001252%), (PYPL, 0, 0.09%, 0.0001252%), (PYPL, 0, 0.09%, 0.0001252%), (PYPL, 0, 0.08%, 0.0001252%), (USB, 0, 0.07%, 0.0000965%), (USB, 0, 0.07%, 0.0000965%), (USB, 0, 0.07%, 0.0000965%), (USB, 0, 0.07%, 0.0000965%), (USB, 0, 0.07%, 0.0000965%), (USB, 0, 0.07%, 0.0000965%), (TGT, 0, 0.04%, 0.0000918%), (TGT, 0, 0.04%, 0.0000918%), (TGT, 0, 0.04%, 0.0000918%), (TGT, 0, 0.04%, 0.0000918%), (TGT, 0, 0.04%, 0.0000918%), (nan, 0, -0.00%, 0.0000000%), (nan, 0, -0.00%, 0.0000000%), (nan, 0, -0.00%, 0.0000000%), (nan, 0, -0.00%, 0.0000000%), (nan, 0, -0.00%, 0.0000000%), (nan, 0, -0.00%, 0.0000000%), (nan, 0, -0.00%, 0.0000000%), (nan, 0, -0.00%, 0.0000000%), (nan, 0, -0.01%, 0.0000000%), (nan, 0, -0.01%, 0.0000000%), (nan, 0, -0.01%, 0.0000000%), (nan, 0, -0.01%, 0.0000000%)</t>
  </si>
  <si>
    <t>NVDA, MSFT, AAPL, AMZN</t>
  </si>
  <si>
    <t>(GOOGLE, 0, 3.38%, 0.0000405%), (AVGO, 0, 2.93%, 0.0000557%), (META, 0, 2.83%, 0.0000429%), (BRK/B, 0, 2.23%, 0.0000789%), (CSCO, 0, 1.91%, 0.0001670%), (LIN, 0, 1.88%, 0.0002000%), (AMT, 0, 1.79%, 0.0004048%), (JPM, 0, 1.67%, 0.0000501%), (LLY, 0, 1.28%, 0.0000415%), (CB, 0, 1.28%, 0.0002658%), (MA, 0, 1.14%, 0.0000545%), (GE, 0, 1.02%, 0.0000924%), (NFLX, 0, 1.00%, 0.0000432%), (NEE, 0, 0.92%, 0.0001445%), (ORCL, 0, 0.89%, 0.0000344%), (PG, 0, 0.85%, 0.0000540%), (COST, 0, 0.85%, 0.0000460%), (ABT, 0, 0.79%, 0.0000791%), (JNJ, 0, 0.78%, 0.0000498%), (CVX, 0, 0.77%, 0.0000619%), (MCD, 0, 0.74%, 0.0000835%), (CAT, 0, 0.71%, 0.0000929%), (HD, 0, 0.70%, 0.0000453%), (ABBV, 0, 0.70%, 0.0000498%), (IBM, 0, 0.69%, 0.0000603%), (KO, 0, 0.68%, 0.0000530%), (BKNG, 0, 0.68%, 0.0000869%), (CRM, 0, 0.67%, 0.0000612%), (BAC, 0, 0.66%, 0.0000441%), (ISRG, 0, 0.64%, 0.0000795%), (NKE, 0, 0.60%, 0.0001639%), (BA, 0, 0.59%, 0.0000885%), (HON, 0, 0.58%, 0.0000923%), (DUK, 0, 0.57%, 0.0001454%), (INTU, 0, 0.56%, 0.0000613%), (MET, 0, 0.55%, 0.0002439%), (GS, 0, 0.55%, 0.0000620%), (NOW, 0, 0.54%, 0.0000606%), (ETN, 0, 0.53%, 0.0000914%), (AMD, 0, 0.52%, 0.0000563%), (DE, 0, 0.49%, 0.0000847%), (ACN, 0, 0.48%, 0.0000612%), (PEP, 0, 0.45%, 0.0000590%), (AXP, 0, 0.45%, 0.0000479%), (ADBE, 0, 0.44%, 0.0000643%), (MS, 0, 0.44%, 0.0000461%), (MRK, 0, 0.43%, 0.0000504%), (DIS, 0, 0.40%, 0.0000432%), (BLK, 0, 0.38%, 0.0000555%), (COP, 0, 0.38%, 0.0000785%), (MDT, 0, 0.38%, 0.0000793%), (LMT, 0, 0.37%, 0.0000821%), (AMAT, 0, 0.36%, 0.0000582%), (C, 0, 0.33%, 0.0000502%), (AMGN, 0, 0.32%, 0.0000498%), (MMM, 0, 0.32%, 0.0000924%), (ELV, 0, 0.31%, 0.0000828%), (PFE, 0, 0.29%, 0.0000496%), (EMR, 0, 0.29%, 0.0000913%), (GILD, 0, 0.29%, 0.0000500%), (CVS, 0, 0.29%, 0.0000786%), (DHR, 0, 0.27%, 0.0000453%), (LOW, 0, 0.25%, 0.0000460%), (MO, 0, 0.24%, 0.0000594%), (INTC, 0, 0.23%, 0.0000522%), (MDLZ, 0, 0.23%, 0.0000610%), (BMY, 0, 0.20%, 0.0000496%), (CL, 0, 0.17%, 0.0000543%), (CMCSA, 0, 0.16%, 0.0000285%), (FDX, 0, 0.15%, 0.0000657%), (nan, 0, -0.00%, 0.0000000%), (nan, 0, -0.00%, 0.0000000%), (nan, 0, -0.00%, 0.0000000%), (nan, 0, -0.00%, 0.0000000%), (nan, 0, -0.00%, 0.0000000%), (nan, 0, -0.00%, 0.0000000%), (nan, 0, -0.00%, 0.0000000%), (nan, 0, -0.00%, 0.0000000%), (nan, 0, -0.00%, 0.0000000%), (nan, 0, -0.00%, 0.0000000%), (nan, 0, -0.00%, 0.0000000%), (nan, 0, -0.00%, 0.0000000%), (nan, 0, -0.00%, 0.0000000%), (nan, 0, -0.00%, 0.0000000%), (nan, 0, -0.00%, 0.0000000%), (nan, 0, -0.00%, 0.0000000%), (nan, 0, -0.00%, 0.0000000%), (nan, 0, -0.00%, 0.0000000%), (nan, 0, -0.01%, 0.0000000%), (nan, 0, -0.01%, 0.0000000%), (nan, 0, -0.01%, 0.0000000%), (nan, 0, -0.01%, 0.0000000%), (nan, 0, -0.01%, 0.0000000%), (nan, 0, -0.01%, 0.0000000%), (nan, 0, -0.01%, 0.0000000%), (nan, 0, -0.02%, 0.0000000%), (nan, 0, -0.02%, 0.0000000%)</t>
  </si>
  <si>
    <t>NVDA, MSFT, AAPL, AMZN, GOOGLE</t>
  </si>
  <si>
    <t>(AVGO, 0, 2.80%, 0.0001096%), (META, 0, 2.70%, 0.0000845%), (BRK/B, 0, 2.13%, 0.0001552%), (CSCO, 0, 1.83%, 0.0003287%), (LIN, 0, 1.79%, 0.0003938%), (AMT, 0, 1.71%, 0.0007968%), (JPM, 0, 1.60%, 0.0000986%), (TSLA, 0, 1.51%, 0.0000740%), (XOM, 0, 1.46%, 0.0001539%), (V, 0, 1.46%, 0.0001188%), (LLY, 0, 1.22%, 0.0000818%), (CB, 0, 1.22%, 0.0005229%), (MA, 0, 1.09%, 0.0001074%), (WM, 0, 1.08%, 0.0005724%), (GE, 0, 0.98%, 0.0001819%), (NFLX, 0, 0.95%, 0.0000852%), (UNH, 0, 0.94%, 0.0001586%), (NEE, 0, 0.88%, 0.0002844%), (ORCL, 0, 0.86%, 0.0000677%), (PG, 0, 0.82%, 0.0001063%), (COST, 0, 0.81%, 0.0000905%), (WMT, 0, 0.79%, 0.0000493%), (ABT, 0, 0.75%, 0.0001557%), (JNJ, 0, 0.75%, 0.0000980%), (CVX, 0, 0.74%, 0.0001218%), (MCD, 0, 0.71%, 0.0001645%), (RTX, 0, 0.69%, 0.0001760%), (CAT, 0, 0.68%, 0.0001827%), (HD, 0, 0.67%, 0.0000892%), (ABBV, 0, 0.67%, 0.0000981%), (IBM, 0, 0.66%, 0.0001189%), (PLTR, 0, 0.66%, 0.0001083%), (PM, 0, 0.65%, 0.0001157%), (KO, 0, 0.65%, 0.0001044%), (CRM, 0, 0.64%, 0.0001206%), (BKNG, 0, 0.63%, 0.0001675%), (BAC, 0, 0.63%, 0.0000868%), (ISRG, 0, 0.61%, 0.0001568%), (SO, 0, 0.59%, 0.0002869%), (NKE, 0, 0.57%, 0.0003226%), (BA, 0, 0.57%, 0.0001745%), (HON, 0, 0.56%, 0.0001816%), (DUK, 0, 0.54%, 0.0002863%), (INTU, 0, 0.54%, 0.0001209%), (UBER, 0, 0.53%, 0.0001369%), (MET, 0, 0.53%, 0.0004803%), (WFC, 0, 0.53%, 0.0001000%), (GS, 0, 0.53%, 0.0001224%), (NOW, 0, 0.51%, 0.0001188%), (ETN, 0, 0.51%, 0.0001801%), (AMD, 0, 0.50%, 0.0001109%), (DE, 0, 0.47%, 0.0001668%), (ACN, 0, 0.46%, 0.0001206%), (T, 0, 0.45%, 0.0004981%), (PEP, 0, 0.43%, 0.0001162%), (TXN, 0, 0.43%, 0.0001113%), (AXP, 0, 0.43%, 0.0000944%), (ADBE, 0, 0.42%, 0.0001264%), (MS, 0, 0.42%, 0.0000907%), (MRK, 0, 0.41%, 0.0000993%), (SPGI, 0, 0.40%, 0.0001225%), (QCOM, 0, 0.40%, 0.0001142%), (VZ, 0, 0.40%, 0.0001064%), (UNP, 0, 0.39%, 0.0001386%), (DIS, 0, 0.38%, 0.0000850%), (BLK, 0, 0.36%, 0.0001098%), (COP, 0, 0.36%, 0.0001546%), (MDT, 0, 0.36%, 0.0001561%), (SBUX, 0, 0.36%, 0.0001633%), (LMT, 0, 0.35%, 0.0001616%), (AMAT, 0, 0.34%, 0.0001147%), (SCHW, 0, 0.32%, 0.0000961%), (TMO, 0, 0.32%, 0.0000998%), (C, 0, 0.32%, 0.0000989%), (AMGN, 0, 0.31%, 0.0000979%), (MMM, 0, 0.30%, 0.0001818%), (ELV, 0, 0.29%, 0.0001629%), (PFE, 0, 0.28%, 0.0000977%), (EMR, 0, 0.28%, 0.0001796%), (CVS, 0, 0.28%, 0.0001548%), (GILD, 0, 0.28%, 0.0000984%), (DHR, 0, 0.26%, 0.0000892%), (TJX, 0, 0.26%, 0.0000906%), (LOW, 0, 0.23%, 0.0000904%), (MO, 0, 0.23%, 0.0001169%), (INTC, 0, 0.22%, 0.0001028%), (MDLZ, 0, 0.22%, 0.0001200%), (UPS, 0, 0.21%, 0.0001348%), (BMY, 0, 0.19%, 0.0000977%), (PYPL, 0, 0.18%, 0.0001252%), (CMCSA, 0, 0.16%, 0.0000611%), (CL, 0, 0.16%, 0.0001069%), (FDX, 0, 0.14%, 0.0001293%), (USB, 0, 0.14%, 0.0000965%), (TGT, 0, 0.09%, 0.0000918%), (nan, 0, -0.01%, 0.0000000%), (nan, 0, -0.01%, 0.0000000%)</t>
  </si>
  <si>
    <t>(MSFT, 8948.0, 4,402,293.40), (AAPL, 18194.0, 3,768,477.08), (AMZN, 12616.0, 2,779,802.36), (GOOGLE, 13491.0, 2,378,737.36), (AVGO, 7808.0, 2,066,269.92), (META, 2774.0, 1,994,866.28), (BRK/B, 3227.0, 1,579,563.47), (CSCO, 19596.0, 1,353,212.60), (LIN, 2773.0, 1,322,027.75), (AMT, 5625.0, 1,262,643.75), (JPM, 4087.0, 1,185,375.67), (LLY, 1165.0, 903,503.50), (CB, 3104.0, 898,887.36), (MA, 1443.0, 813,045.23)</t>
  </si>
  <si>
    <t>(MSFT, 0, 28.58%, 0.0000602%), (AAPL, 0, 24.47%, 0.0000616%), (AMZN, 0, 18.05%, 0.0000590%), (GOOGLE, 0, 15.45%, 0.0000601%), (AVGO, 0, 13.42%, 0.0000827%), (META, 0, 12.95%, 0.0000637%), (BRK/B, 0, 10.26%, 0.0001170%), (CSCO, 0, 8.79%, 0.0002479%), (LIN, 0, 8.58%, 0.0002969%), (AMT, 0, 8.20%, 0.0006008%), (JPM, 0, 7.70%, 0.0000743%), (LLY, 0, 5.87%, 0.0000616%), (CB, 0, 5.84%, 0.0003944%), (MA, 0, 5.28%, 0.0000810%), (TSLA, 0, 4.80%, 0.0000740%), (GE, 0, 4.68%, 0.0001372%), (XOM, 0, 4.65%, 0.0001539%), (V, 0, 4.65%, 0.0001188%), (NFLX, 0, 4.57%, 0.0000642%), (NEE, 0, 4.23%, 0.0002144%), (ORCL, 0, 4.13%, 0.0000511%), (PG, 0, 3.92%, 0.0000802%), (COST, 0, 3.87%, 0.0000683%), (ABT, 0, 3.61%, 0.0001174%), (JNJ, 0, 3.60%, 0.0000739%), (CVX, 0, 3.55%, 0.0000918%), (WM, 0, 3.43%, 0.0005724%), (MCD, 0, 3.41%, 0.0001240%), (CAT, 0, 3.27%, 0.0001378%), (HD, 0, 3.24%, 0.0000673%), (ABBV, 0, 3.21%, 0.0000740%), (IBM, 0, 3.17%, 0.0000896%), (KO, 0, 3.15%, 0.0000787%), (CRM, 0, 3.06%, 0.0000909%), (BKNG, 0, 3.05%, 0.0001272%), (UNH, 0, 3.04%, 0.0001586%), (BAC, 0, 3.02%, 0.0000654%), (ISRG, 0, 2.93%, 0.0001182%), (NKE, 0, 2.75%, 0.0002432%), (BA, 0, 2.72%, 0.0001315%), (HON, 0, 2.69%, 0.0001370%), (DUK, 0, 2.59%, 0.0002159%), (INTU, 0, 2.57%, 0.0000911%), (GS, 0, 2.54%, 0.0000922%), (MET, 0, 2.54%, 0.0003621%), (WMT, 0, 2.50%, 0.0000493%), (NOW, 0, 2.45%, 0.0000897%), (ETN, 0, 2.43%, 0.0001358%), (AMD, 0, 2.40%, 0.0000836%), (DE, 0, 2.24%, 0.0001258%), (ACN, 0, 2.22%, 0.0000909%), (RTX, 0, 2.21%, 0.0001760%), (PEP, 0, 2.10%, 0.0000876%), (PLTR, 0, 2.09%, 0.0001083%), (PM, 0, 2.08%, 0.0001157%), (AXP, 0, 2.05%, 0.0000711%), (ADBE, 0, 2.03%, 0.0000953%), (MS, 0, 2.00%, 0.0000684%), (MRK, 0, 1.98%, 0.0000749%), (SO, 0, 1.89%, 0.0002869%), (DIS, 0, 1.85%, 0.0000641%), (BLK, 0, 1.75%, 0.0000827%), (COP, 0, 1.74%, 0.0001166%), (MDT, 0, 1.74%, 0.0001177%), (LMT, 0, 1.71%, 0.0001219%), (UBER, 0, 1.70%, 0.0001369%), (WFC, 0, 1.69%, 0.0001000%), (AMAT, 0, 1.64%, 0.0000865%), (C, 0, 1.54%, 0.0000746%), (AMGN, 0, 1.49%, 0.0000738%), (MMM, 0, 1.45%, 0.0001371%), (T, 0, 1.43%, 0.0004981%), (ELV, 0, 1.40%, 0.0001228%), (TXN, 0, 1.38%, 0.0001113%), (PFE, 0, 1.36%, 0.0000737%), (EMR, 0, 1.34%, 0.0001355%), (CVS, 0, 1.34%, 0.0001167%), (GILD, 0, 1.34%, 0.0000742%), (SPGI, 0, 1.28%, 0.0001225%), (QCOM, 0, 1.27%, 0.0001142%), (VZ, 0, 1.27%, 0.0001064%), (UNP, 0, 1.25%, 0.0001386%), (DHR, 0, 1.24%, 0.0000672%), (SBUX, 0, 1.14%, 0.0001633%), (LOW, 0, 1.13%, 0.0000682%), (MO, 0, 1.12%, 0.0000882%), (INTC, 0, 1.07%, 0.0000775%), (MDLZ, 0, 1.04%, 0.0000905%), (SCHW, 0, 1.03%, 0.0000961%), (TMO, 0, 1.03%, 0.0000998%), (BMY, 0, 0.92%, 0.0000736%), (TJX, 0, 0.82%, 0.0000906%), (CL, 0, 0.78%, 0.0000806%), (CMCSA, 0, 0.77%, 0.0000448%), (FDX, 0, 0.70%, 0.0000975%), (UPS, 0, 0.67%, 0.0001348%), (PYPL, 0, 0.57%, 0.0001252%), (USB, 0, 0.45%, 0.0000965%), (TGT, 0, 0.28%, 0.0000918%), (nan, 0, -0.01%, 0.0000000%), (nan, 0, -0.01%, 0.0000000%)</t>
  </si>
  <si>
    <t>(MSFT, 8948.0, 4,400,415.40), (AAPL, 18194.0, 3,759,981.08), (AMZN, 12616.0, 2,775,798.36), (GOOGLE, 13491.0, 2,378,737.36), (AVGO, 7808.0, 2,064,239.92), (META, 2774.0, 1,993,866.28)</t>
  </si>
  <si>
    <t>(MSFT, 0, 12.69%, 0.0000602%), (AAPL, 0, 10.84%, 0.0000616%), (AMZN, 0, 8.01%, 0.0000590%), (GOOGLE, 0, 6.86%, 0.0000601%), (AVGO, 0, 5.95%, 0.0000827%), (META, 0, 5.75%, 0.0000637%), (BRK/B, 0, 4.55%, 0.0001170%), (CSCO, 0, 3.89%, 0.0002479%), (LIN, 0, 3.81%, 0.0002969%), (AMT, 0, 3.64%, 0.0006008%), (JPM, 0, 3.41%, 0.0000743%), (LLY, 0, 2.60%, 0.0000616%), (CB, 0, 2.59%, 0.0003944%), (MA, 0, 2.34%, 0.0000810%), (TSLA, 0, 2.13%, 0.0000740%), (GE, 0, 2.08%, 0.0001372%), (XOM, 0, 2.06%, 0.0001539%), (V, 0, 2.05%, 0.0001188%), (NFLX, 0, 2.03%, 0.0000642%), (NEE, 0, 1.87%, 0.0002144%), (ORCL, 0, 1.83%, 0.0000511%), (PG, 0, 1.74%, 0.0000802%), (COST, 0, 1.72%, 0.0000683%), (ABT, 0, 1.60%, 0.0001174%), (JNJ, 0, 1.59%, 0.0000739%), (CVX, 0, 1.57%, 0.0000918%), (WM, 0, 1.52%, 0.0005724%), (MCD, 0, 1.51%, 0.0001240%), (CAT, 0, 1.45%, 0.0001378%), (HD, 0, 1.43%, 0.0000673%), (ABBV, 0, 1.42%, 0.0000740%), (IBM, 0, 1.40%, 0.0000896%), (KO, 0, 1.39%, 0.0000787%), (BKNG, 0, 1.36%, 0.0001272%), (CRM, 0, 1.35%, 0.0000909%), (BAC, 0, 1.34%, 0.0000654%), (UNH, 0, 1.33%, 0.0001586%), (ISRG, 0, 1.30%, 0.0001182%), (NKE, 0, 1.22%, 0.0002432%), (BA, 0, 1.21%, 0.0001315%), (HON, 0, 1.19%, 0.0001370%), (DUK, 0, 1.15%, 0.0002159%), (INTU, 0, 1.14%, 0.0000911%), (MET, 0, 1.13%, 0.0003621%), (GS, 0, 1.12%, 0.0000922%), (WMT, 0, 1.11%, 0.0000493%), (NOW, 0, 1.09%, 0.0000897%), (ETN, 0, 1.08%, 0.0001358%), (AMD, 0, 1.06%, 0.0000836%), (DE, 0, 1.00%, 0.0001258%), (ACN, 0, 0.98%, 0.0000909%), (RTX, 0, 0.98%, 0.0001760%), (PLTR, 0, 0.93%, 0.0001083%), (PEP, 0, 0.93%, 0.0000876%), (PM, 0, 0.92%, 0.0001157%), (AXP, 0, 0.91%, 0.0000711%), (ADBE, 0, 0.90%, 0.0000953%), (MS, 0, 0.89%, 0.0000684%), (MRK, 0, 0.88%, 0.0000749%), (SO, 0, 0.84%, 0.0002869%), (DIS, 0, 0.82%, 0.0000641%), (BLK, 0, 0.78%, 0.0000827%), (COP, 0, 0.77%, 0.0001166%), (MDT, 0, 0.77%, 0.0001177%), (LMT, 0, 0.75%, 0.0001219%), (UBER, 0, 0.75%, 0.0001369%), (WFC, 0, 0.75%, 0.0001000%), (AMAT, 0, 0.73%, 0.0000865%), (C, 0, 0.68%, 0.0000746%), (AMGN, 0, 0.66%, 0.0000738%), (MMM, 0, 0.64%, 0.0001371%), (T, 0, 0.63%, 0.0004981%), (ELV, 0, 0.62%, 0.0001228%), (TXN, 0, 0.61%, 0.0001113%), (PFE, 0, 0.60%, 0.0000737%), (EMR, 0, 0.59%, 0.0001355%), (CVS, 0, 0.59%, 0.0001167%), (GILD, 0, 0.59%, 0.0000742%), (SPGI, 0, 0.57%, 0.0001225%), (QCOM, 0, 0.56%, 0.0001142%), (VZ, 0, 0.56%, 0.0001064%), (UNP, 0, 0.56%, 0.0001386%), (DHR, 0, 0.55%, 0.0000672%), (SBUX, 0, 0.50%, 0.0001633%), (LOW, 0, 0.50%, 0.0000682%), (MO, 0, 0.50%, 0.0000882%), (INTC, 0, 0.47%, 0.0000775%), (MDLZ, 0, 0.46%, 0.0000905%), (SCHW, 0, 0.46%, 0.0000961%), (TMO, 0, 0.45%, 0.0000998%), (BMY, 0, 0.41%, 0.0000736%), (TJX, 0, 0.36%, 0.0000906%), (CL, 0, 0.34%, 0.0000806%), (CMCSA, 0, 0.34%, 0.0000448%), (FDX, 0, 0.31%, 0.0000975%), (UPS, 0, 0.30%, 0.0001348%), (PYPL, 0, 0.25%, 0.0001252%), (USB, 0, 0.20%, 0.0000965%), (TGT, 0, 0.12%, 0.0000918%), (nan, 0, -0.01%, 0.0000000%), (nan, 0, -0.02%, 0.0000000%)</t>
  </si>
  <si>
    <t>NVDA, MSFT, AAPL</t>
  </si>
  <si>
    <t>(AMZN, 0, 4.91%, 0.0000590%), (GOOGLE, 0, 4.20%, 0.0000601%), (AVGO, 0, 3.65%, 0.0000827%), (META, 0, 3.52%, 0.0000637%), (BRK/B, 0, 2.79%, 0.0001170%), (CSCO, 0, 2.39%, 0.0002479%), (LIN, 0, 2.33%, 0.0002969%), (AMT, 0, 2.23%, 0.0006008%), (JPM, 0, 2.10%, 0.0000743%), (LLY, 0, 1.60%, 0.0000616%), (CB, 0, 1.59%, 0.0003944%), (MA, 0, 1.44%, 0.0000810%), (TSLA, 0, 1.31%, 0.0000740%), (GE, 0, 1.27%, 0.0001372%), (V, 0, 1.27%, 0.0001188%), (XOM, 0, 1.27%, 0.0001539%), (NFLX, 0, 1.24%, 0.0000642%), (NEE, 0, 1.15%, 0.0002144%), (ORCL, 0, 1.13%, 0.0000511%), (PG, 0, 1.07%, 0.0000802%), (COST, 0, 1.05%, 0.0000683%), (ABT, 0, 0.98%, 0.0001174%), (JNJ, 0, 0.98%, 0.0000739%), (CVX, 0, 0.97%, 0.0000918%), (WM, 0, 0.93%, 0.0005724%), (MCD, 0, 0.93%, 0.0001240%), (CAT, 0, 0.89%, 0.0001378%), (HD, 0, 0.88%, 0.0000673%), (ABBV, 0, 0.88%, 0.0000740%), (IBM, 0, 0.86%, 0.0000896%), (KO, 0, 0.86%, 0.0000787%), (CRM, 0, 0.83%, 0.0000909%), (BKNG, 0, 0.83%, 0.0001272%), (UNH, 0, 0.83%, 0.0001586%), (BAC, 0, 0.82%, 0.0000654%), (ISRG, 0, 0.80%, 0.0001182%), (NKE, 0, 0.75%, 0.0002432%), (BA, 0, 0.74%, 0.0001315%), (HON, 0, 0.73%, 0.0001370%), (DUK, 0, 0.70%, 0.0002159%), (INTU, 0, 0.70%, 0.0000911%), (GS, 0, 0.69%, 0.0000922%), (MET, 0, 0.69%, 0.0003621%), (WMT, 0, 0.68%, 0.0000493%), (NOW, 0, 0.67%, 0.0000897%), (ETN, 0, 0.66%, 0.0001358%), (AMD, 0, 0.65%, 0.0000836%), (DE, 0, 0.61%, 0.0001258%), (ACN, 0, 0.60%, 0.0000909%), (RTX, 0, 0.60%, 0.0001760%), (PEP, 0, 0.57%, 0.0000876%), (PLTR, 0, 0.57%, 0.0001083%), (PM, 0, 0.56%, 0.0001157%), (AXP, 0, 0.56%, 0.0000711%), (ADBE, 0, 0.55%, 0.0000953%), (MS, 0, 0.54%, 0.0000684%), (MRK, 0, 0.54%, 0.0000749%), (SO, 0, 0.51%, 0.0002869%), (DIS, 0, 0.50%, 0.0000641%), (BLK, 0, 0.48%, 0.0000827%), (MDT, 0, 0.47%, 0.0001177%), (COP, 0, 0.47%, 0.0001166%), (UBER, 0, 0.46%, 0.0001369%), (LMT, 0, 0.46%, 0.0001219%), (WFC, 0, 0.46%, 0.0001000%), (AMAT, 0, 0.45%, 0.0000865%), (C, 0, 0.42%, 0.0000746%), (AMGN, 0, 0.41%, 0.0000738%), (MMM, 0, 0.40%, 0.0001371%), (T, 0, 0.39%, 0.0004981%), (ELV, 0, 0.38%, 0.0001228%), (TXN, 0, 0.38%, 0.0001113%), (PFE, 0, 0.37%, 0.0000737%), (EMR, 0, 0.36%, 0.0001355%), (CVS, 0, 0.36%, 0.0001167%), (GILD, 0, 0.36%, 0.0000742%), (QCOM, 0, 0.35%, 0.0001142%), (SPGI, 0, 0.35%, 0.0001225%), (VZ, 0, 0.35%, 0.0001064%), (UNP, 0, 0.34%, 0.0001386%), (DHR, 0, 0.34%, 0.0000672%), (SBUX, 0, 0.31%, 0.0001633%), (LOW, 0, 0.31%, 0.0000682%), (MO, 0, 0.30%, 0.0000882%), (INTC, 0, 0.29%, 0.0000775%), (MDLZ, 0, 0.28%, 0.0000905%), (SCHW, 0, 0.28%, 0.0000961%), (TMO, 0, 0.28%, 0.0000998%), (BMY, 0, 0.25%, 0.0000736%), (TJX, 0, 0.22%, 0.0000906%), (CL, 0, 0.21%, 0.0000806%), (CMCSA, 0, 0.21%, 0.0000448%), (FDX, 0, 0.19%, 0.0000975%), (UPS, 0, 0.18%, 0.0001348%), (PYPL, 0, 0.16%, 0.0001252%), (USB, 0, 0.12%, 0.0000965%), (TGT, 0, 0.08%, 0.0000918%)</t>
  </si>
  <si>
    <t>(AAPL, 18194.0, 3,763,497.08), (AMZN, 12616.0, 2,776,682.36), (GOOGLE, 13491.0, 2,378,737.36), (AVGO, 7808.0, 2,064,619.92)</t>
  </si>
  <si>
    <t>NVDA, MSFT</t>
  </si>
  <si>
    <t>(AAPL, 0, 9.31%, 0.0000616%), (AMZN, 0, 6.87%, 0.0000590%), (GOOGLE, 0, 5.89%, 0.0000601%), (AVGO, 0, 5.11%, 0.0000827%), (META, 0, 4.93%, 0.0000637%), (BRK/B, 0, 3.90%, 0.0001170%), (CSCO, 0, 3.34%, 0.0002479%), (LIN, 0, 3.27%, 0.0002969%), (AMT, 0, 3.13%, 0.0006008%), (JPM, 0, 2.93%, 0.0000743%), (LLY, 0, 2.23%, 0.0000616%), (CB, 0, 2.22%, 0.0003944%), (MA, 0, 2.01%, 0.0000810%), (TSLA, 0, 1.83%, 0.0000740%), (GE, 0, 1.78%, 0.0001372%), (XOM, 0, 1.77%, 0.0001539%), (V, 0, 1.76%, 0.0001188%), (NFLX, 0, 1.74%, 0.0000642%), (NEE, 0, 1.61%, 0.0002144%), (ORCL, 0, 1.57%, 0.0000511%), (PG, 0, 1.49%, 0.0000802%), (COST, 0, 1.47%, 0.0000683%), (ABT, 0, 1.37%, 0.0001174%), (JNJ, 0, 1.37%, 0.0000739%), (CVX, 0, 1.35%, 0.0000918%), (WM, 0, 1.31%, 0.0005724%), (MCD, 0, 1.30%, 0.0001240%), (CAT, 0, 1.24%, 0.0001378%), (HD, 0, 1.23%, 0.0000673%), (ABBV, 0, 1.22%, 0.0000740%), (IBM, 0, 1.21%, 0.0000896%), (KO, 0, 1.20%, 0.0000787%), (BKNG, 0, 1.16%, 0.0001272%), (CRM, 0, 1.16%, 0.0000909%), (BAC, 0, 1.15%, 0.0000654%), (UNH, 0, 1.14%, 0.0001586%), (ISRG, 0, 1.12%, 0.0001182%), (NKE, 0, 1.05%, 0.0002432%), (BA, 0, 1.04%, 0.0001315%), (HON, 0, 1.02%, 0.0001370%), (DUK, 0, 0.99%, 0.0002159%), (INTU, 0, 0.98%, 0.0000911%), (MET, 0, 0.97%, 0.0003621%), (GS, 0, 0.96%, 0.0000922%), (WMT, 0, 0.95%, 0.0000493%), (NOW, 0, 0.93%, 0.0000897%), (ETN, 0, 0.93%, 0.0001358%), (AMD, 0, 0.91%, 0.0000836%), (DE, 0, 0.85%, 0.0001258%), (ACN, 0, 0.84%, 0.0000909%), (RTX, 0, 0.84%, 0.0001760%), (PEP, 0, 0.80%, 0.0000876%), (PLTR, 0, 0.80%, 0.0001083%), (PM, 0, 0.79%, 0.0001157%), (AXP, 0, 0.78%, 0.0000711%), (ADBE, 0, 0.77%, 0.0000953%), (MS, 0, 0.76%, 0.0000684%), (MRK, 0, 0.75%, 0.0000749%), (SO, 0, 0.72%, 0.0002869%), (DIS, 0, 0.70%, 0.0000641%), (BLK, 0, 0.67%, 0.0000827%), (COP, 0, 0.66%, 0.0001166%), (MDT, 0, 0.66%, 0.0001177%), (UBER, 0, 0.65%, 0.0001369%), (LMT, 0, 0.65%, 0.0001219%), (WFC, 0, 0.64%, 0.0001000%), (AMAT, 0, 0.63%, 0.0000865%), (C, 0, 0.58%, 0.0000746%), (AMGN, 0, 0.57%, 0.0000738%), (MMM, 0, 0.55%, 0.0001371%), (T, 0, 0.54%, 0.0004981%), (ELV, 0, 0.53%, 0.0001228%), (TXN, 0, 0.52%, 0.0001113%), (PFE, 0, 0.52%, 0.0000737%), (EMR, 0, 0.51%, 0.0001355%), (CVS, 0, 0.51%, 0.0001167%), (GILD, 0, 0.51%, 0.0000742%), (SPGI, 0, 0.48%, 0.0001225%), (QCOM, 0, 0.48%, 0.0001142%), (VZ, 0, 0.48%, 0.0001064%), (UNP, 0, 0.48%, 0.0001386%), (DHR, 0, 0.47%, 0.0000672%), (SBUX, 0, 0.43%, 0.0001633%), (LOW, 0, 0.43%, 0.0000682%), (MO, 0, 0.43%, 0.0000882%), (INTC, 0, 0.41%, 0.0000775%), (MDLZ, 0, 0.40%, 0.0000905%), (SCHW, 0, 0.39%, 0.0000961%), (TMO, 0, 0.39%, 0.0000998%), (BMY, 0, 0.35%, 0.0000736%), (TJX, 0, 0.31%, 0.0000906%), (CL, 0, 0.29%, 0.0000806%), (CMCSA, 0, 0.29%, 0.0000448%), (FDX, 0, 0.26%, 0.0000975%), (UPS, 0, 0.25%, 0.0001348%), (PYPL, 0, 0.22%, 0.0001252%), (USB, 0, 0.17%, 0.0000965%), (TGT, 0, 0.11%, 0.0000918%), (nan, 0, -0.01%, 0.0000000%), (nan, 0, -0.01%, 0.0000000%)</t>
  </si>
  <si>
    <t>(AVGO, 0, 2.62%, 0.0000827%), (META, 0, 2.54%, 0.0000637%), (BRK/B, 0, 2.00%, 0.0001170%), (CSCO, 0, 1.71%, 0.0002479%), (LIN, 0, 1.68%, 0.0002969%), (AMT, 0, 1.61%, 0.0006008%), (JPM, 0, 1.50%, 0.0000743%), (LLY, 0, 1.15%, 0.0000616%), (CB, 0, 1.14%, 0.0003944%), (MA, 0, 1.03%, 0.0000810%), (TSLA, 0, 0.94%, 0.0000740%), (GE, 0, 0.92%, 0.0001372%), (XOM, 0, 0.91%, 0.0001539%), (V, 0, 0.90%, 0.0001188%), (NFLX, 0, 0.90%, 0.0000642%), (NEE, 0, 0.82%, 0.0002144%), (ORCL, 0, 0.80%, 0.0000511%), (PG, 0, 0.77%, 0.0000802%), (COST, 0, 0.76%, 0.0000683%), (ABT, 0, 0.70%, 0.0001174%), (JNJ, 0, 0.70%, 0.0000739%), (CVX, 0, 0.69%, 0.0000918%), (WM, 0, 0.67%, 0.0005724%), (MCD, 0, 0.66%, 0.0001240%), (CAT, 0, 0.64%, 0.0001378%), (HD, 0, 0.63%, 0.0000673%), (ABBV, 0, 0.63%, 0.0000740%), (IBM, 0, 0.62%, 0.0000896%), (KO, 0, 0.61%, 0.0000787%), (BKNG, 0, 0.60%, 0.0001272%), (CRM, 0, 0.60%, 0.0000909%), (BAC, 0, 0.59%, 0.0000654%), (UNH, 0, 0.58%, 0.0001586%), (ISRG, 0, 0.57%, 0.0001182%), (NKE, 0, 0.54%, 0.0002432%), (BA, 0, 0.53%, 0.0001315%), (HON, 0, 0.52%, 0.0001370%), (DUK, 0, 0.51%, 0.0002159%), (INTU, 0, 0.50%, 0.0000911%), (MET, 0, 0.50%, 0.0003621%), (GS, 0, 0.49%, 0.0000922%), (WMT, 0, 0.49%, 0.0000493%), (NOW, 0, 0.48%, 0.0000897%), (ETN, 0, 0.48%, 0.0001358%), (AMD, 0, 0.47%, 0.0000836%), (DE, 0, 0.44%, 0.0001258%), (RTX, 0, 0.43%, 0.0001760%), (ACN, 0, 0.43%, 0.0000909%), (PLTR, 0, 0.41%, 0.0001083%), (PEP, 0, 0.41%, 0.0000876%), (PM, 0, 0.41%, 0.0001157%), (AXP, 0, 0.40%, 0.0000711%), (ADBE, 0, 0.40%, 0.0000953%), (MS, 0, 0.39%, 0.0000684%), (MRK, 0, 0.38%, 0.0000749%), (SO, 0, 0.37%, 0.0002869%), (DIS, 0, 0.36%, 0.0000641%), (BLK, 0, 0.34%, 0.0000827%), (COP, 0, 0.34%, 0.0001166%), (MDT, 0, 0.34%, 0.0001177%), (LMT, 0, 0.33%, 0.0001219%), (UBER, 0, 0.33%, 0.0001369%), (WFC, 0, 0.33%, 0.0001000%), (AMAT, 0, 0.32%, 0.0000865%), (C, 0, 0.30%, 0.0000746%), (AMGN, 0, 0.29%, 0.0000738%), (MMM, 0, 0.28%, 0.0001371%), (T, 0, 0.28%, 0.0004981%), (ELV, 0, 0.28%, 0.0001228%), (TXN, 0, 0.27%, 0.0001113%), (PFE, 0, 0.26%, 0.0000737%), (EMR, 0, 0.26%, 0.0001355%), (GILD, 0, 0.26%, 0.0000742%), (CVS, 0, 0.26%, 0.0001167%), (SPGI, 0, 0.25%, 0.0001225%), (QCOM, 0, 0.25%, 0.0001142%), (VZ, 0, 0.24%, 0.0001064%), (UNP, 0, 0.24%, 0.0001386%), (DHR, 0, 0.24%, 0.0000672%), (SBUX, 0, 0.22%, 0.0001633%), (LOW, 0, 0.22%, 0.0000682%), (MO, 0, 0.22%, 0.0000882%), (INTC, 0, 0.21%, 0.0000775%), (MDLZ, 0, 0.20%, 0.0000905%), (SCHW, 0, 0.20%, 0.0000961%), (TMO, 0, 0.20%, 0.0000998%), (BMY, 0, 0.18%, 0.0000736%), (TJX, 0, 0.16%, 0.0000906%), (CL, 0, 0.15%, 0.0000806%), (CMCSA, 0, 0.15%, 0.0000448%), (FDX, 0, 0.14%, 0.0000975%), (UPS, 0, 0.13%, 0.0001348%), (PYPL, 0, 0.11%, 0.0001252%), (USB, 0, 0.09%, 0.0000965%), (TGT, 0, 0.05%, 0.0000918%), (nan, 0, -0.01%, 0.0000000%), (nan, 0, -0.01%, 0.0000000%)</t>
  </si>
  <si>
    <t>(GOOGLE, 0, 3.36%, 0.0002313%), (AVGO, 0, 3.04%, 0.0003183%), (META, 0, 2.84%, 0.0002452%), (BRK/B, 0, 2.17%, 0.0004506%), (CSCO, 0, 1.90%, 0.0009541%), (LIN, 0, 1.84%, 0.0011430%), (AMT, 0, 1.75%, 0.0023125%), (JPM, 0, 1.63%, 0.0002861%), (XOM, 0, 1.57%, 0.0004466%), (TSLA, 0, 1.54%, 0.0002148%), (V, 0, 1.53%, 0.0003448%), (LLY, 0, 1.28%, 0.0002372%), (CB, 0, 1.22%, 0.0015182%), (MA, 0, 1.15%, 0.0003117%), (WM, 0, 1.10%, 0.0016613%), (GE, 0, 1.01%, 0.0005281%), (NFLX, 0, 0.98%, 0.0002471%), (ORCL, 0, 0.96%, 0.0001966%), (NEE, 0, 0.92%, 0.0008255%), (UNH, 0, 0.92%, 0.0004603%), (COST, 0, 0.83%, 0.0002626%), (PG, 0, 0.83%, 0.0003085%), (WMT, 0, 0.81%, 0.0001431%), (CVX, 0, 0.80%, 0.0003536%), (JNJ, 0, 0.78%, 0.0002844%), (ABT, 0, 0.76%, 0.0004520%), (PLTR, 0, 0.73%, 0.0003143%), (RTX, 0, 0.73%, 0.0005110%), (MCD, 0, 0.73%, 0.0004774%), (CAT, 0, 0.73%, 0.0005304%), (ABBV, 0, 0.70%, 0.0002847%), (HD, 0, 0.70%, 0.0002590%), (IBM, 0, 0.68%, 0.0003449%), (PM, 0, 0.68%, 0.0003359%), (KO, 0, 0.66%, 0.0003030%), (CRM, 0, 0.66%, 0.0003502%), (BKNG, 0, 0.65%, 0.0004871%), (BAC, 0, 0.64%, 0.0002518%), (BA, 0, 0.63%, 0.0005063%), (ISRG, 0, 0.62%, 0.0004553%), (SO, 0, 0.61%, 0.0008326%), (NKE, 0, 0.60%, 0.0009363%), (HON, 0, 0.58%, 0.0005272%), (UBER, 0, 0.58%, 0.0003974%), (WFC, 0, 0.56%, 0.0002904%), (DUK, 0, 0.55%, 0.0008311%), (INTU, 0, 0.55%, 0.0003504%), (GS, 0, 0.54%, 0.0003548%), (ETN, 0, 0.53%, 0.0005225%), (NOW, 0, 0.53%, 0.0003452%), (MET, 0, 0.53%, 0.0013939%), (AMD, 0, 0.53%, 0.0003218%), (DE, 0, 0.49%, 0.0004846%), (ACN, 0, 0.47%, 0.0003498%), (TXN, 0, 0.46%, 0.0003231%), (T, 0, 0.46%, 0.0014459%), (PEP, 0, 0.45%, 0.0003374%), (AXP, 0, 0.44%, 0.0002738%), (MRK, 0, 0.44%, 0.0002882%), (MS, 0, 0.43%, 0.0002634%), (ADBE, 0, 0.42%, 0.0003667%), (QCOM, 0, 0.42%, 0.0003314%), (SPGI, 0, 0.42%, 0.0003554%), (UNP, 0, 0.41%, 0.0004023%), (VZ, 0, 0.41%, 0.0003089%), (BLK, 0, 0.39%, 0.0003184%), (DIS, 0, 0.39%, 0.0002467%), (COP, 0, 0.39%, 0.0004487%), (MDT, 0, 0.38%, 0.0004531%), (AMAT, 0, 0.38%, 0.0003330%), (SBUX, 0, 0.37%, 0.0004740%), (LMT, 0, 0.37%, 0.0004693%), (SCHW, 0, 0.34%, 0.0002791%), (TMO, 0, 0.33%, 0.0002899%), (AMGN, 0, 0.33%, 0.0002842%), (C, 0, 0.33%, 0.0002870%), (MMM, 0, 0.32%, 0.0005276%), (PFE, 0, 0.30%, 0.0002836%), (EMR, 0, 0.30%, 0.0005215%), (GILD, 0, 0.29%, 0.0002856%), (CVS, 0, 0.28%, 0.0004493%), (DHR, 0, 0.27%, 0.0002589%), (TJX, 0, 0.27%, 0.0002630%), (ELV, 0, 0.27%, 0.0004729%), (CMCSA, 0, 0.24%, 0.0002572%), (LOW, 0, 0.24%, 0.0002625%), (MO, 0, 0.24%, 0.0003394%), (INTC, 0, 0.23%, 0.0002984%), (MDLZ, 0, 0.22%, 0.0003484%), (UPS, 0, 0.21%, 0.0003911%), (BMY, 0, 0.20%, 0.0002835%), (PYPL, 0, 0.19%, 0.0003632%), (CL, 0, 0.17%, 0.0003103%), (FDX, 0, 0.15%, 0.0003751%), (USB, 0, 0.15%, 0.0002801%), (TGT, 0, 0.09%, 0.0002663%), (nan, 0, -0.00%, 0.0000000%), (nan, 0, -0.00%, 0.0000000%)</t>
  </si>
  <si>
    <t>(GOOGLE, 0, 3.33%, 0.0001717%), (AVGO, 0, 3.00%, 0.0002363%), (META, 0, 2.81%, 0.0001820%), (BRK/B, 0, 2.15%, 0.0003345%), (CSCO, 0, 1.88%, 0.0007082%), (LIN, 0, 1.82%, 0.0008483%), (AMT, 0, 1.74%, 0.0017166%), (JPM, 0, 1.61%, 0.0002123%), (XOM, 0, 1.56%, 0.0003315%), (TSLA, 0, 1.53%, 0.0001595%), (V, 0, 1.51%, 0.0002559%), (LLY, 0, 1.27%, 0.0001760%), (CB, 0, 1.21%, 0.0011269%), (MA, 0, 1.13%, 0.0002314%), (WM, 0, 1.09%, 0.0012332%), (GE, 0, 1.00%, 0.0003920%), (NFLX, 0, 0.97%, 0.0001834%), (ORCL, 0, 0.95%, 0.0001459%), (NEE, 0, 0.91%, 0.0006128%), (UNH, 0, 0.91%, 0.0003418%), (COST, 0, 0.82%, 0.0001950%), (PG, 0, 0.82%, 0.0002290%), (WMT, 0, 0.80%, 0.0001062%), (CVX, 0, 0.79%, 0.0002625%), (JNJ, 0, 0.77%, 0.0002111%), (ABT, 0, 0.76%, 0.0003355%), (PLTR, 0, 0.73%, 0.0002333%), (RTX, 0, 0.72%, 0.0003793%), (MCD, 0, 0.72%, 0.0003544%), (CAT, 0, 0.72%, 0.0003938%), (ABBV, 0, 0.69%, 0.0002113%), (HD, 0, 0.69%, 0.0001922%), (IBM, 0, 0.68%, 0.0002560%), (PM, 0, 0.67%, 0.0002493%), (KO, 0, 0.65%, 0.0002249%), (CRM, 0, 0.65%, 0.0002599%), (BKNG, 0, 0.65%, 0.0003630%), (BAC, 0, 0.63%, 0.0001869%), (BA, 0, 0.62%, 0.0003757%), (ISRG, 0, 0.62%, 0.0003379%), (SO, 0, 0.61%, 0.0006181%), (NKE, 0, 0.59%, 0.0006950%), (HON, 0, 0.58%, 0.0003914%), (UBER, 0, 0.57%, 0.0002950%), (WFC, 0, 0.55%, 0.0002155%), (DUK, 0, 0.55%, 0.0006170%), (INTU, 0, 0.54%, 0.0002600%), (GS, 0, 0.54%, 0.0002634%), (ETN, 0, 0.53%, 0.0003879%), (NOW, 0, 0.53%, 0.0002563%), (MET, 0, 0.52%, 0.0010347%), (AMD, 0, 0.52%, 0.0002389%), (DE, 0, 0.48%, 0.0003596%), (ACN, 0, 0.47%, 0.0002596%), (TXN, 0, 0.46%, 0.0002398%), (T, 0, 0.45%, 0.0010733%), (PEP, 0, 0.45%, 0.0002504%), (AXP, 0, 0.43%, 0.0002032%), (MRK, 0, 0.43%, 0.0002139%), (MS, 0, 0.43%, 0.0001955%), (ADBE, 0, 0.41%, 0.0002721%), (QCOM, 0, 0.41%, 0.0002460%), (SPGI, 0, 0.41%, 0.0002639%), (UNP, 0, 0.41%, 0.0002986%), (VZ, 0, 0.40%, 0.0002292%), (BLK, 0, 0.39%, 0.0002364%), (DIS, 0, 0.39%, 0.0001831%), (COP, 0, 0.38%, 0.0003331%), (MDT, 0, 0.37%, 0.0003363%), (AMAT, 0, 0.37%, 0.0002472%), (SBUX, 0, 0.37%, 0.0003519%), (LMT, 0, 0.36%, 0.0003483%), (SCHW, 0, 0.34%, 0.0002072%), (TMO, 0, 0.33%, 0.0002151%), (C, 0, 0.33%, 0.0002130%), (AMGN, 0, 0.33%, 0.0002108%), (MMM, 0, 0.31%, 0.0003917%), (PFE, 0, 0.30%, 0.0002106%), (EMR, 0, 0.30%, 0.0003872%), (GILD, 0, 0.29%, 0.0002120%), (CVS, 0, 0.27%, 0.0003335%), (DHR, 0, 0.27%, 0.0001923%), (TJX, 0, 0.27%, 0.0001952%), (ELV, 0, 0.26%, 0.0003510%), (CMCSA, 0, 0.24%, 0.0001910%), (LOW, 0, 0.24%, 0.0001949%), (MO, 0, 0.24%, 0.0002520%), (INTC, 0, 0.23%, 0.0002215%), (MDLZ, 0, 0.22%, 0.0002586%), (UPS, 0, 0.21%, 0.0002903%), (BMY, 0, 0.20%, 0.0002104%), (PYPL, 0, 0.18%, 0.0002695%), (CL, 0, 0.17%, 0.0002303%), (FDX, 0, 0.15%, 0.0002784%), (USB, 0, 0.15%, 0.0002079%), (TGT, 0, 0.09%, 0.0001978%), (nan, 0, -0.00%, 0.0000000%), (nan, 0, -0.00%, 0.0000000%)</t>
  </si>
  <si>
    <t>(GOOGLE, 0, 3.36%, 0.0000402%), (AVGO, 0, 3.04%, 0.0000554%), (META, 0, 2.84%, 0.0000427%), (BRK/B, 0, 2.17%, 0.0000784%), (CSCO, 0, 1.90%, 0.0001660%), (LIN, 0, 1.84%, 0.0001987%), (AMT, 0, 1.76%, 0.0004024%), (JPM, 0, 1.63%, 0.0000498%), (XOM, 0, 1.58%, 0.0000777%), (TSLA, 0, 1.54%, 0.0000374%), (V, 0, 1.53%, 0.0000600%), (LLY, 0, 1.28%, 0.0000413%), (CB, 0, 1.22%, 0.0002643%), (MA, 0, 1.15%, 0.0000542%), (WM, 0, 1.10%, 0.0002889%), (GE, 0, 1.01%, 0.0000919%), (NFLX, 0, 0.98%, 0.0000430%), (ORCL, 0, 0.96%, 0.0000342%), (NEE, 0, 0.92%, 0.0001436%), (UNH, 0, 0.92%, 0.0000801%), (COST, 0, 0.83%, 0.0000458%), (PG, 0, 0.83%, 0.0000537%), (WMT, 0, 0.81%, 0.0000249%), (CVX, 0, 0.80%, 0.0000615%), (JNJ, 0, 0.78%, 0.0000495%), (ABT, 0, 0.76%, 0.0000787%), (PLTR, 0, 0.73%, 0.0000547%), (RTX, 0, 0.73%, 0.0000889%), (MCD, 0, 0.73%, 0.0000831%), (CAT, 0, 0.73%, 0.0000922%), (ABBV, 0, 0.70%, 0.0000495%), (HD, 0, 0.70%, 0.0000450%), (IBM, 0, 0.68%, 0.0000600%), (PM, 0, 0.68%, 0.0000585%), (KO, 0, 0.66%, 0.0000527%), (CRM, 0, 0.66%, 0.0000609%), (BKNG, 0, 0.64%, 0.0000838%), (BAC, 0, 0.64%, 0.0000438%), (BA, 0, 0.63%, 0.0000881%), (ISRG, 0, 0.62%, 0.0000793%), (SO, 0, 0.61%, 0.0001449%), (NKE, 0, 0.60%, 0.0001630%), (HON, 0, 0.58%, 0.0000917%), (UBER, 0, 0.58%, 0.0000691%), (WFC, 0, 0.56%, 0.0000505%), (DUK, 0, 0.55%, 0.0001447%), (INTU, 0, 0.55%, 0.0000610%), (GS, 0, 0.54%, 0.0000617%), (ETN, 0, 0.53%, 0.0000909%), (NOW, 0, 0.53%, 0.0000601%), (MET, 0, 0.53%, 0.0002425%), (AMD, 0, 0.53%, 0.0000560%), (DE, 0, 0.49%, 0.0000843%), (ACN, 0, 0.47%, 0.0000608%), (TXN, 0, 0.46%, 0.0000562%), (T, 0, 0.46%, 0.0002516%), (PEP, 0, 0.45%, 0.0000587%), (AXP, 0, 0.44%, 0.0000476%), (MRK, 0, 0.44%, 0.0000502%), (MS, 0, 0.43%, 0.0000458%), (ADBE, 0, 0.42%, 0.0000638%), (QCOM, 0, 0.42%, 0.0000576%), (SPGI, 0, 0.41%, 0.0000618%), (UNP, 0, 0.41%, 0.0000700%), (VZ, 0, 0.41%, 0.0000537%), (BLK, 0, 0.39%, 0.0000555%), (DIS, 0, 0.39%, 0.0000429%), (COP, 0, 0.39%, 0.0000781%), (AMAT, 0, 0.38%, 0.0000580%), (MDT, 0, 0.38%, 0.0000788%), (SBUX, 0, 0.37%, 0.0000824%), (LMT, 0, 0.37%, 0.0000817%), (SCHW, 0, 0.34%, 0.0000485%), (TMO, 0, 0.33%, 0.0000503%), (C, 0, 0.33%, 0.0000499%), (AMGN, 0, 0.33%, 0.0000494%), (MMM, 0, 0.32%, 0.0000919%), (PFE, 0, 0.30%, 0.0000494%), (EMR, 0, 0.30%, 0.0000908%), (GILD, 0, 0.29%, 0.0000497%), (CVS, 0, 0.28%, 0.0000781%), (DHR, 0, 0.27%, 0.0000450%), (TJX, 0, 0.27%, 0.0000457%), (ELV, 0, 0.27%, 0.0000823%), (CMCSA, 0, 0.24%, 0.0000448%), (LOW, 0, 0.24%, 0.0000456%), (MO, 0, 0.24%, 0.0000590%), (INTC, 0, 0.23%, 0.0000519%), (MDLZ, 0, 0.22%, 0.0000606%), (UPS, 0, 0.21%, 0.0000681%), (BMY, 0, 0.20%, 0.0000493%), (PYPL, 0, 0.19%, 0.0000632%), (CL, 0, 0.17%, 0.0000540%), (FDX, 0, 0.15%, 0.0000653%), (USB, 0, 0.15%, 0.0000487%), (TGT, 0, 0.09%, 0.0000464%), (nan, 0, -0.00%, 0.0000000%), (nan, 0, -0.00%, 0.0000000%)</t>
  </si>
  <si>
    <t>(AVGO, 0, 2.91%, 0.0001091%), (META, 0, 2.72%, 0.0000841%), (BRK/B, 0, 2.08%, 0.0001545%), (CSCO, 0, 1.82%, 0.0003271%), (LIN, 0, 1.76%, 0.0003919%), (AMT, 0, 1.68%, 0.0007929%), (JPM, 0, 1.56%, 0.0000981%), (XOM, 0, 1.51%, 0.0001531%), (TSLA, 0, 1.48%, 0.0000737%), (V, 0, 1.46%, 0.0001182%), (LLY, 0, 1.23%, 0.0000813%), (CB, 0, 1.17%, 0.0005204%), (MA, 0, 1.10%, 0.0001068%), (WM, 0, 1.06%, 0.0005694%), (GE, 0, 0.97%, 0.0001811%), (NFLX, 0, 0.94%, 0.0000847%), (ORCL, 0, 0.92%, 0.0000674%), (NEE, 0, 0.88%, 0.0002830%), (UNH, 0, 0.88%, 0.0001579%), (COST, 0, 0.80%, 0.0000900%), (PG, 0, 0.79%, 0.0001058%), (WMT, 0, 0.77%, 0.0000490%), (CVX, 0, 0.77%, 0.0001212%), (JNJ, 0, 0.75%, 0.0000975%), (ABT, 0, 0.73%, 0.0001550%), (PLTR, 0, 0.70%, 0.0001077%), (RTX, 0, 0.70%, 0.0001752%), (MCD, 0, 0.70%, 0.0001637%), (CAT, 0, 0.70%, 0.0001819%), (ABBV, 0, 0.67%, 0.0000976%), (HD, 0, 0.67%, 0.0000888%), (IBM, 0, 0.65%, 0.0001182%), (PM, 0, 0.65%, 0.0001151%), (KO, 0, 0.63%, 0.0001039%), (CRM, 0, 0.63%, 0.0001201%), (BKNG, 0, 0.62%, 0.0001675%), (BAC, 0, 0.61%, 0.0000863%), (BA, 0, 0.60%, 0.0001735%), (ISRG, 0, 0.60%, 0.0001560%), (SO, 0, 0.59%, 0.0002854%), (NKE, 0, 0.57%, 0.0003210%), (HON, 0, 0.56%, 0.0001808%), (UBER, 0, 0.56%, 0.0001362%), (WFC, 0, 0.53%, 0.0000995%), (DUK, 0, 0.53%, 0.0002849%), (INTU, 0, 0.53%, 0.0001202%), (GS, 0, 0.52%, 0.0001217%), (ETN, 0, 0.51%, 0.0001790%), (NOW, 0, 0.51%, 0.0001183%), (MET, 0, 0.51%, 0.0004779%), (AMD, 0, 0.50%, 0.0001103%), (DE, 0, 0.47%, 0.0001661%), (ACN, 0, 0.45%, 0.0001199%), (TXN, 0, 0.44%, 0.0001107%), (T, 0, 0.44%, 0.0004957%), (PEP, 0, 0.43%, 0.0001156%), (AXP, 0, 0.42%, 0.0000939%), (MRK, 0, 0.42%, 0.0000988%), (MS, 0, 0.42%, 0.0000903%), (ADBE, 0, 0.40%, 0.0001257%), (QCOM, 0, 0.40%, 0.0001136%), (SPGI, 0, 0.40%, 0.0001219%), (UNP, 0, 0.39%, 0.0001379%), (VZ, 0, 0.39%, 0.0001059%), (BLK, 0, 0.38%, 0.0001091%), (DIS, 0, 0.37%, 0.0000846%), (COP, 0, 0.37%, 0.0001538%), (MDT, 0, 0.36%, 0.0001553%), (AMAT, 0, 0.36%, 0.0001142%), (SBUX, 0, 0.36%, 0.0001625%), (LMT, 0, 0.35%, 0.0001608%), (SCHW, 0, 0.33%, 0.0000957%), (TMO, 0, 0.32%, 0.0000993%), (C, 0, 0.32%, 0.0000984%), (AMGN, 0, 0.32%, 0.0000973%), (MMM, 0, 0.30%, 0.0001809%), (PFE, 0, 0.29%, 0.0000972%), (EMR, 0, 0.29%, 0.0001787%), (GILD, 0, 0.28%, 0.0000979%), (CVS, 0, 0.27%, 0.0001540%), (DHR, 0, 0.26%, 0.0000888%), (TJX, 0, 0.26%, 0.0000901%), (ELV, 0, 0.25%, 0.0001620%), (CMCSA, 0, 0.23%, 0.0000882%), (LOW, 0, 0.23%, 0.0000900%), (MO, 0, 0.23%, 0.0001164%), (INTC, 0, 0.23%, 0.0001023%), (MDLZ, 0, 0.21%, 0.0001194%), (UPS, 0, 0.21%, 0.0001341%), (BMY, 0, 0.19%, 0.0000972%), (PYPL, 0, 0.18%, 0.0001245%), (CL, 0, 0.16%, 0.0001063%), (FDX, 0, 0.15%, 0.0001284%), (USB, 0, 0.14%, 0.0000960%), (TGT, 0, 0.09%, 0.0000913%), (nan, 0, -0.00%, 0.0000000%), (nan, 0, -0.00%, 0.0000000%)</t>
  </si>
  <si>
    <t>(GOOGLE, 0, 3.27%, 0.0000254%), (AVGO, 0, 2.96%, 0.0000350%), (META, 0, 2.76%, 0.0000270%), (BRK/B, 0, 2.12%, 0.0000495%), (CSCO, 0, 1.86%, 0.0001049%), (LIN, 0, 1.79%, 0.0001257%), (AMT, 0, 1.71%, 0.0002544%), (JPM, 0, 1.59%, 0.0000315%), (XOM, 0, 1.54%, 0.0000491%), (TSLA, 0, 1.50%, 0.0000236%), (V, 0, 1.49%, 0.0000379%), (LLY, 0, 1.25%, 0.0000261%), (CB, 0, 1.19%, 0.0001669%), (MA, 0, 1.11%, 0.0000342%), (WM, 0, 1.08%, 0.0001827%), (GE, 0, 0.99%, 0.0000581%), (NFLX, 0, 0.96%, 0.0000271%), (ORCL, 0, 0.94%, 0.0000216%), (NEE, 0, 0.90%, 0.0000908%), (UNH, 0, 0.90%, 0.0000507%), (COST, 0, 0.81%, 0.0000289%), (PG, 0, 0.81%, 0.0000339%), (WMT, 0, 0.79%, 0.0000157%), (CVX, 0, 0.78%, 0.0000389%), (JNJ, 0, 0.76%, 0.0000313%), (ABT, 0, 0.74%, 0.0000497%), (PLTR, 0, 0.72%, 0.0000346%), (RTX, 0, 0.71%, 0.0000562%), (MCD, 0, 0.71%, 0.0000526%), (CAT, 0, 0.71%, 0.0000583%), (ABBV, 0, 0.68%, 0.0000313%), (HD, 0, 0.68%, 0.0000284%), (IBM, 0, 0.67%, 0.0000380%), (PM, 0, 0.66%, 0.0000369%), (KO, 0, 0.64%, 0.0000333%), (CRM, 0, 0.64%, 0.0000386%), (BKNG, 0, 0.62%, 0.0000527%), (BAC, 0, 0.62%, 0.0000277%), (BA, 0, 0.61%, 0.0000557%), (ISRG, 0, 0.60%, 0.0000499%), (SO, 0, 0.60%, 0.0000915%), (NKE, 0, 0.58%, 0.0001030%), (HON, 0, 0.57%, 0.0000580%), (UBER, 0, 0.57%, 0.0000437%), (WFC, 0, 0.54%, 0.0000319%), (DUK, 0, 0.54%, 0.0000914%), (INTU, 0, 0.53%, 0.0000384%), (GS, 0, 0.53%, 0.0000390%), (ETN, 0, 0.52%, 0.0000575%), (NOW, 0, 0.52%, 0.0000380%), (MET, 0, 0.52%, 0.0001532%), (AMD, 0, 0.51%, 0.0000354%), (DE, 0, 0.47%, 0.0000533%), (ACN, 0, 0.46%, 0.0000385%), (TXN, 0, 0.45%, 0.0000355%), (T, 0, 0.44%, 0.0001590%), (PEP, 0, 0.44%, 0.0000371%), (MRK, 0, 0.43%, 0.0000317%), (AXP, 0, 0.43%, 0.0000301%), (MS, 0, 0.42%, 0.0000289%), (ADBE, 0, 0.41%, 0.0000404%), (QCOM, 0, 0.41%, 0.0000364%), (SPGI, 0, 0.40%, 0.0000390%), (UNP, 0, 0.40%, 0.0000442%), (VZ, 0, 0.39%, 0.0000340%), (DIS, 0, 0.38%, 0.0000271%), (BLK, 0, 0.38%, 0.0000349%), (COP, 0, 0.38%, 0.0000493%), (MDT, 0, 0.37%, 0.0000498%), (AMAT, 0, 0.37%, 0.0000367%), (SBUX, 0, 0.36%, 0.0000522%), (LMT, 0, 0.36%, 0.0000514%), (SCHW, 0, 0.33%, 0.0000307%), (TMO, 0, 0.33%, 0.0000319%), (C, 0, 0.32%, 0.0000316%), (AMGN, 0, 0.32%, 0.0000312%), (MMM, 0, 0.31%, 0.0000580%), (PFE, 0, 0.29%, 0.0000312%), (EMR, 0, 0.29%, 0.0000574%), (GILD, 0, 0.28%, 0.0000314%), (CVS, 0, 0.27%, 0.0000494%), (TJX, 0, 0.26%, 0.0000289%), (DHR, 0, 0.26%, 0.0000285%), (ELV, 0, 0.26%, 0.0000522%), (CMCSA, 0, 0.24%, 0.0000283%), (LOW, 0, 0.24%, 0.0000289%), (MO, 0, 0.23%, 0.0000374%), (INTC, 0, 0.23%, 0.0000328%), (MDLZ, 0, 0.21%, 0.0000383%), (UPS, 0, 0.21%, 0.0000431%), (BMY, 0, 0.19%, 0.0000312%), (PYPL, 0, 0.18%, 0.0000400%), (CL, 0, 0.16%, 0.0000341%), (FDX, 0, 0.15%, 0.0000411%), (USB, 0, 0.15%, 0.0000308%), (TGT, 0, 0.09%, 0.0000293%), (nan, 0, -0.00%, 0.0000000%), (nan, 0, -0.00%, 0.0000000%)</t>
  </si>
  <si>
    <t>(GOOGLE, 0, 3.49%, 0.0000612%), (AVGO, 0, 3.16%, 0.0000842%), (META, 0, 2.95%, 0.0000648%), (BRK/B, 0, 2.26%, 0.0001191%), (CSCO, 0, 1.98%, 0.0002523%), (LIN, 0, 1.91%, 0.0003022%), (AMT, 0, 1.82%, 0.0006113%), (JPM, 0, 1.69%, 0.0000756%), (XOM, 0, 1.64%, 0.0001181%), (TSLA, 0, 1.60%, 0.0000568%), (V, 0, 1.59%, 0.0000911%), (LLY, 0, 1.33%, 0.0000627%), (CB, 0, 1.27%, 0.0004015%), (MA, 0, 1.19%, 0.0000824%), (WM, 0, 1.15%, 0.0004391%), (GE, 0, 1.05%, 0.0001396%), (NFLX, 0, 1.02%, 0.0000654%), (ORCL, 0, 1.00%, 0.0000520%), (NEE, 0, 0.96%, 0.0002182%), (UNH, 0, 0.96%, 0.0001218%), (COST, 0, 0.87%, 0.0000695%), (PG, 0, 0.86%, 0.0000816%), (WMT, 0, 0.84%, 0.0000378%), (CVX, 0, 0.83%, 0.0000935%), (JNJ, 0, 0.81%, 0.0000752%), (ABT, 0, 0.79%, 0.0001195%), (PLTR, 0, 0.76%, 0.0000831%), (RTX, 0, 0.76%, 0.0001351%), (MCD, 0, 0.76%, 0.0001263%), (CAT, 0, 0.76%, 0.0001402%), (ABBV, 0, 0.73%, 0.0000753%), (HD, 0, 0.72%, 0.0000684%), (IBM, 0, 0.71%, 0.0000911%), (PM, 0, 0.71%, 0.0000888%), (KO, 0, 0.69%, 0.0000801%), (CRM, 0, 0.68%, 0.0000925%), (BKNG, 0, 0.68%, 0.0001303%), (BAC, 0, 0.66%, 0.0000666%), (BA, 0, 0.65%, 0.0001338%), (ISRG, 0, 0.65%, 0.0001205%), (SO, 0, 0.64%, 0.0002201%), (NKE, 0, 0.62%, 0.0002475%), (HON, 0, 0.61%, 0.0001394%), (UBER, 0, 0.60%, 0.0001051%), (WFC, 0, 0.58%, 0.0000768%), (DUK, 0, 0.57%, 0.0002197%), (INTU, 0, 0.57%, 0.0000925%), (GS, 0, 0.56%, 0.0000937%), (ETN, 0, 0.55%, 0.0001382%), (NOW, 0, 0.55%, 0.0000913%), (MET, 0, 0.55%, 0.0003686%), (AMD, 0, 0.55%, 0.0000851%), (DE, 0, 0.51%, 0.0001280%), (ACN, 0, 0.49%, 0.0000925%), (TXN, 0, 0.48%, 0.0000854%), (T, 0, 0.47%, 0.0003823%), (PEP, 0, 0.47%, 0.0000892%), (AXP, 0, 0.45%, 0.0000724%), (MRK, 0, 0.45%, 0.0000762%), (MS, 0, 0.45%, 0.0000697%), (ADBE, 0, 0.44%, 0.0000970%), (QCOM, 0, 0.43%, 0.0000876%), (SPGI, 0, 0.43%, 0.0000938%), (UNP, 0, 0.43%, 0.0001064%), (VZ, 0, 0.42%, 0.0000817%), (BLK, 0, 0.41%, 0.0000840%), (DIS, 0, 0.41%, 0.0000652%), (COP, 0, 0.40%, 0.0001187%), (MDT, 0, 0.39%, 0.0001198%), (AMAT, 0, 0.39%, 0.0000880%), (SBUX, 0, 0.39%, 0.0001254%), (LMT, 0, 0.38%, 0.0001240%), (SCHW, 0, 0.35%, 0.0000738%), (TMO, 0, 0.35%, 0.0000767%), (C, 0, 0.34%, 0.0000759%), (AMGN, 0, 0.34%, 0.0000750%), (MMM, 0, 0.33%, 0.0001395%), (PFE, 0, 0.31%, 0.0000750%), (EMR, 0, 0.31%, 0.0001379%), (GILD, 0, 0.30%, 0.0000755%), (CVS, 0, 0.29%, 0.0001188%), (DHR, 0, 0.28%, 0.0000685%), (TJX, 0, 0.28%, 0.0000695%), (ELV, 0, 0.28%, 0.0001251%), (CMCSA, 0, 0.25%, 0.0000680%), (LOW, 0, 0.25%, 0.0000694%), (MO, 0, 0.25%, 0.0000898%), (INTC, 0, 0.24%, 0.0000789%), (MDLZ, 0, 0.23%, 0.0000921%), (UPS, 0, 0.22%, 0.0001034%), (BMY, 0, 0.21%, 0.0000750%), (PYPL, 0, 0.19%, 0.0000960%), (CL, 0, 0.17%, 0.0000820%), (FDX, 0, 0.16%, 0.0000992%), (USB, 0, 0.16%, 0.0000740%), (TGT, 0, 0.09%, 0.0000704%), (nan, 0, -0.00%, 0.0000000%), (nan, 0, -0.00%, 0.0000000%)</t>
  </si>
  <si>
    <t>META, MSFT, EBAY, BKNG, AMAT, BK, EWBC, JPM, BLK, AXP, V, UNM</t>
  </si>
  <si>
    <t>(MLI, 0, 1.89%, 0.0111599%), (RJF, 0, 1.88%, 0.0033167%), (GOOGLE, 0, 1.81%, 0.0000983%), (EA, 0, 1.81%, 0.0026463%), (ADP, 0, 1.75%, 0.0007818%), (KLAC, 0, 1.73%, 0.0007969%), (HIG, 0, 1.73%, 0.0028441%), (TRV, 0, 1.72%, 0.0016879%), (CTSH, 0, 1.72%, 0.0024784%), (PHM, 0, 1.71%, 0.0043085%), (SNA, 0, 1.68%, 0.0056742%), (CB, 0, 1.68%, 0.0008484%), (PCAR, 0, 1.66%, 0.0017820%), (CRM, 0, 1.65%, 0.0003562%), (NVDA, 0, 1.62%, 0.0000228%), (SYF, 0, 1.56%, 0.0034314%), (ROST, 0, 1.55%, 0.0020275%), (PAYC, 0, 1.52%, 0.0062564%), (ACN, 0, 1.50%, 0.0004528%), (LEN, 0, 1.45%, 0.0031219%), (ELV, 0, 1.41%, 0.0010201%), (QCOM, 0, 1.37%, 0.0004425%), (WSM, 0, 1.30%, 0.0034362%), (BKR, 0, 1.24%, 0.0017839%), (ODFL, 0, 1.22%, 0.0019294%), (AFL, 0, 1.20%, 0.0012224%), (AAPL, 0, 1.17%, 0.0000209%), (DHI, 0, 1.15%, 0.0015767%), (CSCO, 0, 1.10%, 0.0002240%), (LRCX, 0, 1.09%, 0.0004854%), (MPWR, 0, 1.02%, 0.0015765%), (CF, 0, 0.99%, 0.0034635%), (STT, 0, 0.96%, 0.0017572%), (GE, 0, 0.96%, 0.0002026%), (MTB, 0, 0.94%, 0.0016995%), (AMP, 0, 0.93%, 0.0010290%), (PNC, 0, 0.92%, 0.0006673%), (COST, 0, 0.87%, 0.0001108%), (ABT, 0, 0.84%, 0.0002032%), (XOM, 0, 0.84%, 0.0000964%), (CSL, 0, 0.82%, 0.0026349%), (EOG, 0, 0.81%, 0.0006771%), (EG, 0, 0.76%, 0.0029595%), (NTRS, 0, 0.52%, 0.0012045%), (MA, 0, 0.48%, 0.0000533%), (GEV, 0, 0.48%, 0.0001847%), (CRBG, 0, 0.48%, 0.0014530%), (DOV, 0, 0.45%, 0.0009712%), (ACM, 0, 0.45%, 0.0016278%), (WTFC, 0, 0.44%, 0.0027408%), (SLM, 0, 0.44%, 0.0036028%), (MCK, 0, 0.43%, 0.0002645%), (JNJ, 0, 0.43%, 0.0000633%), (MTG, 0, 0.43%, 0.0040011%), (EQH, 0, 0.42%, 0.0014746%), (CINF, 0, 0.42%, 0.0010159%), (JXN, 0, 0.40%, 0.0036927%), (ALL, 0, 0.39%, 0.0004281%), (LNC, 0, 0.38%, 0.0032805%), (NUE, 0, 0.38%, 0.0006635%), (PGR, 0, 0.37%, 0.0001418%), (ADM, 0, 0.37%, 0.0007897%), (NKE, 0, 0.37%, 0.0002335%), (FANG, 0, 0.30%, 0.0004097%)</t>
  </si>
  <si>
    <t>(AVGO, 0, 2.86%, 0.0000889%), (META, 0, 2.68%, 0.0000684%), (BRK/B, 0, 2.05%, 0.0001258%), (CSCO, 0, 1.80%, 0.0002663%), (LIN, 0, 1.73%, 0.0003191%), (AMT, 0, 1.65%, 0.0006455%), (JPM, 0, 1.53%, 0.0000799%), (XOM, 0, 1.49%, 0.0001247%), (TSLA, 0, 1.46%, 0.0000600%), (V, 0, 1.44%, 0.0000963%), (LLY, 0, 1.21%, 0.0000662%), (CB, 0, 1.15%, 0.0004238%), (MA, 0, 1.08%, 0.0000870%), (WM, 0, 1.04%, 0.0004637%), (GE, 0, 0.96%, 0.0001474%), (NFLX, 0, 0.93%, 0.0000689%), (ORCL, 0, 0.91%, 0.0000549%), (NEE, 0, 0.87%, 0.0002304%), (UNH, 0, 0.87%, 0.0001285%), (COST, 0, 0.79%, 0.0000733%), (PG, 0, 0.78%, 0.0000861%), (WMT, 0, 0.76%, 0.0000399%), (CVX, 0, 0.76%, 0.0000987%), (JNJ, 0, 0.74%, 0.0000794%), (ABT, 0, 0.72%, 0.0001262%), (PLTR, 0, 0.69%, 0.0000877%), (RTX, 0, 0.69%, 0.0001426%), (MCD, 0, 0.69%, 0.0001333%), (CAT, 0, 0.69%, 0.0001481%), (ABBV, 0, 0.66%, 0.0000795%), (HD, 0, 0.66%, 0.0000722%), (IBM, 0, 0.64%, 0.0000963%), (PM, 0, 0.64%, 0.0000937%), (KO, 0, 0.62%, 0.0000846%), (CRM, 0, 0.62%, 0.0000977%), (BKNG, 0, 0.62%, 0.0001365%), (BAC, 0, 0.60%, 0.0000703%), (BA, 0, 0.59%, 0.0001413%), (ISRG, 0, 0.59%, 0.0001272%), (SO, 0, 0.58%, 0.0002324%), (NKE, 0, 0.56%, 0.0002613%), (HON, 0, 0.55%, 0.0001471%), (UBER, 0, 0.55%, 0.0001109%), (WFC, 0, 0.52%, 0.0000811%), (DUK, 0, 0.52%, 0.0002320%), (INTU, 0, 0.52%, 0.0000979%), (GS, 0, 0.51%, 0.0000990%), (ETN, 0, 0.50%, 0.0001459%), (NOW, 0, 0.50%, 0.0000966%), (MET, 0, 0.50%, 0.0003892%), (AMD, 0, 0.50%, 0.0000898%), (DE, 0, 0.46%, 0.0001354%), (ACN, 0, 0.45%, 0.0000976%), (TXN, 0, 0.44%, 0.0000901%), (T, 0, 0.43%, 0.0004036%), (PEP, 0, 0.43%, 0.0000942%), (AXP, 0, 0.41%, 0.0000764%), (MRK, 0, 0.41%, 0.0000804%), (MS, 0, 0.41%, 0.0000735%), (ADBE, 0, 0.39%, 0.0001022%), (QCOM, 0, 0.39%, 0.0000925%), (SPGI, 0, 0.39%, 0.0000991%), (UNP, 0, 0.39%, 0.0001123%), (VZ, 0, 0.38%, 0.0000862%), (BLK, 0, 0.37%, 0.0000891%), (DIS, 0, 0.37%, 0.0000689%), (COP, 0, 0.36%, 0.0001252%), (MDT, 0, 0.35%, 0.0001265%), (AMAT, 0, 0.35%, 0.0000930%), (SBUX, 0, 0.35%, 0.0001323%), (LMT, 0, 0.35%, 0.0001309%), (SCHW, 0, 0.32%, 0.0000779%), (TMO, 0, 0.31%, 0.0000809%), (AMGN, 0, 0.31%, 0.0000793%), (C, 0, 0.31%, 0.0000801%), (MMM, 0, 0.30%, 0.0001472%), (PFE, 0, 0.28%, 0.0000792%), (EMR, 0, 0.28%, 0.0001455%), (GILD, 0, 0.28%, 0.0000797%), (CVS, 0, 0.26%, 0.0001254%), (DHR, 0, 0.25%, 0.0000723%), (TJX, 0, 0.25%, 0.0000734%), (ELV, 0, 0.25%, 0.0001318%), (CMCSA, 0, 0.23%, 0.0000718%), (LOW, 0, 0.23%, 0.0000733%), (MO, 0, 0.23%, 0.0000948%), (INTC, 0, 0.22%, 0.0000833%), (MDLZ, 0, 0.21%, 0.0000973%), (UPS, 0, 0.20%, 0.0001092%), (BMY, 0, 0.19%, 0.0000791%), (PYPL, 0, 0.17%, 0.0001013%), (CL, 0, 0.16%, 0.0000866%), (FDX, 0, 0.14%, 0.0001047%), (USB, 0, 0.14%, 0.0000782%), (TGT, 0, 0.09%, 0.0000744%), (nan, 0, -0.00%, 0.0000000%), (nan, 0, -0.00%, 0.0000000%)</t>
  </si>
  <si>
    <t>(GOOGLE, 0, 3.33%, 0.0001322%), (AVGO, 0, 3.01%, 0.0001819%), (META, 0, 2.82%, 0.0001401%), (BRK/B, 0, 2.15%, 0.0002575%), (CSCO, 0, 1.89%, 0.0005452%), (LIN, 0, 1.82%, 0.0006530%), (AMT, 0, 1.74%, 0.0013214%), (JPM, 0, 1.61%, 0.0001635%), (XOM, 0, 1.56%, 0.0002552%), (TSLA, 0, 1.53%, 0.0001228%), (V, 0, 1.52%, 0.0001970%), (LLY, 0, 1.27%, 0.0001355%), (CB, 0, 1.21%, 0.0008675%), (MA, 0, 1.14%, 0.0001781%), (WM, 0, 1.09%, 0.0009492%), (GE, 0, 1.01%, 0.0003018%), (NFLX, 0, 0.98%, 0.0001411%), (ORCL, 0, 0.96%, 0.0001123%), (NEE, 0, 0.92%, 0.0004717%), (UNH, 0, 0.91%, 0.0002631%), (COST, 0, 0.83%, 0.0001501%), (PG, 0, 0.82%, 0.0001763%), (WMT, 0, 0.80%, 0.0000817%), (CVX, 0, 0.80%, 0.0002021%), (JNJ, 0, 0.77%, 0.0001625%), (ABT, 0, 0.76%, 0.0002583%), (PLTR, 0, 0.73%, 0.0001796%), (RTX, 0, 0.72%, 0.0002920%), (MCD, 0, 0.72%, 0.0002728%), (CAT, 0, 0.72%, 0.0003031%), (ABBV, 0, 0.69%, 0.0001627%), (HD, 0, 0.69%, 0.0001480%), (IBM, 0, 0.68%, 0.0001971%), (PM, 0, 0.67%, 0.0001919%), (KO, 0, 0.66%, 0.0001731%), (CRM, 0, 0.65%, 0.0002001%), (BKNG, 0, 0.65%, 0.0002792%), (BAC, 0, 0.63%, 0.0001439%), (BA, 0, 0.62%, 0.0002893%), (ISRG, 0, 0.62%, 0.0002601%), (SO, 0, 0.61%, 0.0004757%), (NKE, 0, 0.59%, 0.0005350%), (HON, 0, 0.58%, 0.0003013%), (UBER, 0, 0.58%, 0.0002271%), (WFC, 0, 0.55%, 0.0001659%), (DUK, 0, 0.55%, 0.0004749%), (INTU, 0, 0.54%, 0.0002001%), (GS, 0, 0.54%, 0.0002027%), (ETN, 0, 0.53%, 0.0002985%), (NOW, 0, 0.53%, 0.0001971%), (MET, 0, 0.53%, 0.0007965%), (AMD, 0, 0.52%, 0.0001839%), (DE, 0, 0.48%, 0.0002767%), (ACN, 0, 0.47%, 0.0001999%), (TXN, 0, 0.46%, 0.0001847%), (T, 0, 0.45%, 0.0008262%), (PEP, 0, 0.45%, 0.0001928%), (AXP, 0, 0.43%, 0.0001565%), (MRK, 0, 0.43%, 0.0001647%), (MS, 0, 0.43%, 0.0001505%), (ADBE, 0, 0.41%, 0.0002095%), (QCOM, 0, 0.41%, 0.0001893%), (SPGI, 0, 0.41%, 0.0002031%), (UNP, 0, 0.41%, 0.0002300%), (VZ, 0, 0.40%, 0.0001765%), (BLK, 0, 0.39%, 0.0001821%), (DIS, 0, 0.39%, 0.0001409%), (COP, 0, 0.38%, 0.0002564%), (MDT, 0, 0.37%, 0.0002589%), (AMAT, 0, 0.37%, 0.0001903%), (SBUX, 0, 0.37%, 0.0002709%), (LMT, 0, 0.36%, 0.0002679%), (SCHW, 0, 0.34%, 0.0001595%), (TMO, 0, 0.33%, 0.0001656%), (AMGN, 0, 0.33%, 0.0001623%), (C, 0, 0.33%, 0.0001640%), (MMM, 0, 0.31%, 0.0003016%), (PFE, 0, 0.30%, 0.0001621%), (EMR, 0, 0.30%, 0.0002980%), (GILD, 0, 0.29%, 0.0001632%), (CVS, 0, 0.28%, 0.0002567%), (DHR, 0, 0.27%, 0.0001479%), (TJX, 0, 0.27%, 0.0001502%), (ELV, 0, 0.26%, 0.0002704%), (CMCSA, 0, 0.24%, 0.0001470%), (LOW, 0, 0.24%, 0.0001500%), (MO, 0, 0.24%, 0.0001940%), (INTC, 0, 0.23%, 0.0001705%), (MDLZ, 0, 0.22%, 0.0001991%), (UPS, 0, 0.21%, 0.0002235%), (BMY, 0, 0.20%, 0.0001620%), (PYPL, 0, 0.18%, 0.0002074%), (CL, 0, 0.17%, 0.0001773%), (FDX, 0, 0.15%, 0.0002144%), (USB, 0, 0.15%, 0.0001601%), (TGT, 0, 0.09%, 0.0001523%), (nan, 0, -0.00%, 0.0000000%), (nan, 0, -0.00%, 0.0000000%)</t>
  </si>
  <si>
    <t>(GOOGLE, 0, 3.37%, 0.0002308%), (AVGO, 0, 3.01%, 0.0003175%), (META, 0, 2.82%, 0.0002446%), (BRK/B, 0, 2.16%, 0.0004495%), (CSCO, 0, 1.89%, 0.0009518%), (LIN, 0, 1.83%, 0.0011402%), (AMT, 0, 1.74%, 0.0023070%), (JPM, 0, 1.65%, 0.0002854%), (TSLA, 0, 1.61%, 0.0002143%), (XOM, 0, 1.58%, 0.0004456%), (V, 0, 1.52%, 0.0003440%), (LLY, 0, 1.28%, 0.0002366%), (CB, 0, 1.22%, 0.0015147%), (MA, 0, 1.14%, 0.0003109%), (WM, 0, 1.10%, 0.0016574%), (GE, 0, 1.02%, 0.0005269%), (ORCL, 0, 0.96%, 0.0001961%), (NFLX, 0, 0.95%, 0.0002464%), (NEE, 0, 0.93%, 0.0008235%), (UNH, 0, 0.91%, 0.0004592%), (PG, 0, 0.83%, 0.0003078%), (COST, 0, 0.82%, 0.0002620%), (CVX, 0, 0.80%, 0.0003528%), (WMT, 0, 0.79%, 0.0001427%), (JNJ, 0, 0.78%, 0.0002837%), (ABT, 0, 0.76%, 0.0004509%), (MCD, 0, 0.74%, 0.0004762%), (CAT, 0, 0.73%, 0.0005292%), (RTX, 0, 0.73%, 0.0005098%), (PLTR, 0, 0.73%, 0.0003136%), (ABBV, 0, 0.71%, 0.0002840%), (HD, 0, 0.70%, 0.0002583%), (PM, 0, 0.69%, 0.0003350%), (IBM, 0, 0.67%, 0.0003442%), (KO, 0, 0.66%, 0.0003023%), (BKNG, 0, 0.66%, 0.0004871%), (CRM, 0, 0.64%, 0.0003494%), (BAC, 0, 0.64%, 0.0002512%), (BA, 0, 0.62%, 0.0005051%), (SO, 0, 0.62%, 0.0008306%), (ISRG, 0, 0.62%, 0.0004542%), (NKE, 0, 0.60%, 0.0009341%), (HON, 0, 0.58%, 0.0005259%), (UBER, 0, 0.57%, 0.0003965%), (WFC, 0, 0.56%, 0.0002897%), (DUK, 0, 0.56%, 0.0008292%), (GS, 0, 0.55%, 0.0003538%), (AMD, 0, 0.54%, 0.0003210%), (INTU, 0, 0.53%, 0.0003497%), (ETN, 0, 0.53%, 0.0005212%), (MET, 0, 0.53%, 0.0013906%), (NOW, 0, 0.51%, 0.0003447%), (DE, 0, 0.49%, 0.0004835%), (TXN, 0, 0.47%, 0.0003224%), (ACN, 0, 0.46%, 0.0003490%), (PEP, 0, 0.46%, 0.0003366%), (AXP, 0, 0.45%, 0.0002732%), (T, 0, 0.45%, 0.0014425%), (MS, 0, 0.44%, 0.0002627%), (MRK, 0, 0.44%, 0.0002875%), (ADBE, 0, 0.41%, 0.0003657%), (SPGI, 0, 0.41%, 0.0003544%), (QCOM, 0, 0.41%, 0.0003306%), (UNP, 0, 0.41%, 0.0004014%), (VZ, 0, 0.40%, 0.0003081%), (BLK, 0, 0.39%, 0.0003177%), (DIS, 0, 0.39%, 0.0002461%), (COP, 0, 0.39%, 0.0004476%), (AMAT, 0, 0.38%, 0.0003323%), (MDT, 0, 0.38%, 0.0004520%), (SBUX, 0, 0.37%, 0.0004729%), (LMT, 0, 0.37%, 0.0004680%), (SCHW, 0, 0.34%, 0.0002784%), (TMO, 0, 0.34%, 0.0002891%), (C, 0, 0.34%, 0.0002864%), (AMGN, 0, 0.33%, 0.0002835%), (MMM, 0, 0.32%, 0.0005263%), (PFE, 0, 0.30%, 0.0002830%), (EMR, 0, 0.30%, 0.0005203%), (GILD, 0, 0.29%, 0.0002849%), (CVS, 0, 0.27%, 0.0004482%), (DHR, 0, 0.27%, 0.0002584%), (TJX, 0, 0.26%, 0.0002624%), (ELV, 0, 0.26%, 0.0004716%), (LOW, 0, 0.24%, 0.0002619%), (MO, 0, 0.24%, 0.0003387%), (CMCSA, 0, 0.24%, 0.0002566%), (INTC, 0, 0.24%, 0.0002977%), (MDLZ, 0, 0.22%, 0.0003476%), (UPS, 0, 0.22%, 0.0003902%), (BMY, 0, 0.20%, 0.0002828%), (PYPL, 0, 0.19%, 0.0003623%), (CL, 0, 0.16%, 0.0003095%), (FDX, 0, 0.15%, 0.0003742%), (USB, 0, 0.15%, 0.0002794%), (TGT, 0, 0.09%, 0.0002658%), (nan, 0, -0.00%, 0.0000000%), (nan, 0, -0.00%, 0.0000000%)</t>
  </si>
  <si>
    <t>(GOOGLE, 0, 3.35%, 0.0001717%), (AVGO, 0, 2.99%, 0.0002363%), (META, 0, 2.80%, 0.0001820%), (BRK/B, 0, 2.15%, 0.0003345%), (CSCO, 0, 1.88%, 0.0007082%), (LIN, 0, 1.82%, 0.0008483%), (AMT, 0, 1.73%, 0.0017166%), (JPM, 0, 1.64%, 0.0002123%), (TSLA, 0, 1.60%, 0.0001595%), (XOM, 0, 1.57%, 0.0003315%), (V, 0, 1.51%, 0.0002559%), (LLY, 0, 1.28%, 0.0001760%), (CB, 0, 1.21%, 0.0011269%), (MA, 0, 1.13%, 0.0002314%), (WM, 0, 1.09%, 0.0012332%), (GE, 0, 1.01%, 0.0003920%), (ORCL, 0, 0.95%, 0.0001459%), (NFLX, 0, 0.95%, 0.0001834%), (NEE, 0, 0.93%, 0.0006128%), (UNH, 0, 0.90%, 0.0003418%), (PG, 0, 0.83%, 0.0002290%), (COST, 0, 0.82%, 0.0001950%), (CVX, 0, 0.80%, 0.0002625%), (WMT, 0, 0.78%, 0.0001062%), (JNJ, 0, 0.78%, 0.0002111%), (ABT, 0, 0.76%, 0.0003355%), (MCD, 0, 0.73%, 0.0003544%), (CAT, 0, 0.73%, 0.0003938%), (RTX, 0, 0.72%, 0.0003793%), (PLTR, 0, 0.72%, 0.0002333%), (ABBV, 0, 0.70%, 0.0002113%), (HD, 0, 0.70%, 0.0001922%), (PM, 0, 0.68%, 0.0002493%), (IBM, 0, 0.67%, 0.0002560%), (KO, 0, 0.66%, 0.0002249%), (BKNG, 0, 0.65%, 0.0003630%), (CRM, 0, 0.64%, 0.0002599%), (BAC, 0, 0.63%, 0.0001869%), (BA, 0, 0.62%, 0.0003757%), (SO, 0, 0.62%, 0.0006181%), (ISRG, 0, 0.61%, 0.0003379%), (NKE, 0, 0.60%, 0.0006950%), (HON, 0, 0.57%, 0.0003914%), (UBER, 0, 0.57%, 0.0002950%), (WFC, 0, 0.55%, 0.0002155%), (DUK, 0, 0.55%, 0.0006170%), (GS, 0, 0.55%, 0.0002634%), (AMD, 0, 0.54%, 0.0002389%), (INTU, 0, 0.53%, 0.0002600%), (ETN, 0, 0.53%, 0.0003879%), (MET, 0, 0.53%, 0.0010347%), (NOW, 0, 0.50%, 0.0002563%), (DE, 0, 0.49%, 0.0003596%), (TXN, 0, 0.46%, 0.0002398%), (ACN, 0, 0.45%, 0.0002596%), (PEP, 0, 0.45%, 0.0002504%), (AXP, 0, 0.44%, 0.0002032%), (T, 0, 0.44%, 0.0010733%), (MS, 0, 0.44%, 0.0001955%), (MRK, 0, 0.43%, 0.0002139%), (ADBE, 0, 0.41%, 0.0002721%), (SPGI, 0, 0.41%, 0.0002639%), (QCOM, 0, 0.41%, 0.0002460%), (UNP, 0, 0.41%, 0.0002986%), (VZ, 0, 0.40%, 0.0002292%), (BLK, 0, 0.39%, 0.0002364%), (DIS, 0, 0.39%, 0.0001831%), (COP, 0, 0.39%, 0.0003331%), (AMAT, 0, 0.38%, 0.0002472%), (MDT, 0, 0.37%, 0.0003363%), (SBUX, 0, 0.37%, 0.0003519%), (LMT, 0, 0.36%, 0.0003483%), (SCHW, 0, 0.34%, 0.0002072%), (TMO, 0, 0.34%, 0.0002151%), (C, 0, 0.33%, 0.0002130%), (AMGN, 0, 0.33%, 0.0002108%), (MMM, 0, 0.32%, 0.0003917%), (PFE, 0, 0.30%, 0.0002106%), (EMR, 0, 0.30%, 0.0003872%), (GILD, 0, 0.29%, 0.0002120%), (CVS, 0, 0.27%, 0.0003335%), (DHR, 0, 0.27%, 0.0001923%), (ELV, 0, 0.26%, 0.0003510%), (TJX, 0, 0.26%, 0.0001952%), (LOW, 0, 0.24%, 0.0001949%), (MO, 0, 0.24%, 0.0002520%), (CMCSA, 0, 0.24%, 0.0001910%), (INTC, 0, 0.24%, 0.0002215%), (MDLZ, 0, 0.22%, 0.0002586%), (UPS, 0, 0.21%, 0.0002903%), (BMY, 0, 0.20%, 0.0002104%), (PYPL, 0, 0.19%, 0.0002695%), (CL, 0, 0.16%, 0.0002303%), (FDX, 0, 0.15%, 0.0002784%), (USB, 0, 0.15%, 0.0002079%), (TGT, 0, 0.09%, 0.0001978%), (nan, 0, -0.00%, 0.0000000%), (nan, 0, -0.00%, 0.0000000%)</t>
  </si>
  <si>
    <t>(GOOGLE, 0, 3.38%, 0.0000402%), (AVGO, 0, 3.02%, 0.0000554%), (META, 0, 2.83%, 0.0000427%), (BRK/B, 0, 2.17%, 0.0000784%), (CSCO, 0, 1.90%, 0.0001660%), (LIN, 0, 1.84%, 0.0001987%), (AMT, 0, 1.75%, 0.0004024%), (JPM, 0, 1.66%, 0.0000498%), (TSLA, 0, 1.62%, 0.0000374%), (XOM, 0, 1.59%, 0.0000777%), (V, 0, 1.52%, 0.0000600%), (LLY, 0, 1.29%, 0.0000413%), (CB, 0, 1.23%, 0.0002643%), (MA, 0, 1.14%, 0.0000542%), (WM, 0, 1.10%, 0.0002889%), (GE, 0, 1.02%, 0.0000919%), (ORCL, 0, 0.96%, 0.0000342%), (NFLX, 0, 0.96%, 0.0000430%), (NEE, 0, 0.94%, 0.0001436%), (UNH, 0, 0.91%, 0.0000801%), (PG, 0, 0.84%, 0.0000537%), (COST, 0, 0.83%, 0.0000458%), (CVX, 0, 0.81%, 0.0000615%), (WMT, 0, 0.79%, 0.0000249%), (JNJ, 0, 0.79%, 0.0000495%), (ABT, 0, 0.77%, 0.0000787%), (MCD, 0, 0.74%, 0.0000831%), (CAT, 0, 0.74%, 0.0000922%), (RTX, 0, 0.73%, 0.0000889%), (PLTR, 0, 0.73%, 0.0000547%), (ABBV, 0, 0.71%, 0.0000495%), (HD, 0, 0.70%, 0.0000450%), (PM, 0, 0.69%, 0.0000585%), (IBM, 0, 0.68%, 0.0000600%), (KO, 0, 0.67%, 0.0000527%), (BKNG, 0, 0.65%, 0.0000838%), (CRM, 0, 0.64%, 0.0000609%), (BAC, 0, 0.64%, 0.0000438%), (BA, 0, 0.63%, 0.0000881%), (SO, 0, 0.62%, 0.0001449%), (ISRG, 0, 0.62%, 0.0000793%), (NKE, 0, 0.61%, 0.0001630%), (HON, 0, 0.58%, 0.0000917%), (UBER, 0, 0.58%, 0.0000691%), (WFC, 0, 0.56%, 0.0000505%), (DUK, 0, 0.56%, 0.0001447%), (GS, 0, 0.55%, 0.0000617%), (AMD, 0, 0.54%, 0.0000560%), (INTU, 0, 0.53%, 0.0000610%), (ETN, 0, 0.53%, 0.0000909%), (MET, 0, 0.53%, 0.0002425%), (NOW, 0, 0.51%, 0.0000601%), (DE, 0, 0.50%, 0.0000843%), (TXN, 0, 0.47%, 0.0000562%), (ACN, 0, 0.46%, 0.0000608%), (PEP, 0, 0.46%, 0.0000587%), (T, 0, 0.45%, 0.0002516%), (AXP, 0, 0.45%, 0.0000476%), (MS, 0, 0.44%, 0.0000458%), (MRK, 0, 0.44%, 0.0000502%), (ADBE, 0, 0.42%, 0.0000638%), (QCOM, 0, 0.42%, 0.0000576%), (SPGI, 0, 0.42%, 0.0000618%), (UNP, 0, 0.41%, 0.0000700%), (VZ, 0, 0.40%, 0.0000537%), (BLK, 0, 0.40%, 0.0000555%), (DIS, 0, 0.39%, 0.0000429%), (COP, 0, 0.39%, 0.0000781%), (AMAT, 0, 0.38%, 0.0000580%), (MDT, 0, 0.38%, 0.0000788%), (SBUX, 0, 0.37%, 0.0000824%), (LMT, 0, 0.37%, 0.0000817%), (SCHW, 0, 0.34%, 0.0000485%), (TMO, 0, 0.34%, 0.0000503%), (C, 0, 0.34%, 0.0000499%), (AMGN, 0, 0.34%, 0.0000494%), (MMM, 0, 0.32%, 0.0000919%), (PFE, 0, 0.30%, 0.0000494%), (EMR, 0, 0.30%, 0.0000908%), (GILD, 0, 0.29%, 0.0000497%), (CVS, 0, 0.27%, 0.0000781%), (DHR, 0, 0.27%, 0.0000450%), (ELV, 0, 0.27%, 0.0000823%), (TJX, 0, 0.27%, 0.0000457%), (LOW, 0, 0.24%, 0.0000456%), (MO, 0, 0.24%, 0.0000590%), (CMCSA, 0, 0.24%, 0.0000448%), (INTC, 0, 0.24%, 0.0000519%), (MDLZ, 0, 0.22%, 0.0000606%), (UPS, 0, 0.22%, 0.0000681%), (BMY, 0, 0.20%, 0.0000493%), (PYPL, 0, 0.19%, 0.0000632%), (CL, 0, 0.17%, 0.0000540%), (FDX, 0, 0.15%, 0.0000653%), (USB, 0, 0.15%, 0.0000487%), (TGT, 0, 0.09%, 0.0000464%), (nan, 0, -0.00%, 0.0000000%), (nan, 0, -0.00%, 0.0000000%)</t>
  </si>
  <si>
    <t>(AVGO, 0, 2.89%, 0.0001091%), (META, 0, 2.70%, 0.0000841%), (BRK/B, 0, 2.08%, 0.0001545%), (CSCO, 0, 1.81%, 0.0003271%), (LIN, 0, 1.75%, 0.0003919%), (AMT, 0, 1.67%, 0.0007929%), (JPM, 0, 1.58%, 0.0000981%), (TSLA, 0, 1.55%, 0.0000737%), (XOM, 0, 1.52%, 0.0001531%), (V, 0, 1.46%, 0.0001182%), (LLY, 0, 1.23%, 0.0000813%), (CB, 0, 1.17%, 0.0005204%), (MA, 0, 1.09%, 0.0001068%), (WM, 0, 1.05%, 0.0005694%), (GE, 0, 0.98%, 0.0001811%), (ORCL, 0, 0.92%, 0.0000674%), (NFLX, 0, 0.91%, 0.0000847%), (NEE, 0, 0.89%, 0.0002830%), (UNH, 0, 0.87%, 0.0001579%), (PG, 0, 0.80%, 0.0001058%), (COST, 0, 0.79%, 0.0000900%), (CVX, 0, 0.77%, 0.0001212%), (WMT, 0, 0.76%, 0.0000490%), (JNJ, 0, 0.75%, 0.0000975%), (ABT, 0, 0.73%, 0.0001550%), (MCD, 0, 0.71%, 0.0001637%), (CAT, 0, 0.70%, 0.0001819%), (PLTR, 0, 0.70%, 0.0001077%), (RTX, 0, 0.70%, 0.0001752%), (ABBV, 0, 0.68%, 0.0000976%), (HD, 0, 0.67%, 0.0000888%), (PM, 0, 0.66%, 0.0001151%), (IBM, 0, 0.65%, 0.0001182%), (KO, 0, 0.64%, 0.0001039%), (BKNG, 0, 0.63%, 0.0001675%), (CRM, 0, 0.61%, 0.0001201%), (BAC, 0, 0.61%, 0.0000863%), (BA, 0, 0.60%, 0.0001735%), (SO, 0, 0.59%, 0.0002854%), (ISRG, 0, 0.59%, 0.0001560%), (NKE, 0, 0.58%, 0.0003210%), (HON, 0, 0.55%, 0.0001808%), (UBER, 0, 0.55%, 0.0001362%), (WFC, 0, 0.53%, 0.0000995%), (DUK, 0, 0.53%, 0.0002849%), (GS, 0, 0.53%, 0.0001217%), (AMD, 0, 0.52%, 0.0001103%), (INTU, 0, 0.51%, 0.0001202%), (MET, 0, 0.51%, 0.0004779%), (ETN, 0, 0.51%, 0.0001790%), (NOW, 0, 0.49%, 0.0001183%), (DE, 0, 0.47%, 0.0001661%), (TXN, 0, 0.45%, 0.0001107%), (ACN, 0, 0.44%, 0.0001199%), (PEP, 0, 0.44%, 0.0001156%), (AXP, 0, 0.43%, 0.0000939%), (T, 0, 0.43%, 0.0004957%), (MS, 0, 0.42%, 0.0000903%), (MRK, 0, 0.42%, 0.0000988%), (ADBE, 0, 0.40%, 0.0001257%), (SPGI, 0, 0.40%, 0.0001219%), (QCOM, 0, 0.40%, 0.0001136%), (UNP, 0, 0.39%, 0.0001379%), (VZ, 0, 0.38%, 0.0001059%), (BLK, 0, 0.38%, 0.0001091%), (DIS, 0, 0.38%, 0.0000846%), (COP, 0, 0.37%, 0.0001538%), (AMAT, 0, 0.36%, 0.0001142%), (MDT, 0, 0.36%, 0.0001553%), (SBUX, 0, 0.36%, 0.0001625%), (LMT, 0, 0.35%, 0.0001608%), (SCHW, 0, 0.33%, 0.0000957%), (TMO, 0, 0.33%, 0.0000993%), (C, 0, 0.32%, 0.0000984%), (AMGN, 0, 0.32%, 0.0000973%), (MMM, 0, 0.31%, 0.0001809%), (PFE, 0, 0.29%, 0.0000972%), (EMR, 0, 0.29%, 0.0001787%), (GILD, 0, 0.28%, 0.0000979%), (CVS, 0, 0.26%, 0.0001540%), (DHR, 0, 0.26%, 0.0000888%), (TJX, 0, 0.25%, 0.0000901%), (ELV, 0, 0.25%, 0.0001620%), (LOW, 0, 0.23%, 0.0000900%), (MO, 0, 0.23%, 0.0001164%), (CMCSA, 0, 0.23%, 0.0000882%), (INTC, 0, 0.23%, 0.0001023%), (MDLZ, 0, 0.21%, 0.0001194%), (UPS, 0, 0.21%, 0.0001341%), (BMY, 0, 0.19%, 0.0000972%), (PYPL, 0, 0.18%, 0.0001245%), (CL, 0, 0.16%, 0.0001063%), (FDX, 0, 0.15%, 0.0001284%), (USB, 0, 0.14%, 0.0000960%), (TGT, 0, 0.09%, 0.0000913%), (nan, 0, -0.00%, 0.0000000%), (nan, 0, -0.00%, 0.0000000%)</t>
  </si>
  <si>
    <t>(GOOGLE, 0, 3.31%, 0.0000255%), (AVGO, 0, 2.95%, 0.0000351%), (META, 0, 2.76%, 0.0000270%), (BRK/B, 0, 2.12%, 0.0000497%), (CSCO, 0, 1.85%, 0.0001053%), (LIN, 0, 1.79%, 0.0001261%), (AMT, 0, 1.71%, 0.0002553%), (JPM, 0, 1.62%, 0.0000316%), (TSLA, 0, 1.58%, 0.0000237%), (XOM, 0, 1.56%, 0.0000493%), (V, 0, 1.49%, 0.0000380%), (LLY, 0, 1.26%, 0.0000261%), (CB, 0, 1.20%, 0.0001674%), (MA, 0, 1.12%, 0.0000344%), (WM, 0, 1.08%, 0.0001832%), (GE, 0, 1.00%, 0.0000583%), (ORCL, 0, 0.94%, 0.0000217%), (NFLX, 0, 0.94%, 0.0000274%), (NEE, 0, 0.91%, 0.0000911%), (UNH, 0, 0.89%, 0.0000508%), (PG, 0, 0.82%, 0.0000340%), (COST, 0, 0.80%, 0.0000289%), (CVX, 0, 0.79%, 0.0000390%), (WMT, 0, 0.77%, 0.0000158%), (JNJ, 0, 0.77%, 0.0000314%), (ABT, 0, 0.75%, 0.0000499%), (MCD, 0, 0.72%, 0.0000527%), (CAT, 0, 0.72%, 0.0000585%), (PLTR, 0, 0.72%, 0.0000347%), (RTX, 0, 0.72%, 0.0000564%), (ABBV, 0, 0.70%, 0.0000314%), (HD, 0, 0.69%, 0.0000285%), (PM, 0, 0.67%, 0.0000371%), (IBM, 0, 0.66%, 0.0000381%), (KO, 0, 0.65%, 0.0000334%), (BKNG, 0, 0.63%, 0.0000527%), (CRM, 0, 0.63%, 0.0000387%), (BAC, 0, 0.63%, 0.0000278%), (BA, 0, 0.62%, 0.0000559%), (SO, 0, 0.61%, 0.0000919%), (ISRG, 0, 0.61%, 0.0000502%), (NKE, 0, 0.59%, 0.0001033%), (UBER, 0, 0.57%, 0.0000439%), (HON, 0, 0.57%, 0.0000581%), (WFC, 0, 0.55%, 0.0000320%), (DUK, 0, 0.55%, 0.0000918%), (GS, 0, 0.54%, 0.0000390%), (AMD, 0, 0.53%, 0.0000355%), (INTU, 0, 0.52%, 0.0000387%), (MET, 0, 0.52%, 0.0001538%), (ETN, 0, 0.52%, 0.0000575%), (NOW, 0, 0.50%, 0.0000380%), (DE, 0, 0.49%, 0.0000536%), (TXN, 0, 0.46%, 0.0000357%), (ACN, 0, 0.45%, 0.0000385%), (PEP, 0, 0.45%, 0.0000372%), (T, 0, 0.44%, 0.0001595%), (AXP, 0, 0.44%, 0.0000302%), (MS, 0, 0.43%, 0.0000291%), (MRK, 0, 0.43%, 0.0000318%), (SPGI, 0, 0.41%, 0.0000393%), (QCOM, 0, 0.41%, 0.0000366%), (ADBE, 0, 0.41%, 0.0000404%), (UNP, 0, 0.40%, 0.0000443%), (VZ, 0, 0.39%, 0.0000341%), (BLK, 0, 0.39%, 0.0000349%), (DIS, 0, 0.39%, 0.0000272%), (COP, 0, 0.38%, 0.0000495%), (AMAT, 0, 0.37%, 0.0000368%), (MDT, 0, 0.37%, 0.0000500%), (SBUX, 0, 0.37%, 0.0000523%), (LMT, 0, 0.36%, 0.0000519%), (SCHW, 0, 0.34%, 0.0000308%), (TMO, 0, 0.33%, 0.0000319%), (AMGN, 0, 0.33%, 0.0000314%), (C, 0, 0.33%, 0.0000317%), (MMM, 0, 0.31%, 0.0000582%), (PFE, 0, 0.30%, 0.0000313%), (EMR, 0, 0.29%, 0.0000576%), (GILD, 0, 0.29%, 0.0000315%), (CVS, 0, 0.27%, 0.0000495%), (DHR, 0, 0.27%, 0.0000286%), (ELV, 0, 0.26%, 0.0000522%), (TJX, 0, 0.26%, 0.0000290%), (LOW, 0, 0.24%, 0.0000289%), (MO, 0, 0.24%, 0.0000375%), (CMCSA, 0, 0.24%, 0.0000284%), (INTC, 0, 0.23%, 0.0000329%), (MDLZ, 0, 0.22%, 0.0000384%), (UPS, 0, 0.21%, 0.0000432%), (BMY, 0, 0.20%, 0.0000313%), (PYPL, 0, 0.18%, 0.0000401%), (CL, 0, 0.16%, 0.0000342%), (FDX, 0, 0.15%, 0.0000415%), (USB, 0, 0.15%, 0.0000309%), (TGT, 0, 0.09%, 0.0000295%), (nan, 0, -0.00%, 0.0000000%), (nan, 0, -0.00%, 0.0000000%)</t>
  </si>
  <si>
    <t>(GOOGLE, 0, 3.51%, 0.0000612%), (AVGO, 0, 3.14%, 0.0000842%), (META, 0, 2.94%, 0.0000648%), (BRK/B, 0, 2.26%, 0.0001191%), (CSCO, 0, 1.97%, 0.0002523%), (LIN, 0, 1.91%, 0.0003022%), (AMT, 0, 1.82%, 0.0006113%), (JPM, 0, 1.72%, 0.0000756%), (TSLA, 0, 1.68%, 0.0000568%), (XOM, 0, 1.65%, 0.0001181%), (V, 0, 1.58%, 0.0000911%), (LLY, 0, 1.34%, 0.0000627%), (CB, 0, 1.27%, 0.0004015%), (MA, 0, 1.19%, 0.0000824%), (WM, 0, 1.15%, 0.0004391%), (GE, 0, 1.06%, 0.0001396%), (ORCL, 0, 1.00%, 0.0000520%), (NFLX, 0, 1.00%, 0.0000654%), (NEE, 0, 0.97%, 0.0002182%), (UNH, 0, 0.95%, 0.0001218%), (PG, 0, 0.87%, 0.0000816%), (COST, 0, 0.86%, 0.0000695%), (CVX, 0, 0.84%, 0.0000935%), (WMT, 0, 0.82%, 0.0000378%), (JNJ, 0, 0.82%, 0.0000752%), (ABT, 0, 0.80%, 0.0001195%), (MCD, 0, 0.77%, 0.0001263%), (CAT, 0, 0.76%, 0.0001402%), (RTX, 0, 0.76%, 0.0001351%), (PLTR, 0, 0.76%, 0.0000831%), (ABBV, 0, 0.74%, 0.0000753%), (HD, 0, 0.73%, 0.0000684%), (PM, 0, 0.72%, 0.0000888%), (IBM, 0, 0.70%, 0.0000911%), (KO, 0, 0.69%, 0.0000801%), (BKNG, 0, 0.69%, 0.0001303%), (CRM, 0, 0.67%, 0.0000925%), (BAC, 0, 0.67%, 0.0000666%), (BA, 0, 0.65%, 0.0001338%), (SO, 0, 0.65%, 0.0002201%), (ISRG, 0, 0.65%, 0.0001205%), (NKE, 0, 0.63%, 0.0002475%), (HON, 0, 0.60%, 0.0001394%), (UBER, 0, 0.60%, 0.0001051%), (WFC, 0, 0.58%, 0.0000768%), (DUK, 0, 0.58%, 0.0002197%), (GS, 0, 0.57%, 0.0000937%), (AMD, 0, 0.56%, 0.0000851%), (INTU, 0, 0.55%, 0.0000925%), (ETN, 0, 0.55%, 0.0001382%), (MET, 0, 0.55%, 0.0003686%), (NOW, 0, 0.53%, 0.0000913%), (DE, 0, 0.52%, 0.0001280%), (TXN, 0, 0.49%, 0.0000854%), (ACN, 0, 0.48%, 0.0000925%), (PEP, 0, 0.48%, 0.0000892%), (AXP, 0, 0.47%, 0.0000724%), (T, 0, 0.47%, 0.0003823%), (MS, 0, 0.46%, 0.0000697%), (MRK, 0, 0.45%, 0.0000762%), (ADBE, 0, 0.43%, 0.0000970%), (QCOM, 0, 0.43%, 0.0000876%), (SPGI, 0, 0.43%, 0.0000938%), (UNP, 0, 0.43%, 0.0001064%), (VZ, 0, 0.42%, 0.0000817%), (BLK, 0, 0.41%, 0.0000840%), (DIS, 0, 0.41%, 0.0000652%), (COP, 0, 0.40%, 0.0001187%), (AMAT, 0, 0.39%, 0.0000880%), (MDT, 0, 0.39%, 0.0001198%), (SBUX, 0, 0.39%, 0.0001254%), (LMT, 0, 0.38%, 0.0001240%), (SCHW, 0, 0.36%, 0.0000738%), (TMO, 0, 0.36%, 0.0000767%), (C, 0, 0.35%, 0.0000759%), (AMGN, 0, 0.35%, 0.0000750%), (MMM, 0, 0.33%, 0.0001395%), (PFE, 0, 0.31%, 0.0000750%), (EMR, 0, 0.31%, 0.0001379%), (GILD, 0, 0.31%, 0.0000755%), (DHR, 0, 0.28%, 0.0000685%), (CVS, 0, 0.28%, 0.0001188%), (ELV, 0, 0.28%, 0.0001251%), (TJX, 0, 0.28%, 0.0000695%), (LOW, 0, 0.25%, 0.0000694%), (MO, 0, 0.25%, 0.0000898%), (CMCSA, 0, 0.25%, 0.0000680%), (INTC, 0, 0.25%, 0.0000789%), (MDLZ, 0, 0.23%, 0.0000921%), (UPS, 0, 0.23%, 0.0001034%), (BMY, 0, 0.21%, 0.0000750%), (PYPL, 0, 0.20%, 0.0000960%), (CL, 0, 0.17%, 0.0000820%), (FDX, 0, 0.16%, 0.0000992%), (USB, 0, 0.16%, 0.0000740%), (TGT, 0, 0.10%, 0.0000704%), (nan, 0, -0.00%, 0.0000000%), (nan, 0, -0.00%, 0.0000000%)</t>
  </si>
  <si>
    <t>META, EBAY, MSFT, BKNG, AMAT, BK, JPM, EWBC, BLK, AXP, UNM, MLI</t>
  </si>
  <si>
    <t>(RJF, 0, 1.90%, 0.0033167%), (V, 0, 1.89%, 0.0001742%), (GOOGLE, 0, 1.82%, 0.0000983%), (EA, 0, 1.79%, 0.0026463%), (KLAC, 0, 1.74%, 0.0007969%), (PHM, 0, 1.73%, 0.0043085%), (ADP, 0, 1.73%, 0.0007818%), (HIG, 0, 1.73%, 0.0028441%), (TRV, 0, 1.73%, 0.0016879%), (SNA, 0, 1.70%, 0.0056742%), (CB, 0, 1.68%, 0.0008484%), (PCAR, 0, 1.66%, 0.0017820%), (CTSH, 0, 1.65%, 0.0024784%), (NVDA, 0, 1.63%, 0.0000228%), (CRM, 0, 1.60%, 0.0003562%), (SYF, 0, 1.58%, 0.0034314%), (ROST, 0, 1.55%, 0.0020275%), (PAYC, 0, 1.49%, 0.0062564%), (LEN, 0, 1.46%, 0.0031219%), (ACN, 0, 1.46%, 0.0004528%), (ELV, 0, 1.41%, 0.0010201%), (QCOM, 0, 1.36%, 0.0004425%), (WSM, 0, 1.32%, 0.0034362%), (BKR, 0, 1.25%, 0.0017839%), (ODFL, 0, 1.24%, 0.0019294%), (AFL, 0, 1.20%, 0.0012224%), (AAPL, 0, 1.17%, 0.0000209%), (DHI, 0, 1.16%, 0.0015767%), (LRCX, 0, 1.10%, 0.0004854%), (CSCO, 0, 1.09%, 0.0002240%), (MPWR, 0, 1.00%, 0.0015765%), (STT, 0, 0.97%, 0.0017572%), (GE, 0, 0.97%, 0.0002026%), (CF, 0, 0.96%, 0.0034635%), (MTB, 0, 0.96%, 0.0016995%), (PNC, 0, 0.93%, 0.0006673%), (AMP, 0, 0.93%, 0.0010290%), (COST, 0, 0.85%, 0.0001108%), (XOM, 0, 0.85%, 0.0000964%), (ABT, 0, 0.85%, 0.0002032%), (CSL, 0, 0.82%, 0.0026349%), (EOG, 0, 0.81%, 0.0006771%), (EG, 0, 0.76%, 0.0029595%), (NTRS, 0, 0.52%, 0.0012045%), (CRBG, 0, 0.48%, 0.0014530%), (GEV, 0, 0.48%, 0.0001847%), (MA, 0, 0.48%, 0.0000533%), (DOV, 0, 0.45%, 0.0009712%), (ACM, 0, 0.45%, 0.0016278%), (SLM, 0, 0.44%, 0.0036028%), (WTFC, 0, 0.44%, 0.0027408%), (JNJ, 0, 0.43%, 0.0000633%), (EQH, 0, 0.43%, 0.0014746%), (MCK, 0, 0.42%, 0.0002645%), (CINF, 0, 0.42%, 0.0010159%), (MTG, 0, 0.42%, 0.0040011%), (JXN, 0, 0.41%, 0.0036927%), (ALL, 0, 0.39%, 0.0004281%), (NUE, 0, 0.39%, 0.0006635%), (LNC, 0, 0.38%, 0.0032805%), (ADM, 0, 0.37%, 0.0007897%), (PGR, 0, 0.37%, 0.0001418%), (NKE, 0, 0.37%, 0.0002335%), (FANG, 0, 0.30%, 0.0004097%)</t>
  </si>
  <si>
    <t>(AVGO, 0, 2.85%, 0.0000889%), (META, 0, 2.67%, 0.0000684%), (BRK/B, 0, 2.05%, 0.0001258%), (CSCO, 0, 1.79%, 0.0002663%), (LIN, 0, 1.73%, 0.0003191%), (AMT, 0, 1.65%, 0.0006455%), (JPM, 0, 1.56%, 0.0000799%), (TSLA, 0, 1.52%, 0.0000600%), (XOM, 0, 1.50%, 0.0001247%), (V, 0, 1.44%, 0.0000963%), (LLY, 0, 1.22%, 0.0000662%), (CB, 0, 1.16%, 0.0004238%), (MA, 0, 1.08%, 0.0000870%), (WM, 0, 1.04%, 0.0004637%), (GE, 0, 0.96%, 0.0001474%), (ORCL, 0, 0.91%, 0.0000549%), (NFLX, 0, 0.90%, 0.0000689%), (NEE, 0, 0.88%, 0.0002304%), (UNH, 0, 0.86%, 0.0001285%), (PG, 0, 0.79%, 0.0000861%), (COST, 0, 0.78%, 0.0000733%), (CVX, 0, 0.76%, 0.0000987%), (WMT, 0, 0.75%, 0.0000399%), (JNJ, 0, 0.74%, 0.0000794%), (ABT, 0, 0.72%, 0.0001262%), (MCD, 0, 0.70%, 0.0001333%), (CAT, 0, 0.69%, 0.0001481%), (PLTR, 0, 0.69%, 0.0000877%), (RTX, 0, 0.69%, 0.0001426%), (ABBV, 0, 0.67%, 0.0000795%), (HD, 0, 0.66%, 0.0000722%), (PM, 0, 0.65%, 0.0000937%), (IBM, 0, 0.64%, 0.0000963%), (KO, 0, 0.63%, 0.0000846%), (BKNG, 0, 0.62%, 0.0001365%), (CRM, 0, 0.61%, 0.0000977%), (BAC, 0, 0.60%, 0.0000703%), (BA, 0, 0.59%, 0.0001413%), (SO, 0, 0.59%, 0.0002324%), (ISRG, 0, 0.59%, 0.0001272%), (NKE, 0, 0.57%, 0.0002613%), (HON, 0, 0.55%, 0.0001471%), (UBER, 0, 0.55%, 0.0001109%), (WFC, 0, 0.53%, 0.0000811%), (DUK, 0, 0.53%, 0.0002320%), (GS, 0, 0.52%, 0.0000990%), (AMD, 0, 0.51%, 0.0000898%), (INTU, 0, 0.50%, 0.0000979%), (ETN, 0, 0.50%, 0.0001459%), (MET, 0, 0.50%, 0.0003892%), (NOW, 0, 0.48%, 0.0000966%), (DE, 0, 0.47%, 0.0001354%), (TXN, 0, 0.44%, 0.0000901%), (ACN, 0, 0.43%, 0.0000976%), (PEP, 0, 0.43%, 0.0000942%), (T, 0, 0.42%, 0.0004036%), (AXP, 0, 0.42%, 0.0000764%), (MS, 0, 0.41%, 0.0000735%), (MRK, 0, 0.41%, 0.0000804%), (ADBE, 0, 0.39%, 0.0001022%), (QCOM, 0, 0.39%, 0.0000925%), (SPGI, 0, 0.39%, 0.0000991%), (UNP, 0, 0.39%, 0.0001123%), (VZ, 0, 0.38%, 0.0000862%), (BLK, 0, 0.38%, 0.0000891%), (DIS, 0, 0.37%, 0.0000689%), (COP, 0, 0.37%, 0.0001252%), (AMAT, 0, 0.36%, 0.0000930%), (MDT, 0, 0.36%, 0.0001265%), (SBUX, 0, 0.35%, 0.0001323%), (LMT, 0, 0.35%, 0.0001309%), (SCHW, 0, 0.32%, 0.0000779%), (TMO, 0, 0.32%, 0.0000809%), (C, 0, 0.32%, 0.0000801%), (AMGN, 0, 0.32%, 0.0000793%), (MMM, 0, 0.30%, 0.0001472%), (PFE, 0, 0.29%, 0.0000792%), (EMR, 0, 0.28%, 0.0001455%), (GILD, 0, 0.28%, 0.0000797%), (DHR, 0, 0.26%, 0.0000723%), (CVS, 0, 0.26%, 0.0001254%), (TJX, 0, 0.25%, 0.0000734%), (ELV, 0, 0.25%, 0.0001318%), (LOW, 0, 0.23%, 0.0000733%), (MO, 0, 0.23%, 0.0000948%), (CMCSA, 0, 0.23%, 0.0000718%), (INTC, 0, 0.22%, 0.0000833%), (MDLZ, 0, 0.21%, 0.0000973%), (UPS, 0, 0.20%, 0.0001092%), (BMY, 0, 0.19%, 0.0000791%), (PYPL, 0, 0.18%, 0.0001013%), (CL, 0, 0.16%, 0.0000866%), (FDX, 0, 0.15%, 0.0001047%), (USB, 0, 0.14%, 0.0000782%), (TGT, 0, 0.09%, 0.0000744%), (nan, 0, -0.00%, 0.0000000%), (nan, 0, -0.00%, 0.0000000%)</t>
  </si>
  <si>
    <t>(GOOGLE, 0, 3.35%, 0.0001321%), (AVGO, 0, 2.99%, 0.0001818%), (META, 0, 2.80%, 0.0001400%), (BRK/B, 0, 2.15%, 0.0002573%), (CSCO, 0, 1.88%, 0.0005449%), (LIN, 0, 1.82%, 0.0006525%), (AMT, 0, 1.73%, 0.0013205%), (JPM, 0, 1.64%, 0.0001634%), (TSLA, 0, 1.60%, 0.0001227%), (XOM, 0, 1.58%, 0.0002550%), (V, 0, 1.51%, 0.0001969%), (LLY, 0, 1.28%, 0.0001354%), (CB, 0, 1.21%, 0.0008670%), (MA, 0, 1.13%, 0.0001780%), (WM, 0, 1.09%, 0.0009487%), (GE, 0, 1.01%, 0.0003016%), (ORCL, 0, 0.95%, 0.0001122%), (NFLX, 0, 0.95%, 0.0001411%), (NEE, 0, 0.93%, 0.0004714%), (UNH, 0, 0.90%, 0.0002630%), (PG, 0, 0.83%, 0.0001762%), (COST, 0, 0.82%, 0.0001501%), (CVX, 0, 0.80%, 0.0002020%), (WMT, 0, 0.78%, 0.0000817%), (JNJ, 0, 0.78%, 0.0001624%), (ABT, 0, 0.76%, 0.0002581%), (MCD, 0, 0.73%, 0.0002726%), (CAT, 0, 0.73%, 0.0003029%), (PLTR, 0, 0.73%, 0.0001795%), (RTX, 0, 0.73%, 0.0002918%), (ABBV, 0, 0.71%, 0.0001626%), (HD, 0, 0.70%, 0.0001479%), (PM, 0, 0.68%, 0.0001918%), (IBM, 0, 0.67%, 0.0001970%), (KO, 0, 0.66%, 0.0001731%), (BKNG, 0, 0.65%, 0.0002792%), (CRM, 0, 0.64%, 0.0002000%), (BAC, 0, 0.63%, 0.0001438%), (BA, 0, 0.62%, 0.0002890%), (SO, 0, 0.62%, 0.0004755%), (ISRG, 0, 0.62%, 0.0002601%), (NKE, 0, 0.60%, 0.0005347%), (HON, 0, 0.57%, 0.0003010%), (UBER, 0, 0.57%, 0.0002270%), (WFC, 0, 0.55%, 0.0001658%), (DUK, 0, 0.55%, 0.0004746%), (GS, 0, 0.55%, 0.0002027%), (AMD, 0, 0.54%, 0.0001838%), (INTU, 0, 0.53%, 0.0002001%), (ETN, 0, 0.53%, 0.0002985%), (MET, 0, 0.53%, 0.0007961%), (NOW, 0, 0.50%, 0.0001971%), (DE, 0, 0.49%, 0.0002767%), (TXN, 0, 0.46%, 0.0001845%), (ACN, 0, 0.46%, 0.0001997%), (PEP, 0, 0.45%, 0.0001926%), (AXP, 0, 0.44%, 0.0001563%), (T, 0, 0.44%, 0.0008257%), (MS, 0, 0.44%, 0.0001504%), (MRK, 0, 0.43%, 0.0001646%), (ADBE, 0, 0.41%, 0.0002095%), (SPGI, 0, 0.41%, 0.0002028%), (QCOM, 0, 0.41%, 0.0001892%), (UNP, 0, 0.41%, 0.0002298%), (VZ, 0, 0.40%, 0.0001764%), (BLK, 0, 0.39%, 0.0001821%), (DIS, 0, 0.39%, 0.0001409%), (COP, 0, 0.39%, 0.0002562%), (AMAT, 0, 0.38%, 0.0001902%), (MDT, 0, 0.37%, 0.0002588%), (SBUX, 0, 0.37%, 0.0002707%), (LMT, 0, 0.36%, 0.0002679%), (SCHW, 0, 0.34%, 0.0001594%), (TMO, 0, 0.34%, 0.0001656%), (C, 0, 0.33%, 0.0001639%), (AMGN, 0, 0.33%, 0.0001623%), (MMM, 0, 0.32%, 0.0003014%), (PFE, 0, 0.30%, 0.0001620%), (EMR, 0, 0.30%, 0.0002978%), (GILD, 0, 0.29%, 0.0001630%), (DHR, 0, 0.27%, 0.0001479%), (CVS, 0, 0.27%, 0.0002565%), (ELV, 0, 0.26%, 0.0002700%), (TJX, 0, 0.26%, 0.0001501%), (LOW, 0, 0.24%, 0.0001500%), (MO, 0, 0.24%, 0.0001938%), (CMCSA, 0, 0.24%, 0.0001469%), (INTC, 0, 0.24%, 0.0001704%), (MDLZ, 0, 0.22%, 0.0001989%), (UPS, 0, 0.21%, 0.0002234%), (BMY, 0, 0.20%, 0.0001619%), (PYPL, 0, 0.19%, 0.0002073%), (CL, 0, 0.16%, 0.0001772%), (FDX, 0, 0.15%, 0.0002140%), (USB, 0, 0.15%, 0.0001599%), (TGT, 0, 0.09%, 0.0001521%), (nan, 0, -0.00%, 0.0000000%), (nan, 0, -0.00%, 0.0000000%)</t>
  </si>
  <si>
    <t>(GOOGLE, 0, 3.41%, 0.0002300%), (AVGO, 0, 2.98%, 0.0003165%), (META, 0, 2.78%, 0.0002438%), (BRK/B, 0, 2.14%, 0.0004481%), (CSCO, 0, 1.84%, 0.0009487%), (LIN, 0, 1.81%, 0.0011363%), (AMT, 0, 1.73%, 0.0022995%), (JPM, 0, 1.63%, 0.0002844%), (TSLA, 0, 1.62%, 0.0002136%), (XOM, 0, 1.57%, 0.0004441%), (V, 0, 1.49%, 0.0003428%), (LLY, 0, 1.28%, 0.0002359%), (CB, 0, 1.21%, 0.0015096%), (MA, 0, 1.11%, 0.0003099%), (WM, 0, 1.10%, 0.0016519%), (GE, 0, 1.04%, 0.0005251%), (NFLX, 0, 0.95%, 0.0002457%), (NEE, 0, 0.93%, 0.0008208%), (ORCL, 0, 0.92%, 0.0001955%), (UNH, 0, 0.90%, 0.0004578%), (COST, 0, 0.82%, 0.0002613%), (PG, 0, 0.80%, 0.0003068%), (CVX, 0, 0.80%, 0.0003516%), (WMT, 0, 0.78%, 0.0001422%), (JNJ, 0, 0.77%, 0.0002828%), (PLTR, 0, 0.75%, 0.0003125%), (ABT, 0, 0.75%, 0.0004494%), (MCD, 0, 0.74%, 0.0004746%), (RTX, 0, 0.74%, 0.0005081%), (CAT, 0, 0.73%, 0.0005275%), (ABBV, 0, 0.70%, 0.0002830%), (HD, 0, 0.69%, 0.0002575%), (PM, 0, 0.68%, 0.0003339%), (IBM, 0, 0.66%, 0.0003430%), (KO, 0, 0.66%, 0.0003013%), (BKNG, 0, 0.65%, 0.0004840%), (BA, 0, 0.63%, 0.0005034%), (BAC, 0, 0.63%, 0.0002504%), (CRM, 0, 0.63%, 0.0003482%), (SO, 0, 0.61%, 0.0008279%), (ISRG, 0, 0.60%, 0.0004528%), (NKE, 0, 0.58%, 0.0009310%), (HON, 0, 0.58%, 0.0005242%), (UBER, 0, 0.57%, 0.0003952%), (WFC, 0, 0.56%, 0.0002888%), (DUK, 0, 0.55%, 0.0008265%), (AMD, 0, 0.55%, 0.0003200%), (GS, 0, 0.54%, 0.0003528%), (INTU, 0, 0.53%, 0.0003486%), (ETN, 0, 0.53%, 0.0005197%), (MET, 0, 0.52%, 0.0013860%), (NOW, 0, 0.49%, 0.0003433%), (DE, 0, 0.48%, 0.0004816%), (TXN, 0, 0.46%, 0.0003213%), (ACN, 0, 0.44%, 0.0003479%), (T, 0, 0.44%, 0.0014377%), (MRK, 0, 0.43%, 0.0002866%), (AXP, 0, 0.43%, 0.0002722%), (MS, 0, 0.43%, 0.0002618%), (SPGI, 0, 0.41%, 0.0003534%), (ADBE, 0, 0.41%, 0.0003645%), (UNP, 0, 0.40%, 0.0004001%), (QCOM, 0, 0.40%, 0.0003295%), (BLK, 0, 0.39%, 0.0003171%), (VZ, 0, 0.39%, 0.0003071%), (COP, 0, 0.38%, 0.0004461%), (DIS, 0, 0.38%, 0.0002453%), (MDT, 0, 0.38%, 0.0004505%), (AMAT, 0, 0.38%, 0.0003311%), (LMT, 0, 0.37%, 0.0004667%), (SBUX, 0, 0.36%, 0.0004714%), (SCHW, 0, 0.34%, 0.0002775%), (TMO, 0, 0.34%, 0.0002880%), (C, 0, 0.33%, 0.0002854%), (AMGN, 0, 0.33%, 0.0002825%), (MMM, 0, 0.32%, 0.0005246%), (PEP, 0, 0.31%, 0.0002331%), (PFE, 0, 0.30%, 0.0002820%), (EMR, 0, 0.30%, 0.0005185%), (GILD, 0, 0.29%, 0.0002839%), (CVS, 0, 0.27%, 0.0004467%), (DHR, 0, 0.26%, 0.0002575%), (TJX, 0, 0.26%, 0.0002615%), (ELV, 0, 0.25%, 0.0004702%), (MO, 0, 0.24%, 0.0003375%), (CMCSA, 0, 0.24%, 0.0002558%), (LOW, 0, 0.24%, 0.0002610%), (INTC, 0, 0.23%, 0.0002967%), (MDLZ, 0, 0.22%, 0.0003464%), (UPS, 0, 0.21%, 0.0003888%), (BMY, 0, 0.20%, 0.0002819%), (PYPL, 0, 0.18%, 0.0003610%), (CL, 0, 0.16%, 0.0003085%), (FDX, 0, 0.15%, 0.0003730%), (USB, 0, 0.15%, 0.0002785%), (TGT, 0, 0.09%, 0.0002650%), (nan, 0, -0.00%, 0.0000000%), (nan, 0, -0.01%, 0.0000000%)</t>
  </si>
  <si>
    <t>(GOOGLE, 0, 3.40%, 0.0001713%), (AVGO, 0, 2.96%, 0.0002357%), (META, 0, 2.77%, 0.0001816%), (BRK/B, 0, 2.13%, 0.0003337%), (CSCO, 0, 1.83%, 0.0007065%), (LIN, 0, 1.80%, 0.0008463%), (AMT, 0, 1.72%, 0.0017125%), (JPM, 0, 1.62%, 0.0002118%), (TSLA, 0, 1.61%, 0.0001591%), (XOM, 0, 1.57%, 0.0003307%), (V, 0, 1.48%, 0.0002553%), (LLY, 0, 1.28%, 0.0001756%), (CB, 0, 1.20%, 0.0011241%), (MA, 0, 1.11%, 0.0002308%), (WM, 0, 1.10%, 0.0012302%), (GE, 0, 1.03%, 0.0003911%), (NFLX, 0, 0.94%, 0.0001829%), (NEE, 0, 0.92%, 0.0006113%), (ORCL, 0, 0.92%, 0.0001456%), (UNH, 0, 0.90%, 0.0003409%), (COST, 0, 0.82%, 0.0001945%), (PG, 0, 0.80%, 0.0002284%), (CVX, 0, 0.80%, 0.0002619%), (WMT, 0, 0.78%, 0.0001059%), (JNJ, 0, 0.77%, 0.0002106%), (PLTR, 0, 0.75%, 0.0002327%), (ABT, 0, 0.75%, 0.0003347%), (MCD, 0, 0.74%, 0.0003536%), (RTX, 0, 0.73%, 0.0003784%), (CAT, 0, 0.73%, 0.0003928%), (ABBV, 0, 0.69%, 0.0002108%), (HD, 0, 0.68%, 0.0001918%), (PM, 0, 0.68%, 0.0002487%), (IBM, 0, 0.66%, 0.0002555%), (KO, 0, 0.65%, 0.0002244%), (BKNG, 0, 0.65%, 0.0003630%), (BA, 0, 0.63%, 0.0003750%), (BAC, 0, 0.63%, 0.0001865%), (CRM, 0, 0.62%, 0.0002593%), (SO, 0, 0.61%, 0.0006165%), (ISRG, 0, 0.60%, 0.0003371%), (NKE, 0, 0.58%, 0.0006933%), (HON, 0, 0.57%, 0.0003905%), (UBER, 0, 0.56%, 0.0002943%), (WFC, 0, 0.55%, 0.0002151%), (DUK, 0, 0.55%, 0.0006154%), (AMD, 0, 0.54%, 0.0002383%), (GS, 0, 0.54%, 0.0002627%), (INTU, 0, 0.53%, 0.0002597%), (ETN, 0, 0.53%, 0.0003868%), (MET, 0, 0.52%, 0.0010323%), (NOW, 0, 0.49%, 0.0002558%), (DE, 0, 0.48%, 0.0003588%), (TXN, 0, 0.46%, 0.0002393%), (ACN, 0, 0.44%, 0.0002590%), (T, 0, 0.43%, 0.0010707%), (MRK, 0, 0.43%, 0.0002134%), (AXP, 0, 0.43%, 0.0002028%), (MS, 0, 0.43%, 0.0001950%), (SPGI, 0, 0.41%, 0.0002632%), (ADBE, 0, 0.40%, 0.0002716%), (UNP, 0, 0.40%, 0.0002979%), (QCOM, 0, 0.40%, 0.0002454%), (BLK, 0, 0.39%, 0.0002357%), (VZ, 0, 0.39%, 0.0002287%), (COP, 0, 0.38%, 0.0003323%), (DIS, 0, 0.38%, 0.0001827%), (MDT, 0, 0.38%, 0.0003355%), (AMAT, 0, 0.38%, 0.0002467%), (LMT, 0, 0.37%, 0.0003475%), (SBUX, 0, 0.36%, 0.0003510%), (SCHW, 0, 0.34%, 0.0002067%), (TMO, 0, 0.33%, 0.0002145%), (C, 0, 0.33%, 0.0002126%), (AMGN, 0, 0.33%, 0.0002105%), (MMM, 0, 0.31%, 0.0003908%), (PEP, 0, 0.30%, 0.0001694%), (PFE, 0, 0.30%, 0.0002100%), (EMR, 0, 0.30%, 0.0003861%), (GILD, 0, 0.28%, 0.0002114%), (CVS, 0, 0.26%, 0.0003327%), (DHR, 0, 0.26%, 0.0001918%), (TJX, 0, 0.26%, 0.0001947%), (ELV, 0, 0.25%, 0.0003501%), (MO, 0, 0.24%, 0.0002514%), (CMCSA, 0, 0.24%, 0.0001905%), (LOW, 0, 0.23%, 0.0001944%), (INTC, 0, 0.23%, 0.0002210%), (MDLZ, 0, 0.22%, 0.0002580%), (UPS, 0, 0.21%, 0.0002897%), (BMY, 0, 0.20%, 0.0002099%), (PYPL, 0, 0.18%, 0.0002689%), (CL, 0, 0.16%, 0.0002298%), (FDX, 0, 0.15%, 0.0002776%), (USB, 0, 0.15%, 0.0002074%), (TGT, 0, 0.09%, 0.0001972%), (nan, 0, -0.00%, 0.0000000%), (nan, 0, -0.01%, 0.0000000%)</t>
  </si>
  <si>
    <t>(GOOGLE, 0, 3.43%, 0.0000402%), (AVGO, 0, 2.99%, 0.0000552%), (META, 0, 2.80%, 0.0000426%), (BRK/B, 0, 2.15%, 0.0000782%), (CSCO, 0, 1.85%, 0.0001656%), (LIN, 0, 1.82%, 0.0001983%), (AMT, 0, 1.74%, 0.0004014%), (JPM, 0, 1.64%, 0.0000497%), (TSLA, 0, 1.63%, 0.0000373%), (XOM, 0, 1.58%, 0.0000775%), (V, 0, 1.50%, 0.0000599%), (LLY, 0, 1.29%, 0.0000411%), (CB, 0, 1.21%, 0.0002635%), (MA, 0, 1.12%, 0.0000541%), (WM, 0, 1.11%, 0.0002884%), (GE, 0, 1.04%, 0.0000917%), (NFLX, 0, 0.97%, 0.0000430%), (NEE, 0, 0.93%, 0.0001433%), (ORCL, 0, 0.93%, 0.0000341%), (UNH, 0, 0.91%, 0.0000799%), (COST, 0, 0.82%, 0.0000456%), (PG, 0, 0.81%, 0.0000536%), (CVX, 0, 0.81%, 0.0000614%), (WMT, 0, 0.79%, 0.0000248%), (JNJ, 0, 0.78%, 0.0000494%), (PLTR, 0, 0.76%, 0.0000546%), (ABT, 0, 0.75%, 0.0000784%), (MCD, 0, 0.74%, 0.0000828%), (RTX, 0, 0.74%, 0.0000887%), (CAT, 0, 0.73%, 0.0000920%), (ABBV, 0, 0.70%, 0.0000494%), (HD, 0, 0.69%, 0.0000449%), (PM, 0, 0.68%, 0.0000583%), (IBM, 0, 0.66%, 0.0000599%), (KO, 0, 0.66%, 0.0000526%), (BKNG, 0, 0.65%, 0.0000838%), (BA, 0, 0.64%, 0.0000879%), (BAC, 0, 0.63%, 0.0000437%), (CRM, 0, 0.63%, 0.0000608%), (SO, 0, 0.62%, 0.0001445%), (ISRG, 0, 0.60%, 0.0000790%), (NKE, 0, 0.59%, 0.0001625%), (HON, 0, 0.58%, 0.0000915%), (UBER, 0, 0.57%, 0.0000690%), (WFC, 0, 0.56%, 0.0000504%), (DUK, 0, 0.55%, 0.0001443%), (AMD, 0, 0.55%, 0.0000559%), (GS, 0, 0.54%, 0.0000617%), (INTU, 0, 0.54%, 0.0000610%), (ETN, 0, 0.53%, 0.0000907%), (MET, 0, 0.52%, 0.0002419%), (NOW, 0, 0.50%, 0.0000601%), (DE, 0, 0.48%, 0.0000840%), (TXN, 0, 0.47%, 0.0000561%), (ACN, 0, 0.44%, 0.0000607%), (T, 0, 0.44%, 0.0002510%), (MRK, 0, 0.44%, 0.0000500%), (MS, 0, 0.44%, 0.0000457%), (AXP, 0, 0.44%, 0.0000475%), (SPGI, 0, 0.41%, 0.0000618%), (ADBE, 0, 0.41%, 0.0000635%), (UNP, 0, 0.41%, 0.0000698%), (QCOM, 0, 0.40%, 0.0000576%), (BLK, 0, 0.40%, 0.0000555%), (VZ, 0, 0.40%, 0.0000536%), (COP, 0, 0.39%, 0.0000779%), (DIS, 0, 0.39%, 0.0000428%), (AMAT, 0, 0.38%, 0.0000579%), (MDT, 0, 0.38%, 0.0000787%), (LMT, 0, 0.37%, 0.0000817%), (SBUX, 0, 0.36%, 0.0000823%), (SCHW, 0, 0.34%, 0.0000485%), (TMO, 0, 0.34%, 0.0000503%), (PEP, 0, 0.34%, 0.0000440%), (C, 0, 0.33%, 0.0000498%), (AMGN, 0, 0.33%, 0.0000494%), (MMM, 0, 0.32%, 0.0000917%), (PFE, 0, 0.30%, 0.0000492%), (EMR, 0, 0.30%, 0.0000906%), (GILD, 0, 0.29%, 0.0000496%), (CVS, 0, 0.27%, 0.0000780%), (DHR, 0, 0.26%, 0.0000450%), (TJX, 0, 0.26%, 0.0000456%), (ELV, 0, 0.25%, 0.0000819%), (MO, 0, 0.24%, 0.0000589%), (CMCSA, 0, 0.24%, 0.0000447%), (LOW, 0, 0.24%, 0.0000456%), (INTC, 0, 0.23%, 0.0000518%), (MDLZ, 0, 0.22%, 0.0000604%), (UPS, 0, 0.21%, 0.0000679%), (BMY, 0, 0.20%, 0.0000492%), (PYPL, 0, 0.18%, 0.0000631%), (CL, 0, 0.16%, 0.0000538%), (FDX, 0, 0.15%, 0.0000653%), (USB, 0, 0.15%, 0.0000486%), (TGT, 0, 0.09%, 0.0000462%), (nan, 0, -0.00%, 0.0000000%), (nan, 0, -0.01%, 0.0000000%)</t>
  </si>
  <si>
    <t>(AVGO, 0, 2.86%, 0.0001089%), (META, 0, 2.68%, 0.0000839%), (BRK/B, 0, 2.06%, 0.0001542%), (CSCO, 0, 1.77%, 0.0003265%), (LIN, 0, 1.74%, 0.0003910%), (AMT, 0, 1.66%, 0.0007914%), (JPM, 0, 1.57%, 0.0000979%), (TSLA, 0, 1.56%, 0.0000735%), (XOM, 0, 1.51%, 0.0001528%), (V, 0, 1.43%, 0.0001180%), (LLY, 0, 1.23%, 0.0000811%), (CB, 0, 1.16%, 0.0005196%), (MA, 0, 1.07%, 0.0001067%), (WM, 0, 1.06%, 0.0005684%), (GE, 0, 1.00%, 0.0001807%), (NFLX, 0, 0.91%, 0.0000845%), (NEE, 0, 0.89%, 0.0002825%), (ORCL, 0, 0.89%, 0.0000673%), (UNH, 0, 0.87%, 0.0001575%), (COST, 0, 0.79%, 0.0000898%), (PG, 0, 0.77%, 0.0001056%), (CVX, 0, 0.77%, 0.0001210%), (WMT, 0, 0.75%, 0.0000490%), (JNJ, 0, 0.75%, 0.0000973%), (PLTR, 0, 0.72%, 0.0001076%), (ABT, 0, 0.72%, 0.0001547%), (MCD, 0, 0.71%, 0.0001634%), (RTX, 0, 0.71%, 0.0001748%), (CAT, 0, 0.70%, 0.0001814%), (ABBV, 0, 0.67%, 0.0000974%), (HD, 0, 0.66%, 0.0000886%), (PM, 0, 0.65%, 0.0001149%), (IBM, 0, 0.63%, 0.0001180%), (KO, 0, 0.63%, 0.0001037%), (BKNG, 0, 0.63%, 0.0001675%), (BA, 0, 0.61%, 0.0001733%), (BAC, 0, 0.60%, 0.0000862%), (CRM, 0, 0.60%, 0.0001199%), (SO, 0, 0.59%, 0.0002849%), (ISRG, 0, 0.58%, 0.0001557%), (NKE, 0, 0.56%, 0.0003204%), (HON, 0, 0.55%, 0.0001803%), (UBER, 0, 0.54%, 0.0001360%), (WFC, 0, 0.53%, 0.0000994%), (DUK, 0, 0.53%, 0.0002844%), (AMD, 0, 0.52%, 0.0001101%), (GS, 0, 0.52%, 0.0001214%), (INTU, 0, 0.51%, 0.0001198%), (ETN, 0, 0.51%, 0.0001788%), (MET, 0, 0.50%, 0.0004770%), (NOW, 0, 0.47%, 0.0001183%), (DE, 0, 0.46%, 0.0001657%), (TXN, 0, 0.45%, 0.0001106%), (ACN, 0, 0.42%, 0.0001198%), (T, 0, 0.42%, 0.0004947%), (MRK, 0, 0.42%, 0.0000986%), (AXP, 0, 0.42%, 0.0000936%), (MS, 0, 0.42%, 0.0000901%), (SPGI, 0, 0.40%, 0.0001215%), (ADBE, 0, 0.39%, 0.0001254%), (UNP, 0, 0.39%, 0.0001377%), (QCOM, 0, 0.38%, 0.0001133%), (BLK, 0, 0.38%, 0.0001091%), (VZ, 0, 0.38%, 0.0001057%), (DIS, 0, 0.37%, 0.0000844%), (COP, 0, 0.37%, 0.0001536%), (MDT, 0, 0.36%, 0.0001551%), (AMAT, 0, 0.36%, 0.0001140%), (LMT, 0, 0.36%, 0.0001608%), (SBUX, 0, 0.35%, 0.0001622%), (SCHW, 0, 0.32%, 0.0000955%), (TMO, 0, 0.32%, 0.0000990%), (PEP, 0, 0.32%, 0.0000862%), (C, 0, 0.32%, 0.0000982%), (AMGN, 0, 0.31%, 0.0000971%), (MMM, 0, 0.30%, 0.0001805%), (PFE, 0, 0.29%, 0.0000971%), (EMR, 0, 0.29%, 0.0001784%), (GILD, 0, 0.28%, 0.0000977%), (CVS, 0, 0.25%, 0.0001537%), (DHR, 0, 0.25%, 0.0000886%), (TJX, 0, 0.25%, 0.0000900%), (ELV, 0, 0.25%, 0.0001620%), (MO, 0, 0.23%, 0.0001162%), (CMCSA, 0, 0.23%, 0.0000880%), (LOW, 0, 0.23%, 0.0000899%), (INTC, 0, 0.22%, 0.0001021%), (MDLZ, 0, 0.21%, 0.0001192%), (UPS, 0, 0.20%, 0.0001338%), (BMY, 0, 0.19%, 0.0000970%), (PYPL, 0, 0.17%, 0.0001243%), (CL, 0, 0.15%, 0.0001062%), (FDX, 0, 0.14%, 0.0001284%), (USB, 0, 0.14%, 0.0000958%), (TGT, 0, 0.09%, 0.0000911%), (nan, 0, -0.00%, 0.0000000%), (nan, 0, -0.01%, 0.0000000%)</t>
  </si>
  <si>
    <t>(GOOGLE, 0, 3.34%, 0.0000254%), (AVGO, 0, 2.92%, 0.0000349%), (META, 0, 2.73%, 0.0000269%), (BRK/B, 0, 2.10%, 0.0000495%), (CSCO, 0, 1.81%, 0.0001048%), (LIN, 0, 1.78%, 0.0001255%), (AMT, 0, 1.69%, 0.0002540%), (JPM, 0, 1.60%, 0.0000314%), (TSLA, 0, 1.59%, 0.0000236%), (XOM, 0, 1.54%, 0.0000490%), (V, 0, 1.46%, 0.0000379%), (LLY, 0, 1.25%, 0.0000260%), (CB, 0, 1.18%, 0.0001667%), (MA, 0, 1.09%, 0.0000342%), (WM, 0, 1.08%, 0.0001824%), (GE, 0, 1.02%, 0.0000580%), (NFLX, 0, 0.94%, 0.0000271%), (NEE, 0, 0.91%, 0.0000907%), (ORCL, 0, 0.90%, 0.0000216%), (UNH, 0, 0.89%, 0.0000506%), (COST, 0, 0.81%, 0.0000289%), (PG, 0, 0.79%, 0.0000339%), (CVX, 0, 0.79%, 0.0000388%), (WMT, 0, 0.77%, 0.0000157%), (JNJ, 0, 0.76%, 0.0000312%), (PLTR, 0, 0.74%, 0.0000345%), (ABT, 0, 0.74%, 0.0000496%), (MCD, 0, 0.72%, 0.0000524%), (RTX, 0, 0.72%, 0.0000561%), (CAT, 0, 0.71%, 0.0000583%), (ABBV, 0, 0.68%, 0.0000312%), (HD, 0, 0.67%, 0.0000284%), (PM, 0, 0.67%, 0.0000369%), (IBM, 0, 0.65%, 0.0000379%), (KO, 0, 0.64%, 0.0000333%), (BKNG, 0, 0.63%, 0.0000527%), (BA, 0, 0.62%, 0.0000557%), (BAC, 0, 0.62%, 0.0000276%), (CRM, 0, 0.61%, 0.0000384%), (SO, 0, 0.60%, 0.0000914%), (ISRG, 0, 0.59%, 0.0000499%), (NKE, 0, 0.57%, 0.0001028%), (HON, 0, 0.56%, 0.0000580%), (UBER, 0, 0.56%, 0.0000436%), (WFC, 0, 0.55%, 0.0000319%), (DUK, 0, 0.54%, 0.0000912%), (GS, 0, 0.54%, 0.0000390%), (AMD, 0, 0.54%, 0.0000353%), (INTU, 0, 0.52%, 0.0000384%), (ETN, 0, 0.52%, 0.0000573%), (MET, 0, 0.51%, 0.0001531%), (NOW, 0, 0.49%, 0.0000380%), (DE, 0, 0.48%, 0.0000533%), (TXN, 0, 0.45%, 0.0000354%), (ACN, 0, 0.43%, 0.0000384%), (T, 0, 0.43%, 0.0001587%), (MRK, 0, 0.43%, 0.0000316%), (MS, 0, 0.43%, 0.0000289%), (AXP, 0, 0.42%, 0.0000301%), (SPGI, 0, 0.40%, 0.0000390%), (ADBE, 0, 0.40%, 0.0000404%), (UNP, 0, 0.39%, 0.0000442%), (QCOM, 0, 0.39%, 0.0000364%), (BLK, 0, 0.39%, 0.0000349%), (VZ, 0, 0.39%, 0.0000339%), (DIS, 0, 0.38%, 0.0000271%), (COP, 0, 0.38%, 0.0000492%), (MDT, 0, 0.37%, 0.0000497%), (AMAT, 0, 0.37%, 0.0000365%), (LMT, 0, 0.36%, 0.0000514%), (SBUX, 0, 0.36%, 0.0000521%), (PEP, 0, 0.35%, 0.0000297%), (TMO, 0, 0.33%, 0.0000319%), (SCHW, 0, 0.33%, 0.0000306%), (C, 0, 0.32%, 0.0000315%), (AMGN, 0, 0.32%, 0.0000312%), (MMM, 0, 0.31%, 0.0000580%), (PFE, 0, 0.29%, 0.0000311%), (EMR, 0, 0.29%, 0.0000572%), (GILD, 0, 0.28%, 0.0000313%), (CVS, 0, 0.26%, 0.0000493%), (DHR, 0, 0.26%, 0.0000285%), (TJX, 0, 0.26%, 0.0000288%), (ELV, 0, 0.25%, 0.0000517%), (MO, 0, 0.23%, 0.0000373%), (CMCSA, 0, 0.23%, 0.0000283%), (LOW, 0, 0.23%, 0.0000289%), (INTC, 0, 0.23%, 0.0000328%), (MDLZ, 0, 0.22%, 0.0000383%), (UPS, 0, 0.21%, 0.0000429%), (BMY, 0, 0.19%, 0.0000311%), (PYPL, 0, 0.18%, 0.0000399%), (CL, 0, 0.16%, 0.0000341%), (FDX, 0, 0.15%, 0.0000411%), (USB, 0, 0.15%, 0.0000308%), (TGT, 0, 0.09%, 0.0000293%), (nan, 0, -0.00%, 0.0000000%), (nan, 0, -0.01%, 0.0000000%)</t>
  </si>
  <si>
    <t>(GOOGLE, 0, 3.56%, 0.0000610%), (AVGO, 0, 3.11%, 0.0000840%), (META, 0, 2.91%, 0.0000646%), (BRK/B, 0, 2.24%, 0.0001189%), (CSCO, 0, 1.92%, 0.0002517%), (LIN, 0, 1.89%, 0.0003015%), (AMT, 0, 1.80%, 0.0006101%), (JPM, 0, 1.70%, 0.0000755%), (TSLA, 0, 1.69%, 0.0000567%), (XOM, 0, 1.64%, 0.0001178%), (V, 0, 1.55%, 0.0000910%), (LLY, 0, 1.34%, 0.0000625%), (CB, 0, 1.26%, 0.0004005%), (MA, 0, 1.16%, 0.0000822%), (WM, 0, 1.15%, 0.0004381%), (GE, 0, 1.08%, 0.0001394%), (NFLX, 0, 0.98%, 0.0000651%), (NEE, 0, 0.97%, 0.0002178%), (ORCL, 0, 0.96%, 0.0000518%), (UNH, 0, 0.94%, 0.0001214%), (COST, 0, 0.86%, 0.0000693%), (PG, 0, 0.84%, 0.0000814%), (CVX, 0, 0.84%, 0.0000933%), (WMT, 0, 0.82%, 0.0000377%), (JNJ, 0, 0.81%, 0.0000750%), (PLTR, 0, 0.78%, 0.0000829%), (ABT, 0, 0.78%, 0.0001192%), (MCD, 0, 0.77%, 0.0001260%), (RTX, 0, 0.77%, 0.0001348%), (CAT, 0, 0.76%, 0.0001400%), (ABBV, 0, 0.73%, 0.0000751%), (HD, 0, 0.72%, 0.0000683%), (PM, 0, 0.71%, 0.0000886%), (BKNG, 0, 0.69%, 0.0001303%), (IBM, 0, 0.69%, 0.0000910%), (KO, 0, 0.69%, 0.0000799%), (BA, 0, 0.66%, 0.0001335%), (BAC, 0, 0.66%, 0.0000664%), (CRM, 0, 0.65%, 0.0000923%), (SO, 0, 0.64%, 0.0002196%), (ISRG, 0, 0.63%, 0.0001202%), (NKE, 0, 0.61%, 0.0002470%), (HON, 0, 0.60%, 0.0001391%), (UBER, 0, 0.59%, 0.0001048%), (WFC, 0, 0.58%, 0.0000766%), (DUK, 0, 0.58%, 0.0002193%), (AMD, 0, 0.57%, 0.0000849%), (GS, 0, 0.57%, 0.0000937%), (INTU, 0, 0.56%, 0.0000925%), (ETN, 0, 0.55%, 0.0001379%), (MET, 0, 0.54%, 0.0003677%), (NOW, 0, 0.51%, 0.0000909%), (DE, 0, 0.50%, 0.0001276%), (TXN, 0, 0.48%, 0.0000852%), (ACN, 0, 0.46%, 0.0000923%), (T, 0, 0.46%, 0.0003814%), (AXP, 0, 0.45%, 0.0000723%), (MRK, 0, 0.45%, 0.0000760%), (MS, 0, 0.45%, 0.0000695%), (SPGI, 0, 0.43%, 0.0000938%), (ADBE, 0, 0.42%, 0.0000968%), (UNP, 0, 0.42%, 0.0001060%), (QCOM, 0, 0.42%, 0.0000874%), (BLK, 0, 0.41%, 0.0000840%), (VZ, 0, 0.41%, 0.0000815%), (DIS, 0, 0.40%, 0.0000651%), (COP, 0, 0.40%, 0.0001183%), (MDT, 0, 0.39%, 0.0001195%), (AMAT, 0, 0.39%, 0.0000879%), (LMT, 0, 0.39%, 0.0001236%), (SBUX, 0, 0.38%, 0.0001250%), (SCHW, 0, 0.35%, 0.0000736%), (TMO, 0, 0.35%, 0.0000764%), (C, 0, 0.35%, 0.0000757%), (AMGN, 0, 0.34%, 0.0000750%), (MMM, 0, 0.33%, 0.0001391%), (PEP, 0, 0.31%, 0.0000598%), (PFE, 0, 0.31%, 0.0000748%), (EMR, 0, 0.31%, 0.0001375%), (GILD, 0, 0.30%, 0.0000754%), (CVS, 0, 0.28%, 0.0001185%), (DHR, 0, 0.27%, 0.0000684%), (TJX, 0, 0.27%, 0.0000694%), (ELV, 0, 0.27%, 0.0001246%), (MO, 0, 0.25%, 0.0000895%), (CMCSA, 0, 0.25%, 0.0000679%), (LOW, 0, 0.25%, 0.0000692%), (INTC, 0, 0.24%, 0.0000787%), (MDLZ, 0, 0.23%, 0.0000919%), (UPS, 0, 0.22%, 0.0001031%), (BMY, 0, 0.21%, 0.0000748%), (PYPL, 0, 0.19%, 0.0000958%), (CL, 0, 0.17%, 0.0000819%), (FDX, 0, 0.16%, 0.0000987%), (USB, 0, 0.15%, 0.0000739%), (TGT, 0, 0.09%, 0.0000702%), (nan, 0, -0.00%, 0.0000000%), (nan, 0, -0.01%, 0.0000000%)</t>
  </si>
  <si>
    <t>META, EBAY, MSFT, BKNG, BK, AMAT, JPM, BLK, EWBC, UNM, AXP, MLI</t>
  </si>
  <si>
    <t>(RJF, 0, 1.90%, 0.0033318%), (V, 0, 1.88%, 0.0001750%), (GOOGLE, 0, 1.87%, 0.0000988%), (EA, 0, 1.79%, 0.0026583%), (HIG, 0, 1.76%, 0.0028570%), (KLAC, 0, 1.74%, 0.0008007%), (TRV, 0, 1.74%, 0.0016959%), (ADP, 0, 1.73%, 0.0007853%), (PHM, 0, 1.70%, 0.0043280%), (SNA, 0, 1.68%, 0.0056992%), (CB, 0, 1.68%, 0.0008522%), (NVDA, 0, 1.64%, 0.0000229%), (CTSH, 0, 1.63%, 0.0024896%), (PCAR, 0, 1.62%, 0.0017902%), (CRM, 0, 1.60%, 0.0003578%), (SYF, 0, 1.58%, 0.0034470%), (ROST, 0, 1.55%, 0.0020367%), (PAYC, 0, 1.46%, 0.0062840%), (ACN, 0, 1.42%, 0.0004548%), (LEN, 0, 1.40%, 0.0031358%), (ELV, 0, 1.38%, 0.0010246%), (QCOM, 0, 1.33%, 0.0004445%), (WSM, 0, 1.30%, 0.0034518%), (BKR, 0, 1.28%, 0.0017920%), (ODFL, 0, 1.21%, 0.0019384%), (AFL, 0, 1.21%, 0.0012281%), (AAPL, 0, 1.16%, 0.0000210%), (DHI, 0, 1.13%, 0.0015838%), (LRCX, 0, 1.10%, 0.0004876%), (CSCO, 0, 1.08%, 0.0002250%), (GE, 0, 1.00%, 0.0002035%), (CF, 0, 0.99%, 0.0034790%), (STT, 0, 0.97%, 0.0017650%), (MPWR, 0, 0.97%, 0.0015848%), (MTB, 0, 0.95%, 0.0017073%), (PNC, 0, 0.93%, 0.0006704%), (AMP, 0, 0.93%, 0.0010333%), (COST, 0, 0.86%, 0.0001112%), (XOM, 0, 0.85%, 0.0000968%), (ABT, 0, 0.84%, 0.0002041%), (EOG, 0, 0.82%, 0.0006800%), (CSL, 0, 0.82%, 0.0026468%), (EG, 0, 0.77%, 0.0029738%), (NTRS, 0, 0.52%, 0.0012104%), (GEV, 0, 0.50%, 0.0001854%), (CRBG, 0, 0.49%, 0.0014597%), (MA, 0, 0.48%, 0.0000535%), (DOV, 0, 0.45%, 0.0009756%), (ACM, 0, 0.45%, 0.0016346%), (WTFC, 0, 0.44%, 0.0027542%), (SLM, 0, 0.44%, 0.0036190%), (JNJ, 0, 0.43%, 0.0000636%), (CINF, 0, 0.43%, 0.0010204%), (MCK, 0, 0.42%, 0.0002661%), (EQH, 0, 0.42%, 0.0014813%), (MTG, 0, 0.41%, 0.0040194%), (JXN, 0, 0.40%, 0.0037085%), (ALL, 0, 0.40%, 0.0004300%), (NUE, 0, 0.39%, 0.0006666%), (LNC, 0, 0.39%, 0.0032953%), (ADM, 0, 0.37%, 0.0007932%), (PGR, 0, 0.37%, 0.0001424%), (NKE, 0, 0.36%, 0.0002346%), (FANG, 0, 0.30%, 0.0004114%)</t>
  </si>
  <si>
    <t>(AVGO, 0, 2.82%, 0.0000887%), (META, 0, 2.64%, 0.0000683%), (BRK/B, 0, 2.03%, 0.0001256%), (CSCO, 0, 1.75%, 0.0002658%), (LIN, 0, 1.72%, 0.0003185%), (AMT, 0, 1.64%, 0.0006442%), (JPM, 0, 1.55%, 0.0000797%), (TSLA, 0, 1.54%, 0.0000599%), (XOM, 0, 1.49%, 0.0001244%), (V, 0, 1.41%, 0.0000961%), (LLY, 0, 1.22%, 0.0000661%), (CB, 0, 1.14%, 0.0004231%), (MA, 0, 1.06%, 0.0000868%), (WM, 0, 1.05%, 0.0004629%), (GE, 0, 0.99%, 0.0001471%), (NFLX, 0, 0.90%, 0.0000689%), (NEE, 0, 0.88%, 0.0002300%), (ORCL, 0, 0.87%, 0.0000548%), (UNH, 0, 0.86%, 0.0001283%), (COST, 0, 0.78%, 0.0000731%), (PG, 0, 0.76%, 0.0000860%), (CVX, 0, 0.76%, 0.0000985%), (WMT, 0, 0.74%, 0.0000399%), (JNJ, 0, 0.74%, 0.0000792%), (PLTR, 0, 0.71%, 0.0000875%), (ABT, 0, 0.71%, 0.0001259%), (MCD, 0, 0.70%, 0.0001330%), (RTX, 0, 0.70%, 0.0001424%), (CAT, 0, 0.69%, 0.0001477%), (ABBV, 0, 0.66%, 0.0000793%), (HD, 0, 0.65%, 0.0000721%), (PM, 0, 0.65%, 0.0000935%), (IBM, 0, 0.63%, 0.0000961%), (KO, 0, 0.62%, 0.0000844%), (BKNG, 0, 0.62%, 0.0001365%), (BA, 0, 0.60%, 0.0001410%), (BAC, 0, 0.60%, 0.0000702%), (CRM, 0, 0.60%, 0.0000976%), (SO, 0, 0.58%, 0.0002320%), (ISRG, 0, 0.57%, 0.0001269%), (NKE, 0, 0.55%, 0.0002609%), (HON, 0, 0.55%, 0.0001470%), (UBER, 0, 0.54%, 0.0001107%), (WFC, 0, 0.53%, 0.0000809%), (DUK, 0, 0.52%, 0.0002315%), (AMD, 0, 0.52%, 0.0000897%), (GS, 0, 0.51%, 0.0000987%), (INTU, 0, 0.51%, 0.0000976%), (ETN, 0, 0.50%, 0.0001456%), (MET, 0, 0.49%, 0.0003884%), (NOW, 0, 0.47%, 0.0000962%), (DE, 0, 0.46%, 0.0001350%), (TXN, 0, 0.44%, 0.0000900%), (ACN, 0, 0.42%, 0.0000975%), (T, 0, 0.41%, 0.0004028%), (MRK, 0, 0.41%, 0.0000803%), (AXP, 0, 0.41%, 0.0000762%), (MS, 0, 0.41%, 0.0000734%), (SPGI, 0, 0.39%, 0.0000991%), (ADBE, 0, 0.38%, 0.0001022%), (UNP, 0, 0.38%, 0.0001121%), (QCOM, 0, 0.38%, 0.0000923%), (BLK, 0, 0.37%, 0.0000885%), (VZ, 0, 0.37%, 0.0000860%), (COP, 0, 0.37%, 0.0001250%), (DIS, 0, 0.37%, 0.0000687%), (MDT, 0, 0.36%, 0.0001262%), (AMAT, 0, 0.36%, 0.0000928%), (LMT, 0, 0.35%, 0.0001309%), (SBUX, 0, 0.34%, 0.0001320%), (PEP, 0, 0.32%, 0.0000720%), (SCHW, 0, 0.32%, 0.0000778%), (TMO, 0, 0.32%, 0.0000806%), (C, 0, 0.31%, 0.0000800%), (AMGN, 0, 0.31%, 0.0000791%), (MMM, 0, 0.30%, 0.0001470%), (PFE, 0, 0.28%, 0.0000790%), (EMR, 0, 0.28%, 0.0001453%), (GILD, 0, 0.27%, 0.0000795%), (CVS, 0, 0.25%, 0.0001252%), (DHR, 0, 0.25%, 0.0000722%), (TJX, 0, 0.25%, 0.0000732%), (ELV, 0, 0.24%, 0.0001318%), (MO, 0, 0.23%, 0.0000946%), (CMCSA, 0, 0.23%, 0.0000717%), (LOW, 0, 0.22%, 0.0000731%), (INTC, 0, 0.22%, 0.0000831%), (MDLZ, 0, 0.21%, 0.0000971%), (UPS, 0, 0.20%, 0.0001090%), (BMY, 0, 0.19%, 0.0000790%), (PYPL, 0, 0.17%, 0.0001012%), (CL, 0, 0.15%, 0.0000865%), (FDX, 0, 0.14%, 0.0001043%), (USB, 0, 0.14%, 0.0000780%), (TGT, 0, 0.09%, 0.0000742%), (nan, 0, -0.00%, 0.0000000%), (nan, 0, -0.01%, 0.0000000%)</t>
  </si>
  <si>
    <t>(GOOGLE, 0, 3.40%, 0.0001318%), (AVGO, 0, 2.97%, 0.0001813%), (META, 0, 2.77%, 0.0001397%), (BRK/B, 0, 2.13%, 0.0002567%), (CSCO, 0, 1.83%, 0.0005436%), (LIN, 0, 1.80%, 0.0006510%), (AMT, 0, 1.72%, 0.0013175%), (JPM, 0, 1.62%, 0.0001630%), (TSLA, 0, 1.61%, 0.0001224%), (XOM, 0, 1.57%, 0.0002545%), (V, 0, 1.48%, 0.0001964%), (LLY, 0, 1.28%, 0.0001351%), (CB, 0, 1.20%, 0.0008649%), (MA, 0, 1.11%, 0.0001776%), (WM, 0, 1.10%, 0.0009465%), (GE, 0, 1.03%, 0.0003009%), (NFLX, 0, 0.95%, 0.0001407%), (NEE, 0, 0.93%, 0.0004703%), (ORCL, 0, 0.92%, 0.0001120%), (UNH, 0, 0.90%, 0.0002623%), (COST, 0, 0.82%, 0.0001496%), (PG, 0, 0.80%, 0.0001758%), (CVX, 0, 0.80%, 0.0002015%), (WMT, 0, 0.78%, 0.0000815%), (JNJ, 0, 0.77%, 0.0001620%), (PLTR, 0, 0.75%, 0.0001790%), (ABT, 0, 0.75%, 0.0002575%), (MCD, 0, 0.74%, 0.0002720%), (RTX, 0, 0.73%, 0.0002911%), (CAT, 0, 0.73%, 0.0003023%), (ABBV, 0, 0.69%, 0.0001622%), (HD, 0, 0.69%, 0.0001475%), (PM, 0, 0.68%, 0.0001913%), (IBM, 0, 0.66%, 0.0001965%), (KO, 0, 0.66%, 0.0001727%), (BKNG, 0, 0.65%, 0.0002792%), (BA, 0, 0.63%, 0.0002884%), (BAC, 0, 0.63%, 0.0001435%), (CRM, 0, 0.62%, 0.0001995%), (SO, 0, 0.61%, 0.0004744%), (ISRG, 0, 0.60%, 0.0002595%), (NKE, 0, 0.58%, 0.0005335%), (HON, 0, 0.57%, 0.0003004%), (UBER, 0, 0.56%, 0.0002264%), (WFC, 0, 0.55%, 0.0001654%), (DUK, 0, 0.55%, 0.0004735%), (AMD, 0, 0.54%, 0.0001833%), (GS, 0, 0.54%, 0.0002020%), (INTU, 0, 0.53%, 0.0001998%), (ETN, 0, 0.53%, 0.0002977%), (MET, 0, 0.52%, 0.0007941%), (NOW, 0, 0.49%, 0.0001966%), (DE, 0, 0.48%, 0.0002760%), (TXN, 0, 0.46%, 0.0001841%), (ACN, 0, 0.44%, 0.0001992%), (T, 0, 0.44%, 0.0008238%), (AXP, 0, 0.43%, 0.0001561%), (MRK, 0, 0.43%, 0.0001642%), (MS, 0, 0.43%, 0.0001500%), (SPGI, 0, 0.41%, 0.0002024%), (ADBE, 0, 0.40%, 0.0002090%), (UNP, 0, 0.40%, 0.0002293%), (QCOM, 0, 0.40%, 0.0001888%), (VZ, 0, 0.39%, 0.0001760%), (BLK, 0, 0.39%, 0.0001815%), (COP, 0, 0.38%, 0.0002557%), (DIS, 0, 0.38%, 0.0001406%), (MDT, 0, 0.38%, 0.0002581%), (AMAT, 0, 0.38%, 0.0001898%), (LMT, 0, 0.37%, 0.0002675%), (SBUX, 0, 0.36%, 0.0002701%), (SCHW, 0, 0.34%, 0.0001590%), (TMO, 0, 0.33%, 0.0001650%), (C, 0, 0.33%, 0.0001636%), (AMGN, 0, 0.33%, 0.0001620%), (PEP, 0, 0.33%, 0.0001410%), (MMM, 0, 0.31%, 0.0003006%), (PFE, 0, 0.30%, 0.0001616%), (EMR, 0, 0.30%, 0.0002971%), (GILD, 0, 0.29%, 0.0001627%), (CVS, 0, 0.26%, 0.0002559%), (DHR, 0, 0.26%, 0.0001475%), (TJX, 0, 0.26%, 0.0001498%), (ELV, 0, 0.25%, 0.0002695%), (MO, 0, 0.24%, 0.0001934%), (CMCSA, 0, 0.24%, 0.0001466%), (LOW, 0, 0.24%, 0.0001496%), (INTC, 0, 0.23%, 0.0001700%), (MDLZ, 0, 0.22%, 0.0001985%), (UPS, 0, 0.21%, 0.0002228%), (BMY, 0, 0.20%, 0.0001615%), (PYPL, 0, 0.18%, 0.0002069%), (CL, 0, 0.16%, 0.0001768%), (FDX, 0, 0.15%, 0.0002136%), (USB, 0, 0.15%, 0.0001596%), (TGT, 0, 0.09%, 0.0001518%), (nan, 0, -0.00%, 0.0000000%), (nan, 0, -0.01%, 0.0000000%)</t>
  </si>
  <si>
    <t>(GOOGLE, 0, 3.45%, 0.0002300%), (AVGO, 0, 3.05%, 0.0003165%), (META, 0, 2.75%, 0.0002438%), (BRK/B, 0, 2.12%, 0.0004481%), (CSCO, 0, 1.84%, 0.0009487%), (LIN, 0, 1.79%, 0.0011363%), (AMT, 0, 1.72%, 0.0022995%), (JPM, 0, 1.63%, 0.0002844%), (TSLA, 0, 1.61%, 0.0002136%), (XOM, 0, 1.56%, 0.0004441%), (V, 0, 1.47%, 0.0003428%), (LLY, 0, 1.26%, 0.0002359%), (CB, 0, 1.20%, 0.0015096%), (MA, 0, 1.11%, 0.0003099%), (WM, 0, 1.10%, 0.0016519%), (GE, 0, 1.06%, 0.0005251%), (ORCL, 0, 0.95%, 0.0001955%), (NFLX, 0, 0.95%, 0.0002457%), (NEE, 0, 0.93%, 0.0008208%), (UNH, 0, 0.88%, 0.0004578%), (COST, 0, 0.82%, 0.0002613%), (PG, 0, 0.80%, 0.0003068%), (CVX, 0, 0.79%, 0.0003516%), (WMT, 0, 0.79%, 0.0001422%), (JNJ, 0, 0.77%, 0.0002828%), (PLTR, 0, 0.76%, 0.0003125%), (ABT, 0, 0.75%, 0.0004494%), (MCD, 0, 0.74%, 0.0004746%), (RTX, 0, 0.74%, 0.0005081%), (CAT, 0, 0.73%, 0.0005275%), (PM, 0, 0.69%, 0.0003339%), (ABBV, 0, 0.68%, 0.0002830%), (HD, 0, 0.67%, 0.0002575%), (IBM, 0, 0.66%, 0.0003430%), (KO, 0, 0.66%, 0.0003013%), (BKNG, 0, 0.65%, 0.0004840%), (BA, 0, 0.64%, 0.0005034%), (BAC, 0, 0.62%, 0.0002504%), (CRM, 0, 0.62%, 0.0003482%), (SO, 0, 0.61%, 0.0008279%), (ISRG, 0, 0.60%, 0.0004528%), (NKE, 0, 0.58%, 0.0009310%), (AMD, 0, 0.58%, 0.0003200%), (HON, 0, 0.57%, 0.0005242%), (UBER, 0, 0.56%, 0.0003952%), (DUK, 0, 0.55%, 0.0008265%), (GS, 0, 0.54%, 0.0003528%), (WFC, 0, 0.53%, 0.0002888%), (ETN, 0, 0.53%, 0.0005197%), (INTU, 0, 0.53%, 0.0003486%), (MET, 0, 0.51%, 0.0013860%), (NOW, 0, 0.50%, 0.0003433%), (DE, 0, 0.48%, 0.0004816%), (TXN, 0, 0.47%, 0.0003213%), (PEP, 0, 0.45%, 0.0003355%), (ACN, 0, 0.44%, 0.0003479%), (T, 0, 0.44%, 0.0014377%), (MS, 0, 0.43%, 0.0002618%), (MRK, 0, 0.43%, 0.0002866%), (AXP, 0, 0.42%, 0.0002722%), (SPGI, 0, 0.41%, 0.0003534%), (ADBE, 0, 0.40%, 0.0003645%), (UNP, 0, 0.40%, 0.0004001%), (QCOM, 0, 0.40%, 0.0003295%), (VZ, 0, 0.39%, 0.0003071%), (DIS, 0, 0.38%, 0.0002453%), (AMAT, 0, 0.38%, 0.0003311%), (COP, 0, 0.38%, 0.0004461%), (MDT, 0, 0.38%, 0.0004505%), (BLK, 0, 0.38%, 0.0003171%), (LMT, 0, 0.37%, 0.0004667%), (SBUX, 0, 0.36%, 0.0004714%), (C, 0, 0.34%, 0.0002854%), (SCHW, 0, 0.34%, 0.0002775%), (TMO, 0, 0.33%, 0.0002880%), (AMGN, 0, 0.32%, 0.0002825%), (MMM, 0, 0.32%, 0.0005246%), (EMR, 0, 0.30%, 0.0005185%), (PFE, 0, 0.29%, 0.0002820%), (GILD, 0, 0.28%, 0.0002839%), (CVS, 0, 0.26%, 0.0004467%), (TJX, 0, 0.26%, 0.0002615%), (DHR, 0, 0.26%, 0.0002575%), (ELV, 0, 0.25%, 0.0004702%), (MO, 0, 0.24%, 0.0003375%), (CMCSA, 0, 0.24%, 0.0002558%), (INTC, 0, 0.23%, 0.0002967%), (LOW, 0, 0.23%, 0.0002610%), (MDLZ, 0, 0.22%, 0.0003464%), (UPS, 0, 0.21%, 0.0003888%), (BMY, 0, 0.19%, 0.0002819%), (PYPL, 0, 0.18%, 0.0003610%), (CL, 0, 0.16%, 0.0003085%), (FDX, 0, 0.15%, 0.0003730%), (USB, 0, 0.14%, 0.0002785%), (TGT, 0, 0.09%, 0.0002650%), (nan, 0, -0.00%, 0.0000000%), (nan, 0, -0.01%, 0.0000000%)</t>
  </si>
  <si>
    <t>(GOOGLE, 0, 3.43%, 0.0001713%), (AVGO, 0, 3.03%, 0.0002357%), (META, 0, 2.74%, 0.0001816%), (BRK/B, 0, 2.11%, 0.0003337%), (CSCO, 0, 1.83%, 0.0007065%), (LIN, 0, 1.78%, 0.0008463%), (AMT, 0, 1.71%, 0.0017125%), (JPM, 0, 1.63%, 0.0002118%), (TSLA, 0, 1.60%, 0.0001591%), (XOM, 0, 1.55%, 0.0003307%), (V, 0, 1.47%, 0.0002553%), (LLY, 0, 1.25%, 0.0001756%), (CB, 0, 1.19%, 0.0011241%), (MA, 0, 1.10%, 0.0002308%), (WM, 0, 1.09%, 0.0012302%), (GE, 0, 1.05%, 0.0003911%), (ORCL, 0, 0.95%, 0.0001456%), (NFLX, 0, 0.94%, 0.0001829%), (NEE, 0, 0.92%, 0.0006113%), (UNH, 0, 0.88%, 0.0003409%), (COST, 0, 0.81%, 0.0001945%), (PG, 0, 0.80%, 0.0002284%), (CVX, 0, 0.79%, 0.0002619%), (WMT, 0, 0.78%, 0.0001059%), (JNJ, 0, 0.77%, 0.0002106%), (PLTR, 0, 0.76%, 0.0002327%), (ABT, 0, 0.74%, 0.0003347%), (MCD, 0, 0.74%, 0.0003536%), (RTX, 0, 0.73%, 0.0003784%), (CAT, 0, 0.73%, 0.0003928%), (PM, 0, 0.68%, 0.0002487%), (ABBV, 0, 0.68%, 0.0002108%), (HD, 0, 0.67%, 0.0001918%), (IBM, 0, 0.66%, 0.0002555%), (KO, 0, 0.65%, 0.0002244%), (BKNG, 0, 0.65%, 0.0003630%), (BA, 0, 0.64%, 0.0003750%), (BAC, 0, 0.62%, 0.0001865%), (CRM, 0, 0.62%, 0.0002593%), (SO, 0, 0.61%, 0.0006165%), (ISRG, 0, 0.60%, 0.0003371%), (NKE, 0, 0.58%, 0.0006933%), (AMD, 0, 0.58%, 0.0002383%), (HON, 0, 0.57%, 0.0003905%), (UBER, 0, 0.55%, 0.0002943%), (DUK, 0, 0.55%, 0.0006154%), (GS, 0, 0.54%, 0.0002627%), (ETN, 0, 0.53%, 0.0003868%), (WFC, 0, 0.53%, 0.0002151%), (INTU, 0, 0.53%, 0.0002597%), (MET, 0, 0.51%, 0.0010323%), (NOW, 0, 0.49%, 0.0002558%), (DE, 0, 0.48%, 0.0003588%), (TXN, 0, 0.46%, 0.0002393%), (PEP, 0, 0.44%, 0.0002498%), (ACN, 0, 0.43%, 0.0002590%), (T, 0, 0.43%, 0.0010707%), (MS, 0, 0.43%, 0.0001950%), (MRK, 0, 0.42%, 0.0002134%), (AXP, 0, 0.42%, 0.0002028%), (SPGI, 0, 0.41%, 0.0002632%), (ADBE, 0, 0.40%, 0.0002716%), (UNP, 0, 0.40%, 0.0002979%), (QCOM, 0, 0.40%, 0.0002454%), (VZ, 0, 0.39%, 0.0002287%), (DIS, 0, 0.38%, 0.0001827%), (AMAT, 0, 0.38%, 0.0002467%), (COP, 0, 0.37%, 0.0003323%), (MDT, 0, 0.37%, 0.0003355%), (BLK, 0, 0.37%, 0.0002357%), (LMT, 0, 0.37%, 0.0003475%), (SBUX, 0, 0.36%, 0.0003510%), (C, 0, 0.34%, 0.0002126%), (SCHW, 0, 0.33%, 0.0002067%), (TMO, 0, 0.33%, 0.0002145%), (AMGN, 0, 0.32%, 0.0002105%), (MMM, 0, 0.31%, 0.0003908%), (EMR, 0, 0.30%, 0.0003861%), (PFE, 0, 0.29%, 0.0002100%), (GILD, 0, 0.28%, 0.0002114%), (CVS, 0, 0.26%, 0.0003327%), (TJX, 0, 0.26%, 0.0001947%), (DHR, 0, 0.26%, 0.0001918%), (ELV, 0, 0.25%, 0.0003501%), (MO, 0, 0.24%, 0.0002514%), (CMCSA, 0, 0.23%, 0.0001905%), (INTC, 0, 0.23%, 0.0002210%), (LOW, 0, 0.23%, 0.0001944%), (MDLZ, 0, 0.22%, 0.0002580%), (UPS, 0, 0.21%, 0.0002897%), (BMY, 0, 0.19%, 0.0002099%), (PYPL, 0, 0.18%, 0.0002689%), (CL, 0, 0.16%, 0.0002298%), (FDX, 0, 0.15%, 0.0002776%), (USB, 0, 0.14%, 0.0002074%), (TGT, 0, 0.09%, 0.0001972%), (nan, 0, -0.00%, 0.0000000%), (nan, 0, -0.01%, 0.0000000%)</t>
  </si>
  <si>
    <t>(GOOGLE, 0, 3.46%, 0.0000402%), (AVGO, 0, 3.06%, 0.0000552%), (META, 0, 2.77%, 0.0000426%), (BRK/B, 0, 2.13%, 0.0000782%), (CSCO, 0, 1.85%, 0.0001656%), (LIN, 0, 1.79%, 0.0001983%), (AMT, 0, 1.73%, 0.0004014%), (JPM, 0, 1.64%, 0.0000497%), (TSLA, 0, 1.62%, 0.0000373%), (XOM, 0, 1.57%, 0.0000775%), (V, 0, 1.48%, 0.0000599%), (LLY, 0, 1.26%, 0.0000411%), (CB, 0, 1.20%, 0.0002635%), (MA, 0, 1.11%, 0.0000541%), (WM, 0, 1.10%, 0.0002884%), (GE, 0, 1.06%, 0.0000917%), (NFLX, 0, 0.97%, 0.0000430%), (ORCL, 0, 0.95%, 0.0000341%), (NEE, 0, 0.93%, 0.0001433%), (UNH, 0, 0.89%, 0.0000799%), (COST, 0, 0.82%, 0.0000456%), (PG, 0, 0.80%, 0.0000536%), (CVX, 0, 0.80%, 0.0000614%), (WMT, 0, 0.79%, 0.0000248%), (JNJ, 0, 0.78%, 0.0000494%), (PLTR, 0, 0.77%, 0.0000546%), (ABT, 0, 0.75%, 0.0000784%), (MCD, 0, 0.74%, 0.0000828%), (RTX, 0, 0.74%, 0.0000887%), (CAT, 0, 0.73%, 0.0000920%), (PM, 0, 0.69%, 0.0000583%), (ABBV, 0, 0.68%, 0.0000494%), (HD, 0, 0.67%, 0.0000449%), (IBM, 0, 0.67%, 0.0000599%), (KO, 0, 0.66%, 0.0000526%), (BKNG, 0, 0.65%, 0.0000838%), (BA, 0, 0.64%, 0.0000879%), (BAC, 0, 0.63%, 0.0000437%), (CRM, 0, 0.63%, 0.0000608%), (SO, 0, 0.62%, 0.0001445%), (ISRG, 0, 0.60%, 0.0000790%), (AMD, 0, 0.59%, 0.0000559%), (NKE, 0, 0.58%, 0.0001625%), (HON, 0, 0.57%, 0.0000915%), (UBER, 0, 0.56%, 0.0000690%), (DUK, 0, 0.55%, 0.0001443%), (GS, 0, 0.54%, 0.0000617%), (WFC, 0, 0.54%, 0.0000504%), (ETN, 0, 0.54%, 0.0000907%), (INTU, 0, 0.53%, 0.0000610%), (MET, 0, 0.52%, 0.0002419%), (NOW, 0, 0.50%, 0.0000601%), (DE, 0, 0.48%, 0.0000840%), (TXN, 0, 0.47%, 0.0000561%), (PEP, 0, 0.45%, 0.0000586%), (ACN, 0, 0.44%, 0.0000607%), (T, 0, 0.44%, 0.0002510%), (MS, 0, 0.43%, 0.0000457%), (MRK, 0, 0.43%, 0.0000500%), (AXP, 0, 0.43%, 0.0000475%), (SPGI, 0, 0.41%, 0.0000618%), (ADBE, 0, 0.41%, 0.0000635%), (QCOM, 0, 0.40%, 0.0000576%), (UNP, 0, 0.40%, 0.0000698%), (VZ, 0, 0.39%, 0.0000536%), (DIS, 0, 0.39%, 0.0000428%), (AMAT, 0, 0.39%, 0.0000579%), (COP, 0, 0.38%, 0.0000779%), (BLK, 0, 0.38%, 0.0000555%), (MDT, 0, 0.38%, 0.0000787%), (LMT, 0, 0.37%, 0.0000817%), (SBUX, 0, 0.36%, 0.0000823%), (C, 0, 0.35%, 0.0000498%), (SCHW, 0, 0.34%, 0.0000485%), (TMO, 0, 0.33%, 0.0000503%), (AMGN, 0, 0.33%, 0.0000494%), (MMM, 0, 0.32%, 0.0000917%), (EMR, 0, 0.30%, 0.0000906%), (PFE, 0, 0.29%, 0.0000492%), (GILD, 0, 0.28%, 0.0000496%), (CVS, 0, 0.27%, 0.0000780%), (TJX, 0, 0.26%, 0.0000456%), (DHR, 0, 0.26%, 0.0000450%), (ELV, 0, 0.25%, 0.0000819%), (MO, 0, 0.24%, 0.0000589%), (CMCSA, 0, 0.24%, 0.0000447%), (INTC, 0, 0.23%, 0.0000518%), (LOW, 0, 0.23%, 0.0000456%), (MDLZ, 0, 0.22%, 0.0000604%), (UPS, 0, 0.21%, 0.0000679%), (BMY, 0, 0.20%, 0.0000492%), (PYPL, 0, 0.18%, 0.0000631%), (CL, 0, 0.16%, 0.0000538%), (FDX, 0, 0.15%, 0.0000653%), (USB, 0, 0.15%, 0.0000486%), (TGT, 0, 0.09%, 0.0000462%), (nan, 0, -0.01%, 0.0000000%), (nan, 0, -0.01%, 0.0000000%)</t>
  </si>
  <si>
    <t>(GOOGLE, 0, 3.31%, 0.0000792%), (AVGO, 0, 2.93%, 0.0001089%), (META, 0, 2.65%, 0.0000839%), (BRK/B, 0, 2.04%, 0.0001542%), (CSCO, 0, 1.77%, 0.0003265%), (LIN, 0, 1.72%, 0.0003910%), (AMT, 0, 1.65%, 0.0007914%), (JPM, 0, 1.57%, 0.0000979%), (TSLA, 0, 1.55%, 0.0000735%), (XOM, 0, 1.50%, 0.0001528%), (V, 0, 1.42%, 0.0001180%), (LLY, 0, 1.21%, 0.0000811%), (CB, 0, 1.15%, 0.0005196%), (MA, 0, 1.07%, 0.0001067%), (WM, 0, 1.06%, 0.0005684%), (GE, 0, 1.02%, 0.0001807%), (ORCL, 0, 0.92%, 0.0000673%), (NFLX, 0, 0.91%, 0.0000845%), (NEE, 0, 0.89%, 0.0002825%), (UNH, 0, 0.85%, 0.0001575%), (COST, 0, 0.79%, 0.0000898%), (PG, 0, 0.77%, 0.0001056%), (CVX, 0, 0.76%, 0.0001210%), (WMT, 0, 0.76%, 0.0000490%), (JNJ, 0, 0.74%, 0.0000973%), (PLTR, 0, 0.73%, 0.0001076%), (ABT, 0, 0.72%, 0.0001547%), (MCD, 0, 0.71%, 0.0001634%), (RTX, 0, 0.71%, 0.0001748%), (CAT, 0, 0.70%, 0.0001814%), (PM, 0, 0.66%, 0.0001149%), (ABBV, 0, 0.65%, 0.0000974%), (HD, 0, 0.65%, 0.0000886%), (IBM, 0, 0.64%, 0.0001180%), (KO, 0, 0.63%, 0.0001037%), (BKNG, 0, 0.63%, 0.0001675%), (BA, 0, 0.62%, 0.0001733%), (BAC, 0, 0.60%, 0.0000862%), (CRM, 0, 0.60%, 0.0001199%), (SO, 0, 0.59%, 0.0002849%), (ISRG, 0, 0.58%, 0.0001557%), (AMD, 0, 0.56%, 0.0001101%), (NKE, 0, 0.56%, 0.0003204%), (HON, 0, 0.55%, 0.0001803%), (UBER, 0, 0.53%, 0.0001360%), (DUK, 0, 0.53%, 0.0002844%), (GS, 0, 0.52%, 0.0001214%), (WFC, 0, 0.51%, 0.0000994%), (ETN, 0, 0.51%, 0.0001788%), (INTU, 0, 0.51%, 0.0001198%), (MET, 0, 0.49%, 0.0004770%), (NOW, 0, 0.48%, 0.0001183%), (DE, 0, 0.46%, 0.0001657%), (TXN, 0, 0.45%, 0.0001106%), (PEP, 0, 0.43%, 0.0001154%), (ACN, 0, 0.42%, 0.0001198%), (T, 0, 0.42%, 0.0004947%), (MS, 0, 0.41%, 0.0000901%), (MRK, 0, 0.41%, 0.0000986%), (AXP, 0, 0.41%, 0.0000936%), (SPGI, 0, 0.39%, 0.0001215%), (ADBE, 0, 0.39%, 0.0001254%), (UNP, 0, 0.39%, 0.0001377%), (QCOM, 0, 0.38%, 0.0001133%), (VZ, 0, 0.38%, 0.0001057%), (DIS, 0, 0.37%, 0.0000844%), (AMAT, 0, 0.37%, 0.0001140%), (COP, 0, 0.36%, 0.0001536%), (MDT, 0, 0.36%, 0.0001551%), (BLK, 0, 0.36%, 0.0001091%), (LMT, 0, 0.36%, 0.0001608%), (SBUX, 0, 0.35%, 0.0001622%), (C, 0, 0.33%, 0.0000982%), (SCHW, 0, 0.32%, 0.0000955%), (TMO, 0, 0.32%, 0.0000990%), (AMGN, 0, 0.31%, 0.0000971%), (MMM, 0, 0.30%, 0.0001805%), (EMR, 0, 0.29%, 0.0001784%), (PFE, 0, 0.28%, 0.0000971%), (GILD, 0, 0.27%, 0.0000977%), (CVS, 0, 0.25%, 0.0001537%), (TJX, 0, 0.25%, 0.0000900%), (DHR, 0, 0.25%, 0.0000886%), (ELV, 0, 0.25%, 0.0001620%), (MO, 0, 0.23%, 0.0001162%), (CMCSA, 0, 0.23%, 0.0000880%), (INTC, 0, 0.22%, 0.0001021%), (LOW, 0, 0.22%, 0.0000899%), (MDLZ, 0, 0.21%, 0.0001192%), (UPS, 0, 0.20%, 0.0001338%), (BMY, 0, 0.19%, 0.0000970%), (PYPL, 0, 0.17%, 0.0001243%), (CL, 0, 0.15%, 0.0001062%), (FDX, 0, 0.14%, 0.0001284%), (USB, 0, 0.14%, 0.0000958%), (TGT, 0, 0.09%, 0.0000911%), (nan, 0, -0.00%, 0.0000000%), (nan, 0, -0.01%, 0.0000000%)</t>
  </si>
  <si>
    <t>(GOOGLE, 0, 3.38%, 0.0000254%), (AVGO, 0, 2.99%, 0.0000349%), (META, 0, 2.70%, 0.0000269%), (BRK/B, 0, 2.08%, 0.0000495%), (CSCO, 0, 1.80%, 0.0001048%), (LIN, 0, 1.75%, 0.0001255%), (AMT, 0, 1.69%, 0.0002540%), (JPM, 0, 1.60%, 0.0000314%), (TSLA, 0, 1.58%, 0.0000236%), (XOM, 0, 1.53%, 0.0000490%), (V, 0, 1.44%, 0.0000379%), (LLY, 0, 1.23%, 0.0000260%), (CB, 0, 1.17%, 0.0001667%), (MA, 0, 1.09%, 0.0000342%), (WM, 0, 1.08%, 0.0001824%), (GE, 0, 1.04%, 0.0000580%), (NFLX, 0, 0.94%, 0.0000271%), (ORCL, 0, 0.93%, 0.0000216%), (NEE, 0, 0.91%, 0.0000907%), (UNH, 0, 0.87%, 0.0000506%), (COST, 0, 0.80%, 0.0000289%), (PG, 0, 0.78%, 0.0000339%), (CVX, 0, 0.78%, 0.0000388%), (WMT, 0, 0.77%, 0.0000157%), (JNJ, 0, 0.76%, 0.0000312%), (PLTR, 0, 0.75%, 0.0000345%), (ABT, 0, 0.73%, 0.0000496%), (MCD, 0, 0.73%, 0.0000524%), (RTX, 0, 0.72%, 0.0000561%), (CAT, 0, 0.72%, 0.0000583%), (PM, 0, 0.67%, 0.0000369%), (ABBV, 0, 0.67%, 0.0000312%), (HD, 0, 0.66%, 0.0000284%), (IBM, 0, 0.65%, 0.0000379%), (KO, 0, 0.64%, 0.0000333%), (BA, 0, 0.63%, 0.0000557%), (BKNG, 0, 0.63%, 0.0000527%), (BAC, 0, 0.61%, 0.0000276%), (CRM, 0, 0.61%, 0.0000384%), (SO, 0, 0.60%, 0.0000914%), (ISRG, 0, 0.59%, 0.0000499%), (AMD, 0, 0.57%, 0.0000353%), (NKE, 0, 0.57%, 0.0001028%), (HON, 0, 0.56%, 0.0000580%), (UBER, 0, 0.54%, 0.0000436%), (DUK, 0, 0.54%, 0.0000912%), (GS, 0, 0.53%, 0.0000390%), (WFC, 0, 0.52%, 0.0000319%), (ETN, 0, 0.52%, 0.0000573%), (INTU, 0, 0.52%, 0.0000384%), (MET, 0, 0.50%, 0.0001531%), (NOW, 0, 0.49%, 0.0000380%), (DE, 0, 0.47%, 0.0000533%), (TXN, 0, 0.46%, 0.0000354%), (PEP, 0, 0.44%, 0.0000370%), (ACN, 0, 0.43%, 0.0000384%), (T, 0, 0.43%, 0.0001587%), (MS, 0, 0.42%, 0.0000289%), (MRK, 0, 0.42%, 0.0000316%), (AXP, 0, 0.42%, 0.0000301%), (SPGI, 0, 0.40%, 0.0000390%), (ADBE, 0, 0.40%, 0.0000404%), (QCOM, 0, 0.39%, 0.0000364%), (UNP, 0, 0.39%, 0.0000442%), (VZ, 0, 0.38%, 0.0000339%), (DIS, 0, 0.38%, 0.0000271%), (AMAT, 0, 0.37%, 0.0000365%), (COP, 0, 0.37%, 0.0000492%), (MDT, 0, 0.37%, 0.0000497%), (BLK, 0, 0.37%, 0.0000349%), (LMT, 0, 0.36%, 0.0000514%), (SBUX, 0, 0.36%, 0.0000521%), (C, 0, 0.34%, 0.0000315%), (SCHW, 0, 0.33%, 0.0000306%), (TMO, 0, 0.33%, 0.0000319%), (AMGN, 0, 0.32%, 0.0000312%), (MMM, 0, 0.31%, 0.0000580%), (EMR, 0, 0.29%, 0.0000572%), (PFE, 0, 0.28%, 0.0000311%), (GILD, 0, 0.27%, 0.0000313%), (CVS, 0, 0.26%, 0.0000493%), (TJX, 0, 0.25%, 0.0000288%), (DHR, 0, 0.25%, 0.0000285%), (ELV, 0, 0.25%, 0.0000517%), (MO, 0, 0.24%, 0.0000373%), (CMCSA, 0, 0.23%, 0.0000283%), (INTC, 0, 0.23%, 0.0000328%), (LOW, 0, 0.23%, 0.0000289%), (MDLZ, 0, 0.21%, 0.0000383%), (UPS, 0, 0.20%, 0.0000429%), (BMY, 0, 0.19%, 0.0000311%), (PYPL, 0, 0.17%, 0.0000399%), (CL, 0, 0.16%, 0.0000341%), (FDX, 0, 0.15%, 0.0000411%), (USB, 0, 0.14%, 0.0000308%), (TGT, 0, 0.09%, 0.0000293%), (nan, 0, -0.00%, 0.0000000%), (nan, 0, -0.01%, 0.0000000%)</t>
  </si>
  <si>
    <t>(GOOGLE, 0, 3.60%, 0.0000610%), (AVGO, 0, 3.18%, 0.0000840%), (META, 0, 2.88%, 0.0000646%), (BRK/B, 0, 2.22%, 0.0001189%), (CSCO, 0, 1.92%, 0.0002517%), (LIN, 0, 1.87%, 0.0003015%), (AMT, 0, 1.80%, 0.0006101%), (JPM, 0, 1.71%, 0.0000755%), (TSLA, 0, 1.68%, 0.0000567%), (XOM, 0, 1.63%, 0.0001178%), (V, 0, 1.54%, 0.0000910%), (LLY, 0, 1.31%, 0.0000625%), (CB, 0, 1.25%, 0.0004005%), (MA, 0, 1.16%, 0.0000822%), (WM, 0, 1.15%, 0.0004381%), (GE, 0, 1.10%, 0.0001394%), (ORCL, 0, 0.99%, 0.0000518%), (NFLX, 0, 0.99%, 0.0000651%), (NEE, 0, 0.97%, 0.0002178%), (UNH, 0, 0.92%, 0.0001214%), (COST, 0, 0.85%, 0.0000693%), (PG, 0, 0.84%, 0.0000814%), (CVX, 0, 0.83%, 0.0000933%), (WMT, 0, 0.82%, 0.0000377%), (JNJ, 0, 0.81%, 0.0000750%), (PLTR, 0, 0.80%, 0.0000829%), (ABT, 0, 0.78%, 0.0001192%), (MCD, 0, 0.77%, 0.0001260%), (RTX, 0, 0.77%, 0.0001348%), (CAT, 0, 0.76%, 0.0001400%), (PM, 0, 0.72%, 0.0000886%), (ABBV, 0, 0.71%, 0.0000751%), (HD, 0, 0.70%, 0.0000683%), (IBM, 0, 0.69%, 0.0000910%), (BKNG, 0, 0.69%, 0.0001303%), (KO, 0, 0.69%, 0.0000799%), (BA, 0, 0.67%, 0.0001335%), (BAC, 0, 0.65%, 0.0000664%), (CRM, 0, 0.65%, 0.0000923%), (SO, 0, 0.64%, 0.0002196%), (ISRG, 0, 0.63%, 0.0001202%), (NKE, 0, 0.61%, 0.0002470%), (AMD, 0, 0.61%, 0.0000849%), (HON, 0, 0.60%, 0.0001391%), (UBER, 0, 0.58%, 0.0001048%), (DUK, 0, 0.57%, 0.0002193%), (GS, 0, 0.57%, 0.0000937%), (ETN, 0, 0.56%, 0.0001379%), (WFC, 0, 0.56%, 0.0000766%), (INTU, 0, 0.55%, 0.0000925%), (MET, 0, 0.54%, 0.0003677%), (NOW, 0, 0.51%, 0.0000909%), (DE, 0, 0.50%, 0.0001276%), (TXN, 0, 0.49%, 0.0000852%), (PEP, 0, 0.47%, 0.0000890%), (ACN, 0, 0.46%, 0.0000923%), (T, 0, 0.45%, 0.0003814%), (MS, 0, 0.45%, 0.0000695%), (MRK, 0, 0.45%, 0.0000760%), (AXP, 0, 0.44%, 0.0000723%), (SPGI, 0, 0.43%, 0.0000938%), (ADBE, 0, 0.42%, 0.0000968%), (QCOM, 0, 0.42%, 0.0000874%), (UNP, 0, 0.42%, 0.0001060%), (VZ, 0, 0.41%, 0.0000815%), (DIS, 0, 0.40%, 0.0000651%), (AMAT, 0, 0.40%, 0.0000879%), (COP, 0, 0.39%, 0.0001183%), (MDT, 0, 0.39%, 0.0001195%), (BLK, 0, 0.39%, 0.0000840%), (LMT, 0, 0.39%, 0.0001236%), (SBUX, 0, 0.38%, 0.0001250%), (C, 0, 0.36%, 0.0000757%), (SCHW, 0, 0.35%, 0.0000736%), (TMO, 0, 0.35%, 0.0000764%), (AMGN, 0, 0.34%, 0.0000750%), (MMM, 0, 0.33%, 0.0001391%), (EMR, 0, 0.31%, 0.0001375%), (PFE, 0, 0.30%, 0.0000748%), (GILD, 0, 0.29%, 0.0000754%), (CVS, 0, 0.28%, 0.0001185%), (TJX, 0, 0.27%, 0.0000694%), (DHR, 0, 0.27%, 0.0000684%), (ELV, 0, 0.27%, 0.0001246%), (MO, 0, 0.25%, 0.0000895%), (CMCSA, 0, 0.25%, 0.0000679%), (INTC, 0, 0.24%, 0.0000787%), (LOW, 0, 0.24%, 0.0000692%), (MDLZ, 0, 0.23%, 0.0000919%), (UPS, 0, 0.22%, 0.0001031%), (BMY, 0, 0.20%, 0.0000748%), (PYPL, 0, 0.19%, 0.0000958%), (CL, 0, 0.17%, 0.0000819%), (FDX, 0, 0.15%, 0.0000987%), (USB, 0, 0.15%, 0.0000739%), (TGT, 0, 0.09%, 0.0000702%), (nan, 0, -0.00%, 0.0000000%), (nan, 0, -0.01%, 0.0000000%)</t>
  </si>
  <si>
    <t>MSFT, EBAY, META, BK, AMAT, BKNG, JPM, EWBC, UNM, MLI, GOOGLE, BLK</t>
  </si>
  <si>
    <t>(AXP, 0, 1.90%, 0.0004869%), (RJF, 0, 1.89%, 0.0033318%), (V, 0, 1.88%, 0.0001750%), (EA, 0, 1.79%, 0.0026583%), (KLAC, 0, 1.79%, 0.0008007%), (HIG, 0, 1.73%, 0.0028570%), (NVDA, 0, 1.73%, 0.0000229%), (TRV, 0, 1.73%, 0.0016959%), (ADP, 0, 1.72%, 0.0007853%), (SNA, 0, 1.69%, 0.0056992%), (CB, 0, 1.68%, 0.0008522%), (PHM, 0, 1.66%, 0.0043280%), (PCAR, 0, 1.63%, 0.0017902%), (CTSH, 0, 1.63%, 0.0024896%), (CRM, 0, 1.60%, 0.0003578%), (SYF, 0, 1.55%, 0.0034470%), (ROST, 0, 1.54%, 0.0020367%), (PAYC, 0, 1.47%, 0.0062840%), (ACN, 0, 1.42%, 0.0004548%), (ELV, 0, 1.39%, 0.0010246%), (LEN, 0, 1.38%, 0.0031358%), (QCOM, 0, 1.35%, 0.0004445%), (BKR, 0, 1.25%, 0.0017920%), (WSM, 0, 1.25%, 0.0034518%), (AFL, 0, 1.20%, 0.0012281%), (ODFL, 0, 1.20%, 0.0019384%), (AAPL, 0, 1.18%, 0.0000210%), (LRCX, 0, 1.13%, 0.0004876%), (DHI, 0, 1.10%, 0.0015838%), (CSCO, 0, 1.09%, 0.0002250%), (GE, 0, 1.03%, 0.0002035%), (MPWR, 0, 0.99%, 0.0015848%), (CF, 0, 0.98%, 0.0034790%), (MTB, 0, 0.94%, 0.0017073%), (PNC, 0, 0.92%, 0.0006704%), (STT, 0, 0.92%, 0.0017650%), (AMP, 0, 0.91%, 0.0010333%), (COST, 0, 0.87%, 0.0001112%), (ABT, 0, 0.85%, 0.0002041%), (XOM, 0, 0.85%, 0.0000968%), (EOG, 0, 0.81%, 0.0006800%), (CSL, 0, 0.80%, 0.0026468%), (EG, 0, 0.75%, 0.0029738%), (NTRS, 0, 0.51%, 0.0012104%), (GEV, 0, 0.51%, 0.0001854%), (CRBG, 0, 0.49%, 0.0014597%), (MA, 0, 0.48%, 0.0000535%), (DOV, 0, 0.46%, 0.0009756%), (ACM, 0, 0.45%, 0.0016346%), (SLM, 0, 0.44%, 0.0036190%), (JNJ, 0, 0.43%, 0.0000636%), (WTFC, 0, 0.43%, 0.0027542%), (MCK, 0, 0.43%, 0.0002661%), (CINF, 0, 0.42%, 0.0010204%), (EQH, 0, 0.42%, 0.0014813%), (MTG, 0, 0.41%, 0.0040194%), (JXN, 0, 0.40%, 0.0037085%), (ALL, 0, 0.40%, 0.0004300%), (NUE, 0, 0.39%, 0.0006666%), (LNC, 0, 0.38%, 0.0032953%), (ADM, 0, 0.37%, 0.0007932%), (PGR, 0, 0.37%, 0.0001424%), (NKE, 0, 0.37%, 0.0002346%), (FANG, 0, 0.30%, 0.0004114%)</t>
  </si>
  <si>
    <t>(AVGO, 0, 2.89%, 0.0000887%), (META, 0, 2.61%, 0.0000683%), (BRK/B, 0, 2.01%, 0.0001256%), (CSCO, 0, 1.75%, 0.0002658%), (LIN, 0, 1.69%, 0.0003185%), (AMT, 0, 1.63%, 0.0006442%), (JPM, 0, 1.55%, 0.0000797%), (TSLA, 0, 1.53%, 0.0000599%), (XOM, 0, 1.48%, 0.0001244%), (V, 0, 1.40%, 0.0000961%), (LLY, 0, 1.19%, 0.0000661%), (CB, 0, 1.14%, 0.0004231%), (MA, 0, 1.05%, 0.0000868%), (WM, 0, 1.04%, 0.0004629%), (GE, 0, 1.01%, 0.0001471%), (ORCL, 0, 0.90%, 0.0000548%), (NFLX, 0, 0.90%, 0.0000689%), (NEE, 0, 0.88%, 0.0002300%), (UNH, 0, 0.84%, 0.0001283%), (COST, 0, 0.77%, 0.0000731%), (PG, 0, 0.76%, 0.0000860%), (CVX, 0, 0.75%, 0.0000985%), (WMT, 0, 0.75%, 0.0000399%), (JNJ, 0, 0.73%, 0.0000792%), (PLTR, 0, 0.72%, 0.0000875%), (ABT, 0, 0.71%, 0.0001259%), (MCD, 0, 0.70%, 0.0001330%), (RTX, 0, 0.70%, 0.0001424%), (CAT, 0, 0.69%, 0.0001477%), (PM, 0, 0.65%, 0.0000935%), (ABBV, 0, 0.65%, 0.0000793%), (HD, 0, 0.64%, 0.0000721%), (IBM, 0, 0.63%, 0.0000961%), (KO, 0, 0.62%, 0.0000844%), (BKNG, 0, 0.62%, 0.0001365%), (BA, 0, 0.61%, 0.0001410%), (BAC, 0, 0.59%, 0.0000702%), (CRM, 0, 0.59%, 0.0000976%), (SO, 0, 0.58%, 0.0002320%), (ISRG, 0, 0.57%, 0.0001269%), (AMD, 0, 0.55%, 0.0000897%), (NKE, 0, 0.55%, 0.0002609%), (HON, 0, 0.54%, 0.0001470%), (UBER, 0, 0.53%, 0.0001107%), (DUK, 0, 0.52%, 0.0002315%), (GS, 0, 0.51%, 0.0000987%), (ETN, 0, 0.51%, 0.0001456%), (WFC, 0, 0.51%, 0.0000809%), (INTU, 0, 0.50%, 0.0000976%), (MET, 0, 0.49%, 0.0003884%), (NOW, 0, 0.47%, 0.0000962%), (DE, 0, 0.45%, 0.0001350%), (TXN, 0, 0.44%, 0.0000900%), (PEP, 0, 0.42%, 0.0000940%), (ACN, 0, 0.41%, 0.0000975%), (T, 0, 0.41%, 0.0004028%), (MS, 0, 0.41%, 0.0000734%), (MRK, 0, 0.40%, 0.0000803%), (AXP, 0, 0.40%, 0.0000762%), (SPGI, 0, 0.39%, 0.0000991%), (ADBE, 0, 0.38%, 0.0001022%), (UNP, 0, 0.38%, 0.0001121%), (QCOM, 0, 0.38%, 0.0000923%), (VZ, 0, 0.37%, 0.0000860%), (DIS, 0, 0.36%, 0.0000687%), (AMAT, 0, 0.36%, 0.0000928%), (COP, 0, 0.36%, 0.0001250%), (MDT, 0, 0.36%, 0.0001262%), (BLK, 0, 0.35%, 0.0000885%), (LMT, 0, 0.35%, 0.0001309%), (SBUX, 0, 0.34%, 0.0001320%), (C, 0, 0.33%, 0.0000800%), (SCHW, 0, 0.32%, 0.0000778%), (TMO, 0, 0.31%, 0.0000806%), (AMGN, 0, 0.31%, 0.0000791%), (MMM, 0, 0.30%, 0.0001470%), (EMR, 0, 0.28%, 0.0001453%), (PFE, 0, 0.27%, 0.0000790%), (GILD, 0, 0.27%, 0.0000795%), (CVS, 0, 0.25%, 0.0001252%), (TJX, 0, 0.25%, 0.0000732%), (DHR, 0, 0.24%, 0.0000722%), (ELV, 0, 0.24%, 0.0001318%), (MO, 0, 0.23%, 0.0000946%), (CMCSA, 0, 0.22%, 0.0000717%), (INTC, 0, 0.22%, 0.0000831%), (LOW, 0, 0.22%, 0.0000731%), (MDLZ, 0, 0.21%, 0.0000971%), (UPS, 0, 0.20%, 0.0001090%), (BMY, 0, 0.18%, 0.0000790%), (PYPL, 0, 0.17%, 0.0001012%), (CL, 0, 0.15%, 0.0000865%), (FDX, 0, 0.14%, 0.0001043%), (USB, 0, 0.14%, 0.0000780%), (TGT, 0, 0.09%, 0.0000742%), (nan, 0, -0.00%, 0.0000000%), (nan, 0, -0.01%, 0.0000000%)</t>
  </si>
  <si>
    <t>(GOOGLE, 0, 3.43%, 0.0001318%), (AVGO, 0, 3.04%, 0.0001813%), (META, 0, 2.74%, 0.0001397%), (BRK/B, 0, 2.11%, 0.0002567%), (CSCO, 0, 1.83%, 0.0005436%), (LIN, 0, 1.78%, 0.0006510%), (AMT, 0, 1.71%, 0.0013175%), (JPM, 0, 1.63%, 0.0001630%), (TSLA, 0, 1.60%, 0.0001224%), (XOM, 0, 1.56%, 0.0002545%), (V, 0, 1.47%, 0.0001964%), (LLY, 0, 1.25%, 0.0001351%), (CB, 0, 1.19%, 0.0008649%), (MA, 0, 1.10%, 0.0001776%), (WM, 0, 1.09%, 0.0009465%), (GE, 0, 1.06%, 0.0003009%), (NFLX, 0, 0.95%, 0.0001407%), (ORCL, 0, 0.95%, 0.0001120%), (NEE, 0, 0.93%, 0.0004703%), (UNH, 0, 0.88%, 0.0002623%), (COST, 0, 0.81%, 0.0001496%), (PG, 0, 0.80%, 0.0001758%), (CVX, 0, 0.79%, 0.0002015%), (WMT, 0, 0.79%, 0.0000815%), (JNJ, 0, 0.77%, 0.0001620%), (PLTR, 0, 0.76%, 0.0001790%), (ABT, 0, 0.75%, 0.0002575%), (MCD, 0, 0.74%, 0.0002720%), (RTX, 0, 0.73%, 0.0002911%), (CAT, 0, 0.73%, 0.0003023%), (PM, 0, 0.68%, 0.0001913%), (ABBV, 0, 0.68%, 0.0001622%), (HD, 0, 0.67%, 0.0001475%), (IBM, 0, 0.66%, 0.0001965%), (KO, 0, 0.65%, 0.0001727%), (BKNG, 0, 0.65%, 0.0002792%), (BA, 0, 0.64%, 0.0002884%), (BAC, 0, 0.62%, 0.0001435%), (CRM, 0, 0.62%, 0.0001995%), (SO, 0, 0.61%, 0.0004744%), (ISRG, 0, 0.60%, 0.0002595%), (NKE, 0, 0.58%, 0.0005335%), (AMD, 0, 0.58%, 0.0001833%), (HON, 0, 0.57%, 0.0003004%), (UBER, 0, 0.55%, 0.0002264%), (DUK, 0, 0.55%, 0.0004735%), (GS, 0, 0.54%, 0.0002020%), (ETN, 0, 0.53%, 0.0002977%), (WFC, 0, 0.53%, 0.0001654%), (INTU, 0, 0.53%, 0.0001998%), (MET, 0, 0.51%, 0.0007941%), (NOW, 0, 0.49%, 0.0001966%), (DE, 0, 0.48%, 0.0002760%), (TXN, 0, 0.46%, 0.0001841%), (PEP, 0, 0.45%, 0.0001922%), (ACN, 0, 0.44%, 0.0001992%), (T, 0, 0.43%, 0.0008238%), (MS, 0, 0.43%, 0.0001500%), (MRK, 0, 0.42%, 0.0001642%), (AXP, 0, 0.42%, 0.0001561%), (SPGI, 0, 0.41%, 0.0002024%), (ADBE, 0, 0.40%, 0.0002090%), (UNP, 0, 0.40%, 0.0002293%), (QCOM, 0, 0.40%, 0.0001888%), (VZ, 0, 0.39%, 0.0001760%), (DIS, 0, 0.38%, 0.0001406%), (AMAT, 0, 0.38%, 0.0001898%), (COP, 0, 0.38%, 0.0002557%), (MDT, 0, 0.38%, 0.0002581%), (BLK, 0, 0.37%, 0.0001815%), (LMT, 0, 0.37%, 0.0002675%), (SBUX, 0, 0.36%, 0.0002701%), (C, 0, 0.34%, 0.0001636%), (SCHW, 0, 0.33%, 0.0001590%), (TMO, 0, 0.33%, 0.0001650%), (AMGN, 0, 0.32%, 0.0001620%), (MMM, 0, 0.32%, 0.0003006%), (EMR, 0, 0.30%, 0.0002971%), (PFE, 0, 0.29%, 0.0001616%), (GILD, 0, 0.28%, 0.0001627%), (CVS, 0, 0.26%, 0.0002559%), (TJX, 0, 0.26%, 0.0001498%), (DHR, 0, 0.26%, 0.0001475%), (ELV, 0, 0.25%, 0.0002695%), (MO, 0, 0.24%, 0.0001934%), (CMCSA, 0, 0.23%, 0.0001466%), (INTC, 0, 0.23%, 0.0001700%), (LOW, 0, 0.23%, 0.0001496%), (MDLZ, 0, 0.22%, 0.0001985%), (UPS, 0, 0.21%, 0.0002228%), (BMY, 0, 0.19%, 0.0001615%), (PYPL, 0, 0.18%, 0.0002069%), (CL, 0, 0.16%, 0.0001768%), (FDX, 0, 0.15%, 0.0002136%), (USB, 0, 0.14%, 0.0001596%), (TGT, 0, 0.09%, 0.0001518%), (nan, 0, -0.00%, 0.0000000%), (nan, 0, -0.01%, 0.0000000%)</t>
  </si>
  <si>
    <t>(GOOGLE, 0, 3.47%, 0.0002310%), (AVGO, 0, 3.05%, 0.0003178%), (META, 0, 2.73%, 0.0002448%), (BRK/B, 0, 2.13%, 0.0004499%), (CSCO, 0, 1.85%, 0.0009525%), (LIN, 0, 1.79%, 0.0011410%), (AMT, 0, 1.75%, 0.0023087%), (TSLA, 0, 1.66%, 0.0002145%), (JPM, 0, 1.64%, 0.0002856%), (XOM, 0, 1.56%, 0.0004459%), (V, 0, 1.49%, 0.0003442%), (LLY, 0, 1.29%, 0.0002368%), (CB, 0, 1.21%, 0.0015157%), (MA, 0, 1.12%, 0.0003111%), (WM, 0, 1.10%, 0.0016586%), (GE, 0, 1.06%, 0.0005273%), (ORCL, 0, 0.97%, 0.0001963%), (NFLX, 0, 0.94%, 0.0002466%), (NEE, 0, 0.93%, 0.0008242%), (UNH, 0, 0.89%, 0.0004596%), (JNJ, 0, 0.81%, 0.0002839%), (PG, 0, 0.81%, 0.0003080%), (COST, 0, 0.81%, 0.0002622%), (CVX, 0, 0.79%, 0.0003530%), (WMT, 0, 0.79%, 0.0001428%), (PLTR, 0, 0.77%, 0.0003138%), (ABT, 0, 0.75%, 0.0004513%), (RTX, 0, 0.74%, 0.0005102%), (CAT, 0, 0.74%, 0.0005296%), (MCD, 0, 0.74%, 0.0004766%), (ABBV, 0, 0.70%, 0.0002842%), (PM, 0, 0.69%, 0.0003353%), (HD, 0, 0.67%, 0.0002585%), (IBM, 0, 0.66%, 0.0003444%), (KO, 0, 0.66%, 0.0003025%), (BKNG, 0, 0.65%, 0.0004871%), (BA, 0, 0.64%, 0.0005055%), (BAC, 0, 0.62%, 0.0002514%), (CRM, 0, 0.62%, 0.0003496%), (SO, 0, 0.62%, 0.0008312%), (ISRG, 0, 0.60%, 0.0004544%), (AMD, 0, 0.59%, 0.0003213%), (NKE, 0, 0.58%, 0.0009348%), (HON, 0, 0.58%, 0.0005264%), (DUK, 0, 0.55%, 0.0008298%), (UBER, 0, 0.55%, 0.0003968%), (GS, 0, 0.55%, 0.0003541%), (WFC, 0, 0.54%, 0.0002899%), (ETN, 0, 0.54%, 0.0005217%), (INTU, 0, 0.53%, 0.0003501%), (MET, 0, 0.52%, 0.0013917%), (NOW, 0, 0.50%, 0.0003447%), (DE, 0, 0.48%, 0.0004839%), (TXN, 0, 0.46%, 0.0003226%), (PEP, 0, 0.45%, 0.0003368%), (ACN, 0, 0.44%, 0.0003492%), (T, 0, 0.43%, 0.0014435%), (MRK, 0, 0.43%, 0.0002877%), (MS, 0, 0.43%, 0.0002629%), (AXP, 0, 0.43%, 0.0002734%), (SPGI, 0, 0.41%, 0.0003547%), (ADBE, 0, 0.40%, 0.0003660%), (UNP, 0, 0.40%, 0.0004016%), (QCOM, 0, 0.40%, 0.0003309%), (VZ, 0, 0.39%, 0.0003083%), (BLK, 0, 0.39%, 0.0003184%), (DIS, 0, 0.39%, 0.0002463%), (MDT, 0, 0.38%, 0.0004523%), (AMAT, 0, 0.38%, 0.0003325%), (COP, 0, 0.37%, 0.0004480%), (LMT, 0, 0.37%, 0.0004685%), (SBUX, 0, 0.36%, 0.0004732%), (C, 0, 0.34%, 0.0002865%), (SCHW, 0, 0.33%, 0.0002786%), (AMGN, 0, 0.33%, 0.0002836%), (TMO, 0, 0.33%, 0.0002893%), (MMM, 0, 0.32%, 0.0005267%), (EMR, 0, 0.30%, 0.0005206%), (PFE, 0, 0.29%, 0.0002832%), (GILD, 0, 0.28%, 0.0002851%), (CVS, 0, 0.26%, 0.0004485%), (ELV, 0, 0.26%, 0.0004720%), (TJX, 0, 0.26%, 0.0002625%), (DHR, 0, 0.26%, 0.0002585%), (MO, 0, 0.24%, 0.0003389%), (CMCSA, 0, 0.23%, 0.0002568%), (LOW, 0, 0.23%, 0.0002621%), (INTC, 0, 0.23%, 0.0002979%), (MDLZ, 0, 0.22%, 0.0003478%), (UPS, 0, 0.21%, 0.0003905%), (BMY, 0, 0.20%, 0.0002830%), (PYPL, 0, 0.18%, 0.0003625%), (CL, 0, 0.16%, 0.0003098%), (FDX, 0, 0.15%, 0.0003742%), (USB, 0, 0.14%, 0.0002796%), (TGT, 0, 0.09%, 0.0002658%), (nan, 0, -0.01%, 0.0000000%), (nan, 0, -0.01%, 0.0000000%)</t>
  </si>
  <si>
    <t>(GOOGLE, 0, 3.45%, 0.0001720%), (AVGO, 0, 3.04%, 0.0002366%), (META, 0, 2.72%, 0.0001823%), (BRK/B, 0, 2.12%, 0.0003350%), (CSCO, 0, 1.84%, 0.0007094%), (LIN, 0, 1.78%, 0.0008498%), (AMT, 0, 1.75%, 0.0017193%), (TSLA, 0, 1.65%, 0.0001597%), (JPM, 0, 1.63%, 0.0002127%), (XOM, 0, 1.55%, 0.0003320%), (V, 0, 1.48%, 0.0002563%), (LLY, 0, 1.28%, 0.0001763%), (CB, 0, 1.20%, 0.0011287%), (MA, 0, 1.11%, 0.0002317%), (WM, 0, 1.10%, 0.0012351%), (GE, 0, 1.06%, 0.0003927%), (ORCL, 0, 0.97%, 0.0001462%), (NFLX, 0, 0.94%, 0.0001836%), (NEE, 0, 0.93%, 0.0006137%), (UNH, 0, 0.88%, 0.0003423%), (JNJ, 0, 0.81%, 0.0002114%), (PG, 0, 0.80%, 0.0002294%), (COST, 0, 0.80%, 0.0001954%), (CVX, 0, 0.79%, 0.0002629%), (WMT, 0, 0.78%, 0.0001064%), (PLTR, 0, 0.77%, 0.0002337%), (ABT, 0, 0.75%, 0.0003361%), (RTX, 0, 0.74%, 0.0003799%), (CAT, 0, 0.74%, 0.0003945%), (MCD, 0, 0.74%, 0.0003550%), (ABBV, 0, 0.69%, 0.0002117%), (PM, 0, 0.69%, 0.0002497%), (HD, 0, 0.67%, 0.0001925%), (IBM, 0, 0.66%, 0.0002564%), (KO, 0, 0.65%, 0.0002253%), (BKNG, 0, 0.65%, 0.0003630%), (BA, 0, 0.64%, 0.0003764%), (BAC, 0, 0.62%, 0.0001872%), (CRM, 0, 0.62%, 0.0002603%), (SO, 0, 0.62%, 0.0006190%), (ISRG, 0, 0.60%, 0.0003385%), (AMD, 0, 0.59%, 0.0002393%), (NKE, 0, 0.58%, 0.0006961%), (HON, 0, 0.57%, 0.0003919%), (DUK, 0, 0.55%, 0.0006179%), (GS, 0, 0.54%, 0.0002637%), (UBER, 0, 0.54%, 0.0002955%), (WFC, 0, 0.54%, 0.0002159%), (ETN, 0, 0.53%, 0.0003884%), (INTU, 0, 0.53%, 0.0002608%), (MET, 0, 0.51%, 0.0010364%), (NOW, 0, 0.50%, 0.0002567%), (DE, 0, 0.48%, 0.0003603%), (TXN, 0, 0.46%, 0.0002403%), (PEP, 0, 0.45%, 0.0002509%), (ACN, 0, 0.44%, 0.0002601%), (T, 0, 0.43%, 0.0010750%), (MRK, 0, 0.43%, 0.0002143%), (MS, 0, 0.43%, 0.0001958%), (AXP, 0, 0.42%, 0.0002035%), (SPGI, 0, 0.41%, 0.0002642%), (ADBE, 0, 0.40%, 0.0002726%), (UNP, 0, 0.40%, 0.0002991%), (QCOM, 0, 0.40%, 0.0002463%), (VZ, 0, 0.39%, 0.0002296%), (BLK, 0, 0.39%, 0.0002370%), (DIS, 0, 0.38%, 0.0001834%), (MDT, 0, 0.38%, 0.0003369%), (AMAT, 0, 0.37%, 0.0002477%), (COP, 0, 0.37%, 0.0003336%), (LMT, 0, 0.37%, 0.0003488%), (SBUX, 0, 0.36%, 0.0003524%), (C, 0, 0.34%, 0.0002134%), (SCHW, 0, 0.33%, 0.0002075%), (AMGN, 0, 0.33%, 0.0002112%), (TMO, 0, 0.33%, 0.0002153%), (MMM, 0, 0.32%, 0.0003923%), (EMR, 0, 0.30%, 0.0003877%), (PFE, 0, 0.29%, 0.0002109%), (GILD, 0, 0.28%, 0.0002123%), (CVS, 0, 0.26%, 0.0003340%), (ELV, 0, 0.26%, 0.0003514%), (TJX, 0, 0.26%, 0.0001955%), (DHR, 0, 0.26%, 0.0001925%), (MO, 0, 0.24%, 0.0002523%), (CMCSA, 0, 0.23%, 0.0001913%), (LOW, 0, 0.23%, 0.0001951%), (INTC, 0, 0.23%, 0.0002219%), (MDLZ, 0, 0.22%, 0.0002591%), (UPS, 0, 0.21%, 0.0002907%), (BMY, 0, 0.20%, 0.0002108%), (PYPL, 0, 0.18%, 0.0002700%), (CL, 0, 0.16%, 0.0002306%), (FDX, 0, 0.15%, 0.0002789%), (USB, 0, 0.14%, 0.0002083%), (TGT, 0, 0.09%, 0.0001981%), (nan, 0, -0.01%, 0.0000000%), (nan, 0, -0.01%, 0.0000000%)</t>
  </si>
  <si>
    <t>(GOOGLE, 0, 3.49%, 0.0000403%), (AVGO, 0, 3.07%, 0.0000555%), (META, 0, 2.75%, 0.0000427%), (BRK/B, 0, 2.14%, 0.0000786%), (CSCO, 0, 1.86%, 0.0001663%), (LIN, 0, 1.80%, 0.0001992%), (AMT, 0, 1.76%, 0.0004031%), (TSLA, 0, 1.67%, 0.0000374%), (JPM, 0, 1.64%, 0.0000499%), (XOM, 0, 1.56%, 0.0000778%), (V, 0, 1.49%, 0.0000601%), (LLY, 0, 1.29%, 0.0000414%), (CB, 0, 1.21%, 0.0002645%), (MA, 0, 1.13%, 0.0000543%), (WM, 0, 1.11%, 0.0002894%), (GE, 0, 1.07%, 0.0000921%), (ORCL, 0, 0.98%, 0.0000343%), (NFLX, 0, 0.96%, 0.0000430%), (NEE, 0, 0.94%, 0.0001439%), (UNH, 0, 0.89%, 0.0000803%), (JNJ, 0, 0.82%, 0.0000496%), (PG, 0, 0.81%, 0.0000538%), (COST, 0, 0.81%, 0.0000458%), (CVX, 0, 0.79%, 0.0000616%), (WMT, 0, 0.79%, 0.0000249%), (PLTR, 0, 0.78%, 0.0000548%), (ABT, 0, 0.75%, 0.0000788%), (RTX, 0, 0.75%, 0.0000891%), (CAT, 0, 0.75%, 0.0000924%), (MCD, 0, 0.74%, 0.0000832%), (ABBV, 0, 0.70%, 0.0000496%), (PM, 0, 0.70%, 0.0000585%), (HD, 0, 0.67%, 0.0000451%), (IBM, 0, 0.66%, 0.0000601%), (KO, 0, 0.66%, 0.0000528%), (BA, 0, 0.65%, 0.0000883%), (BKNG, 0, 0.64%, 0.0000838%), (BAC, 0, 0.63%, 0.0000439%), (CRM, 0, 0.63%, 0.0000610%), (SO, 0, 0.62%, 0.0001451%), (ISRG, 0, 0.60%, 0.0000793%), (AMD, 0, 0.60%, 0.0000561%), (NKE, 0, 0.59%, 0.0001632%), (HON, 0, 0.58%, 0.0000918%), (DUK, 0, 0.56%, 0.0001449%), (UBER, 0, 0.55%, 0.0000692%), (GS, 0, 0.55%, 0.0000617%), (WFC, 0, 0.54%, 0.0000506%), (ETN, 0, 0.54%, 0.0000912%), (INTU, 0, 0.54%, 0.0000610%), (MET, 0, 0.52%, 0.0002430%), (NOW, 0, 0.51%, 0.0000601%), (DE, 0, 0.49%, 0.0000843%), (TXN, 0, 0.47%, 0.0000563%), (PEP, 0, 0.45%, 0.0000588%), (ACN, 0, 0.45%, 0.0000610%), (T, 0, 0.44%, 0.0002520%), (MRK, 0, 0.43%, 0.0000502%), (MS, 0, 0.43%, 0.0000459%), (AXP, 0, 0.43%, 0.0000478%), (SPGI, 0, 0.41%, 0.0000621%), (ADBE, 0, 0.41%, 0.0000640%), (UNP, 0, 0.40%, 0.0000701%), (QCOM, 0, 0.40%, 0.0000577%), (VZ, 0, 0.39%, 0.0000538%), (BLK, 0, 0.39%, 0.0000555%), (DIS, 0, 0.39%, 0.0000430%), (MDT, 0, 0.38%, 0.0000790%), (AMAT, 0, 0.38%, 0.0000580%), (COP, 0, 0.38%, 0.0000782%), (LMT, 0, 0.37%, 0.0000817%), (SBUX, 0, 0.36%, 0.0000826%), (C, 0, 0.34%, 0.0000500%), (SCHW, 0, 0.34%, 0.0000486%), (AMGN, 0, 0.33%, 0.0000496%), (TMO, 0, 0.33%, 0.0000506%), (MMM, 0, 0.32%, 0.0000921%), (EMR, 0, 0.30%, 0.0000910%), (PFE, 0, 0.29%, 0.0000494%), (GILD, 0, 0.28%, 0.0000498%), (CVS, 0, 0.27%, 0.0000783%), (TJX, 0, 0.26%, 0.0000458%), (DHR, 0, 0.26%, 0.0000452%), (ELV, 0, 0.26%, 0.0000823%), (MO, 0, 0.24%, 0.0000592%), (CMCSA, 0, 0.24%, 0.0000448%), (LOW, 0, 0.23%, 0.0000458%), (INTC, 0, 0.23%, 0.0000520%), (MDLZ, 0, 0.22%, 0.0000608%), (UPS, 0, 0.21%, 0.0000682%), (BMY, 0, 0.20%, 0.0000494%), (PYPL, 0, 0.18%, 0.0000633%), (CL, 0, 0.16%, 0.0000541%), (FDX, 0, 0.15%, 0.0000653%), (USB, 0, 0.15%, 0.0000488%), (TGT, 0, 0.09%, 0.0000464%), (nan, 0, -0.01%, 0.0000000%), (nan, 0, -0.01%, 0.0000000%)</t>
  </si>
  <si>
    <t>(GOOGLE, 0, 3.33%, 0.0000794%), (AVGO, 0, 2.93%, 0.0001093%), (META, 0, 2.62%, 0.0000842%), (BRK/B, 0, 2.05%, 0.0001547%), (CSCO, 0, 1.78%, 0.0003276%), (LIN, 0, 1.71%, 0.0003923%), (AMT, 0, 1.69%, 0.0007940%), (TSLA, 0, 1.60%, 0.0000738%), (JPM, 0, 1.57%, 0.0000982%), (XOM, 0, 1.49%, 0.0001533%), (V, 0, 1.43%, 0.0001184%), (LLY, 0, 1.23%, 0.0000814%), (CB, 0, 1.16%, 0.0005212%), (MA, 0, 1.08%, 0.0001070%), (WM, 0, 1.06%, 0.0005704%), (GE, 0, 1.03%, 0.0001814%), (ORCL, 0, 0.94%, 0.0000675%), (NFLX, 0, 0.91%, 0.0000847%), (NEE, 0, 0.90%, 0.0002834%), (UNH, 0, 0.85%, 0.0001581%), (JNJ, 0, 0.78%, 0.0000976%), (PG, 0, 0.77%, 0.0001059%), (COST, 0, 0.77%, 0.0000903%), (CVX, 0, 0.76%, 0.0001214%), (WMT, 0, 0.76%, 0.0000491%), (PLTR, 0, 0.74%, 0.0001079%), (ABT, 0, 0.72%, 0.0001552%), (RTX, 0, 0.72%, 0.0001754%), (CAT, 0, 0.71%, 0.0001821%), (MCD, 0, 0.71%, 0.0001638%), (ABBV, 0, 0.67%, 0.0000977%), (PM, 0, 0.67%, 0.0001153%), (HD, 0, 0.64%, 0.0000889%), (IBM, 0, 0.64%, 0.0001184%), (KO, 0, 0.63%, 0.0001040%), (BKNG, 0, 0.62%, 0.0001675%), (BA, 0, 0.62%, 0.0001738%), (BAC, 0, 0.60%, 0.0000864%), (CRM, 0, 0.60%, 0.0001202%), (SO, 0, 0.60%, 0.0002859%), (ISRG, 0, 0.58%, 0.0001563%), (AMD, 0, 0.57%, 0.0001105%), (NKE, 0, 0.56%, 0.0003214%), (HON, 0, 0.55%, 0.0001810%), (DUK, 0, 0.53%, 0.0002853%), (UBER, 0, 0.53%, 0.0001364%), (GS, 0, 0.53%, 0.0001217%), (WFC, 0, 0.52%, 0.0000997%), (ETN, 0, 0.51%, 0.0001793%), (INTU, 0, 0.51%, 0.0001205%), (MET, 0, 0.50%, 0.0004785%), (NOW, 0, 0.48%, 0.0001188%), (DE, 0, 0.46%, 0.0001665%), (TXN, 0, 0.44%, 0.0001109%), (PEP, 0, 0.43%, 0.0001158%), (ACN, 0, 0.43%, 0.0001201%), (T, 0, 0.42%, 0.0004964%), (MRK, 0, 0.41%, 0.0000989%), (MS, 0, 0.41%, 0.0000904%), (AXP, 0, 0.41%, 0.0000939%), (SPGI, 0, 0.39%, 0.0001219%), (ADBE, 0, 0.39%, 0.0001259%), (UNP, 0, 0.39%, 0.0001381%), (QCOM, 0, 0.38%, 0.0001137%), (VZ, 0, 0.38%, 0.0001060%), (BLK, 0, 0.37%, 0.0001091%), (DIS, 0, 0.37%, 0.0000847%), (MDT, 0, 0.36%, 0.0001555%), (AMAT, 0, 0.36%, 0.0001144%), (COP, 0, 0.36%, 0.0001541%), (LMT, 0, 0.36%, 0.0001612%), (SBUX, 0, 0.35%, 0.0001628%), (C, 0, 0.33%, 0.0000985%), (SCHW, 0, 0.32%, 0.0000958%), (AMGN, 0, 0.32%, 0.0000975%), (TMO, 0, 0.32%, 0.0000995%), (MMM, 0, 0.31%, 0.0001811%), (EMR, 0, 0.29%, 0.0001791%), (PFE, 0, 0.28%, 0.0000974%), (GILD, 0, 0.27%, 0.0000981%), (CVS, 0, 0.25%, 0.0001542%), (ELV, 0, 0.25%, 0.0001624%), (TJX, 0, 0.25%, 0.0000903%), (DHR, 0, 0.25%, 0.0000889%), (MO, 0, 0.23%, 0.0001165%), (CMCSA, 0, 0.22%, 0.0000883%), (LOW, 0, 0.22%, 0.0000900%), (INTC, 0, 0.22%, 0.0001024%), (MDLZ, 0, 0.21%, 0.0001196%), (UPS, 0, 0.20%, 0.0001342%), (BMY, 0, 0.19%, 0.0000973%), (PYPL, 0, 0.17%, 0.0001246%), (CL, 0, 0.15%, 0.0001066%), (FDX, 0, 0.14%, 0.0001288%), (USB, 0, 0.14%, 0.0000961%), (TGT, 0, 0.09%, 0.0000915%), (nan, 0, -0.00%, 0.0000000%), (nan, 0, -0.01%, 0.0000000%)</t>
  </si>
  <si>
    <t>(GOOGLE, 0, 3.39%, 0.0000255%), (AVGO, 0, 2.99%, 0.0000350%), (META, 0, 2.68%, 0.0000270%), (BRK/B, 0, 2.09%, 0.0000496%), (CSCO, 0, 1.81%, 0.0001051%), (LIN, 0, 1.75%, 0.0001259%), (AMT, 0, 1.72%, 0.0002546%), (TSLA, 0, 1.63%, 0.0000237%), (JPM, 0, 1.60%, 0.0000315%), (XOM, 0, 1.52%, 0.0000492%), (V, 0, 1.46%, 0.0000380%), (LLY, 0, 1.26%, 0.0000261%), (CB, 0, 1.18%, 0.0001672%), (MA, 0, 1.10%, 0.0000343%), (WM, 0, 1.08%, 0.0001829%), (GE, 0, 1.05%, 0.0000581%), (ORCL, 0, 0.96%, 0.0000216%), (NFLX, 0, 0.93%, 0.0000271%), (NEE, 0, 0.91%, 0.0000909%), (UNH, 0, 0.87%, 0.0000507%), (JNJ, 0, 0.79%, 0.0000313%), (PG, 0, 0.79%, 0.0000340%), (COST, 0, 0.79%, 0.0000289%), (CVX, 0, 0.77%, 0.0000389%), (WMT, 0, 0.77%, 0.0000158%), (PLTR, 0, 0.76%, 0.0000346%), (ABT, 0, 0.74%, 0.0000498%), (RTX, 0, 0.73%, 0.0000562%), (CAT, 0, 0.73%, 0.0000585%), (MCD, 0, 0.72%, 0.0000526%), (ABBV, 0, 0.68%, 0.0000314%), (PM, 0, 0.68%, 0.0000370%), (HD, 0, 0.66%, 0.0000285%), (IBM, 0, 0.65%, 0.0000380%), (KO, 0, 0.64%, 0.0000334%), (BA, 0, 0.63%, 0.0000558%), (BKNG, 0, 0.62%, 0.0000527%), (BAC, 0, 0.61%, 0.0000277%), (CRM, 0, 0.61%, 0.0000386%), (SO, 0, 0.61%, 0.0000917%), (ISRG, 0, 0.59%, 0.0000502%), (AMD, 0, 0.59%, 0.0000354%), (NKE, 0, 0.57%, 0.0001031%), (HON, 0, 0.56%, 0.0000581%), (DUK, 0, 0.54%, 0.0000915%), (GS, 0, 0.54%, 0.0000390%), (UBER, 0, 0.54%, 0.0000438%), (WFC, 0, 0.53%, 0.0000320%), (INTU, 0, 0.52%, 0.0000387%), (ETN, 0, 0.52%, 0.0000575%), (MET, 0, 0.51%, 0.0001535%), (NOW, 0, 0.49%, 0.0000380%), (DE, 0, 0.47%, 0.0000533%), (TXN, 0, 0.45%, 0.0000355%), (PEP, 0, 0.44%, 0.0000372%), (ACN, 0, 0.43%, 0.0000385%), (T, 0, 0.43%, 0.0001592%), (MRK, 0, 0.42%, 0.0000317%), (MS, 0, 0.42%, 0.0000290%), (AXP, 0, 0.42%, 0.0000302%), (SPGI, 0, 0.40%, 0.0000390%), (ADBE, 0, 0.40%, 0.0000404%), (UNP, 0, 0.39%, 0.0000443%), (QCOM, 0, 0.39%, 0.0000365%), (VZ, 0, 0.38%, 0.0000340%), (BLK, 0, 0.38%, 0.0000349%), (DIS, 0, 0.38%, 0.0000271%), (MDT, 0, 0.37%, 0.0000499%), (AMAT, 0, 0.37%, 0.0000367%), (LMT, 0, 0.37%, 0.0000519%), (COP, 0, 0.37%, 0.0000494%), (SBUX, 0, 0.36%, 0.0000522%), (C, 0, 0.34%, 0.0000316%), (SCHW, 0, 0.33%, 0.0000307%), (AMGN, 0, 0.33%, 0.0000312%), (TMO, 0, 0.32%, 0.0000319%), (MMM, 0, 0.31%, 0.0000582%), (EMR, 0, 0.29%, 0.0000574%), (PFE, 0, 0.28%, 0.0000312%), (GILD, 0, 0.28%, 0.0000315%), (CVS, 0, 0.26%, 0.0000495%), (ELV, 0, 0.26%, 0.0000522%), (TJX, 0, 0.25%, 0.0000289%), (DHR, 0, 0.25%, 0.0000285%), (MO, 0, 0.24%, 0.0000374%), (CMCSA, 0, 0.23%, 0.0000283%), (LOW, 0, 0.23%, 0.0000289%), (INTC, 0, 0.22%, 0.0000328%), (MDLZ, 0, 0.22%, 0.0000384%), (UPS, 0, 0.20%, 0.0000431%), (BMY, 0, 0.19%, 0.0000312%), (PYPL, 0, 0.18%, 0.0000400%), (CL, 0, 0.16%, 0.0000341%), (FDX, 0, 0.14%, 0.0000411%), (USB, 0, 0.14%, 0.0000308%), (TGT, 0, 0.09%, 0.0000293%), (nan, 0, -0.00%, 0.0000000%), (nan, 0, -0.01%, 0.0000000%)</t>
  </si>
  <si>
    <t>(GOOGLE, 0, 3.62%, 0.0000613%), (AVGO, 0, 3.19%, 0.0000843%), (META, 0, 2.85%, 0.0000649%), (BRK/B, 0, 2.23%, 0.0001193%), (CSCO, 0, 1.93%, 0.0002527%), (LIN, 0, 1.86%, 0.0003026%), (AMT, 0, 1.83%, 0.0006124%), (TSLA, 0, 1.73%, 0.0000569%), (JPM, 0, 1.71%, 0.0000758%), (XOM, 0, 1.62%, 0.0001183%), (V, 0, 1.55%, 0.0000913%), (LLY, 0, 1.34%, 0.0000628%), (CB, 0, 1.26%, 0.0004020%), (MA, 0, 1.17%, 0.0000826%), (WM, 0, 1.15%, 0.0004401%), (GE, 0, 1.11%, 0.0001398%), (ORCL, 0, 1.01%, 0.0000521%), (NFLX, 0, 0.98%, 0.0000654%), (NEE, 0, 0.97%, 0.0002186%), (UNH, 0, 0.93%, 0.0001220%), (JNJ, 0, 0.85%, 0.0000753%), (PG, 0, 0.84%, 0.0000817%), (COST, 0, 0.84%, 0.0000695%), (CVX, 0, 0.82%, 0.0000937%), (WMT, 0, 0.82%, 0.0000379%), (PLTR, 0, 0.81%, 0.0000832%), (ABT, 0, 0.78%, 0.0001197%), (RTX, 0, 0.78%, 0.0001354%), (CAT, 0, 0.78%, 0.0001405%), (MCD, 0, 0.77%, 0.0001264%), (ABBV, 0, 0.73%, 0.0000754%), (PM, 0, 0.72%, 0.0000890%), (HD, 0, 0.70%, 0.0000686%), (IBM, 0, 0.69%, 0.0000914%), (KO, 0, 0.69%, 0.0000802%), (BKNG, 0, 0.68%, 0.0001303%), (BA, 0, 0.67%, 0.0001341%), (CRM, 0, 0.65%, 0.0000928%), (BAC, 0, 0.65%, 0.0000667%), (SO, 0, 0.65%, 0.0002205%), (ISRG, 0, 0.63%, 0.0001205%), (AMD, 0, 0.62%, 0.0000852%), (NKE, 0, 0.61%, 0.0002480%), (HON, 0, 0.60%, 0.0001396%), (DUK, 0, 0.58%, 0.0002201%), (UBER, 0, 0.57%, 0.0001053%), (GS, 0, 0.57%, 0.0000940%), (WFC, 0, 0.57%, 0.0000769%), (ETN, 0, 0.56%, 0.0001385%), (INTU, 0, 0.56%, 0.0000929%), (MET, 0, 0.54%, 0.0003692%), (NOW, 0, 0.52%, 0.0000913%), (DE, 0, 0.51%, 0.0001284%), (TXN, 0, 0.48%, 0.0000856%), (PEP, 0, 0.47%, 0.0000894%), (ACN, 0, 0.46%, 0.0000926%), (T, 0, 0.45%, 0.0003830%), (MRK, 0, 0.45%, 0.0000763%), (AXP, 0, 0.45%, 0.0000726%), (MS, 0, 0.45%, 0.0000697%), (SPGI, 0, 0.43%, 0.0000941%), (ADBE, 0, 0.42%, 0.0000972%), (UNP, 0, 0.42%, 0.0001065%), (QCOM, 0, 0.42%, 0.0000878%), (VZ, 0, 0.41%, 0.0000818%), (BLK, 0, 0.41%, 0.0000846%), (DIS, 0, 0.40%, 0.0000654%), (MDT, 0, 0.40%, 0.0001200%), (AMAT, 0, 0.39%, 0.0000882%), (COP, 0, 0.39%, 0.0001188%), (LMT, 0, 0.39%, 0.0001245%), (SBUX, 0, 0.38%, 0.0001255%), (C, 0, 0.36%, 0.0000760%), (SCHW, 0, 0.35%, 0.0000739%), (AMGN, 0, 0.35%, 0.0000752%), (TMO, 0, 0.34%, 0.0000767%), (MMM, 0, 0.33%, 0.0001397%), (EMR, 0, 0.31%, 0.0001381%), (PFE, 0, 0.30%, 0.0000751%), (GILD, 0, 0.30%, 0.0000756%), (CVS, 0, 0.28%, 0.0001190%), (ELV, 0, 0.27%, 0.0001251%), (TJX, 0, 0.27%, 0.0000696%), (DHR, 0, 0.27%, 0.0000685%), (MO, 0, 0.25%, 0.0000899%), (CMCSA, 0, 0.24%, 0.0000681%), (LOW, 0, 0.24%, 0.0000695%), (INTC, 0, 0.24%, 0.0000790%), (MDLZ, 0, 0.23%, 0.0000923%), (UPS, 0, 0.22%, 0.0001035%), (BMY, 0, 0.21%, 0.0000751%), (PYPL, 0, 0.19%, 0.0000962%), (CL, 0, 0.17%, 0.0000821%), (FDX, 0, 0.15%, 0.0000992%), (USB, 0, 0.15%, 0.0000742%), (TGT, 0, 0.09%, 0.0000706%), (nan, 0, -0.01%, 0.0000000%), (nan, 0, -0.01%, 0.0000000%)</t>
  </si>
  <si>
    <t>MSFT, EBAY, BK, META, BKNG, AMAT, JPM, EWBC, BLK, UNM, MLI, GOOGLE</t>
  </si>
  <si>
    <t>(AXP, 0, 1.90%, 0.0004869%), (V, 0, 1.89%, 0.0001750%), (RJF, 0, 1.88%, 0.0033318%), (EA, 0, 1.80%, 0.0026583%), (KLAC, 0, 1.78%, 0.0008007%), (HIG, 0, 1.74%, 0.0028570%), (TRV, 0, 1.73%, 0.0016959%), (ADP, 0, 1.73%, 0.0007853%), (NVDA, 0, 1.73%, 0.0000229%), (CB, 0, 1.69%, 0.0008522%), (SNA, 0, 1.68%, 0.0056992%), (PHM, 0, 1.67%, 0.0043280%), (CTSH, 0, 1.63%, 0.0024896%), (PCAR, 0, 1.63%, 0.0017902%), (CRM, 0, 1.59%, 0.0003578%), (SYF, 0, 1.56%, 0.0034470%), (ROST, 0, 1.55%, 0.0020367%), (PAYC, 0, 1.47%, 0.0062840%), (ACN, 0, 1.44%, 0.0004548%), (ELV, 0, 1.42%, 0.0010246%), (LEN, 0, 1.39%, 0.0031358%), (QCOM, 0, 1.34%, 0.0004445%), (WSM, 0, 1.26%, 0.0034518%), (BKR, 0, 1.24%, 0.0017920%), (AFL, 0, 1.21%, 0.0012281%), (ODFL, 0, 1.19%, 0.0019384%), (AAPL, 0, 1.18%, 0.0000210%), (LRCX, 0, 1.12%, 0.0004876%), (DHI, 0, 1.11%, 0.0015838%), (CSCO, 0, 1.09%, 0.0002250%), (GE, 0, 1.04%, 0.0002035%), (MPWR, 0, 0.98%, 0.0015848%), (CF, 0, 0.95%, 0.0034790%), (STT, 0, 0.94%, 0.0017650%), (PNC, 0, 0.93%, 0.0006704%), (MTB, 0, 0.92%, 0.0017073%), (AMP, 0, 0.91%, 0.0010333%), (COST, 0, 0.85%, 0.0001112%), (ABT, 0, 0.85%, 0.0002041%), (XOM, 0, 0.84%, 0.0000968%), (EOG, 0, 0.80%, 0.0006800%), (CSL, 0, 0.79%, 0.0026468%), (EG, 0, 0.75%, 0.0029738%), (NTRS, 0, 0.52%, 0.0012104%), (GEV, 0, 0.51%, 0.0001854%), (CRBG, 0, 0.50%, 0.0014597%), (MA, 0, 0.48%, 0.0000535%), (JNJ, 0, 0.46%, 0.0000636%), (DOV, 0, 0.46%, 0.0009756%), (ACM, 0, 0.44%, 0.0016346%), (SLM, 0, 0.44%, 0.0036190%), (WTFC, 0, 0.43%, 0.0027542%), (MCK, 0, 0.43%, 0.0002661%), (CINF, 0, 0.43%, 0.0010204%), (EQH, 0, 0.42%, 0.0014813%), (MTG, 0, 0.41%, 0.0040194%), (JXN, 0, 0.40%, 0.0037085%), (ALL, 0, 0.40%, 0.0004300%), (NUE, 0, 0.38%, 0.0006666%), (LNC, 0, 0.38%, 0.0032953%), (PGR, 0, 0.37%, 0.0001424%), (ADM, 0, 0.37%, 0.0007932%), (NKE, 0, 0.37%, 0.0002346%), (FANG, 0, 0.29%, 0.0004114%)</t>
  </si>
  <si>
    <t>(AVGO, 0, 2.90%, 0.0000890%), (META, 0, 2.59%, 0.0000686%), (BRK/B, 0, 2.02%, 0.0001259%), (CSCO, 0, 1.75%, 0.0002667%), (LIN, 0, 1.69%, 0.0003195%), (AMT, 0, 1.66%, 0.0006464%), (TSLA, 0, 1.57%, 0.0000600%), (JPM, 0, 1.55%, 0.0000800%), (XOM, 0, 1.47%, 0.0001248%), (V, 0, 1.41%, 0.0000964%), (LLY, 0, 1.22%, 0.0000663%), (CB, 0, 1.14%, 0.0004243%), (MA, 0, 1.06%, 0.0000872%), (WM, 0, 1.04%, 0.0004644%), (GE, 0, 1.01%, 0.0001476%), (ORCL, 0, 0.92%, 0.0000550%), (NFLX, 0, 0.89%, 0.0000691%), (NEE, 0, 0.88%, 0.0002308%), (UNH, 0, 0.84%, 0.0001287%), (JNJ, 0, 0.77%, 0.0000795%), (PG, 0, 0.76%, 0.0000862%), (COST, 0, 0.76%, 0.0000733%), (CVX, 0, 0.75%, 0.0000989%), (WMT, 0, 0.75%, 0.0000400%), (PLTR, 0, 0.73%, 0.0000879%), (ABT, 0, 0.71%, 0.0001263%), (RTX, 0, 0.71%, 0.0001428%), (CAT, 0, 0.71%, 0.0001484%), (MCD, 0, 0.70%, 0.0001334%), (ABBV, 0, 0.66%, 0.0000796%), (PM, 0, 0.66%, 0.0000939%), (HD, 0, 0.64%, 0.0000723%), (IBM, 0, 0.63%, 0.0000964%), (KO, 0, 0.62%, 0.0000847%), (BKNG, 0, 0.61%, 0.0001365%), (BA, 0, 0.61%, 0.0001416%), (CRM, 0, 0.59%, 0.0000979%), (BAC, 0, 0.59%, 0.0000704%), (SO, 0, 0.59%, 0.0002328%), (ISRG, 0, 0.57%, 0.0001272%), (AMD, 0, 0.57%, 0.0000900%), (NKE, 0, 0.55%, 0.0002617%), (HON, 0, 0.55%, 0.0001474%), (DUK, 0, 0.52%, 0.0002323%), (UBER, 0, 0.52%, 0.0001111%), (GS, 0, 0.52%, 0.0000990%), (WFC, 0, 0.51%, 0.0000812%), (ETN, 0, 0.51%, 0.0001462%), (INTU, 0, 0.50%, 0.0000979%), (MET, 0, 0.49%, 0.0003896%), (NOW, 0, 0.48%, 0.0000966%), (DE, 0, 0.46%, 0.0001354%), (TXN, 0, 0.44%, 0.0000904%), (PEP, 0, 0.43%, 0.0000943%), (ACN, 0, 0.42%, 0.0000978%), (T, 0, 0.41%, 0.0004042%), (MRK, 0, 0.41%, 0.0000806%), (MS, 0, 0.41%, 0.0000736%), (AXP, 0, 0.40%, 0.0000765%), (SPGI, 0, 0.39%, 0.0000994%), (ADBE, 0, 0.38%, 0.0001025%), (UNP, 0, 0.38%, 0.0001124%), (QCOM, 0, 0.38%, 0.0000926%), (VZ, 0, 0.37%, 0.0000863%), (BLK, 0, 0.37%, 0.0000891%), (DIS, 0, 0.37%, 0.0000690%), (MDT, 0, 0.36%, 0.0001267%), (AMAT, 0, 0.36%, 0.0000931%), (COP, 0, 0.35%, 0.0001254%), (LMT, 0, 0.35%, 0.0001314%), (SBUX, 0, 0.34%, 0.0001325%), (C, 0, 0.33%, 0.0000802%), (SCHW, 0, 0.32%, 0.0000780%), (AMGN, 0, 0.31%, 0.0000795%), (TMO, 0, 0.31%, 0.0000809%), (MMM, 0, 0.30%, 0.0001476%), (EMR, 0, 0.28%, 0.0001457%), (PFE, 0, 0.27%, 0.0000793%), (GILD, 0, 0.27%, 0.0000798%), (CVS, 0, 0.25%, 0.0001256%), (ELV, 0, 0.25%, 0.0001323%), (TJX, 0, 0.24%, 0.0000735%), (DHR, 0, 0.24%, 0.0000723%), (MO, 0, 0.23%, 0.0000949%), (CMCSA, 0, 0.22%, 0.0000719%), (LOW, 0, 0.22%, 0.0000733%), (INTC, 0, 0.22%, 0.0000834%), (MDLZ, 0, 0.21%, 0.0000974%), (UPS, 0, 0.20%, 0.0001094%), (BMY, 0, 0.19%, 0.0000792%), (PYPL, 0, 0.17%, 0.0001015%), (CL, 0, 0.15%, 0.0000867%), (FDX, 0, 0.14%, 0.0001047%), (USB, 0, 0.14%, 0.0000783%), (TGT, 0, 0.08%, 0.0000744%), (nan, 0, -0.00%, 0.0000000%), (nan, 0, -0.01%, 0.0000000%)</t>
  </si>
  <si>
    <t>(GOOGLE, 0, 3.45%, 0.0001322%), (AVGO, 0, 3.04%, 0.0001819%), (META, 0, 2.72%, 0.0001401%), (BRK/B, 0, 2.12%, 0.0002576%), (CSCO, 0, 1.84%, 0.0005454%), (LIN, 0, 1.78%, 0.0006532%), (AMT, 0, 1.75%, 0.0013218%), (TSLA, 0, 1.65%, 0.0001228%), (JPM, 0, 1.63%, 0.0001635%), (XOM, 0, 1.55%, 0.0002553%), (V, 0, 1.48%, 0.0001971%), (LLY, 0, 1.28%, 0.0001356%), (CB, 0, 1.20%, 0.0008677%), (MA, 0, 1.11%, 0.0001782%), (WM, 0, 1.09%, 0.0009494%), (GE, 0, 1.06%, 0.0003019%), (ORCL, 0, 0.97%, 0.0001124%), (NFLX, 0, 0.94%, 0.0001411%), (NEE, 0, 0.93%, 0.0004719%), (UNH, 0, 0.88%, 0.0002632%), (JNJ, 0, 0.81%, 0.0001625%), (PG, 0, 0.80%, 0.0001764%), (COST, 0, 0.80%, 0.0001501%), (CVX, 0, 0.79%, 0.0002021%), (WMT, 0, 0.79%, 0.0000818%), (PLTR, 0, 0.77%, 0.0001797%), (ABT, 0, 0.75%, 0.0002584%), (RTX, 0, 0.74%, 0.0002921%), (CAT, 0, 0.74%, 0.0003033%), (MCD, 0, 0.74%, 0.0002728%), (ABBV, 0, 0.69%, 0.0001627%), (PM, 0, 0.69%, 0.0001920%), (HD, 0, 0.67%, 0.0001480%), (IBM, 0, 0.66%, 0.0001972%), (KO, 0, 0.65%, 0.0001732%), (BKNG, 0, 0.65%, 0.0002792%), (BA, 0, 0.64%, 0.0002894%), (BAC, 0, 0.62%, 0.0001439%), (CRM, 0, 0.62%, 0.0002001%), (SO, 0, 0.62%, 0.0004759%), (ISRG, 0, 0.60%, 0.0002604%), (AMD, 0, 0.59%, 0.0001839%), (NKE, 0, 0.58%, 0.0005352%), (HON, 0, 0.57%, 0.0003013%), (DUK, 0, 0.55%, 0.0004750%), (GS, 0, 0.55%, 0.0002027%), (UBER, 0, 0.54%, 0.0002271%), (WFC, 0, 0.54%, 0.0001660%), (ETN, 0, 0.53%, 0.0002987%), (INTU, 0, 0.53%, 0.0002005%), (MET, 0, 0.51%, 0.0007968%), (NOW, 0, 0.50%, 0.0001976%), (DE, 0, 0.48%, 0.0002771%), (TXN, 0, 0.46%, 0.0001847%), (PEP, 0, 0.45%, 0.0001929%), (ACN, 0, 0.44%, 0.0001999%), (T, 0, 0.43%, 0.0008264%), (MRK, 0, 0.43%, 0.0001647%), (MS, 0, 0.43%, 0.0001505%), (AXP, 0, 0.43%, 0.0001565%), (SPGI, 0, 0.41%, 0.0002031%), (ADBE, 0, 0.40%, 0.0002095%), (UNP, 0, 0.40%, 0.0002300%), (QCOM, 0, 0.40%, 0.0001894%), (VZ, 0, 0.39%, 0.0001765%), (BLK, 0, 0.39%, 0.0001821%), (DIS, 0, 0.38%, 0.0001410%), (MDT, 0, 0.38%, 0.0002590%), (AMAT, 0, 0.37%, 0.0001904%), (COP, 0, 0.37%, 0.0002565%), (LMT, 0, 0.37%, 0.0002684%), (SBUX, 0, 0.36%, 0.0002710%), (C, 0, 0.34%, 0.0001641%), (SCHW, 0, 0.33%, 0.0001595%), (AMGN, 0, 0.33%, 0.0001623%), (TMO, 0, 0.33%, 0.0001656%), (MMM, 0, 0.32%, 0.0003016%), (EMR, 0, 0.30%, 0.0002982%), (PFE, 0, 0.29%, 0.0001621%), (GILD, 0, 0.28%, 0.0001632%), (CVS, 0, 0.26%, 0.0002568%), (ELV, 0, 0.26%, 0.0002704%), (TJX, 0, 0.26%, 0.0001503%), (DHR, 0, 0.26%, 0.0001481%), (MO, 0, 0.24%, 0.0001940%), (CMCSA, 0, 0.23%, 0.0001470%), (LOW, 0, 0.23%, 0.0001500%), (INTC, 0, 0.23%, 0.0001706%), (MDLZ, 0, 0.22%, 0.0001992%), (UPS, 0, 0.21%, 0.0002235%), (BMY, 0, 0.20%, 0.0001621%), (PYPL, 0, 0.18%, 0.0002076%), (CL, 0, 0.16%, 0.0001774%), (FDX, 0, 0.15%, 0.0002144%), (USB, 0, 0.14%, 0.0001601%), (TGT, 0, 0.09%, 0.0001523%), (nan, 0, -0.00%, 0.0000000%), (nan, 0, -0.01%, 0.0000000%)</t>
  </si>
  <si>
    <t>(GOOGLE, 0, 3.47%, 0.0002310%), (AVGO, 0, 3.09%, 0.0003178%), (META, 0, 2.72%, 0.0002448%), (BRK/B, 0, 2.14%, 0.0004499%), (CSCO, 0, 1.87%, 0.0009525%), (LIN, 0, 1.79%, 0.0011410%), (AMT, 0, 1.75%, 0.0023087%), (JPM, 0, 1.65%, 0.0002856%), (TSLA, 0, 1.65%, 0.0002145%), (XOM, 0, 1.55%, 0.0004459%), (V, 0, 1.48%, 0.0003442%), (LLY, 0, 1.24%, 0.0002368%), (CB, 0, 1.20%, 0.0015157%), (MA, 0, 1.12%, 0.0003111%), (WM, 0, 1.10%, 0.0016586%), (GE, 0, 1.05%, 0.0005273%), (ORCL, 0, 0.99%, 0.0001963%), (NFLX, 0, 0.96%, 0.0002466%), (NEE, 0, 0.93%, 0.0008242%), (UNH, 0, 0.87%, 0.0004596%), (PG, 0, 0.82%, 0.0003080%), (COST, 0, 0.81%, 0.0002622%), (JNJ, 0, 0.80%, 0.0002839%), (CVX, 0, 0.80%, 0.0003530%), (WMT, 0, 0.79%, 0.0001428%), (PLTR, 0, 0.78%, 0.0003138%), (CAT, 0, 0.75%, 0.0005296%), (RTX, 0, 0.75%, 0.0005102%), (MCD, 0, 0.74%, 0.0004766%), (ABBV, 0, 0.70%, 0.0002842%), (ABT, 0, 0.69%, 0.0004513%), (PM, 0, 0.68%, 0.0003353%), (HD, 0, 0.67%, 0.0002585%), (KO, 0, 0.67%, 0.0003025%), (IBM, 0, 0.66%, 0.0003444%), (BKNG, 0, 0.65%, 0.0004871%), (BA, 0, 0.64%, 0.0005055%), (BAC, 0, 0.64%, 0.0002514%), (CRM, 0, 0.63%, 0.0003496%), (SO, 0, 0.62%, 0.0008312%), (ISRG, 0, 0.60%, 0.0004544%), (AMD, 0, 0.59%, 0.0003213%), (NKE, 0, 0.59%, 0.0009348%), (HON, 0, 0.58%, 0.0005264%), (ETN, 0, 0.55%, 0.0005217%), (DUK, 0, 0.55%, 0.0008298%), (UBER, 0, 0.55%, 0.0003968%), (GS, 0, 0.54%, 0.0003541%), (WFC, 0, 0.54%, 0.0002899%), (INTU, 0, 0.53%, 0.0003501%), (MET, 0, 0.52%, 0.0013917%), (NOW, 0, 0.50%, 0.0003447%), (PEP, 0, 0.48%, 0.0003368%), (DE, 0, 0.48%, 0.0004839%), (TXN, 0, 0.46%, 0.0003226%), (ACN, 0, 0.45%, 0.0003492%), (T, 0, 0.43%, 0.0014435%), (AXP, 0, 0.43%, 0.0002734%), (MS, 0, 0.43%, 0.0002629%), (MRK, 0, 0.43%, 0.0002877%), (SPGI, 0, 0.41%, 0.0003547%), (ADBE, 0, 0.41%, 0.0003660%), (QCOM, 0, 0.40%, 0.0003309%), (BLK, 0, 0.40%, 0.0003184%), (UNP, 0, 0.39%, 0.0004016%), (DIS, 0, 0.39%, 0.0002463%), (VZ, 0, 0.39%, 0.0003083%), (COP, 0, 0.38%, 0.0004480%), (MDT, 0, 0.38%, 0.0004523%), (AMAT, 0, 0.37%, 0.0003325%), (LMT, 0, 0.37%, 0.0004685%), (SBUX, 0, 0.36%, 0.0004732%), (C, 0, 0.35%, 0.0002865%), (SCHW, 0, 0.34%, 0.0002786%), (TMO, 0, 0.34%, 0.0002893%), (AMGN, 0, 0.33%, 0.0002836%), (MMM, 0, 0.32%, 0.0005267%), (EMR, 0, 0.31%, 0.0005206%), (PFE, 0, 0.29%, 0.0002832%), (GILD, 0, 0.28%, 0.0002851%), (CVS, 0, 0.26%, 0.0004485%), (TJX, 0, 0.26%, 0.0002625%), (DHR, 0, 0.26%, 0.0002585%), (MO, 0, 0.24%, 0.0003389%), (CMCSA, 0, 0.24%, 0.0002568%), (LOW, 0, 0.23%, 0.0002621%), (ELV, 0, 0.23%, 0.0004720%), (INTC, 0, 0.23%, 0.0002979%), (MDLZ, 0, 0.23%, 0.0003478%), (UPS, 0, 0.21%, 0.0003905%), (BMY, 0, 0.20%, 0.0002830%), (PYPL, 0, 0.18%, 0.0003625%), (CL, 0, 0.16%, 0.0003098%), (FDX, 0, 0.15%, 0.0003742%), (USB, 0, 0.14%, 0.0002796%), (TGT, 0, 0.09%, 0.0002658%), (nan, 0, -0.01%, 0.0000000%), (nan, 0, -0.01%, 0.0000000%)</t>
  </si>
  <si>
    <t>(GOOGLE, 0, 3.46%, 0.0001720%), (AVGO, 0, 3.08%, 0.0002366%), (META, 0, 2.71%, 0.0001823%), (BRK/B, 0, 2.13%, 0.0003350%), (CSCO, 0, 1.86%, 0.0007094%), (LIN, 0, 1.78%, 0.0008498%), (AMT, 0, 1.74%, 0.0017193%), (JPM, 0, 1.65%, 0.0002127%), (TSLA, 0, 1.64%, 0.0001597%), (XOM, 0, 1.54%, 0.0003320%), (V, 0, 1.48%, 0.0002563%), (LLY, 0, 1.24%, 0.0001763%), (CB, 0, 1.19%, 0.0011287%), (MA, 0, 1.11%, 0.0002317%), (WM, 0, 1.09%, 0.0012351%), (GE, 0, 1.04%, 0.0003927%), (ORCL, 0, 0.99%, 0.0001462%), (NFLX, 0, 0.95%, 0.0001836%), (NEE, 0, 0.93%, 0.0006137%), (UNH, 0, 0.87%, 0.0003423%), (PG, 0, 0.81%, 0.0002294%), (COST, 0, 0.80%, 0.0001954%), (JNJ, 0, 0.80%, 0.0002114%), (CVX, 0, 0.79%, 0.0002629%), (WMT, 0, 0.78%, 0.0001064%), (PLTR, 0, 0.78%, 0.0002337%), (CAT, 0, 0.75%, 0.0003945%), (RTX, 0, 0.74%, 0.0003799%), (MCD, 0, 0.74%, 0.0003550%), (ABBV, 0, 0.70%, 0.0002117%), (ABT, 0, 0.69%, 0.0003361%), (PM, 0, 0.68%, 0.0002497%), (HD, 0, 0.67%, 0.0001925%), (KO, 0, 0.66%, 0.0002253%), (IBM, 0, 0.66%, 0.0002564%), (BKNG, 0, 0.65%, 0.0003630%), (BA, 0, 0.64%, 0.0003764%), (BAC, 0, 0.63%, 0.0001872%), (CRM, 0, 0.63%, 0.0002603%), (SO, 0, 0.62%, 0.0006190%), (ISRG, 0, 0.60%, 0.0003385%), (AMD, 0, 0.59%, 0.0002393%), (NKE, 0, 0.59%, 0.0006961%), (HON, 0, 0.57%, 0.0003919%), (ETN, 0, 0.55%, 0.0003884%), (DUK, 0, 0.55%, 0.0006179%), (UBER, 0, 0.54%, 0.0002955%), (GS, 0, 0.54%, 0.0002637%), (WFC, 0, 0.54%, 0.0002159%), (INTU, 0, 0.53%, 0.0002608%), (MET, 0, 0.52%, 0.0010364%), (NOW, 0, 0.50%, 0.0002567%), (PEP, 0, 0.48%, 0.0002509%), (DE, 0, 0.47%, 0.0003603%), (TXN, 0, 0.46%, 0.0002403%), (ACN, 0, 0.45%, 0.0002601%), (T, 0, 0.43%, 0.0010750%), (AXP, 0, 0.43%, 0.0002035%), (MS, 0, 0.43%, 0.0001958%), (MRK, 0, 0.42%, 0.0002143%), (SPGI, 0, 0.41%, 0.0002642%), (ADBE, 0, 0.41%, 0.0002726%), (QCOM, 0, 0.39%, 0.0002463%), (BLK, 0, 0.39%, 0.0002370%), (UNP, 0, 0.39%, 0.0002991%), (DIS, 0, 0.39%, 0.0001834%), (VZ, 0, 0.39%, 0.0002296%), (MDT, 0, 0.38%, 0.0003369%), (COP, 0, 0.38%, 0.0003336%), (AMAT, 0, 0.37%, 0.0002477%), (LMT, 0, 0.37%, 0.0003488%), (SBUX, 0, 0.36%, 0.0003524%), (C, 0, 0.35%, 0.0002134%), (SCHW, 0, 0.34%, 0.0002075%), (TMO, 0, 0.33%, 0.0002153%), (AMGN, 0, 0.33%, 0.0002112%), (MMM, 0, 0.32%, 0.0003923%), (EMR, 0, 0.30%, 0.0003877%), (PFE, 0, 0.29%, 0.0002109%), (GILD, 0, 0.28%, 0.0002123%), (CVS, 0, 0.26%, 0.0003340%), (TJX, 0, 0.26%, 0.0001955%), (DHR, 0, 0.26%, 0.0001925%), (MO, 0, 0.24%, 0.0002523%), (CMCSA, 0, 0.23%, 0.0001913%), (LOW, 0, 0.23%, 0.0001951%), (ELV, 0, 0.23%, 0.0003514%), (INTC, 0, 0.23%, 0.0002219%), (MDLZ, 0, 0.23%, 0.0002591%), (UPS, 0, 0.21%, 0.0002907%), (BMY, 0, 0.20%, 0.0002108%), (PYPL, 0, 0.18%, 0.0002700%), (CL, 0, 0.16%, 0.0002306%), (FDX, 0, 0.15%, 0.0002789%), (USB, 0, 0.14%, 0.0002083%), (TGT, 0, 0.09%, 0.0001981%), (nan, 0, -0.01%, 0.0000000%), (nan, 0, -0.01%, 0.0000000%)</t>
  </si>
  <si>
    <t>(GOOGLE, 0, 3.49%, 0.0000403%), (AVGO, 0, 3.11%, 0.0000555%), (META, 0, 2.74%, 0.0000427%), (BRK/B, 0, 2.15%, 0.0000786%), (CSCO, 0, 1.88%, 0.0001663%), (LIN, 0, 1.80%, 0.0001992%), (AMT, 0, 1.76%, 0.0004031%), (JPM, 0, 1.66%, 0.0000499%), (TSLA, 0, 1.66%, 0.0000374%), (XOM, 0, 1.55%, 0.0000778%), (V, 0, 1.49%, 0.0000601%), (LLY, 0, 1.25%, 0.0000414%), (CB, 0, 1.20%, 0.0002645%), (MA, 0, 1.12%, 0.0000543%), (WM, 0, 1.10%, 0.0002894%), (GE, 0, 1.05%, 0.0000921%), (ORCL, 0, 1.00%, 0.0000343%), (NFLX, 0, 0.97%, 0.0000430%), (NEE, 0, 0.94%, 0.0001439%), (UNH, 0, 0.88%, 0.0000803%), (PG, 0, 0.82%, 0.0000538%), (COST, 0, 0.81%, 0.0000458%), (JNJ, 0, 0.81%, 0.0000496%), (CVX, 0, 0.80%, 0.0000616%), (WMT, 0, 0.79%, 0.0000249%), (PLTR, 0, 0.79%, 0.0000548%), (CAT, 0, 0.75%, 0.0000924%), (RTX, 0, 0.75%, 0.0000891%), (MCD, 0, 0.75%, 0.0000832%), (ABBV, 0, 0.70%, 0.0000496%), (ABT, 0, 0.69%, 0.0000788%), (PM, 0, 0.68%, 0.0000585%), (HD, 0, 0.68%, 0.0000451%), (KO, 0, 0.67%, 0.0000528%), (IBM, 0, 0.66%, 0.0000601%), (BA, 0, 0.65%, 0.0000883%), (BKNG, 0, 0.64%, 0.0000838%), (BAC, 0, 0.64%, 0.0000439%), (CRM, 0, 0.63%, 0.0000610%), (SO, 0, 0.62%, 0.0001451%), (ISRG, 0, 0.61%, 0.0000793%), (AMD, 0, 0.60%, 0.0000561%), (NKE, 0, 0.59%, 0.0001632%), (HON, 0, 0.58%, 0.0000918%), (ETN, 0, 0.56%, 0.0000912%), (DUK, 0, 0.55%, 0.0001449%), (UBER, 0, 0.55%, 0.0000692%), (GS, 0, 0.55%, 0.0000617%), (WFC, 0, 0.54%, 0.0000506%), (INTU, 0, 0.54%, 0.0000610%), (MET, 0, 0.52%, 0.0002430%), (NOW, 0, 0.50%, 0.0000601%), (PEP, 0, 0.48%, 0.0000588%), (DE, 0, 0.48%, 0.0000843%), (TXN, 0, 0.47%, 0.0000563%), (ACN, 0, 0.45%, 0.0000610%), (T, 0, 0.44%, 0.0002520%), (AXP, 0, 0.43%, 0.0000478%), (MS, 0, 0.43%, 0.0000459%), (MRK, 0, 0.43%, 0.0000502%), (SPGI, 0, 0.41%, 0.0000621%), (ADBE, 0, 0.41%, 0.0000640%), (QCOM, 0, 0.40%, 0.0000577%), (BLK, 0, 0.40%, 0.0000555%), (UNP, 0, 0.40%, 0.0000701%), (DIS, 0, 0.39%, 0.0000430%), (VZ, 0, 0.39%, 0.0000538%), (COP, 0, 0.38%, 0.0000782%), (MDT, 0, 0.38%, 0.0000790%), (AMAT, 0, 0.37%, 0.0000580%), (LMT, 0, 0.37%, 0.0000817%), (SBUX, 0, 0.37%, 0.0000826%), (C, 0, 0.35%, 0.0000500%), (SCHW, 0, 0.34%, 0.0000486%), (TMO, 0, 0.34%, 0.0000506%), (AMGN, 0, 0.33%, 0.0000496%), (MMM, 0, 0.32%, 0.0000921%), (EMR, 0, 0.31%, 0.0000910%), (PFE, 0, 0.29%, 0.0000494%), (GILD, 0, 0.28%, 0.0000498%), (CVS, 0, 0.26%, 0.0000783%), (TJX, 0, 0.26%, 0.0000458%), (DHR, 0, 0.26%, 0.0000452%), (MO, 0, 0.24%, 0.0000592%), (CMCSA, 0, 0.24%, 0.0000448%), (LOW, 0, 0.24%, 0.0000458%), (ELV, 0, 0.23%, 0.0000823%), (INTC, 0, 0.23%, 0.0000520%), (MDLZ, 0, 0.23%, 0.0000608%), (UPS, 0, 0.21%, 0.0000682%), (BMY, 0, 0.20%, 0.0000494%), (PYPL, 0, 0.18%, 0.0000633%), (CL, 0, 0.16%, 0.0000541%), (FDX, 0, 0.15%, 0.0000653%), (USB, 0, 0.14%, 0.0000488%), (TGT, 0, 0.09%, 0.0000464%), (nan, 0, -0.01%, 0.0000000%), (nan, 0, -0.01%, 0.0000000%)</t>
  </si>
  <si>
    <t>(GOOGLE, 0, 3.34%, 0.0000794%), (AVGO, 0, 2.98%, 0.0001093%), (META, 0, 2.61%, 0.0000842%), (BRK/B, 0, 2.05%, 0.0001547%), (CSCO, 0, 1.80%, 0.0003276%), (LIN, 0, 1.72%, 0.0003923%), (AMT, 0, 1.68%, 0.0007940%), (JPM, 0, 1.59%, 0.0000982%), (TSLA, 0, 1.58%, 0.0000738%), (XOM, 0, 1.48%, 0.0001533%), (V, 0, 1.43%, 0.0001184%), (LLY, 0, 1.19%, 0.0000814%), (CB, 0, 1.15%, 0.0005212%), (MA, 0, 1.07%, 0.0001070%), (WM, 0, 1.05%, 0.0005704%), (GE, 0, 1.01%, 0.0001814%), (ORCL, 0, 0.96%, 0.0000675%), (NFLX, 0, 0.92%, 0.0000847%), (NEE, 0, 0.90%, 0.0002834%), (UNH, 0, 0.84%, 0.0001581%), (PG, 0, 0.78%, 0.0001059%), (COST, 0, 0.78%, 0.0000903%), (JNJ, 0, 0.77%, 0.0000976%), (CVX, 0, 0.76%, 0.0001214%), (WMT, 0, 0.76%, 0.0000491%), (PLTR, 0, 0.76%, 0.0001079%), (CAT, 0, 0.72%, 0.0001821%), (RTX, 0, 0.72%, 0.0001754%), (MCD, 0, 0.71%, 0.0001638%), (ABBV, 0, 0.67%, 0.0000977%), (ABT, 0, 0.66%, 0.0001552%), (PM, 0, 0.65%, 0.0001153%), (HD, 0, 0.65%, 0.0000889%), (KO, 0, 0.64%, 0.0001040%), (IBM, 0, 0.63%, 0.0001184%), (BKNG, 0, 0.62%, 0.0001675%), (BA, 0, 0.62%, 0.0001738%), (BAC, 0, 0.61%, 0.0000864%), (CRM, 0, 0.60%, 0.0001202%), (SO, 0, 0.60%, 0.0002859%), (ISRG, 0, 0.58%, 0.0001563%), (AMD, 0, 0.57%, 0.0001105%), (NKE, 0, 0.57%, 0.0003214%), (HON, 0, 0.55%, 0.0001810%), (ETN, 0, 0.53%, 0.0001793%), (DUK, 0, 0.53%, 0.0002853%), (UBER, 0, 0.52%, 0.0001364%), (GS, 0, 0.52%, 0.0001217%), (WFC, 0, 0.52%, 0.0000997%), (INTU, 0, 0.51%, 0.0001205%), (MET, 0, 0.50%, 0.0004785%), (NOW, 0, 0.48%, 0.0001188%), (PEP, 0, 0.46%, 0.0001158%), (DE, 0, 0.46%, 0.0001665%), (TXN, 0, 0.44%, 0.0001109%), (ACN, 0, 0.43%, 0.0001201%), (T, 0, 0.42%, 0.0004964%), (AXP, 0, 0.41%, 0.0000939%), (MS, 0, 0.41%, 0.0000904%), (MRK, 0, 0.41%, 0.0000989%), (SPGI, 0, 0.39%, 0.0001219%), (ADBE, 0, 0.39%, 0.0001259%), (QCOM, 0, 0.38%, 0.0001137%), (BLK, 0, 0.38%, 0.0001091%), (UNP, 0, 0.38%, 0.0001381%), (DIS, 0, 0.38%, 0.0000847%), (VZ, 0, 0.37%, 0.0001060%), (COP, 0, 0.36%, 0.0001541%), (MDT, 0, 0.36%, 0.0001555%), (AMAT, 0, 0.36%, 0.0001144%), (LMT, 0, 0.36%, 0.0001612%), (SBUX, 0, 0.35%, 0.0001628%), (C, 0, 0.34%, 0.0000985%), (SCHW, 0, 0.33%, 0.0000958%), (TMO, 0, 0.32%, 0.0000995%), (AMGN, 0, 0.32%, 0.0000975%), (MMM, 0, 0.31%, 0.0001811%), (EMR, 0, 0.29%, 0.0001791%), (PFE, 0, 0.28%, 0.0000974%), (GILD, 0, 0.27%, 0.0000981%), (CVS, 0, 0.25%, 0.0001542%), (TJX, 0, 0.25%, 0.0000903%), (DHR, 0, 0.25%, 0.0000889%), (MO, 0, 0.23%, 0.0001165%), (CMCSA, 0, 0.23%, 0.0000883%), (LOW, 0, 0.22%, 0.0000900%), (ELV, 0, 0.22%, 0.0001624%), (INTC, 0, 0.22%, 0.0001024%), (MDLZ, 0, 0.22%, 0.0001196%), (UPS, 0, 0.20%, 0.0001342%), (BMY, 0, 0.19%, 0.0000973%), (PYPL, 0, 0.17%, 0.0001246%), (CL, 0, 0.15%, 0.0001066%), (FDX, 0, 0.14%, 0.0001288%), (USB, 0, 0.14%, 0.0000961%), (TGT, 0, 0.09%, 0.0000915%), (nan, 0, -0.00%, 0.0000000%), (nan, 0, -0.01%, 0.0000000%)</t>
  </si>
  <si>
    <t>(GOOGLE, 0, 3.40%, 0.0000255%), (AVGO, 0, 3.03%, 0.0000350%), (META, 0, 2.67%, 0.0000270%), (BRK/B, 0, 2.09%, 0.0000496%), (CSCO, 0, 1.83%, 0.0001051%), (LIN, 0, 1.75%, 0.0001259%), (AMT, 0, 1.71%, 0.0002546%), (JPM, 0, 1.62%, 0.0000315%), (TSLA, 0, 1.62%, 0.0000237%), (XOM, 0, 1.51%, 0.0000492%), (V, 0, 1.45%, 0.0000380%), (LLY, 0, 1.22%, 0.0000261%), (CB, 0, 1.17%, 0.0001672%), (MA, 0, 1.09%, 0.0000343%), (WM, 0, 1.08%, 0.0001829%), (GE, 0, 1.03%, 0.0000581%), (ORCL, 0, 0.98%, 0.0000216%), (NFLX, 0, 0.95%, 0.0000271%), (NEE, 0, 0.92%, 0.0000909%), (UNH, 0, 0.85%, 0.0000507%), (PG, 0, 0.80%, 0.0000340%), (COST, 0, 0.79%, 0.0000289%), (JNJ, 0, 0.79%, 0.0000313%), (CVX, 0, 0.78%, 0.0000389%), (WMT, 0, 0.77%, 0.0000158%), (PLTR, 0, 0.77%, 0.0000346%), (CAT, 0, 0.73%, 0.0000585%), (RTX, 0, 0.73%, 0.0000562%), (MCD, 0, 0.73%, 0.0000526%), (ABBV, 0, 0.69%, 0.0000314%), (ABT, 0, 0.67%, 0.0000498%), (PM, 0, 0.67%, 0.0000370%), (HD, 0, 0.66%, 0.0000285%), (KO, 0, 0.65%, 0.0000334%), (IBM, 0, 0.65%, 0.0000380%), (BA, 0, 0.63%, 0.0000558%), (BKNG, 0, 0.62%, 0.0000527%), (BAC, 0, 0.62%, 0.0000277%), (CRM, 0, 0.62%, 0.0000386%), (SO, 0, 0.61%, 0.0000917%), (ISRG, 0, 0.59%, 0.0000502%), (AMD, 0, 0.59%, 0.0000354%), (NKE, 0, 0.58%, 0.0001031%), (HON, 0, 0.57%, 0.0000581%), (DUK, 0, 0.54%, 0.0000915%), (ETN, 0, 0.54%, 0.0000575%), (UBER, 0, 0.53%, 0.0000438%), (GS, 0, 0.53%, 0.0000390%), (WFC, 0, 0.53%, 0.0000320%), (INTU, 0, 0.53%, 0.0000387%), (MET, 0, 0.51%, 0.0001535%), (NOW, 0, 0.49%, 0.0000380%), (PEP, 0, 0.47%, 0.0000372%), (DE, 0, 0.46%, 0.0000533%), (TXN, 0, 0.45%, 0.0000355%), (ACN, 0, 0.44%, 0.0000385%), (T, 0, 0.43%, 0.0001592%), (MS, 0, 0.42%, 0.0000290%), (AXP, 0, 0.42%, 0.0000302%), (MRK, 0, 0.42%, 0.0000317%), (SPGI, 0, 0.40%, 0.0000390%), (ADBE, 0, 0.40%, 0.0000404%), (QCOM, 0, 0.39%, 0.0000365%), (UNP, 0, 0.39%, 0.0000443%), (BLK, 0, 0.39%, 0.0000349%), (DIS, 0, 0.38%, 0.0000271%), (VZ, 0, 0.38%, 0.0000340%), (COP, 0, 0.37%, 0.0000494%), (MDT, 0, 0.37%, 0.0000499%), (LMT, 0, 0.36%, 0.0000519%), (AMAT, 0, 0.36%, 0.0000367%), (SBUX, 0, 0.36%, 0.0000522%), (C, 0, 0.35%, 0.0000316%), (SCHW, 0, 0.33%, 0.0000307%), (TMO, 0, 0.33%, 0.0000319%), (AMGN, 0, 0.32%, 0.0000312%), (MMM, 0, 0.31%, 0.0000582%), (EMR, 0, 0.30%, 0.0000574%), (PFE, 0, 0.28%, 0.0000312%), (GILD, 0, 0.27%, 0.0000315%), (CVS, 0, 0.26%, 0.0000495%), (TJX, 0, 0.25%, 0.0000289%), (DHR, 0, 0.25%, 0.0000285%), (MO, 0, 0.23%, 0.0000374%), (CMCSA, 0, 0.23%, 0.0000283%), (LOW, 0, 0.23%, 0.0000289%), (ELV, 0, 0.23%, 0.0000522%), (INTC, 0, 0.23%, 0.0000328%), (MDLZ, 0, 0.22%, 0.0000384%), (UPS, 0, 0.20%, 0.0000431%), (BMY, 0, 0.20%, 0.0000312%), (PYPL, 0, 0.18%, 0.0000400%), (CL, 0, 0.16%, 0.0000341%), (FDX, 0, 0.14%, 0.0000411%), (USB, 0, 0.14%, 0.0000308%), (TGT, 0, 0.09%, 0.0000293%), (nan, 0, -0.01%, 0.0000000%), (nan, 0, -0.01%, 0.0000000%)</t>
  </si>
  <si>
    <t>(GOOGLE, 0, 3.63%, 0.0000613%), (AVGO, 0, 3.23%, 0.0000843%), (META, 0, 2.84%, 0.0000649%), (BRK/B, 0, 2.23%, 0.0001193%), (CSCO, 0, 1.95%, 0.0002527%), (LIN, 0, 1.87%, 0.0003026%), (AMT, 0, 1.82%, 0.0006124%), (JPM, 0, 1.73%, 0.0000758%), (TSLA, 0, 1.72%, 0.0000569%), (XOM, 0, 1.61%, 0.0001183%), (V, 0, 1.55%, 0.0000913%), (LLY, 0, 1.30%, 0.0000628%), (CB, 0, 1.25%, 0.0004020%), (MA, 0, 1.17%, 0.0000826%), (WM, 0, 1.15%, 0.0004401%), (GE, 0, 1.09%, 0.0001398%), (ORCL, 0, 1.04%, 0.0000521%), (NFLX, 0, 0.99%, 0.0000654%), (NEE, 0, 0.98%, 0.0002186%), (UNH, 0, 0.91%, 0.0001220%), (PG, 0, 0.85%, 0.0000817%), (COST, 0, 0.84%, 0.0000695%), (JNJ, 0, 0.84%, 0.0000753%), (CVX, 0, 0.83%, 0.0000937%), (WMT, 0, 0.82%, 0.0000379%), (PLTR, 0, 0.82%, 0.0000832%), (CAT, 0, 0.78%, 0.0001405%), (RTX, 0, 0.78%, 0.0001354%), (MCD, 0, 0.78%, 0.0001264%), (ABBV, 0, 0.73%, 0.0000754%), (ABT, 0, 0.72%, 0.0001197%), (PM, 0, 0.71%, 0.0000890%), (HD, 0, 0.70%, 0.0000686%), (KO, 0, 0.70%, 0.0000802%), (IBM, 0, 0.69%, 0.0000914%), (BKNG, 0, 0.68%, 0.0001303%), (BA, 0, 0.67%, 0.0001341%), (BAC, 0, 0.66%, 0.0000667%), (CRM, 0, 0.66%, 0.0000928%), (SO, 0, 0.65%, 0.0002205%), (ISRG, 0, 0.63%, 0.0001205%), (AMD, 0, 0.62%, 0.0000852%), (NKE, 0, 0.62%, 0.0002480%), (HON, 0, 0.60%, 0.0001396%), (ETN, 0, 0.58%, 0.0001385%), (DUK, 0, 0.58%, 0.0002201%), (UBER, 0, 0.57%, 0.0001053%), (GS, 0, 0.57%, 0.0000940%), (WFC, 0, 0.56%, 0.0000769%), (INTU, 0, 0.56%, 0.0000929%), (MET, 0, 0.54%, 0.0003692%), (NOW, 0, 0.52%, 0.0000913%), (PEP, 0, 0.50%, 0.0000894%), (DE, 0, 0.50%, 0.0001284%), (TXN, 0, 0.48%, 0.0000856%), (ACN, 0, 0.47%, 0.0000926%), (T, 0, 0.45%, 0.0003830%), (AXP, 0, 0.45%, 0.0000726%), (MS, 0, 0.45%, 0.0000697%), (MRK, 0, 0.45%, 0.0000763%), (SPGI, 0, 0.43%, 0.0000941%), (ADBE, 0, 0.43%, 0.0000972%), (BLK, 0, 0.41%, 0.0000846%), (QCOM, 0, 0.41%, 0.0000878%), (UNP, 0, 0.41%, 0.0001065%), (DIS, 0, 0.41%, 0.0000654%), (VZ, 0, 0.40%, 0.0000818%), (COP, 0, 0.39%, 0.0001188%), (MDT, 0, 0.39%, 0.0001200%), (AMAT, 0, 0.39%, 0.0000882%), (LMT, 0, 0.39%, 0.0001245%), (SBUX, 0, 0.38%, 0.0001255%), (C, 0, 0.37%, 0.0000760%), (SCHW, 0, 0.35%, 0.0000739%), (TMO, 0, 0.35%, 0.0000767%), (AMGN, 0, 0.35%, 0.0000752%), (MMM, 0, 0.33%, 0.0001397%), (EMR, 0, 0.32%, 0.0001381%), (PFE, 0, 0.30%, 0.0000751%), (GILD, 0, 0.29%, 0.0000756%), (CVS, 0, 0.27%, 0.0001190%), (TJX, 0, 0.27%, 0.0000696%), (DHR, 0, 0.27%, 0.0000685%), (MO, 0, 0.25%, 0.0000899%), (CMCSA, 0, 0.25%, 0.0000681%), (LOW, 0, 0.24%, 0.0000695%), (ELV, 0, 0.24%, 0.0001251%), (INTC, 0, 0.24%, 0.0000790%), (MDLZ, 0, 0.24%, 0.0000923%), (UPS, 0, 0.22%, 0.0001035%), (BMY, 0, 0.21%, 0.0000751%), (PYPL, 0, 0.19%, 0.0000962%), (CL, 0, 0.17%, 0.0000821%), (FDX, 0, 0.15%, 0.0000992%), (USB, 0, 0.15%, 0.0000742%), (TGT, 0, 0.10%, 0.0000706%), (nan, 0, -0.01%, 0.0000000%), (nan, 0, -0.01%, 0.0000000%)</t>
  </si>
  <si>
    <t>MSFT, BK, EBAY, META, BKNG, JPM, EWBC, BLK, AMAT, UNM, MLI, RJF</t>
  </si>
  <si>
    <t>(AXP, 0, 1.91%, 0.0004869%), (GOOGLE, 0, 1.91%, 0.0000988%), (V, 0, 1.88%, 0.0001750%), (SNA, 0, 1.81%, 0.0056992%), (EA, 0, 1.80%, 0.0026583%), (TRV, 0, 1.79%, 0.0016959%), (KLAC, 0, 1.78%, 0.0008007%), (HIG, 0, 1.76%, 0.0028570%), (NVDA, 0, 1.74%, 0.0000229%), (ADP, 0, 1.74%, 0.0007853%), (CB, 0, 1.67%, 0.0008522%), (PHM, 0, 1.67%, 0.0043280%), (CTSH, 0, 1.64%, 0.0024896%), (CRM, 0, 1.60%, 0.0003578%), (PCAR, 0, 1.60%, 0.0017902%), (SYF, 0, 1.58%, 0.0034470%), (ROST, 0, 1.56%, 0.0020367%), (PAYC, 0, 1.48%, 0.0062840%), (ACN, 0, 1.45%, 0.0004548%), (LEN, 0, 1.39%, 0.0031358%), (QCOM, 0, 1.32%, 0.0004445%), (WSM, 0, 1.30%, 0.0034518%), (BKR, 0, 1.25%, 0.0017920%), (ELV, 0, 1.25%, 0.0010246%), (AFL, 0, 1.21%, 0.0012281%), (ODFL, 0, 1.20%, 0.0019384%), (AAPL, 0, 1.18%, 0.0000210%), (LRCX, 0, 1.12%, 0.0004876%), (DHI, 0, 1.11%, 0.0015838%), (CSCO, 0, 1.10%, 0.0002250%), (GE, 0, 1.01%, 0.0002035%), (MPWR, 0, 0.98%, 0.0015848%), (STT, 0, 0.96%, 0.0017650%), (AMP, 0, 0.94%, 0.0010333%), (PNC, 0, 0.94%, 0.0006704%), (CF, 0, 0.94%, 0.0034790%), (MTB, 0, 0.93%, 0.0017073%), (COST, 0, 0.85%, 0.0001112%), (XOM, 0, 0.83%, 0.0000968%), (CSL, 0, 0.81%, 0.0026468%), (EOG, 0, 0.80%, 0.0006800%), (ABT, 0, 0.77%, 0.0002041%), (EG, 0, 0.76%, 0.0029738%), (NTRS, 0, 0.53%, 0.0012104%), (GEV, 0, 0.52%, 0.0001854%), (CRBG, 0, 0.50%, 0.0014597%), (MA, 0, 0.48%, 0.0000535%), (DOV, 0, 0.46%, 0.0009756%), (JNJ, 0, 0.45%, 0.0000636%), (ACM, 0, 0.45%, 0.0016346%), (WTFC, 0, 0.44%, 0.0027542%), (SLM, 0, 0.44%, 0.0036190%), (CINF, 0, 0.43%, 0.0010204%), (MCK, 0, 0.43%, 0.0002661%), (EQH, 0, 0.42%, 0.0014813%), (JXN, 0, 0.41%, 0.0037085%), (MTG, 0, 0.41%, 0.0040194%), (ALL, 0, 0.40%, 0.0004300%), (LNC, 0, 0.39%, 0.0032953%), (NUE, 0, 0.39%, 0.0006666%), (PGR, 0, 0.37%, 0.0001424%), (ADM, 0, 0.37%, 0.0007932%), (NKE, 0, 0.37%, 0.0002346%), (FANG, 0, 0.30%, 0.0004114%)</t>
  </si>
  <si>
    <t>(AVGO, 0, 2.94%, 0.0000890%), (META, 0, 2.58%, 0.0000686%), (BRK/B, 0, 2.03%, 0.0001259%), (CSCO, 0, 1.77%, 0.0002667%), (LIN, 0, 1.70%, 0.0003195%), (AMT, 0, 1.66%, 0.0006464%), (JPM, 0, 1.57%, 0.0000800%), (TSLA, 0, 1.56%, 0.0000600%), (XOM, 0, 1.46%, 0.0001248%), (V, 0, 1.41%, 0.0000964%), (LLY, 0, 1.18%, 0.0000663%), (CB, 0, 1.13%, 0.0004243%), (MA, 0, 1.06%, 0.0000872%), (WM, 0, 1.04%, 0.0004644%), (GE, 0, 0.99%, 0.0001476%), (ORCL, 0, 0.95%, 0.0000550%), (NFLX, 0, 0.91%, 0.0000691%), (NEE, 0, 0.89%, 0.0002308%), (UNH, 0, 0.83%, 0.0001287%), (PG, 0, 0.77%, 0.0000862%), (COST, 0, 0.76%, 0.0000733%), (JNJ, 0, 0.76%, 0.0000795%), (CVX, 0, 0.75%, 0.0000989%), (PLTR, 0, 0.75%, 0.0000879%), (WMT, 0, 0.75%, 0.0000400%), (CAT, 0, 0.71%, 0.0001484%), (RTX, 0, 0.71%, 0.0001428%), (MCD, 0, 0.70%, 0.0001334%), (ABBV, 0, 0.66%, 0.0000796%), (ABT, 0, 0.65%, 0.0001263%), (PM, 0, 0.64%, 0.0000939%), (HD, 0, 0.64%, 0.0000723%), (KO, 0, 0.63%, 0.0000847%), (IBM, 0, 0.63%, 0.0000964%), (BKNG, 0, 0.62%, 0.0001365%), (BA, 0, 0.61%, 0.0001416%), (BAC, 0, 0.60%, 0.0000704%), (CRM, 0, 0.60%, 0.0000979%), (SO, 0, 0.59%, 0.0002328%), (ISRG, 0, 0.57%, 0.0001272%), (AMD, 0, 0.57%, 0.0000900%), (NKE, 0, 0.56%, 0.0002617%), (HON, 0, 0.55%, 0.0001474%), (ETN, 0, 0.53%, 0.0001462%), (DUK, 0, 0.52%, 0.0002323%), (UBER, 0, 0.52%, 0.0001111%), (GS, 0, 0.52%, 0.0000990%), (WFC, 0, 0.51%, 0.0000812%), (INTU, 0, 0.51%, 0.0000979%), (MET, 0, 0.49%, 0.0003896%), (NOW, 0, 0.48%, 0.0000966%), (PEP, 0, 0.45%, 0.0000943%), (DE, 0, 0.45%, 0.0001354%), (TXN, 0, 0.44%, 0.0000904%), (ACN, 0, 0.42%, 0.0000978%), (T, 0, 0.41%, 0.0004042%), (AXP, 0, 0.41%, 0.0000765%), (MS, 0, 0.41%, 0.0000736%), (MRK, 0, 0.40%, 0.0000806%), (SPGI, 0, 0.39%, 0.0000994%), (ADBE, 0, 0.39%, 0.0001025%), (BLK, 0, 0.38%, 0.0000891%), (QCOM, 0, 0.38%, 0.0000926%), (UNP, 0, 0.37%, 0.0001124%), (DIS, 0, 0.37%, 0.0000690%), (VZ, 0, 0.37%, 0.0000863%), (MDT, 0, 0.36%, 0.0001267%), (COP, 0, 0.36%, 0.0001254%), (AMAT, 0, 0.35%, 0.0000931%), (LMT, 0, 0.35%, 0.0001314%), (SBUX, 0, 0.35%, 0.0001325%), (C, 0, 0.33%, 0.0000802%), (SCHW, 0, 0.32%, 0.0000780%), (TMO, 0, 0.32%, 0.0000809%), (AMGN, 0, 0.31%, 0.0000795%), (MMM, 0, 0.30%, 0.0001476%), (EMR, 0, 0.29%, 0.0001457%), (PFE, 0, 0.27%, 0.0000793%), (GILD, 0, 0.27%, 0.0000798%), (CVS, 0, 0.25%, 0.0001256%), (TJX, 0, 0.25%, 0.0000735%), (DHR, 0, 0.25%, 0.0000723%), (MO, 0, 0.23%, 0.0000949%), (CMCSA, 0, 0.22%, 0.0000719%), (LOW, 0, 0.22%, 0.0000733%), (ELV, 0, 0.22%, 0.0001323%), (INTC, 0, 0.22%, 0.0000834%), (MDLZ, 0, 0.21%, 0.0000974%), (UPS, 0, 0.20%, 0.0001094%), (BMY, 0, 0.19%, 0.0000792%), (PYPL, 0, 0.17%, 0.0001015%), (CL, 0, 0.15%, 0.0000867%), (FDX, 0, 0.14%, 0.0001047%), (USB, 0, 0.14%, 0.0000783%), (TGT, 0, 0.09%, 0.0000744%), (nan, 0, -0.00%, 0.0000000%), (nan, 0, -0.01%, 0.0000000%)</t>
  </si>
  <si>
    <t>(GOOGLE, 0, 3.46%, 0.0001322%), (AVGO, 0, 3.09%, 0.0001819%), (META, 0, 2.71%, 0.0001401%), (BRK/B, 0, 2.13%, 0.0002576%), (CSCO, 0, 1.86%, 0.0005454%), (LIN, 0, 1.78%, 0.0006532%), (AMT, 0, 1.74%, 0.0013218%), (JPM, 0, 1.65%, 0.0001635%), (TSLA, 0, 1.64%, 0.0001228%), (XOM, 0, 1.54%, 0.0002553%), (V, 0, 1.48%, 0.0001971%), (LLY, 0, 1.24%, 0.0001356%), (CB, 0, 1.19%, 0.0008677%), (MA, 0, 1.11%, 0.0001782%), (WM, 0, 1.09%, 0.0009494%), (GE, 0, 1.04%, 0.0003019%), (ORCL, 0, 0.99%, 0.0001124%), (NFLX, 0, 0.96%, 0.0001411%), (NEE, 0, 0.93%, 0.0004719%), (UNH, 0, 0.87%, 0.0002632%), (PG, 0, 0.81%, 0.0001764%), (COST, 0, 0.80%, 0.0001501%), (JNJ, 0, 0.80%, 0.0001625%), (CVX, 0, 0.79%, 0.0002021%), (WMT, 0, 0.78%, 0.0000818%), (PLTR, 0, 0.78%, 0.0001797%), (CAT, 0, 0.75%, 0.0003033%), (RTX, 0, 0.75%, 0.0002921%), (MCD, 0, 0.74%, 0.0002728%), (ABBV, 0, 0.70%, 0.0001627%), (ABT, 0, 0.69%, 0.0002584%), (PM, 0, 0.68%, 0.0001920%), (HD, 0, 0.67%, 0.0001480%), (KO, 0, 0.66%, 0.0001732%), (IBM, 0, 0.66%, 0.0001972%), (BKNG, 0, 0.65%, 0.0002792%), (BA, 0, 0.64%, 0.0002894%), (BAC, 0, 0.63%, 0.0001439%), (CRM, 0, 0.63%, 0.0002001%), (SO, 0, 0.62%, 0.0004759%), (ISRG, 0, 0.60%, 0.0002604%), (AMD, 0, 0.59%, 0.0001839%), (NKE, 0, 0.59%, 0.0005352%), (HON, 0, 0.58%, 0.0003013%), (ETN, 0, 0.55%, 0.0002987%), (DUK, 0, 0.55%, 0.0004750%), (UBER, 0, 0.54%, 0.0002271%), (GS, 0, 0.54%, 0.0002027%), (WFC, 0, 0.54%, 0.0001660%), (INTU, 0, 0.53%, 0.0002005%), (MET, 0, 0.52%, 0.0007968%), (NOW, 0, 0.50%, 0.0001976%), (PEP, 0, 0.48%, 0.0001929%), (DE, 0, 0.47%, 0.0002771%), (TXN, 0, 0.46%, 0.0001847%), (ACN, 0, 0.44%, 0.0001999%), (T, 0, 0.43%, 0.0008264%), (AXP, 0, 0.43%, 0.0001565%), (MS, 0, 0.43%, 0.0001505%), (MRK, 0, 0.42%, 0.0001647%), (SPGI, 0, 0.41%, 0.0002031%), (ADBE, 0, 0.41%, 0.0002095%), (QCOM, 0, 0.39%, 0.0001894%), (BLK, 0, 0.39%, 0.0001821%), (UNP, 0, 0.39%, 0.0002300%), (DIS, 0, 0.39%, 0.0001410%), (VZ, 0, 0.39%, 0.0001765%), (MDT, 0, 0.38%, 0.0002590%), (COP, 0, 0.38%, 0.0002565%), (AMAT, 0, 0.37%, 0.0001904%), (LMT, 0, 0.37%, 0.0002684%), (SBUX, 0, 0.36%, 0.0002710%), (C, 0, 0.35%, 0.0001641%), (SCHW, 0, 0.34%, 0.0001595%), (TMO, 0, 0.33%, 0.0001656%), (AMGN, 0, 0.33%, 0.0001623%), (MMM, 0, 0.32%, 0.0003016%), (EMR, 0, 0.30%, 0.0002982%), (PFE, 0, 0.29%, 0.0001621%), (GILD, 0, 0.28%, 0.0001632%), (CVS, 0, 0.26%, 0.0002568%), (TJX, 0, 0.26%, 0.0001503%), (DHR, 0, 0.26%, 0.0001481%), (MO, 0, 0.24%, 0.0001940%), (CMCSA, 0, 0.23%, 0.0001470%), (LOW, 0, 0.23%, 0.0001500%), (ELV, 0, 0.23%, 0.0002704%), (INTC, 0, 0.23%, 0.0001706%), (MDLZ, 0, 0.23%, 0.0001992%), (UPS, 0, 0.21%, 0.0002235%), (BMY, 0, 0.20%, 0.0001621%), (PYPL, 0, 0.18%, 0.0002076%), (CL, 0, 0.16%, 0.0001774%), (FDX, 0, 0.15%, 0.0002144%), (USB, 0, 0.14%, 0.0001601%), (TGT, 0, 0.09%, 0.0001523%), (nan, 0, -0.00%, 0.0000000%), (nan, 0, -0.01%, 0.0000000%)</t>
  </si>
  <si>
    <t>(GOOGLE, 0, 3.50%, 0.0002310%), (AVGO, 0, 3.07%, 0.0003178%), (META, 0, 2.73%, 0.0002448%), (BRK/B, 0, 2.14%, 0.0004499%), (CSCO, 0, 1.87%, 0.0009525%), (LIN, 0, 1.80%, 0.0011410%), (AMT, 0, 1.76%, 0.0023087%), (TSLA, 0, 1.69%, 0.0002145%), (JPM, 0, 1.66%, 0.0002856%), (XOM, 0, 1.49%, 0.0004459%), (V, 0, 1.48%, 0.0003442%), (LLY, 0, 1.26%, 0.0002368%), (CB, 0, 1.19%, 0.0015157%), (MA, 0, 1.11%, 0.0003111%), (WM, 0, 1.11%, 0.0016586%), (GE, 0, 1.06%, 0.0005273%), (ORCL, 0, 0.98%, 0.0001963%), (NEE, 0, 0.94%, 0.0008242%), (NFLX, 0, 0.92%, 0.0002466%), (UNH, 0, 0.86%, 0.0004596%), (PG, 0, 0.81%, 0.0003080%), (JNJ, 0, 0.81%, 0.0002839%), (COST, 0, 0.80%, 0.0002622%), (CVX, 0, 0.79%, 0.0003530%), (WMT, 0, 0.79%, 0.0001428%), (PLTR, 0, 0.78%, 0.0003138%), (RTX, 0, 0.75%, 0.0005102%), (CAT, 0, 0.74%, 0.0005296%), (MCD, 0, 0.74%, 0.0004766%), (ABT, 0, 0.71%, 0.0004513%), (ABBV, 0, 0.69%, 0.0002842%), (PM, 0, 0.68%, 0.0003353%), (HD, 0, 0.67%, 0.0002585%), (IBM, 0, 0.67%, 0.0003444%), (KO, 0, 0.66%, 0.0003025%), (BKNG, 0, 0.65%, 0.0004871%), (BAC, 0, 0.64%, 0.0002514%), (BA, 0, 0.64%, 0.0005055%), (CRM, 0, 0.63%, 0.0003496%), (SO, 0, 0.62%, 0.0008312%), (ISRG, 0, 0.61%, 0.0004544%), (NKE, 0, 0.59%, 0.0009348%), (AMD, 0, 0.58%, 0.0003213%), (HON, 0, 0.57%, 0.0005264%), (DUK, 0, 0.56%, 0.0008298%), (ETN, 0, 0.55%, 0.0005217%), (GS, 0, 0.55%, 0.0003541%), (UBER, 0, 0.55%, 0.0003968%), (WFC, 0, 0.55%, 0.0002899%), (INTU, 0, 0.53%, 0.0003501%), (MET, 0, 0.52%, 0.0013917%), (NOW, 0, 0.50%, 0.0003447%), (DE, 0, 0.48%, 0.0004839%), (PEP, 0, 0.47%, 0.0003368%), (TXN, 0, 0.46%, 0.0003226%), (ACN, 0, 0.45%, 0.0003492%), (T, 0, 0.43%, 0.0014435%), (MS, 0, 0.43%, 0.0002629%), (AXP, 0, 0.42%, 0.0002734%), (MRK, 0, 0.42%, 0.0002877%), (SPGI, 0, 0.41%, 0.0003547%), (ADBE, 0, 0.41%, 0.0003660%), (QCOM, 0, 0.40%, 0.0003309%), (BLK, 0, 0.40%, 0.0003184%), (DIS, 0, 0.39%, 0.0002463%), (UNP, 0, 0.39%, 0.0004016%), (VZ, 0, 0.39%, 0.0003083%), (MDT, 0, 0.38%, 0.0004523%), (COP, 0, 0.37%, 0.0004480%), (SBUX, 0, 0.37%, 0.0004732%), (AMAT, 0, 0.37%, 0.0003325%), (LMT, 0, 0.37%, 0.0004685%), (C, 0, 0.35%, 0.0002865%), (SCHW, 0, 0.35%, 0.0002786%), (TMO, 0, 0.33%, 0.0002893%), (AMGN, 0, 0.33%, 0.0002836%), (MMM, 0, 0.31%, 0.0005267%), (EMR, 0, 0.31%, 0.0005206%), (PFE, 0, 0.29%, 0.0002832%), (GILD, 0, 0.28%, 0.0002851%), (TJX, 0, 0.26%, 0.0002625%), (CVS, 0, 0.26%, 0.0004485%), (DHR, 0, 0.25%, 0.0002585%), (MO, 0, 0.24%, 0.0003389%), (CMCSA, 0, 0.23%, 0.0002568%), (LOW, 0, 0.23%, 0.0002621%), (INTC, 0, 0.23%, 0.0002979%), (MDLZ, 0, 0.23%, 0.0003478%), (ELV, 0, 0.21%, 0.0004720%), (UPS, 0, 0.21%, 0.0003905%), (BMY, 0, 0.20%, 0.0002830%), (PYPL, 0, 0.18%, 0.0003625%), (CL, 0, 0.16%, 0.0003098%), (FDX, 0, 0.15%, 0.0003742%), (USB, 0, 0.14%, 0.0002796%), (TGT, 0, 0.09%, 0.0002658%), (nan, 0, -0.01%, 0.0000000%), (nan, 0, -0.01%, 0.0000000%)</t>
  </si>
  <si>
    <t>(GOOGLE, 0, 3.49%, 0.0001720%), (AVGO, 0, 3.06%, 0.0002366%), (META, 0, 2.72%, 0.0001823%), (BRK/B, 0, 2.13%, 0.0003350%), (CSCO, 0, 1.86%, 0.0007094%), (LIN, 0, 1.80%, 0.0008498%), (AMT, 0, 1.75%, 0.0017193%), (TSLA, 0, 1.68%, 0.0001597%), (JPM, 0, 1.65%, 0.0002127%), (XOM, 0, 1.49%, 0.0003320%), (V, 0, 1.48%, 0.0002563%), (LLY, 0, 1.25%, 0.0001763%), (CB, 0, 1.19%, 0.0011287%), (MA, 0, 1.11%, 0.0002317%), (WM, 0, 1.10%, 0.0012351%), (GE, 0, 1.05%, 0.0003927%), (ORCL, 0, 0.98%, 0.0001462%), (NEE, 0, 0.94%, 0.0006137%), (NFLX, 0, 0.92%, 0.0001836%), (UNH, 0, 0.85%, 0.0003423%), (PG, 0, 0.81%, 0.0002294%), (JNJ, 0, 0.80%, 0.0002114%), (COST, 0, 0.80%, 0.0001954%), (CVX, 0, 0.79%, 0.0002629%), (WMT, 0, 0.78%, 0.0001064%), (PLTR, 0, 0.78%, 0.0002337%), (RTX, 0, 0.75%, 0.0003799%), (CAT, 0, 0.74%, 0.0003945%), (MCD, 0, 0.73%, 0.0003550%), (ABT, 0, 0.70%, 0.0003361%), (ABBV, 0, 0.69%, 0.0002117%), (PM, 0, 0.68%, 0.0002497%), (HD, 0, 0.67%, 0.0001925%), (IBM, 0, 0.67%, 0.0002564%), (KO, 0, 0.66%, 0.0002253%), (BKNG, 0, 0.65%, 0.0003630%), (BAC, 0, 0.64%, 0.0001872%), (BA, 0, 0.64%, 0.0003764%), (CRM, 0, 0.63%, 0.0002603%), (SO, 0, 0.62%, 0.0006190%), (ISRG, 0, 0.60%, 0.0003385%), (NKE, 0, 0.58%, 0.0006961%), (AMD, 0, 0.58%, 0.0002393%), (HON, 0, 0.57%, 0.0003919%), (DUK, 0, 0.55%, 0.0006179%), (ETN, 0, 0.55%, 0.0003884%), (GS, 0, 0.54%, 0.0002637%), (UBER, 0, 0.54%, 0.0002955%), (WFC, 0, 0.54%, 0.0002159%), (INTU, 0, 0.53%, 0.0002608%), (MET, 0, 0.52%, 0.0010364%), (NOW, 0, 0.50%, 0.0002567%), (DE, 0, 0.47%, 0.0003603%), (PEP, 0, 0.47%, 0.0002509%), (TXN, 0, 0.46%, 0.0002403%), (ACN, 0, 0.45%, 0.0002601%), (T, 0, 0.43%, 0.0010750%), (MS, 0, 0.43%, 0.0001958%), (AXP, 0, 0.42%, 0.0002035%), (MRK, 0, 0.42%, 0.0002143%), (SPGI, 0, 0.41%, 0.0002642%), (ADBE, 0, 0.41%, 0.0002726%), (QCOM, 0, 0.40%, 0.0002463%), (BLK, 0, 0.39%, 0.0002370%), (DIS, 0, 0.39%, 0.0001834%), (UNP, 0, 0.39%, 0.0002991%), (VZ, 0, 0.38%, 0.0002296%), (MDT, 0, 0.38%, 0.0003369%), (COP, 0, 0.37%, 0.0003336%), (SBUX, 0, 0.37%, 0.0003524%), (AMAT, 0, 0.37%, 0.0002477%), (LMT, 0, 0.36%, 0.0003488%), (C, 0, 0.35%, 0.0002134%), (SCHW, 0, 0.35%, 0.0002075%), (TMO, 0, 0.33%, 0.0002153%), (AMGN, 0, 0.33%, 0.0002112%), (MMM, 0, 0.31%, 0.0003923%), (EMR, 0, 0.30%, 0.0003877%), (PFE, 0, 0.29%, 0.0002109%), (GILD, 0, 0.28%, 0.0002123%), (TJX, 0, 0.26%, 0.0001955%), (CVS, 0, 0.26%, 0.0003340%), (DHR, 0, 0.25%, 0.0001925%), (MO, 0, 0.24%, 0.0002523%), (CMCSA, 0, 0.23%, 0.0001913%), (LOW, 0, 0.23%, 0.0001951%), (INTC, 0, 0.23%, 0.0002219%), (MDLZ, 0, 0.23%, 0.0002591%), (ELV, 0, 0.21%, 0.0003514%), (UPS, 0, 0.21%, 0.0002907%), (BMY, 0, 0.20%, 0.0002108%), (PYPL, 0, 0.18%, 0.0002700%), (CL, 0, 0.16%, 0.0002306%), (FDX, 0, 0.15%, 0.0002789%), (USB, 0, 0.14%, 0.0002083%), (TGT, 0, 0.09%, 0.0001981%), (nan, 0, -0.01%, 0.0000000%), (nan, 0, -0.01%, 0.0000000%)</t>
  </si>
  <si>
    <t>(GOOGLE, 0, 3.52%, 0.0000403%), (AVGO, 0, 3.09%, 0.0000555%), (META, 0, 2.75%, 0.0000427%), (BRK/B, 0, 2.15%, 0.0000786%), (CSCO, 0, 1.88%, 0.0001663%), (LIN, 0, 1.81%, 0.0001992%), (AMT, 0, 1.77%, 0.0004031%), (TSLA, 0, 1.70%, 0.0000374%), (JPM, 0, 1.67%, 0.0000499%), (XOM, 0, 1.50%, 0.0000778%), (V, 0, 1.49%, 0.0000601%), (LLY, 0, 1.27%, 0.0000414%), (CB, 0, 1.20%, 0.0002645%), (MA, 0, 1.12%, 0.0000543%), (WM, 0, 1.11%, 0.0002894%), (GE, 0, 1.06%, 0.0000921%), (ORCL, 0, 0.99%, 0.0000343%), (NEE, 0, 0.95%, 0.0001439%), (NFLX, 0, 0.92%, 0.0000430%), (UNH, 0, 0.86%, 0.0000803%), (PG, 0, 0.82%, 0.0000538%), (JNJ, 0, 0.81%, 0.0000496%), (COST, 0, 0.81%, 0.0000458%), (CVX, 0, 0.79%, 0.0000616%), (WMT, 0, 0.79%, 0.0000249%), (PLTR, 0, 0.79%, 0.0000548%), (RTX, 0, 0.75%, 0.0000891%), (CAT, 0, 0.75%, 0.0000924%), (MCD, 0, 0.74%, 0.0000832%), (ABT, 0, 0.71%, 0.0000788%), (ABBV, 0, 0.70%, 0.0000496%), (PM, 0, 0.68%, 0.0000585%), (HD, 0, 0.68%, 0.0000451%), (IBM, 0, 0.67%, 0.0000601%), (KO, 0, 0.67%, 0.0000528%), (BKNG, 0, 0.65%, 0.0000838%), (BA, 0, 0.64%, 0.0000883%), (BAC, 0, 0.64%, 0.0000439%), (CRM, 0, 0.64%, 0.0000610%), (SO, 0, 0.63%, 0.0001451%), (ISRG, 0, 0.61%, 0.0000793%), (AMD, 0, 0.59%, 0.0000561%), (NKE, 0, 0.59%, 0.0001632%), (HON, 0, 0.58%, 0.0000918%), (DUK, 0, 0.56%, 0.0001449%), (ETN, 0, 0.56%, 0.0000912%), (UBER, 0, 0.55%, 0.0000692%), (WFC, 0, 0.55%, 0.0000506%), (GS, 0, 0.55%, 0.0000617%), (INTU, 0, 0.54%, 0.0000610%), (MET, 0, 0.52%, 0.0002430%), (NOW, 0, 0.51%, 0.0000601%), (DE, 0, 0.48%, 0.0000843%), (PEP, 0, 0.48%, 0.0000588%), (TXN, 0, 0.47%, 0.0000563%), (ACN, 0, 0.45%, 0.0000610%), (T, 0, 0.44%, 0.0002520%), (MS, 0, 0.43%, 0.0000459%), (AXP, 0, 0.43%, 0.0000478%), (MRK, 0, 0.42%, 0.0000502%), (SPGI, 0, 0.41%, 0.0000621%), (ADBE, 0, 0.41%, 0.0000640%), (QCOM, 0, 0.40%, 0.0000577%), (BLK, 0, 0.40%, 0.0000555%), (DIS, 0, 0.39%, 0.0000430%), (UNP, 0, 0.39%, 0.0000701%), (VZ, 0, 0.39%, 0.0000538%), (MDT, 0, 0.38%, 0.0000790%), (COP, 0, 0.38%, 0.0000782%), (SBUX, 0, 0.37%, 0.0000826%), (AMAT, 0, 0.37%, 0.0000580%), (LMT, 0, 0.37%, 0.0000817%), (C, 0, 0.35%, 0.0000500%), (SCHW, 0, 0.35%, 0.0000486%), (TMO, 0, 0.33%, 0.0000506%), (AMGN, 0, 0.33%, 0.0000496%), (MMM, 0, 0.31%, 0.0000921%), (EMR, 0, 0.31%, 0.0000910%), (PFE, 0, 0.29%, 0.0000494%), (GILD, 0, 0.28%, 0.0000498%), (TJX, 0, 0.26%, 0.0000458%), (CVS, 0, 0.26%, 0.0000783%), (DHR, 0, 0.25%, 0.0000452%), (MO, 0, 0.24%, 0.0000592%), (LOW, 0, 0.24%, 0.0000458%), (CMCSA, 0, 0.24%, 0.0000448%), (INTC, 0, 0.23%, 0.0000520%), (MDLZ, 0, 0.23%, 0.0000608%), (ELV, 0, 0.21%, 0.0000823%), (UPS, 0, 0.21%, 0.0000682%), (BMY, 0, 0.20%, 0.0000494%), (PYPL, 0, 0.18%, 0.0000633%), (CL, 0, 0.16%, 0.0000541%), (FDX, 0, 0.15%, 0.0000653%), (USB, 0, 0.15%, 0.0000488%), (TGT, 0, 0.09%, 0.0000464%), (nan, 0, -0.01%, 0.0000000%), (nan, 0, -0.01%, 0.0000000%)</t>
  </si>
  <si>
    <t>(GOOGLE, 0, 3.36%, 0.0000794%), (AVGO, 0, 2.95%, 0.0001093%), (META, 0, 2.62%, 0.0000842%), (BRK/B, 0, 2.05%, 0.0001547%), (CSCO, 0, 1.79%, 0.0003276%), (LIN, 0, 1.73%, 0.0003923%), (AMT, 0, 1.69%, 0.0007940%), (TSLA, 0, 1.63%, 0.0000738%), (JPM, 0, 1.59%, 0.0000982%), (XOM, 0, 1.43%, 0.0001533%), (V, 0, 1.43%, 0.0001184%), (LLY, 0, 1.21%, 0.0000814%), (CB, 0, 1.14%, 0.0005212%), (MA, 0, 1.07%, 0.0001070%), (WM, 0, 1.06%, 0.0005704%), (GE, 0, 1.02%, 0.0001814%), (ORCL, 0, 0.95%, 0.0000675%), (NEE, 0, 0.91%, 0.0002834%), (NFLX, 0, 0.88%, 0.0000847%), (UNH, 0, 0.82%, 0.0001581%), (PG, 0, 0.78%, 0.0001059%), (JNJ, 0, 0.78%, 0.0000976%), (COST, 0, 0.77%, 0.0000903%), (CVX, 0, 0.76%, 0.0001214%), (WMT, 0, 0.76%, 0.0000491%), (PLTR, 0, 0.75%, 0.0001079%), (RTX, 0, 0.72%, 0.0001754%), (CAT, 0, 0.71%, 0.0001821%), (MCD, 0, 0.71%, 0.0001638%), (ABT, 0, 0.68%, 0.0001552%), (ABBV, 0, 0.66%, 0.0000977%), (PM, 0, 0.65%, 0.0001153%), (HD, 0, 0.65%, 0.0000889%), (IBM, 0, 0.64%, 0.0001184%), (KO, 0, 0.64%, 0.0001040%), (BKNG, 0, 0.63%, 0.0001675%), (BAC, 0, 0.62%, 0.0000864%), (BA, 0, 0.61%, 0.0001738%), (CRM, 0, 0.61%, 0.0001202%), (SO, 0, 0.60%, 0.0002859%), (ISRG, 0, 0.58%, 0.0001563%), (AMD, 0, 0.56%, 0.0001105%), (NKE, 0, 0.56%, 0.0003214%), (HON, 0, 0.55%, 0.0001810%), (DUK, 0, 0.53%, 0.0002853%), (ETN, 0, 0.53%, 0.0001793%), (GS, 0, 0.52%, 0.0001217%), (UBER, 0, 0.52%, 0.0001364%), (WFC, 0, 0.52%, 0.0000997%), (INTU, 0, 0.51%, 0.0001205%), (MET, 0, 0.50%, 0.0004785%), (NOW, 0, 0.48%, 0.0001188%), (DE, 0, 0.46%, 0.0001665%), (PEP, 0, 0.45%, 0.0001158%), (TXN, 0, 0.44%, 0.0001109%), (ACN, 0, 0.43%, 0.0001201%), (T, 0, 0.42%, 0.0004964%), (MS, 0, 0.41%, 0.0000904%), (AXP, 0, 0.41%, 0.0000939%), (MRK, 0, 0.40%, 0.0000989%), (SPGI, 0, 0.39%, 0.0001219%), (ADBE, 0, 0.39%, 0.0001259%), (QCOM, 0, 0.39%, 0.0001137%), (BLK, 0, 0.38%, 0.0001091%), (DIS, 0, 0.38%, 0.0000847%), (UNP, 0, 0.37%, 0.0001381%), (VZ, 0, 0.37%, 0.0001060%), (MDT, 0, 0.36%, 0.0001555%), (COP, 0, 0.36%, 0.0001541%), (SBUX, 0, 0.35%, 0.0001628%), (AMAT, 0, 0.35%, 0.0001144%), (LMT, 0, 0.35%, 0.0001612%), (C, 0, 0.34%, 0.0000985%), (SCHW, 0, 0.34%, 0.0000958%), (TMO, 0, 0.32%, 0.0000995%), (AMGN, 0, 0.31%, 0.0000975%), (MMM, 0, 0.30%, 0.0001811%), (EMR, 0, 0.29%, 0.0001791%), (PFE, 0, 0.28%, 0.0000974%), (GILD, 0, 0.27%, 0.0000981%), (TJX, 0, 0.25%, 0.0000903%), (CVS, 0, 0.25%, 0.0001542%), (DHR, 0, 0.24%, 0.0000889%), (MO, 0, 0.23%, 0.0001165%), (CMCSA, 0, 0.23%, 0.0000883%), (LOW, 0, 0.23%, 0.0000900%), (INTC, 0, 0.22%, 0.0001024%), (MDLZ, 0, 0.22%, 0.0001196%), (ELV, 0, 0.20%, 0.0001624%), (UPS, 0, 0.20%, 0.0001342%), (BMY, 0, 0.19%, 0.0000973%), (PYPL, 0, 0.17%, 0.0001246%), (CL, 0, 0.15%, 0.0001066%), (FDX, 0, 0.14%, 0.0001288%), (USB, 0, 0.14%, 0.0000961%), (TGT, 0, 0.09%, 0.0000915%), (nan, 0, -0.01%, 0.0000000%), (nan, 0, -0.01%, 0.0000000%)</t>
  </si>
  <si>
    <t>(GOOGLE, 0, 3.43%, 0.0000255%), (AVGO, 0, 3.01%, 0.0000350%), (META, 0, 2.68%, 0.0000270%), (BRK/B, 0, 2.10%, 0.0000496%), (CSCO, 0, 1.83%, 0.0001051%), (LIN, 0, 1.77%, 0.0001259%), (AMT, 0, 1.72%, 0.0002546%), (TSLA, 0, 1.66%, 0.0000237%), (JPM, 0, 1.63%, 0.0000315%), (XOM, 0, 1.46%, 0.0000492%), (V, 0, 1.45%, 0.0000380%), (LLY, 0, 1.23%, 0.0000261%), (CB, 0, 1.17%, 0.0001672%), (MA, 0, 1.09%, 0.0000343%), (WM, 0, 1.08%, 0.0001829%), (GE, 0, 1.04%, 0.0000581%), (ORCL, 0, 0.97%, 0.0000216%), (NEE, 0, 0.92%, 0.0000909%), (NFLX, 0, 0.90%, 0.0000271%), (UNH, 0, 0.84%, 0.0000507%), (PG, 0, 0.80%, 0.0000340%), (JNJ, 0, 0.79%, 0.0000313%), (COST, 0, 0.79%, 0.0000289%), (CVX, 0, 0.77%, 0.0000389%), (WMT, 0, 0.77%, 0.0000158%), (PLTR, 0, 0.77%, 0.0000346%), (RTX, 0, 0.73%, 0.0000562%), (CAT, 0, 0.73%, 0.0000585%), (MCD, 0, 0.72%, 0.0000526%), (ABT, 0, 0.69%, 0.0000498%), (ABBV, 0, 0.68%, 0.0000314%), (PM, 0, 0.67%, 0.0000370%), (HD, 0, 0.66%, 0.0000285%), (IBM, 0, 0.66%, 0.0000380%), (KO, 0, 0.65%, 0.0000334%), (BA, 0, 0.63%, 0.0000558%), (BAC, 0, 0.63%, 0.0000277%), (BKNG, 0, 0.63%, 0.0000527%), (CRM, 0, 0.62%, 0.0000386%), (SO, 0, 0.61%, 0.0000917%), (ISRG, 0, 0.60%, 0.0000502%), (AMD, 0, 0.58%, 0.0000354%), (NKE, 0, 0.57%, 0.0001031%), (HON, 0, 0.56%, 0.0000581%), (DUK, 0, 0.54%, 0.0000915%), (ETN, 0, 0.54%, 0.0000575%), (GS, 0, 0.54%, 0.0000390%), (UBER, 0, 0.53%, 0.0000438%), (WFC, 0, 0.53%, 0.0000320%), (INTU, 0, 0.53%, 0.0000387%), (MET, 0, 0.51%, 0.0001535%), (NOW, 0, 0.49%, 0.0000380%), (DE, 0, 0.47%, 0.0000533%), (PEP, 0, 0.47%, 0.0000372%), (TXN, 0, 0.45%, 0.0000355%), (ACN, 0, 0.44%, 0.0000385%), (T, 0, 0.43%, 0.0001592%), (MS, 0, 0.42%, 0.0000290%), (AXP, 0, 0.41%, 0.0000302%), (MRK, 0, 0.41%, 0.0000317%), (SPGI, 0, 0.40%, 0.0000390%), (ADBE, 0, 0.40%, 0.0000404%), (QCOM, 0, 0.39%, 0.0000365%), (BLK, 0, 0.39%, 0.0000349%), (DIS, 0, 0.38%, 0.0000271%), (UNP, 0, 0.38%, 0.0000443%), (VZ, 0, 0.38%, 0.0000340%), (MDT, 0, 0.37%, 0.0000499%), (COP, 0, 0.37%, 0.0000494%), (LMT, 0, 0.36%, 0.0000519%), (SBUX, 0, 0.36%, 0.0000522%), (AMAT, 0, 0.36%, 0.0000367%), (C, 0, 0.35%, 0.0000316%), (SCHW, 0, 0.34%, 0.0000307%), (TMO, 0, 0.32%, 0.0000319%), (AMGN, 0, 0.32%, 0.0000312%), (MMM, 0, 0.31%, 0.0000582%), (EMR, 0, 0.30%, 0.0000574%), (PFE, 0, 0.28%, 0.0000312%), (GILD, 0, 0.27%, 0.0000315%), (TJX, 0, 0.25%, 0.0000289%), (CVS, 0, 0.25%, 0.0000495%), (DHR, 0, 0.25%, 0.0000285%), (MO, 0, 0.24%, 0.0000374%), (CMCSA, 0, 0.23%, 0.0000283%), (LOW, 0, 0.23%, 0.0000289%), (INTC, 0, 0.23%, 0.0000328%), (MDLZ, 0, 0.22%, 0.0000384%), (ELV, 0, 0.21%, 0.0000522%), (UPS, 0, 0.20%, 0.0000431%), (BMY, 0, 0.19%, 0.0000312%), (PYPL, 0, 0.18%, 0.0000400%), (CL, 0, 0.15%, 0.0000341%), (FDX, 0, 0.14%, 0.0000411%), (USB, 0, 0.14%, 0.0000308%), (TGT, 0, 0.09%, 0.0000293%), (nan, 0, -0.01%, 0.0000000%), (nan, 0, -0.01%, 0.0000000%)</t>
  </si>
  <si>
    <t>(GOOGLE, 0, 3.66%, 0.0000613%), (AVGO, 0, 3.21%, 0.0000843%), (META, 0, 2.85%, 0.0000649%), (BRK/B, 0, 2.23%, 0.0001193%), (CSCO, 0, 1.95%, 0.0002527%), (LIN, 0, 1.88%, 0.0003026%), (AMT, 0, 1.84%, 0.0006124%), (TSLA, 0, 1.76%, 0.0000569%), (JPM, 0, 1.73%, 0.0000758%), (XOM, 0, 1.56%, 0.0001183%), (V, 0, 1.55%, 0.0000913%), (LLY, 0, 1.31%, 0.0000628%), (CB, 0, 1.24%, 0.0004020%), (MA, 0, 1.16%, 0.0000826%), (WM, 0, 1.16%, 0.0004401%), (GE, 0, 1.10%, 0.0001398%), (ORCL, 0, 1.03%, 0.0000521%), (NEE, 0, 0.99%, 0.0002186%), (NFLX, 0, 0.96%, 0.0000654%), (UNH, 0, 0.90%, 0.0001220%), (PG, 0, 0.85%, 0.0000817%), (JNJ, 0, 0.84%, 0.0000753%), (COST, 0, 0.84%, 0.0000695%), (CVX, 0, 0.82%, 0.0000937%), (WMT, 0, 0.82%, 0.0000379%), (PLTR, 0, 0.82%, 0.0000832%), (RTX, 0, 0.78%, 0.0001354%), (CAT, 0, 0.78%, 0.0001405%), (MCD, 0, 0.77%, 0.0001264%), (ABT, 0, 0.74%, 0.0001197%), (ABBV, 0, 0.72%, 0.0000754%), (PM, 0, 0.71%, 0.0000890%), (HD, 0, 0.70%, 0.0000686%), (IBM, 0, 0.70%, 0.0000914%), (KO, 0, 0.69%, 0.0000802%), (BKNG, 0, 0.69%, 0.0001303%), (BAC, 0, 0.67%, 0.0000667%), (BA, 0, 0.67%, 0.0001341%), (CRM, 0, 0.66%, 0.0000928%), (SO, 0, 0.65%, 0.0002205%), (ISRG, 0, 0.63%, 0.0001205%), (NKE, 0, 0.61%, 0.0002480%), (AMD, 0, 0.61%, 0.0000852%), (HON, 0, 0.60%, 0.0001396%), (DUK, 0, 0.58%, 0.0002201%), (ETN, 0, 0.58%, 0.0001385%), (GS, 0, 0.57%, 0.0000940%), (UBER, 0, 0.57%, 0.0001053%), (WFC, 0, 0.57%, 0.0000769%), (INTU, 0, 0.56%, 0.0000929%), (MET, 0, 0.54%, 0.0003692%), (NOW, 0, 0.52%, 0.0000913%), (DE, 0, 0.50%, 0.0001284%), (PEP, 0, 0.49%, 0.0000894%), (TXN, 0, 0.48%, 0.0000856%), (ACN, 0, 0.47%, 0.0000926%), (T, 0, 0.45%, 0.0003830%), (MS, 0, 0.45%, 0.0000697%), (AXP, 0, 0.44%, 0.0000726%), (MRK, 0, 0.44%, 0.0000763%), (SPGI, 0, 0.43%, 0.0000941%), (ADBE, 0, 0.43%, 0.0000972%), (QCOM, 0, 0.42%, 0.0000878%), (BLK, 0, 0.41%, 0.0000846%), (DIS, 0, 0.41%, 0.0000654%), (UNP, 0, 0.41%, 0.0001065%), (VZ, 0, 0.40%, 0.0000818%), (MDT, 0, 0.40%, 0.0001200%), (COP, 0, 0.39%, 0.0001188%), (AMAT, 0, 0.38%, 0.0000882%), (SBUX, 0, 0.38%, 0.0001255%), (LMT, 0, 0.38%, 0.0001245%), (C, 0, 0.37%, 0.0000760%), (SCHW, 0, 0.36%, 0.0000739%), (TMO, 0, 0.34%, 0.0000767%), (AMGN, 0, 0.34%, 0.0000752%), (MMM, 0, 0.33%, 0.0001397%), (EMR, 0, 0.32%, 0.0001381%), (PFE, 0, 0.30%, 0.0000751%), (GILD, 0, 0.29%, 0.0000756%), (TJX, 0, 0.27%, 0.0000696%), (CVS, 0, 0.27%, 0.0001190%), (DHR, 0, 0.26%, 0.0000685%), (MO, 0, 0.25%, 0.0000899%), (CMCSA, 0, 0.25%, 0.0000681%), (LOW, 0, 0.24%, 0.0000695%), (INTC, 0, 0.24%, 0.0000790%), (MDLZ, 0, 0.24%, 0.0000923%), (ELV, 0, 0.22%, 0.0001251%), (UPS, 0, 0.22%, 0.0001035%), (BMY, 0, 0.21%, 0.0000751%), (PYPL, 0, 0.19%, 0.0000962%), (CL, 0, 0.16%, 0.0000821%), (FDX, 0, 0.15%, 0.0000992%), (USB, 0, 0.15%, 0.0000742%), (TGT, 0, 0.10%, 0.0000706%), (nan, 0, -0.01%, 0.0000000%), (nan, 0, -0.01%, 0.0000000%)</t>
  </si>
  <si>
    <t>BK, EBAY, MSFT, META, BKNG, JPM, EWBC, BLK, UNM, AMAT, RJF, GOOGLE</t>
  </si>
  <si>
    <t>(MLI, 0, 1.90%, 0.0112112%), (V, 0, 1.88%, 0.0001750%), (AXP, 0, 1.87%, 0.0004869%), (TRV, 0, 1.82%, 0.0016959%), (SNA, 0, 1.80%, 0.0056992%), (EA, 0, 1.80%, 0.0026583%), (KLAC, 0, 1.77%, 0.0008007%), (HIG, 0, 1.77%, 0.0028570%), (ADP, 0, 1.73%, 0.0007853%), (NVDA, 0, 1.73%, 0.0000229%), (CB, 0, 1.66%, 0.0008522%), (PHM, 0, 1.66%, 0.0043280%), (CTSH, 0, 1.64%, 0.0024896%), (CRM, 0, 1.62%, 0.0003578%), (PCAR, 0, 1.59%, 0.0017902%), (SYF, 0, 1.57%, 0.0034470%), (ROST, 0, 1.56%, 0.0020367%), (PAYC, 0, 1.51%, 0.0062840%), (ACN, 0, 1.45%, 0.0004548%), (LEN, 0, 1.39%, 0.0031358%), (QCOM, 0, 1.34%, 0.0004445%), (WSM, 0, 1.29%, 0.0034518%), (BKR, 0, 1.27%, 0.0017920%), (AFL, 0, 1.21%, 0.0012281%), (ODFL, 0, 1.19%, 0.0019384%), (AAPL, 0, 1.18%, 0.0000210%), (ELV, 0, 1.14%, 0.0010246%), (LRCX, 0, 1.11%, 0.0004876%), (DHI, 0, 1.11%, 0.0015838%), (CSCO, 0, 1.09%, 0.0002250%), (GE, 0, 1.02%, 0.0002035%), (MPWR, 0, 1.00%, 0.0015848%), (STT, 0, 0.97%, 0.0017650%), (AMP, 0, 0.95%, 0.0010333%), (CF, 0, 0.94%, 0.0034790%), (PNC, 0, 0.94%, 0.0006704%), (MTB, 0, 0.93%, 0.0017073%), (COST, 0, 0.85%, 0.0001112%), (CSL, 0, 0.82%, 0.0026468%), (XOM, 0, 0.80%, 0.0000968%), (ABT, 0, 0.79%, 0.0002041%), (EOG, 0, 0.79%, 0.0006800%), (EG, 0, 0.75%, 0.0029738%), (NTRS, 0, 0.53%, 0.0012104%), (GEV, 0, 0.52%, 0.0001854%), (CRBG, 0, 0.50%, 0.0014597%), (MA, 0, 0.48%, 0.0000535%), (DOV, 0, 0.46%, 0.0009756%), (JNJ, 0, 0.45%, 0.0000636%), (WTFC, 0, 0.45%, 0.0027542%), (ACM, 0, 0.44%, 0.0016346%), (SLM, 0, 0.44%, 0.0036190%), (CINF, 0, 0.43%, 0.0010204%), (MCK, 0, 0.42%, 0.0002661%), (EQH, 0, 0.42%, 0.0014813%), (MTG, 0, 0.41%, 0.0040194%), (JXN, 0, 0.41%, 0.0037085%), (ALL, 0, 0.40%, 0.0004300%), (LNC, 0, 0.39%, 0.0032953%), (NUE, 0, 0.39%, 0.0006666%), (ADM, 0, 0.37%, 0.0007932%), (PGR, 0, 0.37%, 0.0001424%), (NKE, 0, 0.37%, 0.0002346%), (FANG, 0, 0.30%, 0.0004114%)</t>
  </si>
  <si>
    <t>(AVGO, 0, 2.92%, 0.0000890%), (META, 0, 2.59%, 0.0000686%), (BRK/B, 0, 2.03%, 0.0001259%), (CSCO, 0, 1.77%, 0.0002667%), (LIN, 0, 1.71%, 0.0003195%), (AMT, 0, 1.67%, 0.0006464%), (TSLA, 0, 1.61%, 0.0000600%), (JPM, 0, 1.57%, 0.0000800%), (XOM, 0, 1.41%, 0.0001248%), (V, 0, 1.41%, 0.0000964%), (LLY, 0, 1.19%, 0.0000663%), (CB, 0, 1.13%, 0.0004243%), (MA, 0, 1.06%, 0.0000872%), (WM, 0, 1.05%, 0.0004644%), (GE, 0, 1.00%, 0.0001476%), (ORCL, 0, 0.94%, 0.0000550%), (NEE, 0, 0.90%, 0.0002308%), (NFLX, 0, 0.87%, 0.0000691%), (UNH, 0, 0.81%, 0.0001287%), (PG, 0, 0.77%, 0.0000862%), (JNJ, 0, 0.77%, 0.0000795%), (COST, 0, 0.76%, 0.0000733%), (CVX, 0, 0.75%, 0.0000989%), (WMT, 0, 0.75%, 0.0000400%), (PLTR, 0, 0.74%, 0.0000879%), (RTX, 0, 0.71%, 0.0001428%), (CAT, 0, 0.71%, 0.0001484%), (MCD, 0, 0.70%, 0.0001334%), (ABT, 0, 0.67%, 0.0001263%), (ABBV, 0, 0.66%, 0.0000796%), (PM, 0, 0.64%, 0.0000939%), (HD, 0, 0.64%, 0.0000723%), (IBM, 0, 0.63%, 0.0000964%), (KO, 0, 0.63%, 0.0000847%), (BKNG, 0, 0.62%, 0.0001365%), (BA, 0, 0.61%, 0.0001416%), (BAC, 0, 0.61%, 0.0000704%), (CRM, 0, 0.60%, 0.0000979%), (SO, 0, 0.59%, 0.0002328%), (ISRG, 0, 0.58%, 0.0001272%), (AMD, 0, 0.56%, 0.0000900%), (NKE, 0, 0.56%, 0.0002617%), (HON, 0, 0.55%, 0.0001474%), (DUK, 0, 0.53%, 0.0002323%), (ETN, 0, 0.53%, 0.0001462%), (GS, 0, 0.52%, 0.0000990%), (UBER, 0, 0.52%, 0.0001111%), (WFC, 0, 0.52%, 0.0000812%), (INTU, 0, 0.51%, 0.0000979%), (MET, 0, 0.49%, 0.0003896%), (NOW, 0, 0.48%, 0.0000966%), (DE, 0, 0.45%, 0.0001354%), (PEP, 0, 0.45%, 0.0000943%), (TXN, 0, 0.44%, 0.0000904%), (ACN, 0, 0.42%, 0.0000978%), (T, 0, 0.41%, 0.0004042%), (MS, 0, 0.41%, 0.0000736%), (AXP, 0, 0.40%, 0.0000765%), (MRK, 0, 0.40%, 0.0000806%), (SPGI, 0, 0.39%, 0.0000994%), (ADBE, 0, 0.39%, 0.0001025%), (QCOM, 0, 0.38%, 0.0000926%), (BLK, 0, 0.38%, 0.0000891%), (DIS, 0, 0.37%, 0.0000690%), (UNP, 0, 0.37%, 0.0001124%), (VZ, 0, 0.37%, 0.0000863%), (MDT, 0, 0.36%, 0.0001267%), (COP, 0, 0.35%, 0.0001254%), (AMAT, 0, 0.35%, 0.0000931%), (SBUX, 0, 0.35%, 0.0001325%), (LMT, 0, 0.35%, 0.0001314%), (C, 0, 0.34%, 0.0000802%), (SCHW, 0, 0.33%, 0.0000780%), (AMGN, 0, 0.31%, 0.0000795%), (TMO, 0, 0.31%, 0.0000809%), (MMM, 0, 0.30%, 0.0001476%), (EMR, 0, 0.29%, 0.0001457%), (PFE, 0, 0.27%, 0.0000793%), (GILD, 0, 0.26%, 0.0000798%), (TJX, 0, 0.25%, 0.0000735%), (CVS, 0, 0.24%, 0.0001256%), (DHR, 0, 0.24%, 0.0000723%), (MO, 0, 0.23%, 0.0000949%), (CMCSA, 0, 0.22%, 0.0000719%), (LOW, 0, 0.22%, 0.0000733%), (INTC, 0, 0.22%, 0.0000834%), (MDLZ, 0, 0.21%, 0.0000974%), (ELV, 0, 0.20%, 0.0001323%), (UPS, 0, 0.20%, 0.0001094%), (BMY, 0, 0.19%, 0.0000792%), (PYPL, 0, 0.17%, 0.0001015%), (CL, 0, 0.15%, 0.0000867%), (FDX, 0, 0.14%, 0.0001047%), (USB, 0, 0.14%, 0.0000783%), (TGT, 0, 0.09%, 0.0000744%), (nan, 0, -0.01%, 0.0000000%), (nan, 0, -0.01%, 0.0000000%)</t>
  </si>
  <si>
    <t>(GOOGLE, 0, 3.48%, 0.0001322%), (AVGO, 0, 3.06%, 0.0001819%), (META, 0, 2.72%, 0.0001401%), (BRK/B, 0, 2.13%, 0.0002576%), (CSCO, 0, 1.86%, 0.0005454%), (LIN, 0, 1.80%, 0.0006532%), (AMT, 0, 1.75%, 0.0013218%), (TSLA, 0, 1.69%, 0.0001228%), (JPM, 0, 1.65%, 0.0001635%), (XOM, 0, 1.48%, 0.0002553%), (V, 0, 1.48%, 0.0001971%), (LLY, 0, 1.25%, 0.0001356%), (CB, 0, 1.18%, 0.0008677%), (MA, 0, 1.11%, 0.0001782%), (WM, 0, 1.10%, 0.0009494%), (GE, 0, 1.05%, 0.0003019%), (ORCL, 0, 0.98%, 0.0001124%), (NEE, 0, 0.94%, 0.0004719%), (NFLX, 0, 0.92%, 0.0001411%), (UNH, 0, 0.85%, 0.0002632%), (PG, 0, 0.81%, 0.0001764%), (JNJ, 0, 0.80%, 0.0001625%), (COST, 0, 0.80%, 0.0001501%), (CVX, 0, 0.79%, 0.0002021%), (WMT, 0, 0.78%, 0.0000818%), (PLTR, 0, 0.78%, 0.0001797%), (RTX, 0, 0.75%, 0.0002921%), (CAT, 0, 0.74%, 0.0003033%), (MCD, 0, 0.73%, 0.0002728%), (ABT, 0, 0.70%, 0.0002584%), (ABBV, 0, 0.69%, 0.0001627%), (PM, 0, 0.68%, 0.0001920%), (HD, 0, 0.67%, 0.0001480%), (IBM, 0, 0.67%, 0.0001972%), (KO, 0, 0.66%, 0.0001732%), (BKNG, 0, 0.65%, 0.0002792%), (BAC, 0, 0.64%, 0.0001439%), (BA, 0, 0.64%, 0.0002894%), (CRM, 0, 0.63%, 0.0002001%), (SO, 0, 0.62%, 0.0004759%), (ISRG, 0, 0.60%, 0.0002604%), (NKE, 0, 0.58%, 0.0005352%), (AMD, 0, 0.58%, 0.0001839%), (HON, 0, 0.57%, 0.0003013%), (DUK, 0, 0.55%, 0.0004750%), (ETN, 0, 0.55%, 0.0002987%), (GS, 0, 0.54%, 0.0002027%), (UBER, 0, 0.54%, 0.0002271%), (WFC, 0, 0.54%, 0.0001660%), (INTU, 0, 0.53%, 0.0002005%), (MET, 0, 0.52%, 0.0007968%), (NOW, 0, 0.50%, 0.0001976%), (DE, 0, 0.47%, 0.0002771%), (PEP, 0, 0.47%, 0.0001929%), (TXN, 0, 0.46%, 0.0001847%), (ACN, 0, 0.45%, 0.0001999%), (T, 0, 0.43%, 0.0008264%), (MS, 0, 0.43%, 0.0001505%), (AXP, 0, 0.42%, 0.0001565%), (MRK, 0, 0.42%, 0.0001647%), (SPGI, 0, 0.41%, 0.0002031%), (ADBE, 0, 0.41%, 0.0002095%), (QCOM, 0, 0.40%, 0.0001894%), (BLK, 0, 0.39%, 0.0001821%), (DIS, 0, 0.39%, 0.0001410%), (UNP, 0, 0.39%, 0.0002300%), (VZ, 0, 0.38%, 0.0001765%), (MDT, 0, 0.38%, 0.0002590%), (COP, 0, 0.37%, 0.0002565%), (SBUX, 0, 0.37%, 0.0002710%), (AMAT, 0, 0.37%, 0.0001904%), (LMT, 0, 0.36%, 0.0002684%), (C, 0, 0.35%, 0.0001641%), (SCHW, 0, 0.35%, 0.0001595%), (TMO, 0, 0.33%, 0.0001656%), (AMGN, 0, 0.33%, 0.0001623%), (MMM, 0, 0.31%, 0.0003016%), (EMR, 0, 0.30%, 0.0002982%), (PFE, 0, 0.29%, 0.0001621%), (GILD, 0, 0.28%, 0.0001632%), (TJX, 0, 0.26%, 0.0001503%), (CVS, 0, 0.26%, 0.0002568%), (DHR, 0, 0.25%, 0.0001481%), (MO, 0, 0.24%, 0.0001940%), (CMCSA, 0, 0.23%, 0.0001470%), (LOW, 0, 0.23%, 0.0001500%), (INTC, 0, 0.23%, 0.0001706%), (MDLZ, 0, 0.23%, 0.0001992%), (ELV, 0, 0.21%, 0.0002704%), (UPS, 0, 0.21%, 0.0002235%), (BMY, 0, 0.20%, 0.0001621%), (PYPL, 0, 0.18%, 0.0002076%), (CL, 0, 0.16%, 0.0001774%), (FDX, 0, 0.15%, 0.0002144%), (USB, 0, 0.14%, 0.0001601%), (TGT, 0, 0.09%, 0.0001523%), (nan, 0, -0.01%, 0.0000000%), (nan, 0, -0.01%, 0.0000000%)</t>
  </si>
  <si>
    <t>(GOOGLE, 0, 3.55%, 0.0002296%), (AVGO, 0, 3.10%, 0.0003159%), (META, 0, 2.73%, 0.0002434%), (BRK/B, 0, 2.13%, 0.0004473%), (CSCO, 0, 1.86%, 0.0009471%), (LIN, 0, 1.83%, 0.0011344%), (AMT, 0, 1.77%, 0.0022954%), (TSLA, 0, 1.68%, 0.0002132%), (JPM, 0, 1.66%, 0.0002840%), (V, 0, 1.49%, 0.0003422%), (XOM, 0, 1.49%, 0.0004433%), (LLY, 0, 1.23%, 0.0002355%), (CB, 0, 1.19%, 0.0015070%), (MA, 0, 1.11%, 0.0003093%), (WM, 0, 1.09%, 0.0016489%), (GE, 0, 1.06%, 0.0005243%), (ORCL, 0, 0.99%, 0.0001951%), (NEE, 0, 0.94%, 0.0008194%), (NFLX, 0, 0.93%, 0.0002452%), (UNH, 0, 0.85%, 0.0004570%), (KO, 0, 0.84%, 0.0003822%), (JNJ, 0, 0.81%, 0.0002823%), (PG, 0, 0.81%, 0.0003062%), (COST, 0, 0.80%, 0.0002608%), (WMT, 0, 0.79%, 0.0001420%), (PLTR, 0, 0.78%, 0.0003120%), (CVX, 0, 0.78%, 0.0003510%), (RTX, 0, 0.75%, 0.0005072%), (CAT, 0, 0.74%, 0.0005266%), (MCD, 0, 0.73%, 0.0004738%), (ABT, 0, 0.71%, 0.0004487%), (PM, 0, 0.68%, 0.0003333%), (ABBV, 0, 0.68%, 0.0002826%), (HD, 0, 0.67%, 0.0002571%), (IBM, 0, 0.66%, 0.0003423%), (BKNG, 0, 0.65%, 0.0004840%), (BAC, 0, 0.64%, 0.0002499%), (BA, 0, 0.64%, 0.0005026%), (CRM, 0, 0.63%, 0.0003476%), (SO, 0, 0.62%, 0.0008265%), (NKE, 0, 0.60%, 0.0009294%), (ISRG, 0, 0.60%, 0.0004519%), (AMD, 0, 0.59%, 0.0003194%), (HON, 0, 0.57%, 0.0005232%), (DUK, 0, 0.56%, 0.0008251%), (ETN, 0, 0.55%, 0.0005186%), (GS, 0, 0.54%, 0.0003521%), (UBER, 0, 0.54%, 0.0003945%), (WFC, 0, 0.54%, 0.0002883%), (INTU, 0, 0.54%, 0.0003479%), (MET, 0, 0.52%, 0.0013837%), (NOW, 0, 0.50%, 0.0003428%), (DE, 0, 0.47%, 0.0004809%), (PEP, 0, 0.47%, 0.0003349%), (TXN, 0, 0.45%, 0.0003207%), (T, 0, 0.44%, 0.0014353%), (MS, 0, 0.43%, 0.0002614%), (AXP, 0, 0.41%, 0.0002718%), (AMGN, 0, 0.41%, 0.0003563%), (MRK, 0, 0.41%, 0.0002861%), (QCOM, 0, 0.41%, 0.0003289%), (SPGI, 0, 0.41%, 0.0003527%), (ADBE, 0, 0.41%, 0.0003641%), (VZ, 0, 0.40%, 0.0003066%), (BLK, 0, 0.39%, 0.0003164%), (UNP, 0, 0.39%, 0.0003994%), (DIS, 0, 0.39%, 0.0002449%), (MDT, 0, 0.38%, 0.0004498%), (COP, 0, 0.37%, 0.0004453%), (AMAT, 0, 0.37%, 0.0003306%), (SBUX, 0, 0.36%, 0.0004705%), (LMT, 0, 0.36%, 0.0004659%), (C, 0, 0.35%, 0.0002849%), (SCHW, 0, 0.35%, 0.0002770%), (ACN, 0, 0.32%, 0.0002509%), (TMO, 0, 0.32%, 0.0002875%), (MMM, 0, 0.31%, 0.0005237%), (EMR, 0, 0.30%, 0.0005176%), (PFE, 0, 0.28%, 0.0002816%), (GILD, 0, 0.28%, 0.0002834%), (TJX, 0, 0.26%, 0.0002610%), (CVS, 0, 0.25%, 0.0004459%), (DHR, 0, 0.25%, 0.0002571%), (MO, 0, 0.24%, 0.0003369%), (CMCSA, 0, 0.23%, 0.0002553%), (LOW, 0, 0.23%, 0.0002605%), (INTC, 0, 0.23%, 0.0002962%), (MDLZ, 0, 0.23%, 0.0003459%), (ELV, 0, 0.21%, 0.0004693%), (UPS, 0, 0.21%, 0.0003882%), (BMY, 0, 0.19%, 0.0002814%), (PYPL, 0, 0.18%, 0.0003605%), (CL, 0, 0.16%, 0.0003080%), (USB, 0, 0.14%, 0.0002781%), (FDX, 0, 0.14%, 0.0003721%), (TGT, 0, 0.09%, 0.0002645%), (nan, 0, -0.02%, 0.0000000%), (nan, 0, -0.02%, 0.0000000%)</t>
  </si>
  <si>
    <t>(GOOGLE, 0, 3.54%, 0.0001710%), (AVGO, 0, 3.09%, 0.0002353%), (META, 0, 2.72%, 0.0001812%), (BRK/B, 0, 2.12%, 0.0003331%), (CSCO, 0, 1.85%, 0.0007053%), (LIN, 0, 1.82%, 0.0008448%), (AMT, 0, 1.77%, 0.0017095%), (TSLA, 0, 1.68%, 0.0001588%), (JPM, 0, 1.65%, 0.0002115%), (V, 0, 1.48%, 0.0002548%), (XOM, 0, 1.48%, 0.0003301%), (LLY, 0, 1.23%, 0.0001754%), (CB, 0, 1.18%, 0.0011223%), (MA, 0, 1.11%, 0.0002303%), (WM, 0, 1.09%, 0.0012279%), (GE, 0, 1.06%, 0.0003904%), (ORCL, 0, 0.99%, 0.0001453%), (NEE, 0, 0.94%, 0.0006102%), (NFLX, 0, 0.92%, 0.0001827%), (UNH, 0, 0.84%, 0.0003403%), (KO, 0, 0.83%, 0.0002845%), (JNJ, 0, 0.81%, 0.0002102%), (PG, 0, 0.80%, 0.0002281%), (COST, 0, 0.79%, 0.0001943%), (WMT, 0, 0.78%, 0.0001057%), (PLTR, 0, 0.78%, 0.0002323%), (CVX, 0, 0.78%, 0.0002614%), (RTX, 0, 0.75%, 0.0003778%), (CAT, 0, 0.74%, 0.0003921%), (MCD, 0, 0.73%, 0.0003529%), (ABT, 0, 0.70%, 0.0003341%), (PM, 0, 0.67%, 0.0002482%), (ABBV, 0, 0.67%, 0.0002104%), (HD, 0, 0.67%, 0.0001914%), (IBM, 0, 0.66%, 0.0002549%), (BKNG, 0, 0.64%, 0.0003599%), (BAC, 0, 0.64%, 0.0001861%), (BA, 0, 0.64%, 0.0003743%), (CRM, 0, 0.63%, 0.0002588%), (SO, 0, 0.62%, 0.0006154%), (NKE, 0, 0.60%, 0.0006922%), (ISRG, 0, 0.60%, 0.0003365%), (AMD, 0, 0.59%, 0.0002379%), (HON, 0, 0.57%, 0.0003897%), (DUK, 0, 0.56%, 0.0006144%), (ETN, 0, 0.55%, 0.0003863%), (GS, 0, 0.54%, 0.0002621%), (UBER, 0, 0.54%, 0.0002938%), (WFC, 0, 0.54%, 0.0002146%), (INTU, 0, 0.54%, 0.0002590%), (MET, 0, 0.51%, 0.0010303%), (NOW, 0, 0.49%, 0.0002553%), (DE, 0, 0.47%, 0.0003581%), (PEP, 0, 0.47%, 0.0002494%), (TXN, 0, 0.45%, 0.0002388%), (T, 0, 0.44%, 0.0010688%), (MS, 0, 0.43%, 0.0001947%), (AXP, 0, 0.41%, 0.0002024%), (AMGN, 0, 0.41%, 0.0002658%), (MRK, 0, 0.41%, 0.0002130%), (QCOM, 0, 0.41%, 0.0002449%), (SPGI, 0, 0.41%, 0.0002625%), (ADBE, 0, 0.40%, 0.0002711%), (VZ, 0, 0.40%, 0.0002283%), (BLK, 0, 0.39%, 0.0002357%), (UNP, 0, 0.39%, 0.0002974%), (DIS, 0, 0.39%, 0.0001824%), (MDT, 0, 0.38%, 0.0003349%), (COP, 0, 0.37%, 0.0003316%), (AMAT, 0, 0.37%, 0.0002462%), (SBUX, 0, 0.36%, 0.0003504%), (LMT, 0, 0.36%, 0.0003470%), (C, 0, 0.35%, 0.0002122%), (SCHW, 0, 0.35%, 0.0002063%), (ACN, 0, 0.33%, 0.0001944%), (TMO, 0, 0.32%, 0.0002143%), (MMM, 0, 0.31%, 0.0003900%), (EMR, 0, 0.30%, 0.0003856%), (PFE, 0, 0.28%, 0.0002097%), (GILD, 0, 0.28%, 0.0002111%), (TJX, 0, 0.26%, 0.0001944%), (CVS, 0, 0.25%, 0.0003320%), (DHR, 0, 0.25%, 0.0001914%), (MO, 0, 0.24%, 0.0002509%), (CMCSA, 0, 0.23%, 0.0001902%), (LOW, 0, 0.23%, 0.0001940%), (INTC, 0, 0.23%, 0.0002206%), (MDLZ, 0, 0.22%, 0.0002575%), (ELV, 0, 0.21%, 0.0003496%), (UPS, 0, 0.20%, 0.0002891%), (BMY, 0, 0.19%, 0.0002096%), (PYPL, 0, 0.18%, 0.0002685%), (CL, 0, 0.16%, 0.0002294%), (USB, 0, 0.14%, 0.0002070%), (FDX, 0, 0.14%, 0.0002772%), (TGT, 0, 0.09%, 0.0001970%), (nan, 0, -0.02%, 0.0000000%), (nan, 0, -0.02%, 0.0000000%)</t>
  </si>
  <si>
    <t>(GOOGLE, 0, 3.58%, 0.0000401%), (AVGO, 0, 3.12%, 0.0000552%), (META, 0, 2.74%, 0.0000425%), (BRK/B, 0, 2.15%, 0.0000781%), (CSCO, 0, 1.87%, 0.0001654%), (LIN, 0, 1.84%, 0.0001981%), (AMT, 0, 1.78%, 0.0004007%), (TSLA, 0, 1.69%, 0.0000372%), (JPM, 0, 1.67%, 0.0000496%), (XOM, 0, 1.49%, 0.0000774%), (V, 0, 1.49%, 0.0000598%), (LLY, 0, 1.24%, 0.0000411%), (CB, 0, 1.19%, 0.0002630%), (MA, 0, 1.12%, 0.0000540%), (WM, 0, 1.10%, 0.0002879%), (GE, 0, 1.07%, 0.0000916%), (ORCL, 0, 1.00%, 0.0000341%), (NEE, 0, 0.95%, 0.0001431%), (NFLX, 0, 0.93%, 0.0000427%), (UNH, 0, 0.85%, 0.0000798%), (KO, 0, 0.84%, 0.0000665%), (JNJ, 0, 0.82%, 0.0000493%), (PG, 0, 0.81%, 0.0000535%), (COST, 0, 0.80%, 0.0000456%), (WMT, 0, 0.79%, 0.0000248%), (PLTR, 0, 0.79%, 0.0000545%), (CVX, 0, 0.79%, 0.0000613%), (RTX, 0, 0.76%, 0.0000885%), (CAT, 0, 0.75%, 0.0000920%), (MCD, 0, 0.73%, 0.0000827%), (ABT, 0, 0.71%, 0.0000783%), (ABBV, 0, 0.68%, 0.0000494%), (PM, 0, 0.68%, 0.0000582%), (HD, 0, 0.68%, 0.0000449%), (IBM, 0, 0.66%, 0.0000598%), (BKNG, 0, 0.64%, 0.0000838%), (BAC, 0, 0.64%, 0.0000436%), (BA, 0, 0.64%, 0.0000878%), (CRM, 0, 0.63%, 0.0000607%), (SO, 0, 0.63%, 0.0001443%), (NKE, 0, 0.60%, 0.0001623%), (ISRG, 0, 0.60%, 0.0000790%), (AMD, 0, 0.60%, 0.0000558%), (HON, 0, 0.57%, 0.0000914%), (DUK, 0, 0.56%, 0.0001440%), (ETN, 0, 0.56%, 0.0000907%), (UBER, 0, 0.55%, 0.0000689%), (WFC, 0, 0.55%, 0.0000503%), (GS, 0, 0.54%, 0.0000613%), (INTU, 0, 0.54%, 0.0000606%), (MET, 0, 0.52%, 0.0002416%), (NOW, 0, 0.50%, 0.0000596%), (DE, 0, 0.47%, 0.0000840%), (PEP, 0, 0.47%, 0.0000584%), (TXN, 0, 0.46%, 0.0000560%), (AMGN, 0, 0.45%, 0.0000678%), (T, 0, 0.44%, 0.0002506%), (MS, 0, 0.43%, 0.0000457%), (AXP, 0, 0.42%, 0.0000475%), (MRK, 0, 0.41%, 0.0000500%), (QCOM, 0, 0.41%, 0.0000575%), (ADBE, 0, 0.41%, 0.0000635%), (SPGI, 0, 0.41%, 0.0000614%), (VZ, 0, 0.40%, 0.0000535%), (BLK, 0, 0.40%, 0.0000555%), (UNP, 0, 0.39%, 0.0000698%), (DIS, 0, 0.39%, 0.0000428%), (MDT, 0, 0.38%, 0.0000785%), (AMAT, 0, 0.37%, 0.0000577%), (COP, 0, 0.37%, 0.0000777%), (SBUX, 0, 0.37%, 0.0000822%), (LMT, 0, 0.36%, 0.0000812%), (C, 0, 0.36%, 0.0000498%), (SCHW, 0, 0.35%, 0.0000484%), (ACN, 0, 0.33%, 0.0000446%), (TMO, 0, 0.32%, 0.0000503%), (MMM, 0, 0.31%, 0.0000915%), (EMR, 0, 0.31%, 0.0000904%), (PFE, 0, 0.29%, 0.0000492%), (GILD, 0, 0.28%, 0.0000495%), (TJX, 0, 0.26%, 0.0000456%), (CVS, 0, 0.26%, 0.0000778%), (DHR, 0, 0.25%, 0.0000449%), (MO, 0, 0.24%, 0.0000589%), (CMCSA, 0, 0.24%, 0.0000446%), (LOW, 0, 0.23%, 0.0000455%), (INTC, 0, 0.23%, 0.0000517%), (MDLZ, 0, 0.23%, 0.0000604%), (ELV, 0, 0.21%, 0.0000819%), (UPS, 0, 0.21%, 0.0000678%), (BMY, 0, 0.20%, 0.0000491%), (PYPL, 0, 0.18%, 0.0000630%), (CL, 0, 0.16%, 0.0000537%), (USB, 0, 0.15%, 0.0000485%), (FDX, 0, 0.15%, 0.0000648%), (TGT, 0, 0.09%, 0.0000462%), (nan, 0, -0.02%, 0.0000000%), (nan, 0, -0.02%, 0.0000000%)</t>
  </si>
  <si>
    <t>(GOOGLE, 0, 3.42%, 0.0000790%), (AVGO, 0, 2.98%, 0.0001087%), (META, 0, 2.63%, 0.0000838%), (BRK/B, 0, 2.05%, 0.0001539%), (CSCO, 0, 1.79%, 0.0003259%), (LIN, 0, 1.76%, 0.0003904%), (AMT, 0, 1.70%, 0.0007899%), (TSLA, 0, 1.62%, 0.0000734%), (JPM, 0, 1.59%, 0.0000977%), (V, 0, 1.43%, 0.0001178%), (XOM, 0, 1.43%, 0.0001526%), (LLY, 0, 1.19%, 0.0000810%), (CB, 0, 1.14%, 0.0005186%), (MA, 0, 1.07%, 0.0001065%), (WM, 0, 1.05%, 0.0005674%), (GE, 0, 1.02%, 0.0001804%), (ORCL, 0, 0.95%, 0.0000671%), (NEE, 0, 0.91%, 0.0002820%), (NFLX, 0, 0.89%, 0.0000845%), (UNH, 0, 0.82%, 0.0001573%), (JNJ, 0, 0.78%, 0.0000971%), (KO, 0, 0.78%, 0.0001268%), (PG, 0, 0.77%, 0.0001054%), (COST, 0, 0.77%, 0.0000898%), (WMT, 0, 0.76%, 0.0000489%), (PLTR, 0, 0.75%, 0.0001074%), (CVX, 0, 0.75%, 0.0001208%), (RTX, 0, 0.72%, 0.0001745%), (CAT, 0, 0.71%, 0.0001812%), (MCD, 0, 0.70%, 0.0001631%), (ABT, 0, 0.68%, 0.0001544%), (PM, 0, 0.65%, 0.0001147%), (ABBV, 0, 0.65%, 0.0000973%), (HD, 0, 0.65%, 0.0000884%), (IBM, 0, 0.64%, 0.0001178%), (BKNG, 0, 0.62%, 0.0001675%), (BAC, 0, 0.62%, 0.0000860%), (BA, 0, 0.61%, 0.0001729%), (CRM, 0, 0.61%, 0.0001196%), (SO, 0, 0.60%, 0.0002844%), (ISRG, 0, 0.58%, 0.0001554%), (NKE, 0, 0.58%, 0.0003198%), (AMD, 0, 0.57%, 0.0001099%), (HON, 0, 0.55%, 0.0001800%), (DUK, 0, 0.54%, 0.0002839%), (ETN, 0, 0.53%, 0.0001785%), (UBER, 0, 0.52%, 0.0001358%), (GS, 0, 0.52%, 0.0001210%), (WFC, 0, 0.52%, 0.0000992%), (INTU, 0, 0.52%, 0.0001198%), (MET, 0, 0.50%, 0.0004762%), (NOW, 0, 0.47%, 0.0001178%), (DE, 0, 0.45%, 0.0001654%), (PEP, 0, 0.45%, 0.0001153%), (TXN, 0, 0.44%, 0.0001104%), (T, 0, 0.42%, 0.0004939%), (MS, 0, 0.41%, 0.0000900%), (AXP, 0, 0.40%, 0.0000935%), (MRK, 0, 0.40%, 0.0000984%), (SPGI, 0, 0.39%, 0.0001215%), (QCOM, 0, 0.39%, 0.0001132%), (ADBE, 0, 0.39%, 0.0001252%), (VZ, 0, 0.38%, 0.0001055%), (BLK, 0, 0.38%, 0.0001091%), (AMGN, 0, 0.37%, 0.0001157%), (UNP, 0, 0.37%, 0.0001374%), (DIS, 0, 0.37%, 0.0000843%), (MDT, 0, 0.36%, 0.0001548%), (COP, 0, 0.35%, 0.0001532%), (AMAT, 0, 0.35%, 0.0001137%), (SBUX, 0, 0.35%, 0.0001620%), (LMT, 0, 0.35%, 0.0001603%), (C, 0, 0.34%, 0.0000980%), (SCHW, 0, 0.34%, 0.0000954%), (ACN, 0, 0.31%, 0.0000873%), (TMO, 0, 0.31%, 0.0000990%), (MMM, 0, 0.30%, 0.0001803%), (EMR, 0, 0.29%, 0.0001782%), (PFE, 0, 0.27%, 0.0000969%), (GILD, 0, 0.27%, 0.0000976%), (TJX, 0, 0.25%, 0.0000899%), (CVS, 0, 0.24%, 0.0001535%), (DHR, 0, 0.24%, 0.0000885%), (MO, 0, 0.23%, 0.0001159%), (CMCSA, 0, 0.23%, 0.0000879%), (LOW, 0, 0.23%, 0.0000897%), (INTC, 0, 0.22%, 0.0001019%), (MDLZ, 0, 0.22%, 0.0001190%), (ELV, 0, 0.20%, 0.0001615%), (UPS, 0, 0.20%, 0.0001336%), (BMY, 0, 0.19%, 0.0000969%), (PYPL, 0, 0.18%, 0.0001241%), (CL, 0, 0.15%, 0.0001059%), (USB, 0, 0.14%, 0.0000957%), (FDX, 0, 0.14%, 0.0001280%), (TGT, 0, 0.09%, 0.0000909%), (nan, 0, -0.02%, 0.0000000%), (nan, 0, -0.02%, 0.0000000%)</t>
  </si>
  <si>
    <t>(GOOGLE, 0, 3.49%, 0.0000253%), (AVGO, 0, 3.04%, 0.0000349%), (META, 0, 2.69%, 0.0000269%), (BRK/B, 0, 2.09%, 0.0000494%), (CSCO, 0, 1.82%, 0.0001045%), (LIN, 0, 1.80%, 0.0001253%), (AMT, 0, 1.74%, 0.0002533%), (TSLA, 0, 1.65%, 0.0000235%), (JPM, 0, 1.63%, 0.0000313%), (XOM, 0, 1.46%, 0.0000489%), (V, 0, 1.46%, 0.0000378%), (LLY, 0, 1.21%, 0.0000260%), (CB, 0, 1.16%, 0.0001664%), (MA, 0, 1.09%, 0.0000341%), (WM, 0, 1.07%, 0.0001819%), (GE, 0, 1.04%, 0.0000578%), (ORCL, 0, 0.97%, 0.0000215%), (NEE, 0, 0.92%, 0.0000904%), (NFLX, 0, 0.91%, 0.0000271%), (UNH, 0, 0.83%, 0.0000505%), (JNJ, 0, 0.80%, 0.0000312%), (PG, 0, 0.79%, 0.0000338%), (COST, 0, 0.78%, 0.0000289%), (KO, 0, 0.78%, 0.0000402%), (WMT, 0, 0.77%, 0.0000157%), (PLTR, 0, 0.77%, 0.0000344%), (CVX, 0, 0.77%, 0.0000387%), (RTX, 0, 0.74%, 0.0000560%), (CAT, 0, 0.73%, 0.0000581%), (MCD, 0, 0.72%, 0.0000523%), (ABT, 0, 0.69%, 0.0000495%), (PM, 0, 0.67%, 0.0000368%), (ABBV, 0, 0.66%, 0.0000312%), (HD, 0, 0.66%, 0.0000283%), (IBM, 0, 0.65%, 0.0000378%), (BAC, 0, 0.63%, 0.0000276%), (BA, 0, 0.63%, 0.0000555%), (BKNG, 0, 0.63%, 0.0000527%), (CRM, 0, 0.62%, 0.0000383%), (SO, 0, 0.61%, 0.0000913%), (ISRG, 0, 0.59%, 0.0000499%), (NKE, 0, 0.59%, 0.0001026%), (AMD, 0, 0.58%, 0.0000352%), (HON, 0, 0.56%, 0.0000578%), (DUK, 0, 0.55%, 0.0000911%), (ETN, 0, 0.54%, 0.0000573%), (GS, 0, 0.54%, 0.0000390%), (UBER, 0, 0.53%, 0.0000435%), (WFC, 0, 0.53%, 0.0000318%), (INTU, 0, 0.53%, 0.0000384%), (MET, 0, 0.51%, 0.0001528%), (NOW, 0, 0.49%, 0.0000380%), (DE, 0, 0.46%, 0.0000529%), (PEP, 0, 0.46%, 0.0000369%), (TXN, 0, 0.45%, 0.0000354%), (ACN, 0, 0.43%, 0.0000384%), (T, 0, 0.43%, 0.0001584%), (MS, 0, 0.42%, 0.0000289%), (AXP, 0, 0.41%, 0.0000301%), (MRK, 0, 0.40%, 0.0000316%), (SPGI, 0, 0.40%, 0.0000390%), (QCOM, 0, 0.40%, 0.0000363%), (ADBE, 0, 0.40%, 0.0000401%), (VZ, 0, 0.39%, 0.0000338%), (BLK, 0, 0.39%, 0.0000349%), (DIS, 0, 0.38%, 0.0000270%), (UNP, 0, 0.38%, 0.0000440%), (MDT, 0, 0.37%, 0.0000497%), (COP, 0, 0.36%, 0.0000492%), (AMAT, 0, 0.36%, 0.0000365%), (LMT, 0, 0.36%, 0.0000514%), (SBUX, 0, 0.36%, 0.0000519%), (C, 0, 0.35%, 0.0000315%), (SCHW, 0, 0.35%, 0.0000306%), (AMGN, 0, 0.32%, 0.0000312%), (TMO, 0, 0.31%, 0.0000317%), (MMM, 0, 0.30%, 0.0000578%), (EMR, 0, 0.30%, 0.0000572%), (PFE, 0, 0.28%, 0.0000311%), (GILD, 0, 0.27%, 0.0000313%), (TJX, 0, 0.26%, 0.0000288%), (CVS, 0, 0.25%, 0.0000492%), (DHR, 0, 0.24%, 0.0000283%), (MO, 0, 0.24%, 0.0000372%), (LOW, 0, 0.23%, 0.0000287%), (CMCSA, 0, 0.23%, 0.0000282%), (INTC, 0, 0.23%, 0.0000327%), (MDLZ, 0, 0.22%, 0.0000382%), (ELV, 0, 0.21%, 0.0000517%), (UPS, 0, 0.20%, 0.0000428%), (BMY, 0, 0.19%, 0.0000310%), (PYPL, 0, 0.18%, 0.0000398%), (CL, 0, 0.15%, 0.0000340%), (USB, 0, 0.14%, 0.0000307%), (FDX, 0, 0.14%, 0.0000411%), (TGT, 0, 0.09%, 0.0000293%), (nan, 0, -0.02%, 0.0000000%), (nan, 0, -0.02%, 0.0000000%)</t>
  </si>
  <si>
    <t>(GOOGLE, 0, 3.71%, 0.0000609%), (AVGO, 0, 3.24%, 0.0000838%), (META, 0, 2.85%, 0.0000646%), (BRK/B, 0, 2.23%, 0.0001187%), (CSCO, 0, 1.94%, 0.0002513%), (LIN, 0, 1.91%, 0.0003009%), (AMT, 0, 1.85%, 0.0006090%), (TSLA, 0, 1.76%, 0.0000566%), (JPM, 0, 1.73%, 0.0000753%), (V, 0, 1.55%, 0.0000908%), (XOM, 0, 1.55%, 0.0001176%), (LLY, 0, 1.29%, 0.0000624%), (CB, 0, 1.24%, 0.0003997%), (MA, 0, 1.16%, 0.0000821%), (WM, 0, 1.14%, 0.0004374%), (GE, 0, 1.11%, 0.0001391%), (ORCL, 0, 1.03%, 0.0000518%), (NEE, 0, 0.98%, 0.0002174%), (NFLX, 0, 0.97%, 0.0000651%), (UNH, 0, 0.89%, 0.0001212%), (KO, 0, 0.87%, 0.0001007%), (JNJ, 0, 0.85%, 0.0000749%), (PG, 0, 0.84%, 0.0000812%), (COST, 0, 0.83%, 0.0000693%), (WMT, 0, 0.82%, 0.0000377%), (PLTR, 0, 0.82%, 0.0000828%), (CVX, 0, 0.82%, 0.0000931%), (RTX, 0, 0.78%, 0.0001345%), (CAT, 0, 0.77%, 0.0001396%), (MCD, 0, 0.76%, 0.0001257%), (ABT, 0, 0.74%, 0.0001190%), (PM, 0, 0.71%, 0.0000885%), (ABBV, 0, 0.71%, 0.0000749%), (HD, 0, 0.70%, 0.0000682%), (IBM, 0, 0.69%, 0.0000908%), (BKNG, 0, 0.67%, 0.0001272%), (BAC, 0, 0.67%, 0.0000663%), (BA, 0, 0.67%, 0.0001333%), (CRM, 0, 0.66%, 0.0000922%), (SO, 0, 0.65%, 0.0002192%), (ISRG, 0, 0.63%, 0.0001199%), (NKE, 0, 0.63%, 0.0002466%), (AMD, 0, 0.62%, 0.0000847%), (HON, 0, 0.60%, 0.0001388%), (DUK, 0, 0.58%, 0.0002189%), (ETN, 0, 0.58%, 0.0001377%), (UBER, 0, 0.57%, 0.0001047%), (GS, 0, 0.57%, 0.0000934%), (WFC, 0, 0.57%, 0.0000765%), (INTU, 0, 0.56%, 0.0000922%), (MET, 0, 0.54%, 0.0003671%), (NOW, 0, 0.51%, 0.0000909%), (DE, 0, 0.49%, 0.0001276%), (PEP, 0, 0.49%, 0.0000889%), (TXN, 0, 0.47%, 0.0000851%), (ACN, 0, 0.46%, 0.0000922%), (T, 0, 0.46%, 0.0003808%), (MS, 0, 0.45%, 0.0000693%), (AXP, 0, 0.43%, 0.0000721%), (MRK, 0, 0.43%, 0.0000759%), (AMGN, 0, 0.43%, 0.0000934%), (QCOM, 0, 0.42%, 0.0000873%), (SPGI, 0, 0.42%, 0.0000935%), (ADBE, 0, 0.42%, 0.0000965%), (VZ, 0, 0.41%, 0.0000813%), (BLK, 0, 0.41%, 0.0000840%), (DIS, 0, 0.41%, 0.0000650%), (UNP, 0, 0.41%, 0.0001059%), (MDT, 0, 0.39%, 0.0001193%), (COP, 0, 0.39%, 0.0001182%), (AMAT, 0, 0.38%, 0.0000877%), (SBUX, 0, 0.38%, 0.0001248%), (LMT, 0, 0.38%, 0.0001236%), (C, 0, 0.37%, 0.0000756%), (SCHW, 0, 0.37%, 0.0000735%), (TMO, 0, 0.33%, 0.0000764%), (MMM, 0, 0.32%, 0.0001389%), (EMR, 0, 0.32%, 0.0001373%), (PFE, 0, 0.30%, 0.0000747%), (GILD, 0, 0.29%, 0.0000752%), (TJX, 0, 0.27%, 0.0000693%), (CVS, 0, 0.27%, 0.0001183%), (DHR, 0, 0.26%, 0.0000682%), (MO, 0, 0.25%, 0.0000894%), (CMCSA, 0, 0.24%, 0.0000677%), (LOW, 0, 0.24%, 0.0000692%), (INTC, 0, 0.24%, 0.0000786%), (MDLZ, 0, 0.24%, 0.0000918%), (ELV, 0, 0.22%, 0.0001246%), (UPS, 0, 0.21%, 0.0001030%), (BMY, 0, 0.20%, 0.0000747%), (PYPL, 0, 0.19%, 0.0000957%), (CL, 0, 0.16%, 0.0000818%), (USB, 0, 0.15%, 0.0000738%), (FDX, 0, 0.15%, 0.0000987%), (TGT, 0, 0.09%, 0.0000702%), (nan, 0, -0.02%, 0.0000000%), (nan, 0, -0.02%, 0.0000000%)</t>
  </si>
  <si>
    <t>EBAY, BK, MSFT, META, BKNG, JPM, EWBC, BLK, AMAT, GOOGLE, UNM, RJF</t>
  </si>
  <si>
    <t>(V, 0, 1.90%, 0.0001750%), (MLI, 0, 1.90%, 0.0112112%), (AXP, 0, 1.85%, 0.0004869%), (EA, 0, 1.84%, 0.0026583%), (TRV, 0, 1.83%, 0.0016959%), (KLAC, 0, 1.80%, 0.0008007%), (SNA, 0, 1.79%, 0.0056992%), (HIG, 0, 1.77%, 0.0028570%), (ADP, 0, 1.74%, 0.0007853%), (NVDA, 0, 1.74%, 0.0000229%), (CB, 0, 1.67%, 0.0008522%), (PHM, 0, 1.67%, 0.0043280%), (CTSH, 0, 1.65%, 0.0024896%), (CRM, 0, 1.63%, 0.0003578%), (ROST, 0, 1.61%, 0.0020367%), (PCAR, 0, 1.60%, 0.0017902%), (SYF, 0, 1.57%, 0.0034470%), (PAYC, 0, 1.51%, 0.0062840%), (ACN, 0, 1.45%, 0.0004548%), (LEN, 0, 1.39%, 0.0031358%), (QCOM, 0, 1.38%, 0.0004445%), (WSM, 0, 1.32%, 0.0034518%), (BKR, 0, 1.28%, 0.0017920%), (ODFL, 0, 1.22%, 0.0019384%), (AFL, 0, 1.22%, 0.0012281%), (AAPL, 0, 1.20%, 0.0000210%), (ELV, 0, 1.15%, 0.0010246%), (LRCX, 0, 1.14%, 0.0004876%), (DHI, 0, 1.11%, 0.0015838%), (CSCO, 0, 1.10%, 0.0002250%), (GE, 0, 1.03%, 0.0002035%), (MPWR, 0, 1.01%, 0.0015848%), (STT, 0, 0.97%, 0.0017650%), (PNC, 0, 0.94%, 0.0006704%), (AMP, 0, 0.94%, 0.0010333%), (MTB, 0, 0.94%, 0.0017073%), (CF, 0, 0.93%, 0.0034790%), (COST, 0, 0.85%, 0.0001112%), (CSL, 0, 0.82%, 0.0026468%), (XOM, 0, 0.81%, 0.0000968%), (ABT, 0, 0.80%, 0.0002041%), (EOG, 0, 0.79%, 0.0006800%), (EG, 0, 0.75%, 0.0029738%), (GEV, 0, 0.52%, 0.0001854%), (NTRS, 0, 0.52%, 0.0012104%), (CRBG, 0, 0.50%, 0.0014597%), (MA, 0, 0.48%, 0.0000535%), (JNJ, 0, 0.46%, 0.0000636%), (DOV, 0, 0.46%, 0.0009756%), (WTFC, 0, 0.45%, 0.0027542%), (ACM, 0, 0.44%, 0.0016346%), (SLM, 0, 0.44%, 0.0036190%), (CINF, 0, 0.43%, 0.0010204%), (MCK, 0, 0.43%, 0.0002661%), (EQH, 0, 0.42%, 0.0014813%), (MTG, 0, 0.42%, 0.0040194%), (JXN, 0, 0.41%, 0.0037085%), (ALL, 0, 0.40%, 0.0004300%), (NUE, 0, 0.40%, 0.0006666%), (LNC, 0, 0.39%, 0.0032953%), (NKE, 0, 0.38%, 0.0002346%), (ADM, 0, 0.38%, 0.0007932%), (PGR, 0, 0.37%, 0.0001424%), (FANG, 0, 0.30%, 0.0004114%)</t>
  </si>
  <si>
    <t>(AVGO, 0, 2.95%, 0.0000885%), (META, 0, 2.60%, 0.0000682%), (BRK/B, 0, 2.03%, 0.0001253%), (CSCO, 0, 1.76%, 0.0002654%), (LIN, 0, 1.74%, 0.0003178%), (AMT, 0, 1.68%, 0.0006432%), (TSLA, 0, 1.60%, 0.0000597%), (JPM, 0, 1.57%, 0.0000796%), (V, 0, 1.41%, 0.0000959%), (XOM, 0, 1.41%, 0.0001242%), (LLY, 0, 1.17%, 0.0000660%), (CB, 0, 1.13%, 0.0004223%), (MA, 0, 1.05%, 0.0000867%), (WM, 0, 1.04%, 0.0004622%), (GE, 0, 1.01%, 0.0001469%), (ORCL, 0, 0.94%, 0.0000547%), (NEE, 0, 0.89%, 0.0002296%), (NFLX, 0, 0.88%, 0.0000687%), (UNH, 0, 0.80%, 0.0001281%), (JNJ, 0, 0.77%, 0.0000791%), (PG, 0, 0.76%, 0.0000858%), (KO, 0, 0.76%, 0.0001029%), (COST, 0, 0.76%, 0.0000731%), (WMT, 0, 0.75%, 0.0000398%), (PLTR, 0, 0.74%, 0.0000874%), (CVX, 0, 0.74%, 0.0000984%), (RTX, 0, 0.71%, 0.0001422%), (CAT, 0, 0.70%, 0.0001475%), (MCD, 0, 0.69%, 0.0001328%), (ABT, 0, 0.67%, 0.0001257%), (PM, 0, 0.64%, 0.0000934%), (ABBV, 0, 0.64%, 0.0000792%), (HD, 0, 0.64%, 0.0000720%), (IBM, 0, 0.63%, 0.0000960%), (BKNG, 0, 0.62%, 0.0001365%), (BAC, 0, 0.61%, 0.0000700%), (BA, 0, 0.61%, 0.0001408%), (CRM, 0, 0.60%, 0.0000974%), (SO, 0, 0.59%, 0.0002316%), (ISRG, 0, 0.57%, 0.0001267%), (NKE, 0, 0.57%, 0.0002605%), (AMD, 0, 0.56%, 0.0000895%), (HON, 0, 0.54%, 0.0001466%), (DUK, 0, 0.53%, 0.0002311%), (ETN, 0, 0.52%, 0.0001454%), (UBER, 0, 0.52%, 0.0001105%), (GS, 0, 0.52%, 0.0000987%), (WFC, 0, 0.51%, 0.0000808%), (INTU, 0, 0.51%, 0.0000976%), (MET, 0, 0.49%, 0.0003877%), (NOW, 0, 0.48%, 0.0000962%), (DE, 0, 0.45%, 0.0001347%), (PEP, 0, 0.45%, 0.0000938%), (TXN, 0, 0.43%, 0.0000899%), (T, 0, 0.41%, 0.0004022%), (MS, 0, 0.41%, 0.0000732%), (AXP, 0, 0.39%, 0.0000762%), (MRK, 0, 0.39%, 0.0000802%), (QCOM, 0, 0.39%, 0.0000922%), (SPGI, 0, 0.39%, 0.0000987%), (ADBE, 0, 0.38%, 0.0001020%), (AMGN, 0, 0.38%, 0.0000975%), (VZ, 0, 0.38%, 0.0000859%), (BLK, 0, 0.37%, 0.0000885%), (UNP, 0, 0.37%, 0.0001119%), (DIS, 0, 0.37%, 0.0000686%), (MDT, 0, 0.36%, 0.0001261%), (ACN, 0, 0.35%, 0.0000812%), (COP, 0, 0.35%, 0.0001248%), (AMAT, 0, 0.35%, 0.0000926%), (SBUX, 0, 0.34%, 0.0001319%), (LMT, 0, 0.34%, 0.0001305%), (C, 0, 0.34%, 0.0000799%), (SCHW, 0, 0.33%, 0.0000776%), (TMO, 0, 0.30%, 0.0000806%), (MMM, 0, 0.29%, 0.0001468%), (EMR, 0, 0.29%, 0.0001450%), (PFE, 0, 0.27%, 0.0000789%), (GILD, 0, 0.26%, 0.0000794%), (TJX, 0, 0.25%, 0.0000731%), (CVS, 0, 0.24%, 0.0001249%), (DHR, 0, 0.24%, 0.0000721%), (MO, 0, 0.23%, 0.0000944%), (CMCSA, 0, 0.22%, 0.0000716%), (LOW, 0, 0.22%, 0.0000729%), (INTC, 0, 0.22%, 0.0000830%), (MDLZ, 0, 0.21%, 0.0000969%), (ELV, 0, 0.20%, 0.0001314%), (UPS, 0, 0.19%, 0.0001088%), (BMY, 0, 0.18%, 0.0000788%), (PYPL, 0, 0.17%, 0.0001010%), (CL, 0, 0.15%, 0.0000863%), (USB, 0, 0.14%, 0.0000779%), (FDX, 0, 0.14%, 0.0001043%), (TGT, 0, 0.08%, 0.0000742%), (nan, 0, -0.02%, 0.0000000%), (nan, 0, -0.02%, 0.0000000%)</t>
  </si>
  <si>
    <t>(GOOGLE, 0, 3.54%, 0.0001316%), (AVGO, 0, 3.09%, 0.0001810%), (META, 0, 2.72%, 0.0001394%), (BRK/B, 0, 2.13%, 0.0002563%), (CSCO, 0, 1.85%, 0.0005426%), (LIN, 0, 1.82%, 0.0006500%), (AMT, 0, 1.77%, 0.0013152%), (TSLA, 0, 1.68%, 0.0001222%), (JPM, 0, 1.65%, 0.0001627%), (V, 0, 1.48%, 0.0001961%), (XOM, 0, 1.48%, 0.0002540%), (LLY, 0, 1.23%, 0.0001349%), (CB, 0, 1.18%, 0.0008634%), (MA, 0, 1.11%, 0.0001773%), (WM, 0, 1.09%, 0.0009447%), (GE, 0, 1.06%, 0.0003003%), (ORCL, 0, 0.99%, 0.0001118%), (NEE, 0, 0.94%, 0.0004695%), (NFLX, 0, 0.92%, 0.0001404%), (UNH, 0, 0.85%, 0.0002619%), (JNJ, 0, 0.81%, 0.0001617%), (PG, 0, 0.80%, 0.0001755%), (KO, 0, 0.80%, 0.0002095%), (COST, 0, 0.79%, 0.0001494%), (WMT, 0, 0.78%, 0.0000814%), (PLTR, 0, 0.78%, 0.0001787%), (CVX, 0, 0.78%, 0.0002011%), (RTX, 0, 0.75%, 0.0002906%), (CAT, 0, 0.74%, 0.0003016%), (MCD, 0, 0.73%, 0.0002714%), (ABT, 0, 0.70%, 0.0002571%), (PM, 0, 0.68%, 0.0001910%), (ABBV, 0, 0.67%, 0.0001619%), (HD, 0, 0.67%, 0.0001473%), (IBM, 0, 0.66%, 0.0001962%), (BKNG, 0, 0.64%, 0.0002761%), (BAC, 0, 0.64%, 0.0001432%), (BA, 0, 0.64%, 0.0002879%), (CRM, 0, 0.63%, 0.0001992%), (SO, 0, 0.62%, 0.0004735%), (ISRG, 0, 0.60%, 0.0002590%), (NKE, 0, 0.60%, 0.0005325%), (AMD, 0, 0.59%, 0.0001830%), (HON, 0, 0.57%, 0.0002997%), (DUK, 0, 0.56%, 0.0004727%), (ETN, 0, 0.55%, 0.0002972%), (GS, 0, 0.54%, 0.0002017%), (UBER, 0, 0.54%, 0.0002260%), (WFC, 0, 0.54%, 0.0001651%), (INTU, 0, 0.54%, 0.0001994%), (MET, 0, 0.51%, 0.0007928%), (NOW, 0, 0.49%, 0.0001966%), (DE, 0, 0.47%, 0.0002756%), (PEP, 0, 0.47%, 0.0001918%), (TXN, 0, 0.45%, 0.0001838%), (T, 0, 0.44%, 0.0008223%), (MS, 0, 0.43%, 0.0001498%), (AXP, 0, 0.41%, 0.0001558%), (MRK, 0, 0.41%, 0.0001639%), (SPGI, 0, 0.41%, 0.0002021%), (QCOM, 0, 0.41%, 0.0001884%), (ADBE, 0, 0.40%, 0.0002086%), (AMGN, 0, 0.40%, 0.0001988%), (VZ, 0, 0.40%, 0.0001756%), (BLK, 0, 0.39%, 0.0001815%), (UNP, 0, 0.39%, 0.0002288%), (DIS, 0, 0.39%, 0.0001403%), (MDT, 0, 0.38%, 0.0002577%), (ACN, 0, 0.37%, 0.0001668%), (AMAT, 0, 0.37%, 0.0001894%), (COP, 0, 0.37%, 0.0002552%), (LMT, 0, 0.36%, 0.0002671%), (SBUX, 0, 0.36%, 0.0002696%), (C, 0, 0.35%, 0.0001632%), (SCHW, 0, 0.35%, 0.0001587%), (TMO, 0, 0.32%, 0.0001648%), (MMM, 0, 0.31%, 0.0003001%), (EMR, 0, 0.30%, 0.0002966%), (PFE, 0, 0.28%, 0.0001613%), (GILD, 0, 0.28%, 0.0001624%), (TJX, 0, 0.26%, 0.0001495%), (CVS, 0, 0.25%, 0.0002555%), (DHR, 0, 0.25%, 0.0001472%), (MO, 0, 0.24%, 0.0001931%), (CMCSA, 0, 0.23%, 0.0001463%), (LOW, 0, 0.23%, 0.0001492%), (INTC, 0, 0.23%, 0.0001697%), (MDLZ, 0, 0.22%, 0.0001982%), (ELV, 0, 0.21%, 0.0002691%), (UPS, 0, 0.20%, 0.0002224%), (BMY, 0, 0.19%, 0.0001612%), (PYPL, 0, 0.18%, 0.0002065%), (CL, 0, 0.16%, 0.0001764%), (USB, 0, 0.14%, 0.0001593%), (FDX, 0, 0.14%, 0.0002132%), (TGT, 0, 0.09%, 0.0001514%), (nan, 0, -0.02%, 0.0000000%), (nan, 0, -0.02%, 0.0000000%)</t>
  </si>
  <si>
    <t>(GOOGLE, 0, 3.58%, 0.0002296%), (AVGO, 0, 3.02%, 0.0003159%), (META, 0, 2.70%, 0.0002434%), (BRK/B, 0, 2.14%, 0.0004473%), (CSCO, 0, 1.85%, 0.0009471%), (LIN, 0, 1.82%, 0.0011344%), (AMT, 0, 1.80%, 0.0022954%), (TSLA, 0, 1.69%, 0.0002132%), (JPM, 0, 1.66%, 0.0002840%), (XOM, 0, 1.48%, 0.0004433%), (V, 0, 1.48%, 0.0003422%), (LLY, 0, 1.25%, 0.0002355%), (CB, 0, 1.20%, 0.0015070%), (MA, 0, 1.11%, 0.0003093%), (WM, 0, 1.09%, 0.0016489%), (GE, 0, 1.04%, 0.0005243%), (ORCL, 0, 0.96%, 0.0001951%), (NEE, 0, 0.95%, 0.0008194%), (NFLX, 0, 0.90%, 0.0002452%), (UNH, 0, 0.85%, 0.0004570%), (JNJ, 0, 0.82%, 0.0002823%), (PG, 0, 0.81%, 0.0003062%), (COST, 0, 0.80%, 0.0002608%), (WMT, 0, 0.79%, 0.0001420%), (CVX, 0, 0.78%, 0.0003510%), (PLTR, 0, 0.76%, 0.0003120%), (CAT, 0, 0.74%, 0.0005266%), (RTX, 0, 0.73%, 0.0005072%), (MCD, 0, 0.73%, 0.0004738%), (ABT, 0, 0.71%, 0.0004487%), (HD, 0, 0.68%, 0.0002571%), (ABBV, 0, 0.68%, 0.0002826%), (KO, 0, 0.66%, 0.0003025%), (BKNG, 0, 0.65%, 0.0004840%), (IBM, 0, 0.65%, 0.0003423%), (BAC, 0, 0.64%, 0.0002499%), (PM, 0, 0.64%, 0.0003333%), (BA, 0, 0.64%, 0.0005026%), (CRM, 0, 0.63%, 0.0003476%), (SO, 0, 0.63%, 0.0008265%), (NKE, 0, 0.60%, 0.0009294%), (ISRG, 0, 0.59%, 0.0004519%), (AMD, 0, 0.58%, 0.0003194%), (HON, 0, 0.57%, 0.0005232%), (DUK, 0, 0.56%, 0.0008251%), (WFC, 0, 0.55%, 0.0002883%), (UBER, 0, 0.54%, 0.0003945%), (ETN, 0, 0.54%, 0.0005186%), (GS, 0, 0.54%, 0.0003521%), (INTU, 0, 0.54%, 0.0003479%), (MET, 0, 0.52%, 0.0013837%), (NOW, 0, 0.49%, 0.0003428%), (PEP, 0, 0.48%, 0.0003349%), (DE, 0, 0.48%, 0.0004809%), (TXN, 0, 0.45%, 0.0003207%), (ACN, 0, 0.45%, 0.0003473%), (T, 0, 0.43%, 0.0014353%), (MS, 0, 0.43%, 0.0002614%), (MRK, 0, 0.42%, 0.0002861%), (AXP, 0, 0.41%, 0.0002718%), (ADBE, 0, 0.41%, 0.0003641%), (QCOM, 0, 0.41%, 0.0003289%), (SPGI, 0, 0.40%, 0.0003527%), (VZ, 0, 0.39%, 0.0003066%), (UNP, 0, 0.39%, 0.0003994%), (BLK, 0, 0.39%, 0.0003164%), (DIS, 0, 0.39%, 0.0002449%), (MDT, 0, 0.38%, 0.0004498%), (COP, 0, 0.37%, 0.0004453%), (SBUX, 0, 0.37%, 0.0004705%), (C, 0, 0.36%, 0.0002849%), (AMAT, 0, 0.35%, 0.0003306%), (SCHW, 0, 0.35%, 0.0002770%), (AMGN, 0, 0.33%, 0.0002836%), (LMT, 0, 0.33%, 0.0004659%), (TMO, 0, 0.33%, 0.0002875%), (MMM, 0, 0.31%, 0.0005237%), (EMR, 0, 0.30%, 0.0005176%), (PFE, 0, 0.29%, 0.0002816%), (GILD, 0, 0.28%, 0.0002834%), (TJX, 0, 0.26%, 0.0002610%), (CVS, 0, 0.25%, 0.0004459%), (DHR, 0, 0.25%, 0.0002571%), (MO, 0, 0.24%, 0.0003369%), (LOW, 0, 0.24%, 0.0002605%), (CMCSA, 0, 0.23%, 0.0002553%), (INTC, 0, 0.23%, 0.0002962%), (MDLZ, 0, 0.23%, 0.0003459%), (ELV, 0, 0.21%, 0.0004693%), (UPS, 0, 0.21%, 0.0003882%), (BMY, 0, 0.20%, 0.0002814%), (PYPL, 0, 0.18%, 0.0003605%), (CL, 0, 0.16%, 0.0003080%), (FDX, 0, 0.15%, 0.0003721%), (USB, 0, 0.15%, 0.0002781%), (TGT, 0, 0.09%, 0.0002645%), (nan, 0, -0.02%, 0.0000000%), (nan, 0, -0.03%, 0.0000000%)</t>
  </si>
  <si>
    <t>(GOOGLE, 0, 3.56%, 0.0001710%), (AVGO, 0, 3.01%, 0.0002353%), (META, 0, 2.69%, 0.0001812%), (BRK/B, 0, 2.13%, 0.0003331%), (CSCO, 0, 1.85%, 0.0007053%), (LIN, 0, 1.81%, 0.0008448%), (AMT, 0, 1.79%, 0.0017095%), (TSLA, 0, 1.68%, 0.0001588%), (JPM, 0, 1.65%, 0.0002115%), (XOM, 0, 1.48%, 0.0003301%), (V, 0, 1.47%, 0.0002548%), (LLY, 0, 1.24%, 0.0001754%), (CB, 0, 1.19%, 0.0011223%), (MA, 0, 1.11%, 0.0002303%), (WM, 0, 1.09%, 0.0012279%), (GE, 0, 1.04%, 0.0003904%), (ORCL, 0, 0.96%, 0.0001453%), (NEE, 0, 0.94%, 0.0006102%), (NFLX, 0, 0.90%, 0.0001827%), (UNH, 0, 0.85%, 0.0003403%), (JNJ, 0, 0.82%, 0.0002102%), (PG, 0, 0.81%, 0.0002281%), (COST, 0, 0.79%, 0.0001943%), (WMT, 0, 0.78%, 0.0001057%), (CVX, 0, 0.78%, 0.0002614%), (PLTR, 0, 0.76%, 0.0002323%), (CAT, 0, 0.74%, 0.0003921%), (RTX, 0, 0.73%, 0.0003778%), (MCD, 0, 0.73%, 0.0003529%), (ABT, 0, 0.70%, 0.0003341%), (HD, 0, 0.67%, 0.0001914%), (ABBV, 0, 0.67%, 0.0002104%), (KO, 0, 0.65%, 0.0002253%), (BKNG, 0, 0.65%, 0.0003599%), (IBM, 0, 0.65%, 0.0002549%), (BAC, 0, 0.64%, 0.0001861%), (PM, 0, 0.63%, 0.0002482%), (BA, 0, 0.63%, 0.0003743%), (CRM, 0, 0.63%, 0.0002588%), (SO, 0, 0.63%, 0.0006154%), (NKE, 0, 0.60%, 0.0006922%), (ISRG, 0, 0.59%, 0.0003365%), (AMD, 0, 0.58%, 0.0002379%), (HON, 0, 0.57%, 0.0003897%), (DUK, 0, 0.56%, 0.0006144%), (WFC, 0, 0.54%, 0.0002146%), (ETN, 0, 0.54%, 0.0003863%), (UBER, 0, 0.54%, 0.0002938%), (GS, 0, 0.54%, 0.0002621%), (INTU, 0, 0.53%, 0.0002590%), (MET, 0, 0.51%, 0.0010303%), (NOW, 0, 0.49%, 0.0002553%), (PEP, 0, 0.48%, 0.0002494%), (DE, 0, 0.47%, 0.0003581%), (TXN, 0, 0.45%, 0.0002388%), (ACN, 0, 0.45%, 0.0002601%), (T, 0, 0.43%, 0.0010688%), (MS, 0, 0.42%, 0.0001947%), (MRK, 0, 0.42%, 0.0002130%), (AXP, 0, 0.41%, 0.0002024%), (ADBE, 0, 0.41%, 0.0002711%), (QCOM, 0, 0.40%, 0.0002449%), (SPGI, 0, 0.40%, 0.0002625%), (VZ, 0, 0.39%, 0.0002283%), (UNP, 0, 0.39%, 0.0002974%), (BLK, 0, 0.39%, 0.0002357%), (DIS, 0, 0.38%, 0.0001824%), (MDT, 0, 0.38%, 0.0003349%), (COP, 0, 0.37%, 0.0003316%), (SBUX, 0, 0.37%, 0.0003504%), (C, 0, 0.36%, 0.0002122%), (AMAT, 0, 0.35%, 0.0002462%), (SCHW, 0, 0.35%, 0.0002063%), (AMGN, 0, 0.33%, 0.0002112%), (LMT, 0, 0.33%, 0.0003470%), (TMO, 0, 0.33%, 0.0002143%), (MMM, 0, 0.30%, 0.0003900%), (EMR, 0, 0.30%, 0.0003856%), (PFE, 0, 0.29%, 0.0002097%), (GILD, 0, 0.28%, 0.0002111%), (TJX, 0, 0.26%, 0.0001944%), (CVS, 0, 0.25%, 0.0003320%), (DHR, 0, 0.24%, 0.0001914%), (MO, 0, 0.24%, 0.0002509%), (LOW, 0, 0.23%, 0.0001940%), (CMCSA, 0, 0.23%, 0.0001902%), (INTC, 0, 0.23%, 0.0002206%), (MDLZ, 0, 0.23%, 0.0002575%), (ELV, 0, 0.21%, 0.0003496%), (UPS, 0, 0.21%, 0.0002891%), (BMY, 0, 0.20%, 0.0002096%), (PYPL, 0, 0.18%, 0.0002685%), (CL, 0, 0.16%, 0.0002294%), (FDX, 0, 0.15%, 0.0002772%), (USB, 0, 0.14%, 0.0002070%), (TGT, 0, 0.09%, 0.0001970%), (nan, 0, -0.02%, 0.0000000%), (nan, 0, -0.03%, 0.0000000%)</t>
  </si>
  <si>
    <t>(GOOGLE, 0, 3.60%, 0.0000401%), (AVGO, 0, 3.04%, 0.0000552%), (META, 0, 2.72%, 0.0000425%), (BRK/B, 0, 2.15%, 0.0000781%), (CSCO, 0, 1.87%, 0.0001654%), (LIN, 0, 1.83%, 0.0001981%), (AMT, 0, 1.81%, 0.0004007%), (TSLA, 0, 1.70%, 0.0000372%), (JPM, 0, 1.67%, 0.0000496%), (XOM, 0, 1.49%, 0.0000774%), (V, 0, 1.49%, 0.0000598%), (LLY, 0, 1.26%, 0.0000411%), (CB, 0, 1.20%, 0.0002630%), (MA, 0, 1.12%, 0.0000540%), (WM, 0, 1.10%, 0.0002879%), (GE, 0, 1.05%, 0.0000916%), (ORCL, 0, 0.96%, 0.0000341%), (NEE, 0, 0.95%, 0.0001431%), (NFLX, 0, 0.91%, 0.0000427%), (UNH, 0, 0.86%, 0.0000798%), (JNJ, 0, 0.83%, 0.0000493%), (PG, 0, 0.82%, 0.0000535%), (COST, 0, 0.80%, 0.0000456%), (WMT, 0, 0.79%, 0.0000248%), (CVX, 0, 0.78%, 0.0000613%), (PLTR, 0, 0.77%, 0.0000545%), (CAT, 0, 0.75%, 0.0000920%), (RTX, 0, 0.74%, 0.0000885%), (MCD, 0, 0.73%, 0.0000827%), (ABT, 0, 0.71%, 0.0000783%), (HD, 0, 0.68%, 0.0000449%), (ABBV, 0, 0.68%, 0.0000494%), (KO, 0, 0.66%, 0.0000528%), (IBM, 0, 0.65%, 0.0000598%), (BKNG, 0, 0.65%, 0.0000838%), (BAC, 0, 0.65%, 0.0000436%), (PM, 0, 0.64%, 0.0000582%), (BA, 0, 0.64%, 0.0000878%), (CRM, 0, 0.63%, 0.0000607%), (SO, 0, 0.63%, 0.0001443%), (NKE, 0, 0.61%, 0.0001623%), (ISRG, 0, 0.59%, 0.0000790%), (AMD, 0, 0.58%, 0.0000558%), (HON, 0, 0.57%, 0.0000914%), (DUK, 0, 0.56%, 0.0001440%), (WFC, 0, 0.55%, 0.0000503%), (ETN, 0, 0.55%, 0.0000907%), (UBER, 0, 0.55%, 0.0000689%), (GS, 0, 0.54%, 0.0000613%), (INTU, 0, 0.54%, 0.0000606%), (MET, 0, 0.52%, 0.0002416%), (NOW, 0, 0.50%, 0.0000596%), (PEP, 0, 0.48%, 0.0000584%), (DE, 0, 0.48%, 0.0000840%), (TXN, 0, 0.45%, 0.0000560%), (ACN, 0, 0.45%, 0.0000607%), (T, 0, 0.44%, 0.0002506%), (MS, 0, 0.43%, 0.0000457%), (MRK, 0, 0.42%, 0.0000500%), (AXP, 0, 0.42%, 0.0000475%), (ADBE, 0, 0.41%, 0.0000635%), (QCOM, 0, 0.41%, 0.0000575%), (SPGI, 0, 0.40%, 0.0000614%), (VZ, 0, 0.40%, 0.0000535%), (UNP, 0, 0.39%, 0.0000698%), (BLK, 0, 0.39%, 0.0000555%), (DIS, 0, 0.39%, 0.0000428%), (MDT, 0, 0.38%, 0.0000785%), (COP, 0, 0.38%, 0.0000777%), (SBUX, 0, 0.37%, 0.0000822%), (C, 0, 0.36%, 0.0000498%), (AMAT, 0, 0.36%, 0.0000577%), (SCHW, 0, 0.35%, 0.0000484%), (AMGN, 0, 0.34%, 0.0000496%), (LMT, 0, 0.33%, 0.0000812%), (TMO, 0, 0.33%, 0.0000503%), (MMM, 0, 0.31%, 0.0000915%), (EMR, 0, 0.31%, 0.0000904%), (PFE, 0, 0.29%, 0.0000492%), (GILD, 0, 0.28%, 0.0000495%), (TJX, 0, 0.26%, 0.0000456%), (CVS, 0, 0.25%, 0.0000778%), (DHR, 0, 0.25%, 0.0000449%), (MO, 0, 0.24%, 0.0000589%), (LOW, 0, 0.24%, 0.0000455%), (CMCSA, 0, 0.24%, 0.0000446%), (INTC, 0, 0.23%, 0.0000517%), (MDLZ, 0, 0.23%, 0.0000604%), (ELV, 0, 0.22%, 0.0000819%), (UPS, 0, 0.21%, 0.0000678%), (BMY, 0, 0.20%, 0.0000491%), (PYPL, 0, 0.18%, 0.0000630%), (CL, 0, 0.16%, 0.0000537%), (FDX, 0, 0.15%, 0.0000648%), (USB, 0, 0.15%, 0.0000485%), (TGT, 0, 0.09%, 0.0000462%), (nan, 0, -0.02%, 0.0000000%), (nan, 0, -0.03%, 0.0000000%)</t>
  </si>
  <si>
    <t>(AVGO, 0, 2.62%, 0.0000961%), (META, 0, 2.34%, 0.0000740%), (BRK/B, 0, 1.85%, 0.0001361%), (CSCO, 0, 1.61%, 0.0002881%), (LIN, 0, 1.57%, 0.0003452%), (AMT, 0, 1.56%, 0.0006983%), (TSLA, 0, 1.47%, 0.0000649%), (JPM, 0, 1.44%, 0.0000864%), (XOM, 0, 1.29%, 0.0001349%), (V, 0, 1.28%, 0.0001041%), (LLY, 0, 1.08%, 0.0000716%), (CB, 0, 1.04%, 0.0004584%), (MA, 0, 0.97%, 0.0000941%), (WM, 0, 0.95%, 0.0005017%), (GE, 0, 0.90%, 0.0001595%), (ORCL, 0, 0.83%, 0.0000594%), (NEE, 0, 0.82%, 0.0002493%), (NFLX, 0, 0.78%, 0.0000746%), (UNH, 0, 0.74%, 0.0001391%), (JNJ, 0, 0.71%, 0.0000859%), (PG, 0, 0.71%, 0.0000932%), (COST, 0, 0.69%, 0.0000794%), (WMT, 0, 0.68%, 0.0000432%), (CVX, 0, 0.68%, 0.0001068%), (PLTR, 0, 0.66%, 0.0000949%), (CAT, 0, 0.65%, 0.0001603%), (RTX, 0, 0.64%, 0.0001543%), (MCD, 0, 0.63%, 0.0001442%), (ABT, 0, 0.61%, 0.0001365%), (ABBV, 0, 0.59%, 0.0000860%), (HD, 0, 0.59%, 0.0000782%), (BKNG, 0, 0.57%, 0.0001489%), (KO, 0, 0.56%, 0.0000911%), (IBM, 0, 0.56%, 0.0001041%), (BAC, 0, 0.56%, 0.0000760%), (PM, 0, 0.55%, 0.0001014%), (BA, 0, 0.55%, 0.0001529%), (CRM, 0, 0.55%, 0.0001058%), (SO, 0, 0.54%, 0.0002514%), (NKE, 0, 0.52%, 0.0002828%), (ISRG, 0, 0.51%, 0.0001374%), (AMD, 0, 0.50%, 0.0000972%), (HON, 0, 0.49%, 0.0001591%), (DUK, 0, 0.49%, 0.0002510%), (WFC, 0, 0.47%, 0.0000877%), (UBER, 0, 0.47%, 0.0001200%), (ETN, 0, 0.47%, 0.0001577%), (GS, 0, 0.47%, 0.0001070%), (INTU, 0, 0.47%, 0.0001058%), (MET, 0, 0.45%, 0.0004210%), (NOW, 0, 0.42%, 0.0001043%), (PEP, 0, 0.42%, 0.0001019%), (DE, 0, 0.41%, 0.0001461%), (TXN, 0, 0.39%, 0.0000976%), (ACN, 0, 0.39%, 0.0001061%), (T, 0, 0.38%, 0.0004366%), (MS, 0, 0.37%, 0.0000795%), (MRK, 0, 0.37%, 0.0000870%), (AXP, 0, 0.36%, 0.0000826%), (ADBE, 0, 0.36%, 0.0001106%), (QCOM, 0, 0.35%, 0.0001000%), (SPGI, 0, 0.35%, 0.0001073%), (VZ, 0, 0.34%, 0.0000933%), (UNP, 0, 0.34%, 0.0001214%), (BLK, 0, 0.34%, 0.0000962%), (DIS, 0, 0.33%, 0.0000745%), (MDT, 0, 0.33%, 0.0001368%), (COP, 0, 0.32%, 0.0001355%), (SBUX, 0, 0.32%, 0.0001431%), (C, 0, 0.31%, 0.0000867%), (AMAT, 0, 0.31%, 0.0001005%), (SCHW, 0, 0.30%, 0.0000843%), (AMGN, 0, 0.29%, 0.0000860%), (LMT, 0, 0.29%, 0.0001417%), (TMO, 0, 0.28%, 0.0000876%), (MMM, 0, 0.26%, 0.0001594%), (EMR, 0, 0.26%, 0.0001576%), (PFE, 0, 0.25%, 0.0000857%), (GILD, 0, 0.24%, 0.0000862%), (TJX, 0, 0.23%, 0.0000794%), (CVS, 0, 0.22%, 0.0001357%), (DHR, 0, 0.21%, 0.0000781%), (MO, 0, 0.21%, 0.0001025%), (LOW, 0, 0.20%, 0.0000793%), (CMCSA, 0, 0.20%, 0.0000777%), (INTC, 0, 0.20%, 0.0000901%), (MDLZ, 0, 0.20%, 0.0001052%), (ELV, 0, 0.19%, 0.0001426%), (UPS, 0, 0.18%, 0.0001181%), (BMY, 0, 0.17%, 0.0000856%), (PYPL, 0, 0.16%, 0.0001097%), (CL, 0, 0.14%, 0.0000937%), (FDX, 0, 0.13%, 0.0001132%), (USB, 0, 0.13%, 0.0000846%), (TGT, 0, 0.08%, 0.0000803%), (nan, 0, -0.02%, 0.0000000%), (nan, 0, -0.02%, 0.0000000%)</t>
  </si>
  <si>
    <t>(GOOGLE, 0, 3.51%, 0.0000253%), (AVGO, 0, 2.96%, 0.0000349%), (META, 0, 2.66%, 0.0000269%), (BRK/B, 0, 2.10%, 0.0000494%), (CSCO, 0, 1.82%, 0.0001045%), (LIN, 0, 1.78%, 0.0001253%), (AMT, 0, 1.76%, 0.0002533%), (TSLA, 0, 1.66%, 0.0000235%), (JPM, 0, 1.63%, 0.0000313%), (XOM, 0, 1.46%, 0.0000489%), (V, 0, 1.45%, 0.0000378%), (LLY, 0, 1.22%, 0.0000260%), (CB, 0, 1.17%, 0.0001664%), (MA, 0, 1.09%, 0.0000341%), (WM, 0, 1.07%, 0.0001819%), (GE, 0, 1.02%, 0.0000578%), (ORCL, 0, 0.94%, 0.0000215%), (NEE, 0, 0.93%, 0.0000904%), (NFLX, 0, 0.89%, 0.0000271%), (UNH, 0, 0.84%, 0.0000505%), (JNJ, 0, 0.81%, 0.0000312%), (PG, 0, 0.80%, 0.0000338%), (COST, 0, 0.78%, 0.0000289%), (WMT, 0, 0.77%, 0.0000157%), (CVX, 0, 0.76%, 0.0000387%), (PLTR, 0, 0.75%, 0.0000344%), (CAT, 0, 0.73%, 0.0000581%), (RTX, 0, 0.72%, 0.0000560%), (MCD, 0, 0.71%, 0.0000523%), (ABT, 0, 0.69%, 0.0000495%), (ABBV, 0, 0.66%, 0.0000312%), (HD, 0, 0.66%, 0.0000283%), (KO, 0, 0.64%, 0.0000334%), (IBM, 0, 0.64%, 0.0000378%), (BKNG, 0, 0.63%, 0.0000527%), (BAC, 0, 0.63%, 0.0000276%), (PM, 0, 0.62%, 0.0000368%), (BA, 0, 0.62%, 0.0000555%), (CRM, 0, 0.62%, 0.0000383%), (SO, 0, 0.62%, 0.0000913%), (NKE, 0, 0.59%, 0.0001026%), (ISRG, 0, 0.58%, 0.0000499%), (AMD, 0, 0.57%, 0.0000352%), (HON, 0, 0.56%, 0.0000578%), (DUK, 0, 0.55%, 0.0000911%), (WFC, 0, 0.54%, 0.0000318%), (UBER, 0, 0.53%, 0.0000435%), (ETN, 0, 0.53%, 0.0000573%), (GS, 0, 0.53%, 0.0000390%), (INTU, 0, 0.53%, 0.0000384%), (MET, 0, 0.51%, 0.0001528%), (NOW, 0, 0.49%, 0.0000380%), (PEP, 0, 0.47%, 0.0000369%), (DE, 0, 0.47%, 0.0000529%), (TXN, 0, 0.44%, 0.0000354%), (ACN, 0, 0.44%, 0.0000384%), (T, 0, 0.43%, 0.0001584%), (MS, 0, 0.42%, 0.0000289%), (MRK, 0, 0.41%, 0.0000316%), (AXP, 0, 0.41%, 0.0000301%), (ADBE, 0, 0.40%, 0.0000401%), (QCOM, 0, 0.40%, 0.0000363%), (SPGI, 0, 0.39%, 0.0000390%), (VZ, 0, 0.39%, 0.0000338%), (UNP, 0, 0.38%, 0.0000440%), (BLK, 0, 0.38%, 0.0000349%), (DIS, 0, 0.38%, 0.0000270%), (MDT, 0, 0.37%, 0.0000497%), (COP, 0, 0.37%, 0.0000492%), (SBUX, 0, 0.36%, 0.0000519%), (C, 0, 0.35%, 0.0000315%), (AMAT, 0, 0.35%, 0.0000365%), (SCHW, 0, 0.34%, 0.0000306%), (AMGN, 0, 0.33%, 0.0000312%), (TMO, 0, 0.32%, 0.0000317%), (LMT, 0, 0.32%, 0.0000514%), (EMR, 0, 0.30%, 0.0000572%), (MMM, 0, 0.30%, 0.0000578%), (PFE, 0, 0.28%, 0.0000311%), (GILD, 0, 0.28%, 0.0000313%), (TJX, 0, 0.26%, 0.0000288%), (CVS, 0, 0.25%, 0.0000492%), (DHR, 0, 0.24%, 0.0000283%), (MO, 0, 0.24%, 0.0000372%), (LOW, 0, 0.23%, 0.0000287%), (CMCSA, 0, 0.23%, 0.0000282%), (INTC, 0, 0.23%, 0.0000327%), (MDLZ, 0, 0.22%, 0.0000382%), (ELV, 0, 0.21%, 0.0000517%), (UPS, 0, 0.20%, 0.0000428%), (BMY, 0, 0.19%, 0.0000310%), (PYPL, 0, 0.18%, 0.0000398%), (CL, 0, 0.16%, 0.0000340%), (FDX, 0, 0.14%, 0.0000411%), (USB, 0, 0.14%, 0.0000307%), (TGT, 0, 0.09%, 0.0000293%), (nan, 0, -0.02%, 0.0000000%), (nan, 0, -0.02%, 0.0000000%)</t>
  </si>
  <si>
    <t>(GOOGLE, 0, 3.74%, 0.0000609%), (AVGO, 0, 3.16%, 0.0000838%), (META, 0, 2.82%, 0.0000646%), (BRK/B, 0, 2.23%, 0.0001187%), (CSCO, 0, 1.94%, 0.0002513%), (LIN, 0, 1.90%, 0.0003009%), (AMT, 0, 1.88%, 0.0006090%), (TSLA, 0, 1.77%, 0.0000566%), (JPM, 0, 1.73%, 0.0000753%), (XOM, 0, 1.55%, 0.0001176%), (V, 0, 1.55%, 0.0000908%), (LLY, 0, 1.30%, 0.0000624%), (CB, 0, 1.25%, 0.0003997%), (MA, 0, 1.16%, 0.0000821%), (WM, 0, 1.14%, 0.0004374%), (GE, 0, 1.09%, 0.0001391%), (ORCL, 0, 1.00%, 0.0000518%), (NEE, 0, 0.99%, 0.0002174%), (NFLX, 0, 0.95%, 0.0000651%), (UNH, 0, 0.89%, 0.0001212%), (JNJ, 0, 0.86%, 0.0000749%), (PG, 0, 0.85%, 0.0000812%), (COST, 0, 0.83%, 0.0000693%), (WMT, 0, 0.82%, 0.0000377%), (CVX, 0, 0.81%, 0.0000931%), (PLTR, 0, 0.80%, 0.0000828%), (CAT, 0, 0.78%, 0.0001396%), (RTX, 0, 0.77%, 0.0001345%), (MCD, 0, 0.76%, 0.0001257%), (ABT, 0, 0.74%, 0.0001190%), (HD, 0, 0.71%, 0.0000682%), (ABBV, 0, 0.71%, 0.0000749%), (KO, 0, 0.68%, 0.0000802%), (IBM, 0, 0.68%, 0.0000908%), (BKNG, 0, 0.67%, 0.0001272%), (BAC, 0, 0.67%, 0.0000663%), (PM, 0, 0.66%, 0.0000885%), (BA, 0, 0.66%, 0.0001333%), (CRM, 0, 0.66%, 0.0000922%), (SO, 0, 0.66%, 0.0002192%), (NKE, 0, 0.63%, 0.0002466%), (ISRG, 0, 0.62%, 0.0001199%), (AMD, 0, 0.60%, 0.0000847%), (HON, 0, 0.59%, 0.0001388%), (DUK, 0, 0.59%, 0.0002189%), (WFC, 0, 0.57%, 0.0000765%), (ETN, 0, 0.57%, 0.0001377%), (UBER, 0, 0.57%, 0.0001047%), (GS, 0, 0.56%, 0.0000934%), (INTU, 0, 0.56%, 0.0000922%), (MET, 0, 0.54%, 0.0003671%), (NOW, 0, 0.51%, 0.0000909%), (PEP, 0, 0.50%, 0.0000889%), (DE, 0, 0.50%, 0.0001276%), (TXN, 0, 0.47%, 0.0000851%), (ACN, 0, 0.47%, 0.0000922%), (T, 0, 0.45%, 0.0003808%), (MS, 0, 0.44%, 0.0000693%), (MRK, 0, 0.44%, 0.0000759%), (AXP, 0, 0.43%, 0.0000721%), (ADBE, 0, 0.43%, 0.0000965%), (QCOM, 0, 0.42%, 0.0000873%), (SPGI, 0, 0.42%, 0.0000935%), (VZ, 0, 0.41%, 0.0000813%), (UNP, 0, 0.41%, 0.0001059%), (BLK, 0, 0.41%, 0.0000840%), (DIS, 0, 0.40%, 0.0000650%), (MDT, 0, 0.40%, 0.0001193%), (COP, 0, 0.39%, 0.0001182%), (SBUX, 0, 0.38%, 0.0001248%), (C, 0, 0.37%, 0.0000756%), (AMAT, 0, 0.37%, 0.0000877%), (SCHW, 0, 0.36%, 0.0000735%), (AMGN, 0, 0.35%, 0.0000752%), (LMT, 0, 0.34%, 0.0001236%), (TMO, 0, 0.34%, 0.0000764%), (MMM, 0, 0.32%, 0.0001389%), (EMR, 0, 0.32%, 0.0001373%), (PFE, 0, 0.30%, 0.0000747%), (GILD, 0, 0.29%, 0.0000752%), (TJX, 0, 0.27%, 0.0000693%), (CVS, 0, 0.26%, 0.0001183%), (DHR, 0, 0.26%, 0.0000682%), (MO, 0, 0.25%, 0.0000894%), (LOW, 0, 0.25%, 0.0000692%), (CMCSA, 0, 0.25%, 0.0000677%), (INTC, 0, 0.24%, 0.0000786%), (MDLZ, 0, 0.24%, 0.0000918%), (ELV, 0, 0.22%, 0.0001246%), (UPS, 0, 0.22%, 0.0001030%), (BMY, 0, 0.21%, 0.0000747%), (PYPL, 0, 0.19%, 0.0000957%), (CL, 0, 0.17%, 0.0000818%), (FDX, 0, 0.15%, 0.0000987%), (USB, 0, 0.15%, 0.0000738%), (TGT, 0, 0.10%, 0.0000702%), (nan, 0, -0.02%, 0.0000000%), (nan, 0, -0.03%, 0.0000000%)</t>
  </si>
  <si>
    <t>EBAY, BK, MSFT, BKNG, META, JPM, EWBC, GOOGLE, BLK, UNM, RJF, AMAT</t>
  </si>
  <si>
    <t>(MLI, 0, 1.89%, 0.0112112%), (V, 0, 1.87%, 0.0001750%), (EA, 0, 1.87%, 0.0026583%), (AXP, 0, 1.83%, 0.0004869%), (PHM, 0, 1.81%, 0.0043280%), (TRV, 0, 1.80%, 0.0016959%), (SNA, 0, 1.75%, 0.0056992%), (HIG, 0, 1.75%, 0.0028570%), (ADP, 0, 1.72%, 0.0007853%), (KLAC, 0, 1.69%, 0.0008007%), (NVDA, 0, 1.67%, 0.0000229%), (CB, 0, 1.67%, 0.0008522%), (CTSH, 0, 1.64%, 0.0024896%), (PCAR, 0, 1.63%, 0.0017902%), (CRM, 0, 1.60%, 0.0003578%), (ROST, 0, 1.60%, 0.0020367%), (SYF, 0, 1.56%, 0.0034470%), (PAYC, 0, 1.52%, 0.0062840%), (LEN, 0, 1.49%, 0.0031358%), (ACN, 0, 1.44%, 0.0004548%), (QCOM, 0, 1.36%, 0.0004445%), (WSM, 0, 1.34%, 0.0034518%), (BKR, 0, 1.26%, 0.0017920%), (DHI, 0, 1.26%, 0.0015838%), (ODFL, 0, 1.21%, 0.0019384%), (AFL, 0, 1.20%, 0.0012281%), (AAPL, 0, 1.18%, 0.0000210%), (ELV, 0, 1.15%, 0.0010246%), (CSCO, 0, 1.09%, 0.0002250%), (LRCX, 0, 1.07%, 0.0004876%), (GE, 0, 1.00%, 0.0002035%), (STT, 0, 0.97%, 0.0017650%), (MPWR, 0, 0.96%, 0.0015848%), (PNC, 0, 0.94%, 0.0006704%), (CF, 0, 0.93%, 0.0034790%), (MTB, 0, 0.93%, 0.0017073%), (AMP, 0, 0.92%, 0.0010333%), (COST, 0, 0.84%, 0.0001112%), (CSL, 0, 0.83%, 0.0026468%), (XOM, 0, 0.80%, 0.0000968%), (ABT, 0, 0.79%, 0.0002041%), (EOG, 0, 0.78%, 0.0006800%), (EG, 0, 0.75%, 0.0029738%), (NTRS, 0, 0.52%, 0.0012104%), (GEV, 0, 0.50%, 0.0001854%), (CRBG, 0, 0.49%, 0.0014597%), (MA, 0, 0.48%, 0.0000535%), (JNJ, 0, 0.46%, 0.0000636%), (DOV, 0, 0.45%, 0.0009756%), (WTFC, 0, 0.44%, 0.0027542%), (ACM, 0, 0.44%, 0.0016346%), (SLM, 0, 0.44%, 0.0036190%), (CINF, 0, 0.43%, 0.0010204%), (MCK, 0, 0.42%, 0.0002661%), (EQH, 0, 0.42%, 0.0014813%), (MTG, 0, 0.41%, 0.0040194%), (JXN, 0, 0.41%, 0.0037085%), (ALL, 0, 0.40%, 0.0004300%), (NUE, 0, 0.39%, 0.0006666%), (LNC, 0, 0.39%, 0.0032953%), (ADM, 0, 0.38%, 0.0007932%), (NKE, 0, 0.37%, 0.0002346%), (PGR, 0, 0.37%, 0.0001424%), (FANG, 0, 0.30%, 0.0004114%)</t>
  </si>
  <si>
    <t>(AVGO, 0, 2.87%, 0.0000885%), (META, 0, 2.57%, 0.0000682%), (BRK/B, 0, 2.03%, 0.0001253%), (CSCO, 0, 1.76%, 0.0002654%), (LIN, 0, 1.72%, 0.0003178%), (AMT, 0, 1.71%, 0.0006432%), (TSLA, 0, 1.60%, 0.0000597%), (JPM, 0, 1.57%, 0.0000796%), (XOM, 0, 1.41%, 0.0001242%), (V, 0, 1.40%, 0.0000959%), (LLY, 0, 1.19%, 0.0000660%), (CB, 0, 1.14%, 0.0004223%), (MA, 0, 1.06%, 0.0000867%), (WM, 0, 1.04%, 0.0004622%), (GE, 0, 0.99%, 0.0001469%), (ORCL, 0, 0.91%, 0.0000547%), (NEE, 0, 0.90%, 0.0002296%), (NFLX, 0, 0.86%, 0.0000687%), (UNH, 0, 0.81%, 0.0001281%), (JNJ, 0, 0.78%, 0.0000791%), (PG, 0, 0.77%, 0.0000858%), (COST, 0, 0.75%, 0.0000731%), (WMT, 0, 0.75%, 0.0000398%), (CVX, 0, 0.74%, 0.0000984%), (PLTR, 0, 0.72%, 0.0000874%), (CAT, 0, 0.71%, 0.0001475%), (RTX, 0, 0.70%, 0.0001422%), (MCD, 0, 0.69%, 0.0001328%), (ABT, 0, 0.67%, 0.0001257%), (ABBV, 0, 0.64%, 0.0000792%), (HD, 0, 0.64%, 0.0000720%), (BKNG, 0, 0.62%, 0.0001365%), (KO, 0, 0.62%, 0.0000847%), (IBM, 0, 0.62%, 0.0000960%), (BAC, 0, 0.61%, 0.0000700%), (PM, 0, 0.60%, 0.0000934%), (BA, 0, 0.60%, 0.0001408%), (CRM, 0, 0.60%, 0.0000974%), (SO, 0, 0.60%, 0.0002316%), (NKE, 0, 0.57%, 0.0002605%), (ISRG, 0, 0.56%, 0.0001267%), (AMD, 0, 0.55%, 0.0000895%), (HON, 0, 0.54%, 0.0001466%), (DUK, 0, 0.53%, 0.0002311%), (WFC, 0, 0.52%, 0.0000808%), (UBER, 0, 0.52%, 0.0001105%), (ETN, 0, 0.52%, 0.0001454%), (GS, 0, 0.51%, 0.0000987%), (INTU, 0, 0.51%, 0.0000976%), (MET, 0, 0.49%, 0.0003877%), (NOW, 0, 0.47%, 0.0000962%), (PEP, 0, 0.46%, 0.0000938%), (DE, 0, 0.45%, 0.0001347%), (TXN, 0, 0.43%, 0.0000899%), (ACN, 0, 0.42%, 0.0000973%), (T, 0, 0.41%, 0.0004022%), (MS, 0, 0.40%, 0.0000732%), (MRK, 0, 0.40%, 0.0000802%), (AXP, 0, 0.39%, 0.0000762%), (ADBE, 0, 0.39%, 0.0001020%), (QCOM, 0, 0.39%, 0.0000922%), (SPGI, 0, 0.38%, 0.0000987%), (VZ, 0, 0.38%, 0.0000859%), (UNP, 0, 0.37%, 0.0001119%), (BLK, 0, 0.37%, 0.0000885%), (DIS, 0, 0.37%, 0.0000686%), (MDT, 0, 0.36%, 0.0001261%), (COP, 0, 0.35%, 0.0001248%), (SBUX, 0, 0.35%, 0.0001319%), (C, 0, 0.34%, 0.0000799%), (AMAT, 0, 0.34%, 0.0000926%), (SCHW, 0, 0.33%, 0.0000776%), (AMGN, 0, 0.32%, 0.0000795%), (LMT, 0, 0.31%, 0.0001305%), (TMO, 0, 0.31%, 0.0000806%), (MMM, 0, 0.29%, 0.0001468%), (EMR, 0, 0.29%, 0.0001450%), (PFE, 0, 0.27%, 0.0000789%), (GILD, 0, 0.27%, 0.0000794%), (TJX, 0, 0.25%, 0.0000731%), (CVS, 0, 0.24%, 0.0001249%), (DHR, 0, 0.23%, 0.0000721%), (MO, 0, 0.23%, 0.0000944%), (LOW, 0, 0.22%, 0.0000729%), (CMCSA, 0, 0.22%, 0.0000716%), (INTC, 0, 0.22%, 0.0000830%), (MDLZ, 0, 0.22%, 0.0000969%), (ELV, 0, 0.20%, 0.0001314%), (UPS, 0, 0.20%, 0.0001088%), (BMY, 0, 0.19%, 0.0000788%), (PYPL, 0, 0.17%, 0.0001010%), (CL, 0, 0.15%, 0.0000863%), (FDX, 0, 0.14%, 0.0001043%), (USB, 0, 0.14%, 0.0000779%), (TGT, 0, 0.09%, 0.0000742%), (nan, 0, -0.02%, 0.0000000%), (nan, 0, -0.02%, 0.0000000%)</t>
  </si>
  <si>
    <t>(GOOGLE, 0, 3.56%, 0.0001316%), (AVGO, 0, 3.01%, 0.0001810%), (META, 0, 2.70%, 0.0001394%), (BRK/B, 0, 2.13%, 0.0002563%), (CSCO, 0, 1.85%, 0.0005426%), (LIN, 0, 1.81%, 0.0006500%), (AMT, 0, 1.79%, 0.0013152%), (TSLA, 0, 1.69%, 0.0001222%), (JPM, 0, 1.65%, 0.0001627%), (XOM, 0, 1.48%, 0.0002540%), (V, 0, 1.48%, 0.0001961%), (LLY, 0, 1.24%, 0.0001349%), (CB, 0, 1.19%, 0.0008634%), (MA, 0, 1.11%, 0.0001773%), (WM, 0, 1.09%, 0.0009447%), (GE, 0, 1.04%, 0.0003003%), (ORCL, 0, 0.96%, 0.0001118%), (NEE, 0, 0.94%, 0.0004695%), (NFLX, 0, 0.90%, 0.0001404%), (UNH, 0, 0.85%, 0.0002619%), (JNJ, 0, 0.82%, 0.0001617%), (PG, 0, 0.81%, 0.0001755%), (COST, 0, 0.79%, 0.0001494%), (WMT, 0, 0.78%, 0.0000814%), (CVX, 0, 0.78%, 0.0002011%), (PLTR, 0, 0.76%, 0.0001787%), (CAT, 0, 0.74%, 0.0003016%), (RTX, 0, 0.73%, 0.0002906%), (MCD, 0, 0.73%, 0.0002714%), (ABT, 0, 0.70%, 0.0002571%), (HD, 0, 0.68%, 0.0001473%), (ABBV, 0, 0.67%, 0.0001619%), (KO, 0, 0.65%, 0.0001732%), (IBM, 0, 0.65%, 0.0001962%), (BKNG, 0, 0.65%, 0.0002761%), (BAC, 0, 0.64%, 0.0001432%), (PM, 0, 0.63%, 0.0001910%), (BA, 0, 0.63%, 0.0002879%), (CRM, 0, 0.63%, 0.0001992%), (SO, 0, 0.63%, 0.0004735%), (NKE, 0, 0.60%, 0.0005325%), (ISRG, 0, 0.59%, 0.0002590%), (AMD, 0, 0.58%, 0.0001830%), (HON, 0, 0.57%, 0.0002997%), (DUK, 0, 0.56%, 0.0004727%), (WFC, 0, 0.55%, 0.0001651%), (UBER, 0, 0.54%, 0.0002260%), (ETN, 0, 0.54%, 0.0002972%), (GS, 0, 0.54%, 0.0002017%), (INTU, 0, 0.53%, 0.0001994%), (MET, 0, 0.51%, 0.0007928%), (NOW, 0, 0.49%, 0.0001966%), (PEP, 0, 0.48%, 0.0001918%), (DE, 0, 0.47%, 0.0002756%), (TXN, 0, 0.45%, 0.0001838%), (ACN, 0, 0.44%, 0.0001989%), (T, 0, 0.43%, 0.0008223%), (MS, 0, 0.42%, 0.0001498%), (MRK, 0, 0.42%, 0.0001639%), (AXP, 0, 0.41%, 0.0001558%), (ADBE, 0, 0.41%, 0.0002086%), (QCOM, 0, 0.40%, 0.0001884%), (SPGI, 0, 0.40%, 0.0002021%), (VZ, 0, 0.39%, 0.0001756%), (UNP, 0, 0.39%, 0.0002288%), (BLK, 0, 0.39%, 0.0001815%), (DIS, 0, 0.38%, 0.0001403%), (MDT, 0, 0.38%, 0.0002577%), (COP, 0, 0.37%, 0.0002552%), (SBUX, 0, 0.37%, 0.0002696%), (C, 0, 0.36%, 0.0001632%), (AMAT, 0, 0.35%, 0.0001894%), (SCHW, 0, 0.35%, 0.0001587%), (AMGN, 0, 0.33%, 0.0001623%), (TMO, 0, 0.33%, 0.0001648%), (LMT, 0, 0.33%, 0.0002671%), (MMM, 0, 0.30%, 0.0003001%), (EMR, 0, 0.30%, 0.0002966%), (PFE, 0, 0.29%, 0.0001613%), (GILD, 0, 0.28%, 0.0001624%), (TJX, 0, 0.26%, 0.0001495%), (CVS, 0, 0.25%, 0.0002555%), (DHR, 0, 0.25%, 0.0001472%), (MO, 0, 0.24%, 0.0001931%), (LOW, 0, 0.24%, 0.0001492%), (CMCSA, 0, 0.23%, 0.0001463%), (INTC, 0, 0.23%, 0.0001697%), (MDLZ, 0, 0.23%, 0.0001982%), (ELV, 0, 0.21%, 0.0002691%), (UPS, 0, 0.21%, 0.0002224%), (BMY, 0, 0.20%, 0.0001612%), (PYPL, 0, 0.18%, 0.0002065%), (CL, 0, 0.16%, 0.0001764%), (FDX, 0, 0.15%, 0.0002132%), (USB, 0, 0.14%, 0.0001593%), (TGT, 0, 0.09%, 0.0001514%), (nan, 0, -0.02%, 0.0000000%), (nan, 0, -0.02%, 0.0000000%)</t>
  </si>
  <si>
    <t>(GOOGLE, 0, 3.56%, 0.0002296%), (AVGO, 0, 2.98%, 0.0003159%), (META, 0, 2.70%, 0.0002434%), (BRK/B, 0, 2.14%, 0.0004473%), (CSCO, 0, 1.85%, 0.0009471%), (LIN, 0, 1.81%, 0.0011344%), (AMT, 0, 1.80%, 0.0022954%), (TSLA, 0, 1.69%, 0.0002132%), (JPM, 0, 1.66%, 0.0002840%), (XOM, 0, 1.49%, 0.0004433%), (V, 0, 1.48%, 0.0003422%), (LLY, 0, 1.25%, 0.0002355%), (CB, 0, 1.16%, 0.0015070%), (MA, 0, 1.11%, 0.0003093%), (WM, 0, 1.09%, 0.0016489%), (GE, 0, 1.05%, 0.0005243%), (ORCL, 0, 0.97%, 0.0001951%), (NEE, 0, 0.93%, 0.0008194%), (NFLX, 0, 0.89%, 0.0002452%), (UNH, 0, 0.85%, 0.0004570%), (JNJ, 0, 0.82%, 0.0002823%), (PG, 0, 0.82%, 0.0003062%), (COST, 0, 0.79%, 0.0002608%), (CVX, 0, 0.79%, 0.0003510%), (WMT, 0, 0.78%, 0.0001420%), (PLTR, 0, 0.77%, 0.0003120%), (CAT, 0, 0.75%, 0.0005266%), (RTX, 0, 0.74%, 0.0005072%), (MCD, 0, 0.73%, 0.0004738%), (ABT, 0, 0.71%, 0.0004487%), (HD, 0, 0.69%, 0.0002571%), (ABBV, 0, 0.68%, 0.0002826%), (KO, 0, 0.66%, 0.0003025%), (IBM, 0, 0.65%, 0.0003423%), (BKNG, 0, 0.65%, 0.0004840%), (BAC, 0, 0.64%, 0.0002499%), (BA, 0, 0.64%, 0.0005026%), (CRM, 0, 0.63%, 0.0003476%), (SO, 0, 0.63%, 0.0008265%), (PM, 0, 0.62%, 0.0003333%), (NKE, 0, 0.61%, 0.0009294%), (ISRG, 0, 0.60%, 0.0004519%), (AMD, 0, 0.59%, 0.0003194%), (HON, 0, 0.57%, 0.0005232%), (DUK, 0, 0.56%, 0.0008251%), (ETN, 0, 0.56%, 0.0005186%), (WFC, 0, 0.55%, 0.0002883%), (UBER, 0, 0.54%, 0.0003945%), (GS, 0, 0.54%, 0.0003521%), (INTU, 0, 0.54%, 0.0003479%), (MET, 0, 0.52%, 0.0013837%), (NOW, 0, 0.49%, 0.0003428%), (PEP, 0, 0.48%, 0.0003349%), (DE, 0, 0.48%, 0.0004809%), (ACN, 0, 0.45%, 0.0003473%), (T, 0, 0.43%, 0.0014353%), (MRK, 0, 0.42%, 0.0002861%), (MS, 0, 0.42%, 0.0002614%), (AXP, 0, 0.42%, 0.0002718%), (ADBE, 0, 0.41%, 0.0003641%), (QCOM, 0, 0.40%, 0.0003289%), (SPGI, 0, 0.40%, 0.0003527%), (TXN, 0, 0.40%, 0.0003207%), (VZ, 0, 0.39%, 0.0003066%), (BLK, 0, 0.39%, 0.0003164%), (UNP, 0, 0.39%, 0.0003994%), (DIS, 0, 0.39%, 0.0002449%), (MDT, 0, 0.38%, 0.0004498%), (COP, 0, 0.38%, 0.0004453%), (SBUX, 0, 0.37%, 0.0004705%), (C, 0, 0.36%, 0.0002849%), (AMAT, 0, 0.36%, 0.0003306%), (TMO, 0, 0.35%, 0.0002875%), (SCHW, 0, 0.35%, 0.0002770%), (AMGN, 0, 0.34%, 0.0002836%), (LMT, 0, 0.32%, 0.0004659%), (EMR, 0, 0.31%, 0.0005176%), (MMM, 0, 0.31%, 0.0005237%), (PFE, 0, 0.29%, 0.0002816%), (GILD, 0, 0.28%, 0.0002834%), (TJX, 0, 0.26%, 0.0002610%), (DHR, 0, 0.26%, 0.0002571%), (CVS, 0, 0.25%, 0.0004459%), (MO, 0, 0.24%, 0.0003369%), (CMCSA, 0, 0.24%, 0.0002553%), (MDLZ, 0, 0.23%, 0.0003459%), (INTC, 0, 0.23%, 0.0002962%), (ELV, 0, 0.22%, 0.0004693%), (UPS, 0, 0.21%, 0.0003882%), (BMY, 0, 0.20%, 0.0002814%), (PYPL, 0, 0.18%, 0.0003605%), (LOW, 0, 0.17%, 0.0001892%), (CL, 0, 0.16%, 0.0003080%), (FDX, 0, 0.15%, 0.0003721%), (USB, 0, 0.14%, 0.0002781%), (TGT, 0, 0.09%, 0.0002645%), (nan, 0, -0.02%, 0.0000000%), (nan, 0, -0.02%, 0.0000000%)</t>
  </si>
  <si>
    <t>(GOOGLE, 0, 3.55%, 0.0001710%), (AVGO, 0, 2.97%, 0.0002353%), (META, 0, 2.69%, 0.0001812%), (BRK/B, 0, 2.14%, 0.0003331%), (CSCO, 0, 1.84%, 0.0007053%), (LIN, 0, 1.81%, 0.0008448%), (AMT, 0, 1.80%, 0.0017095%), (TSLA, 0, 1.68%, 0.0001588%), (JPM, 0, 1.65%, 0.0002115%), (XOM, 0, 1.49%, 0.0003301%), (V, 0, 1.48%, 0.0002548%), (LLY, 0, 1.25%, 0.0001754%), (CB, 0, 1.15%, 0.0011223%), (MA, 0, 1.10%, 0.0002303%), (WM, 0, 1.09%, 0.0012279%), (GE, 0, 1.04%, 0.0003904%), (ORCL, 0, 0.96%, 0.0001453%), (NEE, 0, 0.93%, 0.0006102%), (NFLX, 0, 0.89%, 0.0001827%), (UNH, 0, 0.85%, 0.0003403%), (JNJ, 0, 0.82%, 0.0002102%), (PG, 0, 0.82%, 0.0002281%), (COST, 0, 0.79%, 0.0001943%), (CVX, 0, 0.78%, 0.0002614%), (WMT, 0, 0.78%, 0.0001057%), (PLTR, 0, 0.77%, 0.0002323%), (CAT, 0, 0.75%, 0.0003921%), (RTX, 0, 0.74%, 0.0003778%), (MCD, 0, 0.73%, 0.0003529%), (ABT, 0, 0.71%, 0.0003341%), (HD, 0, 0.68%, 0.0001914%), (ABBV, 0, 0.68%, 0.0002104%), (KO, 0, 0.65%, 0.0002253%), (IBM, 0, 0.65%, 0.0002549%), (BKNG, 0, 0.65%, 0.0003599%), (BAC, 0, 0.64%, 0.0001861%), (BA, 0, 0.63%, 0.0003743%), (CRM, 0, 0.63%, 0.0002588%), (SO, 0, 0.63%, 0.0006154%), (PM, 0, 0.62%, 0.0002482%), (NKE, 0, 0.61%, 0.0006922%), (ISRG, 0, 0.59%, 0.0003365%), (AMD, 0, 0.58%, 0.0002379%), (HON, 0, 0.57%, 0.0003897%), (DUK, 0, 0.56%, 0.0006144%), (ETN, 0, 0.55%, 0.0003863%), (WFC, 0, 0.55%, 0.0002146%), (UBER, 0, 0.54%, 0.0002938%), (GS, 0, 0.54%, 0.0002621%), (INTU, 0, 0.53%, 0.0002590%), (MET, 0, 0.52%, 0.0010303%), (NOW, 0, 0.49%, 0.0002553%), (PEP, 0, 0.48%, 0.0002494%), (DE, 0, 0.48%, 0.0003581%), (ACN, 0, 0.45%, 0.0002601%), (T, 0, 0.43%, 0.0010688%), (MRK, 0, 0.42%, 0.0002130%), (MS, 0, 0.42%, 0.0001947%), (AXP, 0, 0.41%, 0.0002024%), (ADBE, 0, 0.41%, 0.0002711%), (QCOM, 0, 0.40%, 0.0002449%), (SPGI, 0, 0.40%, 0.0002625%), (TXN, 0, 0.40%, 0.0002388%), (VZ, 0, 0.39%, 0.0002283%), (BLK, 0, 0.39%, 0.0002357%), (UNP, 0, 0.39%, 0.0002974%), (DIS, 0, 0.39%, 0.0001824%), (MDT, 0, 0.38%, 0.0003349%), (COP, 0, 0.37%, 0.0003316%), (SBUX, 0, 0.37%, 0.0003504%), (C, 0, 0.36%, 0.0002122%), (TMO, 0, 0.36%, 0.0002143%), (AMAT, 0, 0.36%, 0.0002462%), (SCHW, 0, 0.35%, 0.0002063%), (AMGN, 0, 0.33%, 0.0002112%), (LMT, 0, 0.32%, 0.0003470%), (EMR, 0, 0.31%, 0.0003856%), (MMM, 0, 0.31%, 0.0003900%), (PFE, 0, 0.29%, 0.0002097%), (GILD, 0, 0.28%, 0.0002111%), (TJX, 0, 0.26%, 0.0001944%), (DHR, 0, 0.25%, 0.0001914%), (CVS, 0, 0.25%, 0.0003320%), (MO, 0, 0.24%, 0.0002509%), (CMCSA, 0, 0.24%, 0.0001902%), (MDLZ, 0, 0.23%, 0.0002575%), (INTC, 0, 0.23%, 0.0002206%), (ELV, 0, 0.22%, 0.0003496%), (UPS, 0, 0.21%, 0.0002891%), (BMY, 0, 0.20%, 0.0002096%), (PYPL, 0, 0.18%, 0.0002685%), (LOW, 0, 0.17%, 0.0001405%), (CL, 0, 0.16%, 0.0002294%), (FDX, 0, 0.15%, 0.0002772%), (USB, 0, 0.14%, 0.0002070%), (TGT, 0, 0.09%, 0.0001970%), (nan, 0, -0.02%, 0.0000000%), (nan, 0, -0.02%, 0.0000000%)</t>
  </si>
  <si>
    <t>(GOOGLE, 0, 3.59%, 0.0000401%), (AVGO, 0, 3.00%, 0.0000552%), (META, 0, 2.72%, 0.0000425%), (BRK/B, 0, 2.16%, 0.0000781%), (CSCO, 0, 1.86%, 0.0001654%), (LIN, 0, 1.83%, 0.0001981%), (AMT, 0, 1.82%, 0.0004007%), (TSLA, 0, 1.70%, 0.0000372%), (JPM, 0, 1.67%, 0.0000496%), (XOM, 0, 1.50%, 0.0000774%), (V, 0, 1.49%, 0.0000598%), (LLY, 0, 1.26%, 0.0000411%), (CB, 0, 1.16%, 0.0002630%), (MA, 0, 1.12%, 0.0000540%), (WM, 0, 1.10%, 0.0002879%), (GE, 0, 1.05%, 0.0000916%), (ORCL, 0, 0.97%, 0.0000341%), (NEE, 0, 0.94%, 0.0001431%), (NFLX, 0, 0.90%, 0.0000427%), (UNH, 0, 0.86%, 0.0000798%), (JNJ, 0, 0.83%, 0.0000493%), (PG, 0, 0.82%, 0.0000535%), (COST, 0, 0.80%, 0.0000456%), (CVX, 0, 0.79%, 0.0000613%), (WMT, 0, 0.79%, 0.0000248%), (PLTR, 0, 0.77%, 0.0000545%), (CAT, 0, 0.76%, 0.0000920%), (RTX, 0, 0.75%, 0.0000885%), (MCD, 0, 0.74%, 0.0000827%), (ABT, 0, 0.71%, 0.0000783%), (HD, 0, 0.69%, 0.0000449%), (ABBV, 0, 0.68%, 0.0000494%), (KO, 0, 0.66%, 0.0000528%), (IBM, 0, 0.66%, 0.0000598%), (BKNG, 0, 0.65%, 0.0000838%), (BAC, 0, 0.64%, 0.0000436%), (BA, 0, 0.64%, 0.0000878%), (SO, 0, 0.63%, 0.0001443%), (CRM, 0, 0.63%, 0.0000607%), (PM, 0, 0.62%, 0.0000582%), (NKE, 0, 0.61%, 0.0001623%), (ISRG, 0, 0.60%, 0.0000790%), (AMD, 0, 0.59%, 0.0000558%), (HON, 0, 0.57%, 0.0000914%), (DUK, 0, 0.56%, 0.0001440%), (ETN, 0, 0.56%, 0.0000907%), (WFC, 0, 0.56%, 0.0000503%), (UBER, 0, 0.54%, 0.0000689%), (GS, 0, 0.54%, 0.0000613%), (INTU, 0, 0.54%, 0.0000606%), (MET, 0, 0.52%, 0.0002416%), (NOW, 0, 0.49%, 0.0000596%), (PEP, 0, 0.49%, 0.0000584%), (DE, 0, 0.48%, 0.0000840%), (ACN, 0, 0.45%, 0.0000607%), (T, 0, 0.43%, 0.0002506%), (MRK, 0, 0.43%, 0.0000500%), (MS, 0, 0.43%, 0.0000457%), (AXP, 0, 0.42%, 0.0000475%), (ADBE, 0, 0.41%, 0.0000635%), (QCOM, 0, 0.41%, 0.0000575%), (TXN, 0, 0.40%, 0.0000560%), (SPGI, 0, 0.40%, 0.0000614%), (BLK, 0, 0.40%, 0.0000555%), (VZ, 0, 0.40%, 0.0000535%), (UNP, 0, 0.39%, 0.0000698%), (DIS, 0, 0.39%, 0.0000428%), (MDT, 0, 0.38%, 0.0000785%), (COP, 0, 0.38%, 0.0000777%), (SBUX, 0, 0.38%, 0.0000822%), (C, 0, 0.36%, 0.0000498%), (AMAT, 0, 0.36%, 0.0000577%), (SCHW, 0, 0.35%, 0.0000484%), (TMO, 0, 0.35%, 0.0000503%), (AMGN, 0, 0.34%, 0.0000496%), (LMT, 0, 0.33%, 0.0000812%), (EMR, 0, 0.31%, 0.0000904%), (MMM, 0, 0.31%, 0.0000915%), (PFE, 0, 0.29%, 0.0000492%), (GILD, 0, 0.28%, 0.0000495%), (TJX, 0, 0.27%, 0.0000456%), (DHR, 0, 0.26%, 0.0000449%), (CVS, 0, 0.25%, 0.0000778%), (MO, 0, 0.24%, 0.0000589%), (CMCSA, 0, 0.24%, 0.0000446%), (MDLZ, 0, 0.23%, 0.0000604%), (INTC, 0, 0.23%, 0.0000517%), (ELV, 0, 0.22%, 0.0000819%), (UPS, 0, 0.21%, 0.0000678%), (BMY, 0, 0.20%, 0.0000491%), (PYPL, 0, 0.19%, 0.0000630%), (CL, 0, 0.16%, 0.0000537%), (FDX, 0, 0.15%, 0.0000648%), (LOW, 0, 0.15%, 0.0000276%), (USB, 0, 0.15%, 0.0000485%), (TGT, 0, 0.09%, 0.0000462%), (nan, 0, -0.02%, 0.0000000%), (nan, 0, -0.03%, 0.0000000%)</t>
  </si>
  <si>
    <t>(AVGO, 0, 2.59%, 0.0000961%), (META, 0, 2.34%, 0.0000740%), (BRK/B, 0, 1.86%, 0.0001361%), (CSCO, 0, 1.60%, 0.0002881%), (LIN, 0, 1.57%, 0.0003452%), (AMT, 0, 1.56%, 0.0006983%), (TSLA, 0, 1.47%, 0.0000649%), (JPM, 0, 1.44%, 0.0000864%), (XOM, 0, 1.29%, 0.0001349%), (V, 0, 1.28%, 0.0001041%), (LLY, 0, 1.09%, 0.0000716%), (CB, 0, 1.00%, 0.0004584%), (MA, 0, 0.96%, 0.0000941%), (WM, 0, 0.95%, 0.0005017%), (GE, 0, 0.91%, 0.0001595%), (ORCL, 0, 0.84%, 0.0000594%), (NEE, 0, 0.81%, 0.0002493%), (NFLX, 0, 0.77%, 0.0000746%), (UNH, 0, 0.74%, 0.0001391%), (JNJ, 0, 0.72%, 0.0000859%), (PG, 0, 0.71%, 0.0000932%), (COST, 0, 0.69%, 0.0000794%), (CVX, 0, 0.68%, 0.0001068%), (WMT, 0, 0.68%, 0.0000432%), (PLTR, 0, 0.67%, 0.0000949%), (CAT, 0, 0.65%, 0.0001603%), (RTX, 0, 0.64%, 0.0001543%), (MCD, 0, 0.63%, 0.0001442%), (ABT, 0, 0.61%, 0.0001365%), (HD, 0, 0.59%, 0.0000782%), (ABBV, 0, 0.59%, 0.0000860%), (BKNG, 0, 0.57%, 0.0001489%), (IBM, 0, 0.57%, 0.0001041%), (KO, 0, 0.56%, 0.0000911%), (BAC, 0, 0.56%, 0.0000760%), (BA, 0, 0.55%, 0.0001529%), (SO, 0, 0.54%, 0.0002514%), (CRM, 0, 0.54%, 0.0001058%), (PM, 0, 0.54%, 0.0001014%), (NKE, 0, 0.53%, 0.0002828%), (ISRG, 0, 0.52%, 0.0001374%), (AMD, 0, 0.51%, 0.0000972%), (HON, 0, 0.49%, 0.0001591%), (DUK, 0, 0.48%, 0.0002510%), (ETN, 0, 0.48%, 0.0001577%), (WFC, 0, 0.48%, 0.0000877%), (UBER, 0, 0.47%, 0.0001200%), (GS, 0, 0.47%, 0.0001070%), (INTU, 0, 0.46%, 0.0001058%), (MET, 0, 0.45%, 0.0004210%), (NOW, 0, 0.42%, 0.0001043%), (PEP, 0, 0.42%, 0.0001019%), (DE, 0, 0.41%, 0.0001461%), (ACN, 0, 0.39%, 0.0001061%), (T, 0, 0.37%, 0.0004366%), (MRK, 0, 0.37%, 0.0000870%), (MS, 0, 0.37%, 0.0000795%), (AXP, 0, 0.36%, 0.0000826%), (ADBE, 0, 0.35%, 0.0001106%), (QCOM, 0, 0.35%, 0.0001000%), (SPGI, 0, 0.35%, 0.0001073%), (TXN, 0, 0.34%, 0.0000976%), (VZ, 0, 0.34%, 0.0000933%), (BLK, 0, 0.34%, 0.0000962%), (UNP, 0, 0.34%, 0.0001214%), (DIS, 0, 0.34%, 0.0000745%), (MDT, 0, 0.33%, 0.0001368%), (COP, 0, 0.33%, 0.0001355%), (SBUX, 0, 0.33%, 0.0001431%), (C, 0, 0.31%, 0.0000867%), (AMAT, 0, 0.31%, 0.0001005%), (TMO, 0, 0.31%, 0.0000876%), (SCHW, 0, 0.30%, 0.0000843%), (AMGN, 0, 0.29%, 0.0000860%), (LMT, 0, 0.28%, 0.0001417%), (EMR, 0, 0.27%, 0.0001576%), (MMM, 0, 0.27%, 0.0001594%), (PFE, 0, 0.25%, 0.0000857%), (GILD, 0, 0.24%, 0.0000862%), (TJX, 0, 0.23%, 0.0000794%), (DHR, 0, 0.22%, 0.0000781%), (CVS, 0, 0.22%, 0.0001357%), (MO, 0, 0.21%, 0.0001025%), (CMCSA, 0, 0.21%, 0.0000777%), (MDLZ, 0, 0.20%, 0.0001052%), (INTC, 0, 0.20%, 0.0000901%), (ELV, 0, 0.19%, 0.0001426%), (UPS, 0, 0.18%, 0.0001181%), (BMY, 0, 0.17%, 0.0000856%), (LOW, 0, 0.16%, 0.0000615%), (PYPL, 0, 0.16%, 0.0001097%), (CL, 0, 0.14%, 0.0000937%), (FDX, 0, 0.13%, 0.0001132%), (USB, 0, 0.13%, 0.0000846%), (TGT, 0, 0.08%, 0.0000803%), (nan, 0, -0.02%, 0.0000000%), (nan, 0, -0.02%, 0.0000000%)</t>
  </si>
  <si>
    <t>(GOOGLE, 0, 3.49%, 0.0000253%), (AVGO, 0, 2.93%, 0.0000349%), (META, 0, 2.65%, 0.0000269%), (BRK/B, 0, 2.10%, 0.0000494%), (CSCO, 0, 1.81%, 0.0001045%), (LIN, 0, 1.78%, 0.0001253%), (AMT, 0, 1.77%, 0.0002533%), (TSLA, 0, 1.66%, 0.0000235%), (JPM, 0, 1.63%, 0.0000313%), (XOM, 0, 1.47%, 0.0000489%), (V, 0, 1.45%, 0.0000378%), (LLY, 0, 1.23%, 0.0000260%), (CB, 0, 1.14%, 0.0001664%), (MA, 0, 1.09%, 0.0000341%), (WM, 0, 1.07%, 0.0001819%), (GE, 0, 1.03%, 0.0000578%), (ORCL, 0, 0.95%, 0.0000215%), (NEE, 0, 0.92%, 0.0000904%), (NFLX, 0, 0.88%, 0.0000271%), (UNH, 0, 0.84%, 0.0000505%), (JNJ, 0, 0.81%, 0.0000312%), (PG, 0, 0.80%, 0.0000338%), (COST, 0, 0.78%, 0.0000289%), (CVX, 0, 0.77%, 0.0000387%), (WMT, 0, 0.77%, 0.0000157%), (PLTR, 0, 0.75%, 0.0000344%), (CAT, 0, 0.74%, 0.0000581%), (RTX, 0, 0.73%, 0.0000560%), (MCD, 0, 0.72%, 0.0000523%), (ABT, 0, 0.69%, 0.0000495%), (HD, 0, 0.67%, 0.0000283%), (ABBV, 0, 0.66%, 0.0000312%), (KO, 0, 0.64%, 0.0000334%), (IBM, 0, 0.64%, 0.0000378%), (BKNG, 0, 0.63%, 0.0000527%), (BAC, 0, 0.63%, 0.0000276%), (BA, 0, 0.63%, 0.0000555%), (SO, 0, 0.62%, 0.0000913%), (CRM, 0, 0.62%, 0.0000383%), (PM, 0, 0.61%, 0.0000368%), (NKE, 0, 0.60%, 0.0001026%), (ISRG, 0, 0.59%, 0.0000499%), (AMD, 0, 0.58%, 0.0000352%), (HON, 0, 0.56%, 0.0000578%), (DUK, 0, 0.55%, 0.0000911%), (ETN, 0, 0.55%, 0.0000573%), (WFC, 0, 0.54%, 0.0000318%), (UBER, 0, 0.53%, 0.0000435%), (GS, 0, 0.53%, 0.0000390%), (INTU, 0, 0.53%, 0.0000384%), (MET, 0, 0.51%, 0.0001528%), (NOW, 0, 0.48%, 0.0000380%), (PEP, 0, 0.48%, 0.0000369%), (DE, 0, 0.47%, 0.0000529%), (ACN, 0, 0.44%, 0.0000384%), (T, 0, 0.42%, 0.0001584%), (MRK, 0, 0.42%, 0.0000316%), (MS, 0, 0.42%, 0.0000289%), (AXP, 0, 0.41%, 0.0000301%), (ADBE, 0, 0.40%, 0.0000401%), (QCOM, 0, 0.40%, 0.0000363%), (SPGI, 0, 0.39%, 0.0000390%), (TXN, 0, 0.39%, 0.0000354%), (VZ, 0, 0.39%, 0.0000338%), (BLK, 0, 0.38%, 0.0000349%), (DIS, 0, 0.38%, 0.0000270%), (UNP, 0, 0.38%, 0.0000440%), (MDT, 0, 0.37%, 0.0000497%), (COP, 0, 0.37%, 0.0000492%), (SBUX, 0, 0.37%, 0.0000519%), (TMO, 0, 0.36%, 0.0000317%), (C, 0, 0.35%, 0.0000315%), (AMAT, 0, 0.35%, 0.0000365%), (SCHW, 0, 0.34%, 0.0000306%), (AMGN, 0, 0.33%, 0.0000312%), (LMT, 0, 0.32%, 0.0000514%), (EMR, 0, 0.30%, 0.0000572%), (MMM, 0, 0.30%, 0.0000578%), (PFE, 0, 0.29%, 0.0000311%), (GILD, 0, 0.28%, 0.0000313%), (TJX, 0, 0.26%, 0.0000288%), (DHR, 0, 0.25%, 0.0000283%), (CVS, 0, 0.25%, 0.0000492%), (MO, 0, 0.24%, 0.0000372%), (LOW, 0, 0.24%, 0.0000287%), (CMCSA, 0, 0.23%, 0.0000282%), (MDLZ, 0, 0.22%, 0.0000382%), (INTC, 0, 0.22%, 0.0000327%), (ELV, 0, 0.21%, 0.0000517%), (UPS, 0, 0.20%, 0.0000428%), (BMY, 0, 0.20%, 0.0000310%), (PYPL, 0, 0.18%, 0.0000398%), (CL, 0, 0.16%, 0.0000340%), (FDX, 0, 0.15%, 0.0000411%), (USB, 0, 0.14%, 0.0000307%), (TGT, 0, 0.09%, 0.0000293%), (nan, 0, -0.02%, 0.0000000%), (nan, 0, -0.02%, 0.0000000%)</t>
  </si>
  <si>
    <t>(GOOGLE, 0, 3.72%, 0.0000609%), (AVGO, 0, 3.11%, 0.0000838%), (META, 0, 2.82%, 0.0000646%), (BRK/B, 0, 2.24%, 0.0001187%), (CSCO, 0, 1.93%, 0.0002513%), (LIN, 0, 1.89%, 0.0003009%), (AMT, 0, 1.88%, 0.0006090%), (TSLA, 0, 1.77%, 0.0000566%), (JPM, 0, 1.73%, 0.0000753%), (XOM, 0, 1.56%, 0.0001176%), (V, 0, 1.55%, 0.0000908%), (LLY, 0, 1.31%, 0.0000624%), (CB, 0, 1.21%, 0.0003997%), (MA, 0, 1.16%, 0.0000821%), (WM, 0, 1.14%, 0.0004374%), (GE, 0, 1.09%, 0.0001391%), (ORCL, 0, 1.01%, 0.0000518%), (NEE, 0, 0.98%, 0.0002174%), (NFLX, 0, 0.93%, 0.0000651%), (UNH, 0, 0.89%, 0.0001212%), (JNJ, 0, 0.86%, 0.0000749%), (PG, 0, 0.85%, 0.0000812%), (COST, 0, 0.83%, 0.0000693%), (CVX, 0, 0.82%, 0.0000931%), (WMT, 0, 0.82%, 0.0000377%), (PLTR, 0, 0.80%, 0.0000828%), (CAT, 0, 0.79%, 0.0001396%), (RTX, 0, 0.77%, 0.0001345%), (MCD, 0, 0.76%, 0.0001257%), (ABT, 0, 0.74%, 0.0001190%), (HD, 0, 0.72%, 0.0000682%), (ABBV, 0, 0.71%, 0.0000749%), (KO, 0, 0.68%, 0.0000802%), (IBM, 0, 0.68%, 0.0000908%), (BKNG, 0, 0.67%, 0.0001272%), (BAC, 0, 0.67%, 0.0000663%), (BA, 0, 0.66%, 0.0001333%), (CRM, 0, 0.66%, 0.0000922%), (SO, 0, 0.66%, 0.0002192%), (PM, 0, 0.65%, 0.0000885%), (NKE, 0, 0.64%, 0.0002466%), (ISRG, 0, 0.62%, 0.0001199%), (AMD, 0, 0.61%, 0.0000847%), (HON, 0, 0.60%, 0.0001388%), (DUK, 0, 0.58%, 0.0002189%), (ETN, 0, 0.58%, 0.0001377%), (WFC, 0, 0.58%, 0.0000765%), (UBER, 0, 0.56%, 0.0001047%), (GS, 0, 0.56%, 0.0000934%), (INTU, 0, 0.56%, 0.0000922%), (MET, 0, 0.54%, 0.0003671%), (PEP, 0, 0.51%, 0.0000889%), (NOW, 0, 0.50%, 0.0000909%), (DE, 0, 0.50%, 0.0001276%), (ACN, 0, 0.47%, 0.0000922%), (T, 0, 0.45%, 0.0003808%), (MRK, 0, 0.44%, 0.0000759%), (MS, 0, 0.44%, 0.0000693%), (AXP, 0, 0.43%, 0.0000721%), (ADBE, 0, 0.42%, 0.0000965%), (QCOM, 0, 0.42%, 0.0000873%), (SPGI, 0, 0.41%, 0.0000935%), (TXN, 0, 0.41%, 0.0000851%), (BLK, 0, 0.41%, 0.0000840%), (VZ, 0, 0.41%, 0.0000813%), (DIS, 0, 0.41%, 0.0000650%), (UNP, 0, 0.41%, 0.0001059%), (MDT, 0, 0.40%, 0.0001193%), (COP, 0, 0.39%, 0.0001182%), (SBUX, 0, 0.39%, 0.0001248%), (C, 0, 0.37%, 0.0000756%), (AMAT, 0, 0.37%, 0.0000877%), (TMO, 0, 0.37%, 0.0000764%), (SCHW, 0, 0.36%, 0.0000735%), (AMGN, 0, 0.35%, 0.0000752%), (LMT, 0, 0.34%, 0.0001236%), (EMR, 0, 0.32%, 0.0001373%), (MMM, 0, 0.32%, 0.0001389%), (PFE, 0, 0.30%, 0.0000747%), (GILD, 0, 0.29%, 0.0000752%), (TJX, 0, 0.28%, 0.0000693%), (DHR, 0, 0.27%, 0.0000682%), (CVS, 0, 0.26%, 0.0001183%), (MO, 0, 0.25%, 0.0000894%), (CMCSA, 0, 0.25%, 0.0000677%), (MDLZ, 0, 0.24%, 0.0000918%), (INTC, 0, 0.24%, 0.0000786%), (ELV, 0, 0.23%, 0.0001246%), (UPS, 0, 0.22%, 0.0001030%), (BMY, 0, 0.21%, 0.0000747%), (PYPL, 0, 0.19%, 0.0000957%), (LOW, 0, 0.19%, 0.0000514%), (CL, 0, 0.17%, 0.0000818%), (FDX, 0, 0.15%, 0.0000987%), (USB, 0, 0.15%, 0.0000738%), (TGT, 0, 0.10%, 0.0000702%), (nan, 0, -0.02%, 0.0000000%), (nan, 0, -0.02%, 0.0000000%)</t>
  </si>
  <si>
    <t>EBAY, BK, BKNG, MSFT, META, JPM, BLK, EWBC, GOOGLE, UNM, MLI, RJF</t>
  </si>
  <si>
    <t>(AMAT, 0, 1.91%, 0.0007150%), (V, 0, 1.88%, 0.0001750%), (EA, 0, 1.85%, 0.0026583%), (AXP, 0, 1.84%, 0.0004869%), (PHM, 0, 1.80%, 0.0043280%), (TRV, 0, 1.79%, 0.0016959%), (SNA, 0, 1.77%, 0.0056992%), (HIG, 0, 1.75%, 0.0028570%), (ADP, 0, 1.72%, 0.0007853%), (PCAR, 0, 1.71%, 0.0017902%), (NVDA, 0, 1.68%, 0.0000229%), (KLAC, 0, 1.67%, 0.0008007%), (CTSH, 0, 1.66%, 0.0024896%), (CB, 0, 1.62%, 0.0008522%), (ROST, 0, 1.62%, 0.0020367%), (CRM, 0, 1.60%, 0.0003578%), (SYF, 0, 1.57%, 0.0034470%), (PAYC, 0, 1.52%, 0.0062840%), (LEN, 0, 1.47%, 0.0031358%), (ACN, 0, 1.46%, 0.0004548%), (WSM, 0, 1.37%, 0.0034518%), (QCOM, 0, 1.35%, 0.0004445%), (BKR, 0, 1.32%, 0.0017920%), (DHI, 0, 1.25%, 0.0015838%), (ODFL, 0, 1.21%, 0.0019384%), (AFL, 0, 1.20%, 0.0012281%), (AAPL, 0, 1.18%, 0.0000210%), (ELV, 0, 1.16%, 0.0010246%), (CSCO, 0, 1.09%, 0.0002250%), (LRCX, 0, 1.06%, 0.0004876%), (GE, 0, 1.01%, 0.0002035%), (MPWR, 0, 0.97%, 0.0015848%), (STT, 0, 0.96%, 0.0017650%), (CF, 0, 0.94%, 0.0034790%), (PNC, 0, 0.92%, 0.0006704%), (AMP, 0, 0.92%, 0.0010333%), (MTB, 0, 0.91%, 0.0017073%), (CSL, 0, 0.84%, 0.0026468%), (COST, 0, 0.83%, 0.0001112%), (XOM, 0, 0.81%, 0.0000968%), (ABT, 0, 0.80%, 0.0002041%), (EOG, 0, 0.78%, 0.0006800%), (EG, 0, 0.75%, 0.0029738%), (GEV, 0, 0.56%, 0.0001854%), (NTRS, 0, 0.50%, 0.0012104%), (CRBG, 0, 0.49%, 0.0014597%), (MA, 0, 0.48%, 0.0000535%), (JNJ, 0, 0.46%, 0.0000636%), (DOV, 0, 0.46%, 0.0009756%), (WTFC, 0, 0.45%, 0.0027542%), (ACM, 0, 0.44%, 0.0016346%), (SLM, 0, 0.43%, 0.0036190%), (CINF, 0, 0.43%, 0.0010204%), (MCK, 0, 0.42%, 0.0002661%), (EQH, 0, 0.42%, 0.0014813%), (JXN, 0, 0.41%, 0.0037085%), (MTG, 0, 0.41%, 0.0040194%), (ALL, 0, 0.40%, 0.0004300%), (NUE, 0, 0.40%, 0.0006666%), (LNC, 0, 0.39%, 0.0032953%), (NKE, 0, 0.38%, 0.0002346%), (ADM, 0, 0.38%, 0.0007932%), (PGR, 0, 0.37%, 0.0001424%), (FANG, 0, 0.30%, 0.0004114%)</t>
  </si>
  <si>
    <t>(AVGO, 0, 2.83%, 0.0000885%), (META, 0, 2.57%, 0.0000682%), (BRK/B, 0, 2.04%, 0.0001253%), (CSCO, 0, 1.76%, 0.0002654%), (LIN, 0, 1.72%, 0.0003178%), (AMT, 0, 1.71%, 0.0006432%), (TSLA, 0, 1.61%, 0.0000597%), (JPM, 0, 1.58%, 0.0000796%), (XOM, 0, 1.42%, 0.0001242%), (V, 0, 1.41%, 0.0000959%), (LLY, 0, 1.19%, 0.0000660%), (CB, 0, 1.10%, 0.0004223%), (MA, 0, 1.05%, 0.0000867%), (WM, 0, 1.04%, 0.0004622%), (GE, 0, 0.99%, 0.0001469%), (ORCL, 0, 0.92%, 0.0000547%), (NEE, 0, 0.89%, 0.0002296%), (NFLX, 0, 0.85%, 0.0000687%), (UNH, 0, 0.81%, 0.0001281%), (JNJ, 0, 0.78%, 0.0000791%), (PG, 0, 0.78%, 0.0000858%), (COST, 0, 0.75%, 0.0000731%), (CVX, 0, 0.75%, 0.0000984%), (WMT, 0, 0.74%, 0.0000398%), (PLTR, 0, 0.73%, 0.0000874%), (CAT, 0, 0.72%, 0.0001475%), (RTX, 0, 0.70%, 0.0001422%), (MCD, 0, 0.70%, 0.0001328%), (ABT, 0, 0.67%, 0.0001257%), (HD, 0, 0.65%, 0.0000720%), (ABBV, 0, 0.64%, 0.0000792%), (IBM, 0, 0.62%, 0.0000960%), (BKNG, 0, 0.62%, 0.0001365%), (KO, 0, 0.62%, 0.0000847%), (BAC, 0, 0.61%, 0.0000700%), (BA, 0, 0.60%, 0.0001408%), (CRM, 0, 0.60%, 0.0000974%), (SO, 0, 0.60%, 0.0002316%), (PM, 0, 0.59%, 0.0000934%), (NKE, 0, 0.58%, 0.0002605%), (ISRG, 0, 0.57%, 0.0001267%), (AMD, 0, 0.56%, 0.0000895%), (HON, 0, 0.54%, 0.0001466%), (DUK, 0, 0.53%, 0.0002311%), (ETN, 0, 0.53%, 0.0001454%), (WFC, 0, 0.52%, 0.0000808%), (UBER, 0, 0.51%, 0.0001105%), (GS, 0, 0.51%, 0.0000987%), (INTU, 0, 0.51%, 0.0000976%), (MET, 0, 0.49%, 0.0003877%), (NOW, 0, 0.47%, 0.0000962%), (PEP, 0, 0.46%, 0.0000938%), (DE, 0, 0.45%, 0.0001347%), (ACN, 0, 0.43%, 0.0000973%), (T, 0, 0.41%, 0.0004022%), (MRK, 0, 0.40%, 0.0000802%), (MS, 0, 0.40%, 0.0000732%), (AXP, 0, 0.39%, 0.0000762%), (ADBE, 0, 0.39%, 0.0001020%), (QCOM, 0, 0.38%, 0.0000922%), (SPGI, 0, 0.38%, 0.0000987%), (TXN, 0, 0.38%, 0.0000899%), (VZ, 0, 0.37%, 0.0000859%), (BLK, 0, 0.37%, 0.0000885%), (UNP, 0, 0.37%, 0.0001119%), (DIS, 0, 0.37%, 0.0000686%), (MDT, 0, 0.36%, 0.0001261%), (COP, 0, 0.36%, 0.0001248%), (SBUX, 0, 0.36%, 0.0001319%), (C, 0, 0.34%, 0.0000799%), (AMAT, 0, 0.34%, 0.0000926%), (TMO, 0, 0.33%, 0.0000806%), (SCHW, 0, 0.33%, 0.0000776%), (AMGN, 0, 0.32%, 0.0000795%), (LMT, 0, 0.31%, 0.0001305%), (EMR, 0, 0.29%, 0.0001450%), (MMM, 0, 0.29%, 0.0001468%), (PFE, 0, 0.28%, 0.0000789%), (GILD, 0, 0.27%, 0.0000794%), (TJX, 0, 0.25%, 0.0000731%), (DHR, 0, 0.24%, 0.0000721%), (CVS, 0, 0.24%, 0.0001249%), (MO, 0, 0.23%, 0.0000944%), (CMCSA, 0, 0.23%, 0.0000716%), (MDLZ, 0, 0.22%, 0.0000969%), (INTC, 0, 0.22%, 0.0000830%), (ELV, 0, 0.20%, 0.0001314%), (UPS, 0, 0.20%, 0.0001088%), (BMY, 0, 0.19%, 0.0000788%), (PYPL, 0, 0.18%, 0.0001010%), (LOW, 0, 0.17%, 0.0000551%), (CL, 0, 0.15%, 0.0000863%), (FDX, 0, 0.14%, 0.0001043%), (USB, 0, 0.14%, 0.0000779%), (TGT, 0, 0.09%, 0.0000742%), (nan, 0, -0.02%, 0.0000000%), (nan, 0, -0.02%, 0.0000000%)</t>
  </si>
  <si>
    <t>(GOOGLE, 0, 3.55%, 0.0001316%), (AVGO, 0, 2.97%, 0.0001810%), (META, 0, 2.69%, 0.0001394%), (BRK/B, 0, 2.14%, 0.0002563%), (CSCO, 0, 1.84%, 0.0005426%), (LIN, 0, 1.81%, 0.0006500%), (AMT, 0, 1.80%, 0.0013152%), (TSLA, 0, 1.69%, 0.0001222%), (JPM, 0, 1.65%, 0.0001627%), (XOM, 0, 1.49%, 0.0002540%), (V, 0, 1.48%, 0.0001961%), (LLY, 0, 1.25%, 0.0001349%), (CB, 0, 1.15%, 0.0008634%), (MA, 0, 1.10%, 0.0001773%), (WM, 0, 1.09%, 0.0009447%), (GE, 0, 1.04%, 0.0003003%), (ORCL, 0, 0.96%, 0.0001118%), (NEE, 0, 0.93%, 0.0004695%), (NFLX, 0, 0.89%, 0.0001404%), (UNH, 0, 0.85%, 0.0002619%), (JNJ, 0, 0.82%, 0.0001617%), (PG, 0, 0.82%, 0.0001755%), (COST, 0, 0.79%, 0.0001494%), (CVX, 0, 0.78%, 0.0002011%), (WMT, 0, 0.78%, 0.0000814%), (PLTR, 0, 0.77%, 0.0001787%), (CAT, 0, 0.75%, 0.0003016%), (RTX, 0, 0.74%, 0.0002906%), (MCD, 0, 0.73%, 0.0002714%), (ABT, 0, 0.71%, 0.0002571%), (HD, 0, 0.68%, 0.0001473%), (ABBV, 0, 0.67%, 0.0001619%), (IBM, 0, 0.65%, 0.0001962%), (KO, 0, 0.65%, 0.0001732%), (BKNG, 0, 0.65%, 0.0002761%), (BAC, 0, 0.64%, 0.0001432%), (BA, 0, 0.63%, 0.0002879%), (CRM, 0, 0.63%, 0.0001992%), (SO, 0, 0.63%, 0.0004735%), (PM, 0, 0.62%, 0.0001910%), (NKE, 0, 0.61%, 0.0005325%), (ISRG, 0, 0.59%, 0.0002590%), (AMD, 0, 0.58%, 0.0001830%), (HON, 0, 0.57%, 0.0002997%), (DUK, 0, 0.56%, 0.0004727%), (ETN, 0, 0.55%, 0.0002972%), (WFC, 0, 0.55%, 0.0001651%), (UBER, 0, 0.54%, 0.0002260%), (GS, 0, 0.54%, 0.0002017%), (INTU, 0, 0.53%, 0.0001994%), (MET, 0, 0.52%, 0.0007928%), (NOW, 0, 0.49%, 0.0001966%), (PEP, 0, 0.48%, 0.0001918%), (DE, 0, 0.48%, 0.0002756%), (ACN, 0, 0.45%, 0.0001989%), (T, 0, 0.43%, 0.0008223%), (MRK, 0, 0.42%, 0.0001639%), (MS, 0, 0.42%, 0.0001498%), (AXP, 0, 0.41%, 0.0001558%), (ADBE, 0, 0.41%, 0.0002086%), (QCOM, 0, 0.40%, 0.0001884%), (SPGI, 0, 0.40%, 0.0002021%), (TXN, 0, 0.39%, 0.0001838%), (VZ, 0, 0.39%, 0.0001756%), (BLK, 0, 0.39%, 0.0001815%), (UNP, 0, 0.39%, 0.0002288%), (DIS, 0, 0.39%, 0.0001403%), (MDT, 0, 0.38%, 0.0002577%), (COP, 0, 0.37%, 0.0002552%), (SBUX, 0, 0.37%, 0.0002696%), (TMO, 0, 0.36%, 0.0001648%), (C, 0, 0.36%, 0.0001632%), (AMAT, 0, 0.35%, 0.0001894%), (SCHW, 0, 0.35%, 0.0001587%), (AMGN, 0, 0.33%, 0.0001623%), (LMT, 0, 0.32%, 0.0002671%), (EMR, 0, 0.31%, 0.0002966%), (MMM, 0, 0.31%, 0.0003001%), (PFE, 0, 0.29%, 0.0001613%), (GILD, 0, 0.28%, 0.0001624%), (TJX, 0, 0.26%, 0.0001495%), (DHR, 0, 0.26%, 0.0001472%), (CVS, 0, 0.25%, 0.0002555%), (MO, 0, 0.24%, 0.0001931%), (CMCSA, 0, 0.24%, 0.0001463%), (MDLZ, 0, 0.23%, 0.0001982%), (INTC, 0, 0.23%, 0.0001697%), (ELV, 0, 0.22%, 0.0002691%), (UPS, 0, 0.21%, 0.0002224%), (BMY, 0, 0.20%, 0.0001612%), (PYPL, 0, 0.18%, 0.0002065%), (LOW, 0, 0.18%, 0.0001136%), (CL, 0, 0.16%, 0.0001764%), (FDX, 0, 0.15%, 0.0002132%), (USB, 0, 0.14%, 0.0001593%), (TGT, 0, 0.09%, 0.0001514%), (nan, 0, -0.02%, 0.0000000%), (nan, 0, -0.02%, 0.0000000%)</t>
  </si>
  <si>
    <t>(GOOGLE, 0, 3.61%, 0.0002296%), (AVGO, 0, 3.06%, 0.0003159%), (META, 0, 2.74%, 0.0002434%), (BRK/B, 0, 2.15%, 0.0004473%), (CSCO, 0, 1.84%, 0.0009471%), (LIN, 0, 1.81%, 0.0011344%), (AMT, 0, 1.80%, 0.0022954%), (JPM, 0, 1.68%, 0.0002840%), (TSLA, 0, 1.56%, 0.0002132%), (XOM, 0, 1.50%, 0.0004433%), (V, 0, 1.49%, 0.0003422%), (LLY, 0, 1.28%, 0.0002355%), (CB, 0, 1.17%, 0.0015070%), (MA, 0, 1.12%, 0.0003093%), (WM, 0, 1.11%, 0.0016489%), (GE, 0, 1.07%, 0.0005243%), (ORCL, 0, 0.97%, 0.0001951%), (NEE, 0, 0.89%, 0.0008194%), (NFLX, 0, 0.88%, 0.0002452%), (UNH, 0, 0.86%, 0.0004570%), (JNJ, 0, 0.83%, 0.0002823%), (PG, 0, 0.82%, 0.0003062%), (CVX, 0, 0.79%, 0.0003510%), (PLTR, 0, 0.79%, 0.0003120%), (WMT, 0, 0.79%, 0.0001420%), (COST, 0, 0.79%, 0.0002608%), (RTX, 0, 0.77%, 0.0005072%), (CAT, 0, 0.76%, 0.0005266%), (MCD, 0, 0.72%, 0.0004738%), (ABT, 0, 0.71%, 0.0004487%), (ABBV, 0, 0.69%, 0.0002826%), (HD, 0, 0.69%, 0.0002571%), (KO, 0, 0.65%, 0.0003025%), (BAC, 0, 0.65%, 0.0002499%), (BKNG, 0, 0.65%, 0.0004840%), (BA, 0, 0.65%, 0.0005026%), (CRM, 0, 0.64%, 0.0003476%), (SO, 0, 0.63%, 0.0008265%), (NKE, 0, 0.62%, 0.0009294%), (PM, 0, 0.61%, 0.0003333%), (IBM, 0, 0.60%, 0.0003423%), (AMD, 0, 0.60%, 0.0003194%), (ISRG, 0, 0.58%, 0.0004519%), (ETN, 0, 0.56%, 0.0005186%), (WFC, 0, 0.56%, 0.0002883%), (DUK, 0, 0.55%, 0.0008251%), (HON, 0, 0.55%, 0.0005232%), (INTU, 0, 0.55%, 0.0003479%), (UBER, 0, 0.55%, 0.0003945%), (GS, 0, 0.55%, 0.0003521%), (MET, 0, 0.52%, 0.0013837%), (NOW, 0, 0.51%, 0.0003428%), (DE, 0, 0.48%, 0.0004809%), (PEP, 0, 0.48%, 0.0003349%), (ACN, 0, 0.44%, 0.0003473%), (T, 0, 0.44%, 0.0014353%), (MS, 0, 0.43%, 0.0002614%), (MRK, 0, 0.43%, 0.0002861%), (AXP, 0, 0.42%, 0.0002718%), (SPGI, 0, 0.41%, 0.0003527%), (ADBE, 0, 0.41%, 0.0003641%), (QCOM, 0, 0.40%, 0.0003289%), (BLK, 0, 0.40%, 0.0003164%), (VZ, 0, 0.40%, 0.0003066%), (TXN, 0, 0.39%, 0.0003207%), (DIS, 0, 0.39%, 0.0002449%), (UNP, 0, 0.39%, 0.0003994%), (MDT, 0, 0.38%, 0.0004498%), (COP, 0, 0.38%, 0.0004453%), (SBUX, 0, 0.36%, 0.0004705%), (TMO, 0, 0.36%, 0.0002875%), (C, 0, 0.36%, 0.0002849%), (AMAT, 0, 0.36%, 0.0003306%), (SCHW, 0, 0.35%, 0.0002770%), (AMGN, 0, 0.34%, 0.0002836%), (LMT, 0, 0.33%, 0.0004659%), (EMR, 0, 0.31%, 0.0005176%), (MMM, 0, 0.30%, 0.0005237%), (PFE, 0, 0.29%, 0.0002816%), (GILD, 0, 0.28%, 0.0002834%), (DHR, 0, 0.26%, 0.0002571%), (TJX, 0, 0.26%, 0.0002610%), (CVS, 0, 0.25%, 0.0004459%), (LOW, 0, 0.24%, 0.0002605%), (MO, 0, 0.24%, 0.0003369%), (CMCSA, 0, 0.24%, 0.0002553%), (MDLZ, 0, 0.23%, 0.0003459%), (INTC, 0, 0.23%, 0.0002962%), (ELV, 0, 0.22%, 0.0004693%), (UPS, 0, 0.21%, 0.0003882%), (BMY, 0, 0.20%, 0.0002814%), (PYPL, 0, 0.19%, 0.0003605%), (CL, 0, 0.16%, 0.0003080%), (FDX, 0, 0.15%, 0.0003721%), (USB, 0, 0.15%, 0.0002781%), (TGT, 0, 0.09%, 0.0002645%), (nan, 0, -0.02%, 0.0000000%), (nan, 0, -0.02%, 0.0000000%)</t>
  </si>
  <si>
    <t>(GOOGLE, 0, 3.60%, 0.0001710%), (AVGO, 0, 3.05%, 0.0002353%), (META, 0, 2.73%, 0.0001812%), (BRK/B, 0, 2.14%, 0.0003331%), (CSCO, 0, 1.84%, 0.0007053%), (LIN, 0, 1.80%, 0.0008448%), (AMT, 0, 1.79%, 0.0017095%), (JPM, 0, 1.67%, 0.0002115%), (TSLA, 0, 1.56%, 0.0001588%), (XOM, 0, 1.49%, 0.0003301%), (V, 0, 1.49%, 0.0002548%), (LLY, 0, 1.27%, 0.0001754%), (CB, 0, 1.16%, 0.0011223%), (MA, 0, 1.12%, 0.0002303%), (WM, 0, 1.10%, 0.0012279%), (GE, 0, 1.06%, 0.0003904%), (ORCL, 0, 0.97%, 0.0001453%), (NEE, 0, 0.89%, 0.0006102%), (NFLX, 0, 0.87%, 0.0001827%), (UNH, 0, 0.85%, 0.0003403%), (JNJ, 0, 0.83%, 0.0002102%), (PG, 0, 0.81%, 0.0002281%), (CVX, 0, 0.79%, 0.0002614%), (PLTR, 0, 0.79%, 0.0002323%), (WMT, 0, 0.79%, 0.0001057%), (COST, 0, 0.78%, 0.0001943%), (RTX, 0, 0.76%, 0.0003778%), (CAT, 0, 0.76%, 0.0003921%), (MCD, 0, 0.72%, 0.0003529%), (ABT, 0, 0.70%, 0.0003341%), (ABBV, 0, 0.69%, 0.0002104%), (HD, 0, 0.69%, 0.0001914%), (KO, 0, 0.65%, 0.0002253%), (BAC, 0, 0.65%, 0.0001861%), (BKNG, 0, 0.64%, 0.0003599%), (BA, 0, 0.64%, 0.0003743%), (CRM, 0, 0.63%, 0.0002588%), (SO, 0, 0.62%, 0.0006154%), (NKE, 0, 0.62%, 0.0006922%), (PM, 0, 0.61%, 0.0002482%), (IBM, 0, 0.60%, 0.0002549%), (AMD, 0, 0.59%, 0.0002379%), (ISRG, 0, 0.58%, 0.0003365%), (ETN, 0, 0.56%, 0.0003863%), (WFC, 0, 0.55%, 0.0002146%), (DUK, 0, 0.55%, 0.0006144%), (HON, 0, 0.55%, 0.0003897%), (UBER, 0, 0.55%, 0.0002938%), (INTU, 0, 0.55%, 0.0002590%), (GS, 0, 0.55%, 0.0002621%), (MET, 0, 0.52%, 0.0010303%), (NOW, 0, 0.51%, 0.0002553%), (DE, 0, 0.48%, 0.0003581%), (PEP, 0, 0.48%, 0.0002494%), (ACN, 0, 0.44%, 0.0002601%), (T, 0, 0.44%, 0.0010688%), (MS, 0, 0.43%, 0.0001947%), (MRK, 0, 0.43%, 0.0002130%), (AXP, 0, 0.42%, 0.0002024%), (SPGI, 0, 0.41%, 0.0002625%), (ADBE, 0, 0.41%, 0.0002711%), (QCOM, 0, 0.40%, 0.0002449%), (VZ, 0, 0.40%, 0.0002283%), (BLK, 0, 0.39%, 0.0002357%), (TXN, 0, 0.39%, 0.0002388%), (DIS, 0, 0.39%, 0.0001824%), (UNP, 0, 0.39%, 0.0002974%), (MDT, 0, 0.38%, 0.0003349%), (COP, 0, 0.38%, 0.0003316%), (TMO, 0, 0.36%, 0.0002143%), (SBUX, 0, 0.36%, 0.0003504%), (C, 0, 0.36%, 0.0002122%), (AMAT, 0, 0.36%, 0.0002462%), (SCHW, 0, 0.35%, 0.0002063%), (AMGN, 0, 0.34%, 0.0002112%), (LMT, 0, 0.33%, 0.0003470%), (EMR, 0, 0.31%, 0.0003856%), (MMM, 0, 0.30%, 0.0003900%), (PFE, 0, 0.29%, 0.0002097%), (GILD, 0, 0.28%, 0.0002111%), (DHR, 0, 0.26%, 0.0001914%), (TJX, 0, 0.26%, 0.0001944%), (CVS, 0, 0.25%, 0.0003320%), (LOW, 0, 0.24%, 0.0001940%), (MO, 0, 0.24%, 0.0002509%), (CMCSA, 0, 0.24%, 0.0001902%), (MDLZ, 0, 0.23%, 0.0002575%), (INTC, 0, 0.23%, 0.0002206%), (ELV, 0, 0.22%, 0.0003496%), (UPS, 0, 0.21%, 0.0002891%), (BMY, 0, 0.20%, 0.0002096%), (PYPL, 0, 0.19%, 0.0002685%), (CL, 0, 0.16%, 0.0002294%), (FDX, 0, 0.15%, 0.0002772%), (USB, 0, 0.14%, 0.0002070%), (TGT, 0, 0.09%, 0.0001970%), (nan, 0, -0.02%, 0.0000000%), (nan, 0, -0.02%, 0.0000000%)</t>
  </si>
  <si>
    <t>(GOOGLE, 0, 3.63%, 0.0000401%), (AVGO, 0, 3.08%, 0.0000552%), (META, 0, 2.76%, 0.0000425%), (BRK/B, 0, 2.17%, 0.0000781%), (CSCO, 0, 1.86%, 0.0001654%), (LIN, 0, 1.82%, 0.0001981%), (AMT, 0, 1.81%, 0.0004007%), (JPM, 0, 1.69%, 0.0000496%), (TSLA, 0, 1.57%, 0.0000372%), (XOM, 0, 1.51%, 0.0000774%), (V, 0, 1.50%, 0.0000598%), (LLY, 0, 1.29%, 0.0000411%), (CB, 0, 1.17%, 0.0002630%), (MA, 0, 1.13%, 0.0000540%), (WM, 0, 1.11%, 0.0002879%), (GE, 0, 1.07%, 0.0000916%), (ORCL, 0, 0.98%, 0.0000341%), (NEE, 0, 0.90%, 0.0001431%), (NFLX, 0, 0.88%, 0.0000427%), (UNH, 0, 0.86%, 0.0000798%), (JNJ, 0, 0.83%, 0.0000493%), (PG, 0, 0.82%, 0.0000535%), (CVX, 0, 0.80%, 0.0000613%), (PLTR, 0, 0.80%, 0.0000545%), (WMT, 0, 0.79%, 0.0000248%), (COST, 0, 0.79%, 0.0000456%), (RTX, 0, 0.77%, 0.0000885%), (CAT, 0, 0.77%, 0.0000920%), (MCD, 0, 0.73%, 0.0000827%), (ABT, 0, 0.71%, 0.0000783%), (HD, 0, 0.70%, 0.0000449%), (ABBV, 0, 0.69%, 0.0000494%), (KO, 0, 0.66%, 0.0000528%), (BAC, 0, 0.65%, 0.0000436%), (BA, 0, 0.65%, 0.0000878%), (BKNG, 0, 0.65%, 0.0000838%), (CRM, 0, 0.64%, 0.0000607%), (SO, 0, 0.63%, 0.0001443%), (NKE, 0, 0.62%, 0.0001623%), (PM, 0, 0.61%, 0.0000582%), (IBM, 0, 0.60%, 0.0000598%), (AMD, 0, 0.60%, 0.0000558%), (ISRG, 0, 0.58%, 0.0000790%), (ETN, 0, 0.57%, 0.0000907%), (WFC, 0, 0.56%, 0.0000503%), (DUK, 0, 0.56%, 0.0001440%), (HON, 0, 0.55%, 0.0000914%), (UBER, 0, 0.55%, 0.0000689%), (INTU, 0, 0.55%, 0.0000606%), (GS, 0, 0.55%, 0.0000613%), (MET, 0, 0.53%, 0.0002416%), (NOW, 0, 0.52%, 0.0000596%), (PEP, 0, 0.49%, 0.0000584%), (DE, 0, 0.48%, 0.0000840%), (ACN, 0, 0.45%, 0.0000607%), (T, 0, 0.44%, 0.0002506%), (MS, 0, 0.43%, 0.0000457%), (MRK, 0, 0.43%, 0.0000500%), (AXP, 0, 0.42%, 0.0000475%), (ADBE, 0, 0.41%, 0.0000635%), (SPGI, 0, 0.41%, 0.0000614%), (QCOM, 0, 0.41%, 0.0000575%), (BLK, 0, 0.40%, 0.0000555%), (VZ, 0, 0.40%, 0.0000535%), (TXN, 0, 0.40%, 0.0000560%), (DIS, 0, 0.39%, 0.0000428%), (UNP, 0, 0.39%, 0.0000698%), (MDT, 0, 0.38%, 0.0000785%), (COP, 0, 0.38%, 0.0000777%), (SBUX, 0, 0.37%, 0.0000822%), (C, 0, 0.36%, 0.0000498%), (AMAT, 0, 0.36%, 0.0000577%), (TMO, 0, 0.35%, 0.0000503%), (SCHW, 0, 0.35%, 0.0000484%), (AMGN, 0, 0.34%, 0.0000496%), (LMT, 0, 0.33%, 0.0000812%), (EMR, 0, 0.31%, 0.0000904%), (MMM, 0, 0.31%, 0.0000915%), (PFE, 0, 0.29%, 0.0000492%), (GILD, 0, 0.29%, 0.0000495%), (TJX, 0, 0.27%, 0.0000456%), (DHR, 0, 0.27%, 0.0000449%), (CVS, 0, 0.25%, 0.0000778%), (LOW, 0, 0.24%, 0.0000455%), (MO, 0, 0.24%, 0.0000589%), (CMCSA, 0, 0.24%, 0.0000446%), (MDLZ, 0, 0.23%, 0.0000604%), (INTC, 0, 0.23%, 0.0000517%), (ELV, 0, 0.22%, 0.0000819%), (UPS, 0, 0.21%, 0.0000678%), (BMY, 0, 0.20%, 0.0000491%), (PYPL, 0, 0.19%, 0.0000630%), (CL, 0, 0.16%, 0.0000537%), (FDX, 0, 0.15%, 0.0000648%), (USB, 0, 0.15%, 0.0000485%), (TGT, 0, 0.09%, 0.0000462%), (nan, 0, -0.02%, 0.0000000%), (nan, 0, -0.02%, 0.0000000%)</t>
  </si>
  <si>
    <t>(GOOGLE, 0, 3.47%, 0.0000699%), (AVGO, 0, 2.94%, 0.0000961%), (META, 0, 2.63%, 0.0000740%), (BRK/B, 0, 2.07%, 0.0001361%), (CSCO, 0, 1.77%, 0.0002881%), (LIN, 0, 1.74%, 0.0003452%), (AMT, 0, 1.73%, 0.0006983%), (JPM, 0, 1.61%, 0.0000864%), (TSLA, 0, 1.50%, 0.0000649%), (XOM, 0, 1.44%, 0.0001349%), (V, 0, 1.43%, 0.0001041%), (LLY, 0, 1.22%, 0.0000716%), (CB, 0, 1.12%, 0.0004584%), (MA, 0, 1.08%, 0.0000941%), (WM, 0, 1.06%, 0.0005017%), (GE, 0, 1.02%, 0.0001595%), (ORCL, 0, 0.93%, 0.0000594%), (NEE, 0, 0.86%, 0.0002493%), (NFLX, 0, 0.84%, 0.0000746%), (UNH, 0, 0.82%, 0.0001391%), (JNJ, 0, 0.80%, 0.0000859%), (PG, 0, 0.79%, 0.0000932%), (CVX, 0, 0.76%, 0.0001068%), (PLTR, 0, 0.76%, 0.0000949%), (WMT, 0, 0.76%, 0.0000432%), (COST, 0, 0.76%, 0.0000794%), (RTX, 0, 0.74%, 0.0001543%), (CAT, 0, 0.73%, 0.0001603%), (MCD, 0, 0.70%, 0.0001442%), (ABT, 0, 0.68%, 0.0001365%), (ABBV, 0, 0.66%, 0.0000860%), (HD, 0, 0.66%, 0.0000782%), (BKNG, 0, 0.63%, 0.0001489%), (BAC, 0, 0.62%, 0.0000760%), (KO, 0, 0.62%, 0.0000911%), (BA, 0, 0.62%, 0.0001529%), (CRM, 0, 0.61%, 0.0001058%), (SO, 0, 0.60%, 0.0002514%), (NKE, 0, 0.59%, 0.0002828%), (PM, 0, 0.59%, 0.0001014%), (IBM, 0, 0.57%, 0.0001041%), (AMD, 0, 0.57%, 0.0000972%), (ISRG, 0, 0.55%, 0.0001374%), (ETN, 0, 0.54%, 0.0001577%), (WFC, 0, 0.54%, 0.0000877%), (DUK, 0, 0.53%, 0.0002510%), (UBER, 0, 0.53%, 0.0001200%), (HON, 0, 0.53%, 0.0001591%), (INTU, 0, 0.53%, 0.0001058%), (GS, 0, 0.52%, 0.0001070%), (MET, 0, 0.50%, 0.0004210%), (NOW, 0, 0.49%, 0.0001043%), (PEP, 0, 0.46%, 0.0001019%), (DE, 0, 0.46%, 0.0001461%), (ACN, 0, 0.43%, 0.0001061%), (T, 0, 0.42%, 0.0004366%), (MRK, 0, 0.41%, 0.0000870%), (MS, 0, 0.41%, 0.0000795%), (AXP, 0, 0.40%, 0.0000826%), (SPGI, 0, 0.39%, 0.0001073%), (ADBE, 0, 0.39%, 0.0001106%), (QCOM, 0, 0.39%, 0.0001000%), (VZ, 0, 0.38%, 0.0000933%), (BLK, 0, 0.38%, 0.0000962%), (TXN, 0, 0.38%, 0.0000976%), (DIS, 0, 0.37%, 0.0000745%), (UNP, 0, 0.37%, 0.0001214%), (MDT, 0, 0.37%, 0.0001368%), (COP, 0, 0.37%, 0.0001355%), (SBUX, 0, 0.35%, 0.0001431%), (C, 0, 0.35%, 0.0000867%), (TMO, 0, 0.35%, 0.0000876%), (AMAT, 0, 0.34%, 0.0001005%), (SCHW, 0, 0.33%, 0.0000843%), (AMGN, 0, 0.32%, 0.0000860%), (LMT, 0, 0.32%, 0.0001417%), (EMR, 0, 0.30%, 0.0001576%), (MMM, 0, 0.29%, 0.0001594%), (PFE, 0, 0.28%, 0.0000857%), (GILD, 0, 0.27%, 0.0000862%), (DHR, 0, 0.26%, 0.0000781%), (TJX, 0, 0.25%, 0.0000794%), (CVS, 0, 0.24%, 0.0001357%), (LOW, 0, 0.23%, 0.0000793%), (MO, 0, 0.23%, 0.0001025%), (CMCSA, 0, 0.23%, 0.0000777%), (MDLZ, 0, 0.22%, 0.0001052%), (INTC, 0, 0.22%, 0.0000901%), (ELV, 0, 0.21%, 0.0001426%), (UPS, 0, 0.20%, 0.0001181%), (BMY, 0, 0.19%, 0.0000856%), (PYPL, 0, 0.18%, 0.0001097%), (CL, 0, 0.15%, 0.0000937%), (FDX, 0, 0.14%, 0.0001132%), (USB, 0, 0.14%, 0.0000846%), (TGT, 0, 0.09%, 0.0000803%), (nan, 0, -0.02%, 0.0000000%), (nan, 0, -0.02%, 0.0000000%)</t>
  </si>
  <si>
    <t>(GOOGLE, 0, 3.54%, 0.0000253%), (AVGO, 0, 3.00%, 0.0000349%), (META, 0, 2.70%, 0.0000269%), (BRK/B, 0, 2.11%, 0.0000494%), (CSCO, 0, 1.81%, 0.0001045%), (LIN, 0, 1.77%, 0.0001253%), (AMT, 0, 1.76%, 0.0002533%), (JPM, 0, 1.65%, 0.0000313%), (TSLA, 0, 1.53%, 0.0000235%), (XOM, 0, 1.47%, 0.0000489%), (V, 0, 1.46%, 0.0000378%), (LLY, 0, 1.25%, 0.0000260%), (CB, 0, 1.14%, 0.0001664%), (MA, 0, 1.10%, 0.0000341%), (WM, 0, 1.08%, 0.0001819%), (GE, 0, 1.05%, 0.0000578%), (ORCL, 0, 0.95%, 0.0000215%), (NEE, 0, 0.88%, 0.0000904%), (NFLX, 0, 0.86%, 0.0000271%), (UNH, 0, 0.84%, 0.0000505%), (JNJ, 0, 0.81%, 0.0000312%), (PG, 0, 0.80%, 0.0000338%), (CVX, 0, 0.78%, 0.0000387%), (PLTR, 0, 0.78%, 0.0000344%), (WMT, 0, 0.77%, 0.0000157%), (COST, 0, 0.77%, 0.0000289%), (RTX, 0, 0.75%, 0.0000560%), (CAT, 0, 0.74%, 0.0000581%), (MCD, 0, 0.71%, 0.0000523%), (ABT, 0, 0.69%, 0.0000495%), (ABBV, 0, 0.68%, 0.0000312%), (HD, 0, 0.67%, 0.0000283%), (KO, 0, 0.64%, 0.0000334%), (BAC, 0, 0.64%, 0.0000276%), (BA, 0, 0.63%, 0.0000555%), (BKNG, 0, 0.63%, 0.0000527%), (CRM, 0, 0.62%, 0.0000383%), (SO, 0, 0.61%, 0.0000913%), (NKE, 0, 0.61%, 0.0001026%), (PM, 0, 0.60%, 0.0000368%), (AMD, 0, 0.59%, 0.0000352%), (IBM, 0, 0.59%, 0.0000378%), (ISRG, 0, 0.57%, 0.0000499%), (ETN, 0, 0.55%, 0.0000573%), (WFC, 0, 0.55%, 0.0000318%), (DUK, 0, 0.54%, 0.0000911%), (GS, 0, 0.54%, 0.0000390%), (HON, 0, 0.54%, 0.0000578%), (UBER, 0, 0.54%, 0.0000435%), (INTU, 0, 0.54%, 0.0000384%), (MET, 0, 0.51%, 0.0001528%), (NOW, 0, 0.51%, 0.0000380%), (DE, 0, 0.47%, 0.0000529%), (PEP, 0, 0.47%, 0.0000369%), (ACN, 0, 0.43%, 0.0000384%), (T, 0, 0.43%, 0.0001584%), (MS, 0, 0.42%, 0.0000289%), (MRK, 0, 0.42%, 0.0000316%), (AXP, 0, 0.41%, 0.0000301%), (SPGI, 0, 0.40%, 0.0000390%), (ADBE, 0, 0.40%, 0.0000401%), (QCOM, 0, 0.40%, 0.0000363%), (VZ, 0, 0.39%, 0.0000338%), (BLK, 0, 0.39%, 0.0000349%), (TXN, 0, 0.39%, 0.0000354%), (DIS, 0, 0.38%, 0.0000270%), (UNP, 0, 0.38%, 0.0000440%), (MDT, 0, 0.38%, 0.0000497%), (COP, 0, 0.37%, 0.0000492%), (TMO, 0, 0.37%, 0.0000317%), (SBUX, 0, 0.36%, 0.0000519%), (C, 0, 0.36%, 0.0000315%), (AMAT, 0, 0.35%, 0.0000365%), (SCHW, 0, 0.34%, 0.0000306%), (AMGN, 0, 0.33%, 0.0000312%), (LMT, 0, 0.33%, 0.0000514%), (EMR, 0, 0.30%, 0.0000572%), (MMM, 0, 0.30%, 0.0000578%), (PFE, 0, 0.29%, 0.0000311%), (GILD, 0, 0.28%, 0.0000313%), (DHR, 0, 0.26%, 0.0000283%), (TJX, 0, 0.26%, 0.0000288%), (CVS, 0, 0.25%, 0.0000492%), (MO, 0, 0.24%, 0.0000372%), (LOW, 0, 0.24%, 0.0000287%), (CMCSA, 0, 0.23%, 0.0000282%), (MDLZ, 0, 0.22%, 0.0000382%), (INTC, 0, 0.22%, 0.0000327%), (ELV, 0, 0.22%, 0.0000517%), (UPS, 0, 0.21%, 0.0000428%), (BMY, 0, 0.20%, 0.0000310%), (PYPL, 0, 0.18%, 0.0000398%), (CL, 0, 0.16%, 0.0000340%), (FDX, 0, 0.15%, 0.0000411%), (USB, 0, 0.14%, 0.0000307%), (TGT, 0, 0.09%, 0.0000293%), (nan, 0, -0.02%, 0.0000000%), (nan, 0, -0.02%, 0.0000000%)</t>
  </si>
  <si>
    <t>(GOOGLE, 0, 3.77%, 0.0000609%), (AVGO, 0, 3.20%, 0.0000838%), (META, 0, 2.86%, 0.0000646%), (BRK/B, 0, 2.25%, 0.0001187%), (CSCO, 0, 1.92%, 0.0002513%), (LIN, 0, 1.89%, 0.0003009%), (AMT, 0, 1.88%, 0.0006090%), (JPM, 0, 1.75%, 0.0000753%), (TSLA, 0, 1.63%, 0.0000566%), (XOM, 0, 1.56%, 0.0001176%), (V, 0, 1.56%, 0.0000908%), (LLY, 0, 1.33%, 0.0000624%), (CB, 0, 1.22%, 0.0003997%), (MA, 0, 1.17%, 0.0000821%), (WM, 0, 1.15%, 0.0004374%), (GE, 0, 1.11%, 0.0001391%), (ORCL, 0, 1.02%, 0.0000518%), (NEE, 0, 0.93%, 0.0002174%), (NFLX, 0, 0.92%, 0.0000651%), (UNH, 0, 0.89%, 0.0001212%), (JNJ, 0, 0.87%, 0.0000749%), (PG, 0, 0.85%, 0.0000812%), (CVX, 0, 0.83%, 0.0000931%), (PLTR, 0, 0.83%, 0.0000828%), (WMT, 0, 0.82%, 0.0000377%), (COST, 0, 0.82%, 0.0000693%), (RTX, 0, 0.80%, 0.0001345%), (CAT, 0, 0.79%, 0.0001396%), (MCD, 0, 0.76%, 0.0001257%), (ABT, 0, 0.74%, 0.0001190%), (ABBV, 0, 0.72%, 0.0000749%), (HD, 0, 0.72%, 0.0000682%), (KO, 0, 0.68%, 0.0000802%), (BAC, 0, 0.68%, 0.0000663%), (BA, 0, 0.67%, 0.0001333%), (BKNG, 0, 0.67%, 0.0001272%), (CRM, 0, 0.66%, 0.0000922%), (SO, 0, 0.65%, 0.0002192%), (NKE, 0, 0.65%, 0.0002466%), (PM, 0, 0.64%, 0.0000885%), (IBM, 0, 0.62%, 0.0000908%), (AMD, 0, 0.62%, 0.0000847%), (ISRG, 0, 0.60%, 0.0001199%), (ETN, 0, 0.59%, 0.0001377%), (WFC, 0, 0.58%, 0.0000765%), (DUK, 0, 0.58%, 0.0002189%), (HON, 0, 0.57%, 0.0001388%), (UBER, 0, 0.57%, 0.0001047%), (INTU, 0, 0.57%, 0.0000922%), (GS, 0, 0.57%, 0.0000934%), (MET, 0, 0.54%, 0.0003671%), (NOW, 0, 0.53%, 0.0000909%), (DE, 0, 0.50%, 0.0001276%), (PEP, 0, 0.50%, 0.0000889%), (ACN, 0, 0.46%, 0.0000922%), (T, 0, 0.46%, 0.0003808%), (MS, 0, 0.45%, 0.0000693%), (MRK, 0, 0.45%, 0.0000759%), (AXP, 0, 0.44%, 0.0000721%), (ADBE, 0, 0.43%, 0.0000965%), (SPGI, 0, 0.43%, 0.0000935%), (QCOM, 0, 0.42%, 0.0000873%), (BLK, 0, 0.41%, 0.0000840%), (VZ, 0, 0.41%, 0.0000813%), (TXN, 0, 0.41%, 0.0000851%), (DIS, 0, 0.41%, 0.0000650%), (UNP, 0, 0.40%, 0.0001059%), (MDT, 0, 0.40%, 0.0001193%), (COP, 0, 0.40%, 0.0001182%), (SBUX, 0, 0.38%, 0.0001248%), (C, 0, 0.38%, 0.0000756%), (TMO, 0, 0.38%, 0.0000764%), (AMAT, 0, 0.37%, 0.0000877%), (SCHW, 0, 0.36%, 0.0000735%), (AMGN, 0, 0.35%, 0.0000752%), (LMT, 0, 0.35%, 0.0001236%), (EMR, 0, 0.32%, 0.0001373%), (MMM, 0, 0.32%, 0.0001389%), (PFE, 0, 0.30%, 0.0000747%), (GILD, 0, 0.30%, 0.0000752%), (DHR, 0, 0.28%, 0.0000682%), (TJX, 0, 0.28%, 0.0000693%), (CVS, 0, 0.26%, 0.0001183%), (LOW, 0, 0.25%, 0.0000692%), (MO, 0, 0.25%, 0.0000894%), (CMCSA, 0, 0.25%, 0.0000677%), (MDLZ, 0, 0.24%, 0.0000918%), (INTC, 0, 0.24%, 0.0000786%), (ELV, 0, 0.23%, 0.0001246%), (UPS, 0, 0.22%, 0.0001030%), (BMY, 0, 0.21%, 0.0000747%), (PYPL, 0, 0.20%, 0.0000957%), (CL, 0, 0.17%, 0.0000818%), (FDX, 0, 0.15%, 0.0000987%), (USB, 0, 0.15%, 0.0000738%), (TGT, 0, 0.10%, 0.0000702%), (nan, 0, -0.02%, 0.0000000%), (nan, 0, -0.02%, 0.0000000%)</t>
  </si>
  <si>
    <t>EBAY, BK, META, MSFT, JPM, BKNG, BLK, GOOGLE, RJF, MLI, EWBC, UNM</t>
  </si>
  <si>
    <t>(AMAT, 0, 1.93%, 0.0007150%), (V, 0, 1.90%, 0.0001750%), (AXP, 0, 1.86%, 0.0004869%), (EA, 0, 1.82%, 0.0026583%), (PHM, 0, 1.80%, 0.0043280%), (TRV, 0, 1.78%, 0.0016959%), (SNA, 0, 1.77%, 0.0056992%), (HIG, 0, 1.75%, 0.0028570%), (ADP, 0, 1.75%, 0.0007853%), (NVDA, 0, 1.72%, 0.0000229%), (KLAC, 0, 1.71%, 0.0008007%), (PCAR, 0, 1.71%, 0.0017902%), (CTSH, 0, 1.65%, 0.0024896%), (ROST, 0, 1.64%, 0.0020367%), (CB, 0, 1.63%, 0.0008522%), (CRM, 0, 1.63%, 0.0003578%), (SYF, 0, 1.61%, 0.0034470%), (PAYC, 0, 1.55%, 0.0062840%), (LEN, 0, 1.47%, 0.0031358%), (ACN, 0, 1.44%, 0.0004548%), (BKR, 0, 1.43%, 0.0017920%), (WSM, 0, 1.39%, 0.0034518%), (QCOM, 0, 1.36%, 0.0004445%), (DHI, 0, 1.23%, 0.0015838%), (ODFL, 0, 1.22%, 0.0019384%), (AFL, 0, 1.22%, 0.0012281%), (ELV, 0, 1.20%, 0.0010246%), (AAPL, 0, 1.19%, 0.0000210%), (CSCO, 0, 1.09%, 0.0002250%), (LRCX, 0, 1.08%, 0.0004876%), (GE, 0, 1.03%, 0.0002035%), (STT, 0, 0.98%, 0.0017650%), (MPWR, 0, 0.97%, 0.0015848%), (CF, 0, 0.95%, 0.0034790%), (PNC, 0, 0.94%, 0.0006704%), (MTB, 0, 0.92%, 0.0017073%), (AMP, 0, 0.87%, 0.0010333%), (CSL, 0, 0.85%, 0.0026468%), (COST, 0, 0.83%, 0.0001112%), (XOM, 0, 0.82%, 0.0000968%), (ABT, 0, 0.80%, 0.0002041%), (EOG, 0, 0.80%, 0.0006800%), (EG, 0, 0.75%, 0.0029738%), (GEV, 0, 0.57%, 0.0001854%), (NTRS, 0, 0.52%, 0.0012104%), (CRBG, 0, 0.50%, 0.0014597%), (MA, 0, 0.48%, 0.0000535%), (JNJ, 0, 0.47%, 0.0000636%), (DOV, 0, 0.45%, 0.0009756%), (WTFC, 0, 0.45%, 0.0027542%), (ACM, 0, 0.44%, 0.0016346%), (SLM, 0, 0.43%, 0.0036190%), (MCK, 0, 0.42%, 0.0002661%), (CINF, 0, 0.42%, 0.0010204%), (EQH, 0, 0.42%, 0.0014813%), (MTG, 0, 0.42%, 0.0040194%), (JXN, 0, 0.41%, 0.0037085%), (ALL, 0, 0.40%, 0.0004300%), (LNC, 0, 0.40%, 0.0032953%), (NUE, 0, 0.40%, 0.0006666%), (NKE, 0, 0.39%, 0.0002346%), (ADM, 0, 0.38%, 0.0007932%), (PGR, 0, 0.37%, 0.0001424%), (FANG, 0, 0.31%, 0.0004114%)</t>
  </si>
  <si>
    <t>(AVGO, 0, 2.91%, 0.0000885%), (META, 0, 2.61%, 0.0000682%), (BRK/B, 0, 2.04%, 0.0001253%), (CSCO, 0, 1.75%, 0.0002654%), (LIN, 0, 1.72%, 0.0003178%), (AMT, 0, 1.71%, 0.0006432%), (JPM, 0, 1.59%, 0.0000796%), (TSLA, 0, 1.48%, 0.0000597%), (XOM, 0, 1.42%, 0.0001242%), (V, 0, 1.42%, 0.0000959%), (LLY, 0, 1.22%, 0.0000660%), (CB, 0, 1.11%, 0.0004223%), (MA, 0, 1.07%, 0.0000867%), (WM, 0, 1.05%, 0.0004622%), (GE, 0, 1.01%, 0.0001469%), (ORCL, 0, 0.92%, 0.0000547%), (NEE, 0, 0.85%, 0.0002296%), (NFLX, 0, 0.83%, 0.0000687%), (UNH, 0, 0.81%, 0.0001281%), (JNJ, 0, 0.79%, 0.0000791%), (PG, 0, 0.78%, 0.0000858%), (CVX, 0, 0.75%, 0.0000984%), (PLTR, 0, 0.75%, 0.0000874%), (WMT, 0, 0.75%, 0.0000398%), (COST, 0, 0.75%, 0.0000731%), (RTX, 0, 0.73%, 0.0001422%), (CAT, 0, 0.72%, 0.0001475%), (MCD, 0, 0.69%, 0.0001328%), (ABT, 0, 0.67%, 0.0001257%), (ABBV, 0, 0.65%, 0.0000792%), (HD, 0, 0.65%, 0.0000720%), (KO, 0, 0.62%, 0.0000847%), (BKNG, 0, 0.62%, 0.0001365%), (BAC, 0, 0.62%, 0.0000700%), (BA, 0, 0.61%, 0.0001408%), (CRM, 0, 0.60%, 0.0000974%), (SO, 0, 0.59%, 0.0002316%), (NKE, 0, 0.59%, 0.0002605%), (PM, 0, 0.58%, 0.0000934%), (IBM, 0, 0.57%, 0.0000960%), (AMD, 0, 0.57%, 0.0000895%), (ISRG, 0, 0.55%, 0.0001267%), (ETN, 0, 0.53%, 0.0001454%), (WFC, 0, 0.53%, 0.0000808%), (DUK, 0, 0.53%, 0.0002311%), (UBER, 0, 0.52%, 0.0001105%), (HON, 0, 0.52%, 0.0001466%), (INTU, 0, 0.52%, 0.0000976%), (GS, 0, 0.52%, 0.0000987%), (MET, 0, 0.50%, 0.0003877%), (NOW, 0, 0.49%, 0.0000962%), (PEP, 0, 0.46%, 0.0000938%), (DE, 0, 0.46%, 0.0001347%), (ACN, 0, 0.42%, 0.0000973%), (T, 0, 0.42%, 0.0004022%), (MRK, 0, 0.41%, 0.0000802%), (MS, 0, 0.41%, 0.0000732%), (AXP, 0, 0.40%, 0.0000762%), (ADBE, 0, 0.39%, 0.0001020%), (SPGI, 0, 0.39%, 0.0000987%), (QCOM, 0, 0.38%, 0.0000922%), (VZ, 0, 0.38%, 0.0000859%), (BLK, 0, 0.38%, 0.0000885%), (TXN, 0, 0.38%, 0.0000899%), (DIS, 0, 0.37%, 0.0000686%), (UNP, 0, 0.37%, 0.0001119%), (MDT, 0, 0.36%, 0.0001261%), (COP, 0, 0.36%, 0.0001248%), (SBUX, 0, 0.35%, 0.0001319%), (C, 0, 0.35%, 0.0000799%), (TMO, 0, 0.34%, 0.0000806%), (AMAT, 0, 0.34%, 0.0000926%), (SCHW, 0, 0.33%, 0.0000776%), (AMGN, 0, 0.32%, 0.0000795%), (LMT, 0, 0.31%, 0.0001305%), (EMR, 0, 0.29%, 0.0001450%), (MMM, 0, 0.29%, 0.0001468%), (PFE, 0, 0.28%, 0.0000789%), (GILD, 0, 0.27%, 0.0000794%), (DHR, 0, 0.25%, 0.0000721%), (TJX, 0, 0.25%, 0.0000731%), (CVS, 0, 0.24%, 0.0001249%), (MO, 0, 0.23%, 0.0000944%), (LOW, 0, 0.23%, 0.0000729%), (CMCSA, 0, 0.23%, 0.0000716%), (MDLZ, 0, 0.22%, 0.0000969%), (INTC, 0, 0.22%, 0.0000830%), (ELV, 0, 0.21%, 0.0001314%), (UPS, 0, 0.20%, 0.0001088%), (BMY, 0, 0.19%, 0.0000788%), (PYPL, 0, 0.18%, 0.0001010%), (CL, 0, 0.15%, 0.0000863%), (FDX, 0, 0.14%, 0.0001043%), (USB, 0, 0.14%, 0.0000779%), (TGT, 0, 0.09%, 0.0000742%), (nan, 0, -0.02%, 0.0000000%), (nan, 0, -0.02%, 0.0000000%)</t>
  </si>
  <si>
    <t>(GOOGLE, 0, 3.59%, 0.0001316%), (AVGO, 0, 3.05%, 0.0001810%), (META, 0, 2.73%, 0.0001394%), (BRK/B, 0, 2.14%, 0.0002563%), (CSCO, 0, 1.84%, 0.0005426%), (LIN, 0, 1.80%, 0.0006500%), (AMT, 0, 1.79%, 0.0013152%), (JPM, 0, 1.67%, 0.0001627%), (TSLA, 0, 1.56%, 0.0001222%), (XOM, 0, 1.49%, 0.0002540%), (V, 0, 1.49%, 0.0001961%), (LLY, 0, 1.27%, 0.0001349%), (CB, 0, 1.16%, 0.0008634%), (MA, 0, 1.12%, 0.0001773%), (WM, 0, 1.10%, 0.0009447%), (GE, 0, 1.06%, 0.0003003%), (ORCL, 0, 0.97%, 0.0001118%), (NEE, 0, 0.89%, 0.0004695%), (NFLX, 0, 0.87%, 0.0001404%), (UNH, 0, 0.85%, 0.0002619%), (JNJ, 0, 0.83%, 0.0001617%), (PG, 0, 0.81%, 0.0001755%), (CVX, 0, 0.79%, 0.0002011%), (PLTR, 0, 0.79%, 0.0001787%), (WMT, 0, 0.79%, 0.0000814%), (COST, 0, 0.78%, 0.0001494%), (RTX, 0, 0.76%, 0.0002906%), (CAT, 0, 0.76%, 0.0003016%), (MCD, 0, 0.72%, 0.0002714%), (ABT, 0, 0.70%, 0.0002571%), (HD, 0, 0.69%, 0.0001473%), (ABBV, 0, 0.69%, 0.0001619%), (KO, 0, 0.65%, 0.0001732%), (BAC, 0, 0.65%, 0.0001432%), (BA, 0, 0.64%, 0.0002879%), (BKNG, 0, 0.64%, 0.0002761%), (CRM, 0, 0.63%, 0.0001992%), (SO, 0, 0.62%, 0.0004735%), (NKE, 0, 0.62%, 0.0005325%), (PM, 0, 0.61%, 0.0001910%), (IBM, 0, 0.59%, 0.0001962%), (AMD, 0, 0.59%, 0.0001830%), (ISRG, 0, 0.57%, 0.0002590%), (ETN, 0, 0.56%, 0.0002972%), (WFC, 0, 0.56%, 0.0001651%), (DUK, 0, 0.55%, 0.0004727%), (HON, 0, 0.55%, 0.0002997%), (UBER, 0, 0.55%, 0.0002260%), (INTU, 0, 0.55%, 0.0001994%), (GS, 0, 0.55%, 0.0002017%), (MET, 0, 0.52%, 0.0007928%), (NOW, 0, 0.51%, 0.0001966%), (DE, 0, 0.48%, 0.0002756%), (PEP, 0, 0.48%, 0.0001918%), (ACN, 0, 0.44%, 0.0001989%), (T, 0, 0.44%, 0.0008223%), (MRK, 0, 0.43%, 0.0001639%), (MS, 0, 0.43%, 0.0001498%), (AXP, 0, 0.42%, 0.0001558%), (SPGI, 0, 0.41%, 0.0002021%), (ADBE, 0, 0.41%, 0.0002086%), (QCOM, 0, 0.40%, 0.0001884%), (VZ, 0, 0.40%, 0.0001756%), (BLK, 0, 0.39%, 0.0001815%), (TXN, 0, 0.39%, 0.0001838%), (DIS, 0, 0.39%, 0.0001403%), (UNP, 0, 0.39%, 0.0002288%), (MDT, 0, 0.38%, 0.0002577%), (COP, 0, 0.38%, 0.0002552%), (TMO, 0, 0.37%, 0.0001648%), (SBUX, 0, 0.36%, 0.0002696%), (C, 0, 0.36%, 0.0001632%), (AMAT, 0, 0.36%, 0.0001894%), (SCHW, 0, 0.35%, 0.0001587%), (AMGN, 0, 0.34%, 0.0001623%), (LMT, 0, 0.33%, 0.0002671%), (EMR, 0, 0.31%, 0.0002966%), (MMM, 0, 0.30%, 0.0003001%), (PFE, 0, 0.29%, 0.0001613%), (GILD, 0, 0.28%, 0.0001624%), (DHR, 0, 0.26%, 0.0001472%), (TJX, 0, 0.26%, 0.0001495%), (CVS, 0, 0.25%, 0.0002555%), (MO, 0, 0.24%, 0.0001931%), (LOW, 0, 0.24%, 0.0001492%), (CMCSA, 0, 0.24%, 0.0001463%), (MDLZ, 0, 0.23%, 0.0001982%), (INTC, 0, 0.23%, 0.0001697%), (ELV, 0, 0.22%, 0.0002691%), (UPS, 0, 0.21%, 0.0002224%), (BMY, 0, 0.20%, 0.0001612%), (PYPL, 0, 0.19%, 0.0002065%), (CL, 0, 0.16%, 0.0001764%), (FDX, 0, 0.15%, 0.0002132%), (USB, 0, 0.14%, 0.0001593%), (TGT, 0, 0.09%, 0.0001514%), (nan, 0, -0.02%, 0.0000000%), (nan, 0, -0.02%, 0.0000000%)</t>
  </si>
  <si>
    <t>(GOOGLE, 0, 3.61%, 0.0002296%), (AVGO, 0, 3.12%, 0.0003159%), (META, 0, 2.74%, 0.0002434%), (BRK/B, 0, 2.14%, 0.0004473%), (CSCO, 0, 1.85%, 0.0009471%), (LIN, 0, 1.80%, 0.0011344%), (AMT, 0, 1.78%, 0.0022954%), (JPM, 0, 1.67%, 0.0002840%), (TSLA, 0, 1.65%, 0.0002132%), (XOM, 0, 1.50%, 0.0004433%), (V, 0, 1.49%, 0.0003422%), (LLY, 0, 1.28%, 0.0002355%), (CB, 0, 1.16%, 0.0015070%), (MA, 0, 1.12%, 0.0003093%), (WM, 0, 1.10%, 0.0016489%), (GE, 0, 1.08%, 0.0005243%), (ORCL, 0, 0.98%, 0.0001951%), (NFLX, 0, 0.89%, 0.0002452%), (NEE, 0, 0.88%, 0.0008194%), (UNH, 0, 0.85%, 0.0004570%), (JNJ, 0, 0.82%, 0.0002823%), (PG, 0, 0.81%, 0.0003062%), (PLTR, 0, 0.81%, 0.0003120%), (CVX, 0, 0.79%, 0.0003510%), (WMT, 0, 0.79%, 0.0001420%), (COST, 0, 0.78%, 0.0002608%), (RTX, 0, 0.76%, 0.0005072%), (CAT, 0, 0.76%, 0.0005266%), (MCD, 0, 0.72%, 0.0004738%), (ABT, 0, 0.71%, 0.0004487%), (HD, 0, 0.68%, 0.0002571%), (ABBV, 0, 0.68%, 0.0002826%), (KO, 0, 0.65%, 0.0003025%), (BAC, 0, 0.64%, 0.0002499%), (CRM, 0, 0.64%, 0.0003476%), (BA, 0, 0.64%, 0.0005026%), (BKNG, 0, 0.64%, 0.0004840%), (SO, 0, 0.62%, 0.0008265%), (AMD, 0, 0.61%, 0.0003194%), (NKE, 0, 0.60%, 0.0009294%), (PM, 0, 0.60%, 0.0003333%), (IBM, 0, 0.60%, 0.0003423%), (ISRG, 0, 0.57%, 0.0004519%), (ETN, 0, 0.56%, 0.0005186%), (WFC, 0, 0.56%, 0.0002883%), (DUK, 0, 0.56%, 0.0008251%), (INTU, 0, 0.55%, 0.0003479%), (GS, 0, 0.55%, 0.0003521%), (UBER, 0, 0.54%, 0.0003945%), (HON, 0, 0.54%, 0.0005232%), (MET, 0, 0.52%, 0.0013837%), (NOW, 0, 0.50%, 0.0003428%), (DE, 0, 0.48%, 0.0004809%), (PEP, 0, 0.47%, 0.0003349%), (ACN, 0, 0.44%, 0.0003473%), (T, 0, 0.44%, 0.0014353%), (MRK, 0, 0.43%, 0.0002861%), (MS, 0, 0.43%, 0.0002614%), (AXP, 0, 0.42%, 0.0002718%), (SPGI, 0, 0.41%, 0.0003527%), (ADBE, 0, 0.41%, 0.0003641%), (QCOM, 0, 0.41%, 0.0003289%), (BLK, 0, 0.40%, 0.0003164%), (VZ, 0, 0.39%, 0.0003066%), (TXN, 0, 0.39%, 0.0003207%), (DIS, 0, 0.38%, 0.0002449%), (MDT, 0, 0.38%, 0.0004498%), (UNP, 0, 0.38%, 0.0003994%), (COP, 0, 0.38%, 0.0004453%), (TMO, 0, 0.36%, 0.0002875%), (SBUX, 0, 0.36%, 0.0004705%), (C, 0, 0.36%, 0.0002849%), (AMAT, 0, 0.35%, 0.0003306%), (SCHW, 0, 0.35%, 0.0002770%), (AMGN, 0, 0.33%, 0.0002836%), (LMT, 0, 0.33%, 0.0004659%), (EMR, 0, 0.31%, 0.0005176%), (MMM, 0, 0.30%, 0.0005237%), (GILD, 0, 0.29%, 0.0002834%), (DHR, 0, 0.27%, 0.0002571%), (TJX, 0, 0.26%, 0.0002610%), (CVS, 0, 0.25%, 0.0004459%), (MO, 0, 0.24%, 0.0003369%), (LOW, 0, 0.24%, 0.0002605%), (MDLZ, 0, 0.23%, 0.0003459%), (CMCSA, 0, 0.23%, 0.0002553%), (ELV, 0, 0.22%, 0.0004693%), (UPS, 0, 0.21%, 0.0003882%), (INTC, 0, 0.20%, 0.0002962%), (PFE, 0, 0.20%, 0.0002006%), (BMY, 0, 0.20%, 0.0002814%), (PYPL, 0, 0.19%, 0.0003605%), (CL, 0, 0.16%, 0.0003080%), (FDX, 0, 0.15%, 0.0003721%), (USB, 0, 0.14%, 0.0002781%), (TGT, 0, 0.09%, 0.0002645%), (nan, 0, -0.02%, 0.0000000%), (nan, 0, -0.02%, 0.0000000%)</t>
  </si>
  <si>
    <t>(GOOGLE, 0, 3.60%, 0.0001710%), (AVGO, 0, 3.11%, 0.0002353%), (META, 0, 2.73%, 0.0001812%), (BRK/B, 0, 2.13%, 0.0003331%), (CSCO, 0, 1.85%, 0.0007053%), (LIN, 0, 1.80%, 0.0008448%), (AMT, 0, 1.77%, 0.0017095%), (JPM, 0, 1.67%, 0.0002115%), (TSLA, 0, 1.65%, 0.0001588%), (XOM, 0, 1.50%, 0.0003301%), (V, 0, 1.49%, 0.0002548%), (LLY, 0, 1.27%, 0.0001754%), (CB, 0, 1.15%, 0.0011223%), (MA, 0, 1.12%, 0.0002303%), (WM, 0, 1.10%, 0.0012279%), (GE, 0, 1.07%, 0.0003904%), (ORCL, 0, 0.98%, 0.0001453%), (NFLX, 0, 0.89%, 0.0001827%), (NEE, 0, 0.88%, 0.0006102%), (UNH, 0, 0.85%, 0.0003403%), (JNJ, 0, 0.82%, 0.0002102%), (PG, 0, 0.81%, 0.0002281%), (PLTR, 0, 0.81%, 0.0002323%), (CVX, 0, 0.79%, 0.0002614%), (WMT, 0, 0.79%, 0.0001057%), (COST, 0, 0.78%, 0.0001943%), (RTX, 0, 0.76%, 0.0003778%), (CAT, 0, 0.76%, 0.0003921%), (MCD, 0, 0.72%, 0.0003529%), (ABT, 0, 0.70%, 0.0003341%), (HD, 0, 0.68%, 0.0001914%), (ABBV, 0, 0.68%, 0.0002104%), (KO, 0, 0.65%, 0.0002253%), (BAC, 0, 0.64%, 0.0001861%), (CRM, 0, 0.64%, 0.0002588%), (BA, 0, 0.64%, 0.0003743%), (BKNG, 0, 0.63%, 0.0003599%), (SO, 0, 0.62%, 0.0006154%), (AMD, 0, 0.61%, 0.0002379%), (NKE, 0, 0.60%, 0.0006922%), (PM, 0, 0.60%, 0.0002482%), (IBM, 0, 0.60%, 0.0002549%), (ISRG, 0, 0.57%, 0.0003365%), (ETN, 0, 0.56%, 0.0003863%), (WFC, 0, 0.56%, 0.0002146%), (DUK, 0, 0.55%, 0.0006144%), (INTU, 0, 0.55%, 0.0002590%), (GS, 0, 0.55%, 0.0002621%), (UBER, 0, 0.54%, 0.0002938%), (HON, 0, 0.53%, 0.0003897%), (MET, 0, 0.52%, 0.0010303%), (NOW, 0, 0.50%, 0.0002553%), (DE, 0, 0.48%, 0.0003581%), (PEP, 0, 0.47%, 0.0002494%), (ACN, 0, 0.44%, 0.0002601%), (T, 0, 0.44%, 0.0010688%), (MRK, 0, 0.43%, 0.0002130%), (MS, 0, 0.43%, 0.0001947%), (AXP, 0, 0.42%, 0.0002024%), (SPGI, 0, 0.41%, 0.0002625%), (ADBE, 0, 0.41%, 0.0002711%), (QCOM, 0, 0.40%, 0.0002449%), (BLK, 0, 0.39%, 0.0002357%), (VZ, 0, 0.39%, 0.0002283%), (TXN, 0, 0.39%, 0.0002388%), (DIS, 0, 0.38%, 0.0001824%), (MDT, 0, 0.38%, 0.0003349%), (UNP, 0, 0.38%, 0.0002974%), (COP, 0, 0.38%, 0.0003316%), (TMO, 0, 0.36%, 0.0002143%), (SBUX, 0, 0.36%, 0.0003504%), (C, 0, 0.36%, 0.0002122%), (AMAT, 0, 0.35%, 0.0002462%), (SCHW, 0, 0.35%, 0.0002063%), (AMGN, 0, 0.33%, 0.0002112%), (LMT, 0, 0.33%, 0.0003470%), (EMR, 0, 0.31%, 0.0003856%), (MMM, 0, 0.30%, 0.0003900%), (GILD, 0, 0.29%, 0.0002111%), (DHR, 0, 0.26%, 0.0001914%), (TJX, 0, 0.26%, 0.0001944%), (CVS, 0, 0.25%, 0.0003320%), (MO, 0, 0.24%, 0.0002509%), (LOW, 0, 0.24%, 0.0001940%), (MDLZ, 0, 0.23%, 0.0002575%), (CMCSA, 0, 0.22%, 0.0001902%), (ELV, 0, 0.22%, 0.0003496%), (UPS, 0, 0.21%, 0.0002891%), (INTC, 0, 0.20%, 0.0002206%), (PFE, 0, 0.20%, 0.0001499%), (BMY, 0, 0.20%, 0.0002096%), (PYPL, 0, 0.19%, 0.0002685%), (CL, 0, 0.16%, 0.0002294%), (FDX, 0, 0.15%, 0.0002772%), (USB, 0, 0.14%, 0.0002070%), (TGT, 0, 0.09%, 0.0001970%), (nan, 0, -0.02%, 0.0000000%), (nan, 0, -0.02%, 0.0000000%)</t>
  </si>
  <si>
    <t>(GOOGLE, 0, 3.63%, 0.0000401%), (AVGO, 0, 3.15%, 0.0000552%), (META, 0, 2.75%, 0.0000425%), (BRK/B, 0, 2.16%, 0.0000781%), (CSCO, 0, 1.87%, 0.0001654%), (LIN, 0, 1.82%, 0.0001981%), (AMT, 0, 1.79%, 0.0004007%), (JPM, 0, 1.68%, 0.0000496%), (TSLA, 0, 1.66%, 0.0000372%), (XOM, 0, 1.51%, 0.0000774%), (V, 0, 1.50%, 0.0000598%), (LLY, 0, 1.29%, 0.0000411%), (CB, 0, 1.16%, 0.0002630%), (MA, 0, 1.13%, 0.0000540%), (WM, 0, 1.11%, 0.0002879%), (GE, 0, 1.08%, 0.0000916%), (ORCL, 0, 0.99%, 0.0000341%), (NFLX, 0, 0.89%, 0.0000427%), (NEE, 0, 0.89%, 0.0001431%), (UNH, 0, 0.85%, 0.0000798%), (JNJ, 0, 0.83%, 0.0000493%), (PG, 0, 0.82%, 0.0000535%), (PLTR, 0, 0.81%, 0.0000545%), (WMT, 0, 0.80%, 0.0000248%), (CVX, 0, 0.80%, 0.0000613%), (COST, 0, 0.79%, 0.0000456%), (RTX, 0, 0.77%, 0.0000885%), (CAT, 0, 0.77%, 0.0000920%), (MCD, 0, 0.73%, 0.0000827%), (ABT, 0, 0.71%, 0.0000783%), (HD, 0, 0.69%, 0.0000449%), (ABBV, 0, 0.69%, 0.0000494%), (KO, 0, 0.65%, 0.0000528%), (BAC, 0, 0.65%, 0.0000436%), (CRM, 0, 0.64%, 0.0000607%), (BA, 0, 0.64%, 0.0000878%), (BKNG, 0, 0.64%, 0.0000838%), (SO, 0, 0.63%, 0.0001443%), (AMD, 0, 0.62%, 0.0000558%), (NKE, 0, 0.61%, 0.0001623%), (PM, 0, 0.61%, 0.0000582%), (IBM, 0, 0.60%, 0.0000598%), (ISRG, 0, 0.58%, 0.0000790%), (ETN, 0, 0.57%, 0.0000907%), (WFC, 0, 0.56%, 0.0000503%), (DUK, 0, 0.56%, 0.0001440%), (INTU, 0, 0.56%, 0.0000606%), (GS, 0, 0.55%, 0.0000613%), (UBER, 0, 0.54%, 0.0000689%), (HON, 0, 0.54%, 0.0000914%), (MET, 0, 0.52%, 0.0002416%), (NOW, 0, 0.50%, 0.0000596%), (DE, 0, 0.48%, 0.0000840%), (PEP, 0, 0.48%, 0.0000584%), (ACN, 0, 0.45%, 0.0000607%), (T, 0, 0.44%, 0.0002506%), (MS, 0, 0.43%, 0.0000457%), (MRK, 0, 0.43%, 0.0000500%), (AXP, 0, 0.42%, 0.0000475%), (SPGI, 0, 0.41%, 0.0000614%), (ADBE, 0, 0.41%, 0.0000635%), (QCOM, 0, 0.41%, 0.0000575%), (BLK, 0, 0.40%, 0.0000555%), (VZ, 0, 0.40%, 0.0000535%), (TXN, 0, 0.39%, 0.0000560%), (DIS, 0, 0.39%, 0.0000428%), (UNP, 0, 0.39%, 0.0000698%), (MDT, 0, 0.39%, 0.0000785%), (COP, 0, 0.38%, 0.0000777%), (SBUX, 0, 0.36%, 0.0000822%), (C, 0, 0.36%, 0.0000498%), (AMAT, 0, 0.36%, 0.0000577%), (SCHW, 0, 0.35%, 0.0000484%), (TMO, 0, 0.35%, 0.0000503%), (AMGN, 0, 0.34%, 0.0000496%), (LMT, 0, 0.33%, 0.0000812%), (EMR, 0, 0.31%, 0.0000904%), (MMM, 0, 0.31%, 0.0000915%), (GILD, 0, 0.29%, 0.0000495%), (DHR, 0, 0.27%, 0.0000449%), (TJX, 0, 0.26%, 0.0000456%), (CVS, 0, 0.25%, 0.0000778%), (MO, 0, 0.24%, 0.0000589%), (LOW, 0, 0.24%, 0.0000455%), (MDLZ, 0, 0.23%, 0.0000604%), (CMCSA, 0, 0.23%, 0.0000446%), (ELV, 0, 0.22%, 0.0000819%), (UPS, 0, 0.21%, 0.0000678%), (INTC, 0, 0.21%, 0.0000517%), (PFE, 0, 0.21%, 0.0000351%), (BMY, 0, 0.20%, 0.0000491%), (PYPL, 0, 0.19%, 0.0000630%), (CL, 0, 0.16%, 0.0000537%), (FDX, 0, 0.15%, 0.0000648%), (USB, 0, 0.14%, 0.0000485%), (TGT, 0, 0.09%, 0.0000462%), (nan, 0, -0.02%, 0.0000000%), (nan, 0, -0.02%, 0.0000000%)</t>
  </si>
  <si>
    <t>(GOOGLE, 0, 3.47%, 0.0000699%), (AVGO, 0, 3.00%, 0.0000961%), (META, 0, 2.63%, 0.0000740%), (BRK/B, 0, 2.06%, 0.0001361%), (CSCO, 0, 1.78%, 0.0002881%), (LIN, 0, 1.73%, 0.0003452%), (AMT, 0, 1.71%, 0.0006983%), (JPM, 0, 1.61%, 0.0000864%), (TSLA, 0, 1.59%, 0.0000649%), (XOM, 0, 1.44%, 0.0001349%), (V, 0, 1.43%, 0.0001041%), (LLY, 0, 1.22%, 0.0000716%), (CB, 0, 1.11%, 0.0004584%), (MA, 0, 1.08%, 0.0000941%), (WM, 0, 1.06%, 0.0005017%), (GE, 0, 1.04%, 0.0001595%), (ORCL, 0, 0.94%, 0.0000594%), (NFLX, 0, 0.85%, 0.0000746%), (NEE, 0, 0.84%, 0.0002493%), (UNH, 0, 0.82%, 0.0001391%), (JNJ, 0, 0.79%, 0.0000859%), (PG, 0, 0.78%, 0.0000932%), (PLTR, 0, 0.78%, 0.0000949%), (CVX, 0, 0.76%, 0.0001068%), (WMT, 0, 0.76%, 0.0000432%), (COST, 0, 0.75%, 0.0000794%), (RTX, 0, 0.74%, 0.0001543%), (CAT, 0, 0.73%, 0.0001603%), (MCD, 0, 0.69%, 0.0001442%), (ABT, 0, 0.68%, 0.0001365%), (HD, 0, 0.66%, 0.0000782%), (ABBV, 0, 0.65%, 0.0000860%), (BKNG, 0, 0.62%, 0.0001489%), (BAC, 0, 0.62%, 0.0000760%), (KO, 0, 0.62%, 0.0000911%), (CRM, 0, 0.62%, 0.0001058%), (BA, 0, 0.61%, 0.0001529%), (SO, 0, 0.60%, 0.0002514%), (AMD, 0, 0.59%, 0.0000972%), (NKE, 0, 0.58%, 0.0002828%), (PM, 0, 0.58%, 0.0001014%), (IBM, 0, 0.57%, 0.0001041%), (ISRG, 0, 0.55%, 0.0001374%), (ETN, 0, 0.54%, 0.0001577%), (WFC, 0, 0.54%, 0.0000877%), (DUK, 0, 0.53%, 0.0002510%), (INTU, 0, 0.53%, 0.0001058%), (GS, 0, 0.53%, 0.0001070%), (UBER, 0, 0.52%, 0.0001200%), (HON, 0, 0.51%, 0.0001591%), (MET, 0, 0.50%, 0.0004210%), (NOW, 0, 0.48%, 0.0001043%), (DE, 0, 0.46%, 0.0001461%), (PEP, 0, 0.46%, 0.0001019%), (ACN, 0, 0.43%, 0.0001061%), (T, 0, 0.43%, 0.0004366%), (MRK, 0, 0.41%, 0.0000870%), (MS, 0, 0.41%, 0.0000795%), (AXP, 0, 0.40%, 0.0000826%), (SPGI, 0, 0.39%, 0.0001073%), (ADBE, 0, 0.39%, 0.0001106%), (QCOM, 0, 0.39%, 0.0001000%), (BLK, 0, 0.38%, 0.0000962%), (VZ, 0, 0.38%, 0.0000933%), (TXN, 0, 0.37%, 0.0000976%), (DIS, 0, 0.37%, 0.0000745%), (MDT, 0, 0.37%, 0.0001368%), (UNP, 0, 0.37%, 0.0001214%), (COP, 0, 0.36%, 0.0001355%), (TMO, 0, 0.35%, 0.0000876%), (SBUX, 0, 0.35%, 0.0001431%), (C, 0, 0.34%, 0.0000867%), (AMAT, 0, 0.34%, 0.0001005%), (SCHW, 0, 0.34%, 0.0000843%), (AMGN, 0, 0.32%, 0.0000860%), (LMT, 0, 0.32%, 0.0001417%), (EMR, 0, 0.30%, 0.0001576%), (MMM, 0, 0.29%, 0.0001594%), (GILD, 0, 0.28%, 0.0000862%), (DHR, 0, 0.26%, 0.0000781%), (TJX, 0, 0.25%, 0.0000794%), (CVS, 0, 0.24%, 0.0001357%), (MO, 0, 0.23%, 0.0001025%), (LOW, 0, 0.23%, 0.0000793%), (MDLZ, 0, 0.22%, 0.0001052%), (CMCSA, 0, 0.22%, 0.0000777%), (PFE, 0, 0.21%, 0.0000663%), (ELV, 0, 0.21%, 0.0001426%), (UPS, 0, 0.20%, 0.0001181%), (INTC, 0, 0.20%, 0.0000901%), (BMY, 0, 0.19%, 0.0000856%), (PYPL, 0, 0.18%, 0.0001097%), (CL, 0, 0.15%, 0.0000937%), (FDX, 0, 0.14%, 0.0001132%), (USB, 0, 0.14%, 0.0000846%), (TGT, 0, 0.09%, 0.0000803%), (nan, 0, -0.02%, 0.0000000%), (nan, 0, -0.02%, 0.0000000%)</t>
  </si>
  <si>
    <t>(GOOGLE, 0, 3.54%, 0.0000253%), (AVGO, 0, 3.07%, 0.0000349%), (META, 0, 2.69%, 0.0000269%), (BRK/B, 0, 2.10%, 0.0000494%), (CSCO, 0, 1.82%, 0.0001045%), (LIN, 0, 1.77%, 0.0001253%), (AMT, 0, 1.74%, 0.0002533%), (JPM, 0, 1.64%, 0.0000313%), (TSLA, 0, 1.62%, 0.0000235%), (XOM, 0, 1.48%, 0.0000489%), (V, 0, 1.46%, 0.0000378%), (LLY, 0, 1.25%, 0.0000260%), (CB, 0, 1.14%, 0.0001664%), (MA, 0, 1.10%, 0.0000341%), (WM, 0, 1.08%, 0.0001819%), (GE, 0, 1.06%, 0.0000578%), (ORCL, 0, 0.96%, 0.0000215%), (NFLX, 0, 0.88%, 0.0000271%), (NEE, 0, 0.86%, 0.0000904%), (UNH, 0, 0.83%, 0.0000505%), (JNJ, 0, 0.80%, 0.0000312%), (PG, 0, 0.80%, 0.0000338%), (PLTR, 0, 0.79%, 0.0000344%), (CVX, 0, 0.78%, 0.0000387%), (WMT, 0, 0.78%, 0.0000157%), (COST, 0, 0.77%, 0.0000289%), (RTX, 0, 0.75%, 0.0000560%), (CAT, 0, 0.74%, 0.0000581%), (MCD, 0, 0.71%, 0.0000523%), (ABT, 0, 0.69%, 0.0000495%), (ABBV, 0, 0.67%, 0.0000312%), (HD, 0, 0.67%, 0.0000283%), (KO, 0, 0.64%, 0.0000334%), (BAC, 0, 0.63%, 0.0000276%), (CRM, 0, 0.63%, 0.0000383%), (BA, 0, 0.63%, 0.0000555%), (BKNG, 0, 0.62%, 0.0000527%), (SO, 0, 0.61%, 0.0000913%), (AMD, 0, 0.61%, 0.0000352%), (NKE, 0, 0.59%, 0.0001026%), (PM, 0, 0.59%, 0.0000368%), (IBM, 0, 0.58%, 0.0000378%), (ISRG, 0, 0.56%, 0.0000499%), (ETN, 0, 0.55%, 0.0000573%), (WFC, 0, 0.55%, 0.0000318%), (DUK, 0, 0.55%, 0.0000911%), (GS, 0, 0.55%, 0.0000390%), (INTU, 0, 0.54%, 0.0000384%), (UBER, 0, 0.53%, 0.0000435%), (HON, 0, 0.53%, 0.0000578%), (MET, 0, 0.51%, 0.0001528%), (NOW, 0, 0.49%, 0.0000380%), (DE, 0, 0.47%, 0.0000529%), (PEP, 0, 0.47%, 0.0000369%), (ACN, 0, 0.43%, 0.0000384%), (T, 0, 0.43%, 0.0001584%), (MRK, 0, 0.42%, 0.0000316%), (MS, 0, 0.42%, 0.0000289%), (AXP, 0, 0.41%, 0.0000301%), (SPGI, 0, 0.41%, 0.0000390%), (ADBE, 0, 0.40%, 0.0000401%), (QCOM, 0, 0.40%, 0.0000363%), (BLK, 0, 0.39%, 0.0000349%), (VZ, 0, 0.39%, 0.0000338%), (TXN, 0, 0.38%, 0.0000354%), (DIS, 0, 0.38%, 0.0000270%), (MDT, 0, 0.38%, 0.0000497%), (UNP, 0, 0.37%, 0.0000440%), (COP, 0, 0.37%, 0.0000492%), (TMO, 0, 0.37%, 0.0000317%), (SBUX, 0, 0.35%, 0.0000519%), (C, 0, 0.35%, 0.0000315%), (AMAT, 0, 0.35%, 0.0000365%), (SCHW, 0, 0.34%, 0.0000306%), (AMGN, 0, 0.33%, 0.0000312%), (LMT, 0, 0.32%, 0.0000514%), (EMR, 0, 0.30%, 0.0000572%), (MMM, 0, 0.30%, 0.0000578%), (GILD, 0, 0.29%, 0.0000313%), (DHR, 0, 0.27%, 0.0000283%), (TJX, 0, 0.26%, 0.0000288%), (CVS, 0, 0.24%, 0.0000492%), (MO, 0, 0.24%, 0.0000372%), (LOW, 0, 0.23%, 0.0000287%), (MDLZ, 0, 0.22%, 0.0000382%), (CMCSA, 0, 0.22%, 0.0000282%), (PFE, 0, 0.22%, 0.0000240%), (ELV, 0, 0.21%, 0.0000517%), (UPS, 0, 0.21%, 0.0000428%), (INTC, 0, 0.20%, 0.0000327%), (BMY, 0, 0.19%, 0.0000310%), (PYPL, 0, 0.19%, 0.0000398%), (CL, 0, 0.15%, 0.0000340%), (FDX, 0, 0.15%, 0.0000411%), (USB, 0, 0.14%, 0.0000307%), (TGT, 0, 0.09%, 0.0000293%), (nan, 0, -0.02%, 0.0000000%), (nan, 0, -0.02%, 0.0000000%)</t>
  </si>
  <si>
    <t>(GOOGLE, 0, 3.77%, 0.0000609%), (AVGO, 0, 3.26%, 0.0000838%), (META, 0, 2.86%, 0.0000646%), (BRK/B, 0, 2.23%, 0.0001187%), (CSCO, 0, 1.93%, 0.0002513%), (LIN, 0, 1.88%, 0.0003009%), (AMT, 0, 1.86%, 0.0006090%), (JPM, 0, 1.74%, 0.0000753%), (TSLA, 0, 1.73%, 0.0000566%), (XOM, 0, 1.57%, 0.0001176%), (V, 0, 1.56%, 0.0000908%), (LLY, 0, 1.33%, 0.0000624%), (CB, 0, 1.21%, 0.0003997%), (MA, 0, 1.17%, 0.0000821%), (WM, 0, 1.15%, 0.0004374%), (GE, 0, 1.12%, 0.0001391%), (ORCL, 0, 1.03%, 0.0000518%), (NFLX, 0, 0.93%, 0.0000651%), (NEE, 0, 0.92%, 0.0002174%), (UNH, 0, 0.89%, 0.0001212%), (JNJ, 0, 0.86%, 0.0000749%), (PG, 0, 0.85%, 0.0000812%), (PLTR, 0, 0.84%, 0.0000828%), (CVX, 0, 0.83%, 0.0000931%), (WMT, 0, 0.83%, 0.0000377%), (COST, 0, 0.82%, 0.0000693%), (RTX, 0, 0.80%, 0.0001345%), (CAT, 0, 0.79%, 0.0001396%), (MCD, 0, 0.75%, 0.0001257%), (ABT, 0, 0.74%, 0.0001190%), (HD, 0, 0.71%, 0.0000682%), (ABBV, 0, 0.71%, 0.0000749%), (KO, 0, 0.68%, 0.0000802%), (BAC, 0, 0.67%, 0.0000663%), (CRM, 0, 0.67%, 0.0000922%), (BA, 0, 0.67%, 0.0001333%), (BKNG, 0, 0.66%, 0.0001272%), (SO, 0, 0.65%, 0.0002192%), (AMD, 0, 0.64%, 0.0000847%), (NKE, 0, 0.63%, 0.0002466%), (PM, 0, 0.63%, 0.0000885%), (IBM, 0, 0.62%, 0.0000908%), (ISRG, 0, 0.60%, 0.0001199%), (ETN, 0, 0.59%, 0.0001377%), (WFC, 0, 0.58%, 0.0000765%), (DUK, 0, 0.58%, 0.0002189%), (INTU, 0, 0.58%, 0.0000922%), (GS, 0, 0.57%, 0.0000934%), (UBER, 0, 0.56%, 0.0001047%), (HON, 0, 0.56%, 0.0001388%), (MET, 0, 0.54%, 0.0003671%), (NOW, 0, 0.52%, 0.0000909%), (DE, 0, 0.50%, 0.0001276%), (PEP, 0, 0.50%, 0.0000889%), (ACN, 0, 0.46%, 0.0000922%), (T, 0, 0.46%, 0.0003808%), (MRK, 0, 0.45%, 0.0000759%), (MS, 0, 0.45%, 0.0000693%), (AXP, 0, 0.44%, 0.0000721%), (SPGI, 0, 0.43%, 0.0000935%), (ADBE, 0, 0.43%, 0.0000965%), (QCOM, 0, 0.42%, 0.0000873%), (BLK, 0, 0.41%, 0.0000840%), (VZ, 0, 0.41%, 0.0000813%), (TXN, 0, 0.41%, 0.0000851%), (DIS, 0, 0.40%, 0.0000650%), (MDT, 0, 0.40%, 0.0001193%), (UNP, 0, 0.40%, 0.0001059%), (COP, 0, 0.40%, 0.0001182%), (SBUX, 0, 0.38%, 0.0001248%), (TMO, 0, 0.37%, 0.0000764%), (C, 0, 0.37%, 0.0000756%), (AMAT, 0, 0.37%, 0.0000877%), (SCHW, 0, 0.36%, 0.0000735%), (AMGN, 0, 0.35%, 0.0000752%), (LMT, 0, 0.34%, 0.0001236%), (EMR, 0, 0.32%, 0.0001373%), (MMM, 0, 0.32%, 0.0001389%), (GILD, 0, 0.30%, 0.0000752%), (DHR, 0, 0.28%, 0.0000682%), (TJX, 0, 0.27%, 0.0000693%), (CVS, 0, 0.26%, 0.0001183%), (MO, 0, 0.25%, 0.0000894%), (LOW, 0, 0.25%, 0.0000692%), (MDLZ, 0, 0.24%, 0.0000918%), (CMCSA, 0, 0.23%, 0.0000677%), (ELV, 0, 0.23%, 0.0001246%), (UPS, 0, 0.22%, 0.0001030%), (PFE, 0, 0.21%, 0.0000536%), (INTC, 0, 0.21%, 0.0000786%), (BMY, 0, 0.21%, 0.0000747%), (PYPL, 0, 0.20%, 0.0000957%), (CL, 0, 0.16%, 0.0000818%), (FDX, 0, 0.16%, 0.0000987%), (USB, 0, 0.15%, 0.0000738%), (TGT, 0, 0.10%, 0.0000702%), (nan, 0, -0.02%, 0.0000000%), (nan, 0, -0.02%, 0.0000000%)</t>
  </si>
  <si>
    <t>EBAY, BK, MSFT, META, JPM, BKNG, BLK, RJF, GOOGLE, MLI, UNM, V</t>
  </si>
  <si>
    <t>(EWBC, 0, 1.90%, 0.0074567%), (AMAT, 0, 1.89%, 0.0007150%), (AXP, 0, 1.87%, 0.0004869%), (EA, 0, 1.81%, 0.0026583%), (TRV, 0, 1.78%, 0.0016959%), (HIG, 0, 1.77%, 0.0028570%), (ADP, 0, 1.75%, 0.0007853%), (SNA, 0, 1.75%, 0.0056992%), (PHM, 0, 1.74%, 0.0043280%), (NVDA, 0, 1.74%, 0.0000229%), (KLAC, 0, 1.70%, 0.0008007%), (PCAR, 0, 1.69%, 0.0017902%), (CTSH, 0, 1.65%, 0.0024896%), (CRM, 0, 1.65%, 0.0003578%), (ROST, 0, 1.64%, 0.0020367%), (CB, 0, 1.62%, 0.0008522%), (SYF, 0, 1.62%, 0.0034470%), (PAYC, 0, 1.56%, 0.0062840%), (BKR, 0, 1.45%, 0.0017920%), (ACN, 0, 1.44%, 0.0004548%), (LEN, 0, 1.43%, 0.0031358%), (WSM, 0, 1.37%, 0.0034518%), (QCOM, 0, 1.37%, 0.0004445%), (AFL, 0, 1.22%, 0.0012281%), (ODFL, 0, 1.21%, 0.0019384%), (DHI, 0, 1.20%, 0.0015838%), (AAPL, 0, 1.19%, 0.0000210%), (ELV, 0, 1.18%, 0.0010246%), (CSCO, 0, 1.09%, 0.0002250%), (LRCX, 0, 1.07%, 0.0004876%), (GE, 0, 1.05%, 0.0002035%), (STT, 0, 0.98%, 0.0017650%), (MPWR, 0, 0.97%, 0.0015848%), (CF, 0, 0.94%, 0.0034790%), (PNC, 0, 0.93%, 0.0006704%), (MTB, 0, 0.91%, 0.0017073%), (AMP, 0, 0.90%, 0.0010333%), (CSL, 0, 0.85%, 0.0026468%), (COST, 0, 0.83%, 0.0001112%), (XOM, 0, 0.82%, 0.0000968%), (ABT, 0, 0.80%, 0.0002041%), (EOG, 0, 0.79%, 0.0006800%), (EG, 0, 0.75%, 0.0029738%), (GEV, 0, 0.58%, 0.0001854%), (NTRS, 0, 0.53%, 0.0012104%), (CRBG, 0, 0.50%, 0.0014597%), (MA, 0, 0.49%, 0.0000535%), (JNJ, 0, 0.46%, 0.0000636%), (DOV, 0, 0.45%, 0.0009756%), (ACM, 0, 0.45%, 0.0016346%), (WTFC, 0, 0.44%, 0.0027542%), (SLM, 0, 0.43%, 0.0036190%), (CINF, 0, 0.43%, 0.0010204%), (MCK, 0, 0.42%, 0.0002661%), (EQH, 0, 0.42%, 0.0014813%), (MTG, 0, 0.41%, 0.0040194%), (JXN, 0, 0.41%, 0.0037085%), (ALL, 0, 0.40%, 0.0004300%), (NUE, 0, 0.40%, 0.0006666%), (LNC, 0, 0.39%, 0.0032953%), (NKE, 0, 0.38%, 0.0002346%), (PGR, 0, 0.38%, 0.0001424%), (ADM, 0, 0.37%, 0.0007932%), (FANG, 0, 0.31%, 0.0004114%)</t>
  </si>
  <si>
    <t>(GOOGLE, 0, 3.43%, 0.0000643%), (AVGO, 0, 2.97%, 0.0000885%), (META, 0, 2.60%, 0.0000682%), (BRK/B, 0, 2.03%, 0.0001253%), (CSCO, 0, 1.76%, 0.0002654%), (LIN, 0, 1.71%, 0.0003178%), (AMT, 0, 1.69%, 0.0006432%), (JPM, 0, 1.59%, 0.0000796%), (TSLA, 0, 1.57%, 0.0000597%), (XOM, 0, 1.43%, 0.0001242%), (V, 0, 1.42%, 0.0000959%), (LLY, 0, 1.22%, 0.0000660%), (CB, 0, 1.10%, 0.0004223%), (MA, 0, 1.07%, 0.0000867%), (WM, 0, 1.05%, 0.0004622%), (GE, 0, 1.02%, 0.0001469%), (ORCL, 0, 0.93%, 0.0000547%), (NFLX, 0, 0.85%, 0.0000687%), (NEE, 0, 0.84%, 0.0002296%), (UNH, 0, 0.81%, 0.0001281%), (JNJ, 0, 0.78%, 0.0000791%), (PG, 0, 0.77%, 0.0000858%), (PLTR, 0, 0.77%, 0.0000874%), (CVX, 0, 0.75%, 0.0000984%), (WMT, 0, 0.75%, 0.0000398%), (COST, 0, 0.74%, 0.0000731%), (RTX, 0, 0.73%, 0.0001422%), (CAT, 0, 0.72%, 0.0001475%), (MCD, 0, 0.69%, 0.0001328%), (ABT, 0, 0.67%, 0.0001257%), (HD, 0, 0.65%, 0.0000720%), (ABBV, 0, 0.65%, 0.0000792%), (KO, 0, 0.62%, 0.0000847%), (BAC, 0, 0.61%, 0.0000700%), (CRM, 0, 0.61%, 0.0000974%), (BKNG, 0, 0.61%, 0.0001365%), (BA, 0, 0.61%, 0.0001408%), (SO, 0, 0.59%, 0.0002316%), (AMD, 0, 0.59%, 0.0000895%), (NKE, 0, 0.57%, 0.0002605%), (PM, 0, 0.57%, 0.0000934%), (IBM, 0, 0.57%, 0.0000960%), (ISRG, 0, 0.54%, 0.0001267%), (ETN, 0, 0.54%, 0.0001454%), (WFC, 0, 0.53%, 0.0000808%), (DUK, 0, 0.53%, 0.0002311%), (INTU, 0, 0.53%, 0.0000976%), (GS, 0, 0.52%, 0.0000987%), (UBER, 0, 0.51%, 0.0001105%), (HON, 0, 0.51%, 0.0001466%), (MET, 0, 0.49%, 0.0003877%), (NOW, 0, 0.48%, 0.0000962%), (DE, 0, 0.45%, 0.0001347%), (PEP, 0, 0.45%, 0.0000938%), (ACN, 0, 0.42%, 0.0000973%), (T, 0, 0.42%, 0.0004022%), (MRK, 0, 0.41%, 0.0000802%), (MS, 0, 0.41%, 0.0000732%), (AXP, 0, 0.40%, 0.0000762%), (SPGI, 0, 0.39%, 0.0000987%), (ADBE, 0, 0.39%, 0.0001020%), (QCOM, 0, 0.39%, 0.0000922%), (BLK, 0, 0.38%, 0.0000885%), (VZ, 0, 0.37%, 0.0000859%), (TXN, 0, 0.37%, 0.0000899%), (DIS, 0, 0.37%, 0.0000686%), (MDT, 0, 0.36%, 0.0001261%), (UNP, 0, 0.36%, 0.0001119%), (COP, 0, 0.36%, 0.0001248%), (SBUX, 0, 0.34%, 0.0001319%), (TMO, 0, 0.34%, 0.0000806%), (C, 0, 0.34%, 0.0000799%), (AMAT, 0, 0.34%, 0.0000926%), (SCHW, 0, 0.33%, 0.0000776%), (AMGN, 0, 0.32%, 0.0000795%), (LMT, 0, 0.31%, 0.0001305%), (EMR, 0, 0.29%, 0.0001450%), (MMM, 0, 0.29%, 0.0001468%), (GILD, 0, 0.28%, 0.0000794%), (DHR, 0, 0.25%, 0.0000721%), (TJX, 0, 0.25%, 0.0000731%), (CVS, 0, 0.23%, 0.0001249%), (MO, 0, 0.23%, 0.0000944%), (LOW, 0, 0.23%, 0.0000729%), (MDLZ, 0, 0.22%, 0.0000969%), (CMCSA, 0, 0.21%, 0.0000716%), (ELV, 0, 0.21%, 0.0001314%), (PFE, 0, 0.20%, 0.0000596%), (UPS, 0, 0.20%, 0.0001088%), (INTC, 0, 0.19%, 0.0000830%), (BMY, 0, 0.19%, 0.0000788%), (PYPL, 0, 0.18%, 0.0001010%), (CL, 0, 0.15%, 0.0000863%), (FDX, 0, 0.14%, 0.0001043%), (USB, 0, 0.14%, 0.0000779%), (TGT, 0, 0.09%, 0.0000742%), (nan, 0, -0.02%, 0.0000000%), (nan, 0, -0.02%, 0.0000000%)</t>
  </si>
  <si>
    <t>(GOOGLE, 0, 3.59%, 0.0001316%), (AVGO, 0, 3.11%, 0.0001810%), (META, 0, 2.73%, 0.0001394%), (BRK/B, 0, 2.13%, 0.0002563%), (CSCO, 0, 1.85%, 0.0005426%), (LIN, 0, 1.80%, 0.0006500%), (AMT, 0, 1.77%, 0.0013152%), (JPM, 0, 1.67%, 0.0001627%), (TSLA, 0, 1.65%, 0.0001222%), (XOM, 0, 1.50%, 0.0002540%), (V, 0, 1.49%, 0.0001961%), (LLY, 0, 1.27%, 0.0001349%), (CB, 0, 1.15%, 0.0008634%), (MA, 0, 1.12%, 0.0001773%), (WM, 0, 1.10%, 0.0009447%), (GE, 0, 1.08%, 0.0003003%), (ORCL, 0, 0.98%, 0.0001118%), (NFLX, 0, 0.89%, 0.0001404%), (NEE, 0, 0.88%, 0.0004695%), (UNH, 0, 0.85%, 0.0002619%), (JNJ, 0, 0.82%, 0.0001617%), (PG, 0, 0.81%, 0.0001755%), (PLTR, 0, 0.81%, 0.0001787%), (CVX, 0, 0.79%, 0.0002011%), (WMT, 0, 0.79%, 0.0000814%), (COST, 0, 0.78%, 0.0001494%), (RTX, 0, 0.76%, 0.0002906%), (CAT, 0, 0.76%, 0.0003016%), (MCD, 0, 0.72%, 0.0002714%), (ABT, 0, 0.70%, 0.0002571%), (HD, 0, 0.68%, 0.0001473%), (ABBV, 0, 0.68%, 0.0001619%), (KO, 0, 0.65%, 0.0001732%), (BAC, 0, 0.64%, 0.0001432%), (CRM, 0, 0.64%, 0.0001992%), (BA, 0, 0.64%, 0.0002879%), (BKNG, 0, 0.63%, 0.0002761%), (SO, 0, 0.62%, 0.0004735%), (AMD, 0, 0.61%, 0.0001830%), (NKE, 0, 0.60%, 0.0005325%), (PM, 0, 0.60%, 0.0001910%), (IBM, 0, 0.59%, 0.0001962%), (ISRG, 0, 0.57%, 0.0002590%), (ETN, 0, 0.56%, 0.0002972%), (WFC, 0, 0.56%, 0.0001651%), (DUK, 0, 0.55%, 0.0004727%), (INTU, 0, 0.55%, 0.0001994%), (GS, 0, 0.55%, 0.0002017%), (UBER, 0, 0.54%, 0.0002260%), (HON, 0, 0.53%, 0.0002997%), (MET, 0, 0.52%, 0.0007928%), (NOW, 0, 0.50%, 0.0001966%), (DE, 0, 0.48%, 0.0002756%), (PEP, 0, 0.47%, 0.0001918%), (ACN, 0, 0.44%, 0.0001989%), (T, 0, 0.44%, 0.0008223%), (MRK, 0, 0.43%, 0.0001639%), (MS, 0, 0.43%, 0.0001498%), (AXP, 0, 0.42%, 0.0001558%), (SPGI, 0, 0.41%, 0.0002021%), (ADBE, 0, 0.41%, 0.0002086%), (QCOM, 0, 0.40%, 0.0001884%), (BLK, 0, 0.39%, 0.0001815%), (VZ, 0, 0.39%, 0.0001756%), (TXN, 0, 0.39%, 0.0001838%), (DIS, 0, 0.38%, 0.0001403%), (MDT, 0, 0.38%, 0.0002577%), (UNP, 0, 0.38%, 0.0002288%), (COP, 0, 0.38%, 0.0002552%), (TMO, 0, 0.37%, 0.0001648%), (SBUX, 0, 0.36%, 0.0002696%), (C, 0, 0.36%, 0.0001632%), (AMAT, 0, 0.35%, 0.0001894%), (SCHW, 0, 0.35%, 0.0001587%), (AMGN, 0, 0.33%, 0.0001623%), (LMT, 0, 0.33%, 0.0002671%), (EMR, 0, 0.31%, 0.0002966%), (MMM, 0, 0.30%, 0.0003001%), (GILD, 0, 0.29%, 0.0001624%), (DHR, 0, 0.27%, 0.0001472%), (TJX, 0, 0.26%, 0.0001495%), (CVS, 0, 0.25%, 0.0002555%), (MO, 0, 0.24%, 0.0001931%), (LOW, 0, 0.24%, 0.0001492%), (MDLZ, 0, 0.23%, 0.0001982%), (CMCSA, 0, 0.22%, 0.0001463%), (PFE, 0, 0.22%, 0.0001244%), (ELV, 0, 0.22%, 0.0002691%), (UPS, 0, 0.21%, 0.0002224%), (INTC, 0, 0.20%, 0.0001697%), (BMY, 0, 0.20%, 0.0001612%), (PYPL, 0, 0.19%, 0.0002065%), (CL, 0, 0.16%, 0.0001764%), (FDX, 0, 0.15%, 0.0002132%), (USB, 0, 0.14%, 0.0001593%), (TGT, 0, 0.09%, 0.0001514%), (nan, 0, -0.02%, 0.0000000%), (nan, 0, -0.02%, 0.0000000%)</t>
  </si>
  <si>
    <t>(MSFT, 61115.0, 31,314,570.60), (MSFT, 61115.0, 31,311,370.60), (MSFT, 61115.0, 31,309,770.60), (MSFT, 61115.0, 31,308,970.60), (MSFT, 61115.0, 31,308,970.60), (MSFT, 61115.0, 31,301,770.60), (MSFT, 61115.0, 31,292,170.60), (MSFT, 61115.0, 31,282,570.60), (AAPL, 122705.0, 26,311,026.30), (AAPL, 122705.0, 26,306,738.30), (AAPL, 122705.0, 26,304,594.30), (AAPL, 122705.0, 26,303,522.30), (AAPL, 122705.0, 26,302,986.30), (AAPL, 122705.0, 26,293,338.30), (AAPL, 122705.0, 26,279,938.30), (AAPL, 122705.0, 26,267,610.30), (AMZN, 82952.0, 19,395,940.24), (AMZN, 82952.0, 19,392,570.24), (AMZN, 82952.0, 19,390,548.24), (AMZN, 82952.0, 19,389,874.24), (AMZN, 82952.0, 19,389,200.24), (AMZN, 82952.0, 19,380,438.24), (AMZN, 82952.0, 19,368,980.24), (AMZN, 82952.0, 19,358,196.24), (GOOGLE, 94417.0, 18,132,992.96), (AVGO, 51344.0, 14,971,057.28), (AVGO, 51344.0, 14,969,647.28), (AVGO, 51344.0, 14,968,707.28), (AVGO, 51344.0, 14,968,707.28), (AVGO, 51344.0, 14,968,237.28), (AVGO, 51344.0, 14,964,477.28), (AVGO, 51344.0, 14,959,777.28), (AVGO, 51344.0, 14,955,077.28), (META, 19851.0, 14,258,261.38), (META, 19851.0, 14,255,961.38), (META, 19851.0, 14,253,661.38), (META, 19851.0, 14,253,661.38), (META, 19851.0, 14,251,361.38), (META, 19851.0, 14,246,761.38), (META, 19851.0, 14,237,561.38), (META, 19851.0, 14,228,361.38), (BRK/B, 21219.0, 10,287,804.34), (BRK/B, 21219.0, 10,286,924.34), (BRK/B, 21219.0, 10,286,484.34), (BRK/B, 21219.0, 10,286,484.34), (BRK/B, 21219.0, 10,286,484.34), (BRK/B, 21219.0, 10,285,164.34), (BRK/B, 21219.0, 10,282,964.34), (BRK/B, 21219.0, 10,281,204.34), (CSCO, 137687.0, 9,296,536.24), (CSCO, 137687.0, 9,296,456.24), (CSCO, 137687.0, 9,296,406.24), (CSCO, 137687.0, 9,296,386.24), (CSCO, 137687.0, 9,296,376.24), (CSCO, 137687.0, 9,296,186.24), (CSCO, 137687.0, 9,295,916.24), (CSCO, 137687.0, 9,295,666.24), (JPM, 30722.0, 9,169,877.00), (JPM, 30722.0, 9,169,237.00), (JPM, 30722.0, 9,168,917.00), (JPM, 30722.0, 9,168,917.00), (JPM, 30722.0, 9,168,917.00), (JPM, 30722.0, 9,167,637.00), (JPM, 30722.0, 9,165,717.00), (JPM, 30722.0, 9,164,117.00), (LIN, 18228.0, 8,555,129.52), (AMT, 36981.0, 8,414,656.74), (V, 22960.0, 8,196,167.00), (V, 22960.0, 8,195,061.00), (V, 22960.0, 8,195,061.00), (V, 22960.0, 8,194,508.00), (V, 22960.0, 8,194,508.00), (V, 22960.0, 8,192,849.00), (V, 22960.0, 8,190,637.00), (V, 22960.0, 8,188,425.00), (TSLA, 24406.0, 7,978,772.30), (TSLA, 24406.0, 7,977,167.30), (TSLA, 24406.0, 7,975,562.30), (TSLA, 24406.0, 7,973,957.30), (TSLA, 24406.0, 7,973,957.30), (TSLA, 24406.0, 7,969,142.30), (TSLA, 24406.0, 7,961,117.30), (TSLA, 24406.0, 7,953,092.30), (XOM, 69141.0, 7,724,800.34), (XOM, 69141.0, 7,723,988.34), (XOM, 69141.0, 7,723,582.34), (XOM, 69141.0, 7,723,379.34), (XOM, 69141.0, 7,723,176.34), (XOM, 69141.0, 7,721,349.34), (XOM, 69141.0, 7,718,507.34), (XOM, 69141.0, 7,716,071.34), (CB, 23744.0, 6,332,524.80), (LLY, 7660.0, 6,241,155.20), (LLY, 7660.0, 6,241,155.20), (LLY, 7660.0, 6,241,155.20), (LLY, 7660.0, 6,241,155.20), (LLY, 7660.0, 6,241,155.20), (LLY, 7660.0, 6,238,125.20), (LLY, 7660.0, 6,236,610.20), (LLY, 7660.0, 6,233,580.20), (GE, 21165.0, 5,715,401.25), (GE, 21165.0, 5,714,987.25), (GE, 21165.0, 5,714,987.25), (GE, 21165.0, 5,714,780.25), (GE, 21165.0, 5,714,780.25), (GE, 21165.0, 5,714,159.25), (GE, 21165.0, 5,713,538.25), (GE, 21165.0, 5,712,710.25), (MA, 9965.0, 5,667,465.25), (MA, 9965.0, 5,667,465.25), (MA, 9965.0, 5,666,340.25), (MA, 9965.0, 5,666,340.25), (MA, 9965.0, 5,666,340.25), (MA, 9965.0, 5,665,215.25), (MA, 9965.0, 5,662,965.25), (MA, 9965.0, 5,660,715.25), (WM, 22861.0, 5,225,795.99), (ORCL, 19145.0, 4,686,935.35), (ORCL, 19145.0, 4,686,265.35), (ORCL, 19145.0, 4,686,265.35), (ORCL, 19145.0, 4,685,930.35), (ORCL, 19145.0, 4,685,930.35), (ORCL, 19145.0, 4,684,925.35), (ORCL, 19145.0, 4,683,585.35), (ORCL, 19145.0, 4,682,580.35), (NFLX, 3576.0, 4,240,883.64), (NFLX, 3576.0, 4,240,883.64), (NFLX, 3576.0, 4,240,883.64), (NFLX, 3576.0, 4,240,883.64), (NFLX, 3576.0, 4,239,236.64), (NFLX, 3576.0, 4,237,589.64), (NEE, 58726.0, 4,198,789.00), (NEE, 58726.0, 4,198,669.00), (NEE, 58726.0, 4,198,609.00), (NEE, 58726.0, 4,198,579.00), (NEE, 58726.0, 4,198,579.00), (NEE, 58726.0, 4,198,309.00), (NEE, 58726.0, 4,197,949.00), (NEE, 58726.0, 4,197,589.00), (COST, 4466.0, 4,183,881.32), (COST, 4466.0, 4,183,881.32), (COST, 4466.0, 4,183,881.32), (COST, 4466.0, 4,183,881.32), (COST, 4466.0, 4,183,881.32), (COST, 4466.0, 4,183,031.32), (COST, 4466.0, 4,182,181.32), (JNJ, 24929.0, 4,155,273.01), (JNJ, 24929.0, 4,155,202.01), (JNJ, 24929.0, 4,155,131.01), (JNJ, 24929.0, 4,155,131.01), (JNJ, 24929.0, 4,155,060.01), (JNJ, 24929.0, 4,154,847.01), (JNJ, 24929.0, 4,154,492.01), (JNJ, 24929.0, 4,154,208.01), (BKNG, 736.0, 4,118,442.56), (UNH, 14246.0, 4,022,917.62), (UNH, 14246.0, 4,021,767.62), (UNH, 14246.0, 4,021,767.62), (UNH, 14246.0, 4,020,617.62), (UNH, 14246.0, 4,020,617.62), (UNH, 14246.0, 4,018,317.62), (UNH, 14246.0, 4,014,867.62), (UNH, 14246.0, 4,011,417.62), (CRM, 14773.0, 3,960,649.76), (CRM, 14773.0, 3,960,362.76), (CRM, 14773.0, 3,960,362.76), (CRM, 14773.0, 3,960,362.76), (CRM, 14773.0, 3,960,362.76), (CRM, 14773.0, 3,959,788.76), (CRM, 14773.0, 3,959,214.76), (CRM, 14773.0, 3,958,640.76), (PLTR, 24417.0, 3,874,527.90), (PLTR, 24417.0, 3,874,302.90), (PLTR, 24417.0, 3,874,077.90), (PLTR, 24417.0, 3,873,852.90), (PLTR, 24417.0, 3,873,852.90), (PLTR, 24417.0, 3,873,177.90), (PG, 24628.0, 3,872,789.56), (PG, 24628.0, 3,872,561.56), (PG, 24628.0, 3,872,333.56), (PG, 24628.0, 3,872,105.56), (PG, 24628.0, 3,872,105.56), (PLTR, 24417.0, 3,872,052.90), (PG, 24628.0, 3,871,421.56), (PLTR, 24417.0, 3,870,927.90), (PG, 24628.0, 3,870,053.56), (PG, 24628.0, 3,869,141.56), (CVX, 24731.0, 3,858,471.24), (CVX, 24731.0, 3,858,194.24), (CVX, 24731.0, 3,857,917.24), (CVX, 24731.0, 3,857,640.24), (CVX, 24731.0, 3,857,640.24), (CVX, 24731.0, 3,856,532.24), (CVX, 24731.0, 3,855,147.24), (CVX, 24731.0, 3,854,039.24), (ABT, 30377.0, 3,830,299.70), (ABT, 30377.0, 3,830,059.70), (ABT, 30377.0, 3,829,939.70), (ABT, 30377.0, 3,829,939.70), (ABT, 30377.0, 3,829,939.70), (ABT, 30377.0, 3,829,459.70), (ABT, 30377.0, 3,828,739.70), (ABT, 30377.0, 3,828,139.70), (WMT, 38960.0, 3,811,621.40), (WMT, 38960.0, 3,811,471.40), (WMT, 38960.0, 3,811,321.40), (WMT, 38960.0, 3,811,321.40), (WMT, 38960.0, 3,811,246.40), (WMT, 38960.0, 3,810,871.40), (WMT, 38960.0, 3,810,271.40), (WMT, 38960.0, 3,809,671.40), (CAT, 8490.0, 3,691,746.20), (CAT, 8490.0, 3,691,746.20), (CAT, 8490.0, 3,691,746.20), (CAT, 8490.0, 3,691,361.20), (CAT, 8490.0, 3,691,361.20), (CAT, 8490.0, 3,690,976.20), (CAT, 8490.0, 3,690,206.20), (CAT, 8490.0, 3,689,821.20), (RTX, 23405.0, 3,655,014.85), (RTX, 23405.0, 3,654,942.85), (RTX, 23405.0, 3,654,870.85), (RTX, 23405.0, 3,654,870.85), (RTX, 23405.0, 3,654,798.85), (RTX, 23405.0, 3,654,582.85), (RTX, 23405.0, 3,654,222.85), (RTX, 23405.0, 3,653,934.85), (HD, 8805.0, 3,332,861.95), (HD, 8805.0, 3,332,861.95), (HD, 8805.0, 3,332,861.95), (HD, 8805.0, 3,332,238.95), (HD, 8805.0, 3,332,238.95), (HD, 8805.0, 3,331,615.95), (HD, 8805.0, 3,330,369.95), (HD, 8805.0, 3,329,123.95), (ABBV, 17178.0, 3,256,760.58), (ABBV, 17178.0, 3,256,400.58), (ABBV, 17178.0, 3,256,040.58), (ABBV, 17178.0, 3,256,040.58), (ABBV, 17178.0, 3,256,040.58), (ABBV, 17178.0, 3,254,960.58), (ABBV, 17178.0, 3,253,880.58), (ABBV, 17178.0, 3,252,440.58), (NKE, 40812.0, 3,234,858.48), (NKE, 40812.0, 3,234,108.48), (NKE, 40812.0, 3,233,733.48), (NKE, 40812.0, 3,233,358.48), (NKE, 40812.0, 3,233,358.48), (NKE, 40812.0, 3,231,108.48), (NKE, 40812.0, 3,228,108.48), (NKE, 40812.0, 3,225,483.48), (AMD, 17841.0, 3,098,580.93), (AMD, 17841.0, 3,097,644.93), (AMD, 17841.0, 3,096,708.93), (AMD, 17841.0, 3,096,708.93), (AMD, 17841.0, 3,096,708.93), (AMD, 17841.0, 3,093,900.93), (AMD, 17841.0, 3,090,156.93), (AMD, 17841.0, 3,087,348.93), (BAC, 63709.0, 3,083,347.60), (BAC, 63709.0, 3,083,137.60), (BAC, 63709.0, 3,083,053.60), (BAC, 63709.0, 3,083,011.60), (BAC, 63709.0, 3,083,011.60), (BAC, 63709.0, 3,082,591.60), (BAC, 63709.0, 3,082,045.60), (BAC, 63709.0, 3,081,541.60), (BA, 13144.0, 3,067,467.48), (BA, 13144.0, 3,066,862.48), (BA, 13144.0, 3,066,862.48), (BA, 13144.0, 3,066,862.48), (BA, 13144.0, 3,066,257.48), (BA, 13144.0, 3,065,047.48), (BA, 13144.0, 3,063,837.48), (BA, 13144.0, 3,062,022.48), (KO, 44526.0, 3,053,933.34), (KO, 44526.0, 3,053,828.34), (KO, 44526.0, 3,053,793.34), (KO, 44526.0, 3,053,758.34), (KO, 44526.0, 3,053,723.34), (KO, 44526.0, 3,053,513.34), (KO, 44526.0, 3,053,163.34), (KO, 44526.0, 3,052,883.34), (AXP, 9776.0, 3,043,442.60), (AXP, 9776.0, 3,043,442.60), (AXP, 9776.0, 3,043,442.60), (AXP, 9776.0, 3,043,442.60), (AXP, 9776.0, 3,043,127.60), (AXP, 9776.0, 3,042,497.60), (AXP, 9776.0, 3,042,182.60), (BLK, 2678.0, 2,998,536.78), (BLK, 2678.0, 2,998,536.78), (BLK, 2678.0, 2,998,536.78), (SO, 31290.0, 2,964,830.40), (SO, 31290.0, 2,964,620.40), (SO, 31290.0, 2,964,515.40), (SO, 31290.0, 2,964,410.40), (SO, 31290.0, 2,964,410.40), (SO, 31290.0, 2,963,885.40), (SO, 31290.0, 2,963,255.40), (SO, 31290.0, 2,962,625.40), (IBM, 11014.0, 2,886,145.12), (IBM, 11014.0, 2,886,145.12), (IBM, 11014.0, 2,885,741.12), (IBM, 11014.0, 2,885,741.12), (IBM, 11014.0, 2,885,741.12), (IBM, 11014.0, 2,884,933.12), (IBM, 11014.0, 2,884,125.12), (IBM, 11014.0, 2,883,317.12), (ACN, 10259.0, 2,849,414.84), (ACN, 10259.0, 2,849,414.84), (ACN, 10259.0, 2,849,414.84), (ACN, 10259.0, 2,849,414.84), (ACN, 10259.0, 2,849,414.84), (ACN, 10259.0, 2,849,164.84), (ACN, 10259.0, 2,849,039.84), (ACN, 10259.0, 2,848,789.84), (PM, 17857.0, 2,820,664.72), (PM, 17857.0, 2,820,637.72), (PM, 17857.0, 2,820,610.72), (PM, 17857.0, 2,820,610.72), (PM, 17857.0, 2,820,610.72), (PM, 17857.0, 2,820,529.72), (PM, 17857.0, 2,820,421.72), (PM, 17857.0, 2,820,340.72), (AMAT, 14726.0, 2,795,562.88), (AMAT, 14726.0, 2,795,562.88), (AMAT, 14726.0, 2,794,952.88), (AMAT, 14726.0, 2,794,952.88), (AMAT, 14726.0, 2,794,952.88), (AMAT, 14726.0, 2,794,342.88), (AMAT, 14726.0, 2,793,122.88), (AMAT, 14726.0, 2,791,902.88), (ISRG, 5514.0, 2,757,493.64), (ISRG, 5514.0, 2,757,493.64), (ISRG, 5514.0, 2,757,493.64), (ISRG, 5514.0, 2,757,493.64), (ISRG, 5514.0, 2,756,553.64), (ISRG, 5514.0, 2,755,613.64), (ISRG, 5514.0, 2,754,673.64), (ETN, 6948.0, 2,739,672.68), (ETN, 6948.0, 2,739,672.68), (ETN, 6948.0, 2,739,672.68), (ETN, 6948.0, 2,739,672.68), (ETN, 6948.0, 2,738,984.68), (ETN, 6948.0, 2,737,608.68), (ETN, 6948.0, 2,736,920.68), (QCOM, 16982.0, 2,727,972.76), (QCOM, 16982.0, 2,727,277.76), (QCOM, 16982.0, 2,727,277.76), (QCOM, 16982.0, 2,727,277.76), (QCOM, 16982.0, 2,727,277.76), (QCOM, 16982.0, 2,725,887.76), (QCOM, 16982.0, 2,723,802.76), (QCOM, 16982.0, 2,722,412.76), (WFC, 31776.0, 2,662,045.28), (WFC, 31776.0, 2,661,897.28), (WFC, 31776.0, 2,661,823.28), (WFC, 31776.0, 2,661,749.28), (WFC, 31776.0, 2,661,749.28), (WFC, 31776.0, 2,661,379.28), (WFC, 31776.0, 2,660,861.28), (WFC, 31776.0, 2,660,417.28), (INTU, 3339.0, 2,636,669.32), (INTU, 3339.0, 2,636,669.32), (INTU, 3339.0, 2,636,669.32), (INTU, 3339.0, 2,636,669.32), (INTU, 3339.0, 2,635,929.32), (INTU, 3339.0, 2,635,929.32), (GS, 3634.0, 2,633,413.20), (GS, 3634.0, 2,633,413.20), (GS, 3634.0, 2,633,413.20), (GS, 3634.0, 2,633,413.20), (GS, 3634.0, 2,632,903.20), (GS, 3634.0, 2,632,393.20), (DUK, 22061.0, 2,621,067.41), (HON, 11433.0, 2,594,974.66), (HON, 11433.0, 2,594,429.66), (HON, 11433.0, 2,594,429.66), (HON, 11433.0, 2,594,429.66), (HON, 11433.0, 2,594,429.66), (HON, 11433.0, 2,593,339.66), (HON, 11433.0, 2,592,249.66), (HON, 11433.0, 2,590,614.66), (UBER, 28313.0, 2,564,369.54), (UBER, 28313.0, 2,564,147.54), (UBER, 28313.0, 2,564,036.54), (UBER, 28313.0, 2,564,036.54), (UBER, 28313.0, 2,563,925.54), (UBER, 28313.0, 2,563,481.54), (UBER, 28313.0, 2,562,815.54), (UBER, 28313.0, 2,562,260.54), (MCD, 8536.0, 2,530,709.00), (MCD, 8536.0, 2,530,494.00), (MCD, 8536.0, 2,530,494.00), (MCD, 8536.0, 2,530,494.00), (MCD, 8536.0, 2,530,494.00), (MCD, 8536.0, 2,530,064.00), (MCD, 8536.0, 2,529,634.00), (MCD, 8536.0, 2,528,989.00), (MET, 31665.0, 2,463,537.00), (NOW, 2451.0, 2,404,946.63), (NOW, 2451.0, 2,404,946.63), (NOW, 2451.0, 2,402,692.63), (UNP, 10452.0, 2,393,495.60), (UNP, 10452.0, 2,393,495.60), (UNP, 10452.0, 2,393,495.60), (UNP, 10452.0, 2,392,960.60), (UNP, 10452.0, 2,392,960.60), (UNP, 10452.0, 2,392,425.60), (UNP, 10452.0, 2,391,890.60), (UNP, 10452.0, 2,390,820.60), (DE, 4474.0, 2,290,898.88), (DE, 4474.0, 2,290,898.88), (DE, 4474.0, 2,290,898.88), (DE, 4474.0, 2,290,898.88), (DE, 4474.0, 2,290,572.88), (DE, 4474.0, 2,290,572.88), (DE, 4474.0, 2,290,246.88), (PEP, 15756.0, 2,237,144.44), (PEP, 15756.0, 2,237,094.44), (PEP, 15756.0, 2,237,044.44), (PEP, 15756.0, 2,237,044.44), (PEP, 15756.0, 2,237,044.44), (PEP, 15756.0, 2,236,944.44), (PEP, 15756.0, 2,236,744.44), (PEP, 15756.0, 2,236,594.44), (T, 75822.0, 2,094,148.64), (T, 75822.0, 2,094,093.64), (T, 75822.0, 2,094,060.64), (T, 75822.0, 2,094,049.64), (T, 75822.0, 2,094,038.64), (T, 75822.0, 2,093,917.64), (T, 75822.0, 2,093,741.64), (T, 75822.0, 2,093,587.64), (MRK, 24591.0, 2,074,124.76), (MRK, 24591.0, 2,073,938.76), (MRK, 24591.0, 2,073,752.76), (MRK, 24591.0, 2,073,566.76), (MRK, 24591.0, 2,073,566.76), (MRK, 24591.0, 2,073,008.76), (MRK, 24591.0, 2,071,892.76), (MRK, 24591.0, 2,071,148.76), (MS, 14361.0, 2,047,491.38), (MS, 14361.0, 2,047,391.38), (MS, 14361.0, 2,047,391.38), (MS, 14361.0, 2,047,291.38), (MS, 14361.0, 2,047,291.38), (MS, 14361.0, 2,047,091.38), (MS, 14361.0, 2,046,791.38), (MS, 14361.0, 2,046,491.38), (SPGI, 3675.0, 1,959,731.50), (SPGI, 3675.0, 1,959,731.50), (SPGI, 3675.0, 1,959,731.50), (SPGI, 3675.0, 1,959,731.50), (SPGI, 3675.0, 1,958,850.50), (SPGI, 3675.0, 1,957,969.50), (ADBE, 5245.0, 1,937,314.25), (ADBE, 5245.0, 1,937,314.25), (ADBE, 5245.0, 1,937,314.25), (ADBE, 5245.0, 1,937,314.25), (ADBE, 5245.0, 1,936,863.25), (ADBE, 5245.0, 1,936,412.25), (ADBE, 5245.0, 1,935,961.25), (TXN, 10027.0, 1,899,230.42), (TXN, 10027.0, 1,899,230.42), (TXN, 10027.0, 1,898,745.42), (TXN, 10027.0, 1,898,745.42), (TXN, 10027.0, 1,898,745.42), (TXN, 10027.0, 1,898,260.42), (TXN, 10027.0, 1,896,805.42), (TXN, 10027.0, 1,896,320.42), (VZ, 44483.0, 1,885,156.54), (VZ, 44483.0, 1,885,123.54), (VZ, 44483.0, 1,885,112.54), (VZ, 44483.0, 1,885,101.54), (VZ, 44483.0, 1,885,090.54), (VZ, 44483.0, 1,885,024.54), (VZ, 44483.0, 1,884,914.54), (VZ, 44483.0, 1,884,826.54), (COP, 19141.0, 1,855,277.54), (COP, 19141.0, 1,854,775.54), (COP, 19141.0, 1,854,775.54), (COP, 19141.0, 1,854,524.54), (COP, 19141.0, 1,854,524.54), (COP, 19141.0, 1,853,771.54), (COP, 19141.0, 1,852,767.54), (COP, 19141.0, 1,852,014.54), (MDT, 19853.0, 1,836,344.50), (MDT, 19853.0, 1,836,228.50), (MDT, 19853.0, 1,836,228.50), (MDT, 19853.0, 1,836,170.50), (MDT, 19853.0, 1,836,170.50), (MDT, 19853.0, 1,835,996.50), (MDT, 19853.0, 1,835,764.50), (MDT, 19853.0, 1,835,532.50), (DIS, 15152.0, 1,821,224.40), (DIS, 15152.0, 1,821,178.40), (DIS, 15152.0, 1,821,132.40), (DIS, 15152.0, 1,821,132.40), (DIS, 15152.0, 1,821,132.40), (DIS, 15152.0, 1,821,040.40), (DIS, 15152.0, 1,820,902.40), (DIS, 15152.0, 1,820,764.40), (TMO, 3719.0, 1,787,871.48), (TMO, 3719.0, 1,787,871.48), (TMO, 3719.0, 1,787,871.48), (TMO, 3719.0, 1,787,871.48), (TMO, 3719.0, 1,787,871.48), (TMO, 3719.0, 1,787,201.48), (TMO, 3719.0, 1,786,531.48), (SBUX, 18407.0, 1,745,170.81), (SBUX, 18407.0, 1,744,805.81), (SBUX, 18407.0, 1,744,440.81), (SBUX, 18407.0, 1,744,440.81), (SBUX, 18407.0, 1,744,075.81), (SBUX, 18407.0, 1,743,345.81), (SBUX, 18407.0, 1,741,885.81), (SBUX, 18407.0, 1,740,425.81), (C, 18051.0, 1,721,986.40), (C, 18051.0, 1,721,907.40), (C, 18051.0, 1,721,828.40), (C, 18051.0, 1,721,828.40), (C, 18051.0, 1,721,749.40), (C, 18051.0, 1,721,591.40), (C, 18051.0, 1,721,275.40), (C, 18051.0, 1,721,038.40), (SCHW, 17306.0, 1,689,349.72), (SCHW, 17306.0, 1,689,287.72), (SCHW, 17306.0, 1,689,225.72), (SCHW, 17306.0, 1,689,225.72), (SCHW, 17306.0, 1,689,225.72), (SCHW, 17306.0, 1,689,039.72), (SCHW, 17306.0, 1,688,791.72), (SCHW, 17306.0, 1,688,605.72), (ELV, 5854.0, 1,666,926.50), (AMGN, 5225.0, 1,584,395.50), (AMGN, 5225.0, 1,584,395.50), (AMGN, 5225.0, 1,584,395.50), (AMGN, 5225.0, 1,584,395.50), (AMGN, 5225.0, 1,584,257.50), (AMGN, 5225.0, 1,584,119.50), (AMGN, 5225.0, 1,583,981.50), (LMT, 3709.0, 1,570,930.76), (LMT, 3709.0, 1,570,930.76), (LMT, 3709.0, 1,570,930.76), (LMT, 3709.0, 1,570,930.76), (LMT, 3709.0, 1,570,930.76), (LMT, 3709.0, 1,570,580.76), (LMT, 3709.0, 1,570,230.76), (EMR, 10027.0, 1,497,480.72), (EMR, 10027.0, 1,497,480.72), (EMR, 10027.0, 1,497,328.72), (EMR, 10027.0, 1,497,328.72), (EMR, 10027.0, 1,497,328.72), (EMR, 10027.0, 1,497,176.72), (EMR, 10027.0, 1,496,720.72), (EMR, 10027.0, 1,496,568.72), (MMM, 9576.0, 1,461,995.96), (MMM, 9576.0, 1,461,995.96), (MMM, 9576.0, 1,461,640.96), (MMM, 9576.0, 1,461,640.96), (MMM, 9576.0, 1,461,640.96), (MMM, 9576.0, 1,461,285.96), (MMM, 9576.0, 1,460,575.96), (MMM, 9576.0, 1,459,865.96), (GILD, 12114.0, 1,370,321.68), (GILD, 12114.0, 1,370,307.68), (GILD, 12114.0, 1,370,307.68), (GILD, 12114.0, 1,370,307.68), (GILD, 12114.0, 1,370,307.68), (GILD, 12114.0, 1,370,279.68), (GILD, 12114.0, 1,370,237.68), (GILD, 12114.0, 1,370,209.68), (PFE, 55087.0, 1,349,607.50), (PFE, 55087.0, 1,349,589.50), (PFE, 55087.0, 1,349,577.50), (PFE, 55087.0, 1,349,571.50), (PFE, 55087.0, 1,349,565.50), (PFE, 55087.0, 1,349,517.50), (PFE, 55087.0, 1,349,451.50), (PFE, 55087.0, 1,349,385.50), (DHR, 6248.0, 1,274,377.00), (DHR, 6248.0, 1,274,377.00), (DHR, 6248.0, 1,274,377.00), (DHR, 6248.0, 1,274,377.00), (DHR, 6248.0, 1,274,162.00), (DHR, 6248.0, 1,273,947.00), (DHR, 6248.0, 1,273,517.00), (TJX, 9997.0, 1,264,194.59), (TJX, 9997.0, 1,264,194.59), (TJX, 9997.0, 1,264,068.59), (TJX, 9997.0, 1,264,068.59), (TJX, 9997.0, 1,264,068.59), (TJX, 9997.0, 1,263,942.59), (TJX, 9997.0, 1,263,564.59), (TJX, 9997.0, 1,263,438.59)</t>
  </si>
  <si>
    <t>(MSFT, 0, 127.56%, 0.0000914%), (MSFT, 0, 127.55%, 0.0000914%), (MSFT, 0, 127.55%, 0.0000914%), (MSFT, 0, 127.54%, 0.0000914%), (MSFT, 0, 127.54%, 0.0000914%), (MSFT, 0, 127.51%, 0.0000914%), (MSFT, 0, 127.47%, 0.0000914%), (MSFT, 0, 127.43%, 0.0000914%), (AAPL, 0, 107.18%, 0.0000923%), (AAPL, 0, 107.16%, 0.0000923%), (AAPL, 0, 107.16%, 0.0000923%), (AAPL, 0, 107.15%, 0.0000923%), (AAPL, 0, 107.15%, 0.0000923%), (AAPL, 0, 107.11%, 0.0000923%), (AAPL, 0, 107.06%, 0.0000923%), (AAPL, 0, 107.01%, 0.0000923%), (AMZN, 0, 79.01%, 0.0000970%), (AMZN, 0, 79.00%, 0.0000970%), (AMZN, 0, 78.99%, 0.0000970%), (AMZN, 0, 78.99%, 0.0000970%), (AMZN, 0, 78.98%, 0.0000970%), (AMZN, 0, 78.95%, 0.0000970%), (AMZN, 0, 78.90%, 0.0000970%), (AMZN, 0, 78.86%, 0.0000970%), (GOOGLE, 0, 73.87%, 0.0000987%), (AVGO, 0, 60.99%, 0.0001359%), (AVGO, 0, 60.98%, 0.0001359%), (AVGO, 0, 60.98%, 0.0001359%), (AVGO, 0, 60.98%, 0.0001359%), (AVGO, 0, 60.98%, 0.0001359%), (AVGO, 0, 60.96%, 0.0001359%), (AVGO, 0, 60.94%, 0.0001359%), (AVGO, 0, 60.92%, 0.0001359%), (META, 0, 58.08%, 0.0001013%), (META, 0, 58.07%, 0.0001013%), (META, 0, 58.06%, 0.0001013%), (META, 0, 58.06%, 0.0001013%), (META, 0, 58.06%, 0.0001013%), (META, 0, 58.04%, 0.0001013%), (META, 0, 58.00%, 0.0001013%), (META, 0, 57.96%, 0.0001013%), (BRK/B, 0, 41.91%, 0.0001924%), (BRK/B, 0, 41.91%, 0.0001924%), (BRK/B, 0, 41.90%, 0.0001924%), (BRK/B, 0, 41.90%, 0.0001924%), (BRK/B, 0, 41.90%, 0.0001924%), (BRK/B, 0, 41.90%, 0.0001924%), (BRK/B, 0, 41.89%, 0.0001924%), (BRK/B, 0, 41.88%, 0.0001924%), (CSCO, 0, 37.87%, 0.0003870%), (CSCO, 0, 37.87%, 0.0003870%), (CSCO, 0, 37.87%, 0.0003870%), (CSCO, 0, 37.87%, 0.0003870%), (CSCO, 0, 37.87%, 0.0003870%), (CSCO, 0, 37.87%, 0.0003870%), (CSCO, 0, 37.87%, 0.0003870%), (CSCO, 0, 37.87%, 0.0003870%), (JPM, 0, 37.35%, 0.0001241%), (JPM, 0, 37.35%, 0.0001241%), (JPM, 0, 37.35%, 0.0001241%), (JPM, 0, 37.35%, 0.0001241%), (JPM, 0, 37.35%, 0.0001241%), (JPM, 0, 37.35%, 0.0001241%), (JPM, 0, 37.34%, 0.0001241%), (JPM, 0, 37.33%, 0.0001241%), (LIN, 0, 34.85%, 0.0004880%), (AMT, 0, 34.28%, 0.0009874%), (V, 0, 33.39%, 0.0001502%), (V, 0, 33.38%, 0.0001502%), (V, 0, 33.38%, 0.0001502%), (V, 0, 33.38%, 0.0001502%), (V, 0, 33.38%, 0.0001502%), (V, 0, 33.37%, 0.0001502%), (V, 0, 33.37%, 0.0001502%), (V, 0, 33.36%, 0.0001502%), (TSLA, 0, 32.50%, 0.0000917%), (TSLA, 0, 32.50%, 0.0000917%), (TSLA, 0, 32.49%, 0.0000917%), (TSLA, 0, 32.48%, 0.0000917%), (TSLA, 0, 32.48%, 0.0000917%), (TSLA, 0, 32.46%, 0.0000917%), (TSLA, 0, 32.43%, 0.0000917%), (TSLA, 0, 32.40%, 0.0000917%), (XOM, 0, 31.47%, 0.0001802%), (XOM, 0, 31.46%, 0.0001802%), (XOM, 0, 31.46%, 0.0001802%), (XOM, 0, 31.46%, 0.0001802%), (XOM, 0, 31.46%, 0.0001802%), (XOM, 0, 31.45%, 0.0001802%), (XOM, 0, 31.44%, 0.0001802%), (XOM, 0, 31.43%, 0.0001802%), (CB, 0, 25.80%, 0.0006704%), (LLY, 0, 25.42%, 0.0001013%), (LLY, 0, 25.42%, 0.0001013%), (LLY, 0, 25.42%, 0.0001013%), (LLY, 0, 25.42%, 0.0001013%), (LLY, 0, 25.42%, 0.0001013%), (LLY, 0, 25.41%, 0.0001013%), (LLY, 0, 25.41%, 0.0001013%), (LLY, 0, 25.39%, 0.0001013%), (GE, 0, 23.28%, 0.0002229%), (GE, 0, 23.28%, 0.0002229%), (GE, 0, 23.28%, 0.0002229%), (GE, 0, 23.28%, 0.0002229%), (GE, 0, 23.28%, 0.0002229%), (GE, 0, 23.28%, 0.0002229%), (GE, 0, 23.28%, 0.0002229%), (GE, 0, 23.27%, 0.0002229%), (MA, 0, 23.09%, 0.0001242%), (MA, 0, 23.09%, 0.0001242%), (MA, 0, 23.08%, 0.0001242%), (MA, 0, 23.08%, 0.0001242%), (MA, 0, 23.08%, 0.0001242%), (MA, 0, 23.08%, 0.0001242%), (MA, 0, 23.07%, 0.0001242%), (MA, 0, 23.06%, 0.0001242%), (WM, 0, 21.29%, 0.0007093%), (ORCL, 0, 19.09%, 0.0000839%), (ORCL, 0, 19.09%, 0.0000839%), (ORCL, 0, 19.09%, 0.0000839%), (ORCL, 0, 19.09%, 0.0000839%), (ORCL, 0, 19.09%, 0.0000839%), (ORCL, 0, 19.08%, 0.0000839%), (ORCL, 0, 19.08%, 0.0000839%), (ORCL, 0, 19.08%, 0.0000839%), (NFLX, 0, 17.28%, 0.0001055%), (NFLX, 0, 17.28%, 0.0001055%), (NFLX, 0, 17.28%, 0.0001055%), (NFLX, 0, 17.28%, 0.0001055%), (NFLX, 0, 17.27%, 0.0001055%), (NFLX, 0, 17.26%, 0.0001055%), (NEE, 0, 17.10%, 0.0003525%), (NEE, 0, 17.10%, 0.0003525%), (NEE, 0, 17.10%, 0.0003525%), (NEE, 0, 17.10%, 0.0003525%), (NEE, 0, 17.10%, 0.0003525%), (NEE, 0, 17.10%, 0.0003525%), (NEE, 0, 17.10%, 0.0003525%), (NEE, 0, 17.10%, 0.0003525%), (COST, 0, 17.04%, 0.0001120%), (COST, 0, 17.04%, 0.0001120%), (COST, 0, 17.04%, 0.0001120%), (COST, 0, 17.04%, 0.0001120%), (COST, 0, 17.04%, 0.0001120%), (COST, 0, 17.04%, 0.0001120%), (COST, 0, 17.04%, 0.0001120%), (JNJ, 0, 16.93%, 0.0001150%), (JNJ, 0, 16.93%, 0.0001150%), (JNJ, 0, 16.93%, 0.0001150%), (JNJ, 0, 16.93%, 0.0001150%), (JNJ, 0, 16.93%, 0.0001150%), (JNJ, 0, 16.93%, 0.0001150%), (JNJ, 0, 16.92%, 0.0001150%), (JNJ, 0, 16.92%, 0.0001150%), (BKNG, 0, 16.78%, 0.0002537%), (UNH, 0, 16.39%, 0.0001966%), (UNH, 0, 16.38%, 0.0001966%), (UNH, 0, 16.38%, 0.0001966%), (UNH, 0, 16.38%, 0.0001966%), (UNH, 0, 16.38%, 0.0001966%), (UNH, 0, 16.37%, 0.0001966%), (UNH, 0, 16.36%, 0.0001966%), (UNH, 0, 16.34%, 0.0001966%), (CRM, 0, 16.13%, 0.0001724%), (CRM, 0, 16.13%, 0.0001724%), (CRM, 0, 16.13%, 0.0001724%), (CRM, 0, 16.13%, 0.0001724%), (CRM, 0, 16.13%, 0.0001724%), (CRM, 0, 16.13%, 0.0001724%), (CRM, 0, 16.13%, 0.0001724%), (CRM, 0, 16.13%, 0.0001724%), (PLTR, 0, 15.78%, 0.0001342%), (PLTR, 0, 15.78%, 0.0001342%), (PLTR, 0, 15.78%, 0.0001342%), (PLTR, 0, 15.78%, 0.0001342%), (PLTR, 0, 15.78%, 0.0001342%), (PLTR, 0, 15.78%, 0.0001342%), (PG, 0, 15.78%, 0.0001317%), (PG, 0, 15.78%, 0.0001317%), (PG, 0, 15.77%, 0.0001317%), (PG, 0, 15.77%, 0.0001317%), (PG, 0, 15.77%, 0.0001317%), (PLTR, 0, 15.77%, 0.0001342%), (PG, 0, 15.77%, 0.0001317%), (PLTR, 0, 15.77%, 0.0001342%), (PG, 0, 15.77%, 0.0001317%), (PG, 0, 15.76%, 0.0001317%), (CVX, 0, 15.72%, 0.0001510%), (CVX, 0, 15.72%, 0.0001510%), (CVX, 0, 15.72%, 0.0001510%), (CVX, 0, 15.71%, 0.0001510%), (CVX, 0, 15.71%, 0.0001510%), (CVX, 0, 15.71%, 0.0001510%), (CVX, 0, 15.70%, 0.0001510%), (CVX, 0, 15.70%, 0.0001510%), (ABT, 0, 15.60%, 0.0001941%), (ABT, 0, 15.60%, 0.0001941%), (ABT, 0, 15.60%, 0.0001941%), (ABT, 0, 15.60%, 0.0001941%), (ABT, 0, 15.60%, 0.0001941%), (ABT, 0, 15.60%, 0.0001941%), (ABT, 0, 15.60%, 0.0001941%), (ABT, 0, 15.59%, 0.0001941%), (WMT, 0, 15.53%, 0.0000611%), (WMT, 0, 15.53%, 0.0000611%), (WMT, 0, 15.53%, 0.0000611%), (WMT, 0, 15.53%, 0.0000611%), (WMT, 0, 15.53%, 0.0000611%), (WMT, 0, 15.52%, 0.0000611%), (WMT, 0, 15.52%, 0.0000611%), (WMT, 0, 15.52%, 0.0000611%), (CAT, 0, 15.04%, 0.0002265%), (CAT, 0, 15.04%, 0.0002265%), (CAT, 0, 15.04%, 0.0002265%), (CAT, 0, 15.04%, 0.0002265%), (CAT, 0, 15.04%, 0.0002265%), (CAT, 0, 15.04%, 0.0002265%), (CAT, 0, 15.03%, 0.0002265%), (CAT, 0, 15.03%, 0.0002265%), (RTX, 0, 14.89%, 0.0002182%), (RTX, 0, 14.89%, 0.0002182%), (RTX, 0, 14.89%, 0.0002182%), (RTX, 0, 14.89%, 0.0002182%), (RTX, 0, 14.89%, 0.0002182%), (RTX, 0, 14.89%, 0.0002182%), (RTX, 0, 14.89%, 0.0002182%), (RTX, 0, 14.88%, 0.0002182%), (HD, 0, 13.58%, 0.0001106%), (HD, 0, 13.58%, 0.0001106%), (HD, 0, 13.58%, 0.0001106%), (HD, 0, 13.57%, 0.0001106%), (HD, 0, 13.57%, 0.0001106%), (HD, 0, 13.57%, 0.0001106%), (HD, 0, 13.57%, 0.0001106%), (HD, 0, 13.56%, 0.0001106%), (ABBV, 0, 13.27%, 0.0001215%), (ABBV, 0, 13.27%, 0.0001215%), (ABBV, 0, 13.26%, 0.0001215%), (ABBV, 0, 13.26%, 0.0001215%), (ABBV, 0, 13.26%, 0.0001215%), (ABBV, 0, 13.26%, 0.0001215%), (ABBV, 0, 13.26%, 0.0001215%), (ABBV, 0, 13.25%, 0.0001215%), (NKE, 0, 13.18%, 0.0003813%), (NKE, 0, 13.17%, 0.0003813%), (NKE, 0, 13.17%, 0.0003813%), (NKE, 0, 13.17%, 0.0003813%), (NKE, 0, 13.17%, 0.0003813%), (NKE, 0, 13.16%, 0.0003813%), (NKE, 0, 13.15%, 0.0003813%), (NKE, 0, 13.14%, 0.0003813%), (AMD, 0, 12.62%, 0.0001374%), (AMD, 0, 12.62%, 0.0001374%), (AMD, 0, 12.61%, 0.0001374%), (AMD, 0, 12.61%, 0.0001374%), (AMD, 0, 12.61%, 0.0001374%), (AMD, 0, 12.60%, 0.0001374%), (AMD, 0, 12.59%, 0.0001374%), (AMD, 0, 12.58%, 0.0001374%), (BAC, 0, 12.56%, 0.0001075%), (BAC, 0, 12.56%, 0.0001075%), (BAC, 0, 12.56%, 0.0001075%), (BAC, 0, 12.56%, 0.0001075%), (BAC, 0, 12.56%, 0.0001075%), (BAC, 0, 12.56%, 0.0001075%), (BAC, 0, 12.56%, 0.0001075%), (BAC, 0, 12.55%, 0.0001075%), (BA, 0, 12.50%, 0.0002162%), (BA, 0, 12.49%, 0.0002162%), (BA, 0, 12.49%, 0.0002162%), (BA, 0, 12.49%, 0.0002162%), (BA, 0, 12.49%, 0.0002162%), (BA, 0, 12.49%, 0.0002162%), (BA, 0, 12.48%, 0.0002162%), (BA, 0, 12.47%, 0.0002162%), (KO, 0, 12.44%, 0.0001294%), (KO, 0, 12.44%, 0.0001294%), (KO, 0, 12.44%, 0.0001294%), (KO, 0, 12.44%, 0.0001294%), (KO, 0, 12.44%, 0.0001294%), (KO, 0, 12.44%, 0.0001294%), (KO, 0, 12.44%, 0.0001294%), (KO, 0, 12.44%, 0.0001294%), (AXP, 0, 12.40%, 0.0001577%), (AXP, 0, 12.40%, 0.0001577%), (AXP, 0, 12.40%, 0.0001577%), (AXP, 0, 12.40%, 0.0001577%), (AXP, 0, 12.40%, 0.0001577%), (AXP, 0, 12.39%, 0.0001577%), (AXP, 0, 12.39%, 0.0001577%), (BLK, 0, 12.22%, 0.0001922%), (BLK, 0, 12.22%, 0.0001922%), (BLK, 0, 12.22%, 0.0001922%), (SO, 0, 12.08%, 0.0003555%), (SO, 0, 12.08%, 0.0003555%), (SO, 0, 12.08%, 0.0003555%), (SO, 0, 12.08%, 0.0003555%), (SO, 0, 12.08%, 0.0003555%), (SO, 0, 12.07%, 0.0003555%), (SO, 0, 12.07%, 0.0003555%), (SO, 0, 12.07%, 0.0003555%), (IBM, 0, 11.76%, 0.0001473%), (IBM, 0, 11.76%, 0.0001473%), (IBM, 0, 11.76%, 0.0001473%), (IBM, 0, 11.76%, 0.0001473%), (IBM, 0, 11.76%, 0.0001473%), (IBM, 0, 11.75%, 0.0001473%), (IBM, 0, 11.75%, 0.0001473%), (IBM, 0, 11.75%, 0.0001473%), (ACN, 0, 11.61%, 0.0001830%), (ACN, 0, 11.61%, 0.0001830%), (ACN, 0, 11.61%, 0.0001830%), (ACN, 0, 11.61%, 0.0001830%), (ACN, 0, 11.61%, 0.0001830%), (ACN, 0, 11.61%, 0.0001830%), (ACN, 0, 11.61%, 0.0001830%), (ACN, 0, 11.60%, 0.0001830%), (PM, 0, 11.49%, 0.0001434%), (PM, 0, 11.49%, 0.0001434%), (PM, 0, 11.49%, 0.0001434%), (PM, 0, 11.49%, 0.0001434%), (PM, 0, 11.49%, 0.0001434%), (PM, 0, 11.49%, 0.0001434%), (PM, 0, 11.49%, 0.0001434%), (PM, 0, 11.49%, 0.0001434%), (AMAT, 0, 11.39%, 0.0002054%), (AMAT, 0, 11.39%, 0.0002054%), (AMAT, 0, 11.39%, 0.0002054%), (AMAT, 0, 11.39%, 0.0002054%), (AMAT, 0, 11.39%, 0.0002054%), (AMAT, 0, 11.38%, 0.0002054%), (AMAT, 0, 11.38%, 0.0002054%), (AMAT, 0, 11.37%, 0.0002054%), (ISRG, 0, 11.23%, 0.0001944%), (ISRG, 0, 11.23%, 0.0001944%), (ISRG, 0, 11.23%, 0.0001944%), (ISRG, 0, 11.23%, 0.0001944%), (ISRG, 0, 11.23%, 0.0001944%), (ISRG, 0, 11.23%, 0.0001944%), (ISRG, 0, 11.22%, 0.0001944%), (ETN, 0, 11.16%, 0.0002231%), (ETN, 0, 11.16%, 0.0002231%), (ETN, 0, 11.16%, 0.0002231%), (ETN, 0, 11.16%, 0.0002231%), (ETN, 0, 11.16%, 0.0002231%), (ETN, 0, 11.15%, 0.0002231%), (ETN, 0, 11.15%, 0.0002231%), (QCOM, 0, 11.11%, 0.0001749%), (QCOM, 0, 11.11%, 0.0001749%), (QCOM, 0, 11.11%, 0.0001749%), (QCOM, 0, 11.11%, 0.0001749%), (QCOM, 0, 11.11%, 0.0001749%), (QCOM, 0, 11.10%, 0.0001749%), (QCOM, 0, 11.10%, 0.0001749%), (QCOM, 0, 11.09%, 0.0001749%), (WFC, 0, 10.84%, 0.0001240%), (WFC, 0, 10.84%, 0.0001240%), (WFC, 0, 10.84%, 0.0001240%), (WFC, 0, 10.84%, 0.0001240%), (WFC, 0, 10.84%, 0.0001240%), (WFC, 0, 10.84%, 0.0001240%), (WFC, 0, 10.84%, 0.0001240%), (WFC, 0, 10.84%, 0.0001240%), (INTU, 0, 10.74%, 0.0001497%), (INTU, 0, 10.74%, 0.0001497%), (INTU, 0, 10.74%, 0.0001497%), (INTU, 0, 10.74%, 0.0001497%), (INTU, 0, 10.74%, 0.0001497%), (INTU, 0, 10.74%, 0.0001497%), (GS, 0, 10.73%, 0.0001515%), (GS, 0, 10.73%, 0.0001515%), (GS, 0, 10.73%, 0.0001515%), (GS, 0, 10.73%, 0.0001515%), (GS, 0, 10.73%, 0.0001515%), (GS, 0, 10.72%, 0.0001515%), (DUK, 0, 10.68%, 0.0003549%), (HON, 0, 10.57%, 0.0002251%), (HON, 0, 10.57%, 0.0002251%), (HON, 0, 10.57%, 0.0002251%), (HON, 0, 10.57%, 0.0002251%), (HON, 0, 10.57%, 0.0002251%), (HON, 0, 10.56%, 0.0002251%), (HON, 0, 10.56%, 0.0002251%), (HON, 0, 10.55%, 0.0002251%), (UBER, 0, 10.45%, 0.0001697%), (UBER, 0, 10.45%, 0.0001697%), (UBER, 0, 10.45%, 0.0001697%), (UBER, 0, 10.45%, 0.0001697%), (UBER, 0, 10.44%, 0.0001697%), (UBER, 0, 10.44%, 0.0001697%), (UBER, 0, 10.44%, 0.0001697%), (UBER, 0, 10.44%, 0.0001697%), (MCD, 0, 10.31%, 0.0001495%), (MCD, 0, 10.31%, 0.0001495%), (MCD, 0, 10.31%, 0.0001495%), (MCD, 0, 10.31%, 0.0001495%), (MCD, 0, 10.31%, 0.0001495%), (MCD, 0, 10.31%, 0.0001495%), (MCD, 0, 10.30%, 0.0001495%), (MCD, 0, 10.30%, 0.0001495%), (MET, 0, 10.04%, 0.0005952%), (NOW, 0, 9.80%, 0.0001473%), (NOW, 0, 9.80%, 0.0001473%), (NOW, 0, 9.79%, 0.0001473%), (UNP, 0, 9.75%, 0.0002203%), (UNP, 0, 9.75%, 0.0002203%), (UNP, 0, 9.75%, 0.0002203%), (UNP, 0, 9.75%, 0.0002203%), (UNP, 0, 9.75%, 0.0002203%), (UNP, 0, 9.75%, 0.0002203%), (UNP, 0, 9.74%, 0.0002203%), (UNP, 0, 9.74%, 0.0002203%), (DE, 0, 9.33%, 0.0002069%), (DE, 0, 9.33%, 0.0002069%), (DE, 0, 9.33%, 0.0002069%), (DE, 0, 9.33%, 0.0002069%), (DE, 0, 9.33%, 0.0002069%), (DE, 0, 9.33%, 0.0002069%), (DE, 0, 9.33%, 0.0002069%), (PEP, 0, 9.11%, 0.0001440%), (PEP, 0, 9.11%, 0.0001440%), (PEP, 0, 9.11%, 0.0001440%), (PEP, 0, 9.11%, 0.0001440%), (PEP, 0, 9.11%, 0.0001440%), (PEP, 0, 9.11%, 0.0001440%), (PEP, 0, 9.11%, 0.0001440%), (PEP, 0, 9.11%, 0.0001440%), (T, 0, 8.53%, 0.0006174%), (T, 0, 8.53%, 0.0006174%), (T, 0, 8.53%, 0.0006174%), (T, 0, 8.53%, 0.0006174%), (T, 0, 8.53%, 0.0006174%), (T, 0, 8.53%, 0.0006174%), (T, 0, 8.53%, 0.0006174%), (T, 0, 8.53%, 0.0006174%), (MRK, 0, 8.45%, 0.0001231%), (MRK, 0, 8.45%, 0.0001231%), (MRK, 0, 8.45%, 0.0001231%), (MRK, 0, 8.45%, 0.0001231%), (MRK, 0, 8.45%, 0.0001231%), (MRK, 0, 8.44%, 0.0001231%), (MRK, 0, 8.44%, 0.0001231%), (MRK, 0, 8.44%, 0.0001231%), (MS, 0, 8.34%, 0.0001125%), (MS, 0, 8.34%, 0.0001125%), (MS, 0, 8.34%, 0.0001125%), (MS, 0, 8.34%, 0.0001125%), (MS, 0, 8.34%, 0.0001125%), (MS, 0, 8.34%, 0.0001125%), (MS, 0, 8.34%, 0.0001125%), (MS, 0, 8.34%, 0.0001125%), (SPGI, 0, 7.98%, 0.0001517%), (SPGI, 0, 7.98%, 0.0001517%), (SPGI, 0, 7.98%, 0.0001517%), (SPGI, 0, 7.98%, 0.0001517%), (SPGI, 0, 7.98%, 0.0001517%), (SPGI, 0, 7.98%, 0.0001517%), (ADBE, 0, 7.89%, 0.0001566%), (ADBE, 0, 7.89%, 0.0001566%), (ADBE, 0, 7.89%, 0.0001566%), (ADBE, 0, 7.89%, 0.0001566%), (ADBE, 0, 7.89%, 0.0001566%), (ADBE, 0, 7.89%, 0.0001566%), (ADBE, 0, 7.89%, 0.0001566%), (TXN, 0, 7.74%, 0.0001379%), (TXN, 0, 7.74%, 0.0001379%), (TXN, 0, 7.73%, 0.0001379%), (TXN, 0, 7.73%, 0.0001379%), (TXN, 0, 7.73%, 0.0001379%), (TXN, 0, 7.73%, 0.0001379%), (TXN, 0, 7.73%, 0.0001379%), (TXN, 0, 7.72%, 0.0001379%), (VZ, 0, 7.68%, 0.0001319%), (VZ, 0, 7.68%, 0.0001319%), (VZ, 0, 7.68%, 0.0001319%), (VZ, 0, 7.68%, 0.0001319%), (VZ, 0, 7.68%, 0.0001319%), (VZ, 0, 7.68%, 0.0001319%), (VZ, 0, 7.68%, 0.0001319%), (VZ, 0, 7.68%, 0.0001319%), (COP, 0, 7.56%, 0.0001916%), (COP, 0, 7.56%, 0.0001916%), (COP, 0, 7.56%, 0.0001916%), (COP, 0, 7.55%, 0.0001916%), (COP, 0, 7.55%, 0.0001916%), (COP, 0, 7.55%, 0.0001916%), (COP, 0, 7.55%, 0.0001916%), (COP, 0, 7.54%, 0.0001916%), (MDT, 0, 7.48%, 0.0001935%), (MDT, 0, 7.48%, 0.0001935%), (MDT, 0, 7.48%, 0.0001935%), (MDT, 0, 7.48%, 0.0001935%), (MDT, 0, 7.48%, 0.0001935%), (MDT, 0, 7.48%, 0.0001935%), (MDT, 0, 7.48%, 0.0001935%), (MDT, 0, 7.48%, 0.0001935%), (DIS, 0, 7.42%, 0.0001053%), (DIS, 0, 7.42%, 0.0001053%), (DIS, 0, 7.42%, 0.0001053%), (DIS, 0, 7.42%, 0.0001053%), (DIS, 0, 7.42%, 0.0001053%), (DIS, 0, 7.42%, 0.0001053%), (DIS, 0, 7.42%, 0.0001053%), (DIS, 0, 7.42%, 0.0001053%), (TMO, 0, 7.28%, 0.0001237%), (TMO, 0, 7.28%, 0.0001237%), (TMO, 0, 7.28%, 0.0001237%), (TMO, 0, 7.28%, 0.0001237%), (TMO, 0, 7.28%, 0.0001237%), (TMO, 0, 7.28%, 0.0001237%), (TMO, 0, 7.28%, 0.0001237%), (SBUX, 0, 7.11%, 0.0002024%), (SBUX, 0, 7.11%, 0.0002024%), (SBUX, 0, 7.11%, 0.0002024%), (SBUX, 0, 7.11%, 0.0002024%), (SBUX, 0, 7.10%, 0.0002024%), (SBUX, 0, 7.10%, 0.0002024%), (SBUX, 0, 7.10%, 0.0002024%), (SBUX, 0, 7.09%, 0.0002024%), (C, 0, 7.01%, 0.0001226%), (C, 0, 7.01%, 0.0001226%), (C, 0, 7.01%, 0.0001226%), (C, 0, 7.01%, 0.0001226%), (C, 0, 7.01%, 0.0001226%), (C, 0, 7.01%, 0.0001226%), (C, 0, 7.01%, 0.0001226%), (C, 0, 7.01%, 0.0001226%), (SCHW, 0, 6.88%, 0.0001192%), (SCHW, 0, 6.88%, 0.0001192%), (SCHW, 0, 6.88%, 0.0001192%), (SCHW, 0, 6.88%, 0.0001192%), (SCHW, 0, 6.88%, 0.0001192%), (SCHW, 0, 6.88%, 0.0001192%), (SCHW, 0, 6.88%, 0.0001192%), (SCHW, 0, 6.88%, 0.0001192%), (ELV, 0, 6.79%, 0.0002927%), (AMGN, 0, 6.45%, 0.0001213%), (AMGN, 0, 6.45%, 0.0001213%), (AMGN, 0, 6.45%, 0.0001213%), (AMGN, 0, 6.45%, 0.0001213%), (AMGN, 0, 6.45%, 0.0001213%), (AMGN, 0, 6.45%, 0.0001213%), (AMGN, 0, 6.45%, 0.0001213%), (LMT, 0, 6.40%, 0.0002004%), (LMT, 0, 6.40%, 0.0002004%), (LMT, 0, 6.40%, 0.0002004%), (LMT, 0, 6.40%, 0.0002004%), (LMT, 0, 6.40%, 0.0002004%), (LMT, 0, 6.40%, 0.0002004%), (LMT, 0, 6.40%, 0.0002004%), (EMR, 0, 6.10%, 0.0002227%), (EMR, 0, 6.10%, 0.0002227%), (EMR, 0, 6.10%, 0.0002227%), (EMR, 0, 6.10%, 0.0002227%), (EMR, 0, 6.10%, 0.0002227%), (EMR, 0, 6.10%, 0.0002227%), (EMR, 0, 6.10%, 0.0002227%), (EMR, 0, 6.10%, 0.0002227%), (MMM, 0, 5.96%, 0.0002253%), (MMM, 0, 5.96%, 0.0002253%), (MMM, 0, 5.95%, 0.0002253%), (MMM, 0, 5.95%, 0.0002253%), (MMM, 0, 5.95%, 0.0002253%), (MMM, 0, 5.95%, 0.0002253%), (MMM, 0, 5.95%, 0.0002253%), (MMM, 0, 5.95%, 0.0002253%), (GILD, 0, 5.58%, 0.0001219%), (GILD, 0, 5.58%, 0.0001219%), (GILD, 0, 5.58%, 0.0001219%), (GILD, 0, 5.58%, 0.0001219%), (GILD, 0, 5.58%, 0.0001219%), (GILD, 0, 5.58%, 0.0001219%), (GILD, 0, 5.58%, 0.0001219%), (GILD, 0, 5.58%, 0.0001219%), (PFE, 0, 5.50%, 0.0001211%), (PFE, 0, 5.50%, 0.0001211%), (PFE, 0, 5.50%, 0.0001211%), (PFE, 0, 5.50%, 0.0001211%), (PFE, 0, 5.50%, 0.0001211%), (PFE, 0, 5.50%, 0.0001211%), (PFE, 0, 5.50%, 0.0001211%), (PFE, 0, 5.50%, 0.0001211%), (DHR, 0, 5.19%, 0.0001106%), (DHR, 0, 5.19%, 0.0001106%), (DHR, 0, 5.19%, 0.0001106%), (DHR, 0, 5.19%, 0.0001106%), (DHR, 0, 5.19%, 0.0001106%), (DHR, 0, 5.19%, 0.0001106%), (DHR, 0, 5.19%, 0.0001106%), (TJX, 0, 5.15%, 0.0001123%), (TJX, 0, 5.15%, 0.0001123%), (TJX, 0, 5.15%, 0.0001123%), (TJX, 0, 5.15%, 0.0001123%), (TJX, 0, 5.15%, 0.0001123%), (TJX, 0, 5.15%, 0.0001123%), (TJX, 0, 5.15%, 0.0001123%), (TJX, 0, 5.15%, 0.0001123%), (BK, 0, 4.86%, 0.0017027%), (EBAY, 0, 4.85%, 0.0032936%), (CVS, 0, 4.77%, 0.0001918%), (CVS, 0, 4.77%, 0.0001918%), (CVS, 0, 4.77%, 0.0001918%), (CVS, 0, 4.77%, 0.0001918%), (CVS, 0, 4.77%, 0.0001918%), (CVS, 0, 4.77%, 0.0001918%), (CVS, 0, 4.76%, 0.0001918%), (CVS, 0, 4.76%, 0.0001918%), (LOW, 0, 4.70%, 0.0001121%), (LOW, 0, 4.70%, 0.0001121%), (LOW, 0, 4.70%, 0.0001121%), (LOW, 0, 4.70%, 0.0001121%), (LOW, 0, 4.70%, 0.0001121%), (MO, 0, 4.70%, 0.0001449%), (MO, 0, 4.70%, 0.0001449%), (MO, 0, 4.70%, 0.0001449%), (MO, 0, 4.70%, 0.0001449%), (MO, 0, 4.70%, 0.0001449%), (MO, 0, 4.70%, 0.0001449%), (LOW, 0, 4.70%, 0.0001121%), (MO, 0, 4.70%, 0.0001449%), (MO, 0, 4.70%, 0.0001449%), (LOW, 0, 4.70%, 0.0001121%), (RJF, 0, 4.54%, 0.0033127%), (MLI, 0, 4.43%, 0.0111455%), (MDLZ, 0, 4.37%, 0.0001488%), (MDLZ, 0, 4.37%, 0.0001488%), (MDLZ, 0, 4.37%, 0.0001488%), (MDLZ, 0, 4.37%, 0.0001488%), (MDLZ, 0, 4.37%, 0.0001488%), (MDLZ, 0, 4.37%, 0.0001488%), (MDLZ, 0, 4.37%, 0.0001488%), (MDLZ, 0, 4.37%, 0.0001488%), (CMCSA, 0, 4.35%, 0.0001098%), (CMCSA, 0, 4.35%, 0.0001098%), (CMCSA, 0, 4.35%, 0.0001098%), (CMCSA, 0, 4.35%, 0.0001098%), (CMCSA, 0, 4.35%, 0.0001098%), (CMCSA, 0, 4.35%, 0.0001098%), (CMCSA, 0, 4.35%, 0.0001098%), (CMCSA, 0, 4.35%, 0.0001098%), (UNM, 0, 4.34%, 0.0078068%), (EWBC, 0, 4.31%, 0.0074132%), (UPS, 0, 4.08%, 0.0001670%), (UPS, 0, 4.08%, 0.0001670%), (UPS, 0, 4.08%, 0.0001670%), (UPS, 0, 4.08%, 0.0001670%), (UPS, 0, 4.08%, 0.0001670%), (UPS, 0, 4.08%, 0.0001670%), (UPS, 0, 4.08%, 0.0001670%), (UPS, 0, 4.08%, 0.0001670%), (EA, 0, 4.07%, 0.0026431%), (INTC, 0, 4.04%, 0.0001274%), (INTC, 0, 4.04%, 0.0001274%), (INTC, 0, 4.04%, 0.0001274%), (INTC, 0, 4.04%, 0.0001274%), (INTC, 0, 4.04%, 0.0001274%), (INTC, 0, 4.04%, 0.0001274%), (INTC, 0, 4.04%, 0.0001274%), (INTC, 0, 4.04%, 0.0001274%), (PHM, 0, 3.99%, 0.0043029%), (ADP, 0, 3.96%, 0.0007808%), (KLAC, 0, 3.95%, 0.0007961%), (SNA, 0, 3.95%, 0.0056665%), (TRV, 0, 3.93%, 0.0016856%), (HIG, 0, 3.93%, 0.0028401%), (BMY, 0, 3.84%, 0.0001211%), (BMY, 0, 3.84%, 0.0001211%), (BMY, 0, 3.84%, 0.0001211%), (BMY, 0, 3.84%, 0.0001211%), (BMY, 0, 3.84%, 0.0001211%), (BMY, 0, 3.84%, 0.0001211%), (BMY, 0, 3.84%, 0.0001211%), (BMY, 0, 3.83%, 0.0001211%), (PCAR, 0, 3.80%, 0.0017797%), (ROST, 0, 3.74%, 0.0020247%), (CTSH, 0, 3.70%, 0.0024751%), (PYPL, 0, 3.69%, 0.0001551%), (PYPL, 0, 3.69%, 0.0001551%), (PYPL, 0, 3.69%, 0.0001551%), (PYPL, 0, 3.69%, 0.0001551%), (PYPL, 0, 3.69%, 0.0001551%), (PYPL, 0, 3.69%, 0.0001551%), (PYPL, 0, 3.69%, 0.0001551%), (PYPL, 0, 3.69%, 0.0001551%), (SYF, 0, 3.66%, 0.0034270%), (PAYC, 0, 3.52%, 0.0062478%), (LEN, 0, 3.32%, 0.0031175%), (BKR, 0, 3.31%, 0.0017816%), (WSM, 0, 3.19%, 0.0034313%), (CL, 0, 3.04%, 0.0001325%), (CL, 0, 3.04%, 0.0001325%), (CL, 0, 3.04%, 0.0001325%), (CL, 0, 3.04%, 0.0001325%), (CL, 0, 3.04%, 0.0001325%), (CL, 0, 3.04%, 0.0001325%), (CL, 0, 3.04%, 0.0001325%), (CL, 0, 3.04%, 0.0001325%), (FDX, 0, 2.98%, 0.0001601%), (FDX, 0, 2.98%, 0.0001601%), (FDX, 0, 2.98%, 0.0001601%), (FDX, 0, 2.98%, 0.0001601%), (FDX, 0, 2.97%, 0.0001601%), (FDX, 0, 2.97%, 0.0001601%), (USB, 0, 2.80%, 0.0001196%), (USB, 0, 2.80%, 0.0001196%), (USB, 0, 2.80%, 0.0001196%), (USB, 0, 2.80%, 0.0001196%), (USB, 0, 2.80%, 0.0001196%), (USB, 0, 2.80%, 0.0001196%), (USB, 0, 2.80%, 0.0001196%), (USB, 0, 2.80%, 0.0001196%), (DHI, 0, 2.76%, 0.0015747%), (ODFL, 0, 2.74%, 0.0019270%), (AFL, 0, 2.71%, 0.0012208%), (LRCX, 0, 2.44%, 0.0004848%), (MPWR, 0, 2.24%, 0.0015744%), (STT, 0, 2.24%, 0.0017550%), (CF, 0, 2.12%, 0.0034586%), (PNC, 0, 2.08%, 0.0006666%), (MTB, 0, 2.06%, 0.0016969%), (AMP, 0, 2.03%, 0.0010279%), (CSL, 0, 1.91%, 0.0026301%), (EOG, 0, 1.82%, 0.0006762%), (TGT, 0, 1.79%, 0.0001138%), (TGT, 0, 1.79%, 0.0001138%), (TGT, 0, 1.79%, 0.0001138%), (TGT, 0, 1.79%, 0.0001138%), (TGT, 0, 1.79%, 0.0001138%), (TGT, 0, 1.79%, 0.0001138%), (TGT, 0, 1.79%, 0.0001138%), (EG, 0, 1.68%, 0.0029571%), (GEV, 0, 1.31%, 0.0001843%), (NTRS, 0, 1.20%, 0.0012030%), (CRBG, 0, 1.14%, 0.0014511%), (DOV, 0, 1.01%, 0.0009697%), (ACM, 0, 1.00%, 0.0016256%), (SLM, 0, 0.99%, 0.0035978%), (WTFC, 0, 0.98%, 0.0027378%), (CINF, 0, 0.96%, 0.0010146%), (MCK, 0, 0.95%, 0.0002645%), (EQH, 0, 0.95%, 0.0014726%), (MTG, 0, 0.93%, 0.0039957%), (JXN, 0, 0.92%, 0.0036869%), (NUE, 0, 0.90%, 0.0006626%), (ALL, 0, 0.89%, 0.0004277%), (LNC, 0, 0.88%, 0.0032763%), (ADM, 0, 0.85%, 0.0007886%), (PGR, 0, 0.82%, 0.0001416%), (FANG, 0, 0.72%, 0.0004090%), (nan, 0, -0.00%, 0.0000000%), (nan, 0, -0.00%, 0.0000000%), (nan, 0, -0.00%, 0.0000000%), (nan, 0, -0.00%, 0.0000000%), (nan, 0, -0.00%, 0.0000000%), (nan, 0, -0.00%, 0.0000000%), (nan, 0, -0.01%, 0.0000000%), (nan, 0, -0.01%, 0.0000000%), (nan, 0, -0.01%, 0.0000000%), (nan, 0, -0.01%, 0.0000000%), (nan, 0, -0.01%, 0.0000000%), (nan, 0, -0.01%, 0.0000000%), (nan, 0, -0.01%, 0.0000000%), (nan, 0, -0.02%, 0.0000000%), (nan, 0, -0.02%, 0.0000000%), (nan, 0, -0.03%, 0.0000000%)</t>
  </si>
  <si>
    <t>(GOOGLE, 0, 3.56%, 0.0002288%), (AVGO, 0, 3.12%, 0.0003148%), (META, 0, 2.72%, 0.0002425%), (BRK/B, 0, 2.15%, 0.0004456%), (CSCO, 0, 1.82%, 0.0009436%), (LIN, 0, 1.79%, 0.0011303%), (AMT, 0, 1.76%, 0.0022871%), (JPM, 0, 1.67%, 0.0002829%), (TSLA, 0, 1.65%, 0.0002125%), (XOM, 0, 1.51%, 0.0004417%), (V, 0, 1.49%, 0.0003410%), (LLY, 0, 1.30%, 0.0002346%), (CB, 0, 1.14%, 0.0015015%), (MA, 0, 1.12%, 0.0003082%), (WM, 0, 1.09%, 0.0016430%), (GE, 0, 1.07%, 0.0005224%), (ORCL, 0, 0.98%, 0.0001944%), (NFLX, 0, 0.88%, 0.0002443%), (NEE, 0, 0.88%, 0.0008164%), (UNH, 0, 0.83%, 0.0004553%), (JNJ, 0, 0.82%, 0.0002812%), (PLTR, 0, 0.81%, 0.0003108%), (PG, 0, 0.81%, 0.0003051%), (CVX, 0, 0.80%, 0.0003497%), (WMT, 0, 0.80%, 0.0001415%), (COST, 0, 0.78%, 0.0002597%), (CAT, 0, 0.77%, 0.0005247%), (RTX, 0, 0.76%, 0.0005054%), (ABT, 0, 0.71%, 0.0004470%), (HD, 0, 0.69%, 0.0002561%), (ABBV, 0, 0.68%, 0.0002815%), (BAC, 0, 0.64%, 0.0002490%), (AMD, 0, 0.64%, 0.0003183%), (KO, 0, 0.64%, 0.0002997%), (BA, 0, 0.64%, 0.0005007%), (CRM, 0, 0.64%, 0.0003463%), (BKNG, 0, 0.63%, 0.0004840%), (NKE, 0, 0.62%, 0.0009260%), (SO, 0, 0.62%, 0.0008234%), (IBM, 0, 0.60%, 0.0003412%), (PM, 0, 0.59%, 0.0003321%), (ISRG, 0, 0.57%, 0.0004502%), (ETN, 0, 0.57%, 0.0005168%), (WFC, 0, 0.56%, 0.0002872%), (INTU, 0, 0.55%, 0.0003468%), (GS, 0, 0.55%, 0.0003508%), (DUK, 0, 0.55%, 0.0008220%), (HON, 0, 0.54%, 0.0005214%), (UBER, 0, 0.53%, 0.0003931%), (MET, 0, 0.52%, 0.0013786%), (MCD, 0, 0.51%, 0.0003320%), (UNP, 0, 0.50%, 0.0005159%), (NOW, 0, 0.50%, 0.0003413%), (DE, 0, 0.48%, 0.0004790%), (PEP, 0, 0.47%, 0.0003336%), (T, 0, 0.44%, 0.0014300%), (ACN, 0, 0.43%, 0.0003460%), (MRK, 0, 0.43%, 0.0002850%), (MS, 0, 0.43%, 0.0002605%), (AXP, 0, 0.42%, 0.0002707%), (SPGI, 0, 0.41%, 0.0003514%), (QCOM, 0, 0.41%, 0.0003277%), (ADBE, 0, 0.40%, 0.0003626%), (TXN, 0, 0.39%, 0.0003195%), (BLK, 0, 0.39%, 0.0003151%), (VZ, 0, 0.39%, 0.0003054%), (COP, 0, 0.39%, 0.0004437%), (MDT, 0, 0.38%, 0.0004481%), (DIS, 0, 0.38%, 0.0002440%), (TMO, 0, 0.37%, 0.0002867%), (SBUX, 0, 0.36%, 0.0004688%), (C, 0, 0.36%, 0.0002839%), (AMAT, 0, 0.36%, 0.0003294%), (SCHW, 0, 0.35%, 0.0002760%), (AMGN, 0, 0.33%, 0.0002810%), (LMT, 0, 0.33%, 0.0004641%), (EMR, 0, 0.31%, 0.0005158%), (MMM, 0, 0.30%, 0.0005218%), (GILD, 0, 0.29%, 0.0002824%), (PFE, 0, 0.28%, 0.0002805%), (DHR, 0, 0.27%, 0.0002561%), (TJX, 0, 0.26%, 0.0002600%), (CVS, 0, 0.24%, 0.0004443%), (MO, 0, 0.24%, 0.0003357%), (LOW, 0, 0.24%, 0.0002596%), (MDLZ, 0, 0.22%, 0.0003446%), (CMCSA, 0, 0.22%, 0.0002544%), (ELV, 0, 0.21%, 0.0004675%), (UPS, 0, 0.21%, 0.0003868%), (INTC, 0, 0.21%, 0.0002951%), (BMY, 0, 0.20%, 0.0002804%), (PYPL, 0, 0.19%, 0.0003591%), (CL, 0, 0.16%, 0.0003068%), (FDX, 0, 0.15%, 0.0003708%), (USB, 0, 0.14%, 0.0002770%), (TGT, 0, 0.09%, 0.0002634%), (nan, 0, -0.00%, 0.0000000%), (nan, 0, -0.01%, 0.0000000%)</t>
  </si>
  <si>
    <t>(GOOGLE, 0, 3.56%, 0.0001704%), (AVGO, 0, 3.11%, 0.0002345%), (META, 0, 2.71%, 0.0001806%), (BRK/B, 0, 2.14%, 0.0003319%), (CSCO, 0, 1.81%, 0.0007028%), (LIN, 0, 1.79%, 0.0008418%), (AMT, 0, 1.76%, 0.0017033%), (JPM, 0, 1.67%, 0.0002107%), (TSLA, 0, 1.65%, 0.0001582%), (XOM, 0, 1.51%, 0.0003290%), (V, 0, 1.48%, 0.0002540%), (LLY, 0, 1.30%, 0.0001747%), (CB, 0, 1.14%, 0.0011183%), (MA, 0, 1.12%, 0.0002296%), (WM, 0, 1.09%, 0.0012237%), (GE, 0, 1.07%, 0.0003891%), (ORCL, 0, 0.97%, 0.0001448%), (NFLX, 0, 0.88%, 0.0001820%), (NEE, 0, 0.88%, 0.0006080%), (UNH, 0, 0.83%, 0.0003391%), (JNJ, 0, 0.81%, 0.0002095%), (PLTR, 0, 0.81%, 0.0002315%), (PG, 0, 0.81%, 0.0002272%), (CVX, 0, 0.80%, 0.0002605%), (WMT, 0, 0.79%, 0.0001054%), (COST, 0, 0.78%, 0.0001936%), (CAT, 0, 0.77%, 0.0003908%), (RTX, 0, 0.76%, 0.0003764%), (ABT, 0, 0.70%, 0.0003329%), (HD, 0, 0.69%, 0.0001908%), (ABBV, 0, 0.68%, 0.0002097%), (BAC, 0, 0.64%, 0.0001855%), (AMD, 0, 0.64%, 0.0002371%), (KO, 0, 0.64%, 0.0002232%), (BA, 0, 0.64%, 0.0003728%), (CRM, 0, 0.64%, 0.0002579%), (BKNG, 0, 0.63%, 0.0003599%), (NKE, 0, 0.62%, 0.0006897%), (SO, 0, 0.62%, 0.0006133%), (IBM, 0, 0.60%, 0.0002541%), (PM, 0, 0.59%, 0.0002474%), (ISRG, 0, 0.57%, 0.0003354%), (ETN, 0, 0.57%, 0.0003848%), (WFC, 0, 0.55%, 0.0002139%), (INTU, 0, 0.55%, 0.0002582%), (GS, 0, 0.55%, 0.0002614%), (DUK, 0, 0.55%, 0.0006122%), (HON, 0, 0.54%, 0.0003883%), (UBER, 0, 0.53%, 0.0002927%), (MCD, 0, 0.52%, 0.0002535%), (MET, 0, 0.51%, 0.0010267%), (NOW, 0, 0.50%, 0.0002543%), (UNP, 0, 0.50%, 0.0003807%), (DE, 0, 0.48%, 0.0003570%), (PEP, 0, 0.47%, 0.0002485%), (T, 0, 0.44%, 0.0010651%), (ACN, 0, 0.43%, 0.0002577%), (MRK, 0, 0.43%, 0.0002123%), (MS, 0, 0.43%, 0.0001940%), (AXP, 0, 0.42%, 0.0002016%), (SPGI, 0, 0.41%, 0.0002619%), (QCOM, 0, 0.40%, 0.0002441%), (ADBE, 0, 0.40%, 0.0002702%), (TXN, 0, 0.39%, 0.0002379%), (VZ, 0, 0.39%, 0.0002275%), (BLK, 0, 0.39%, 0.0002344%), (COP, 0, 0.38%, 0.0003305%), (MDT, 0, 0.38%, 0.0003338%), (DIS, 0, 0.38%, 0.0001817%), (TMO, 0, 0.37%, 0.0002135%), (SBUX, 0, 0.36%, 0.0003492%), (C, 0, 0.36%, 0.0002114%), (AMAT, 0, 0.36%, 0.0002453%), (SCHW, 0, 0.35%, 0.0002056%), (AMGN, 0, 0.33%, 0.0002093%), (LMT, 0, 0.33%, 0.0003457%), (EMR, 0, 0.31%, 0.0003842%), (MMM, 0, 0.30%, 0.0003887%), (GILD, 0, 0.29%, 0.0002103%), (PFE, 0, 0.28%, 0.0002089%), (DHR, 0, 0.27%, 0.0001907%), (TJX, 0, 0.26%, 0.0001937%), (CVS, 0, 0.24%, 0.0003309%), (MO, 0, 0.24%, 0.0002500%), (LOW, 0, 0.24%, 0.0001933%), (MDLZ, 0, 0.22%, 0.0002567%), (CMCSA, 0, 0.22%, 0.0001895%), (ELV, 0, 0.21%, 0.0003483%), (UPS, 0, 0.21%, 0.0002880%), (INTC, 0, 0.21%, 0.0002198%), (BMY, 0, 0.20%, 0.0002088%), (PYPL, 0, 0.19%, 0.0002675%), (CL, 0, 0.16%, 0.0002285%), (FDX, 0, 0.15%, 0.0002763%), (USB, 0, 0.14%, 0.0002063%), (TGT, 0, 0.09%, 0.0001963%), (nan, 0, -0.00%, 0.0000000%), (nan, 0, -0.01%, 0.0000000%)</t>
  </si>
  <si>
    <t>(GOOGLE, 0, 3.59%, 0.0000399%), (AVGO, 0, 3.14%, 0.0000550%), (META, 0, 2.74%, 0.0000423%), (BRK/B, 0, 2.16%, 0.0000778%), (CSCO, 0, 1.83%, 0.0001647%), (LIN, 0, 1.80%, 0.0001972%), (AMT, 0, 1.77%, 0.0003992%), (JPM, 0, 1.68%, 0.0000494%), (TSLA, 0, 1.66%, 0.0000371%), (XOM, 0, 1.52%, 0.0000771%), (V, 0, 1.50%, 0.0000595%), (LLY, 0, 1.31%, 0.0000409%), (CB, 0, 1.15%, 0.0002620%), (MA, 0, 1.13%, 0.0000539%), (WM, 0, 1.10%, 0.0002867%), (GE, 0, 1.08%, 0.0000912%), (ORCL, 0, 0.98%, 0.0000340%), (NFLX, 0, 0.90%, 0.0000427%), (NEE, 0, 0.88%, 0.0001425%), (UNH, 0, 0.84%, 0.0000795%), (JNJ, 0, 0.82%, 0.0000491%), (PLTR, 0, 0.81%, 0.0000543%), (PG, 0, 0.81%, 0.0000533%), (CVX, 0, 0.81%, 0.0000611%), (WMT, 0, 0.80%, 0.0000247%), (COST, 0, 0.78%, 0.0000454%), (CAT, 0, 0.78%, 0.0000916%), (RTX, 0, 0.77%, 0.0000882%), (ABT, 0, 0.71%, 0.0000780%), (HD, 0, 0.70%, 0.0000447%), (ABBV, 0, 0.68%, 0.0000491%), (BAC, 0, 0.65%, 0.0000435%), (AMD, 0, 0.65%, 0.0000556%), (KO, 0, 0.64%, 0.0000523%), (BA, 0, 0.64%, 0.0000874%), (CRM, 0, 0.64%, 0.0000604%), (BKNG, 0, 0.63%, 0.0000838%), (NKE, 0, 0.63%, 0.0001616%), (SO, 0, 0.62%, 0.0001437%), (IBM, 0, 0.61%, 0.0000596%), (PM, 0, 0.59%, 0.0000579%), (ISRG, 0, 0.58%, 0.0000787%), (ETN, 0, 0.57%, 0.0000902%), (WFC, 0, 0.56%, 0.0000501%), (INTU, 0, 0.56%, 0.0000606%), (GS, 0, 0.56%, 0.0000613%), (DUK, 0, 0.55%, 0.0001435%), (HON, 0, 0.54%, 0.0000910%), (UBER, 0, 0.54%, 0.0000686%), (MET, 0, 0.52%, 0.0002406%), (NOW, 0, 0.51%, 0.0000596%), (UNP, 0, 0.49%, 0.0000863%), (DE, 0, 0.48%, 0.0000836%), (MCD, 0, 0.48%, 0.0000544%), (PEP, 0, 0.47%, 0.0000582%), (T, 0, 0.44%, 0.0002496%), (ACN, 0, 0.43%, 0.0000604%), (MRK, 0, 0.43%, 0.0000498%), (MS, 0, 0.43%, 0.0000455%), (AXP, 0, 0.42%, 0.0000473%), (SPGI, 0, 0.41%, 0.0000614%), (QCOM, 0, 0.41%, 0.0000572%), (ADBE, 0, 0.41%, 0.0000633%), (TXN, 0, 0.40%, 0.0000558%), (VZ, 0, 0.40%, 0.0000533%), (BLK, 0, 0.40%, 0.0000549%), (COP, 0, 0.39%, 0.0000774%), (MDT, 0, 0.39%, 0.0000782%), (DIS, 0, 0.38%, 0.0000426%), (TMO, 0, 0.37%, 0.0000500%), (SBUX, 0, 0.36%, 0.0000818%), (C, 0, 0.36%, 0.0000495%), (AMAT, 0, 0.36%, 0.0000575%), (SCHW, 0, 0.36%, 0.0000482%), (AMGN, 0, 0.33%, 0.0000490%), (LMT, 0, 0.33%, 0.0000808%), (EMR, 0, 0.32%, 0.0000901%), (MMM, 0, 0.31%, 0.0000911%), (GILD, 0, 0.29%, 0.0000493%), (PFE, 0, 0.28%, 0.0000490%), (DHR, 0, 0.27%, 0.0000447%), (TJX, 0, 0.27%, 0.0000454%), (CVS, 0, 0.24%, 0.0000775%), (MO, 0, 0.24%, 0.0000586%), (LOW, 0, 0.24%, 0.0000453%), (MDLZ, 0, 0.23%, 0.0000601%), (CMCSA, 0, 0.22%, 0.0000444%), (ELV, 0, 0.21%, 0.0000814%), (UPS, 0, 0.21%, 0.0000675%), (INTC, 0, 0.21%, 0.0000515%), (BMY, 0, 0.20%, 0.0000489%), (PYPL, 0, 0.19%, 0.0000627%), (CL, 0, 0.16%, 0.0000536%), (FDX, 0, 0.15%, 0.0000648%), (USB, 0, 0.14%, 0.0000483%), (TGT, 0, 0.09%, 0.0000460%), (nan, 0, -0.00%, 0.0000000%), (nan, 0, -0.01%, 0.0000000%)</t>
  </si>
  <si>
    <t>(GOOGLE, 0, 3.43%, 0.0000697%), (AVGO, 0, 3.00%, 0.0000959%), (META, 0, 2.62%, 0.0000739%), (BRK/B, 0, 2.07%, 0.0001358%), (CSCO, 0, 1.75%, 0.0002876%), (LIN, 0, 1.72%, 0.0003444%), (AMT, 0, 1.69%, 0.0006970%), (JPM, 0, 1.61%, 0.0000862%), (TSLA, 0, 1.59%, 0.0000647%), (XOM, 0, 1.46%, 0.0001346%), (V, 0, 1.43%, 0.0001039%), (LLY, 0, 1.25%, 0.0000715%), (CB, 0, 1.10%, 0.0004576%), (MA, 0, 1.08%, 0.0000939%), (WM, 0, 1.05%, 0.0005007%), (GE, 0, 1.03%, 0.0001592%), (ORCL, 0, 0.94%, 0.0000592%), (NFLX, 0, 0.85%, 0.0000746%), (NEE, 0, 0.84%, 0.0002488%), (UNH, 0, 0.80%, 0.0001388%), (JNJ, 0, 0.78%, 0.0000857%), (PLTR, 0, 0.78%, 0.0000947%), (PG, 0, 0.78%, 0.0000930%), (CVX, 0, 0.77%, 0.0001066%), (WMT, 0, 0.77%, 0.0000431%), (COST, 0, 0.75%, 0.0000792%), (CAT, 0, 0.74%, 0.0001599%), (RTX, 0, 0.74%, 0.0001540%), (ABT, 0, 0.68%, 0.0001362%), (HD, 0, 0.67%, 0.0000781%), (ABBV, 0, 0.65%, 0.0000858%), (BAC, 0, 0.62%, 0.0000759%), (AMD, 0, 0.62%, 0.0000970%), (BA, 0, 0.61%, 0.0001526%), (KO, 0, 0.61%, 0.0000913%), (CRM, 0, 0.61%, 0.0001056%), (NKE, 0, 0.60%, 0.0002822%), (BKNG, 0, 0.60%, 0.0001458%), (SO, 0, 0.60%, 0.0002510%), (IBM, 0, 0.58%, 0.0001040%), (PM, 0, 0.57%, 0.0001012%), (ISRG, 0, 0.55%, 0.0001371%), (ETN, 0, 0.55%, 0.0001575%), (WFC, 0, 0.53%, 0.0000875%), (INTU, 0, 0.53%, 0.0001058%), (GS, 0, 0.53%, 0.0001070%), (DUK, 0, 0.53%, 0.0002504%), (HON, 0, 0.52%, 0.0001589%), (UBER, 0, 0.51%, 0.0001198%), (MET, 0, 0.50%, 0.0004201%), (MCD, 0, 0.49%, 0.0001019%), (NOW, 0, 0.48%, 0.0001038%), (UNP, 0, 0.48%, 0.0001549%), (DE, 0, 0.46%, 0.0001461%), (PEP, 0, 0.45%, 0.0001017%), (T, 0, 0.42%, 0.0004358%), (ACN, 0, 0.42%, 0.0001055%), (MRK, 0, 0.42%, 0.0000869%), (MS, 0, 0.41%, 0.0000794%), (AXP, 0, 0.40%, 0.0000825%), (SPGI, 0, 0.39%, 0.0001070%), (QCOM, 0, 0.39%, 0.0000999%), (ADBE, 0, 0.39%, 0.0001106%), (BLK, 0, 0.38%, 0.0000962%), (TXN, 0, 0.38%, 0.0000974%), (VZ, 0, 0.38%, 0.0000931%), (COP, 0, 0.37%, 0.0001352%), (MDT, 0, 0.37%, 0.0001366%), (DIS, 0, 0.37%, 0.0000744%), (TMO, 0, 0.36%, 0.0000873%), (SBUX, 0, 0.35%, 0.0001429%), (C, 0, 0.35%, 0.0000865%), (AMAT, 0, 0.34%, 0.0001004%), (SCHW, 0, 0.34%, 0.0000841%), (AMGN, 0, 0.32%, 0.0000856%), (LMT, 0, 0.32%, 0.0001413%), (EMR, 0, 0.30%, 0.0001572%), (MMM, 0, 0.29%, 0.0001591%), (GILD, 0, 0.28%, 0.0000861%), (PFE, 0, 0.27%, 0.0000855%), (DHR, 0, 0.26%, 0.0000780%), (TJX, 0, 0.25%, 0.0000792%), (CVS, 0, 0.23%, 0.0001354%), (LOW, 0, 0.23%, 0.0000792%), (MO, 0, 0.23%, 0.0001023%), (MDLZ, 0, 0.22%, 0.0001050%), (CMCSA, 0, 0.21%, 0.0000775%), (ELV, 0, 0.21%, 0.0001426%), (UPS, 0, 0.20%, 0.0001179%), (INTC, 0, 0.20%, 0.0000899%), (BMY, 0, 0.19%, 0.0000855%), (PYPL, 0, 0.18%, 0.0001094%), (CL, 0, 0.15%, 0.0000935%), (FDX, 0, 0.15%, 0.0001132%), (USB, 0, 0.14%, 0.0000844%), (TGT, 0, 0.09%, 0.0000803%), (nan, 0, -0.00%, 0.0000000%), (nan, 0, -0.00%, 0.0000000%)</t>
  </si>
  <si>
    <t>(GOOGLE, 0, 3.50%, 0.0000253%), (AVGO, 0, 3.06%, 0.0000348%), (META, 0, 2.68%, 0.0000268%), (BRK/B, 0, 2.11%, 0.0000493%), (CSCO, 0, 1.79%, 0.0001042%), (LIN, 0, 1.76%, 0.0001249%), (AMT, 0, 1.73%, 0.0002527%), (JPM, 0, 1.64%, 0.0000312%), (TSLA, 0, 1.62%, 0.0000235%), (XOM, 0, 1.49%, 0.0000488%), (V, 0, 1.46%, 0.0000377%), (LLY, 0, 1.27%, 0.0000259%), (CB, 0, 1.12%, 0.0001659%), (MA, 0, 1.10%, 0.0000341%), (WM, 0, 1.07%, 0.0001814%), (GE, 0, 1.05%, 0.0000577%), (ORCL, 0, 0.96%, 0.0000215%), (NFLX, 0, 0.87%, 0.0000269%), (NEE, 0, 0.86%, 0.0000902%), (UNH, 0, 0.82%, 0.0000503%), (JNJ, 0, 0.80%, 0.0000311%), (PLTR, 0, 0.79%, 0.0000343%), (PG, 0, 0.79%, 0.0000337%), (CVX, 0, 0.79%, 0.0000386%), (WMT, 0, 0.78%, 0.0000156%), (COST, 0, 0.76%, 0.0000287%), (CAT, 0, 0.76%, 0.0000581%), (RTX, 0, 0.75%, 0.0000559%), (ABT, 0, 0.69%, 0.0000494%), (HD, 0, 0.68%, 0.0000283%), (ABBV, 0, 0.67%, 0.0000311%), (BAC, 0, 0.63%, 0.0000275%), (AMD, 0, 0.63%, 0.0000352%), (KO, 0, 0.63%, 0.0000331%), (BA, 0, 0.63%, 0.0000553%), (CRM, 0, 0.62%, 0.0000382%), (NKE, 0, 0.61%, 0.0001023%), (BKNG, 0, 0.61%, 0.0000527%), (SO, 0, 0.61%, 0.0000910%), (IBM, 0, 0.59%, 0.0000377%), (PM, 0, 0.58%, 0.0000367%), (ISRG, 0, 0.57%, 0.0000496%), (ETN, 0, 0.56%, 0.0000570%), (WFC, 0, 0.55%, 0.0000317%), (INTU, 0, 0.54%, 0.0000384%), (GS, 0, 0.54%, 0.0000387%), (DUK, 0, 0.54%, 0.0000909%), (HON, 0, 0.53%, 0.0000576%), (UNP, 0, 0.53%, 0.0000609%), (UBER, 0, 0.53%, 0.0000434%), (MCD, 0, 0.52%, 0.0000381%), (MET, 0, 0.51%, 0.0001523%), (NOW, 0, 0.49%, 0.0000375%), (DE, 0, 0.47%, 0.0000529%), (PEP, 0, 0.46%, 0.0000369%), (T, 0, 0.43%, 0.0001580%), (ACN, 0, 0.42%, 0.0000382%), (MRK, 0, 0.42%, 0.0000315%), (MS, 0, 0.42%, 0.0000288%), (AXP, 0, 0.41%, 0.0000299%), (SPGI, 0, 0.40%, 0.0000390%), (QCOM, 0, 0.40%, 0.0000362%), (ADBE, 0, 0.40%, 0.0000401%), (BLK, 0, 0.39%, 0.0000349%), (TXN, 0, 0.39%, 0.0000353%), (VZ, 0, 0.39%, 0.0000337%), (COP, 0, 0.38%, 0.0000490%), (MDT, 0, 0.38%, 0.0000495%), (DIS, 0, 0.37%, 0.0000270%), (TMO, 0, 0.37%, 0.0000317%), (SBUX, 0, 0.36%, 0.0000518%), (C, 0, 0.35%, 0.0000313%), (AMAT, 0, 0.35%, 0.0000364%), (SCHW, 0, 0.35%, 0.0000305%), (AMGN, 0, 0.33%, 0.0000310%), (LMT, 0, 0.32%, 0.0000514%), (EMR, 0, 0.31%, 0.0000570%), (MMM, 0, 0.30%, 0.0000576%), (GILD, 0, 0.28%, 0.0000312%), (PFE, 0, 0.28%, 0.0000310%), (DHR, 0, 0.26%, 0.0000283%), (TJX, 0, 0.26%, 0.0000288%), (CVS, 0, 0.24%, 0.0000491%), (LOW, 0, 0.24%, 0.0000287%), (MO, 0, 0.24%, 0.0000371%), (MDLZ, 0, 0.22%, 0.0000381%), (CMCSA, 0, 0.22%, 0.0000281%), (ELV, 0, 0.21%, 0.0000517%), (UPS, 0, 0.20%, 0.0000428%), (INTC, 0, 0.20%, 0.0000326%), (BMY, 0, 0.19%, 0.0000310%), (PYPL, 0, 0.18%, 0.0000397%), (CL, 0, 0.15%, 0.0000339%), (FDX, 0, 0.15%, 0.0000411%), (USB, 0, 0.14%, 0.0000306%), (TGT, 0, 0.09%, 0.0000290%), (nan, 0, -0.00%, 0.0000000%), (nan, 0, -0.00%, 0.0000000%)</t>
  </si>
  <si>
    <t>(GOOGLE, 0, 3.72%, 0.0000607%), (AVGO, 0, 3.26%, 0.0000835%), (META, 0, 2.83%, 0.0000643%), (BRK/B, 0, 2.24%, 0.0001182%), (CSCO, 0, 1.90%, 0.0002504%), (LIN, 0, 1.87%, 0.0002998%), (AMT, 0, 1.84%, 0.0006069%), (JPM, 0, 1.75%, 0.0000751%), (TSLA, 0, 1.72%, 0.0000564%), (XOM, 0, 1.58%, 0.0001172%), (V, 0, 1.55%, 0.0000905%), (LLY, 0, 1.36%, 0.0000622%), (CB, 0, 1.19%, 0.0003984%), (MA, 0, 1.17%, 0.0000818%), (WM, 0, 1.14%, 0.0004359%), (GE, 0, 1.12%, 0.0001386%), (ORCL, 0, 1.02%, 0.0000516%), (NFLX, 0, 0.92%, 0.0000649%), (NEE, 0, 0.92%, 0.0002166%), (UNH, 0, 0.87%, 0.0001208%), (JNJ, 0, 0.85%, 0.0000746%), (PLTR, 0, 0.84%, 0.0000825%), (PG, 0, 0.84%, 0.0000810%), (CVX, 0, 0.84%, 0.0000928%), (WMT, 0, 0.83%, 0.0000375%), (COST, 0, 0.81%, 0.0000688%), (CAT, 0, 0.80%, 0.0001392%), (RTX, 0, 0.80%, 0.0001341%), (ABT, 0, 0.74%, 0.0001186%), (HD, 0, 0.72%, 0.0000679%), (ABBV, 0, 0.71%, 0.0000747%), (BAC, 0, 0.67%, 0.0000661%), (AMD, 0, 0.67%, 0.0000844%), (KO, 0, 0.67%, 0.0000795%), (CRM, 0, 0.67%, 0.0000919%), (BA, 0, 0.67%, 0.0001329%), (BKNG, 0, 0.65%, 0.0001272%), (NKE, 0, 0.65%, 0.0002457%), (SO, 0, 0.65%, 0.0002185%), (IBM, 0, 0.63%, 0.0000905%), (PM, 0, 0.62%, 0.0000881%), (ISRG, 0, 0.60%, 0.0001196%), (ETN, 0, 0.60%, 0.0001372%), (MCD, 0, 0.58%, 0.0000973%), (WFC, 0, 0.58%, 0.0000762%), (GS, 0, 0.57%, 0.0000930%), (INTU, 0, 0.57%, 0.0000918%), (DUK, 0, 0.57%, 0.0002181%), (HON, 0, 0.56%, 0.0001383%), (UBER, 0, 0.56%, 0.0001043%), (MET, 0, 0.54%, 0.0003657%), (UNP, 0, 0.53%, 0.0001393%), (NOW, 0, 0.52%, 0.0000904%), (DE, 0, 0.50%, 0.0001273%), (PEP, 0, 0.49%, 0.0000885%), (T, 0, 0.46%, 0.0003794%), (ACN, 0, 0.45%, 0.0000918%), (MRK, 0, 0.45%, 0.0000756%), (MS, 0, 0.45%, 0.0000691%), (AXP, 0, 0.44%, 0.0000719%), (SPGI, 0, 0.43%, 0.0000931%), (QCOM, 0, 0.42%, 0.0000869%), (ADBE, 0, 0.42%, 0.0000963%), (TXN, 0, 0.41%, 0.0000847%), (VZ, 0, 0.41%, 0.0000810%), (BLK, 0, 0.41%, 0.0000833%), (COP, 0, 0.40%, 0.0001177%), (MDT, 0, 0.40%, 0.0001189%), (DIS, 0, 0.40%, 0.0000647%), (TMO, 0, 0.39%, 0.0000761%), (SBUX, 0, 0.38%, 0.0001244%), (C, 0, 0.38%, 0.0000753%), (AMAT, 0, 0.37%, 0.0000874%), (SCHW, 0, 0.37%, 0.0000732%), (AMGN, 0, 0.35%, 0.0000745%), (LMT, 0, 0.34%, 0.0001232%), (EMR, 0, 0.33%, 0.0001368%), (MMM, 0, 0.32%, 0.0001385%), (GILD, 0, 0.30%, 0.0000750%), (PFE, 0, 0.29%, 0.0000744%), (DHR, 0, 0.28%, 0.0000680%), (TJX, 0, 0.28%, 0.0000690%), (CVS, 0, 0.25%, 0.0001178%), (MO, 0, 0.25%, 0.0000891%), (LOW, 0, 0.25%, 0.0000688%), (MDLZ, 0, 0.23%, 0.0000914%), (CMCSA, 0, 0.23%, 0.0000675%), (ELV, 0, 0.22%, 0.0001242%), (UPS, 0, 0.22%, 0.0001026%), (INTC, 0, 0.22%, 0.0000783%), (BMY, 0, 0.20%, 0.0000744%), (PYPL, 0, 0.20%, 0.0000953%), (CL, 0, 0.16%, 0.0000814%), (FDX, 0, 0.16%, 0.0000983%), (USB, 0, 0.15%, 0.0000735%), (TGT, 0, 0.10%, 0.0000700%), (nan, 0, -0.00%, 0.0000000%), (nan, 0, -0.01%, 0.0000000%)</t>
  </si>
  <si>
    <t>BK, EBAY, MSFT, META, JPM, RJF, BKNG, BLK, GOOGLE, MLI, AMAT, UNM</t>
  </si>
  <si>
    <t>(EWBC, 0, 1.90%, 0.0074132%), (V, 0, 1.90%, 0.0001740%), (AXP, 0, 1.87%, 0.0004840%), (EA, 0, 1.80%, 0.0026431%), (PHM, 0, 1.76%, 0.0043029%), (ADP, 0, 1.75%, 0.0007808%), (KLAC, 0, 1.74%, 0.0007961%), (SNA, 0, 1.74%, 0.0056665%), (NVDA, 0, 1.74%, 0.0000227%), (TRV, 0, 1.74%, 0.0016856%), (HIG, 0, 1.73%, 0.0028401%), (PCAR, 0, 1.67%, 0.0017797%), (ROST, 0, 1.65%, 0.0020247%), (CTSH, 0, 1.63%, 0.0024751%), (CRM, 0, 1.63%, 0.0003557%), (SYF, 0, 1.62%, 0.0034270%), (CB, 0, 1.60%, 0.0008474%), (PAYC, 0, 1.55%, 0.0062478%), (LEN, 0, 1.47%, 0.0031175%), (BKR, 0, 1.46%, 0.0017816%), (WSM, 0, 1.41%, 0.0034313%), (ACN, 0, 1.41%, 0.0004521%), (QCOM, 0, 1.38%, 0.0004419%), (DHI, 0, 1.22%, 0.0015747%), (ODFL, 0, 1.21%, 0.0019270%), (AFL, 0, 1.20%, 0.0012208%), (AAPL, 0, 1.19%, 0.0000208%), (ELV, 0, 1.16%, 0.0010187%), (LRCX, 0, 1.08%, 0.0004848%), (CSCO, 0, 1.07%, 0.0002237%), (GE, 0, 1.04%, 0.0002023%), (MPWR, 0, 0.99%, 0.0015744%), (STT, 0, 0.99%, 0.0017550%), (CF, 0, 0.93%, 0.0034586%), (PNC, 0, 0.92%, 0.0006666%), (MTB, 0, 0.91%, 0.0016969%), (AMP, 0, 0.90%, 0.0010279%), (CSL, 0, 0.84%, 0.0026301%), (COST, 0, 0.83%, 0.0001106%), (XOM, 0, 0.82%, 0.0000962%), (EOG, 0, 0.80%, 0.0006762%), (ABT, 0, 0.80%, 0.0002029%), (EG, 0, 0.74%, 0.0029571%), (GEV, 0, 0.58%, 0.0001843%), (NTRS, 0, 0.53%, 0.0012030%), (CRBG, 0, 0.50%, 0.0014511%), (MA, 0, 0.49%, 0.0000533%), (JNJ, 0, 0.46%, 0.0000633%), (DOV, 0, 0.44%, 0.0009697%), (ACM, 0, 0.44%, 0.0016256%), (SLM, 0, 0.43%, 0.0035978%), (WTFC, 0, 0.43%, 0.0027378%), (CINF, 0, 0.42%, 0.0010146%), (MCK, 0, 0.42%, 0.0002645%), (EQH, 0, 0.42%, 0.0014726%), (MTG, 0, 0.41%, 0.0039957%), (JXN, 0, 0.41%, 0.0036869%), (NUE, 0, 0.40%, 0.0006626%), (NKE, 0, 0.40%, 0.0002332%), (ALL, 0, 0.39%, 0.0004277%), (LNC, 0, 0.39%, 0.0032763%), (ADM, 0, 0.37%, 0.0007886%), (PGR, 0, 0.36%, 0.0001416%), (FANG, 0, 0.32%, 0.0004090%)</t>
  </si>
  <si>
    <t>NVDA, MSFT, AAPL, AMZN, GOOGLE, AVGO</t>
  </si>
  <si>
    <t>(META, 0, 2.25%, 0.0000680%), (BRK/B, 0, 1.77%, 0.0001250%), (CSCO, 0, 1.50%, 0.0002646%), (LIN, 0, 1.48%, 0.0003170%), (AMT, 0, 1.45%, 0.0006415%), (JPM, 0, 1.38%, 0.0000794%), (TSLA, 0, 1.37%, 0.0000596%), (XOM, 0, 1.25%, 0.0001239%), (V, 0, 1.23%, 0.0000956%), (LLY, 0, 1.08%, 0.0000658%), (CB, 0, 0.94%, 0.0004210%), (MA, 0, 0.93%, 0.0000865%), (WM, 0, 0.90%, 0.0004607%), (GE, 0, 0.89%, 0.0001465%), (ORCL, 0, 0.81%, 0.0000545%), (NFLX, 0, 0.73%, 0.0000684%), (NEE, 0, 0.73%, 0.0002290%), (UNH, 0, 0.69%, 0.0001277%), (JNJ, 0, 0.67%, 0.0000789%), (PLTR, 0, 0.67%, 0.0000872%), (PG, 0, 0.67%, 0.0000856%), (CVX, 0, 0.66%, 0.0000981%), (WMT, 0, 0.66%, 0.0000397%), (COST, 0, 0.64%, 0.0000729%), (CAT, 0, 0.64%, 0.0001471%), (RTX, 0, 0.63%, 0.0001417%), (ABT, 0, 0.58%, 0.0001254%), (HD, 0, 0.57%, 0.0000718%), (ABBV, 0, 0.56%, 0.0000790%), (BAC, 0, 0.53%, 0.0000698%), (AMD, 0, 0.53%, 0.0000893%), (BA, 0, 0.53%, 0.0001404%), (KO, 0, 0.53%, 0.0000841%), (CRM, 0, 0.53%, 0.0000972%), (BKNG, 0, 0.52%, 0.0001365%), (NKE, 0, 0.52%, 0.0002597%), (SO, 0, 0.51%, 0.0002310%), (IBM, 0, 0.50%, 0.0000956%), (PM, 0, 0.49%, 0.0000931%), (ISRG, 0, 0.48%, 0.0001264%), (ETN, 0, 0.47%, 0.0001449%), (MCD, 0, 0.47%, 0.0001044%), (WFC, 0, 0.46%, 0.0000805%), (INTU, 0, 0.45%, 0.0000972%), (GS, 0, 0.45%, 0.0000984%), (DUK, 0, 0.45%, 0.0002305%), (HON, 0, 0.45%, 0.0001462%), (UBER, 0, 0.44%, 0.0001102%), (MET, 0, 0.43%, 0.0003866%), (UNP, 0, 0.42%, 0.0001453%), (NOW, 0, 0.42%, 0.0000957%), (DE, 0, 0.39%, 0.0001343%), (PEP, 0, 0.39%, 0.0000935%), (T, 0, 0.36%, 0.0004011%), (MRK, 0, 0.36%, 0.0000800%), (ACN, 0, 0.36%, 0.0000970%), (MS, 0, 0.35%, 0.0000730%), (AXP, 0, 0.35%, 0.0000759%), (SPGI, 0, 0.34%, 0.0000984%), (QCOM, 0, 0.34%, 0.0000919%), (ADBE, 0, 0.33%, 0.0001018%), (BLK, 0, 0.33%, 0.0000885%), (TXN, 0, 0.33%, 0.0000896%), (VZ, 0, 0.33%, 0.0000857%), (COP, 0, 0.32%, 0.0001244%), (MDT, 0, 0.32%, 0.0001257%), (DIS, 0, 0.31%, 0.0000684%), (TMO, 0, 0.31%, 0.0000804%), (SBUX, 0, 0.30%, 0.0001315%), (C, 0, 0.30%, 0.0000796%), (AMAT, 0, 0.29%, 0.0000924%), (SCHW, 0, 0.29%, 0.0000774%), (AMGN, 0, 0.27%, 0.0000788%), (LMT, 0, 0.27%, 0.0001301%), (EMR, 0, 0.26%, 0.0001446%), (MMM, 0, 0.25%, 0.0001465%), (GILD, 0, 0.24%, 0.0000792%), (PFE, 0, 0.23%, 0.0000787%), (DHR, 0, 0.22%, 0.0000718%), (TJX, 0, 0.22%, 0.0000730%), (CVS, 0, 0.20%, 0.0001246%), (MO, 0, 0.20%, 0.0000942%), (LOW, 0, 0.20%, 0.0000727%), (MDLZ, 0, 0.19%, 0.0000966%), (CMCSA, 0, 0.18%, 0.0000713%), (ELV, 0, 0.18%, 0.0001314%), (UPS, 0, 0.17%, 0.0001084%), (INTC, 0, 0.17%, 0.0000828%), (BMY, 0, 0.16%, 0.0000786%), (PYPL, 0, 0.16%, 0.0001007%), (CL, 0, 0.13%, 0.0000861%), (FDX, 0, 0.13%, 0.0001038%), (USB, 0, 0.12%, 0.0000777%), (TGT, 0, 0.08%, 0.0000739%), (nan, 0, -0.00%, 0.0000000%), (nan, 0, -0.00%, 0.0000000%)</t>
  </si>
  <si>
    <t>(GOOGLE, 0, 3.55%, 0.0001312%), (AVGO, 0, 3.11%, 0.0001806%), (META, 0, 2.72%, 0.0001391%), (BRK/B, 0, 2.14%, 0.0002556%), (CSCO, 0, 1.81%, 0.0005413%), (LIN, 0, 1.78%, 0.0006483%), (AMT, 0, 1.75%, 0.0013118%), (JPM, 0, 1.67%, 0.0001623%), (TSLA, 0, 1.65%, 0.0001219%), (XOM, 0, 1.51%, 0.0002534%), (V, 0, 1.48%, 0.0001956%), (LLY, 0, 1.30%, 0.0001345%), (CB, 0, 1.13%, 0.0008611%), (MA, 0, 1.12%, 0.0001768%), (WM, 0, 1.09%, 0.0009425%), (GE, 0, 1.07%, 0.0002996%), (ORCL, 0, 0.97%, 0.0001115%), (NFLX, 0, 0.88%, 0.0001402%), (NEE, 0, 0.87%, 0.0004683%), (UNH, 0, 0.83%, 0.0002612%), (JNJ, 0, 0.81%, 0.0001613%), (PLTR, 0, 0.81%, 0.0001783%), (PG, 0, 0.81%, 0.0001750%), (CVX, 0, 0.80%, 0.0002006%), (WMT, 0, 0.79%, 0.0000812%), (COST, 0, 0.78%, 0.0001489%), (CAT, 0, 0.77%, 0.0003010%), (RTX, 0, 0.76%, 0.0002899%), (ABT, 0, 0.70%, 0.0002564%), (HD, 0, 0.69%, 0.0001469%), (ABBV, 0, 0.68%, 0.0001615%), (BAC, 0, 0.64%, 0.0001428%), (AMD, 0, 0.64%, 0.0001826%), (KO, 0, 0.64%, 0.0001719%), (BA, 0, 0.64%, 0.0002872%), (CRM, 0, 0.64%, 0.0001986%), (BKNG, 0, 0.63%, 0.0002761%), (NKE, 0, 0.62%, 0.0005311%), (SO, 0, 0.62%, 0.0004723%), (IBM, 0, 0.60%, 0.0001957%), (PM, 0, 0.59%, 0.0001905%), (ISRG, 0, 0.57%, 0.0002584%), (ETN, 0, 0.57%, 0.0002964%), (MCD, 0, 0.57%, 0.0002147%), (WFC, 0, 0.55%, 0.0001647%), (INTU, 0, 0.55%, 0.0001987%), (GS, 0, 0.55%, 0.0002010%), (DUK, 0, 0.55%, 0.0004715%), (HON, 0, 0.54%, 0.0002991%), (UBER, 0, 0.53%, 0.0002255%), (MET, 0, 0.51%, 0.0007908%), (NOW, 0, 0.50%, 0.0001957%), (DE, 0, 0.48%, 0.0002748%), (UNP, 0, 0.47%, 0.0002788%), (PEP, 0, 0.47%, 0.0001914%), (T, 0, 0.44%, 0.0008203%), (MRK, 0, 0.43%, 0.0001635%), (ACN, 0, 0.43%, 0.0001984%), (MS, 0, 0.43%, 0.0001494%), (AXP, 0, 0.42%, 0.0001553%), (SPGI, 0, 0.41%, 0.0002015%), (QCOM, 0, 0.41%, 0.0001880%), (ADBE, 0, 0.40%, 0.0002081%), (TXN, 0, 0.39%, 0.0001832%), (VZ, 0, 0.39%, 0.0001752%), (BLK, 0, 0.39%, 0.0001808%), (COP, 0, 0.38%, 0.0002545%), (MDT, 0, 0.38%, 0.0002570%), (DIS, 0, 0.38%, 0.0001399%), (TMO, 0, 0.37%, 0.0001642%), (SBUX, 0, 0.36%, 0.0002689%), (C, 0, 0.36%, 0.0001629%), (AMAT, 0, 0.36%, 0.0001889%), (SCHW, 0, 0.35%, 0.0001583%), (AMGN, 0, 0.33%, 0.0001612%), (LMT, 0, 0.33%, 0.0002662%), (EMR, 0, 0.31%, 0.0002958%), (MMM, 0, 0.30%, 0.0002993%), (GILD, 0, 0.29%, 0.0001620%), (PFE, 0, 0.28%, 0.0001609%), (DHR, 0, 0.27%, 0.0001470%), (TJX, 0, 0.26%, 0.0001492%), (CVS, 0, 0.24%, 0.0002548%), (MO, 0, 0.24%, 0.0001925%), (LOW, 0, 0.24%, 0.0001489%), (MDLZ, 0, 0.22%, 0.0001976%), (CMCSA, 0, 0.22%, 0.0001459%), (ELV, 0, 0.21%, 0.0002682%), (UPS, 0, 0.21%, 0.0002219%), (INTC, 0, 0.21%, 0.0001693%), (BMY, 0, 0.20%, 0.0001608%), (PYPL, 0, 0.19%, 0.0002060%), (CL, 0, 0.16%, 0.0001760%), (FDX, 0, 0.15%, 0.0002128%), (USB, 0, 0.14%, 0.0001589%), (TGT, 0, 0.09%, 0.0001512%), (nan, 0, -0.00%, 0.0000000%), (nan, 0, -0.00%, 0.0000000%)</t>
  </si>
  <si>
    <t>(MSFT, 61115.0, 31,314,570.60), (MSFT, 61115.0, 31,311,370.60), (MSFT, 61115.0, 31,309,770.60), (MSFT, 61115.0, 31,308,970.60), (MSFT, 61115.0, 31,308,970.60), (MSFT, 61115.0, 31,301,770.60), (MSFT, 61115.0, 31,292,170.60), (MSFT, 61115.0, 31,282,570.60), (AAPL, 122705.0, 26,311,026.30), (AAPL, 122705.0, 26,306,738.30), (AAPL, 122705.0, 26,304,594.30), (AAPL, 122705.0, 26,303,522.30), (AAPL, 122705.0, 26,302,986.30), (AAPL, 122705.0, 26,293,338.30), (AAPL, 122705.0, 26,279,938.30), (AAPL, 122705.0, 26,267,610.30), (AMZN, 82952.0, 19,395,940.24), (AMZN, 82952.0, 19,392,570.24), (AMZN, 82952.0, 19,390,548.24), (AMZN, 82952.0, 19,389,874.24), (AMZN, 82952.0, 19,389,200.24), (AMZN, 82952.0, 19,380,438.24), (AMZN, 82952.0, 19,368,980.24), (AMZN, 82952.0, 19,358,196.24), (GOOGLE, 94417.0, 18,132,992.96), (AVGO, 51344.0, 14,971,057.28), (AVGO, 51344.0, 14,969,647.28), (AVGO, 51344.0, 14,968,707.28), (AVGO, 51344.0, 14,968,707.28), (AVGO, 51344.0, 14,968,237.28), (AVGO, 51344.0, 14,964,477.28), (AVGO, 51344.0, 14,959,777.28), (AVGO, 51344.0, 14,955,077.28), (META, 19851.0, 14,258,261.38), (META, 19851.0, 14,255,961.38), (META, 19851.0, 14,253,661.38), (META, 19851.0, 14,253,661.38), (META, 19851.0, 14,251,361.38), (META, 19851.0, 14,246,761.38), (META, 19851.0, 14,237,561.38), (META, 19851.0, 14,228,361.38), (BRK/B, 21219.0, 10,287,804.34), (BRK/B, 21219.0, 10,286,924.34), (BRK/B, 21219.0, 10,286,484.34), (BRK/B, 21219.0, 10,286,484.34), (BRK/B, 21219.0, 10,286,484.34), (BRK/B, 21219.0, 10,285,164.34), (BRK/B, 21219.0, 10,282,964.34), (BRK/B, 21219.0, 10,281,204.34), (CSCO, 137687.0, 9,296,536.24), (CSCO, 137687.0, 9,296,456.24), (CSCO, 137687.0, 9,296,406.24), (CSCO, 137687.0, 9,296,386.24), (CSCO, 137687.0, 9,296,376.24), (CSCO, 137687.0, 9,296,186.24), (CSCO, 137687.0, 9,295,916.24), (CSCO, 137687.0, 9,295,666.24), (JPM, 30722.0, 9,169,877.00), (JPM, 30722.0, 9,169,237.00), (JPM, 30722.0, 9,168,917.00), (JPM, 30722.0, 9,168,917.00), (JPM, 30722.0, 9,168,917.00), (JPM, 30722.0, 9,167,637.00), (JPM, 30722.0, 9,165,717.00), (JPM, 30722.0, 9,164,117.00), (LIN, 18228.0, 8,555,129.52), (AMT, 36981.0, 8,414,656.74)</t>
  </si>
  <si>
    <t>(MSFT, 0, 18.80%, 0.0000914%), (MSFT, 0, 18.80%, 0.0000914%), (MSFT, 0, 18.80%, 0.0000914%), (MSFT, 0, 18.80%, 0.0000914%), (MSFT, 0, 18.80%, 0.0000914%), (MSFT, 0, 18.79%, 0.0000914%), (MSFT, 0, 18.79%, 0.0000914%), (MSFT, 0, 18.78%, 0.0000914%), (AAPL, 0, 15.79%, 0.0000923%), (AAPL, 0, 15.79%, 0.0000923%), (AAPL, 0, 15.79%, 0.0000923%), (AAPL, 0, 15.79%, 0.0000923%), (AAPL, 0, 15.79%, 0.0000923%), (AAPL, 0, 15.78%, 0.0000923%), (AAPL, 0, 15.78%, 0.0000923%), (AAPL, 0, 15.77%, 0.0000923%), (AMZN, 0, 11.64%, 0.0000970%), (AMZN, 0, 11.64%, 0.0000970%), (AMZN, 0, 11.64%, 0.0000970%), (AMZN, 0, 11.64%, 0.0000970%), (AMZN, 0, 11.64%, 0.0000970%), (AMZN, 0, 11.63%, 0.0000970%), (AMZN, 0, 11.63%, 0.0000970%), (AMZN, 0, 11.62%, 0.0000970%), (GOOGLE, 0, 10.89%, 0.0000987%), (AVGO, 0, 8.99%, 0.0001359%), (AVGO, 0, 8.99%, 0.0001359%), (AVGO, 0, 8.99%, 0.0001359%), (AVGO, 0, 8.99%, 0.0001359%), (AVGO, 0, 8.99%, 0.0001359%), (AVGO, 0, 8.98%, 0.0001359%), (AVGO, 0, 8.98%, 0.0001359%), (AVGO, 0, 8.98%, 0.0001359%), (META, 0, 8.56%, 0.0001013%), (META, 0, 8.56%, 0.0001013%), (META, 0, 8.56%, 0.0001013%), (META, 0, 8.56%, 0.0001013%), (META, 0, 8.56%, 0.0001013%), (META, 0, 8.55%, 0.0001013%), (META, 0, 8.55%, 0.0001013%), (META, 0, 8.54%, 0.0001013%), (BRK/B, 0, 6.18%, 0.0001924%), (BRK/B, 0, 6.18%, 0.0001924%), (BRK/B, 0, 6.18%, 0.0001924%), (BRK/B, 0, 6.18%, 0.0001924%), (BRK/B, 0, 6.18%, 0.0001924%), (BRK/B, 0, 6.17%, 0.0001924%), (BRK/B, 0, 6.17%, 0.0001924%), (BRK/B, 0, 6.17%, 0.0001924%), (CSCO, 0, 5.58%, 0.0003870%), (CSCO, 0, 5.58%, 0.0003870%), (CSCO, 0, 5.58%, 0.0003870%), (CSCO, 0, 5.58%, 0.0003870%), (CSCO, 0, 5.58%, 0.0003870%), (CSCO, 0, 5.58%, 0.0003870%), (CSCO, 0, 5.58%, 0.0003870%), (CSCO, 0, 5.58%, 0.0003870%), (JPM, 0, 5.50%, 0.0001241%), (JPM, 0, 5.50%, 0.0001241%), (JPM, 0, 5.50%, 0.0001241%), (JPM, 0, 5.50%, 0.0001241%), (JPM, 0, 5.50%, 0.0001241%), (JPM, 0, 5.50%, 0.0001241%), (JPM, 0, 5.50%, 0.0001241%), (JPM, 0, 5.50%, 0.0001241%), (LIN, 0, 5.14%, 0.0004880%), (AMT, 0, 5.05%, 0.0009874%), (V, 0, 4.92%, 0.0001502%), (V, 0, 4.92%, 0.0001502%), (V, 0, 4.92%, 0.0001502%), (V, 0, 4.92%, 0.0001502%), (V, 0, 4.92%, 0.0001502%), (V, 0, 4.92%, 0.0001502%), (V, 0, 4.92%, 0.0001502%), (V, 0, 4.92%, 0.0001502%), (TSLA, 0, 4.79%, 0.0000917%), (TSLA, 0, 4.79%, 0.0000917%), (TSLA, 0, 4.79%, 0.0000917%), (TSLA, 0, 4.79%, 0.0000917%), (TSLA, 0, 4.79%, 0.0000917%), (TSLA, 0, 4.78%, 0.0000917%), (TSLA, 0, 4.78%, 0.0000917%), (TSLA, 0, 4.77%, 0.0000917%), (XOM, 0, 4.64%, 0.0001802%), (XOM, 0, 4.64%, 0.0001802%), (XOM, 0, 4.64%, 0.0001802%), (XOM, 0, 4.64%, 0.0001802%), (XOM, 0, 4.64%, 0.0001802%), (XOM, 0, 4.64%, 0.0001802%), (XOM, 0, 4.63%, 0.0001802%), (XOM, 0, 4.63%, 0.0001802%), (CB, 0, 3.80%, 0.0006704%), (LLY, 0, 3.75%, 0.0001013%), (LLY, 0, 3.75%, 0.0001013%), (LLY, 0, 3.75%, 0.0001013%), (LLY, 0, 3.75%, 0.0001013%), (LLY, 0, 3.75%, 0.0001013%), (LLY, 0, 3.74%, 0.0001013%), (LLY, 0, 3.74%, 0.0001013%), (LLY, 0, 3.74%, 0.0001013%), (GE, 0, 3.43%, 0.0002229%), (GE, 0, 3.43%, 0.0002229%), (GE, 0, 3.43%, 0.0002229%), (GE, 0, 3.43%, 0.0002229%), (GE, 0, 3.43%, 0.0002229%), (GE, 0, 3.43%, 0.0002229%), (GE, 0, 3.43%, 0.0002229%), (GE, 0, 3.43%, 0.0002229%), (MA, 0, 3.40%, 0.0001242%), (MA, 0, 3.40%, 0.0001242%), (MA, 0, 3.40%, 0.0001242%), (MA, 0, 3.40%, 0.0001242%), (MA, 0, 3.40%, 0.0001242%), (MA, 0, 3.40%, 0.0001242%), (MA, 0, 3.40%, 0.0001242%), (MA, 0, 3.40%, 0.0001242%), (WM, 0, 3.14%, 0.0007093%), (ORCL, 0, 2.81%, 0.0000839%), (ORCL, 0, 2.81%, 0.0000839%), (ORCL, 0, 2.81%, 0.0000839%), (ORCL, 0, 2.81%, 0.0000839%), (ORCL, 0, 2.81%, 0.0000839%), (ORCL, 0, 2.81%, 0.0000839%), (ORCL, 0, 2.81%, 0.0000839%), (ORCL, 0, 2.81%, 0.0000839%), (NFLX, 0, 2.55%, 0.0001055%), (NFLX, 0, 2.55%, 0.0001055%), (NFLX, 0, 2.55%, 0.0001055%), (NFLX, 0, 2.55%, 0.0001055%), (NFLX, 0, 2.54%, 0.0001055%), (NFLX, 0, 2.54%, 0.0001055%), (NEE, 0, 2.52%, 0.0003525%), (NEE, 0, 2.52%, 0.0003525%), (NEE, 0, 2.52%, 0.0003525%), (NEE, 0, 2.52%, 0.0003525%), (NEE, 0, 2.52%, 0.0003525%), (NEE, 0, 2.52%, 0.0003525%), (NEE, 0, 2.52%, 0.0003525%), (NEE, 0, 2.52%, 0.0003525%), (COST, 0, 2.51%, 0.0001120%), (COST, 0, 2.51%, 0.0001120%), (COST, 0, 2.51%, 0.0001120%), (COST, 0, 2.51%, 0.0001120%), (COST, 0, 2.51%, 0.0001120%), (COST, 0, 2.51%, 0.0001120%), (COST, 0, 2.51%, 0.0001120%), (JNJ, 0, 2.49%, 0.0001150%), (JNJ, 0, 2.49%, 0.0001150%), (JNJ, 0, 2.49%, 0.0001150%), (JNJ, 0, 2.49%, 0.0001150%), (JNJ, 0, 2.49%, 0.0001150%), (JNJ, 0, 2.49%, 0.0001150%), (JNJ, 0, 2.49%, 0.0001150%), (JNJ, 0, 2.49%, 0.0001150%), (BKNG, 0, 2.47%, 0.0002537%), (UNH, 0, 2.42%, 0.0001966%), (UNH, 0, 2.41%, 0.0001966%), (UNH, 0, 2.41%, 0.0001966%), (UNH, 0, 2.41%, 0.0001966%), (UNH, 0, 2.41%, 0.0001966%), (UNH, 0, 2.41%, 0.0001966%), (UNH, 0, 2.41%, 0.0001966%), (UNH, 0, 2.41%, 0.0001966%), (CRM, 0, 2.38%, 0.0001724%), (CRM, 0, 2.38%, 0.0001724%), (CRM, 0, 2.38%, 0.0001724%), (CRM, 0, 2.38%, 0.0001724%), (CRM, 0, 2.38%, 0.0001724%), (CRM, 0, 2.38%, 0.0001724%), (CRM, 0, 2.38%, 0.0001724%), (CRM, 0, 2.38%, 0.0001724%), (PLTR, 0, 2.33%, 0.0001342%), (PLTR, 0, 2.33%, 0.0001342%), (PLTR, 0, 2.33%, 0.0001342%), (PLTR, 0, 2.33%, 0.0001342%), (PLTR, 0, 2.33%, 0.0001342%), (PLTR, 0, 2.33%, 0.0001342%), (PG, 0, 2.32%, 0.0001317%), (PG, 0, 2.32%, 0.0001317%), (PG, 0, 2.32%, 0.0001317%), (PG, 0, 2.32%, 0.0001317%), (PG, 0, 2.32%, 0.0001317%), (PLTR, 0, 2.32%, 0.0001342%), (PG, 0, 2.32%, 0.0001317%), (PLTR, 0, 2.32%, 0.0001342%), (PG, 0, 2.32%, 0.0001317%), (PG, 0, 2.32%, 0.0001317%), (CVX, 0, 2.32%, 0.0001510%), (CVX, 0, 2.32%, 0.0001510%), (CVX, 0, 2.32%, 0.0001510%), (CVX, 0, 2.32%, 0.0001510%), (CVX, 0, 2.32%, 0.0001510%), (CVX, 0, 2.32%, 0.0001510%), (CVX, 0, 2.31%, 0.0001510%), (CVX, 0, 2.31%, 0.0001510%), (ABT, 0, 2.30%, 0.0001941%), (ABT, 0, 2.30%, 0.0001941%), (ABT, 0, 2.30%, 0.0001941%), (ABT, 0, 2.30%, 0.0001941%), (ABT, 0, 2.30%, 0.0001941%), (ABT, 0, 2.30%, 0.0001941%), (ABT, 0, 2.30%, 0.0001941%), (ABT, 0, 2.30%, 0.0001941%), (WMT, 0, 2.29%, 0.0000611%), (WMT, 0, 2.29%, 0.0000611%), (WMT, 0, 2.29%, 0.0000611%), (WMT, 0, 2.29%, 0.0000611%), (WMT, 0, 2.29%, 0.0000611%), (WMT, 0, 2.29%, 0.0000611%), (WMT, 0, 2.29%, 0.0000611%), (WMT, 0, 2.29%, 0.0000611%), (CAT, 0, 2.22%, 0.0002265%), (CAT, 0, 2.22%, 0.0002265%), (CAT, 0, 2.22%, 0.0002265%), (CAT, 0, 2.22%, 0.0002265%), (CAT, 0, 2.22%, 0.0002265%), (CAT, 0, 2.22%, 0.0002265%), (CAT, 0, 2.22%, 0.0002265%), (CAT, 0, 2.22%, 0.0002265%), (RTX, 0, 2.19%, 0.0002182%), (RTX, 0, 2.19%, 0.0002182%), (RTX, 0, 2.19%, 0.0002182%), (RTX, 0, 2.19%, 0.0002182%), (RTX, 0, 2.19%, 0.0002182%), (RTX, 0, 2.19%, 0.0002182%), (RTX, 0, 2.19%, 0.0002182%), (RTX, 0, 2.19%, 0.0002182%), (HD, 0, 2.00%, 0.0001106%), (HD, 0, 2.00%, 0.0001106%), (HD, 0, 2.00%, 0.0001106%), (HD, 0, 2.00%, 0.0001106%), (HD, 0, 2.00%, 0.0001106%), (HD, 0, 2.00%, 0.0001106%), (HD, 0, 2.00%, 0.0001106%), (HD, 0, 2.00%, 0.0001106%), (ABBV, 0, 1.96%, 0.0001215%), (ABBV, 0, 1.95%, 0.0001215%), (ABBV, 0, 1.95%, 0.0001215%), (ABBV, 0, 1.95%, 0.0001215%), (ABBV, 0, 1.95%, 0.0001215%), (ABBV, 0, 1.95%, 0.0001215%), (ABBV, 0, 1.95%, 0.0001215%), (ABBV, 0, 1.95%, 0.0001215%), (NKE, 0, 1.94%, 0.0003813%), (NKE, 0, 1.94%, 0.0003813%), (NKE, 0, 1.94%, 0.0003813%), (NKE, 0, 1.94%, 0.0003813%), (NKE, 0, 1.94%, 0.0003813%), (NKE, 0, 1.94%, 0.0003813%), (NKE, 0, 1.94%, 0.0003813%), (NKE, 0, 1.94%, 0.0003813%), (AMD, 0, 1.86%, 0.0001374%), (AMD, 0, 1.86%, 0.0001374%), (AMD, 0, 1.86%, 0.0001374%), (AMD, 0, 1.86%, 0.0001374%), (AMD, 0, 1.86%, 0.0001374%), (AMD, 0, 1.86%, 0.0001374%), (AMD, 0, 1.86%, 0.0001374%), (AMD, 0, 1.85%, 0.0001374%), (BAC, 0, 1.85%, 0.0001075%), (BAC, 0, 1.85%, 0.0001075%), (BAC, 0, 1.85%, 0.0001075%), (BAC, 0, 1.85%, 0.0001075%), (BAC, 0, 1.85%, 0.0001075%), (BAC, 0, 1.85%, 0.0001075%), (BAC, 0, 1.85%, 0.0001075%), (BAC, 0, 1.85%, 0.0001075%), (BA, 0, 1.84%, 0.0002162%), (BA, 0, 1.84%, 0.0002162%), (BA, 0, 1.84%, 0.0002162%), (BA, 0, 1.84%, 0.0002162%), (BA, 0, 1.84%, 0.0002162%), (BA, 0, 1.84%, 0.0002162%), (BA, 0, 1.84%, 0.0002162%), (BA, 0, 1.84%, 0.0002162%), (KO, 0, 1.83%, 0.0001294%), (KO, 0, 1.83%, 0.0001294%), (KO, 0, 1.83%, 0.0001294%), (KO, 0, 1.83%, 0.0001294%), (KO, 0, 1.83%, 0.0001294%), (KO, 0, 1.83%, 0.0001294%), (KO, 0, 1.83%, 0.0001294%), (KO, 0, 1.83%, 0.0001294%), (AXP, 0, 1.83%, 0.0001577%), (AXP, 0, 1.83%, 0.0001577%), (AXP, 0, 1.83%, 0.0001577%), (AXP, 0, 1.83%, 0.0001577%), (AXP, 0, 1.83%, 0.0001577%), (AXP, 0, 1.83%, 0.0001577%), (AXP, 0, 1.83%, 0.0001577%), (BLK, 0, 1.80%, 0.0001922%), (BLK, 0, 1.80%, 0.0001922%), (BLK, 0, 1.80%, 0.0001922%), (SO, 0, 1.78%, 0.0003555%), (SO, 0, 1.78%, 0.0003555%), (SO, 0, 1.78%, 0.0003555%), (SO, 0, 1.78%, 0.0003555%), (SO, 0, 1.78%, 0.0003555%), (SO, 0, 1.78%, 0.0003555%), (SO, 0, 1.78%, 0.0003555%), (SO, 0, 1.78%, 0.0003555%), (IBM, 0, 1.73%, 0.0001473%), (IBM, 0, 1.73%, 0.0001473%), (IBM, 0, 1.73%, 0.0001473%), (IBM, 0, 1.73%, 0.0001473%), (IBM, 0, 1.73%, 0.0001473%), (IBM, 0, 1.73%, 0.0001473%), (IBM, 0, 1.73%, 0.0001473%), (IBM, 0, 1.73%, 0.0001473%), (ACN, 0, 1.71%, 0.0001830%), (ACN, 0, 1.71%, 0.0001830%), (ACN, 0, 1.71%, 0.0001830%), (ACN, 0, 1.71%, 0.0001830%), (ACN, 0, 1.71%, 0.0001830%), (ACN, 0, 1.71%, 0.0001830%), (ACN, 0, 1.71%, 0.0001830%), (ACN, 0, 1.71%, 0.0001830%), (PM, 0, 1.69%, 0.0001434%), (PM, 0, 1.69%, 0.0001434%), (PM, 0, 1.69%, 0.0001434%), (PM, 0, 1.69%, 0.0001434%), (PM, 0, 1.69%, 0.0001434%), (PM, 0, 1.69%, 0.0001434%), (PM, 0, 1.69%, 0.0001434%), (PM, 0, 1.69%, 0.0001434%), (AMAT, 0, 1.68%, 0.0002054%), (AMAT, 0, 1.68%, 0.0002054%), (AMAT, 0, 1.68%, 0.0002054%), (AMAT, 0, 1.68%, 0.0002054%), (AMAT, 0, 1.68%, 0.0002054%), (AMAT, 0, 1.68%, 0.0002054%), (AMAT, 0, 1.68%, 0.0002054%), (AMAT, 0, 1.68%, 0.0002054%), (ISRG, 0, 1.66%, 0.0001944%), (ISRG, 0, 1.66%, 0.0001944%), (ISRG, 0, 1.66%, 0.0001944%), (ISRG, 0, 1.66%, 0.0001944%), (ISRG, 0, 1.65%, 0.0001944%), (ISRG, 0, 1.65%, 0.0001944%), (ISRG, 0, 1.65%, 0.0001944%), (ETN, 0, 1.64%, 0.0002231%), (ETN, 0, 1.64%, 0.0002231%), (ETN, 0, 1.64%, 0.0002231%), (ETN, 0, 1.64%, 0.0002231%), (ETN, 0, 1.64%, 0.0002231%), (ETN, 0, 1.64%, 0.0002231%), (ETN, 0, 1.64%, 0.0002231%), (QCOM, 0, 1.64%, 0.0001749%), (QCOM, 0, 1.64%, 0.0001749%), (QCOM, 0, 1.64%, 0.0001749%), (QCOM, 0, 1.64%, 0.0001749%), (QCOM, 0, 1.64%, 0.0001749%), (QCOM, 0, 1.64%, 0.0001749%), (QCOM, 0, 1.64%, 0.0001749%), (QCOM, 0, 1.63%, 0.0001749%), (WFC, 0, 1.60%, 0.0001240%), (WFC, 0, 1.60%, 0.0001240%), (WFC, 0, 1.60%, 0.0001240%), (WFC, 0, 1.60%, 0.0001240%), (WFC, 0, 1.60%, 0.0001240%), (WFC, 0, 1.60%, 0.0001240%), (WFC, 0, 1.60%, 0.0001240%), (WFC, 0, 1.60%, 0.0001240%), (INTU, 0, 1.58%, 0.0001497%), (INTU, 0, 1.58%, 0.0001497%), (INTU, 0, 1.58%, 0.0001497%), (INTU, 0, 1.58%, 0.0001497%), (INTU, 0, 1.58%, 0.0001497%), (INTU, 0, 1.58%, 0.0001497%), (GS, 0, 1.58%, 0.0001515%), (GS, 0, 1.58%, 0.0001515%), (GS, 0, 1.58%, 0.0001515%), (GS, 0, 1.58%, 0.0001515%), (GS, 0, 1.58%, 0.0001515%), (GS, 0, 1.58%, 0.0001515%), (DUK, 0, 1.57%, 0.0003549%), (HON, 0, 1.56%, 0.0002251%), (HON, 0, 1.56%, 0.0002251%), (HON, 0, 1.56%, 0.0002251%), (HON, 0, 1.56%, 0.0002251%), (HON, 0, 1.56%, 0.0002251%), (HON, 0, 1.56%, 0.0002251%), (HON, 0, 1.56%, 0.0002251%), (HON, 0, 1.56%, 0.0002251%), (UBER, 0, 1.54%, 0.0001697%), (UBER, 0, 1.54%, 0.0001697%), (UBER, 0, 1.54%, 0.0001697%), (UBER, 0, 1.54%, 0.0001697%), (UBER, 0, 1.54%, 0.0001697%), (UBER, 0, 1.54%, 0.0001697%), (UBER, 0, 1.54%, 0.0001697%), (UBER, 0, 1.54%, 0.0001697%), (MCD, 0, 1.52%, 0.0001495%), (MCD, 0, 1.52%, 0.0001495%), (MCD, 0, 1.52%, 0.0001495%), (MCD, 0, 1.52%, 0.0001495%), (MCD, 0, 1.52%, 0.0001495%), (MCD, 0, 1.52%, 0.0001495%), (MCD, 0, 1.52%, 0.0001495%), (MCD, 0, 1.52%, 0.0001495%), (MET, 0, 1.48%, 0.0005952%), (NOW, 0, 1.44%, 0.0001473%), (NOW, 0, 1.44%, 0.0001473%), (NOW, 0, 1.44%, 0.0001473%), (UNP, 0, 1.44%, 0.0002203%), (UNP, 0, 1.44%, 0.0002203%), (UNP, 0, 1.44%, 0.0002203%), (UNP, 0, 1.44%, 0.0002203%), (UNP, 0, 1.44%, 0.0002203%), (UNP, 0, 1.44%, 0.0002203%), (UNP, 0, 1.44%, 0.0002203%), (UNP, 0, 1.44%, 0.0002203%), (DE, 0, 1.38%, 0.0002069%), (DE, 0, 1.38%, 0.0002069%), (DE, 0, 1.38%, 0.0002069%), (DE, 0, 1.38%, 0.0002069%), (DE, 0, 1.38%, 0.0002069%), (DE, 0, 1.38%, 0.0002069%), (DE, 0, 1.37%, 0.0002069%), (PEP, 0, 1.34%, 0.0001440%), (PEP, 0, 1.34%, 0.0001440%), (PEP, 0, 1.34%, 0.0001440%), (PEP, 0, 1.34%, 0.0001440%), (PEP, 0, 1.34%, 0.0001440%), (PEP, 0, 1.34%, 0.0001440%), (PEP, 0, 1.34%, 0.0001440%), (PEP, 0, 1.34%, 0.0001440%), (T, 0, 1.26%, 0.0006174%), (T, 0, 1.26%, 0.0006174%), (T, 0, 1.26%, 0.0006174%), (T, 0, 1.26%, 0.0006174%), (T, 0, 1.26%, 0.0006174%), (T, 0, 1.26%, 0.0006174%), (T, 0, 1.26%, 0.0006174%), (T, 0, 1.26%, 0.0006174%), (MRK, 0, 1.25%, 0.0001231%), (MRK, 0, 1.25%, 0.0001231%), (MRK, 0, 1.24%, 0.0001231%), (MRK, 0, 1.24%, 0.0001231%), (MRK, 0, 1.24%, 0.0001231%), (MRK, 0, 1.24%, 0.0001231%), (MRK, 0, 1.24%, 0.0001231%), (MRK, 0, 1.24%, 0.0001231%), (MS, 0, 1.23%, 0.0001125%), (MS, 0, 1.23%, 0.0001125%), (MS, 0, 1.23%, 0.0001125%), (MS, 0, 1.23%, 0.0001125%), (MS, 0, 1.23%, 0.0001125%), (MS, 0, 1.23%, 0.0001125%), (MS, 0, 1.23%, 0.0001125%), (MS, 0, 1.23%, 0.0001125%), (SPGI, 0, 1.18%, 0.0001517%), (SPGI, 0, 1.18%, 0.0001517%), (SPGI, 0, 1.18%, 0.0001517%), (SPGI, 0, 1.18%, 0.0001517%), (SPGI, 0, 1.18%, 0.0001517%), (SPGI, 0, 1.18%, 0.0001517%), (ADBE, 0, 1.16%, 0.0001566%), (ADBE, 0, 1.16%, 0.0001566%), (ADBE, 0, 1.16%, 0.0001566%), (ADBE, 0, 1.16%, 0.0001566%), (ADBE, 0, 1.16%, 0.0001566%), (ADBE, 0, 1.16%, 0.0001566%), (ADBE, 0, 1.16%, 0.0001566%), (TXN, 0, 1.14%, 0.0001379%), (TXN, 0, 1.14%, 0.0001379%), (TXN, 0, 1.14%, 0.0001379%), (TXN, 0, 1.14%, 0.0001379%), (TXN, 0, 1.14%, 0.0001379%), (TXN, 0, 1.14%, 0.0001379%), (TXN, 0, 1.14%, 0.0001379%), (TXN, 0, 1.14%, 0.0001379%), (VZ, 0, 1.13%, 0.0001319%), (VZ, 0, 1.13%, 0.0001319%), (VZ, 0, 1.13%, 0.0001319%), (VZ, 0, 1.13%, 0.0001319%), (VZ, 0, 1.13%, 0.0001319%), (VZ, 0, 1.13%, 0.0001319%), (VZ, 0, 1.13%, 0.0001319%), (VZ, 0, 1.13%, 0.0001319%), (COP, 0, 1.11%, 0.0001916%), (COP, 0, 1.11%, 0.0001916%), (COP, 0, 1.11%, 0.0001916%), (COP, 0, 1.11%, 0.0001916%), (COP, 0, 1.11%, 0.0001916%), (COP, 0, 1.11%, 0.0001916%), (COP, 0, 1.11%, 0.0001916%), (COP, 0, 1.11%, 0.0001916%), (MDT, 0, 1.10%, 0.0001935%), (MDT, 0, 1.10%, 0.0001935%), (MDT, 0, 1.10%, 0.0001935%), (MDT, 0, 1.10%, 0.0001935%), (MDT, 0, 1.10%, 0.0001935%), (MDT, 0, 1.10%, 0.0001935%), (MDT, 0, 1.10%, 0.0001935%), (MDT, 0, 1.10%, 0.0001935%), (DIS, 0, 1.09%, 0.0001053%), (DIS, 0, 1.09%, 0.0001053%), (DIS, 0, 1.09%, 0.0001053%), (DIS, 0, 1.09%, 0.0001053%), (DIS, 0, 1.09%, 0.0001053%), (DIS, 0, 1.09%, 0.0001053%), (DIS, 0, 1.09%, 0.0001053%), (DIS, 0, 1.09%, 0.0001053%), (TMO, 0, 1.07%, 0.0001237%), (TMO, 0, 1.07%, 0.0001237%), (TMO, 0, 1.07%, 0.0001237%), (TMO, 0, 1.07%, 0.0001237%), (TMO, 0, 1.07%, 0.0001237%), (TMO, 0, 1.07%, 0.0001237%), (TMO, 0, 1.07%, 0.0001237%), (SBUX, 0, 1.05%, 0.0002024%), (SBUX, 0, 1.05%, 0.0002024%), (SBUX, 0, 1.05%, 0.0002024%), (SBUX, 0, 1.05%, 0.0002024%), (SBUX, 0, 1.05%, 0.0002024%), (SBUX, 0, 1.05%, 0.0002024%), (SBUX, 0, 1.05%, 0.0002024%), (SBUX, 0, 1.04%, 0.0002024%), (C, 0, 1.03%, 0.0001226%), (C, 0, 1.03%, 0.0001226%), (C, 0, 1.03%, 0.0001226%), (C, 0, 1.03%, 0.0001226%), (C, 0, 1.03%, 0.0001226%), (C, 0, 1.03%, 0.0001226%), (C, 0, 1.03%, 0.0001226%), (C, 0, 1.03%, 0.0001226%), (SCHW, 0, 1.01%, 0.0001192%), (SCHW, 0, 1.01%, 0.0001192%), (SCHW, 0, 1.01%, 0.0001192%), (SCHW, 0, 1.01%, 0.0001192%), (SCHW, 0, 1.01%, 0.0001192%), (SCHW, 0, 1.01%, 0.0001192%), (SCHW, 0, 1.01%, 0.0001192%), (SCHW, 0, 1.01%, 0.0001192%), (ELV, 0, 1.00%, 0.0002927%), (AMGN, 0, 0.95%, 0.0001213%), (AMGN, 0, 0.95%, 0.0001213%), (AMGN, 0, 0.95%, 0.0001213%), (AMGN, 0, 0.95%, 0.0001213%), (AMGN, 0, 0.95%, 0.0001213%), (AMGN, 0, 0.95%, 0.0001213%), (AMGN, 0, 0.95%, 0.0001213%), (LMT, 0, 0.94%, 0.0002004%), (LMT, 0, 0.94%, 0.0002004%), (LMT, 0, 0.94%, 0.0002004%), (LMT, 0, 0.94%, 0.0002004%), (LMT, 0, 0.94%, 0.0002004%), (LMT, 0, 0.94%, 0.0002004%), (LMT, 0, 0.94%, 0.0002004%), (EMR, 0, 0.90%, 0.0002227%), (EMR, 0, 0.90%, 0.0002227%), (EMR, 0, 0.90%, 0.0002227%), (EMR, 0, 0.90%, 0.0002227%), (EMR, 0, 0.90%, 0.0002227%), (EMR, 0, 0.90%, 0.0002227%), (EMR, 0, 0.90%, 0.0002227%), (EMR, 0, 0.90%, 0.0002227%), (MMM, 0, 0.88%, 0.0002253%), (MMM, 0, 0.88%, 0.0002253%), (MMM, 0, 0.88%, 0.0002253%), (MMM, 0, 0.88%, 0.0002253%), (MMM, 0, 0.88%, 0.0002253%), (MMM, 0, 0.88%, 0.0002253%), (MMM, 0, 0.88%, 0.0002253%), (MMM, 0, 0.88%, 0.0002253%), (GILD, 0, 0.82%, 0.0001219%), (GILD, 0, 0.82%, 0.0001219%), (GILD, 0, 0.82%, 0.0001219%), (GILD, 0, 0.82%, 0.0001219%), (GILD, 0, 0.82%, 0.0001219%), (GILD, 0, 0.82%, 0.0001219%), (GILD, 0, 0.82%, 0.0001219%), (GILD, 0, 0.82%, 0.0001219%), (PFE, 0, 0.81%, 0.0001211%), (PFE, 0, 0.81%, 0.0001211%), (PFE, 0, 0.81%, 0.0001211%), (PFE, 0, 0.81%, 0.0001211%), (PFE, 0, 0.81%, 0.0001211%), (PFE, 0, 0.81%, 0.0001211%), (PFE, 0, 0.81%, 0.0001211%), (PFE, 0, 0.81%, 0.0001211%), (DHR, 0, 0.77%, 0.0001106%), (DHR, 0, 0.77%, 0.0001106%), (DHR, 0, 0.77%, 0.0001106%), (DHR, 0, 0.77%, 0.0001106%), (DHR, 0, 0.76%, 0.0001106%), (DHR, 0, 0.76%, 0.0001106%), (DHR, 0, 0.76%, 0.0001106%), (TJX, 0, 0.76%, 0.0001123%), (TJX, 0, 0.76%, 0.0001123%), (TJX, 0, 0.76%, 0.0001123%), (TJX, 0, 0.76%, 0.0001123%), (TJX, 0, 0.76%, 0.0001123%), (TJX, 0, 0.76%, 0.0001123%), (TJX, 0, 0.76%, 0.0001123%), (TJX, 0, 0.76%, 0.0001123%), (BK, 0, 0.72%, 0.0017027%), (EBAY, 0, 0.71%, 0.0032936%), (CVS, 0, 0.70%, 0.0001918%), (CVS, 0, 0.70%, 0.0001918%), (CVS, 0, 0.70%, 0.0001918%), (CVS, 0, 0.70%, 0.0001918%), (CVS, 0, 0.70%, 0.0001918%), (CVS, 0, 0.70%, 0.0001918%), (CVS, 0, 0.70%, 0.0001918%), (CVS, 0, 0.70%, 0.0001918%), (LOW, 0, 0.69%, 0.0001121%), (LOW, 0, 0.69%, 0.0001121%), (LOW, 0, 0.69%, 0.0001121%), (LOW, 0, 0.69%, 0.0001121%), (LOW, 0, 0.69%, 0.0001121%), (MO, 0, 0.69%, 0.0001449%), (MO, 0, 0.69%, 0.0001449%), (MO, 0, 0.69%, 0.0001449%), (MO, 0, 0.69%, 0.0001449%), (MO, 0, 0.69%, 0.0001449%), (MO, 0, 0.69%, 0.0001449%), (LOW, 0, 0.69%, 0.0001121%), (MO, 0, 0.69%, 0.0001449%), (MO, 0, 0.69%, 0.0001449%), (LOW, 0, 0.69%, 0.0001121%), (RJF, 0, 0.67%, 0.0033127%), (MLI, 0, 0.65%, 0.0111455%), (MDLZ, 0, 0.64%, 0.0001488%), (MDLZ, 0, 0.64%, 0.0001488%), (MDLZ, 0, 0.64%, 0.0001488%), (MDLZ, 0, 0.64%, 0.0001488%), (MDLZ, 0, 0.64%, 0.0001488%), (MDLZ, 0, 0.64%, 0.0001488%), (MDLZ, 0, 0.64%, 0.0001488%), (MDLZ, 0, 0.64%, 0.0001488%), (CMCSA, 0, 0.64%, 0.0001098%), (CMCSA, 0, 0.64%, 0.0001098%), (CMCSA, 0, 0.64%, 0.0001098%), (CMCSA, 0, 0.64%, 0.0001098%), (CMCSA, 0, 0.64%, 0.0001098%), (CMCSA, 0, 0.64%, 0.0001098%), (CMCSA, 0, 0.64%, 0.0001098%), (CMCSA, 0, 0.64%, 0.0001098%), (UNM, 0, 0.64%, 0.0078068%), (EWBC, 0, 0.64%, 0.0074132%), (UPS, 0, 0.60%, 0.0001670%), (UPS, 0, 0.60%, 0.0001670%), (UPS, 0, 0.60%, 0.0001670%), (UPS, 0, 0.60%, 0.0001670%), (UPS, 0, 0.60%, 0.0001670%), (UPS, 0, 0.60%, 0.0001670%), (UPS, 0, 0.60%, 0.0001670%), (UPS, 0, 0.60%, 0.0001670%), (EA, 0, 0.60%, 0.0026431%), (INTC, 0, 0.60%, 0.0001274%), (INTC, 0, 0.60%, 0.0001274%), (INTC, 0, 0.60%, 0.0001274%), (INTC, 0, 0.60%, 0.0001274%), (INTC, 0, 0.60%, 0.0001274%), (INTC, 0, 0.60%, 0.0001274%), (INTC, 0, 0.59%, 0.0001274%), (INTC, 0, 0.59%, 0.0001274%), (PHM, 0, 0.59%, 0.0043029%), (ADP, 0, 0.58%, 0.0007808%), (KLAC, 0, 0.58%, 0.0007961%), (SNA, 0, 0.58%, 0.0056665%), (TRV, 0, 0.58%, 0.0016856%), (HIG, 0, 0.58%, 0.0028401%), (BMY, 0, 0.57%, 0.0001211%), (BMY, 0, 0.57%, 0.0001211%), (BMY, 0, 0.57%, 0.0001211%), (BMY, 0, 0.57%, 0.0001211%), (BMY, 0, 0.57%, 0.0001211%), (BMY, 0, 0.57%, 0.0001211%), (BMY, 0, 0.57%, 0.0001211%), (BMY, 0, 0.57%, 0.0001211%), (PCAR, 0, 0.56%, 0.0017797%), (ROST, 0, 0.55%, 0.0020247%), (CTSH, 0, 0.55%, 0.0024751%), (PYPL, 0, 0.54%, 0.0001551%), (PYPL, 0, 0.54%, 0.0001551%), (PYPL, 0, 0.54%, 0.0001551%), (PYPL, 0, 0.54%, 0.0001551%), (PYPL, 0, 0.54%, 0.0001551%), (PYPL, 0, 0.54%, 0.0001551%), (PYPL, 0, 0.54%, 0.0001551%), (PYPL, 0, 0.54%, 0.0001551%), (SYF, 0, 0.54%, 0.0034270%), (PAYC, 0, 0.52%, 0.0062478%), (LEN, 0, 0.49%, 0.0031175%), (BKR, 0, 0.49%, 0.0017816%), (WSM, 0, 0.47%, 0.0034313%), (CL, 0, 0.45%, 0.0001325%), (CL, 0, 0.45%, 0.0001325%), (CL, 0, 0.45%, 0.0001325%), (CL, 0, 0.45%, 0.0001325%), (CL, 0, 0.45%, 0.0001325%), (CL, 0, 0.45%, 0.0001325%), (CL, 0, 0.45%, 0.0001325%), (CL, 0, 0.45%, 0.0001325%), (FDX, 0, 0.44%, 0.0001601%), (FDX, 0, 0.44%, 0.0001601%), (FDX, 0, 0.44%, 0.0001601%), (FDX, 0, 0.44%, 0.0001601%), (FDX, 0, 0.44%, 0.0001601%), (FDX, 0, 0.44%, 0.0001601%), (USB, 0, 0.41%, 0.0001196%), (USB, 0, 0.41%, 0.0001196%), (USB, 0, 0.41%, 0.0001196%), (USB, 0, 0.41%, 0.0001196%), (USB, 0, 0.41%, 0.0001196%), (USB, 0, 0.41%, 0.0001196%), (USB, 0, 0.41%, 0.0001196%), (USB, 0, 0.41%, 0.0001196%), (DHI, 0, 0.41%, 0.0015747%), (ODFL, 0, 0.40%, 0.0019270%), (AFL, 0, 0.40%, 0.0012208%), (LRCX, 0, 0.36%, 0.0004848%), (MPWR, 0, 0.33%, 0.0015744%), (STT, 0, 0.33%, 0.0017550%), (CF, 0, 0.31%, 0.0034586%), (PNC, 0, 0.31%, 0.0006666%), (MTB, 0, 0.30%, 0.0016969%), (AMP, 0, 0.30%, 0.0010279%), (CSL, 0, 0.28%, 0.0026301%), (EOG, 0, 0.27%, 0.0006762%), (TGT, 0, 0.26%, 0.0001138%), (TGT, 0, 0.26%, 0.0001138%), (TGT, 0, 0.26%, 0.0001138%), (TGT, 0, 0.26%, 0.0001138%), (TGT, 0, 0.26%, 0.0001138%), (TGT, 0, 0.26%, 0.0001138%), (TGT, 0, 0.26%, 0.0001138%), (EG, 0, 0.25%, 0.0029571%), (GEV, 0, 0.19%, 0.0001843%), (NTRS, 0, 0.18%, 0.0012030%), (CRBG, 0, 0.17%, 0.0014511%), (DOV, 0, 0.15%, 0.0009697%), (ACM, 0, 0.15%, 0.0016256%), (SLM, 0, 0.15%, 0.0035978%), (WTFC, 0, 0.14%, 0.0027378%), (CINF, 0, 0.14%, 0.0010146%), (MCK, 0, 0.14%, 0.0002645%), (EQH, 0, 0.14%, 0.0014726%), (MTG, 0, 0.14%, 0.0039957%), (JXN, 0, 0.14%, 0.0036869%), (NUE, 0, 0.13%, 0.0006626%), (ALL, 0, 0.13%, 0.0004277%), (LNC, 0, 0.13%, 0.0032763%), (ADM, 0, 0.12%, 0.0007886%), (PGR, 0, 0.12%, 0.0001416%), (FANG, 0, 0.11%, 0.0004090%), (nan, 0, -0.00%, 0.0000000%), (nan, 0, -0.00%, 0.0000000%), (nan, 0, -0.00%, 0.0000000%), (nan, 0, -0.00%, 0.0000000%), (nan, 0, -0.00%, 0.0000000%), (nan, 0, -0.00%, 0.0000000%), (nan, 0, -0.00%, 0.0000000%), (nan, 0, -0.00%, 0.0000000%), (nan, 0, -0.00%, 0.0000000%), (nan, 0, -0.00%, 0.0000000%), (nan, 0, -0.00%, 0.0000000%), (nan, 0, -0.00%, 0.0000000%), (nan, 0, -0.00%, 0.0000000%), (nan, 0, -0.00%, 0.0000000%), (nan, 0, -0.00%, 0.0000000%), (nan, 0, -0.00%, 0.0000000%)</t>
  </si>
  <si>
    <t>(AVGO, 0, 2.95%, 0.0000518%), (META, 0, 2.48%, 0.0000399%), (BRK/B, 0, 1.97%, 0.0000733%), (CSCO, 0, 1.70%, 0.0001553%), (LIN, 0, 1.67%, 0.0001861%), (AMT, 0, 1.55%, 0.0003764%), (JPM, 0, 1.55%, 0.0000466%), (TSLA, 0, 1.51%, 0.0000350%), (XOM, 0, 1.42%, 0.0000727%), (V, 0, 1.36%, 0.0000561%), (LLY, 0, 1.14%, 0.0000386%), (CB, 0, 1.06%, 0.0002472%), (WM, 0, 1.04%, 0.0002703%), (MA, 0, 1.04%, 0.0000507%), (GE, 0, 1.00%, 0.0000860%), (ORCL, 0, 0.92%, 0.0000320%), (NEE, 0, 0.82%, 0.0001344%), (NFLX, 0, 0.81%, 0.0000401%), (JNJ, 0, 0.76%, 0.0000463%), (CVX, 0, 0.75%, 0.0000576%), (PG, 0, 0.75%, 0.0000502%), (WMT, 0, 0.74%, 0.0000233%), (PLTR, 0, 0.74%, 0.0000512%), (UNH, 0, 0.73%, 0.0000750%), (COST, 0, 0.72%, 0.0000429%), (RTX, 0, 0.71%, 0.0000832%), (CAT, 0, 0.71%, 0.0000864%), (MCD, 0, 0.68%, 0.0000778%), (ABT, 0, 0.66%, 0.0000736%), (HD, 0, 0.64%, 0.0000422%), (ABBV, 0, 0.64%, 0.0000464%), (AMD, 0, 0.60%, 0.0000524%), (KO, 0, 0.60%, 0.0000493%), (BKNG, 0, 0.59%, 0.0000807%), (BAC, 0, 0.59%, 0.0000410%), (CRM, 0, 0.59%, 0.0000570%), (SO, 0, 0.58%, 0.0001355%), (BA, 0, 0.58%, 0.0000824%), (NKE, 0, 0.58%, 0.0001524%), (PM, 0, 0.56%, 0.0000547%), (IBM, 0, 0.56%, 0.0000562%), (ISRG, 0, 0.53%, 0.0000742%), (ETN, 0, 0.52%, 0.0000850%), (INTU, 0, 0.52%, 0.0000570%), (GS, 0, 0.52%, 0.0000577%), (DUK, 0, 0.51%, 0.0001353%), (WFC, 0, 0.51%, 0.0000473%), (HON, 0, 0.49%, 0.0000858%), (UBER, 0, 0.48%, 0.0000647%), (MET, 0, 0.48%, 0.0002269%), (NOW, 0, 0.47%, 0.0000562%), (DE, 0, 0.44%, 0.0000788%), (PEP, 0, 0.44%, 0.0000549%), (T, 0, 0.40%, 0.0002354%), (ACN, 0, 0.40%, 0.0000570%), (MS, 0, 0.40%, 0.0000428%), (MRK, 0, 0.39%, 0.0000469%), (AXP, 0, 0.39%, 0.0000446%), (QCOM, 0, 0.38%, 0.0000539%), (SPGI, 0, 0.38%, 0.0000578%), (ADBE, 0, 0.38%, 0.0000597%), (TXN, 0, 0.37%, 0.0000526%), (VZ, 0, 0.37%, 0.0000503%), (BLK, 0, 0.37%, 0.0000517%), (COP, 0, 0.36%, 0.0000730%), (MDT, 0, 0.36%, 0.0000738%), (DIS, 0, 0.35%, 0.0000402%), (UNP, 0, 0.35%, 0.0000654%), (TMO, 0, 0.35%, 0.0000471%), (C, 0, 0.33%, 0.0000467%), (AMAT, 0, 0.33%, 0.0000542%), (SCHW, 0, 0.33%, 0.0000454%), (SBUX, 0, 0.33%, 0.0000772%), (AMGN, 0, 0.31%, 0.0000463%), (LMT, 0, 0.30%, 0.0000765%), (EMR, 0, 0.29%, 0.0000849%), (MMM, 0, 0.28%, 0.0000858%), (GILD, 0, 0.27%, 0.0000465%), (PFE, 0, 0.26%, 0.0000462%), (DHR, 0, 0.25%, 0.0000422%), (TJX, 0, 0.25%, 0.0000428%), (CVS, 0, 0.23%, 0.0000731%), (MO, 0, 0.22%, 0.0000553%), (LOW, 0, 0.22%, 0.0000428%), (MDLZ, 0, 0.21%, 0.0000567%), (CMCSA, 0, 0.20%, 0.0000419%), (ELV, 0, 0.20%, 0.0000769%), (INTC, 0, 0.19%, 0.0000486%), (BMY, 0, 0.18%, 0.0000462%), (UPS, 0, 0.17%, 0.0000637%), (PYPL, 0, 0.16%, 0.0000591%), (CL, 0, 0.14%, 0.0000505%), (FDX, 0, 0.14%, 0.0000610%), (USB, 0, 0.13%, 0.0000456%), (TGT, 0, 0.08%, 0.0000434%), (nan, 0, -0.00%, 0.0000000%), (nan, 0, -0.01%, 0.0000000%)</t>
  </si>
  <si>
    <t>(GOOGLE, 0, 3.64%, 0.0002288%), (AVGO, 0, 3.17%, 0.0003148%), (META, 0, 2.67%, 0.0002425%), (BRK/B, 0, 2.12%, 0.0004456%), (CSCO, 0, 1.83%, 0.0009436%), (LIN, 0, 1.80%, 0.0011303%), (AMT, 0, 1.67%, 0.0022871%), (JPM, 0, 1.67%, 0.0002829%), (TSLA, 0, 1.63%, 0.0002125%), (XOM, 0, 1.53%, 0.0004417%), (V, 0, 1.47%, 0.0003410%), (LLY, 0, 1.23%, 0.0002346%), (CB, 0, 1.15%, 0.0015015%), (WM, 0, 1.13%, 0.0016430%), (MA, 0, 1.12%, 0.0003082%), (GE, 0, 1.07%, 0.0005224%), (ORCL, 0, 0.99%, 0.0001944%), (NEE, 0, 0.88%, 0.0008164%), (NFLX, 0, 0.87%, 0.0002443%), (JNJ, 0, 0.82%, 0.0002812%), (CVX, 0, 0.81%, 0.0003497%), (PG, 0, 0.80%, 0.0003051%), (WMT, 0, 0.80%, 0.0001415%), (PLTR, 0, 0.79%, 0.0003108%), (UNH, 0, 0.79%, 0.0004553%), (COST, 0, 0.78%, 0.0002597%), (RTX, 0, 0.77%, 0.0005054%), (CAT, 0, 0.76%, 0.0005247%), (MCD, 0, 0.73%, 0.0004721%), (ABT, 0, 0.71%, 0.0004470%), (HD, 0, 0.69%, 0.0002561%), (ABBV, 0, 0.69%, 0.0002815%), (AMD, 0, 0.65%, 0.0003183%), (KO, 0, 0.64%, 0.0002997%), (BAC, 0, 0.64%, 0.0002490%), (CRM, 0, 0.64%, 0.0003463%), (BKNG, 0, 0.63%, 0.0004840%), (SO, 0, 0.62%, 0.0008234%), (BA, 0, 0.62%, 0.0005007%), (NKE, 0, 0.62%, 0.0009260%), (PM, 0, 0.60%, 0.0003321%), (IBM, 0, 0.60%, 0.0003412%), (ISRG, 0, 0.57%, 0.0004502%), (ETN, 0, 0.57%, 0.0005168%), (INTU, 0, 0.56%, 0.0003468%), (GS, 0, 0.55%, 0.0003508%), (DUK, 0, 0.55%, 0.0008220%), (WFC, 0, 0.55%, 0.0002872%), (HON, 0, 0.53%, 0.0005214%), (UBER, 0, 0.52%, 0.0003931%), (MET, 0, 0.52%, 0.0013786%), (NOW, 0, 0.50%, 0.0003413%), (DE, 0, 0.48%, 0.0004790%), (PEP, 0, 0.47%, 0.0003336%), (T, 0, 0.44%, 0.0014300%), (ACN, 0, 0.43%, 0.0003460%), (MS, 0, 0.43%, 0.0002605%), (MRK, 0, 0.43%, 0.0002850%), (AXP, 0, 0.42%, 0.0002707%), (QCOM, 0, 0.41%, 0.0003277%), (SPGI, 0, 0.41%, 0.0003514%), (ADBE, 0, 0.41%, 0.0003626%), (TXN, 0, 0.40%, 0.0003195%), (VZ, 0, 0.40%, 0.0003054%), (BLK, 0, 0.39%, 0.0003151%), (COP, 0, 0.39%, 0.0004437%), (MDT, 0, 0.38%, 0.0004481%), (DIS, 0, 0.38%, 0.0002440%), (UNP, 0, 0.38%, 0.0003979%), (TMO, 0, 0.37%, 0.0002867%), (C, 0, 0.36%, 0.0002839%), (AMAT, 0, 0.35%, 0.0003294%), (SCHW, 0, 0.35%, 0.0002760%), (SBUX, 0, 0.35%, 0.0004688%), (AMGN, 0, 0.33%, 0.0002810%), (LMT, 0, 0.32%, 0.0004641%), (EMR, 0, 0.31%, 0.0005158%), (MMM, 0, 0.30%, 0.0005218%), (GILD, 0, 0.29%, 0.0002824%), (PFE, 0, 0.28%, 0.0002805%), (DHR, 0, 0.27%, 0.0002561%), (TJX, 0, 0.26%, 0.0002600%), (CVS, 0, 0.24%, 0.0004443%), (MO, 0, 0.24%, 0.0003357%), (LOW, 0, 0.24%, 0.0002596%), (MDLZ, 0, 0.22%, 0.0003446%), (CMCSA, 0, 0.22%, 0.0002544%), (ELV, 0, 0.22%, 0.0004675%), (INTC, 0, 0.20%, 0.0002951%), (BMY, 0, 0.19%, 0.0002804%), (UPS, 0, 0.19%, 0.0003868%), (PYPL, 0, 0.17%, 0.0003591%), (CL, 0, 0.15%, 0.0003068%), (FDX, 0, 0.15%, 0.0003708%), (USB, 0, 0.14%, 0.0002770%), (TGT, 0, 0.09%, 0.0002634%), (nan, 0, -0.01%, 0.0000000%), (nan, 0, -0.01%, 0.0000000%)</t>
  </si>
  <si>
    <t>(GOOGLE, 0, 3.63%, 0.0001704%), (AVGO, 0, 3.16%, 0.0002345%), (META, 0, 2.67%, 0.0001806%), (BRK/B, 0, 2.12%, 0.0003319%), (CSCO, 0, 1.83%, 0.0007028%), (LIN, 0, 1.79%, 0.0008418%), (AMT, 0, 1.67%, 0.0017033%), (JPM, 0, 1.66%, 0.0002107%), (TSLA, 0, 1.63%, 0.0001582%), (XOM, 0, 1.52%, 0.0003290%), (V, 0, 1.47%, 0.0002540%), (LLY, 0, 1.23%, 0.0001747%), (CB, 0, 1.14%, 0.0011183%), (WM, 0, 1.12%, 0.0012237%), (MA, 0, 1.12%, 0.0002296%), (GE, 0, 1.07%, 0.0003891%), (ORCL, 0, 0.99%, 0.0001448%), (NEE, 0, 0.88%, 0.0006080%), (NFLX, 0, 0.87%, 0.0001820%), (JNJ, 0, 0.82%, 0.0002095%), (CVX, 0, 0.81%, 0.0002605%), (PG, 0, 0.80%, 0.0002272%), (WMT, 0, 0.80%, 0.0001054%), (PLTR, 0, 0.79%, 0.0002315%), (UNH, 0, 0.79%, 0.0003391%), (COST, 0, 0.78%, 0.0001936%), (RTX, 0, 0.76%, 0.0003764%), (CAT, 0, 0.76%, 0.0003908%), (MCD, 0, 0.73%, 0.0003516%), (ABT, 0, 0.71%, 0.0003329%), (HD, 0, 0.69%, 0.0001908%), (ABBV, 0, 0.68%, 0.0002097%), (AMD, 0, 0.65%, 0.0002371%), (KO, 0, 0.64%, 0.0002232%), (BAC, 0, 0.64%, 0.0001855%), (CRM, 0, 0.64%, 0.0002579%), (BKNG, 0, 0.63%, 0.0003599%), (SO, 0, 0.62%, 0.0006133%), (BA, 0, 0.62%, 0.0003728%), (NKE, 0, 0.62%, 0.0006897%), (PM, 0, 0.60%, 0.0002474%), (IBM, 0, 0.58%, 0.0002434%), (ISRG, 0, 0.57%, 0.0003354%), (ETN, 0, 0.56%, 0.0003848%), (INTU, 0, 0.56%, 0.0002582%), (GS, 0, 0.55%, 0.0002614%), (DUK, 0, 0.55%, 0.0006122%), (WFC, 0, 0.55%, 0.0002139%), (HON, 0, 0.53%, 0.0003883%), (UBER, 0, 0.51%, 0.0002927%), (MET, 0, 0.51%, 0.0010267%), (NOW, 0, 0.50%, 0.0002543%), (DE, 0, 0.48%, 0.0003570%), (PEP, 0, 0.47%, 0.0002485%), (T, 0, 0.43%, 0.0010651%), (ACN, 0, 0.43%, 0.0002577%), (MS, 0, 0.43%, 0.0001940%), (MRK, 0, 0.42%, 0.0002123%), (AXP, 0, 0.41%, 0.0002016%), (QCOM, 0, 0.41%, 0.0002441%), (SPGI, 0, 0.41%, 0.0002619%), (ADBE, 0, 0.41%, 0.0002702%), (VZ, 0, 0.40%, 0.0002275%), (TXN, 0, 0.40%, 0.0002379%), (BLK, 0, 0.39%, 0.0002344%), (COP, 0, 0.39%, 0.0003305%), (MDT, 0, 0.38%, 0.0003338%), (DIS, 0, 0.38%, 0.0001817%), (UNP, 0, 0.38%, 0.0002964%), (TMO, 0, 0.37%, 0.0002135%), (C, 0, 0.36%, 0.0002114%), (AMAT, 0, 0.35%, 0.0002453%), (SCHW, 0, 0.35%, 0.0002056%), (SBUX, 0, 0.35%, 0.0003492%), (AMGN, 0, 0.33%, 0.0002093%), (LMT, 0, 0.32%, 0.0003457%), (EMR, 0, 0.31%, 0.0003842%), (MMM, 0, 0.30%, 0.0003887%), (GILD, 0, 0.29%, 0.0002103%), (PFE, 0, 0.28%, 0.0002089%), (DHR, 0, 0.27%, 0.0001907%), (TJX, 0, 0.26%, 0.0001937%), (CVS, 0, 0.24%, 0.0003309%), (MO, 0, 0.24%, 0.0002500%), (LOW, 0, 0.24%, 0.0001933%), (MDLZ, 0, 0.22%, 0.0002567%), (CMCSA, 0, 0.22%, 0.0001895%), (ELV, 0, 0.22%, 0.0003483%), (INTC, 0, 0.20%, 0.0002198%), (BMY, 0, 0.19%, 0.0002088%), (UPS, 0, 0.19%, 0.0002880%), (PYPL, 0, 0.17%, 0.0002675%), (CL, 0, 0.15%, 0.0002285%), (FDX, 0, 0.15%, 0.0002763%), (USB, 0, 0.14%, 0.0002063%), (TGT, 0, 0.09%, 0.0001963%), (nan, 0, -0.01%, 0.0000000%), (nan, 0, -0.01%, 0.0000000%)</t>
  </si>
  <si>
    <t>(GOOGLE, 0, 3.66%, 0.0000399%), (AVGO, 0, 3.19%, 0.0000550%), (META, 0, 2.69%, 0.0000423%), (BRK/B, 0, 2.14%, 0.0000778%), (CSCO, 0, 1.85%, 0.0001647%), (LIN, 0, 1.81%, 0.0001972%), (AMT, 0, 1.68%, 0.0003992%), (JPM, 0, 1.68%, 0.0000494%), (TSLA, 0, 1.64%, 0.0000371%), (XOM, 0, 1.54%, 0.0000771%), (V, 0, 1.48%, 0.0000595%), (LLY, 0, 1.24%, 0.0000409%), (CB, 0, 1.15%, 0.0002620%), (WM, 0, 1.13%, 0.0002867%), (MA, 0, 1.13%, 0.0000539%), (GE, 0, 1.08%, 0.0000912%), (ORCL, 0, 1.00%, 0.0000340%), (NEE, 0, 0.89%, 0.0001425%), (NFLX, 0, 0.88%, 0.0000427%), (JNJ, 0, 0.83%, 0.0000491%), (CVX, 0, 0.81%, 0.0000611%), (PG, 0, 0.81%, 0.0000533%), (WMT, 0, 0.81%, 0.0000247%), (PLTR, 0, 0.80%, 0.0000543%), (UNH, 0, 0.79%, 0.0000795%), (COST, 0, 0.78%, 0.0000454%), (RTX, 0, 0.77%, 0.0000882%), (CAT, 0, 0.77%, 0.0000916%), (MCD, 0, 0.74%, 0.0000824%), (ABT, 0, 0.72%, 0.0000780%), (HD, 0, 0.70%, 0.0000447%), (ABBV, 0, 0.69%, 0.0000491%), (AMD, 0, 0.66%, 0.0000556%), (KO, 0, 0.65%, 0.0000523%), (BAC, 0, 0.64%, 0.0000435%), (CRM, 0, 0.64%, 0.0000604%), (BKNG, 0, 0.63%, 0.0000838%), (SO, 0, 0.63%, 0.0001437%), (BA, 0, 0.63%, 0.0000874%), (NKE, 0, 0.62%, 0.0001616%), (PM, 0, 0.61%, 0.0000579%), (IBM, 0, 0.61%, 0.0000596%), (ISRG, 0, 0.58%, 0.0000787%), (ETN, 0, 0.57%, 0.0000902%), (INTU, 0, 0.57%, 0.0000606%), (GS, 0, 0.56%, 0.0000613%), (DUK, 0, 0.55%, 0.0001435%), (WFC, 0, 0.55%, 0.0000501%), (HON, 0, 0.53%, 0.0000910%), (UBER, 0, 0.52%, 0.0000686%), (MET, 0, 0.52%, 0.0002406%), (NOW, 0, 0.51%, 0.0000596%), (DE, 0, 0.48%, 0.0000836%), (PEP, 0, 0.48%, 0.0000582%), (T, 0, 0.44%, 0.0002496%), (ACN, 0, 0.44%, 0.0000604%), (MS, 0, 0.43%, 0.0000455%), (MRK, 0, 0.43%, 0.0000498%), (AXP, 0, 0.42%, 0.0000473%), (QCOM, 0, 0.41%, 0.0000572%), (SPGI, 0, 0.41%, 0.0000614%), (ADBE, 0, 0.41%, 0.0000633%), (TXN, 0, 0.40%, 0.0000558%), (VZ, 0, 0.40%, 0.0000533%), (BLK, 0, 0.40%, 0.0000549%), (COP, 0, 0.39%, 0.0000774%), (MDT, 0, 0.39%, 0.0000782%), (DIS, 0, 0.38%, 0.0000426%), (UNP, 0, 0.38%, 0.0000695%), (TMO, 0, 0.38%, 0.0000500%), (C, 0, 0.36%, 0.0000495%), (AMAT, 0, 0.36%, 0.0000575%), (SBUX, 0, 0.36%, 0.0000818%), (SCHW, 0, 0.36%, 0.0000482%), (AMGN, 0, 0.33%, 0.0000490%), (LMT, 0, 0.33%, 0.0000808%), (EMR, 0, 0.31%, 0.0000901%), (MMM, 0, 0.30%, 0.0000911%), (GILD, 0, 0.29%, 0.0000493%), (PFE, 0, 0.28%, 0.0000490%), (DHR, 0, 0.27%, 0.0000447%), (TJX, 0, 0.27%, 0.0000454%), (CVS, 0, 0.24%, 0.0000775%), (MO, 0, 0.24%, 0.0000586%), (LOW, 0, 0.24%, 0.0000453%), (MDLZ, 0, 0.22%, 0.0000601%), (CMCSA, 0, 0.22%, 0.0000444%), (ELV, 0, 0.22%, 0.0000814%), (INTC, 0, 0.20%, 0.0000515%), (BMY, 0, 0.19%, 0.0000489%), (UPS, 0, 0.19%, 0.0000675%), (PYPL, 0, 0.18%, 0.0000627%), (CL, 0, 0.16%, 0.0000536%), (FDX, 0, 0.15%, 0.0000648%), (USB, 0, 0.14%, 0.0000483%), (TGT, 0, 0.09%, 0.0000460%), (nan, 0, -0.01%, 0.0000000%), (nan, 0, -0.01%, 0.0000000%)</t>
  </si>
  <si>
    <t>(GOOGLE, 0, 3.50%, 0.0000697%), (AVGO, 0, 3.06%, 0.0000959%), (META, 0, 2.58%, 0.0000739%), (BRK/B, 0, 2.04%, 0.0001358%), (CSCO, 0, 1.76%, 0.0002876%), (LIN, 0, 1.73%, 0.0003444%), (AMT, 0, 1.61%, 0.0006970%), (JPM, 0, 1.61%, 0.0000862%), (TSLA, 0, 1.57%, 0.0000647%), (XOM, 0, 1.47%, 0.0001346%), (V, 0, 1.42%, 0.0001039%), (LLY, 0, 1.19%, 0.0000715%), (CB, 0, 1.10%, 0.0004576%), (WM, 0, 1.08%, 0.0005007%), (MA, 0, 1.08%, 0.0000939%), (GE, 0, 1.03%, 0.0001592%), (ORCL, 0, 0.96%, 0.0000592%), (NEE, 0, 0.85%, 0.0002488%), (NFLX, 0, 0.84%, 0.0000746%), (JNJ, 0, 0.79%, 0.0000857%), (CVX, 0, 0.78%, 0.0001066%), (PG, 0, 0.77%, 0.0000930%), (WMT, 0, 0.77%, 0.0000431%), (PLTR, 0, 0.76%, 0.0000947%), (UNH, 0, 0.76%, 0.0001388%), (COST, 0, 0.75%, 0.0000792%), (RTX, 0, 0.74%, 0.0001540%), (CAT, 0, 0.73%, 0.0001599%), (MCD, 0, 0.71%, 0.0001439%), (ABT, 0, 0.69%, 0.0001362%), (HD, 0, 0.67%, 0.0000781%), (ABBV, 0, 0.66%, 0.0000858%), (AMD, 0, 0.63%, 0.0000970%), (KO, 0, 0.62%, 0.0000913%), (BAC, 0, 0.62%, 0.0000759%), (CRM, 0, 0.61%, 0.0001056%), (BKNG, 0, 0.60%, 0.0001458%), (SO, 0, 0.60%, 0.0002510%), (BA, 0, 0.60%, 0.0001526%), (NKE, 0, 0.60%, 0.0002822%), (PM, 0, 0.58%, 0.0001012%), (IBM, 0, 0.58%, 0.0001040%), (ISRG, 0, 0.55%, 0.0001371%), (ETN, 0, 0.55%, 0.0001575%), (INTU, 0, 0.54%, 0.0001058%), (GS, 0, 0.53%, 0.0001070%), (DUK, 0, 0.53%, 0.0002504%), (WFC, 0, 0.53%, 0.0000875%), (HON, 0, 0.51%, 0.0001589%), (UBER, 0, 0.50%, 0.0001198%), (MET, 0, 0.50%, 0.0004201%), (NOW, 0, 0.49%, 0.0001038%), (DE, 0, 0.46%, 0.0001461%), (PEP, 0, 0.46%, 0.0001017%), (T, 0, 0.42%, 0.0004358%), (ACN, 0, 0.42%, 0.0001055%), (MS, 0, 0.41%, 0.0000794%), (MRK, 0, 0.41%, 0.0000869%), (AXP, 0, 0.40%, 0.0000825%), (QCOM, 0, 0.40%, 0.0000999%), (ADBE, 0, 0.39%, 0.0001106%), (SPGI, 0, 0.39%, 0.0001070%), (TXN, 0, 0.38%, 0.0000974%), (VZ, 0, 0.38%, 0.0000931%), (BLK, 0, 0.38%, 0.0000962%), (COP, 0, 0.37%, 0.0001352%), (MDT, 0, 0.37%, 0.0001366%), (DIS, 0, 0.37%, 0.0000744%), (UNP, 0, 0.36%, 0.0001212%), (TMO, 0, 0.36%, 0.0000873%), (C, 0, 0.34%, 0.0000865%), (AMAT, 0, 0.34%, 0.0001004%), (SBUX, 0, 0.34%, 0.0001429%), (SCHW, 0, 0.34%, 0.0000841%), (AMGN, 0, 0.32%, 0.0000856%), (LMT, 0, 0.31%, 0.0001413%), (EMR, 0, 0.30%, 0.0001572%), (MMM, 0, 0.29%, 0.0001591%), (GILD, 0, 0.28%, 0.0000861%), (PFE, 0, 0.27%, 0.0000855%), (DHR, 0, 0.26%, 0.0000780%), (TJX, 0, 0.25%, 0.0000792%), (CVS, 0, 0.23%, 0.0001354%), (LOW, 0, 0.23%, 0.0000792%), (MO, 0, 0.23%, 0.0001023%), (MDLZ, 0, 0.21%, 0.0001050%), (CMCSA, 0, 0.21%, 0.0000775%), (ELV, 0, 0.21%, 0.0001426%), (INTC, 0, 0.19%, 0.0000899%), (BMY, 0, 0.19%, 0.0000855%), (UPS, 0, 0.18%, 0.0001179%), (PYPL, 0, 0.17%, 0.0001094%), (CL, 0, 0.15%, 0.0000935%), (FDX, 0, 0.14%, 0.0001132%), (USB, 0, 0.14%, 0.0000844%), (TGT, 0, 0.09%, 0.0000803%), (nan, 0, -0.00%, 0.0000000%), (nan, 0, -0.01%, 0.0000000%)</t>
  </si>
  <si>
    <t>(GOOGLE, 0, 3.57%, 0.0000253%), (AVGO, 0, 3.11%, 0.0000348%), (META, 0, 2.63%, 0.0000268%), (BRK/B, 0, 2.09%, 0.0000493%), (CSCO, 0, 1.80%, 0.0001042%), (LIN, 0, 1.76%, 0.0001249%), (AMT, 0, 1.64%, 0.0002527%), (JPM, 0, 1.64%, 0.0000312%), (TSLA, 0, 1.60%, 0.0000235%), (XOM, 0, 1.50%, 0.0000488%), (V, 0, 1.45%, 0.0000377%), (LLY, 0, 1.21%, 0.0000259%), (CB, 0, 1.13%, 0.0001659%), (WM, 0, 1.11%, 0.0001814%), (MA, 0, 1.10%, 0.0000341%), (GE, 0, 1.05%, 0.0000577%), (ORCL, 0, 0.98%, 0.0000215%), (NEE, 0, 0.87%, 0.0000902%), (NFLX, 0, 0.86%, 0.0000269%), (JNJ, 0, 0.81%, 0.0000311%), (CVX, 0, 0.79%, 0.0000386%), (PG, 0, 0.79%, 0.0000337%), (WMT, 0, 0.79%, 0.0000156%), (PLTR, 0, 0.78%, 0.0000343%), (UNH, 0, 0.78%, 0.0000503%), (COST, 0, 0.76%, 0.0000287%), (RTX, 0, 0.75%, 0.0000559%), (CAT, 0, 0.75%, 0.0000581%), (MCD, 0, 0.72%, 0.0000521%), (ABT, 0, 0.70%, 0.0000494%), (HD, 0, 0.68%, 0.0000283%), (ABBV, 0, 0.67%, 0.0000311%), (AMD, 0, 0.64%, 0.0000352%), (KO, 0, 0.63%, 0.0000331%), (BAC, 0, 0.63%, 0.0000275%), (CRM, 0, 0.63%, 0.0000382%), (BKNG, 0, 0.61%, 0.0000527%), (SO, 0, 0.61%, 0.0000910%), (BA, 0, 0.61%, 0.0000553%), (NKE, 0, 0.61%, 0.0001023%), (PM, 0, 0.59%, 0.0000367%), (IBM, 0, 0.59%, 0.0000377%), (ISRG, 0, 0.56%, 0.0000496%), (ETN, 0, 0.56%, 0.0000570%), (INTU, 0, 0.55%, 0.0000384%), (GS, 0, 0.55%, 0.0000387%), (DUK, 0, 0.54%, 0.0000909%), (WFC, 0, 0.54%, 0.0000317%), (HON, 0, 0.52%, 0.0000576%), (UBER, 0, 0.51%, 0.0000434%), (MET, 0, 0.51%, 0.0001523%), (NOW, 0, 0.50%, 0.0000375%), (DE, 0, 0.47%, 0.0000529%), (PEP, 0, 0.46%, 0.0000369%), (T, 0, 0.43%, 0.0001580%), (ACN, 0, 0.43%, 0.0000382%), (MS, 0, 0.42%, 0.0000288%), (MRK, 0, 0.42%, 0.0000315%), (AXP, 0, 0.41%, 0.0000299%), (QCOM, 0, 0.40%, 0.0000362%), (SPGI, 0, 0.40%, 0.0000390%), (ADBE, 0, 0.40%, 0.0000401%), (VZ, 0, 0.39%, 0.0000337%), (TXN, 0, 0.39%, 0.0000353%), (BLK, 0, 0.39%, 0.0000349%), (COP, 0, 0.38%, 0.0000490%), (MDT, 0, 0.38%, 0.0000495%), (DIS, 0, 0.37%, 0.0000270%), (UNP, 0, 0.37%, 0.0000440%), (TMO, 0, 0.37%, 0.0000317%), (C, 0, 0.35%, 0.0000313%), (SBUX, 0, 0.35%, 0.0000518%), (SCHW, 0, 0.35%, 0.0000305%), (AMAT, 0, 0.35%, 0.0000364%), (AMGN, 0, 0.33%, 0.0000310%), (LMT, 0, 0.32%, 0.0000514%), (EMR, 0, 0.30%, 0.0000570%), (MMM, 0, 0.30%, 0.0000576%), (GILD, 0, 0.28%, 0.0000312%), (PFE, 0, 0.28%, 0.0000310%), (DHR, 0, 0.27%, 0.0000283%), (TJX, 0, 0.26%, 0.0000288%), (CVS, 0, 0.24%, 0.0000491%), (LOW, 0, 0.24%, 0.0000287%), (MO, 0, 0.24%, 0.0000371%), (MDLZ, 0, 0.22%, 0.0000381%), (CMCSA, 0, 0.21%, 0.0000281%), (ELV, 0, 0.21%, 0.0000517%), (INTC, 0, 0.20%, 0.0000326%), (BMY, 0, 0.19%, 0.0000310%), (UPS, 0, 0.18%, 0.0000428%), (PYPL, 0, 0.17%, 0.0000397%), (CL, 0, 0.15%, 0.0000339%), (FDX, 0, 0.15%, 0.0000411%), (USB, 0, 0.14%, 0.0000306%), (TGT, 0, 0.09%, 0.0000290%), (nan, 0, -0.01%, 0.0000000%), (nan, 0, -0.01%, 0.0000000%)</t>
  </si>
  <si>
    <t>(GOOGLE, 0, 3.80%, 0.0000607%), (AVGO, 0, 3.31%, 0.0000835%), (META, 0, 2.79%, 0.0000643%), (BRK/B, 0, 2.22%, 0.0001182%), (CSCO, 0, 1.91%, 0.0002504%), (LIN, 0, 1.88%, 0.0002998%), (AMT, 0, 1.74%, 0.0006069%), (JPM, 0, 1.74%, 0.0000751%), (TSLA, 0, 1.70%, 0.0000564%), (XOM, 0, 1.59%, 0.0001172%), (V, 0, 1.54%, 0.0000905%), (LLY, 0, 1.29%, 0.0000622%), (CB, 0, 1.20%, 0.0003984%), (WM, 0, 1.18%, 0.0004359%), (MA, 0, 1.17%, 0.0000818%), (GE, 0, 1.12%, 0.0001386%), (ORCL, 0, 1.04%, 0.0000516%), (NEE, 0, 0.92%, 0.0002166%), (NFLX, 0, 0.91%, 0.0000649%), (JNJ, 0, 0.86%, 0.0000746%), (CVX, 0, 0.84%, 0.0000928%), (PG, 0, 0.84%, 0.0000810%), (WMT, 0, 0.84%, 0.0000375%), (PLTR, 0, 0.83%, 0.0000825%), (UNH, 0, 0.82%, 0.0001208%), (COST, 0, 0.81%, 0.0000688%), (RTX, 0, 0.80%, 0.0001341%), (CAT, 0, 0.79%, 0.0001392%), (MCD, 0, 0.77%, 0.0001253%), (ABT, 0, 0.75%, 0.0001186%), (HD, 0, 0.72%, 0.0000679%), (ABBV, 0, 0.72%, 0.0000747%), (AMD, 0, 0.68%, 0.0000844%), (KO, 0, 0.67%, 0.0000795%), (BAC, 0, 0.67%, 0.0000661%), (CRM, 0, 0.67%, 0.0000919%), (BKNG, 0, 0.65%, 0.0001272%), (SO, 0, 0.65%, 0.0002185%), (BA, 0, 0.65%, 0.0001329%), (NKE, 0, 0.65%, 0.0002457%), (PM, 0, 0.63%, 0.0000881%), (IBM, 0, 0.63%, 0.0000905%), (ISRG, 0, 0.60%, 0.0001196%), (ETN, 0, 0.59%, 0.0001372%), (INTU, 0, 0.58%, 0.0000918%), (GS, 0, 0.58%, 0.0000930%), (DUK, 0, 0.57%, 0.0002181%), (WFC, 0, 0.57%, 0.0000762%), (HON, 0, 0.55%, 0.0001383%), (UBER, 0, 0.54%, 0.0001043%), (MET, 0, 0.54%, 0.0003657%), (NOW, 0, 0.53%, 0.0000904%), (DE, 0, 0.50%, 0.0001273%), (PEP, 0, 0.49%, 0.0000885%), (T, 0, 0.46%, 0.0003794%), (ACN, 0, 0.45%, 0.0000918%), (MS, 0, 0.45%, 0.0000691%), (MRK, 0, 0.44%, 0.0000756%), (AXP, 0, 0.43%, 0.0000719%), (QCOM, 0, 0.43%, 0.0000869%), (ADBE, 0, 0.43%, 0.0000963%), (SPGI, 0, 0.42%, 0.0000931%), (TXN, 0, 0.42%, 0.0000847%), (VZ, 0, 0.42%, 0.0000810%), (BLK, 0, 0.41%, 0.0000833%), (COP, 0, 0.41%, 0.0001177%), (MDT, 0, 0.40%, 0.0001189%), (DIS, 0, 0.40%, 0.0000647%), (UNP, 0, 0.39%, 0.0001055%), (TMO, 0, 0.39%, 0.0000761%), (C, 0, 0.37%, 0.0000753%), (AMAT, 0, 0.37%, 0.0000874%), (SCHW, 0, 0.37%, 0.0000732%), (SBUX, 0, 0.37%, 0.0001244%), (AMGN, 0, 0.35%, 0.0000745%), (LMT, 0, 0.34%, 0.0001232%), (EMR, 0, 0.32%, 0.0001368%), (MMM, 0, 0.32%, 0.0001385%), (GILD, 0, 0.30%, 0.0000750%), (PFE, 0, 0.29%, 0.0000744%), (DHR, 0, 0.28%, 0.0000680%), (TJX, 0, 0.28%, 0.0000690%), (CVS, 0, 0.25%, 0.0001178%), (MO, 0, 0.25%, 0.0000891%), (LOW, 0, 0.25%, 0.0000688%), (MDLZ, 0, 0.23%, 0.0000914%), (CMCSA, 0, 0.23%, 0.0000675%), (ELV, 0, 0.23%, 0.0001242%), (INTC, 0, 0.21%, 0.0000783%), (BMY, 0, 0.20%, 0.0000744%), (UPS, 0, 0.20%, 0.0001026%), (PYPL, 0, 0.18%, 0.0000953%), (CL, 0, 0.16%, 0.0000814%), (FDX, 0, 0.15%, 0.0000983%), (USB, 0, 0.15%, 0.0000735%), (TGT, 0, 0.09%, 0.0000700%), (nan, 0, -0.01%, 0.0000000%), (nan, 0, -0.01%, 0.0000000%)</t>
  </si>
  <si>
    <t>BK, EBAY, MSFT, JPM, META, GOOGLE, BKNG, BLK, RJF, MLI, UNM, AMAT</t>
  </si>
  <si>
    <t>(EWBC, 0, 1.89%, 0.0074132%), (V, 0, 1.86%, 0.0001740%), (AXP, 0, 1.85%, 0.0004840%), (HIG, 0, 1.78%, 0.0028401%), (PHM, 0, 1.76%, 0.0043029%), (TRV, 0, 1.75%, 0.0016856%), (EA, 0, 1.75%, 0.0026431%), (ADP, 0, 1.75%, 0.0007808%), (NVDA, 0, 1.74%, 0.0000227%), (KLAC, 0, 1.72%, 0.0007961%), (SNA, 0, 1.72%, 0.0056665%), (PCAR, 0, 1.67%, 0.0017797%), (ROST, 0, 1.65%, 0.0020247%), (CRM, 0, 1.63%, 0.0003557%), (CTSH, 0, 1.61%, 0.0024751%), (CB, 0, 1.61%, 0.0008474%), (SYF, 0, 1.58%, 0.0034270%), (PAYC, 0, 1.53%, 0.0062478%), (LEN, 0, 1.45%, 0.0031175%), (BKR, 0, 1.45%, 0.0017816%), (ACN, 0, 1.41%, 0.0004521%), (WSM, 0, 1.40%, 0.0034313%), (QCOM, 0, 1.39%, 0.0004419%), (DHI, 0, 1.23%, 0.0015747%), (AFL, 0, 1.18%, 0.0012208%), (ODFL, 0, 1.18%, 0.0019270%), (ELV, 0, 1.17%, 0.0010187%), (AAPL, 0, 1.17%, 0.0000208%), (LRCX, 0, 1.08%, 0.0004848%), (CSCO, 0, 1.08%, 0.0002237%), (GE, 0, 1.03%, 0.0002023%), (STT, 0, 1.00%, 0.0017550%), (MPWR, 0, 0.98%, 0.0015744%), (CF, 0, 0.95%, 0.0034586%), (PNC, 0, 0.91%, 0.0006666%), (MTB, 0, 0.91%, 0.0016969%), (AMP, 0, 0.89%, 0.0010279%), (CSL, 0, 0.84%, 0.0026301%), (XOM, 0, 0.83%, 0.0000962%), (COST, 0, 0.82%, 0.0001106%), (EOG, 0, 0.81%, 0.0006762%), (ABT, 0, 0.81%, 0.0002029%), (EG, 0, 0.74%, 0.0029571%), (GEV, 0, 0.57%, 0.0001843%), (NTRS, 0, 0.54%, 0.0012030%), (CRBG, 0, 0.51%, 0.0014511%), (MA, 0, 0.48%, 0.0000533%), (JNJ, 0, 0.46%, 0.0000633%), (DOV, 0, 0.44%, 0.0009697%), (ACM, 0, 0.44%, 0.0016256%), (CINF, 0, 0.43%, 0.0010146%), (WTFC, 0, 0.43%, 0.0027378%), (SLM, 0, 0.42%, 0.0035978%), (MCK, 0, 0.42%, 0.0002645%), (MTG, 0, 0.41%, 0.0039957%), (EQH, 0, 0.41%, 0.0014726%), (JXN, 0, 0.41%, 0.0036869%), (LNC, 0, 0.39%, 0.0032763%), (ALL, 0, 0.39%, 0.0004277%), (NKE, 0, 0.39%, 0.0002332%), (NUE, 0, 0.38%, 0.0006626%), (ADM, 0, 0.37%, 0.0007886%), (PGR, 0, 0.36%, 0.0001416%), (FANG, 0, 0.32%, 0.0004090%)</t>
  </si>
  <si>
    <t>(GOOGLE, 0, 3.46%, 0.0000642%), (AVGO, 0, 3.02%, 0.0000883%), (META, 0, 2.54%, 0.0000680%), (BRK/B, 0, 2.02%, 0.0001250%), (CSCO, 0, 1.74%, 0.0002646%), (LIN, 0, 1.71%, 0.0003170%), (AMT, 0, 1.59%, 0.0006415%), (JPM, 0, 1.59%, 0.0000794%), (TSLA, 0, 1.55%, 0.0000596%), (XOM, 0, 1.45%, 0.0001239%), (V, 0, 1.40%, 0.0000956%), (LLY, 0, 1.17%, 0.0000658%), (CB, 0, 1.09%, 0.0004210%), (WM, 0, 1.07%, 0.0004607%), (MA, 0, 1.06%, 0.0000865%), (GE, 0, 1.02%, 0.0001465%), (ORCL, 0, 0.95%, 0.0000545%), (NEE, 0, 0.84%, 0.0002290%), (NFLX, 0, 0.83%, 0.0000684%), (JNJ, 0, 0.78%, 0.0000789%), (CVX, 0, 0.77%, 0.0000981%), (PG, 0, 0.76%, 0.0000856%), (WMT, 0, 0.76%, 0.0000397%), (PLTR, 0, 0.76%, 0.0000872%), (UNH, 0, 0.75%, 0.0001277%), (COST, 0, 0.74%, 0.0000729%), (RTX, 0, 0.73%, 0.0001417%), (CAT, 0, 0.72%, 0.0001471%), (MCD, 0, 0.70%, 0.0001324%), (ABT, 0, 0.68%, 0.0001254%), (HD, 0, 0.66%, 0.0000718%), (ABBV, 0, 0.65%, 0.0000790%), (AMD, 0, 0.62%, 0.0000893%), (KO, 0, 0.61%, 0.0000841%), (BAC, 0, 0.61%, 0.0000698%), (CRM, 0, 0.61%, 0.0000972%), (BKNG, 0, 0.61%, 0.0001365%), (SO, 0, 0.59%, 0.0002310%), (BA, 0, 0.59%, 0.0001404%), (NKE, 0, 0.59%, 0.0002597%), (PM, 0, 0.57%, 0.0000931%), (IBM, 0, 0.57%, 0.0000956%), (ISRG, 0, 0.54%, 0.0001264%), (ETN, 0, 0.54%, 0.0001449%), (INTU, 0, 0.53%, 0.0000972%), (GS, 0, 0.53%, 0.0000984%), (DUK, 0, 0.52%, 0.0002305%), (WFC, 0, 0.52%, 0.0000805%), (HON, 0, 0.50%, 0.0001462%), (UBER, 0, 0.49%, 0.0001102%), (MET, 0, 0.49%, 0.0003866%), (NOW, 0, 0.48%, 0.0000957%), (DE, 0, 0.46%, 0.0001343%), (PEP, 0, 0.45%, 0.0000935%), (T, 0, 0.41%, 0.0004011%), (ACN, 0, 0.41%, 0.0000970%), (MS, 0, 0.41%, 0.0000730%), (MRK, 0, 0.40%, 0.0000800%), (AXP, 0, 0.40%, 0.0000759%), (QCOM, 0, 0.39%, 0.0000919%), (ADBE, 0, 0.39%, 0.0001018%), (SPGI, 0, 0.39%, 0.0000984%), (TXN, 0, 0.38%, 0.0000896%), (VZ, 0, 0.38%, 0.0000857%), (BLK, 0, 0.38%, 0.0000885%), (COP, 0, 0.37%, 0.0001244%), (MDT, 0, 0.36%, 0.0001257%), (DIS, 0, 0.36%, 0.0000684%), (UNP, 0, 0.36%, 0.0001116%), (TMO, 0, 0.36%, 0.0000804%), (C, 0, 0.34%, 0.0000796%), (SBUX, 0, 0.34%, 0.0001315%), (AMAT, 0, 0.34%, 0.0000924%), (SCHW, 0, 0.34%, 0.0000774%), (AMGN, 0, 0.31%, 0.0000788%), (LMT, 0, 0.31%, 0.0001301%), (EMR, 0, 0.29%, 0.0001446%), (MMM, 0, 0.29%, 0.0001465%), (GILD, 0, 0.28%, 0.0000792%), (PFE, 0, 0.27%, 0.0000787%), (DHR, 0, 0.26%, 0.0000718%), (TJX, 0, 0.25%, 0.0000730%), (CVS, 0, 0.23%, 0.0001246%), (MO, 0, 0.23%, 0.0000942%), (LOW, 0, 0.23%, 0.0000727%), (MDLZ, 0, 0.21%, 0.0000966%), (CMCSA, 0, 0.21%, 0.0000713%), (ELV, 0, 0.21%, 0.0001314%), (INTC, 0, 0.19%, 0.0000828%), (BMY, 0, 0.18%, 0.0000786%), (UPS, 0, 0.18%, 0.0001084%), (PYPL, 0, 0.17%, 0.0001007%), (CL, 0, 0.15%, 0.0000861%), (FDX, 0, 0.14%, 0.0001038%), (USB, 0, 0.14%, 0.0000777%), (TGT, 0, 0.09%, 0.0000739%), (nan, 0, -0.00%, 0.0000000%), (nan, 0, -0.01%, 0.0000000%)</t>
  </si>
  <si>
    <t>(GOOGLE, 0, 3.63%, 0.0001312%), (AVGO, 0, 3.16%, 0.0001806%), (META, 0, 2.67%, 0.0001391%), (BRK/B, 0, 2.12%, 0.0002556%), (CSCO, 0, 1.83%, 0.0005413%), (LIN, 0, 1.79%, 0.0006483%), (AMT, 0, 1.66%, 0.0013118%), (JPM, 0, 1.66%, 0.0001623%), (TSLA, 0, 1.63%, 0.0001219%), (XOM, 0, 1.52%, 0.0002534%), (V, 0, 1.47%, 0.0001956%), (LLY, 0, 1.23%, 0.0001345%), (CB, 0, 1.14%, 0.0008611%), (WM, 0, 1.12%, 0.0009425%), (MA, 0, 1.12%, 0.0001768%), (GE, 0, 1.07%, 0.0002996%), (ORCL, 0, 0.99%, 0.0001115%), (NEE, 0, 0.88%, 0.0004683%), (NFLX, 0, 0.87%, 0.0001402%), (JNJ, 0, 0.82%, 0.0001613%), (CVX, 0, 0.81%, 0.0002006%), (PG, 0, 0.80%, 0.0001750%), (WMT, 0, 0.80%, 0.0000812%), (PLTR, 0, 0.79%, 0.0001783%), (UNH, 0, 0.79%, 0.0002612%), (COST, 0, 0.78%, 0.0001489%), (RTX, 0, 0.76%, 0.0002899%), (CAT, 0, 0.76%, 0.0003010%), (MCD, 0, 0.73%, 0.0002707%), (ABT, 0, 0.71%, 0.0002564%), (HD, 0, 0.69%, 0.0001469%), (ABBV, 0, 0.68%, 0.0001615%), (AMD, 0, 0.65%, 0.0001826%), (KO, 0, 0.64%, 0.0001719%), (BAC, 0, 0.64%, 0.0001428%), (CRM, 0, 0.64%, 0.0001986%), (BKNG, 0, 0.63%, 0.0002761%), (SO, 0, 0.62%, 0.0004723%), (BA, 0, 0.62%, 0.0002872%), (NKE, 0, 0.62%, 0.0005311%), (PM, 0, 0.60%, 0.0001905%), (IBM, 0, 0.60%, 0.0001957%), (ISRG, 0, 0.57%, 0.0002584%), (ETN, 0, 0.56%, 0.0002964%), (INTU, 0, 0.56%, 0.0001987%), (GS, 0, 0.55%, 0.0002010%), (DUK, 0, 0.55%, 0.0004715%), (WFC, 0, 0.55%, 0.0001647%), (HON, 0, 0.53%, 0.0002991%), (UBER, 0, 0.51%, 0.0002255%), (MET, 0, 0.51%, 0.0007908%), (NOW, 0, 0.50%, 0.0001957%), (DE, 0, 0.48%, 0.0002748%), (PEP, 0, 0.47%, 0.0001914%), (T, 0, 0.43%, 0.0008203%), (ACN, 0, 0.43%, 0.0001984%), (MS, 0, 0.43%, 0.0001494%), (MRK, 0, 0.42%, 0.0001635%), (AXP, 0, 0.41%, 0.0001553%), (QCOM, 0, 0.41%, 0.0001880%), (SPGI, 0, 0.41%, 0.0002015%), (ADBE, 0, 0.41%, 0.0002081%), (TXN, 0, 0.40%, 0.0001832%), (VZ, 0, 0.40%, 0.0001752%), (BLK, 0, 0.39%, 0.0001808%), (COP, 0, 0.39%, 0.0002545%), (MDT, 0, 0.38%, 0.0002570%), (DIS, 0, 0.38%, 0.0001399%), (UNP, 0, 0.38%, 0.0002283%), (TMO, 0, 0.37%, 0.0001642%), (C, 0, 0.36%, 0.0001629%), (AMAT, 0, 0.35%, 0.0001889%), (SBUX, 0, 0.35%, 0.0002689%), (SCHW, 0, 0.35%, 0.0001583%), (AMGN, 0, 0.33%, 0.0001612%), (LMT, 0, 0.32%, 0.0002662%), (EMR, 0, 0.31%, 0.0002958%), (MMM, 0, 0.30%, 0.0002993%), (GILD, 0, 0.29%, 0.0001620%), (PFE, 0, 0.28%, 0.0001609%), (DHR, 0, 0.27%, 0.0001470%), (TJX, 0, 0.26%, 0.0001492%), (CVS, 0, 0.24%, 0.0002548%), (MO, 0, 0.24%, 0.0001925%), (LOW, 0, 0.24%, 0.0001489%), (MDLZ, 0, 0.22%, 0.0001976%), (CMCSA, 0, 0.22%, 0.0001459%), (ELV, 0, 0.22%, 0.0002682%), (INTC, 0, 0.20%, 0.0001693%), (BMY, 0, 0.19%, 0.0001608%), (UPS, 0, 0.19%, 0.0002219%), (PYPL, 0, 0.17%, 0.0002060%), (CL, 0, 0.15%, 0.0001760%), (FDX, 0, 0.15%, 0.0002128%), (USB, 0, 0.14%, 0.0001589%), (TGT, 0, 0.09%, 0.0001512%), (nan, 0, -0.00%, 0.0000000%), (nan, 0, -0.01%, 0.0000000%)</t>
  </si>
  <si>
    <t>(AVGO, 0, 3.00%, 0.0003582%), (META, 0, 2.53%, 0.0002759%), (BRK/B, 0, 2.01%, 0.0005071%), (CSCO, 0, 1.73%, 0.0010737%), (LIN, 0, 1.70%, 0.0012862%), (AMT, 0, 1.58%, 0.0026026%), (JPM, 0, 1.58%, 0.0003219%), (TSLA, 0, 1.54%, 0.0002418%), (XOM, 0, 1.44%, 0.0005026%), (V, 0, 1.39%, 0.0003880%), (LLY, 0, 1.16%, 0.0002669%), (CB, 0, 1.08%, 0.0017085%), (WM, 0, 1.06%, 0.0018696%), (MA, 0, 1.06%, 0.0003507%), (GE, 0, 1.01%, 0.0005943%), (ORCL, 0, 0.94%, 0.0002212%), (NEE, 0, 0.83%, 0.0009290%), (NFLX, 0, 0.83%, 0.0002780%), (JNJ, 0, 0.78%, 0.0003201%), (CVX, 0, 0.76%, 0.0003980%), (PG, 0, 0.76%, 0.0003472%), (WMT, 0, 0.76%, 0.0001610%), (PLTR, 0, 0.75%, 0.0003537%), (UNH, 0, 0.75%, 0.0005181%), (COST, 0, 0.74%, 0.0002956%), (RTX, 0, 0.72%, 0.0005750%), (CAT, 0, 0.72%, 0.0005970%), (MCD, 0, 0.69%, 0.0005373%), (ABT, 0, 0.68%, 0.0005087%), (HD, 0, 0.65%, 0.0002914%), (ABBV, 0, 0.65%, 0.0003203%), (AMD, 0, 0.61%, 0.0003621%), (KO, 0, 0.61%, 0.0003410%), (BAC, 0, 0.60%, 0.0002834%), (CRM, 0, 0.60%, 0.0003941%), (BKNG, 0, 0.60%, 0.0005491%), (SO, 0, 0.59%, 0.0009370%), (BA, 0, 0.59%, 0.0005698%), (NKE, 0, 0.59%, 0.0010537%), (PM, 0, 0.57%, 0.0003779%), (IBM, 0, 0.57%, 0.0003881%), (ISRG, 0, 0.54%, 0.0005123%), (ETN, 0, 0.53%, 0.0005880%), (INTU, 0, 0.53%, 0.0003945%), (GS, 0, 0.52%, 0.0003991%), (DUK, 0, 0.52%, 0.0009354%), (WFC, 0, 0.52%, 0.0003268%), (HON, 0, 0.50%, 0.0005933%), (UBER, 0, 0.49%, 0.0004472%), (MET, 0, 0.49%, 0.0015687%), (NOW, 0, 0.48%, 0.0003885%), (DE, 0, 0.45%, 0.0005453%), (PEP, 0, 0.45%, 0.0003796%), (T, 0, 0.41%, 0.0016272%), (ACN, 0, 0.41%, 0.0003937%), (MS, 0, 0.41%, 0.0002964%), (MRK, 0, 0.40%, 0.0003243%), (AXP, 0, 0.39%, 0.0003080%), (QCOM, 0, 0.39%, 0.0003729%), (SPGI, 0, 0.38%, 0.0003999%), (ADBE, 0, 0.38%, 0.0004126%), (TXN, 0, 0.38%, 0.0003636%), (VZ, 0, 0.38%, 0.0003476%), (BLK, 0, 0.37%, 0.0003584%), (COP, 0, 0.37%, 0.0005049%), (MDT, 0, 0.36%, 0.0005099%), (DIS, 0, 0.36%, 0.0002777%), (UNP, 0, 0.36%, 0.0004527%), (TMO, 0, 0.35%, 0.0003261%), (C, 0, 0.34%, 0.0003230%), (AMAT, 0, 0.34%, 0.0003748%), (SCHW, 0, 0.33%, 0.0003141%), (SBUX, 0, 0.33%, 0.0005335%), (AMGN, 0, 0.31%, 0.0003197%), (LMT, 0, 0.31%, 0.0005281%), (EMR, 0, 0.29%, 0.0005869%), (MMM, 0, 0.29%, 0.0005939%), (GILD, 0, 0.27%, 0.0003213%), (PFE, 0, 0.27%, 0.0003192%), (DHR, 0, 0.25%, 0.0002915%), (TJX, 0, 0.25%, 0.0002960%), (CVS, 0, 0.23%, 0.0005056%), (MO, 0, 0.23%, 0.0003820%), (LOW, 0, 0.23%, 0.0002955%), (MDLZ, 0, 0.21%, 0.0003921%), (CMCSA, 0, 0.21%, 0.0002895%), (ELV, 0, 0.21%, 0.0005323%), (INTC, 0, 0.19%, 0.0003358%), (BMY, 0, 0.18%, 0.0003190%), (UPS, 0, 0.18%, 0.0004402%), (PYPL, 0, 0.17%, 0.0004087%), (CL, 0, 0.15%, 0.0003492%), (FDX, 0, 0.14%, 0.0004221%), (USB, 0, 0.14%, 0.0003152%), (TGT, 0, 0.09%, 0.0002997%), (nan, 0, -0.01%, 0.0000000%), (nan, 0, -0.01%, 0.0000000%)</t>
  </si>
  <si>
    <t>(AVGO, 0, 3.01%, 0.0000518%), (META, 0, 2.46%, 0.0000399%), (BRK/B, 0, 1.96%, 0.0000733%), (CSCO, 0, 1.71%, 0.0001553%), (LIN, 0, 1.65%, 0.0001861%), (JPM, 0, 1.56%, 0.0000466%), (AMT, 0, 1.50%, 0.0003764%), (TSLA, 0, 1.50%, 0.0000350%), (XOM, 0, 1.41%, 0.0000727%), (V, 0, 1.36%, 0.0000561%), (LLY, 0, 1.13%, 0.0000386%), (CB, 0, 1.06%, 0.0002472%), (WM, 0, 1.03%, 0.0002703%), (MA, 0, 1.03%, 0.0000507%), (GE, 0, 1.01%, 0.0000860%), (ORCL, 0, 0.93%, 0.0000320%), (NFLX, 0, 0.82%, 0.0000401%), (NEE, 0, 0.81%, 0.0001344%), (JNJ, 0, 0.76%, 0.0000463%), (PLTR, 0, 0.75%, 0.0000512%), (WMT, 0, 0.74%, 0.0000233%), (UNH, 0, 0.74%, 0.0000750%), (CVX, 0, 0.74%, 0.0000576%), (PG, 0, 0.73%, 0.0000502%), (COST, 0, 0.72%, 0.0000429%), (RTX, 0, 0.72%, 0.0000832%), (CAT, 0, 0.72%, 0.0000864%), (MCD, 0, 0.68%, 0.0000778%), (ABT, 0, 0.67%, 0.0000736%), (HD, 0, 0.64%, 0.0000422%), (ABBV, 0, 0.63%, 0.0000464%), (AMD, 0, 0.61%, 0.0000524%), (BKNG, 0, 0.60%, 0.0000807%), (KO, 0, 0.59%, 0.0000493%), (BAC, 0, 0.59%, 0.0000410%), (CRM, 0, 0.59%, 0.0000570%), (BA, 0, 0.58%, 0.0000824%), (SO, 0, 0.58%, 0.0001355%), (NKE, 0, 0.57%, 0.0001524%), (PM, 0, 0.56%, 0.0000547%), (IBM, 0, 0.56%, 0.0000562%), (ISRG, 0, 0.53%, 0.0000742%), (ETN, 0, 0.53%, 0.0000850%), (INTU, 0, 0.52%, 0.0000570%), (DUK, 0, 0.52%, 0.0001353%), (GS, 0, 0.52%, 0.0000577%), (WFC, 0, 0.50%, 0.0000473%), (HON, 0, 0.49%, 0.0000858%), (UBER, 0, 0.48%, 0.0000647%), (NOW, 0, 0.47%, 0.0000562%), (MET, 0, 0.46%, 0.0002269%), (DE, 0, 0.44%, 0.0000788%), (PEP, 0, 0.44%, 0.0000549%), (T, 0, 0.41%, 0.0002354%), (MS, 0, 0.40%, 0.0000428%), (ACN, 0, 0.40%, 0.0000570%), (MRK, 0, 0.39%, 0.0000469%), (AXP, 0, 0.38%, 0.0000446%), (SPGI, 0, 0.38%, 0.0000578%), (QCOM, 0, 0.38%, 0.0000539%), (ADBE, 0, 0.37%, 0.0000597%), (VZ, 0, 0.37%, 0.0000503%), (TXN, 0, 0.37%, 0.0000526%), (BLK, 0, 0.36%, 0.0000517%), (COP, 0, 0.36%, 0.0000730%), (UNP, 0, 0.36%, 0.0000654%), (MDT, 0, 0.35%, 0.0000738%), (DIS, 0, 0.35%, 0.0000402%), (TMO, 0, 0.34%, 0.0000471%), (C, 0, 0.34%, 0.0000467%), (AMAT, 0, 0.33%, 0.0000542%), (SBUX, 0, 0.33%, 0.0000772%), (SCHW, 0, 0.33%, 0.0000454%), (AMGN, 0, 0.31%, 0.0000463%), (LMT, 0, 0.30%, 0.0000765%), (EMR, 0, 0.28%, 0.0000849%), (MMM, 0, 0.27%, 0.0000858%), (GILD, 0, 0.27%, 0.0000465%), (PFE, 0, 0.26%, 0.0000462%), (DHR, 0, 0.25%, 0.0000422%), (TJX, 0, 0.24%, 0.0000428%), (CVS, 0, 0.23%, 0.0000731%), (MO, 0, 0.23%, 0.0000553%), (LOW, 0, 0.22%, 0.0000428%), (ELV, 0, 0.20%, 0.0000769%), (CMCSA, 0, 0.20%, 0.0000419%), (MDLZ, 0, 0.20%, 0.0000567%), (INTC, 0, 0.19%, 0.0000486%), (BMY, 0, 0.18%, 0.0000462%), (UPS, 0, 0.17%, 0.0000637%), (PYPL, 0, 0.16%, 0.0000591%), (CL, 0, 0.14%, 0.0000505%), (USB, 0, 0.13%, 0.0000456%), (FDX, 0, 0.13%, 0.0000610%), (TGT, 0, 0.08%, 0.0000434%), (nan, 0, -0.01%, 0.0000000%), (nan, 0, -0.01%, 0.0000000%)</t>
  </si>
  <si>
    <t>(GOOGLE, 0, 3.66%, 0.0002288%), (AVGO, 0, 3.24%, 0.0003148%), (META, 0, 2.65%, 0.0002425%), (BRK/B, 0, 2.11%, 0.0004456%), (CSCO, 0, 1.84%, 0.0009436%), (LIN, 0, 1.78%, 0.0011303%), (JPM, 0, 1.68%, 0.0002829%), (AMT, 0, 1.62%, 0.0022871%), (TSLA, 0, 1.61%, 0.0002125%), (XOM, 0, 1.52%, 0.0004417%), (V, 0, 1.47%, 0.0003410%), (LLY, 0, 1.22%, 0.0002346%), (CB, 0, 1.14%, 0.0015015%), (WM, 0, 1.11%, 0.0016430%), (MA, 0, 1.11%, 0.0003082%), (GE, 0, 1.09%, 0.0005224%), (ORCL, 0, 1.00%, 0.0001944%), (NFLX, 0, 0.89%, 0.0002443%), (NEE, 0, 0.88%, 0.0008164%), (JNJ, 0, 0.82%, 0.0002812%), (PLTR, 0, 0.81%, 0.0003108%), (WMT, 0, 0.79%, 0.0001415%), (UNH, 0, 0.79%, 0.0004553%), (CVX, 0, 0.79%, 0.0003497%), (PG, 0, 0.79%, 0.0003051%), (RTX, 0, 0.77%, 0.0005054%), (COST, 0, 0.77%, 0.0002597%), (CAT, 0, 0.77%, 0.0005247%), (MCD, 0, 0.74%, 0.0004721%), (ABT, 0, 0.72%, 0.0004470%), (HD, 0, 0.68%, 0.0002561%), (ABBV, 0, 0.68%, 0.0002815%), (AMD, 0, 0.66%, 0.0003183%), (KO, 0, 0.64%, 0.0002997%), (BAC, 0, 0.64%, 0.0002490%), (BKNG, 0, 0.63%, 0.0004840%), (CRM, 0, 0.63%, 0.0003463%), (BA, 0, 0.62%, 0.0005007%), (SO, 0, 0.62%, 0.0008234%), (NKE, 0, 0.61%, 0.0009260%), (PM, 0, 0.61%, 0.0003321%), (IBM, 0, 0.60%, 0.0003412%), (ISRG, 0, 0.57%, 0.0004502%), (ETN, 0, 0.57%, 0.0005168%), (INTU, 0, 0.56%, 0.0003468%), (DUK, 0, 0.56%, 0.0008220%), (GS, 0, 0.55%, 0.0003508%), (WFC, 0, 0.54%, 0.0002872%), (HON, 0, 0.53%, 0.0005214%), (UBER, 0, 0.52%, 0.0003931%), (NOW, 0, 0.50%, 0.0003413%), (MET, 0, 0.50%, 0.0013786%), (DE, 0, 0.48%, 0.0004790%), (PEP, 0, 0.47%, 0.0003336%), (T, 0, 0.44%, 0.0014300%), (MS, 0, 0.43%, 0.0002605%), (ACN, 0, 0.43%, 0.0003460%), (MRK, 0, 0.42%, 0.0002850%), (AXP, 0, 0.41%, 0.0002707%), (SPGI, 0, 0.41%, 0.0003514%), (QCOM, 0, 0.40%, 0.0003277%), (ADBE, 0, 0.40%, 0.0003626%), (VZ, 0, 0.40%, 0.0003054%), (TXN, 0, 0.40%, 0.0003195%), (BLK, 0, 0.39%, 0.0003151%), (COP, 0, 0.39%, 0.0004437%), (UNP, 0, 0.38%, 0.0003979%), (MDT, 0, 0.38%, 0.0004481%), (DIS, 0, 0.38%, 0.0002440%), (TMO, 0, 0.37%, 0.0002867%), (C, 0, 0.36%, 0.0002839%), (SBUX, 0, 0.36%, 0.0004688%), (AMAT, 0, 0.36%, 0.0003294%), (SCHW, 0, 0.36%, 0.0002760%), (AMGN, 0, 0.33%, 0.0002810%), (LMT, 0, 0.33%, 0.0004641%), (EMR, 0, 0.31%, 0.0005158%), (MMM, 0, 0.29%, 0.0005218%), (GILD, 0, 0.29%, 0.0002824%), (PFE, 0, 0.28%, 0.0002805%), (DHR, 0, 0.27%, 0.0002561%), (TJX, 0, 0.26%, 0.0002600%), (CVS, 0, 0.25%, 0.0004443%), (MO, 0, 0.25%, 0.0003357%), (LOW, 0, 0.24%, 0.0002596%), (ELV, 0, 0.22%, 0.0004675%), (CMCSA, 0, 0.22%, 0.0002544%), (MDLZ, 0, 0.21%, 0.0003446%), (INTC, 0, 0.20%, 0.0002951%), (BMY, 0, 0.19%, 0.0002804%), (UPS, 0, 0.18%, 0.0003868%), (PYPL, 0, 0.17%, 0.0003591%), (CL, 0, 0.15%, 0.0003068%), (USB, 0, 0.14%, 0.0002770%), (FDX, 0, 0.14%, 0.0003708%), (TGT, 0, 0.09%, 0.0002634%), (nan, 0, -0.01%, 0.0000000%), (nan, 0, -0.01%, 0.0000000%)</t>
  </si>
  <si>
    <t>(GOOGLE, 0, 3.65%, 0.0001704%), (AVGO, 0, 3.23%, 0.0002345%), (META, 0, 2.64%, 0.0001806%), (BRK/B, 0, 2.11%, 0.0003319%), (CSCO, 0, 1.83%, 0.0007028%), (LIN, 0, 1.78%, 0.0008418%), (JPM, 0, 1.68%, 0.0002107%), (AMT, 0, 1.61%, 0.0017033%), (TSLA, 0, 1.61%, 0.0001582%), (XOM, 0, 1.51%, 0.0003290%), (V, 0, 1.47%, 0.0002540%), (LLY, 0, 1.22%, 0.0001747%), (CB, 0, 1.13%, 0.0011183%), (WM, 0, 1.11%, 0.0012237%), (MA, 0, 1.11%, 0.0002296%), (GE, 0, 1.08%, 0.0003891%), (ORCL, 0, 0.99%, 0.0001448%), (NFLX, 0, 0.88%, 0.0001820%), (NEE, 0, 0.87%, 0.0006080%), (JNJ, 0, 0.82%, 0.0002095%), (PLTR, 0, 0.81%, 0.0002315%), (WMT, 0, 0.79%, 0.0001054%), (UNH, 0, 0.79%, 0.0003391%), (CVX, 0, 0.79%, 0.0002605%), (PG, 0, 0.78%, 0.0002272%), (RTX, 0, 0.77%, 0.0003764%), (COST, 0, 0.77%, 0.0001936%), (CAT, 0, 0.77%, 0.0003908%), (MCD, 0, 0.73%, 0.0003516%), (ABT, 0, 0.72%, 0.0003329%), (HD, 0, 0.68%, 0.0001908%), (ABBV, 0, 0.67%, 0.0002097%), (AMD, 0, 0.66%, 0.0002371%), (KO, 0, 0.64%, 0.0002232%), (BAC, 0, 0.64%, 0.0001855%), (BKNG, 0, 0.63%, 0.0003599%), (CRM, 0, 0.63%, 0.0002579%), (BA, 0, 0.62%, 0.0003728%), (SO, 0, 0.62%, 0.0006133%), (NKE, 0, 0.61%, 0.0006897%), (PM, 0, 0.60%, 0.0002474%), (IBM, 0, 0.60%, 0.0002541%), (ISRG, 0, 0.57%, 0.0003354%), (ETN, 0, 0.56%, 0.0003848%), (INTU, 0, 0.56%, 0.0002582%), (DUK, 0, 0.56%, 0.0006122%), (GS, 0, 0.55%, 0.0002614%), (WFC, 0, 0.54%, 0.0002139%), (HON, 0, 0.53%, 0.0003883%), (UBER, 0, 0.52%, 0.0002927%), (NOW, 0, 0.50%, 0.0002543%), (MET, 0, 0.50%, 0.0010267%), (DE, 0, 0.47%, 0.0003570%), (PEP, 0, 0.47%, 0.0002485%), (T, 0, 0.44%, 0.0010651%), (MS, 0, 0.43%, 0.0001940%), (ACN, 0, 0.43%, 0.0002577%), (MRK, 0, 0.42%, 0.0002123%), (AXP, 0, 0.41%, 0.0002016%), (SPGI, 0, 0.41%, 0.0002619%), (QCOM, 0, 0.40%, 0.0002441%), (ADBE, 0, 0.40%, 0.0002702%), (VZ, 0, 0.40%, 0.0002275%), (TXN, 0, 0.39%, 0.0002379%), (BLK, 0, 0.39%, 0.0002344%), (COP, 0, 0.38%, 0.0003305%), (UNP, 0, 0.38%, 0.0002964%), (MDT, 0, 0.38%, 0.0003338%), (DIS, 0, 0.38%, 0.0001817%), (TMO, 0, 0.37%, 0.0002135%), (C, 0, 0.36%, 0.0002114%), (SBUX, 0, 0.36%, 0.0003492%), (AMAT, 0, 0.36%, 0.0002453%), (SCHW, 0, 0.36%, 0.0002056%), (AMGN, 0, 0.33%, 0.0002093%), (LMT, 0, 0.32%, 0.0003457%), (EMR, 0, 0.31%, 0.0003842%), (MMM, 0, 0.29%, 0.0003887%), (GILD, 0, 0.29%, 0.0002103%), (PFE, 0, 0.27%, 0.0002089%), (DHR, 0, 0.27%, 0.0001907%), (TJX, 0, 0.26%, 0.0001937%), (CVS, 0, 0.25%, 0.0003309%), (MO, 0, 0.25%, 0.0002500%), (LOW, 0, 0.24%, 0.0001933%), (ELV, 0, 0.22%, 0.0003483%), (CMCSA, 0, 0.22%, 0.0001895%), (MDLZ, 0, 0.21%, 0.0002567%), (INTC, 0, 0.20%, 0.0002198%), (BMY, 0, 0.19%, 0.0002088%), (UPS, 0, 0.18%, 0.0002880%), (PYPL, 0, 0.17%, 0.0002675%), (CL, 0, 0.15%, 0.0002285%), (USB, 0, 0.14%, 0.0002063%), (FDX, 0, 0.14%, 0.0002763%), (TGT, 0, 0.09%, 0.0001963%), (nan, 0, -0.01%, 0.0000000%), (nan, 0, -0.01%, 0.0000000%)</t>
  </si>
  <si>
    <t>(GOOGLE, 0, 3.69%, 0.0000399%), (AVGO, 0, 3.26%, 0.0000550%), (META, 0, 2.67%, 0.0000423%), (BRK/B, 0, 2.13%, 0.0000778%), (CSCO, 0, 1.85%, 0.0001647%), (LIN, 0, 1.79%, 0.0001972%), (JPM, 0, 1.69%, 0.0000494%), (AMT, 0, 1.63%, 0.0003992%), (TSLA, 0, 1.63%, 0.0000371%), (XOM, 0, 1.53%, 0.0000771%), (V, 0, 1.48%, 0.0000595%), (LLY, 0, 1.23%, 0.0000409%), (CB, 0, 1.15%, 0.0002620%), (WM, 0, 1.12%, 0.0002867%), (MA, 0, 1.12%, 0.0000539%), (GE, 0, 1.09%, 0.0000912%), (ORCL, 0, 1.00%, 0.0000340%), (NFLX, 0, 0.90%, 0.0000427%), (NEE, 0, 0.88%, 0.0001425%), (JNJ, 0, 0.82%, 0.0000491%), (PLTR, 0, 0.82%, 0.0000543%), (WMT, 0, 0.80%, 0.0000247%), (UNH, 0, 0.80%, 0.0000795%), (CVX, 0, 0.80%, 0.0000611%), (PG, 0, 0.79%, 0.0000533%), (RTX, 0, 0.78%, 0.0000882%), (CAT, 0, 0.78%, 0.0000916%), (COST, 0, 0.78%, 0.0000454%), (MCD, 0, 0.74%, 0.0000824%), (ABT, 0, 0.72%, 0.0000780%), (HD, 0, 0.69%, 0.0000447%), (ABBV, 0, 0.68%, 0.0000491%), (AMD, 0, 0.66%, 0.0000556%), (KO, 0, 0.64%, 0.0000523%), (BAC, 0, 0.64%, 0.0000435%), (BKNG, 0, 0.63%, 0.0000838%), (CRM, 0, 0.63%, 0.0000604%), (BA, 0, 0.63%, 0.0000874%), (SO, 0, 0.63%, 0.0001437%), (NKE, 0, 0.61%, 0.0001616%), (PM, 0, 0.61%, 0.0000579%), (IBM, 0, 0.60%, 0.0000596%), (ISRG, 0, 0.58%, 0.0000787%), (ETN, 0, 0.57%, 0.0000902%), (INTU, 0, 0.57%, 0.0000606%), (GS, 0, 0.56%, 0.0000613%), (DUK, 0, 0.56%, 0.0001435%), (WFC, 0, 0.55%, 0.0000501%), (HON, 0, 0.53%, 0.0000910%), (UBER, 0, 0.52%, 0.0000686%), (NOW, 0, 0.51%, 0.0000596%), (MET, 0, 0.50%, 0.0002406%), (DE, 0, 0.48%, 0.0000836%), (PEP, 0, 0.47%, 0.0000582%), (T, 0, 0.44%, 0.0002496%), (MS, 0, 0.44%, 0.0000455%), (ACN, 0, 0.43%, 0.0000604%), (MRK, 0, 0.42%, 0.0000498%), (AXP, 0, 0.41%, 0.0000473%), (SPGI, 0, 0.41%, 0.0000614%), (QCOM, 0, 0.41%, 0.0000572%), (ADBE, 0, 0.40%, 0.0000633%), (VZ, 0, 0.40%, 0.0000533%), (TXN, 0, 0.40%, 0.0000558%), (BLK, 0, 0.40%, 0.0000549%), (COP, 0, 0.39%, 0.0000774%), (UNP, 0, 0.39%, 0.0000695%), (MDT, 0, 0.38%, 0.0000782%), (DIS, 0, 0.38%, 0.0000426%), (TMO, 0, 0.37%, 0.0000500%), (C, 0, 0.36%, 0.0000495%), (AMAT, 0, 0.36%, 0.0000575%), (SBUX, 0, 0.36%, 0.0000818%), (SCHW, 0, 0.36%, 0.0000482%), (AMGN, 0, 0.33%, 0.0000490%), (LMT, 0, 0.33%, 0.0000808%), (EMR, 0, 0.31%, 0.0000901%), (MMM, 0, 0.30%, 0.0000911%), (GILD, 0, 0.29%, 0.0000493%), (PFE, 0, 0.28%, 0.0000490%), (DHR, 0, 0.27%, 0.0000447%), (TJX, 0, 0.26%, 0.0000454%), (CVS, 0, 0.25%, 0.0000775%), (MO, 0, 0.25%, 0.0000586%), (LOW, 0, 0.24%, 0.0000453%), (ELV, 0, 0.22%, 0.0000814%), (CMCSA, 0, 0.22%, 0.0000444%), (MDLZ, 0, 0.21%, 0.0000601%), (INTC, 0, 0.20%, 0.0000515%), (BMY, 0, 0.19%, 0.0000489%), (UPS, 0, 0.18%, 0.0000675%), (PYPL, 0, 0.17%, 0.0000627%), (CL, 0, 0.15%, 0.0000536%), (USB, 0, 0.14%, 0.0000483%), (FDX, 0, 0.14%, 0.0000648%), (TGT, 0, 0.09%, 0.0000460%), (nan, 0, -0.01%, 0.0000000%), (nan, 0, -0.01%, 0.0000000%)</t>
  </si>
  <si>
    <t>(GOOGLE, 0, 3.52%, 0.0000697%), (AVGO, 0, 3.12%, 0.0000959%), (META, 0, 2.55%, 0.0000739%), (BRK/B, 0, 2.03%, 0.0001358%), (CSCO, 0, 1.77%, 0.0002876%), (LIN, 0, 1.71%, 0.0003444%), (JPM, 0, 1.62%, 0.0000862%), (AMT, 0, 1.56%, 0.0006970%), (TSLA, 0, 1.55%, 0.0000647%), (XOM, 0, 1.46%, 0.0001346%), (V, 0, 1.42%, 0.0001039%), (LLY, 0, 1.18%, 0.0000715%), (CB, 0, 1.09%, 0.0004576%), (WM, 0, 1.07%, 0.0005007%), (MA, 0, 1.07%, 0.0000939%), (GE, 0, 1.05%, 0.0001592%), (ORCL, 0, 0.96%, 0.0000592%), (NFLX, 0, 0.85%, 0.0000746%), (NEE, 0, 0.84%, 0.0002488%), (JNJ, 0, 0.79%, 0.0000857%), (PLTR, 0, 0.78%, 0.0000947%), (WMT, 0, 0.77%, 0.0000431%), (UNH, 0, 0.76%, 0.0001388%), (CVX, 0, 0.76%, 0.0001066%), (PG, 0, 0.76%, 0.0000930%), (RTX, 0, 0.75%, 0.0001540%), (COST, 0, 0.74%, 0.0000792%), (CAT, 0, 0.74%, 0.0001599%), (MCD, 0, 0.71%, 0.0001439%), (ABT, 0, 0.69%, 0.0001362%), (HD, 0, 0.66%, 0.0000781%), (ABBV, 0, 0.65%, 0.0000858%), (AMD, 0, 0.64%, 0.0000970%), (KO, 0, 0.62%, 0.0000913%), (BAC, 0, 0.61%, 0.0000759%), (CRM, 0, 0.61%, 0.0001056%), (BKNG, 0, 0.60%, 0.0001458%), (BA, 0, 0.60%, 0.0001526%), (SO, 0, 0.60%, 0.0002510%), (NKE, 0, 0.59%, 0.0002822%), (PM, 0, 0.58%, 0.0001012%), (IBM, 0, 0.58%, 0.0001040%), (ISRG, 0, 0.55%, 0.0001371%), (ETN, 0, 0.55%, 0.0001575%), (INTU, 0, 0.54%, 0.0001058%), (DUK, 0, 0.54%, 0.0002504%), (GS, 0, 0.53%, 0.0001070%), (WFC, 0, 0.52%, 0.0000875%), (HON, 0, 0.51%, 0.0001589%), (UBER, 0, 0.50%, 0.0001198%), (NOW, 0, 0.48%, 0.0001038%), (MET, 0, 0.48%, 0.0004201%), (DE, 0, 0.46%, 0.0001461%), (PEP, 0, 0.45%, 0.0001017%), (T, 0, 0.42%, 0.0004358%), (MS, 0, 0.42%, 0.0000794%), (ACN, 0, 0.41%, 0.0001055%), (MRK, 0, 0.41%, 0.0000869%), (AXP, 0, 0.39%, 0.0000825%), (QCOM, 0, 0.39%, 0.0000999%), (SPGI, 0, 0.39%, 0.0001070%), (ADBE, 0, 0.39%, 0.0001106%), (VZ, 0, 0.38%, 0.0000931%), (TXN, 0, 0.38%, 0.0000974%), (BLK, 0, 0.38%, 0.0000962%), (COP, 0, 0.37%, 0.0001352%), (UNP, 0, 0.37%, 0.0001212%), (MDT, 0, 0.37%, 0.0001366%), (DIS, 0, 0.37%, 0.0000744%), (TMO, 0, 0.36%, 0.0000873%), (C, 0, 0.35%, 0.0000865%), (SBUX, 0, 0.34%, 0.0001429%), (AMAT, 0, 0.34%, 0.0001004%), (SCHW, 0, 0.34%, 0.0000841%), (AMGN, 0, 0.32%, 0.0000856%), (LMT, 0, 0.31%, 0.0001413%), (EMR, 0, 0.29%, 0.0001572%), (MMM, 0, 0.28%, 0.0001591%), (GILD, 0, 0.28%, 0.0000861%), (PFE, 0, 0.26%, 0.0000855%), (DHR, 0, 0.26%, 0.0000780%), (TJX, 0, 0.25%, 0.0000792%), (CVS, 0, 0.24%, 0.0001354%), (MO, 0, 0.24%, 0.0001023%), (LOW, 0, 0.23%, 0.0000792%), (ELV, 0, 0.21%, 0.0001426%), (CMCSA, 0, 0.21%, 0.0000775%), (MDLZ, 0, 0.20%, 0.0001050%), (INTC, 0, 0.19%, 0.0000899%), (BMY, 0, 0.18%, 0.0000855%), (UPS, 0, 0.17%, 0.0001179%), (PYPL, 0, 0.16%, 0.0001094%), (CL, 0, 0.15%, 0.0000935%), (USB, 0, 0.14%, 0.0000844%), (FDX, 0, 0.14%, 0.0001132%), (TGT, 0, 0.09%, 0.0000803%), (nan, 0, -0.01%, 0.0000000%), (nan, 0, -0.01%, 0.0000000%)</t>
  </si>
  <si>
    <t>(GOOGLE, 0, 3.60%, 0.0000253%), (AVGO, 0, 3.18%, 0.0000348%), (META, 0, 2.60%, 0.0000268%), (BRK/B, 0, 2.08%, 0.0000493%), (CSCO, 0, 1.81%, 0.0001042%), (LIN, 0, 1.75%, 0.0001249%), (JPM, 0, 1.65%, 0.0000312%), (AMT, 0, 1.59%, 0.0002527%), (TSLA, 0, 1.59%, 0.0000235%), (XOM, 0, 1.49%, 0.0000488%), (V, 0, 1.45%, 0.0000377%), (LLY, 0, 1.20%, 0.0000259%), (CB, 0, 1.12%, 0.0001659%), (WM, 0, 1.09%, 0.0001814%), (MA, 0, 1.09%, 0.0000341%), (GE, 0, 1.07%, 0.0000577%), (ORCL, 0, 0.98%, 0.0000215%), (NFLX, 0, 0.87%, 0.0000269%), (NEE, 0, 0.86%, 0.0000902%), (JNJ, 0, 0.80%, 0.0000311%), (PLTR, 0, 0.80%, 0.0000343%), (UNH, 0, 0.78%, 0.0000503%), (WMT, 0, 0.78%, 0.0000156%), (CVX, 0, 0.78%, 0.0000386%), (PG, 0, 0.77%, 0.0000337%), (RTX, 0, 0.76%, 0.0000559%), (CAT, 0, 0.76%, 0.0000581%), (COST, 0, 0.76%, 0.0000287%), (MCD, 0, 0.72%, 0.0000521%), (ABT, 0, 0.71%, 0.0000494%), (HD, 0, 0.67%, 0.0000283%), (ABBV, 0, 0.66%, 0.0000311%), (AMD, 0, 0.65%, 0.0000352%), (KO, 0, 0.63%, 0.0000331%), (BAC, 0, 0.63%, 0.0000275%), (CRM, 0, 0.62%, 0.0000382%), (BKNG, 0, 0.61%, 0.0000527%), (SO, 0, 0.61%, 0.0000910%), (BA, 0, 0.61%, 0.0000553%), (NKE, 0, 0.60%, 0.0001023%), (PM, 0, 0.60%, 0.0000367%), (IBM, 0, 0.59%, 0.0000377%), (ISRG, 0, 0.57%, 0.0000496%), (ETN, 0, 0.56%, 0.0000570%), (INTU, 0, 0.56%, 0.0000384%), (DUK, 0, 0.55%, 0.0000909%), (GS, 0, 0.55%, 0.0000387%), (WFC, 0, 0.53%, 0.0000317%), (HON, 0, 0.52%, 0.0000576%), (UBER, 0, 0.51%, 0.0000434%), (NOW, 0, 0.49%, 0.0000375%), (MET, 0, 0.49%, 0.0001523%), (DE, 0, 0.47%, 0.0000529%), (PEP, 0, 0.46%, 0.0000369%), (T, 0, 0.43%, 0.0001580%), (MS, 0, 0.43%, 0.0000288%), (ACN, 0, 0.42%, 0.0000382%), (MRK, 0, 0.41%, 0.0000315%), (SPGI, 0, 0.40%, 0.0000390%), (AXP, 0, 0.40%, 0.0000299%), (QCOM, 0, 0.40%, 0.0000362%), (ADBE, 0, 0.39%, 0.0000401%), (VZ, 0, 0.39%, 0.0000337%), (TXN, 0, 0.39%, 0.0000353%), (BLK, 0, 0.39%, 0.0000349%), (COP, 0, 0.38%, 0.0000490%), (UNP, 0, 0.38%, 0.0000440%), (MDT, 0, 0.37%, 0.0000495%), (DIS, 0, 0.37%, 0.0000270%), (TMO, 0, 0.36%, 0.0000317%), (C, 0, 0.36%, 0.0000313%), (SBUX, 0, 0.35%, 0.0000518%), (SCHW, 0, 0.35%, 0.0000305%), (AMAT, 0, 0.35%, 0.0000364%), (AMGN, 0, 0.32%, 0.0000310%), (LMT, 0, 0.32%, 0.0000514%), (EMR, 0, 0.30%, 0.0000570%), (MMM, 0, 0.29%, 0.0000576%), (GILD, 0, 0.29%, 0.0000312%), (PFE, 0, 0.27%, 0.0000310%), (DHR, 0, 0.26%, 0.0000283%), (TJX, 0, 0.26%, 0.0000288%), (CVS, 0, 0.25%, 0.0000491%), (MO, 0, 0.25%, 0.0000371%), (LOW, 0, 0.24%, 0.0000287%), (ELV, 0, 0.22%, 0.0000517%), (CMCSA, 0, 0.21%, 0.0000281%), (MDLZ, 0, 0.21%, 0.0000381%), (INTC, 0, 0.20%, 0.0000326%), (BMY, 0, 0.19%, 0.0000310%), (UPS, 0, 0.18%, 0.0000428%), (PYPL, 0, 0.17%, 0.0000397%), (CL, 0, 0.15%, 0.0000339%), (USB, 0, 0.14%, 0.0000306%), (FDX, 0, 0.14%, 0.0000411%), (TGT, 0, 0.09%, 0.0000290%), (nan, 0, -0.01%, 0.0000000%), (nan, 0, -0.01%, 0.0000000%)</t>
  </si>
  <si>
    <t>(GOOGLE, 0, 3.83%, 0.0000607%), (AVGO, 0, 3.39%, 0.0000835%), (META, 0, 2.76%, 0.0000643%), (BRK/B, 0, 2.21%, 0.0001182%), (CSCO, 0, 1.92%, 0.0002504%), (LIN, 0, 1.86%, 0.0002998%), (JPM, 0, 1.76%, 0.0000751%), (AMT, 0, 1.69%, 0.0006069%), (TSLA, 0, 1.69%, 0.0000564%), (XOM, 0, 1.59%, 0.0001172%), (V, 0, 1.54%, 0.0000905%), (LLY, 0, 1.27%, 0.0000622%), (CB, 0, 1.19%, 0.0003984%), (WM, 0, 1.16%, 0.0004359%), (MA, 0, 1.16%, 0.0000818%), (GE, 0, 1.14%, 0.0001386%), (ORCL, 0, 1.04%, 0.0000516%), (NFLX, 0, 0.93%, 0.0000649%), (NEE, 0, 0.91%, 0.0002166%), (JNJ, 0, 0.86%, 0.0000746%), (PLTR, 0, 0.85%, 0.0000825%), (WMT, 0, 0.83%, 0.0000375%), (UNH, 0, 0.83%, 0.0001208%), (CVX, 0, 0.83%, 0.0000928%), (PG, 0, 0.82%, 0.0000810%), (RTX, 0, 0.81%, 0.0001341%), (CAT, 0, 0.80%, 0.0001392%), (COST, 0, 0.80%, 0.0000688%), (MCD, 0, 0.77%, 0.0001253%), (ABT, 0, 0.75%, 0.0001186%), (HD, 0, 0.71%, 0.0000679%), (ABBV, 0, 0.71%, 0.0000747%), (AMD, 0, 0.69%, 0.0000844%), (KO, 0, 0.67%, 0.0000795%), (BAC, 0, 0.67%, 0.0000661%), (CRM, 0, 0.66%, 0.0000919%), (BKNG, 0, 0.66%, 0.0001272%), (BA, 0, 0.65%, 0.0001329%), (SO, 0, 0.65%, 0.0002185%), (NKE, 0, 0.64%, 0.0002457%), (PM, 0, 0.63%, 0.0000881%), (IBM, 0, 0.63%, 0.0000905%), (ISRG, 0, 0.60%, 0.0001196%), (ETN, 0, 0.59%, 0.0001372%), (INTU, 0, 0.58%, 0.0000918%), (DUK, 0, 0.58%, 0.0002181%), (GS, 0, 0.58%, 0.0000930%), (WFC, 0, 0.57%, 0.0000762%), (HON, 0, 0.55%, 0.0001383%), (UBER, 0, 0.54%, 0.0001043%), (NOW, 0, 0.52%, 0.0000904%), (MET, 0, 0.52%, 0.0003657%), (DE, 0, 0.50%, 0.0001273%), (PEP, 0, 0.49%, 0.0000885%), (T, 0, 0.46%, 0.0003794%), (MS, 0, 0.45%, 0.0000691%), (ACN, 0, 0.45%, 0.0000918%), (MRK, 0, 0.44%, 0.0000756%), (AXP, 0, 0.43%, 0.0000719%), (QCOM, 0, 0.42%, 0.0000869%), (SPGI, 0, 0.42%, 0.0000931%), (ADBE, 0, 0.42%, 0.0000963%), (VZ, 0, 0.41%, 0.0000810%), (TXN, 0, 0.41%, 0.0000847%), (BLK, 0, 0.41%, 0.0000833%), (COP, 0, 0.40%, 0.0001177%), (UNP, 0, 0.40%, 0.0001055%), (MDT, 0, 0.40%, 0.0001189%), (DIS, 0, 0.40%, 0.0000647%), (TMO, 0, 0.39%, 0.0000761%), (C, 0, 0.38%, 0.0000753%), (SBUX, 0, 0.37%, 0.0001244%), (AMAT, 0, 0.37%, 0.0000874%), (SCHW, 0, 0.37%, 0.0000732%), (AMGN, 0, 0.34%, 0.0000745%), (LMT, 0, 0.34%, 0.0001232%), (EMR, 0, 0.32%, 0.0001368%), (MMM, 0, 0.31%, 0.0001385%), (GILD, 0, 0.30%, 0.0000750%), (PFE, 0, 0.29%, 0.0000744%), (DHR, 0, 0.28%, 0.0000680%), (TJX, 0, 0.27%, 0.0000690%), (CVS, 0, 0.26%, 0.0001178%), (MO, 0, 0.26%, 0.0000891%), (LOW, 0, 0.25%, 0.0000688%), (ELV, 0, 0.23%, 0.0001242%), (CMCSA, 0, 0.23%, 0.0000675%), (MDLZ, 0, 0.22%, 0.0000914%), (INTC, 0, 0.21%, 0.0000783%), (BMY, 0, 0.20%, 0.0000744%), (UPS, 0, 0.19%, 0.0001026%), (PYPL, 0, 0.18%, 0.0000953%), (CL, 0, 0.16%, 0.0000814%), (USB, 0, 0.15%, 0.0000735%), (FDX, 0, 0.15%, 0.0000983%), (TGT, 0, 0.09%, 0.0000700%), (nan, 0, -0.01%, 0.0000000%), (nan, 0, -0.01%, 0.0000000%)</t>
  </si>
  <si>
    <t>BK, MSFT, EBAY, JPM, GOOGLE, META, BKNG, RJF, BLK, MLI, AMAT, V</t>
  </si>
  <si>
    <t>(EWBC, 0, 1.87%, 0.0074132%), (EA, 0, 1.86%, 0.0026431%), (AXP, 0, 1.82%, 0.0004840%), (NVDA, 0, 1.79%, 0.0000227%), (HIG, 0, 1.78%, 0.0028401%), (ADP, 0, 1.78%, 0.0007808%), (TRV, 0, 1.76%, 0.0016856%), (KLAC, 0, 1.75%, 0.0007961%), (SNA, 0, 1.72%, 0.0056665%), (PHM, 0, 1.71%, 0.0043029%), (UNM, 0, 1.71%, 0.0078068%), (PCAR, 0, 1.67%, 0.0017797%), (ROST, 0, 1.65%, 0.0020247%), (CRM, 0, 1.62%, 0.0003557%), (CB, 0, 1.60%, 0.0008474%), (CTSH, 0, 1.58%, 0.0024751%), (SYF, 0, 1.56%, 0.0034270%), (PAYC, 0, 1.53%, 0.0062478%), (BKR, 0, 1.44%, 0.0017816%), (WSM, 0, 1.43%, 0.0034313%), (LEN, 0, 1.41%, 0.0031175%), (ACN, 0, 1.39%, 0.0004521%), (QCOM, 0, 1.37%, 0.0004419%), (ELV, 0, 1.20%, 0.0010187%), (DHI, 0, 1.20%, 0.0015747%), (AFL, 0, 1.16%, 0.0012208%), (AAPL, 0, 1.16%, 0.0000208%), (LRCX, 0, 1.09%, 0.0004848%), (CSCO, 0, 1.09%, 0.0002237%), (ODFL, 0, 1.07%, 0.0019270%), (GE, 0, 1.05%, 0.0002023%), (STT, 0, 1.00%, 0.0017550%), (MPWR, 0, 1.00%, 0.0015744%), (CF, 0, 0.94%, 0.0034586%), (PNC, 0, 0.91%, 0.0006666%), (MTB, 0, 0.90%, 0.0016969%), (AMP, 0, 0.89%, 0.0010279%), (XOM, 0, 0.83%, 0.0000962%), (COST, 0, 0.82%, 0.0001106%), (ABT, 0, 0.82%, 0.0002029%), (CSL, 0, 0.81%, 0.0026301%), (EOG, 0, 0.81%, 0.0006762%), (EG, 0, 0.75%, 0.0029571%), (GEV, 0, 0.59%, 0.0001843%), (NTRS, 0, 0.54%, 0.0012030%), (CRBG, 0, 0.50%, 0.0014511%), (MA, 0, 0.48%, 0.0000533%), (JNJ, 0, 0.46%, 0.0000633%), (DOV, 0, 0.44%, 0.0009697%), (ACM, 0, 0.44%, 0.0016256%), (WTFC, 0, 0.43%, 0.0027378%), (CINF, 0, 0.43%, 0.0010146%), (MCK, 0, 0.42%, 0.0002645%), (SLM, 0, 0.42%, 0.0035978%), (MTG, 0, 0.41%, 0.0039957%), (EQH, 0, 0.40%, 0.0014726%), (JXN, 0, 0.40%, 0.0036869%), (NUE, 0, 0.39%, 0.0006626%), (ALL, 0, 0.39%, 0.0004277%), (LNC, 0, 0.38%, 0.0032763%), (NKE, 0, 0.38%, 0.0002332%), (ADM, 0, 0.38%, 0.0007886%), (PGR, 0, 0.36%, 0.0001416%), (FANG, 0, 0.32%, 0.0004090%)</t>
  </si>
  <si>
    <t>(GOOGLE, 0, 3.48%, 0.0000642%), (AVGO, 0, 3.09%, 0.0000883%), (META, 0, 2.52%, 0.0000680%), (BRK/B, 0, 2.01%, 0.0001250%), (CSCO, 0, 1.75%, 0.0002646%), (LIN, 0, 1.69%, 0.0003170%), (JPM, 0, 1.60%, 0.0000794%), (AMT, 0, 1.54%, 0.0006415%), (TSLA, 0, 1.54%, 0.0000596%), (XOM, 0, 1.44%, 0.0001239%), (V, 0, 1.40%, 0.0000956%), (LLY, 0, 1.16%, 0.0000658%), (CB, 0, 1.08%, 0.0004210%), (WM, 0, 1.06%, 0.0004607%), (MA, 0, 1.06%, 0.0000865%), (GE, 0, 1.03%, 0.0001465%), (ORCL, 0, 0.95%, 0.0000545%), (NFLX, 0, 0.84%, 0.0000684%), (NEE, 0, 0.83%, 0.0002290%), (JNJ, 0, 0.78%, 0.0000789%), (PLTR, 0, 0.77%, 0.0000872%), (WMT, 0, 0.76%, 0.0000397%), (UNH, 0, 0.76%, 0.0001277%), (CVX, 0, 0.75%, 0.0000981%), (PG, 0, 0.75%, 0.0000856%), (RTX, 0, 0.74%, 0.0001417%), (COST, 0, 0.73%, 0.0000729%), (CAT, 0, 0.73%, 0.0001471%), (MCD, 0, 0.70%, 0.0001324%), (ABT, 0, 0.68%, 0.0001254%), (HD, 0, 0.65%, 0.0000718%), (ABBV, 0, 0.64%, 0.0000790%), (AMD, 0, 0.63%, 0.0000893%), (KO, 0, 0.61%, 0.0000841%), (BAC, 0, 0.61%, 0.0000698%), (BKNG, 0, 0.61%, 0.0001365%), (CRM, 0, 0.60%, 0.0000972%), (BA, 0, 0.59%, 0.0001404%), (SO, 0, 0.59%, 0.0002310%), (NKE, 0, 0.58%, 0.0002597%), (PM, 0, 0.58%, 0.0000931%), (IBM, 0, 0.57%, 0.0000956%), (ISRG, 0, 0.55%, 0.0001264%), (ETN, 0, 0.54%, 0.0001449%), (INTU, 0, 0.53%, 0.0000972%), (DUK, 0, 0.53%, 0.0002305%), (GS, 0, 0.53%, 0.0000984%), (WFC, 0, 0.52%, 0.0000805%), (HON, 0, 0.51%, 0.0001462%), (UBER, 0, 0.49%, 0.0001102%), (NOW, 0, 0.48%, 0.0000957%), (MET, 0, 0.47%, 0.0003866%), (DE, 0, 0.45%, 0.0001343%), (PEP, 0, 0.45%, 0.0000935%), (T, 0, 0.42%, 0.0004011%), (MS, 0, 0.41%, 0.0000730%), (ACN, 0, 0.41%, 0.0000970%), (MRK, 0, 0.40%, 0.0000800%), (AXP, 0, 0.39%, 0.0000759%), (QCOM, 0, 0.39%, 0.0000919%), (SPGI, 0, 0.39%, 0.0000984%), (ADBE, 0, 0.38%, 0.0001018%), (VZ, 0, 0.38%, 0.0000857%), (TXN, 0, 0.38%, 0.0000896%), (BLK, 0, 0.37%, 0.0000885%), (COP, 0, 0.37%, 0.0001244%), (UNP, 0, 0.37%, 0.0001116%), (MDT, 0, 0.36%, 0.0001257%), (DIS, 0, 0.36%, 0.0000684%), (TMO, 0, 0.35%, 0.0000804%), (C, 0, 0.34%, 0.0000796%), (SBUX, 0, 0.34%, 0.0001315%), (AMAT, 0, 0.34%, 0.0000924%), (SCHW, 0, 0.34%, 0.0000774%), (AMGN, 0, 0.31%, 0.0000788%), (LMT, 0, 0.31%, 0.0001301%), (EMR, 0, 0.29%, 0.0001446%), (MMM, 0, 0.28%, 0.0001465%), (GILD, 0, 0.28%, 0.0000792%), (PFE, 0, 0.26%, 0.0000787%), (DHR, 0, 0.25%, 0.0000718%), (TJX, 0, 0.25%, 0.0000730%), (CVS, 0, 0.24%, 0.0001246%), (MO, 0, 0.24%, 0.0000942%), (LOW, 0, 0.23%, 0.0000727%), (ELV, 0, 0.21%, 0.0001314%), (CMCSA, 0, 0.21%, 0.0000713%), (MDLZ, 0, 0.20%, 0.0000966%), (INTC, 0, 0.19%, 0.0000828%), (BMY, 0, 0.18%, 0.0000786%), (UPS, 0, 0.17%, 0.0001084%), (PYPL, 0, 0.16%, 0.0001007%), (CL, 0, 0.15%, 0.0000861%), (USB, 0, 0.14%, 0.0000777%), (FDX, 0, 0.13%, 0.0001038%), (TGT, 0, 0.08%, 0.0000739%), (nan, 0, -0.01%, 0.0000000%), (nan, 0, -0.01%, 0.0000000%)</t>
  </si>
  <si>
    <t>(GOOGLE, 0, 3.65%, 0.0001312%), (AVGO, 0, 3.24%, 0.0001806%), (META, 0, 2.64%, 0.0001391%), (BRK/B, 0, 2.11%, 0.0002556%), (CSCO, 0, 1.83%, 0.0005413%), (LIN, 0, 1.78%, 0.0006483%), (JPM, 0, 1.68%, 0.0001623%), (AMT, 0, 1.61%, 0.0013118%), (TSLA, 0, 1.61%, 0.0001219%), (XOM, 0, 1.52%, 0.0002534%), (V, 0, 1.47%, 0.0001956%), (LLY, 0, 1.22%, 0.0001345%), (CB, 0, 1.13%, 0.0008611%), (WM, 0, 1.11%, 0.0009425%), (MA, 0, 1.11%, 0.0001768%), (GE, 0, 1.08%, 0.0002996%), (ORCL, 0, 0.99%, 0.0001115%), (NFLX, 0, 0.88%, 0.0001402%), (NEE, 0, 0.87%, 0.0004683%), (JNJ, 0, 0.82%, 0.0001613%), (PLTR, 0, 0.81%, 0.0001783%), (WMT, 0, 0.79%, 0.0000812%), (UNH, 0, 0.79%, 0.0002612%), (CVX, 0, 0.79%, 0.0002006%), (PG, 0, 0.78%, 0.0001750%), (RTX, 0, 0.77%, 0.0002899%), (COST, 0, 0.77%, 0.0001489%), (CAT, 0, 0.77%, 0.0003010%), (MCD, 0, 0.73%, 0.0002707%), (ABT, 0, 0.72%, 0.0002564%), (HD, 0, 0.68%, 0.0001469%), (ABBV, 0, 0.67%, 0.0001615%), (AMD, 0, 0.66%, 0.0001826%), (KO, 0, 0.64%, 0.0001719%), (BAC, 0, 0.64%, 0.0001428%), (BKNG, 0, 0.63%, 0.0002761%), (CRM, 0, 0.63%, 0.0001986%), (BA, 0, 0.62%, 0.0002872%), (SO, 0, 0.62%, 0.0004723%), (NKE, 0, 0.61%, 0.0005311%), (PM, 0, 0.60%, 0.0001905%), (IBM, 0, 0.60%, 0.0001957%), (ISRG, 0, 0.57%, 0.0002584%), (ETN, 0, 0.57%, 0.0002964%), (INTU, 0, 0.56%, 0.0001987%), (DUK, 0, 0.56%, 0.0004715%), (GS, 0, 0.55%, 0.0002010%), (WFC, 0, 0.54%, 0.0001647%), (HON, 0, 0.53%, 0.0002991%), (UBER, 0, 0.52%, 0.0002255%), (NOW, 0, 0.50%, 0.0001957%), (MET, 0, 0.50%, 0.0007908%), (DE, 0, 0.47%, 0.0002748%), (PEP, 0, 0.47%, 0.0001914%), (T, 0, 0.44%, 0.0008203%), (MS, 0, 0.43%, 0.0001494%), (ACN, 0, 0.43%, 0.0001984%), (MRK, 0, 0.42%, 0.0001635%), (AXP, 0, 0.41%, 0.0001553%), (SPGI, 0, 0.41%, 0.0002015%), (QCOM, 0, 0.40%, 0.0001880%), (ADBE, 0, 0.40%, 0.0002081%), (VZ, 0, 0.40%, 0.0001752%), (TXN, 0, 0.40%, 0.0001832%), (BLK, 0, 0.39%, 0.0001808%), (COP, 0, 0.38%, 0.0002545%), (UNP, 0, 0.38%, 0.0002283%), (MDT, 0, 0.38%, 0.0002570%), (DIS, 0, 0.38%, 0.0001399%), (TMO, 0, 0.37%, 0.0001642%), (C, 0, 0.36%, 0.0001629%), (AMAT, 0, 0.36%, 0.0001889%), (SBUX, 0, 0.36%, 0.0002689%), (SCHW, 0, 0.36%, 0.0001583%), (AMGN, 0, 0.33%, 0.0001612%), (LMT, 0, 0.32%, 0.0002662%), (EMR, 0, 0.31%, 0.0002958%), (MMM, 0, 0.29%, 0.0002993%), (GILD, 0, 0.29%, 0.0001620%), (PFE, 0, 0.27%, 0.0001609%), (DHR, 0, 0.27%, 0.0001470%), (TJX, 0, 0.26%, 0.0001492%), (CVS, 0, 0.25%, 0.0002548%), (MO, 0, 0.25%, 0.0001925%), (LOW, 0, 0.24%, 0.0001489%), (ELV, 0, 0.22%, 0.0002682%), (CMCSA, 0, 0.22%, 0.0001459%), (MDLZ, 0, 0.21%, 0.0001976%), (INTC, 0, 0.20%, 0.0001693%), (BMY, 0, 0.19%, 0.0001608%), (UPS, 0, 0.18%, 0.0002219%), (PYPL, 0, 0.17%, 0.0002060%), (CL, 0, 0.15%, 0.0001760%), (USB, 0, 0.14%, 0.0001589%), (FDX, 0, 0.14%, 0.0002128%), (TGT, 0, 0.09%, 0.0001512%), (nan, 0, -0.01%, 0.0000000%), (nan, 0, -0.01%, 0.0000000%)</t>
  </si>
  <si>
    <t>(AVGO, 0, 3.06%, 0.0003582%), (META, 0, 2.50%, 0.0002759%), (BRK/B, 0, 2.00%, 0.0005071%), (CSCO, 0, 1.74%, 0.0010737%), (LIN, 0, 1.68%, 0.0012862%), (JPM, 0, 1.59%, 0.0003219%), (AMT, 0, 1.53%, 0.0026026%), (TSLA, 0, 1.53%, 0.0002418%), (XOM, 0, 1.44%, 0.0005026%), (V, 0, 1.39%, 0.0003880%), (LLY, 0, 1.15%, 0.0002669%), (CB, 0, 1.08%, 0.0017085%), (WM, 0, 1.05%, 0.0018696%), (MA, 0, 1.05%, 0.0003507%), (GE, 0, 1.03%, 0.0005943%), (ORCL, 0, 0.94%, 0.0002212%), (NFLX, 0, 0.84%, 0.0002780%), (NEE, 0, 0.83%, 0.0009290%), (JNJ, 0, 0.77%, 0.0003201%), (PLTR, 0, 0.77%, 0.0003537%), (WMT, 0, 0.75%, 0.0001610%), (UNH, 0, 0.75%, 0.0005181%), (CVX, 0, 0.75%, 0.0003980%), (PG, 0, 0.74%, 0.0003472%), (RTX, 0, 0.73%, 0.0005750%), (COST, 0, 0.73%, 0.0002956%), (CAT, 0, 0.73%, 0.0005970%), (MCD, 0, 0.70%, 0.0005373%), (ABT, 0, 0.68%, 0.0005087%), (HD, 0, 0.65%, 0.0002914%), (ABBV, 0, 0.64%, 0.0003203%), (AMD, 0, 0.62%, 0.0003621%), (KO, 0, 0.61%, 0.0003410%), (BAC, 0, 0.60%, 0.0002834%), (BKNG, 0, 0.60%, 0.0005491%), (CRM, 0, 0.60%, 0.0003941%), (BA, 0, 0.59%, 0.0005698%), (SO, 0, 0.59%, 0.0009370%), (NKE, 0, 0.58%, 0.0010537%), (PM, 0, 0.57%, 0.0003779%), (IBM, 0, 0.57%, 0.0003881%), (ISRG, 0, 0.54%, 0.0005123%), (ETN, 0, 0.54%, 0.0005880%), (INTU, 0, 0.53%, 0.0003945%), (DUK, 0, 0.53%, 0.0009354%), (GS, 0, 0.52%, 0.0003991%), (WFC, 0, 0.51%, 0.0003268%), (HON, 0, 0.50%, 0.0005933%), (UBER, 0, 0.49%, 0.0004472%), (NOW, 0, 0.47%, 0.0003885%), (MET, 0, 0.47%, 0.0015687%), (DE, 0, 0.45%, 0.0005453%), (PEP, 0, 0.45%, 0.0003796%), (T, 0, 0.41%, 0.0016272%), (MS, 0, 0.41%, 0.0002964%), (ACN, 0, 0.40%, 0.0003937%), (MRK, 0, 0.40%, 0.0003243%), (AXP, 0, 0.39%, 0.0003080%), (SPGI, 0, 0.38%, 0.0003999%), (QCOM, 0, 0.38%, 0.0003729%), (ADBE, 0, 0.38%, 0.0004126%), (VZ, 0, 0.38%, 0.0003476%), (TXN, 0, 0.37%, 0.0003636%), (BLK, 0, 0.37%, 0.0003584%), (COP, 0, 0.36%, 0.0005049%), (UNP, 0, 0.36%, 0.0004527%), (MDT, 0, 0.36%, 0.0005099%), (DIS, 0, 0.36%, 0.0002777%), (TMO, 0, 0.35%, 0.0003261%), (C, 0, 0.34%, 0.0003230%), (SBUX, 0, 0.34%, 0.0005335%), (AMAT, 0, 0.34%, 0.0003748%), (SCHW, 0, 0.34%, 0.0003141%), (AMGN, 0, 0.31%, 0.0003197%), (LMT, 0, 0.31%, 0.0005281%), (EMR, 0, 0.29%, 0.0005869%), (MMM, 0, 0.28%, 0.0005939%), (GILD, 0, 0.28%, 0.0003213%), (PFE, 0, 0.26%, 0.0003192%), (DHR, 0, 0.25%, 0.0002915%), (TJX, 0, 0.25%, 0.0002960%), (CVS, 0, 0.24%, 0.0005056%), (MO, 0, 0.24%, 0.0003820%), (LOW, 0, 0.23%, 0.0002955%), (ELV, 0, 0.21%, 0.0005323%), (CMCSA, 0, 0.21%, 0.0002895%), (MDLZ, 0, 0.20%, 0.0003921%), (INTC, 0, 0.19%, 0.0003358%), (BMY, 0, 0.18%, 0.0003190%), (UPS, 0, 0.17%, 0.0004402%), (PYPL, 0, 0.16%, 0.0004087%), (CL, 0, 0.14%, 0.0003492%), (USB, 0, 0.14%, 0.0003152%), (FDX, 0, 0.13%, 0.0004221%), (TGT, 0, 0.08%, 0.0002997%), (nan, 0, -0.01%, 0.0000000%), (nan, 0, -0.01%, 0.0000000%)</t>
  </si>
  <si>
    <t>(AVGO, 0, 2.96%, 0.0000516%), (META, 0, 2.70%, 0.0000397%), (BRK/B, 0, 1.96%, 0.0000730%), (CSCO, 0, 1.71%, 0.0001546%), (LIN, 0, 1.64%, 0.0001852%), (JPM, 0, 1.55%, 0.0000464%), (AMT, 0, 1.50%, 0.0003747%), (TSLA, 0, 1.48%, 0.0000348%), (XOM, 0, 1.41%, 0.0000724%), (V, 0, 1.37%, 0.0000559%), (LLY, 0, 1.14%, 0.0000384%), (MA, 0, 1.06%, 0.0000505%), (CB, 0, 1.06%, 0.0002460%), (WM, 0, 1.03%, 0.0002691%), (GE, 0, 1.00%, 0.0000856%), (ORCL, 0, 0.96%, 0.0000319%), (NFLX, 0, 0.82%, 0.0000401%), (NEE, 0, 0.81%, 0.0001338%), (JNJ, 0, 0.75%, 0.0000461%), (PLTR, 0, 0.75%, 0.0000509%), (WMT, 0, 0.74%, 0.0000232%), (CVX, 0, 0.73%, 0.0000573%), (COST, 0, 0.73%, 0.0000426%), (CAT, 0, 0.72%, 0.0000860%), (PG, 0, 0.72%, 0.0000500%), (RTX, 0, 0.72%, 0.0000828%), (UNH, 0, 0.70%, 0.0000746%), (MCD, 0, 0.68%, 0.0000774%), (ABT, 0, 0.67%, 0.0000733%), (ABBV, 0, 0.64%, 0.0000461%), (HD, 0, 0.63%, 0.0000420%), (AMD, 0, 0.61%, 0.0000521%), (KO, 0, 0.59%, 0.0000491%), (BAC, 0, 0.59%, 0.0000408%), (CRM, 0, 0.58%, 0.0000567%), (SO, 0, 0.58%, 0.0001349%), (BA, 0, 0.57%, 0.0000821%), (PM, 0, 0.57%, 0.0000544%), (BKNG, 0, 0.57%, 0.0000776%), (IBM, 0, 0.55%, 0.0000558%), (NKE, 0, 0.55%, 0.0001517%), (ISRG, 0, 0.53%, 0.0000739%), (ETN, 0, 0.52%, 0.0000848%), (DUK, 0, 0.52%, 0.0001346%), (INTU, 0, 0.52%, 0.0000567%), (GS, 0, 0.51%, 0.0000573%), (WFC, 0, 0.50%, 0.0000470%), (HON, 0, 0.49%, 0.0000854%), (UBER, 0, 0.49%, 0.0000644%), (MET, 0, 0.47%, 0.0002259%), (NOW, 0, 0.46%, 0.0000558%), (DE, 0, 0.45%, 0.0000784%), (PEP, 0, 0.43%, 0.0000546%), (T, 0, 0.41%, 0.0002343%), (MS, 0, 0.40%, 0.0000427%), (SPGI, 0, 0.39%, 0.0000575%), (ACN, 0, 0.39%, 0.0000567%), (MRK, 0, 0.38%, 0.0000467%), (AXP, 0, 0.38%, 0.0000444%), (VZ, 0, 0.37%, 0.0000500%), (ADBE, 0, 0.37%, 0.0000595%), (BLK, 0, 0.36%, 0.0000517%), (COP, 0, 0.36%, 0.0000727%), (QCOM, 0, 0.35%, 0.0000537%), (UNP, 0, 0.35%, 0.0000652%), (MDT, 0, 0.35%, 0.0000734%), (DIS, 0, 0.35%, 0.0000400%), (TMO, 0, 0.34%, 0.0000468%), (C, 0, 0.33%, 0.0000465%), (SCHW, 0, 0.33%, 0.0000452%), (SBUX, 0, 0.32%, 0.0000768%), (AMAT, 0, 0.32%, 0.0000540%), (AMGN, 0, 0.30%, 0.0000461%), (LMT, 0, 0.30%, 0.0000761%), (EMR, 0, 0.28%, 0.0000846%), (TXN, 0, 0.28%, 0.0000414%), (MMM, 0, 0.28%, 0.0000855%), (GILD, 0, 0.27%, 0.0000463%), (PFE, 0, 0.25%, 0.0000460%), (DHR, 0, 0.24%, 0.0000419%), (TJX, 0, 0.24%, 0.0000426%), (CVS, 0, 0.23%, 0.0000728%), (MO, 0, 0.23%, 0.0000550%), (LOW, 0, 0.22%, 0.0000426%), (CMCSA, 0, 0.21%, 0.0000417%), (ELV, 0, 0.20%, 0.0000765%), (MDLZ, 0, 0.19%, 0.0000564%), (INTC, 0, 0.18%, 0.0000483%), (BMY, 0, 0.17%, 0.0000459%), (UPS, 0, 0.16%, 0.0000633%), (PYPL, 0, 0.16%, 0.0000589%), (CL, 0, 0.14%, 0.0000502%), (USB, 0, 0.13%, 0.0000454%), (FDX, 0, 0.13%, 0.0000606%), (TGT, 0, 0.08%, 0.0000431%), (nan, 0, -0.00%, 0.0000000%), (nan, 0, -0.00%, 0.0000000%)</t>
  </si>
  <si>
    <t>(GOOGLE, 0, 3.59%, 0.0002270%), (AVGO, 0, 3.18%, 0.0003123%), (META, 0, 2.90%, 0.0002406%), (BRK/B, 0, 2.11%, 0.0004421%), (CSCO, 0, 1.84%, 0.0009361%), (LIN, 0, 1.76%, 0.0011213%), (JPM, 0, 1.66%, 0.0002806%), (AMT, 0, 1.61%, 0.0022689%), (TSLA, 0, 1.59%, 0.0002108%), (XOM, 0, 1.51%, 0.0004382%), (V, 0, 1.47%, 0.0003383%), (LLY, 0, 1.22%, 0.0002327%), (MA, 0, 1.14%, 0.0003059%), (CB, 0, 1.14%, 0.0014895%), (WM, 0, 1.10%, 0.0016298%), (GE, 0, 1.08%, 0.0005182%), (ORCL, 0, 1.03%, 0.0001929%), (NFLX, 0, 0.88%, 0.0002424%), (NEE, 0, 0.87%, 0.0008099%), (JNJ, 0, 0.81%, 0.0002790%), (PLTR, 0, 0.81%, 0.0003084%), (WMT, 0, 0.80%, 0.0001404%), (CVX, 0, 0.78%, 0.0003470%), (COST, 0, 0.78%, 0.0002577%), (CAT, 0, 0.78%, 0.0005204%), (PG, 0, 0.78%, 0.0003027%), (RTX, 0, 0.77%, 0.0005014%), (UNH, 0, 0.75%, 0.0004517%), (MCD, 0, 0.73%, 0.0004683%), (ABT, 0, 0.71%, 0.0004434%), (ABBV, 0, 0.69%, 0.0002793%), (HD, 0, 0.68%, 0.0002541%), (AMD, 0, 0.66%, 0.0003157%), (KO, 0, 0.64%, 0.0002973%), (BAC, 0, 0.63%, 0.0002471%), (CRM, 0, 0.62%, 0.0003436%), (BKNG, 0, 0.62%, 0.0004778%), (SO, 0, 0.62%, 0.0008169%), (BA, 0, 0.61%, 0.0004966%), (PM, 0, 0.61%, 0.0003295%), (IBM, 0, 0.59%, 0.0003384%), (NKE, 0, 0.59%, 0.0009187%), (ISRG, 0, 0.56%, 0.0004468%), (ETN, 0, 0.56%, 0.0005127%), (DUK, 0, 0.56%, 0.0008154%), (INTU, 0, 0.55%, 0.0003440%), (GS, 0, 0.55%, 0.0003481%), (WFC, 0, 0.54%, 0.0002849%), (HON, 0, 0.53%, 0.0005173%), (UBER, 0, 0.52%, 0.0003899%), (MET, 0, 0.50%, 0.0013676%), (NOW, 0, 0.49%, 0.0003389%), (DE, 0, 0.49%, 0.0004753%), (PEP, 0, 0.46%, 0.0003310%), (T, 0, 0.44%, 0.0014186%), (SPGI, 0, 0.42%, 0.0003487%), (ACN, 0, 0.42%, 0.0003433%), (MS, 0, 0.42%, 0.0002521%), (MRK, 0, 0.41%, 0.0002828%), (AXP, 0, 0.41%, 0.0002686%), (VZ, 0, 0.40%, 0.0003030%), (ADBE, 0, 0.39%, 0.0003598%), (BLK, 0, 0.39%, 0.0003126%), (COP, 0, 0.38%, 0.0004402%), (QCOM, 0, 0.38%, 0.0003251%), (UNP, 0, 0.38%, 0.0003947%), (MDT, 0, 0.38%, 0.0004445%), (DIS, 0, 0.38%, 0.0002421%), (TMO, 0, 0.37%, 0.0002843%), (C, 0, 0.36%, 0.0002816%), (SCHW, 0, 0.36%, 0.0002739%), (SBUX, 0, 0.35%, 0.0004650%), (AMAT, 0, 0.34%, 0.0003267%), (AMGN, 0, 0.33%, 0.0002788%), (LMT, 0, 0.33%, 0.0004602%), (EMR, 0, 0.31%, 0.0005117%), (MMM, 0, 0.30%, 0.0005177%), (GILD, 0, 0.29%, 0.0002802%), (TXN, 0, 0.29%, 0.0002399%), (PFE, 0, 0.27%, 0.0002783%), (DHR, 0, 0.26%, 0.0002541%), (TJX, 0, 0.26%, 0.0002581%), (CVS, 0, 0.25%, 0.0004407%), (MO, 0, 0.25%, 0.0003331%), (LOW, 0, 0.24%, 0.0002575%), (CMCSA, 0, 0.22%, 0.0002524%), (ELV, 0, 0.21%, 0.0004639%), (MDLZ, 0, 0.21%, 0.0003418%), (INTC, 0, 0.20%, 0.0002928%), (BMY, 0, 0.18%, 0.0002782%), (UPS, 0, 0.18%, 0.0003837%), (PYPL, 0, 0.17%, 0.0003562%), (CL, 0, 0.15%, 0.0003044%), (FDX, 0, 0.14%, 0.0003679%), (USB, 0, 0.14%, 0.0002748%), (TGT, 0, 0.09%, 0.0002614%), (nan, 0, -0.00%, 0.0000000%), (nan, 0, -0.01%, 0.0000000%)</t>
  </si>
  <si>
    <t>(GOOGLE, 0, 3.58%, 0.0001690%), (AVGO, 0, 3.17%, 0.0002325%), (META, 0, 2.89%, 0.0001791%), (BRK/B, 0, 2.10%, 0.0003291%), (CSCO, 0, 1.83%, 0.0006969%), (LIN, 0, 1.76%, 0.0008348%), (JPM, 0, 1.66%, 0.0002089%), (AMT, 0, 1.61%, 0.0016890%), (TSLA, 0, 1.58%, 0.0001569%), (XOM, 0, 1.51%, 0.0003262%), (V, 0, 1.46%, 0.0002518%), (LLY, 0, 1.22%, 0.0001733%), (MA, 0, 1.13%, 0.0002277%), (CB, 0, 1.13%, 0.0011089%), (WM, 0, 1.10%, 0.0012133%), (GE, 0, 1.07%, 0.0003858%), (ORCL, 0, 1.02%, 0.0001436%), (NFLX, 0, 0.87%, 0.0001805%), (NEE, 0, 0.86%, 0.0006029%), (JNJ, 0, 0.81%, 0.0002077%), (PLTR, 0, 0.81%, 0.0002296%), (WMT, 0, 0.80%, 0.0001045%), (CVX, 0, 0.78%, 0.0002583%), (COST, 0, 0.78%, 0.0001918%), (CAT, 0, 0.77%, 0.0003874%), (PG, 0, 0.77%, 0.0002253%), (RTX, 0, 0.77%, 0.0003732%), (UNH, 0, 0.75%, 0.0003363%), (MCD, 0, 0.73%, 0.0003487%), (ABT, 0, 0.71%, 0.0003302%), (ABBV, 0, 0.69%, 0.0002079%), (HD, 0, 0.67%, 0.0001892%), (AMD, 0, 0.65%, 0.0002351%), (KO, 0, 0.63%, 0.0002213%), (BAC, 0, 0.63%, 0.0001839%), (CRM, 0, 0.62%, 0.0002558%), (BKNG, 0, 0.62%, 0.0003568%), (SO, 0, 0.62%, 0.0006082%), (BA, 0, 0.61%, 0.0003698%), (PM, 0, 0.59%, 0.0002388%), (IBM, 0, 0.59%, 0.0002519%), (NKE, 0, 0.59%, 0.0006839%), (ISRG, 0, 0.56%, 0.0003326%), (ETN, 0, 0.56%, 0.0003817%), (DUK, 0, 0.56%, 0.0006071%), (INTU, 0, 0.55%, 0.0002561%), (GS, 0, 0.55%, 0.0002591%), (WFC, 0, 0.53%, 0.0002121%), (HON, 0, 0.53%, 0.0003851%), (UBER, 0, 0.52%, 0.0002903%), (MET, 0, 0.50%, 0.0010182%), (NOW, 0, 0.49%, 0.0002524%), (DE, 0, 0.49%, 0.0003540%), (PEP, 0, 0.46%, 0.0002464%), (T, 0, 0.43%, 0.0010561%), (SPGI, 0, 0.42%, 0.0002596%), (ACN, 0, 0.42%, 0.0002554%), (MRK, 0, 0.41%, 0.0002105%), (AXP, 0, 0.40%, 0.0002000%), (VZ, 0, 0.40%, 0.0002256%), (ADBE, 0, 0.39%, 0.0002678%), (BLK, 0, 0.39%, 0.0002325%), (COP, 0, 0.38%, 0.0003277%), (QCOM, 0, 0.38%, 0.0002420%), (UNP, 0, 0.38%, 0.0002938%), (MDT, 0, 0.38%, 0.0003309%), (DIS, 0, 0.38%, 0.0001802%), (TMO, 0, 0.37%, 0.0002116%), (C, 0, 0.36%, 0.0002096%), (SCHW, 0, 0.35%, 0.0002038%), (SBUX, 0, 0.35%, 0.0003462%), (AMAT, 0, 0.34%, 0.0002433%), (AMGN, 0, 0.33%, 0.0002075%), (LMT, 0, 0.32%, 0.0003427%), (MS, 0, 0.32%, 0.0001423%), (EMR, 0, 0.30%, 0.0003810%), (MMM, 0, 0.30%, 0.0003853%), (GILD, 0, 0.29%, 0.0002085%), (TXN, 0, 0.27%, 0.0001699%), (PFE, 0, 0.27%, 0.0002072%), (DHR, 0, 0.26%, 0.0001891%), (TJX, 0, 0.26%, 0.0001921%), (CVS, 0, 0.25%, 0.0003281%), (MO, 0, 0.25%, 0.0002479%), (LOW, 0, 0.23%, 0.0001917%), (CMCSA, 0, 0.22%, 0.0001879%), (ELV, 0, 0.21%, 0.0003456%), (MDLZ, 0, 0.21%, 0.0002545%), (INTC, 0, 0.20%, 0.0002179%), (BMY, 0, 0.18%, 0.0002071%), (UPS, 0, 0.18%, 0.0002857%), (PYPL, 0, 0.17%, 0.0002653%), (CL, 0, 0.15%, 0.0002267%), (FDX, 0, 0.14%, 0.0002738%), (USB, 0, 0.14%, 0.0002046%), (TGT, 0, 0.09%, 0.0001945%), (nan, 0, -0.00%, 0.0000000%), (nan, 0, -0.01%, 0.0000000%)</t>
  </si>
  <si>
    <t>(GOOGLE, 0, 3.62%, 0.0000396%), (AVGO, 0, 3.20%, 0.0000545%), (META, 0, 2.93%, 0.0000420%), (BRK/B, 0, 2.12%, 0.0000771%), (CSCO, 0, 1.85%, 0.0001633%), (LIN, 0, 1.78%, 0.0001957%), (JPM, 0, 1.67%, 0.0000490%), (AMT, 0, 1.62%, 0.0003958%), (TSLA, 0, 1.60%, 0.0000368%), (XOM, 0, 1.52%, 0.0000765%), (V, 0, 1.48%, 0.0000590%), (LLY, 0, 1.23%, 0.0000406%), (MA, 0, 1.15%, 0.0000534%), (CB, 0, 1.14%, 0.0002599%), (WM, 0, 1.11%, 0.0002845%), (GE, 0, 1.08%, 0.0000904%), (ORCL, 0, 1.03%, 0.0000336%), (NFLX, 0, 0.88%, 0.0000422%), (NEE, 0, 0.87%, 0.0001413%), (JNJ, 0, 0.82%, 0.0000487%), (PLTR, 0, 0.81%, 0.0000538%), (WMT, 0, 0.80%, 0.0000245%), (CVX, 0, 0.79%, 0.0000606%), (COST, 0, 0.78%, 0.0000449%), (CAT, 0, 0.78%, 0.0000907%), (PG, 0, 0.78%, 0.0000528%), (RTX, 0, 0.77%, 0.0000875%), (UNH, 0, 0.76%, 0.0000788%), (MCD, 0, 0.73%, 0.0000817%), (ABT, 0, 0.72%, 0.0000774%), (ABBV, 0, 0.70%, 0.0000487%), (HD, 0, 0.68%, 0.0000443%), (AMD, 0, 0.66%, 0.0000551%), (KO, 0, 0.64%, 0.0000519%), (BAC, 0, 0.64%, 0.0000431%), (BKNG, 0, 0.63%, 0.0000838%), (CRM, 0, 0.63%, 0.0000600%), (SO, 0, 0.62%, 0.0001425%), (BA, 0, 0.62%, 0.0000867%), (PM, 0, 0.61%, 0.0000575%), (IBM, 0, 0.60%, 0.0000591%), (NKE, 0, 0.60%, 0.0001603%), (ETN, 0, 0.57%, 0.0000894%), (ISRG, 0, 0.57%, 0.0000779%), (DUK, 0, 0.56%, 0.0001423%), (INTU, 0, 0.56%, 0.0000599%), (GS, 0, 0.56%, 0.0000607%), (WFC, 0, 0.54%, 0.0000497%), (HON, 0, 0.53%, 0.0000903%), (UBER, 0, 0.53%, 0.0000680%), (MET, 0, 0.51%, 0.0002386%), (NOW, 0, 0.50%, 0.0000591%), (DE, 0, 0.49%, 0.0000829%), (PEP, 0, 0.46%, 0.0000578%), (T, 0, 0.44%, 0.0002475%), (SPGI, 0, 0.43%, 0.0000608%), (ACN, 0, 0.42%, 0.0000599%), (MRK, 0, 0.41%, 0.0000493%), (AXP, 0, 0.41%, 0.0000469%), (VZ, 0, 0.40%, 0.0000529%), (ADBE, 0, 0.39%, 0.0000628%), (BLK, 0, 0.39%, 0.0000542%), (COP, 0, 0.38%, 0.0000768%), (QCOM, 0, 0.38%, 0.0000567%), (UNP, 0, 0.38%, 0.0000690%), (MDT, 0, 0.38%, 0.0000776%), (DIS, 0, 0.38%, 0.0000422%), (TMO, 0, 0.37%, 0.0000495%), (C, 0, 0.36%, 0.0000492%), (SCHW, 0, 0.36%, 0.0000478%), (SBUX, 0, 0.35%, 0.0000811%), (AMAT, 0, 0.34%, 0.0000570%), (AMGN, 0, 0.33%, 0.0000487%), (LMT, 0, 0.33%, 0.0000804%), (MS, 0, 0.31%, 0.0000326%), (EMR, 0, 0.31%, 0.0000892%), (TXN, 0, 0.31%, 0.0000444%), (MMM, 0, 0.30%, 0.0000904%), (GILD, 0, 0.29%, 0.0000489%), (PFE, 0, 0.27%, 0.0000486%), (DHR, 0, 0.26%, 0.0000443%), (TJX, 0, 0.26%, 0.0000450%), (CVS, 0, 0.25%, 0.0000769%), (MO, 0, 0.25%, 0.0000581%), (LOW, 0, 0.24%, 0.0000449%), (CMCSA, 0, 0.22%, 0.0000441%), (ELV, 0, 0.22%, 0.0000810%), (MDLZ, 0, 0.21%, 0.0000597%), (INTC, 0, 0.20%, 0.0000511%), (BMY, 0, 0.18%, 0.0000485%), (UPS, 0, 0.18%, 0.0000670%), (PYPL, 0, 0.17%, 0.0000622%), (CL, 0, 0.15%, 0.0000531%), (USB, 0, 0.14%, 0.0000479%), (FDX, 0, 0.14%, 0.0000640%), (TGT, 0, 0.09%, 0.0000456%), (nan, 0, -0.00%, 0.0000000%), (nan, 0, -0.01%, 0.0000000%)</t>
  </si>
  <si>
    <t>(GOOGLE, 0, 3.46%, 0.0000693%), (AVGO, 0, 3.07%, 0.0000953%), (META, 0, 2.81%, 0.0000734%), (BRK/B, 0, 2.03%, 0.0001350%), (CSCO, 0, 1.77%, 0.0002858%), (LIN, 0, 1.70%, 0.0003422%), (JPM, 0, 1.60%, 0.0000857%), (AMT, 0, 1.55%, 0.0006927%), (TSLA, 0, 1.53%, 0.0000643%), (XOM, 0, 1.46%, 0.0001338%), (V, 0, 1.42%, 0.0001033%), (LLY, 0, 1.18%, 0.0000711%), (CB, 0, 1.10%, 0.0004548%), (MA, 0, 1.10%, 0.0000934%), (WM, 0, 1.06%, 0.0004974%), (GE, 0, 1.04%, 0.0001582%), (ORCL, 0, 0.99%, 0.0000589%), (NFLX, 0, 0.85%, 0.0000741%), (NEE, 0, 0.84%, 0.0002472%), (JNJ, 0, 0.78%, 0.0000852%), (PLTR, 0, 0.78%, 0.0000941%), (WMT, 0, 0.77%, 0.0000428%), (CVX, 0, 0.76%, 0.0001059%), (COST, 0, 0.75%, 0.0000787%), (CAT, 0, 0.75%, 0.0001588%), (PG, 0, 0.75%, 0.0000924%), (RTX, 0, 0.74%, 0.0001530%), (UNH, 0, 0.73%, 0.0001379%), (MCD, 0, 0.70%, 0.0001429%), (ABT, 0, 0.69%, 0.0001354%), (ABBV, 0, 0.67%, 0.0000853%), (HD, 0, 0.65%, 0.0000776%), (AMD, 0, 0.64%, 0.0000964%), (KO, 0, 0.61%, 0.0000908%), (BAC, 0, 0.61%, 0.0000754%), (CRM, 0, 0.60%, 0.0001048%), (BKNG, 0, 0.60%, 0.0001458%), (SO, 0, 0.60%, 0.0002494%), (BA, 0, 0.59%, 0.0001517%), (PM, 0, 0.59%, 0.0001006%), (IBM, 0, 0.57%, 0.0001033%), (NKE, 0, 0.57%, 0.0002804%), (ETN, 0, 0.54%, 0.0001564%), (ISRG, 0, 0.54%, 0.0001362%), (DUK, 0, 0.54%, 0.0002489%), (INTU, 0, 0.53%, 0.0001051%), (GS, 0, 0.53%, 0.0001064%), (WFC, 0, 0.52%, 0.0000870%), (HON, 0, 0.51%, 0.0001578%), (UBER, 0, 0.50%, 0.0001190%), (MET, 0, 0.49%, 0.0004174%), (NOW, 0, 0.48%, 0.0001034%), (DE, 0, 0.47%, 0.0001450%), (PEP, 0, 0.44%, 0.0001011%), (T, 0, 0.42%, 0.0004331%), (MS, 0, 0.41%, 0.0000789%), (ACN, 0, 0.41%, 0.0001048%), (SPGI, 0, 0.41%, 0.0001063%), (MRK, 0, 0.40%, 0.0000863%), (AXP, 0, 0.39%, 0.0000820%), (VZ, 0, 0.38%, 0.0000925%), (BLK, 0, 0.38%, 0.0000956%), (ADBE, 0, 0.38%, 0.0001099%), (COP, 0, 0.37%, 0.0001344%), (QCOM, 0, 0.37%, 0.0000993%), (UNP, 0, 0.37%, 0.0001205%), (MDT, 0, 0.37%, 0.0001357%), (DIS, 0, 0.36%, 0.0000739%), (TMO, 0, 0.36%, 0.0000868%), (C, 0, 0.34%, 0.0000860%), (SCHW, 0, 0.34%, 0.0000836%), (SBUX, 0, 0.34%, 0.0001420%), (AMAT, 0, 0.33%, 0.0000998%), (AMGN, 0, 0.32%, 0.0000851%), (LMT, 0, 0.31%, 0.0001405%), (EMR, 0, 0.29%, 0.0001562%), (MMM, 0, 0.29%, 0.0001581%), (TXN, 0, 0.28%, 0.0000747%), (GILD, 0, 0.28%, 0.0000855%), (PFE, 0, 0.26%, 0.0000850%), (DHR, 0, 0.25%, 0.0000776%), (TJX, 0, 0.25%, 0.0000788%), (CVS, 0, 0.24%, 0.0001345%), (MO, 0, 0.24%, 0.0001017%), (LOW, 0, 0.23%, 0.0000786%), (CMCSA, 0, 0.21%, 0.0000770%), (ELV, 0, 0.21%, 0.0001417%), (MDLZ, 0, 0.20%, 0.0001044%), (INTC, 0, 0.19%, 0.0000894%), (BMY, 0, 0.17%, 0.0000849%), (UPS, 0, 0.17%, 0.0001171%), (PYPL, 0, 0.16%, 0.0001088%), (CL, 0, 0.15%, 0.0000929%), (FDX, 0, 0.14%, 0.0001123%), (USB, 0, 0.14%, 0.0000839%), (TGT, 0, 0.08%, 0.0000799%), (nan, 0, -0.00%, 0.0000000%), (nan, 0, -0.00%, 0.0000000%)</t>
  </si>
  <si>
    <t>(GOOGLE, 0, 3.53%, 0.0000251%), (AVGO, 0, 3.13%, 0.0000345%), (META, 0, 2.87%, 0.0000266%), (BRK/B, 0, 2.07%, 0.0000489%), (CSCO, 0, 1.81%, 0.0001036%), (LIN, 0, 1.73%, 0.0001240%), (JPM, 0, 1.64%, 0.0000311%), (AMT, 0, 1.58%, 0.0002510%), (TSLA, 0, 1.56%, 0.0000233%), (XOM, 0, 1.49%, 0.0000485%), (V, 0, 1.44%, 0.0000374%), (LLY, 0, 1.20%, 0.0000257%), (CB, 0, 1.12%, 0.0001649%), (MA, 0, 1.12%, 0.0000339%), (WM, 0, 1.08%, 0.0001802%), (GE, 0, 1.06%, 0.0000574%), (ORCL, 0, 1.01%, 0.0000213%), (NFLX, 0, 0.87%, 0.0000269%), (NEE, 0, 0.85%, 0.0000896%), (JNJ, 0, 0.80%, 0.0000309%), (PLTR, 0, 0.79%, 0.0000341%), (WMT, 0, 0.79%, 0.0000155%), (CVX, 0, 0.77%, 0.0000384%), (COST, 0, 0.77%, 0.0000284%), (CAT, 0, 0.76%, 0.0000576%), (PG, 0, 0.76%, 0.0000335%), (RTX, 0, 0.76%, 0.0000555%), (UNH, 0, 0.74%, 0.0000500%), (MCD, 0, 0.72%, 0.0000518%), (ABT, 0, 0.70%, 0.0000491%), (ABBV, 0, 0.68%, 0.0000309%), (HD, 0, 0.66%, 0.0000281%), (AMD, 0, 0.65%, 0.0000349%), (KO, 0, 0.63%, 0.0000329%), (BAC, 0, 0.62%, 0.0000273%), (CRM, 0, 0.61%, 0.0000380%), (SO, 0, 0.61%, 0.0000903%), (BKNG, 0, 0.61%, 0.0000527%), (BA, 0, 0.60%, 0.0000550%), (PM, 0, 0.60%, 0.0000364%), (IBM, 0, 0.58%, 0.0000374%), (NKE, 0, 0.58%, 0.0001017%), (ETN, 0, 0.56%, 0.0000568%), (ISRG, 0, 0.55%, 0.0000494%), (DUK, 0, 0.55%, 0.0000902%), (INTU, 0, 0.55%, 0.0000380%), (GS, 0, 0.54%, 0.0000383%), (WFC, 0, 0.53%, 0.0000315%), (HON, 0, 0.52%, 0.0000572%), (UBER, 0, 0.51%, 0.0000432%), (MET, 0, 0.50%, 0.0001513%), (NOW, 0, 0.49%, 0.0000375%), (DE, 0, 0.48%, 0.0000525%), (PEP, 0, 0.45%, 0.0000366%), (T, 0, 0.43%, 0.0001569%), (SPGI, 0, 0.42%, 0.0000386%), (ACN, 0, 0.41%, 0.0000379%), (MRK, 0, 0.40%, 0.0000313%), (AXP, 0, 0.40%, 0.0000298%), (VZ, 0, 0.39%, 0.0000335%), (BLK, 0, 0.39%, 0.0000349%), (ADBE, 0, 0.39%, 0.0000399%), (COP, 0, 0.38%, 0.0000487%), (QCOM, 0, 0.37%, 0.0000360%), (MDT, 0, 0.37%, 0.0000492%), (UNP, 0, 0.37%, 0.0000437%), (DIS, 0, 0.37%, 0.0000268%), (TMO, 0, 0.36%, 0.0000314%), (C, 0, 0.35%, 0.0000312%), (SCHW, 0, 0.35%, 0.0000303%), (SBUX, 0, 0.34%, 0.0000515%), (AMAT, 0, 0.34%, 0.0000362%), (MS, 0, 0.33%, 0.0000223%), (AMGN, 0, 0.32%, 0.0000308%), (LMT, 0, 0.32%, 0.0000510%), (EMR, 0, 0.30%, 0.0000567%), (MMM, 0, 0.29%, 0.0000572%), (GILD, 0, 0.29%, 0.0000310%), (PFE, 0, 0.27%, 0.0000308%), (DHR, 0, 0.26%, 0.0000282%), (TXN, 0, 0.26%, 0.0000241%), (TJX, 0, 0.26%, 0.0000286%), (CVS, 0, 0.25%, 0.0000488%), (MO, 0, 0.25%, 0.0000368%), (LOW, 0, 0.23%, 0.0000285%), (CMCSA, 0, 0.22%, 0.0000279%), (ELV, 0, 0.21%, 0.0000513%), (MDLZ, 0, 0.21%, 0.0000378%), (INTC, 0, 0.19%, 0.0000324%), (BMY, 0, 0.18%, 0.0000308%), (UPS, 0, 0.17%, 0.0000424%), (PYPL, 0, 0.16%, 0.0000394%), (CL, 0, 0.15%, 0.0000336%), (FDX, 0, 0.14%, 0.0000407%), (USB, 0, 0.14%, 0.0000304%), (TGT, 0, 0.09%, 0.0000288%), (nan, 0, -0.00%, 0.0000000%), (nan, 0, -0.00%, 0.0000000%)</t>
  </si>
  <si>
    <t>(GOOGLE, 0, 3.75%, 0.0000602%), (AVGO, 0, 3.32%, 0.0000828%), (META, 0, 3.02%, 0.0000638%), (BRK/B, 0, 2.20%, 0.0001173%), (CSCO, 0, 1.92%, 0.0002483%), (LIN, 0, 1.84%, 0.0002975%), (JPM, 0, 1.74%, 0.0000744%), (AMT, 0, 1.68%, 0.0006017%), (TSLA, 0, 1.66%, 0.0000559%), (XOM, 0, 1.58%, 0.0001162%), (V, 0, 1.53%, 0.0000897%), (LLY, 0, 1.28%, 0.0000618%), (CB, 0, 1.19%, 0.0003951%), (MA, 0, 1.19%, 0.0000811%), (WM, 0, 1.15%, 0.0004324%), (GE, 0, 1.12%, 0.0001375%), (ORCL, 0, 1.07%, 0.0000512%), (NFLX, 0, 0.91%, 0.0000642%), (NEE, 0, 0.90%, 0.0002148%), (JNJ, 0, 0.85%, 0.0000740%), (PLTR, 0, 0.84%, 0.0000818%), (WMT, 0, 0.83%, 0.0000372%), (CVX, 0, 0.82%, 0.0000920%), (COST, 0, 0.81%, 0.0000684%), (CAT, 0, 0.81%, 0.0001381%), (PG, 0, 0.81%, 0.0000803%), (RTX, 0, 0.80%, 0.0001330%), (UNH, 0, 0.79%, 0.0001198%), (MCD, 0, 0.76%, 0.0001243%), (ABT, 0, 0.75%, 0.0001176%), (ABBV, 0, 0.72%, 0.0000741%), (HD, 0, 0.71%, 0.0000674%), (AMD, 0, 0.69%, 0.0000837%), (KO, 0, 0.66%, 0.0000789%), (BAC, 0, 0.66%, 0.0000655%), (BKNG, 0, 0.65%, 0.0001272%), (CRM, 0, 0.65%, 0.0000912%), (SO, 0, 0.65%, 0.0002167%), (BA, 0, 0.64%, 0.0001317%), (PM, 0, 0.64%, 0.0000874%), (IBM, 0, 0.62%, 0.0000898%), (NKE, 0, 0.62%, 0.0002437%), (ISRG, 0, 0.59%, 0.0001185%), (ETN, 0, 0.59%, 0.0001359%), (DUK, 0, 0.58%, 0.0002163%), (INTU, 0, 0.58%, 0.0000911%), (GS, 0, 0.58%, 0.0000924%), (WFC, 0, 0.56%, 0.0000756%), (HON, 0, 0.55%, 0.0001372%), (UBER, 0, 0.55%, 0.0001034%), (MET, 0, 0.53%, 0.0003627%), (NOW, 0, 0.52%, 0.0000899%), (DE, 0, 0.51%, 0.0001261%), (PEP, 0, 0.48%, 0.0000878%), (T, 0, 0.46%, 0.0003763%), (ACN, 0, 0.44%, 0.0000910%), (SPGI, 0, 0.44%, 0.0000925%), (MRK, 0, 0.43%, 0.0000750%), (AXP, 0, 0.42%, 0.0000713%), (VZ, 0, 0.42%, 0.0000804%), (ADBE, 0, 0.41%, 0.0000953%), (BLK, 0, 0.41%, 0.0000827%), (COP, 0, 0.40%, 0.0001167%), (QCOM, 0, 0.40%, 0.0000862%), (UNP, 0, 0.40%, 0.0001047%), (MDT, 0, 0.40%, 0.0001179%), (DIS, 0, 0.39%, 0.0000642%), (TMO, 0, 0.39%, 0.0000753%), (C, 0, 0.37%, 0.0000747%), (SCHW, 0, 0.37%, 0.0000726%), (SBUX, 0, 0.36%, 0.0001233%), (AMAT, 0, 0.36%, 0.0000866%), (AMGN, 0, 0.34%, 0.0000739%), (LMT, 0, 0.34%, 0.0001223%), (MS, 0, 0.33%, 0.0000497%), (EMR, 0, 0.32%, 0.0001357%), (MMM, 0, 0.31%, 0.0001372%), (GILD, 0, 0.30%, 0.0000743%), (TXN, 0, 0.29%, 0.0000621%), (PFE, 0, 0.28%, 0.0000738%), (DHR, 0, 0.27%, 0.0000674%), (TJX, 0, 0.27%, 0.0000685%), (CVS, 0, 0.26%, 0.0001169%), (MO, 0, 0.26%, 0.0000883%), (LOW, 0, 0.25%, 0.0000683%), (CMCSA, 0, 0.23%, 0.0000669%), (ELV, 0, 0.22%, 0.0001233%), (MDLZ, 0, 0.22%, 0.0000907%), (INTC, 0, 0.21%, 0.0000777%), (BMY, 0, 0.19%, 0.0000738%), (UPS, 0, 0.18%, 0.0001018%), (PYPL, 0, 0.17%, 0.0000945%), (CL, 0, 0.16%, 0.0000808%), (USB, 0, 0.15%, 0.0000729%), (FDX, 0, 0.15%, 0.0000975%), (TGT, 0, 0.09%, 0.0000693%), (nan, 0, -0.00%, 0.0000000%), (nan, 0, -0.01%, 0.0000000%)</t>
  </si>
  <si>
    <t>EBAY, META, MSFT, BK, JPM, RJF, BLK, GOOGLE, BKNG, MLI, V, EWBC</t>
  </si>
  <si>
    <t>(AMAT, 0, 1.83%, 0.0007022%), (EA, 0, 1.81%, 0.0026110%), (AXP, 0, 1.80%, 0.0004782%), (NVDA, 0, 1.79%, 0.0000224%), (HIG, 0, 1.78%, 0.0028057%), (ADP, 0, 1.77%, 0.0007714%), (TRV, 0, 1.77%, 0.0016654%), (SNA, 0, 1.70%, 0.0055973%), (UNM, 0, 1.70%, 0.0077123%), (PHM, 0, 1.69%, 0.0042505%), (KLAC, 0, 1.68%, 0.0007862%), (PCAR, 0, 1.66%, 0.0017582%), (ROST, 0, 1.62%, 0.0020001%), (CB, 0, 1.59%, 0.0008370%), (CRM, 0, 1.59%, 0.0003514%), (CTSH, 0, 1.58%, 0.0024451%), (SYF, 0, 1.56%, 0.0033853%), (PAYC, 0, 1.53%, 0.0061717%), (BKR, 0, 1.43%, 0.0017600%), (LEN, 0, 1.41%, 0.0030799%), (WSM, 0, 1.41%, 0.0033903%), (ACN, 0, 1.37%, 0.0004467%), (QCOM, 0, 1.27%, 0.0004365%), (DHI, 0, 1.19%, 0.0015553%), (AFL, 0, 1.17%, 0.0012060%), (ELV, 0, 1.16%, 0.0010066%), (AAPL, 0, 1.15%, 0.0000206%), (ODFL, 0, 1.09%, 0.0019037%), (CSCO, 0, 1.08%, 0.0002210%), (GE, 0, 1.04%, 0.0001998%), (LRCX, 0, 1.03%, 0.0004789%), (STT, 0, 0.99%, 0.0017335%), (MPWR, 0, 0.98%, 0.0015556%), (CF, 0, 0.93%, 0.0034166%), (PNC, 0, 0.90%, 0.0006584%), (AMP, 0, 0.89%, 0.0010150%), (MTB, 0, 0.89%, 0.0016767%), (COST, 0, 0.83%, 0.0001092%), (XOM, 0, 0.82%, 0.0000951%), (ABT, 0, 0.81%, 0.0002005%), (EOG, 0, 0.80%, 0.0006680%), (EG, 0, 0.75%, 0.0029214%), (CSL, 0, 0.71%, 0.0025990%), (GEV, 0, 0.60%, 0.0001821%), (NTRS, 0, 0.54%, 0.0011887%), (CRBG, 0, 0.50%, 0.0014335%), (MA, 0, 0.49%, 0.0000526%), (JNJ, 0, 0.45%, 0.0000625%), (ACM, 0, 0.43%, 0.0016059%), (DOV, 0, 0.43%, 0.0009581%), (CINF, 0, 0.42%, 0.0010018%), (LNC, 0, 0.42%, 0.0032363%), (WTFC, 0, 0.42%, 0.0027049%), (SLM, 0, 0.42%, 0.0035545%), (MCK, 0, 0.42%, 0.0002613%), (MTG, 0, 0.41%, 0.0039474%), (ALL, 0, 0.41%, 0.0004224%), (EQH, 0, 0.41%, 0.0014546%), (JXN, 0, 0.40%, 0.0036424%), (NUE, 0, 0.39%, 0.0006548%), (NKE, 0, 0.37%, 0.0002304%), (ADM, 0, 0.37%, 0.0007790%), (PGR, 0, 0.36%, 0.0001399%), (FANG, 0, 0.32%, 0.0004042%)</t>
  </si>
  <si>
    <t>(GOOGLE, 0, 3.42%, 0.0000637%), (AVGO, 0, 3.03%, 0.0000877%), (META, 0, 2.77%, 0.0000675%), (BRK/B, 0, 2.01%, 0.0001242%), (CSCO, 0, 1.75%, 0.0002629%), (LIN, 0, 1.68%, 0.0003148%), (JPM, 0, 1.58%, 0.0000788%), (AMT, 0, 1.53%, 0.0006372%), (TSLA, 0, 1.51%, 0.0000592%), (XOM, 0, 1.44%, 0.0001231%), (V, 0, 1.40%, 0.0000950%), (LLY, 0, 1.16%, 0.0000654%), (CB, 0, 1.08%, 0.0004182%), (MA, 0, 1.08%, 0.0000858%), (WM, 0, 1.05%, 0.0004577%), (GE, 0, 1.03%, 0.0001455%), (ORCL, 0, 0.98%, 0.0000542%), (NFLX, 0, 0.83%, 0.0000680%), (NEE, 0, 0.82%, 0.0002275%), (JNJ, 0, 0.77%, 0.0000784%), (PLTR, 0, 0.77%, 0.0000866%), (WMT, 0, 0.76%, 0.0000394%), (CVX, 0, 0.75%, 0.0000974%), (COST, 0, 0.74%, 0.0000724%), (CAT, 0, 0.74%, 0.0001462%), (PG, 0, 0.74%, 0.0000850%), (RTX, 0, 0.73%, 0.0001408%), (UNH, 0, 0.72%, 0.0001268%), (MCD, 0, 0.69%, 0.0001316%), (ABT, 0, 0.68%, 0.0001246%), (ABBV, 0, 0.66%, 0.0000785%), (HD, 0, 0.64%, 0.0000713%), (AMD, 0, 0.63%, 0.0000887%), (KO, 0, 0.61%, 0.0000835%), (BAC, 0, 0.60%, 0.0000694%), (CRM, 0, 0.59%, 0.0000965%), (SO, 0, 0.59%, 0.0002294%), (BKNG, 0, 0.59%, 0.0001334%), (BA, 0, 0.58%, 0.0001395%), (PM, 0, 0.58%, 0.0000925%), (IBM, 0, 0.56%, 0.0000950%), (NKE, 0, 0.56%, 0.0002580%), (ETN, 0, 0.54%, 0.0001441%), (ISRG, 0, 0.54%, 0.0001255%), (DUK, 0, 0.53%, 0.0002291%), (INTU, 0, 0.52%, 0.0000965%), (GS, 0, 0.52%, 0.0000977%), (WFC, 0, 0.51%, 0.0000800%), (HON, 0, 0.50%, 0.0001452%), (UBER, 0, 0.50%, 0.0001095%), (MET, 0, 0.48%, 0.0003840%), (NOW, 0, 0.47%, 0.0000952%), (DE, 0, 0.46%, 0.0001335%), (PEP, 0, 0.44%, 0.0000930%), (T, 0, 0.42%, 0.0003984%), (ACN, 0, 0.40%, 0.0000963%), (SPGI, 0, 0.40%, 0.0000978%), (MRK, 0, 0.39%, 0.0000794%), (AXP, 0, 0.39%, 0.0000755%), (VZ, 0, 0.38%, 0.0000851%), (ADBE, 0, 0.37%, 0.0001011%), (BLK, 0, 0.37%, 0.0000878%), (COP, 0, 0.36%, 0.0001236%), (QCOM, 0, 0.36%, 0.0000913%), (UNP, 0, 0.36%, 0.0001109%), (MDT, 0, 0.36%, 0.0001248%), (DIS, 0, 0.36%, 0.0000680%), (TMO, 0, 0.35%, 0.0000798%), (C, 0, 0.34%, 0.0000791%), (SCHW, 0, 0.34%, 0.0000769%), (MS, 0, 0.34%, 0.0000600%), (SBUX, 0, 0.33%, 0.0001306%), (AMAT, 0, 0.32%, 0.0000918%), (AMGN, 0, 0.31%, 0.0000784%), (LMT, 0, 0.31%, 0.0001292%), (EMR, 0, 0.29%, 0.0001437%), (MMM, 0, 0.28%, 0.0001453%), (GILD, 0, 0.28%, 0.0000787%), (TXN, 0, 0.27%, 0.0000670%), (PFE, 0, 0.26%, 0.0000782%), (DHR, 0, 0.25%, 0.0000714%), (TJX, 0, 0.25%, 0.0000724%), (CVS, 0, 0.24%, 0.0001238%), (MO, 0, 0.24%, 0.0000935%), (LOW, 0, 0.22%, 0.0000724%), (CMCSA, 0, 0.21%, 0.0000709%), (ELV, 0, 0.20%, 0.0001305%), (MDLZ, 0, 0.20%, 0.0000960%), (INTC, 0, 0.19%, 0.0000822%), (BMY, 0, 0.17%, 0.0000781%), (UPS, 0, 0.17%, 0.0001077%), (PYPL, 0, 0.16%, 0.0001000%), (CL, 0, 0.14%, 0.0000855%), (FDX, 0, 0.13%, 0.0001034%), (USB, 0, 0.13%, 0.0000772%), (TGT, 0, 0.08%, 0.0000735%), (nan, 0, -0.00%, 0.0000000%), (nan, 0, -0.00%, 0.0000000%)</t>
  </si>
  <si>
    <t>(GOOGLE, 0, 3.59%, 0.0001304%), (AVGO, 0, 3.18%, 0.0001794%), (META, 0, 2.91%, 0.0001382%), (BRK/B, 0, 2.11%, 0.0002540%), (CSCO, 0, 1.84%, 0.0005377%), (LIN, 0, 1.76%, 0.0006440%), (JPM, 0, 1.66%, 0.0001612%), (AMT, 0, 1.61%, 0.0013032%), (TSLA, 0, 1.59%, 0.0001211%), (XOM, 0, 1.51%, 0.0002517%), (V, 0, 1.47%, 0.0001943%), (LLY, 0, 1.22%, 0.0001337%), (MA, 0, 1.14%, 0.0001756%), (CB, 0, 1.14%, 0.0008555%), (WM, 0, 1.10%, 0.0009363%), (GE, 0, 1.08%, 0.0002977%), (ORCL, 0, 1.03%, 0.0001108%), (NFLX, 0, 0.88%, 0.0001392%), (NEE, 0, 0.87%, 0.0004652%), (JNJ, 0, 0.81%, 0.0001603%), (PLTR, 0, 0.81%, 0.0001771%), (WMT, 0, 0.80%, 0.0000806%), (CVX, 0, 0.78%, 0.0001993%), (COST, 0, 0.78%, 0.0001480%), (CAT, 0, 0.78%, 0.0002991%), (PG, 0, 0.77%, 0.0001739%), (RTX, 0, 0.77%, 0.0002880%), (UNH, 0, 0.75%, 0.0002594%), (MCD, 0, 0.73%, 0.0002691%), (ABT, 0, 0.71%, 0.0002547%), (ABBV, 0, 0.69%, 0.0001604%), (HD, 0, 0.68%, 0.0001460%), (AMD, 0, 0.66%, 0.0001813%), (KO, 0, 0.64%, 0.0001708%), (BAC, 0, 0.63%, 0.0001419%), (BKNG, 0, 0.62%, 0.0002761%), (CRM, 0, 0.62%, 0.0001974%), (SO, 0, 0.62%, 0.0004692%), (BA, 0, 0.61%, 0.0002854%), (PM, 0, 0.61%, 0.0001893%), (IBM, 0, 0.59%, 0.0001944%), (NKE, 0, 0.59%, 0.0005277%), (ISRG, 0, 0.56%, 0.0002567%), (ETN, 0, 0.56%, 0.0002944%), (DUK, 0, 0.56%, 0.0004683%), (INTU, 0, 0.55%, 0.0001976%), (GS, 0, 0.55%, 0.0002000%), (WFC, 0, 0.54%, 0.0001636%), (HON, 0, 0.53%, 0.0002971%), (UBER, 0, 0.52%, 0.0002240%), (MET, 0, 0.50%, 0.0007855%), (NOW, 0, 0.49%, 0.0001947%), (DE, 0, 0.49%, 0.0002730%), (PEP, 0, 0.46%, 0.0001902%), (T, 0, 0.44%, 0.0008149%), (MS, 0, 0.43%, 0.0001484%), (SPGI, 0, 0.42%, 0.0002001%), (ACN, 0, 0.42%, 0.0001972%), (MRK, 0, 0.41%, 0.0001624%), (AXP, 0, 0.40%, 0.0001543%), (VZ, 0, 0.40%, 0.0001741%), (ADBE, 0, 0.39%, 0.0002066%), (BLK, 0, 0.39%, 0.0001795%), (COP, 0, 0.38%, 0.0002529%), (QCOM, 0, 0.38%, 0.0001867%), (UNP, 0, 0.38%, 0.0002268%), (MDT, 0, 0.38%, 0.0002553%), (DIS, 0, 0.38%, 0.0001390%), (TMO, 0, 0.37%, 0.0001632%), (C, 0, 0.36%, 0.0001618%), (TXN, 0, 0.36%, 0.0001710%), (SCHW, 0, 0.35%, 0.0001573%), (SBUX, 0, 0.35%, 0.0002671%), (AMAT, 0, 0.34%, 0.0001877%), (AMGN, 0, 0.33%, 0.0001601%), (LMT, 0, 0.33%, 0.0002645%), (EMR, 0, 0.30%, 0.0002939%), (MMM, 0, 0.30%, 0.0002974%), (GILD, 0, 0.29%, 0.0001610%), (PFE, 0, 0.27%, 0.0001598%), (DHR, 0, 0.26%, 0.0001460%), (TJX, 0, 0.26%, 0.0001482%), (CVS, 0, 0.25%, 0.0002532%), (MO, 0, 0.25%, 0.0001913%), (LOW, 0, 0.24%, 0.0001480%), (CMCSA, 0, 0.22%, 0.0001450%), (ELV, 0, 0.21%, 0.0002664%), (MDLZ, 0, 0.21%, 0.0001964%), (INTC, 0, 0.20%, 0.0001682%), (BMY, 0, 0.18%, 0.0001598%), (UPS, 0, 0.18%, 0.0002204%), (PYPL, 0, 0.17%, 0.0002047%), (CL, 0, 0.15%, 0.0001748%), (FDX, 0, 0.14%, 0.0002115%), (USB, 0, 0.14%, 0.0001578%), (TGT, 0, 0.09%, 0.0001501%), (nan, 0, -0.00%, 0.0000000%), (nan, 0, -0.01%, 0.0000000%)</t>
  </si>
  <si>
    <t>(GOOGLE, 0, 3.40%, 0.0002586%), (AVGO, 0, 3.01%, 0.0003557%), (META, 0, 2.74%, 0.0002740%), (BRK/B, 0, 1.99%, 0.0005036%), (CSCO, 0, 1.74%, 0.0010664%), (LIN, 0, 1.67%, 0.0012772%), (JPM, 0, 1.57%, 0.0003197%), (AMT, 0, 1.52%, 0.0025847%), (TSLA, 0, 1.50%, 0.0002401%), (XOM, 0, 1.43%, 0.0004992%), (V, 0, 1.39%, 0.0003854%), (LLY, 0, 1.15%, 0.0002651%), (MA, 0, 1.08%, 0.0003484%), (CB, 0, 1.08%, 0.0016969%), (WM, 0, 1.04%, 0.0018567%), (GE, 0, 1.02%, 0.0005902%), (ORCL, 0, 0.97%, 0.0002197%), (NFLX, 0, 0.83%, 0.0002761%), (NEE, 0, 0.82%, 0.0009226%), (JNJ, 0, 0.77%, 0.0003179%), (PLTR, 0, 0.76%, 0.0003513%), (WMT, 0, 0.76%, 0.0001599%), (CVX, 0, 0.74%, 0.0003952%), (COST, 0, 0.74%, 0.0002936%), (CAT, 0, 0.73%, 0.0005930%), (PG, 0, 0.73%, 0.0003448%), (RTX, 0, 0.73%, 0.0005711%), (UNH, 0, 0.71%, 0.0005146%), (MCD, 0, 0.69%, 0.0005335%), (ABT, 0, 0.68%, 0.0005052%), (ABBV, 0, 0.65%, 0.0003181%), (HD, 0, 0.64%, 0.0002894%), (AMD, 0, 0.62%, 0.0003597%), (KO, 0, 0.60%, 0.0003387%), (BAC, 0, 0.60%, 0.0002814%), (BKNG, 0, 0.59%, 0.0005460%), (CRM, 0, 0.59%, 0.0003914%), (SO, 0, 0.59%, 0.0009306%), (BA, 0, 0.58%, 0.0005658%), (PM, 0, 0.58%, 0.0003754%), (IBM, 0, 0.56%, 0.0003856%), (NKE, 0, 0.56%, 0.0010465%), (ISRG, 0, 0.53%, 0.0005089%), (ETN, 0, 0.53%, 0.0005841%), (DUK, 0, 0.53%, 0.0009289%), (INTU, 0, 0.52%, 0.0003917%), (GS, 0, 0.52%, 0.0003964%), (WFC, 0, 0.51%, 0.0003246%), (HON, 0, 0.50%, 0.0005892%), (UBER, 0, 0.49%, 0.0004442%), (MET, 0, 0.48%, 0.0015580%), (NOW, 0, 0.47%, 0.0003861%), (DE, 0, 0.46%, 0.0005416%), (PEP, 0, 0.43%, 0.0003771%), (T, 0, 0.41%, 0.0016160%), (MS, 0, 0.40%, 0.0002944%), (SPGI, 0, 0.40%, 0.0003973%), (ACN, 0, 0.40%, 0.0003909%), (MRK, 0, 0.39%, 0.0003221%), (AXP, 0, 0.38%, 0.0003060%), (VZ, 0, 0.38%, 0.0003452%), (ADBE, 0, 0.37%, 0.0004099%), (BLK, 0, 0.37%, 0.0003558%), (COP, 0, 0.36%, 0.0005015%), (QCOM, 0, 0.36%, 0.0003703%), (UNP, 0, 0.36%, 0.0004496%), (MDT, 0, 0.36%, 0.0005064%), (DIS, 0, 0.36%, 0.0002757%), (TMO, 0, 0.35%, 0.0003239%), (C, 0, 0.34%, 0.0003208%), (SCHW, 0, 0.34%, 0.0003119%), (SBUX, 0, 0.33%, 0.0005298%), (AMAT, 0, 0.32%, 0.0003722%), (AMGN, 0, 0.31%, 0.0003176%), (LMT, 0, 0.31%, 0.0005246%), (EMR, 0, 0.29%, 0.0005828%), (MMM, 0, 0.28%, 0.0005898%), (GILD, 0, 0.27%, 0.0003192%), (TXN, 0, 0.26%, 0.0002620%), (PFE, 0, 0.26%, 0.0003170%), (DHR, 0, 0.25%, 0.0002895%), (TJX, 0, 0.25%, 0.0002939%), (CVS, 0, 0.24%, 0.0005020%), (MO, 0, 0.24%, 0.0003794%), (LOW, 0, 0.22%, 0.0002933%), (CMCSA, 0, 0.21%, 0.0002875%), (ELV, 0, 0.20%, 0.0005287%), (MDLZ, 0, 0.20%, 0.0003894%), (INTC, 0, 0.19%, 0.0003335%), (BMY, 0, 0.17%, 0.0003169%), (UPS, 0, 0.17%, 0.0004371%), (PYPL, 0, 0.16%, 0.0004058%), (CL, 0, 0.14%, 0.0003467%), (FDX, 0, 0.13%, 0.0004191%), (USB, 0, 0.13%, 0.0003130%), (TGT, 0, 0.08%, 0.0002978%), (nan, 0, -0.00%, 0.0000000%), (nan, 0, -0.01%, 0.0000000%)</t>
  </si>
  <si>
    <t>(AVGO, 0, 2.91%, 0.0000516%), (META, 0, 2.65%, 0.0000397%), (BRK/B, 0, 1.96%, 0.0000730%), (CSCO, 0, 1.69%, 0.0001546%), (LIN, 0, 1.64%, 0.0001852%), (AMT, 0, 1.54%, 0.0003747%), (JPM, 0, 1.52%, 0.0000464%), (TSLA, 0, 1.45%, 0.0000348%), (XOM, 0, 1.39%, 0.0000724%), (V, 0, 1.33%, 0.0000559%), (LLY, 0, 1.14%, 0.0000384%), (CB, 0, 1.07%, 0.0002460%), (MA, 0, 1.04%, 0.0000505%), (WM, 0, 1.02%, 0.0002691%), (GE, 0, 1.00%, 0.0000856%), (ORCL, 0, 0.92%, 0.0000319%), (NFLX, 0, 0.81%, 0.0000401%), (NEE, 0, 0.81%, 0.0001338%), (JNJ, 0, 0.77%, 0.0000461%), (WMT, 0, 0.75%, 0.0000232%), (COST, 0, 0.74%, 0.0000426%), (PLTR, 0, 0.74%, 0.0000509%), (CVX, 0, 0.73%, 0.0000573%), (PG, 0, 0.73%, 0.0000500%), (RTX, 0, 0.72%, 0.0000828%), (CAT, 0, 0.71%, 0.0000860%), (MCD, 0, 0.69%, 0.0000774%), (ABT, 0, 0.67%, 0.0000733%), (UNH, 0, 0.66%, 0.0000746%), (ABBV, 0, 0.65%, 0.0000461%), (HD, 0, 0.64%, 0.0000420%), (KO, 0, 0.60%, 0.0000491%), (AMD, 0, 0.59%, 0.0000521%), (SO, 0, 0.58%, 0.0001349%), (BA, 0, 0.57%, 0.0000821%), (PM, 0, 0.57%, 0.0000544%), (BAC, 0, 0.57%, 0.0000408%), (CRM, 0, 0.56%, 0.0000567%), (NKE, 0, 0.55%, 0.0001517%), (BKNG, 0, 0.55%, 0.0000776%), (IBM, 0, 0.54%, 0.0000558%), (DUK, 0, 0.53%, 0.0001346%), (ISRG, 0, 0.52%, 0.0000739%), (ETN, 0, 0.52%, 0.0000848%), (INTU, 0, 0.51%, 0.0000567%), (GS, 0, 0.50%, 0.0000573%), (HON, 0, 0.49%, 0.0000854%), (WFC, 0, 0.48%, 0.0000470%), (UBER, 0, 0.48%, 0.0000644%), (MET, 0, 0.46%, 0.0002259%), (DE, 0, 0.44%, 0.0000784%), (NOW, 0, 0.44%, 0.0000558%), (PEP, 0, 0.43%, 0.0000546%), (T, 0, 0.41%, 0.0002343%), (SPGI, 0, 0.39%, 0.0000575%), (MS, 0, 0.39%, 0.0000427%), (MRK, 0, 0.38%, 0.0000467%), (VZ, 0, 0.37%, 0.0000500%), (AXP, 0, 0.37%, 0.0000444%), (ACN, 0, 0.37%, 0.0000567%), (BLK, 0, 0.36%, 0.0000517%), (ADBE, 0, 0.36%, 0.0000595%), (TXN, 0, 0.36%, 0.0000524%), (QCOM, 0, 0.35%, 0.0000537%), (UNP, 0, 0.35%, 0.0000652%), (MDT, 0, 0.35%, 0.0000734%), (COP, 0, 0.35%, 0.0000727%), (DIS, 0, 0.35%, 0.0000400%), (TMO, 0, 0.34%, 0.0000468%), (SCHW, 0, 0.32%, 0.0000452%), (C, 0, 0.32%, 0.0000465%), (AMAT, 0, 0.32%, 0.0000540%), (SBUX, 0, 0.31%, 0.0000768%), (LMT, 0, 0.31%, 0.0000761%), (AMGN, 0, 0.30%, 0.0000461%), (EMR, 0, 0.28%, 0.0000846%), (MMM, 0, 0.27%, 0.0000855%), (GILD, 0, 0.27%, 0.0000463%), (PFE, 0, 0.25%, 0.0000460%), (TJX, 0, 0.25%, 0.0000426%), (DHR, 0, 0.24%, 0.0000419%), (CVS, 0, 0.24%, 0.0000728%), (MO, 0, 0.23%, 0.0000550%), (LOW, 0, 0.22%, 0.0000426%), (CMCSA, 0, 0.20%, 0.0000417%), (MDLZ, 0, 0.19%, 0.0000564%), (ELV, 0, 0.19%, 0.0000765%), (INTC, 0, 0.18%, 0.0000483%), (BMY, 0, 0.17%, 0.0000459%), (UPS, 0, 0.16%, 0.0000633%), (PYPL, 0, 0.15%, 0.0000589%), (CL, 0, 0.14%, 0.0000502%), (FDX, 0, 0.13%, 0.0000606%), (USB, 0, 0.13%, 0.0000454%), (TGT, 0, 0.08%, 0.0000431%), (nan, 0, -0.00%, 0.0000000%), (nan, 0, -0.00%, 0.0000000%)</t>
  </si>
  <si>
    <t>(GOOGLE, 0, 3.57%, 0.0002270%), (AVGO, 0, 3.17%, 0.0003123%), (META, 0, 2.88%, 0.0002406%), (BRK/B, 0, 2.14%, 0.0004421%), (CSCO, 0, 1.84%, 0.0009361%), (LIN, 0, 1.78%, 0.0011213%), (AMT, 0, 1.67%, 0.0022689%), (JPM, 0, 1.65%, 0.0002806%), (TSLA, 0, 1.57%, 0.0002108%), (XOM, 0, 1.52%, 0.0004382%), (V, 0, 1.44%, 0.0003383%), (LLY, 0, 1.25%, 0.0002327%), (CB, 0, 1.16%, 0.0014895%), (MA, 0, 1.13%, 0.0003059%), (WM, 0, 1.11%, 0.0016298%), (GE, 0, 1.09%, 0.0005182%), (ORCL, 0, 1.00%, 0.0001929%), (NEE, 0, 0.88%, 0.0008099%), (NFLX, 0, 0.88%, 0.0002424%), (JNJ, 0, 0.83%, 0.0002790%), (WMT, 0, 0.82%, 0.0001404%), (PLTR, 0, 0.80%, 0.0003084%), (COST, 0, 0.80%, 0.0002577%), (CVX, 0, 0.80%, 0.0003470%), (PG, 0, 0.79%, 0.0003027%), (RTX, 0, 0.78%, 0.0005014%), (CAT, 0, 0.78%, 0.0005204%), (MCD, 0, 0.75%, 0.0004683%), (ABT, 0, 0.73%, 0.0004434%), (UNH, 0, 0.71%, 0.0004517%), (ABBV, 0, 0.71%, 0.0002793%), (HD, 0, 0.70%, 0.0002541%), (KO, 0, 0.65%, 0.0002973%), (AMD, 0, 0.65%, 0.0003157%), (SO, 0, 0.63%, 0.0008169%), (BA, 0, 0.62%, 0.0004966%), (PM, 0, 0.62%, 0.0003295%), (BAC, 0, 0.62%, 0.0002471%), (BKNG, 0, 0.61%, 0.0004778%), (CRM, 0, 0.61%, 0.0003436%), (NKE, 0, 0.60%, 0.0009187%), (IBM, 0, 0.58%, 0.0003384%), (DUK, 0, 0.58%, 0.0008154%), (ISRG, 0, 0.57%, 0.0004468%), (ETN, 0, 0.56%, 0.0005127%), (INTU, 0, 0.55%, 0.0003440%), (GS, 0, 0.55%, 0.0003481%), (HON, 0, 0.53%, 0.0005173%), (WFC, 0, 0.53%, 0.0002849%), (UBER, 0, 0.52%, 0.0003899%), (MET, 0, 0.50%, 0.0013676%), (DE, 0, 0.48%, 0.0004753%), (NOW, 0, 0.48%, 0.0003389%), (PEP, 0, 0.47%, 0.0003310%), (T, 0, 0.45%, 0.0014186%), (MS, 0, 0.43%, 0.0002584%), (SPGI, 0, 0.42%, 0.0003487%), (MRK, 0, 0.42%, 0.0002828%), (VZ, 0, 0.41%, 0.0003030%), (AXP, 0, 0.40%, 0.0002686%), (ACN, 0, 0.40%, 0.0003433%), (BLK, 0, 0.39%, 0.0003126%), (ADBE, 0, 0.39%, 0.0003598%), (TXN, 0, 0.39%, 0.0003170%), (QCOM, 0, 0.38%, 0.0003251%), (UNP, 0, 0.38%, 0.0003947%), (COP, 0, 0.38%, 0.0004402%), (MDT, 0, 0.38%, 0.0004445%), (DIS, 0, 0.38%, 0.0002421%), (TMO, 0, 0.37%, 0.0002843%), (C, 0, 0.35%, 0.0002816%), (SCHW, 0, 0.35%, 0.0002739%), (AMAT, 0, 0.35%, 0.0003267%), (SBUX, 0, 0.34%, 0.0004650%), (LMT, 0, 0.33%, 0.0004602%), (AMGN, 0, 0.33%, 0.0002788%), (EMR, 0, 0.30%, 0.0005117%), (MMM, 0, 0.29%, 0.0005177%), (GILD, 0, 0.29%, 0.0002802%), (PFE, 0, 0.27%, 0.0002783%), (TJX, 0, 0.27%, 0.0002581%), (DHR, 0, 0.26%, 0.0002541%), (CVS, 0, 0.26%, 0.0004407%), (MO, 0, 0.25%, 0.0003331%), (LOW, 0, 0.24%, 0.0002575%), (CMCSA, 0, 0.22%, 0.0002524%), (MDLZ, 0, 0.21%, 0.0003418%), (ELV, 0, 0.21%, 0.0004639%), (INTC, 0, 0.19%, 0.0002928%), (BMY, 0, 0.19%, 0.0002782%), (UPS, 0, 0.18%, 0.0003837%), (PYPL, 0, 0.17%, 0.0003562%), (CL, 0, 0.15%, 0.0003044%), (FDX, 0, 0.14%, 0.0003679%), (USB, 0, 0.14%, 0.0002748%), (TGT, 0, 0.09%, 0.0002614%), (nan, 0, -0.00%, 0.0000000%), (nan, 0, -0.00%, 0.0000000%)</t>
  </si>
  <si>
    <t>(GOOGLE, 0, 3.55%, 0.0001690%), (AVGO, 0, 3.15%, 0.0002325%), (META, 0, 2.86%, 0.0001791%), (BRK/B, 0, 2.12%, 0.0003291%), (CSCO, 0, 1.83%, 0.0006969%), (LIN, 0, 1.77%, 0.0008348%), (AMT, 0, 1.66%, 0.0016890%), (JPM, 0, 1.64%, 0.0002089%), (TSLA, 0, 1.56%, 0.0001569%), (XOM, 0, 1.51%, 0.0003262%), (V, 0, 1.43%, 0.0002518%), (LLY, 0, 1.24%, 0.0001733%), (CB, 0, 1.15%, 0.0011089%), (MA, 0, 1.12%, 0.0002277%), (WM, 0, 1.11%, 0.0012133%), (GE, 0, 1.09%, 0.0003858%), (ORCL, 0, 0.99%, 0.0001436%), (NFLX, 0, 0.88%, 0.0001805%), (NEE, 0, 0.88%, 0.0006029%), (JNJ, 0, 0.83%, 0.0002077%), (WMT, 0, 0.81%, 0.0001045%), (PLTR, 0, 0.80%, 0.0002296%), (COST, 0, 0.80%, 0.0001918%), (CVX, 0, 0.79%, 0.0002583%), (PG, 0, 0.79%, 0.0002253%), (RTX, 0, 0.78%, 0.0003732%), (CAT, 0, 0.77%, 0.0003874%), (MCD, 0, 0.74%, 0.0003487%), (ABT, 0, 0.72%, 0.0003302%), (UNH, 0, 0.71%, 0.0003363%), (ABBV, 0, 0.71%, 0.0002079%), (HD, 0, 0.70%, 0.0001892%), (KO, 0, 0.65%, 0.0002213%), (AMD, 0, 0.64%, 0.0002351%), (SO, 0, 0.63%, 0.0006082%), (BA, 0, 0.62%, 0.0003698%), (PM, 0, 0.62%, 0.0002453%), (BAC, 0, 0.62%, 0.0001839%), (BKNG, 0, 0.61%, 0.0003568%), (CRM, 0, 0.60%, 0.0002558%), (NKE, 0, 0.60%, 0.0006839%), (IBM, 0, 0.58%, 0.0002519%), (DUK, 0, 0.57%, 0.0006071%), (ISRG, 0, 0.56%, 0.0003326%), (ETN, 0, 0.56%, 0.0003817%), (INTU, 0, 0.55%, 0.0002561%), (GS, 0, 0.55%, 0.0002591%), (HON, 0, 0.53%, 0.0003851%), (WFC, 0, 0.52%, 0.0002121%), (UBER, 0, 0.52%, 0.0002903%), (MET, 0, 0.50%, 0.0010182%), (DE, 0, 0.47%, 0.0003540%), (NOW, 0, 0.47%, 0.0002524%), (PEP, 0, 0.46%, 0.0002464%), (T, 0, 0.45%, 0.0010561%), (MS, 0, 0.42%, 0.0001924%), (SPGI, 0, 0.42%, 0.0002596%), (MRK, 0, 0.41%, 0.0002105%), (VZ, 0, 0.40%, 0.0002256%), (AXP, 0, 0.40%, 0.0002000%), (ACN, 0, 0.40%, 0.0002554%), (BLK, 0, 0.39%, 0.0002325%), (ADBE, 0, 0.39%, 0.0002678%), (TXN, 0, 0.38%, 0.0002360%), (QCOM, 0, 0.38%, 0.0002420%), (UNP, 0, 0.38%, 0.0002938%), (COP, 0, 0.38%, 0.0003277%), (MDT, 0, 0.38%, 0.0003309%), (DIS, 0, 0.37%, 0.0001802%), (TMO, 0, 0.36%, 0.0002116%), (C, 0, 0.35%, 0.0002096%), (SCHW, 0, 0.35%, 0.0002038%), (AMAT, 0, 0.35%, 0.0002433%), (SBUX, 0, 0.34%, 0.0003462%), (LMT, 0, 0.33%, 0.0003427%), (AMGN, 0, 0.33%, 0.0002075%), (EMR, 0, 0.30%, 0.0003810%), (MMM, 0, 0.29%, 0.0003853%), (GILD, 0, 0.29%, 0.0002085%), (PFE, 0, 0.27%, 0.0002072%), (TJX, 0, 0.27%, 0.0001921%), (DHR, 0, 0.26%, 0.0001891%), (CVS, 0, 0.25%, 0.0003281%), (MO, 0, 0.25%, 0.0002479%), (LOW, 0, 0.24%, 0.0001917%), (CMCSA, 0, 0.22%, 0.0001879%), (MDLZ, 0, 0.21%, 0.0002545%), (ELV, 0, 0.21%, 0.0003456%), (INTC, 0, 0.19%, 0.0002179%), (BMY, 0, 0.18%, 0.0002071%), (UPS, 0, 0.18%, 0.0002857%), (PYPL, 0, 0.16%, 0.0002653%), (CL, 0, 0.15%, 0.0002267%), (FDX, 0, 0.14%, 0.0002738%), (USB, 0, 0.14%, 0.0002046%), (TGT, 0, 0.09%, 0.0001945%), (nan, 0, -0.00%, 0.0000000%), (nan, 0, -0.00%, 0.0000000%)</t>
  </si>
  <si>
    <t>(GOOGLE, 0, 3.59%, 0.0000396%), (AVGO, 0, 3.18%, 0.0000545%), (META, 0, 2.90%, 0.0000420%), (BRK/B, 0, 2.15%, 0.0000771%), (CSCO, 0, 1.85%, 0.0001633%), (LIN, 0, 1.79%, 0.0001957%), (AMT, 0, 1.68%, 0.0003958%), (JPM, 0, 1.66%, 0.0000490%), (TSLA, 0, 1.58%, 0.0000368%), (XOM, 0, 1.52%, 0.0000765%), (V, 0, 1.45%, 0.0000590%), (LLY, 0, 1.25%, 0.0000406%), (CB, 0, 1.17%, 0.0002599%), (MA, 0, 1.13%, 0.0000534%), (WM, 0, 1.12%, 0.0002845%), (GE, 0, 1.10%, 0.0000904%), (ORCL, 0, 1.00%, 0.0000336%), (NEE, 0, 0.89%, 0.0001413%), (NFLX, 0, 0.88%, 0.0000422%), (JNJ, 0, 0.84%, 0.0000487%), (WMT, 0, 0.82%, 0.0000245%), (PLTR, 0, 0.81%, 0.0000538%), (COST, 0, 0.80%, 0.0000449%), (CVX, 0, 0.80%, 0.0000606%), (PG, 0, 0.79%, 0.0000528%), (RTX, 0, 0.79%, 0.0000875%), (CAT, 0, 0.78%, 0.0000907%), (MCD, 0, 0.75%, 0.0000817%), (ABT, 0, 0.73%, 0.0000774%), (UNH, 0, 0.72%, 0.0000788%), (ABBV, 0, 0.72%, 0.0000487%), (HD, 0, 0.70%, 0.0000443%), (KO, 0, 0.66%, 0.0000519%), (AMD, 0, 0.65%, 0.0000551%), (SO, 0, 0.64%, 0.0001425%), (BA, 0, 0.62%, 0.0000867%), (PM, 0, 0.62%, 0.0000575%), (BAC, 0, 0.62%, 0.0000431%), (BKNG, 0, 0.62%, 0.0000838%), (CRM, 0, 0.61%, 0.0000600%), (NKE, 0, 0.61%, 0.0001603%), (IBM, 0, 0.59%, 0.0000591%), (DUK, 0, 0.58%, 0.0001423%), (ISRG, 0, 0.57%, 0.0000779%), (ETN, 0, 0.57%, 0.0000894%), (INTU, 0, 0.55%, 0.0000599%), (GS, 0, 0.55%, 0.0000607%), (HON, 0, 0.53%, 0.0000903%), (WFC, 0, 0.53%, 0.0000497%), (UBER, 0, 0.53%, 0.0000680%), (MET, 0, 0.50%, 0.0002386%), (NOW, 0, 0.48%, 0.0000591%), (DE, 0, 0.48%, 0.0000829%), (PEP, 0, 0.47%, 0.0000578%), (T, 0, 0.45%, 0.0002475%), (SPGI, 0, 0.43%, 0.0000608%), (MS, 0, 0.43%, 0.0000451%), (MRK, 0, 0.42%, 0.0000493%), (VZ, 0, 0.41%, 0.0000529%), (AXP, 0, 0.41%, 0.0000469%), (ACN, 0, 0.41%, 0.0000599%), (BLK, 0, 0.39%, 0.0000542%), (ADBE, 0, 0.39%, 0.0000628%), (TXN, 0, 0.39%, 0.0000554%), (QCOM, 0, 0.39%, 0.0000567%), (UNP, 0, 0.38%, 0.0000690%), (MDT, 0, 0.38%, 0.0000776%), (COP, 0, 0.38%, 0.0000768%), (DIS, 0, 0.38%, 0.0000422%), (TMO, 0, 0.37%, 0.0000495%), (C, 0, 0.35%, 0.0000492%), (SCHW, 0, 0.35%, 0.0000478%), (AMAT, 0, 0.35%, 0.0000570%), (SBUX, 0, 0.34%, 0.0000811%), (LMT, 0, 0.33%, 0.0000804%), (AMGN, 0, 0.33%, 0.0000487%), (EMR, 0, 0.30%, 0.0000892%), (MMM, 0, 0.30%, 0.0000904%), (GILD, 0, 0.29%, 0.0000489%), (PFE, 0, 0.28%, 0.0000486%), (TJX, 0, 0.27%, 0.0000450%), (DHR, 0, 0.26%, 0.0000443%), (CVS, 0, 0.26%, 0.0000769%), (MO, 0, 0.26%, 0.0000581%), (LOW, 0, 0.24%, 0.0000449%), (CMCSA, 0, 0.22%, 0.0000441%), (MDLZ, 0, 0.21%, 0.0000597%), (ELV, 0, 0.21%, 0.0000810%), (INTC, 0, 0.20%, 0.0000511%), (BMY, 0, 0.19%, 0.0000485%), (UPS, 0, 0.18%, 0.0000670%), (PYPL, 0, 0.17%, 0.0000622%), (CL, 0, 0.15%, 0.0000531%), (USB, 0, 0.14%, 0.0000479%), (FDX, 0, 0.14%, 0.0000640%), (TGT, 0, 0.09%, 0.0000456%), (nan, 0, -0.00%, 0.0000000%), (nan, 0, -0.00%, 0.0000000%)</t>
  </si>
  <si>
    <t>(GOOGLE, 0, 3.44%, 0.0000693%), (AVGO, 0, 3.04%, 0.0000953%), (META, 0, 2.78%, 0.0000734%), (BRK/B, 0, 2.05%, 0.0001350%), (CSCO, 0, 1.77%, 0.0002858%), (LIN, 0, 1.71%, 0.0003422%), (AMT, 0, 1.61%, 0.0006927%), (JPM, 0, 1.59%, 0.0000857%), (TSLA, 0, 1.51%, 0.0000643%), (XOM, 0, 1.46%, 0.0001338%), (V, 0, 1.39%, 0.0001033%), (LLY, 0, 1.20%, 0.0000711%), (CB, 0, 1.12%, 0.0004548%), (MA, 0, 1.08%, 0.0000934%), (WM, 0, 1.07%, 0.0004974%), (GE, 0, 1.05%, 0.0001582%), (ORCL, 0, 0.96%, 0.0000589%), (NFLX, 0, 0.85%, 0.0000741%), (NEE, 0, 0.85%, 0.0002472%), (JNJ, 0, 0.80%, 0.0000852%), (WMT, 0, 0.78%, 0.0000428%), (PLTR, 0, 0.77%, 0.0000941%), (COST, 0, 0.77%, 0.0000787%), (CVX, 0, 0.77%, 0.0001059%), (PG, 0, 0.76%, 0.0000924%), (RTX, 0, 0.75%, 0.0001530%), (CAT, 0, 0.75%, 0.0001588%), (MCD, 0, 0.72%, 0.0001429%), (ABT, 0, 0.70%, 0.0001354%), (UNH, 0, 0.69%, 0.0001379%), (ABBV, 0, 0.68%, 0.0000853%), (HD, 0, 0.67%, 0.0000776%), (KO, 0, 0.63%, 0.0000908%), (AMD, 0, 0.62%, 0.0000964%), (SO, 0, 0.61%, 0.0002494%), (BA, 0, 0.60%, 0.0001517%), (PM, 0, 0.60%, 0.0001006%), (BAC, 0, 0.59%, 0.0000754%), (BKNG, 0, 0.59%, 0.0001458%), (CRM, 0, 0.58%, 0.0001048%), (NKE, 0, 0.58%, 0.0002804%), (IBM, 0, 0.56%, 0.0001033%), (DUK, 0, 0.56%, 0.0002489%), (ISRG, 0, 0.54%, 0.0001362%), (ETN, 0, 0.54%, 0.0001564%), (INTU, 0, 0.53%, 0.0001051%), (GS, 0, 0.53%, 0.0001064%), (HON, 0, 0.51%, 0.0001578%), (WFC, 0, 0.51%, 0.0000870%), (UBER, 0, 0.50%, 0.0001190%), (MET, 0, 0.48%, 0.0004174%), (DE, 0, 0.46%, 0.0001450%), (NOW, 0, 0.46%, 0.0001034%), (PEP, 0, 0.45%, 0.0001011%), (T, 0, 0.43%, 0.0004331%), (MS, 0, 0.41%, 0.0000789%), (SPGI, 0, 0.41%, 0.0001063%), (MRK, 0, 0.40%, 0.0000863%), (VZ, 0, 0.39%, 0.0000925%), (AXP, 0, 0.39%, 0.0000820%), (ACN, 0, 0.39%, 0.0001048%), (BLK, 0, 0.38%, 0.0000956%), (ADBE, 0, 0.37%, 0.0001099%), (TXN, 0, 0.37%, 0.0000967%), (QCOM, 0, 0.37%, 0.0000993%), (UNP, 0, 0.37%, 0.0001205%), (MDT, 0, 0.36%, 0.0001357%), (COP, 0, 0.36%, 0.0001344%), (DIS, 0, 0.36%, 0.0000739%), (TMO, 0, 0.35%, 0.0000868%), (C, 0, 0.34%, 0.0000860%), (SCHW, 0, 0.34%, 0.0000836%), (AMAT, 0, 0.33%, 0.0000998%), (SBUX, 0, 0.33%, 0.0001420%), (LMT, 0, 0.32%, 0.0001405%), (AMGN, 0, 0.32%, 0.0000851%), (EMR, 0, 0.29%, 0.0001562%), (MMM, 0, 0.28%, 0.0001581%), (GILD, 0, 0.28%, 0.0000855%), (PFE, 0, 0.26%, 0.0000850%), (TJX, 0, 0.26%, 0.0000788%), (DHR, 0, 0.25%, 0.0000776%), (CVS, 0, 0.25%, 0.0001345%), (MO, 0, 0.24%, 0.0001017%), (LOW, 0, 0.23%, 0.0000786%), (CMCSA, 0, 0.21%, 0.0000770%), (MDLZ, 0, 0.20%, 0.0001044%), (ELV, 0, 0.20%, 0.0001417%), (INTC, 0, 0.19%, 0.0000894%), (BMY, 0, 0.18%, 0.0000849%), (UPS, 0, 0.17%, 0.0001171%), (PYPL, 0, 0.16%, 0.0001088%), (CL, 0, 0.15%, 0.0000929%), (FDX, 0, 0.13%, 0.0001123%), (USB, 0, 0.13%, 0.0000839%), (TGT, 0, 0.08%, 0.0000799%), (nan, 0, -0.00%, 0.0000000%), (nan, 0, -0.00%, 0.0000000%)</t>
  </si>
  <si>
    <t>(GOOGLE, 0, 3.50%, 0.0000251%), (AVGO, 0, 3.10%, 0.0000345%), (META, 0, 2.83%, 0.0000266%), (BRK/B, 0, 2.09%, 0.0000489%), (CSCO, 0, 1.80%, 0.0001036%), (LIN, 0, 1.75%, 0.0001240%), (AMT, 0, 1.64%, 0.0002510%), (JPM, 0, 1.62%, 0.0000311%), (TSLA, 0, 1.54%, 0.0000233%), (XOM, 0, 1.48%, 0.0000485%), (V, 0, 1.41%, 0.0000374%), (LLY, 0, 1.22%, 0.0000257%), (CB, 0, 1.14%, 0.0001649%), (MA, 0, 1.11%, 0.0000339%), (WM, 0, 1.09%, 0.0001802%), (GE, 0, 1.07%, 0.0000574%), (ORCL, 0, 0.98%, 0.0000213%), (NFLX, 0, 0.87%, 0.0000269%), (NEE, 0, 0.86%, 0.0000896%), (JNJ, 0, 0.82%, 0.0000309%), (WMT, 0, 0.80%, 0.0000155%), (COST, 0, 0.79%, 0.0000284%), (PLTR, 0, 0.79%, 0.0000341%), (CVX, 0, 0.78%, 0.0000384%), (PG, 0, 0.77%, 0.0000335%), (RTX, 0, 0.77%, 0.0000555%), (CAT, 0, 0.76%, 0.0000576%), (MCD, 0, 0.73%, 0.0000518%), (ABT, 0, 0.71%, 0.0000491%), (UNH, 0, 0.70%, 0.0000500%), (ABBV, 0, 0.70%, 0.0000309%), (HD, 0, 0.69%, 0.0000281%), (KO, 0, 0.64%, 0.0000329%), (AMD, 0, 0.64%, 0.0000349%), (SO, 0, 0.62%, 0.0000903%), (BA, 0, 0.61%, 0.0000550%), (PM, 0, 0.61%, 0.0000364%), (BAC, 0, 0.61%, 0.0000273%), (BKNG, 0, 0.60%, 0.0000527%), (CRM, 0, 0.60%, 0.0000380%), (NKE, 0, 0.59%, 0.0001017%), (IBM, 0, 0.57%, 0.0000374%), (DUK, 0, 0.57%, 0.0000902%), (ETN, 0, 0.55%, 0.0000568%), (ISRG, 0, 0.55%, 0.0000494%), (INTU, 0, 0.54%, 0.0000380%), (GS, 0, 0.54%, 0.0000383%), (HON, 0, 0.52%, 0.0000572%), (WFC, 0, 0.52%, 0.0000315%), (UBER, 0, 0.51%, 0.0000432%), (MET, 0, 0.49%, 0.0001513%), (NOW, 0, 0.47%, 0.0000375%), (DE, 0, 0.47%, 0.0000525%), (PEP, 0, 0.46%, 0.0000366%), (T, 0, 0.44%, 0.0001569%), (SPGI, 0, 0.42%, 0.0000386%), (MS, 0, 0.42%, 0.0000286%), (MRK, 0, 0.41%, 0.0000313%), (VZ, 0, 0.40%, 0.0000335%), (AXP, 0, 0.40%, 0.0000298%), (ACN, 0, 0.39%, 0.0000379%), (BLK, 0, 0.39%, 0.0000349%), (ADBE, 0, 0.38%, 0.0000399%), (TXN, 0, 0.38%, 0.0000351%), (QCOM, 0, 0.38%, 0.0000360%), (UNP, 0, 0.37%, 0.0000437%), (MDT, 0, 0.37%, 0.0000492%), (COP, 0, 0.37%, 0.0000487%), (DIS, 0, 0.37%, 0.0000268%), (TMO, 0, 0.36%, 0.0000314%), (C, 0, 0.35%, 0.0000312%), (SCHW, 0, 0.35%, 0.0000303%), (AMAT, 0, 0.34%, 0.0000362%), (SBUX, 0, 0.33%, 0.0000515%), (LMT, 0, 0.33%, 0.0000510%), (AMGN, 0, 0.32%, 0.0000308%), (EMR, 0, 0.30%, 0.0000567%), (MMM, 0, 0.29%, 0.0000572%), (GILD, 0, 0.29%, 0.0000310%), (PFE, 0, 0.27%, 0.0000308%), (TJX, 0, 0.26%, 0.0000286%), (DHR, 0, 0.26%, 0.0000282%), (CVS, 0, 0.25%, 0.0000488%), (MO, 0, 0.25%, 0.0000368%), (LOW, 0, 0.24%, 0.0000285%), (CMCSA, 0, 0.22%, 0.0000279%), (MDLZ, 0, 0.21%, 0.0000378%), (ELV, 0, 0.20%, 0.0000513%), (INTC, 0, 0.19%, 0.0000324%), (BMY, 0, 0.18%, 0.0000308%), (UPS, 0, 0.17%, 0.0000424%), (PYPL, 0, 0.16%, 0.0000394%), (CL, 0, 0.15%, 0.0000336%), (FDX, 0, 0.14%, 0.0000407%), (USB, 0, 0.14%, 0.0000304%), (TGT, 0, 0.09%, 0.0000288%), (nan, 0, -0.00%, 0.0000000%), (nan, 0, -0.00%, 0.0000000%)</t>
  </si>
  <si>
    <t>(GOOGLE, 0, 3.74%, 0.0000602%), (AVGO, 0, 3.31%, 0.0000828%), (META, 0, 3.01%, 0.0000638%), (BRK/B, 0, 2.23%, 0.0001173%), (CSCO, 0, 1.92%, 0.0002483%), (LIN, 0, 1.86%, 0.0002975%), (AMT, 0, 1.75%, 0.0006017%), (JPM, 0, 1.73%, 0.0000744%), (TSLA, 0, 1.64%, 0.0000559%), (XOM, 0, 1.58%, 0.0001162%), (V, 0, 1.51%, 0.0000897%), (LLY, 0, 1.30%, 0.0000618%), (CB, 0, 1.21%, 0.0003951%), (MA, 0, 1.18%, 0.0000811%), (WM, 0, 1.16%, 0.0004324%), (GE, 0, 1.14%, 0.0001375%), (ORCL, 0, 1.04%, 0.0000512%), (NEE, 0, 0.92%, 0.0002148%), (NFLX, 0, 0.92%, 0.0000642%), (JNJ, 0, 0.87%, 0.0000740%), (WMT, 0, 0.85%, 0.0000372%), (PLTR, 0, 0.84%, 0.0000818%), (COST, 0, 0.84%, 0.0000684%), (CVX, 0, 0.83%, 0.0000920%), (PG, 0, 0.83%, 0.0000803%), (RTX, 0, 0.82%, 0.0001330%), (CAT, 0, 0.81%, 0.0001381%), (MCD, 0, 0.78%, 0.0001243%), (ABT, 0, 0.76%, 0.0001176%), (UNH, 0, 0.75%, 0.0001198%), (ABBV, 0, 0.74%, 0.0000741%), (HD, 0, 0.73%, 0.0000674%), (KO, 0, 0.68%, 0.0000789%), (AMD, 0, 0.68%, 0.0000837%), (SO, 0, 0.66%, 0.0002167%), (BA, 0, 0.65%, 0.0001317%), (PM, 0, 0.65%, 0.0000874%), (BAC, 0, 0.65%, 0.0000655%), (BKNG, 0, 0.64%, 0.0001272%), (CRM, 0, 0.64%, 0.0000912%), (NKE, 0, 0.63%, 0.0002437%), (IBM, 0, 0.61%, 0.0000898%), (DUK, 0, 0.60%, 0.0002163%), (ISRG, 0, 0.59%, 0.0001185%), (ETN, 0, 0.59%, 0.0001359%), (INTU, 0, 0.58%, 0.0000911%), (GS, 0, 0.57%, 0.0000924%), (HON, 0, 0.55%, 0.0001372%), (WFC, 0, 0.55%, 0.0000756%), (UBER, 0, 0.55%, 0.0001034%), (MET, 0, 0.52%, 0.0003627%), (DE, 0, 0.50%, 0.0001261%), (NOW, 0, 0.50%, 0.0000899%), (PEP, 0, 0.49%, 0.0000878%), (T, 0, 0.47%, 0.0003763%), (MS, 0, 0.44%, 0.0000685%), (SPGI, 0, 0.44%, 0.0000925%), (MRK, 0, 0.43%, 0.0000750%), (VZ, 0, 0.42%, 0.0000804%), (AXP, 0, 0.42%, 0.0000713%), (ACN, 0, 0.42%, 0.0000910%), (BLK, 0, 0.41%, 0.0000827%), (ADBE, 0, 0.41%, 0.0000953%), (TXN, 0, 0.40%, 0.0000841%), (QCOM, 0, 0.40%, 0.0000862%), (UNP, 0, 0.40%, 0.0001047%), (COP, 0, 0.39%, 0.0001167%), (MDT, 0, 0.39%, 0.0001179%), (DIS, 0, 0.39%, 0.0000642%), (TMO, 0, 0.38%, 0.0000753%), (C, 0, 0.37%, 0.0000747%), (SCHW, 0, 0.37%, 0.0000726%), (AMAT, 0, 0.36%, 0.0000866%), (SBUX, 0, 0.36%, 0.0001233%), (LMT, 0, 0.35%, 0.0001223%), (AMGN, 0, 0.35%, 0.0000739%), (EMR, 0, 0.32%, 0.0001357%), (MMM, 0, 0.31%, 0.0001372%), (GILD, 0, 0.31%, 0.0000743%), (PFE, 0, 0.29%, 0.0000738%), (TJX, 0, 0.28%, 0.0000685%), (DHR, 0, 0.27%, 0.0000674%), (CVS, 0, 0.27%, 0.0001169%), (MO, 0, 0.27%, 0.0000883%), (LOW, 0, 0.25%, 0.0000683%), (CMCSA, 0, 0.23%, 0.0000669%), (ELV, 0, 0.22%, 0.0001233%), (MDLZ, 0, 0.22%, 0.0000907%), (INTC, 0, 0.20%, 0.0000777%), (BMY, 0, 0.19%, 0.0000738%), (UPS, 0, 0.18%, 0.0001018%), (PYPL, 0, 0.17%, 0.0000945%), (CL, 0, 0.16%, 0.0000808%), (FDX, 0, 0.15%, 0.0000975%), (USB, 0, 0.15%, 0.0000729%), (TGT, 0, 0.09%, 0.0000693%), (nan, 0, -0.00%, 0.0000000%), (nan, 0, -0.00%, 0.0000000%)</t>
  </si>
  <si>
    <t>EBAY, META, MSFT, BK, JPM, BLK, GOOGLE, RJF, BKNG, EA, MLI, AMAT</t>
  </si>
  <si>
    <t>(EWBC, 0, 1.81%, 0.0073240%), (V, 0, 1.80%, 0.0001719%), (AXP, 0, 1.76%, 0.0004782%), (PHM, 0, 1.76%, 0.0042505%), (HIG, 0, 1.75%, 0.0028057%), (TRV, 0, 1.74%, 0.0016654%), (NVDA, 0, 1.73%, 0.0000224%), (ADP, 0, 1.70%, 0.0007714%), (SNA, 0, 1.68%, 0.0055973%), (UNM, 0, 1.67%, 0.0077123%), (KLAC, 0, 1.66%, 0.0007862%), (PCAR, 0, 1.62%, 0.0017582%), (ROST, 0, 1.62%, 0.0020001%), (CB, 0, 1.60%, 0.0008370%), (CRM, 0, 1.52%, 0.0003514%), (CTSH, 0, 1.51%, 0.0024451%), (SYF, 0, 1.49%, 0.0033853%), (PAYC, 0, 1.47%, 0.0061717%), (LEN, 0, 1.45%, 0.0030799%), (WSM, 0, 1.41%, 0.0033903%), (BKR, 0, 1.38%, 0.0017600%), (ACN, 0, 1.29%, 0.0004467%), (QCOM, 0, 1.27%, 0.0004365%), (DHI, 0, 1.25%, 0.0015553%), (AFL, 0, 1.15%, 0.0012060%), (AAPL, 0, 1.12%, 0.0000206%), (ELV, 0, 1.11%, 0.0010066%), (MPWR, 0, 1.07%, 0.0015556%), (CSCO, 0, 1.07%, 0.0002210%), (LRCX, 0, 1.05%, 0.0004789%), (ODFL, 0, 1.03%, 0.0019037%), (GE, 0, 1.03%, 0.0001998%), (STT, 0, 0.95%, 0.0017335%), (CF, 0, 0.92%, 0.0034166%), (PNC, 0, 0.88%, 0.0006584%), (MTB, 0, 0.87%, 0.0016767%), (AMP, 0, 0.86%, 0.0010150%), (COST, 0, 0.84%, 0.0001092%), (XOM, 0, 0.81%, 0.0000951%), (ABT, 0, 0.81%, 0.0002005%), (EOG, 0, 0.77%, 0.0006680%), (EG, 0, 0.74%, 0.0029214%), (CSL, 0, 0.70%, 0.0025990%), (GEV, 0, 0.59%, 0.0001821%), (NTRS, 0, 0.52%, 0.0011887%), (CRBG, 0, 0.48%, 0.0014335%), (MA, 0, 0.48%, 0.0000526%), (JNJ, 0, 0.46%, 0.0000625%), (ACM, 0, 0.43%, 0.0016059%), (MTG, 0, 0.42%, 0.0039474%), (DOV, 0, 0.42%, 0.0009581%), (CINF, 0, 0.41%, 0.0010018%), (MCK, 0, 0.41%, 0.0002613%), (LNC, 0, 0.41%, 0.0032363%), (SLM, 0, 0.41%, 0.0035545%), (WTFC, 0, 0.41%, 0.0027049%), (ALL, 0, 0.40%, 0.0004224%), (EQH, 0, 0.40%, 0.0014546%), (JXN, 0, 0.39%, 0.0036424%), (NUE, 0, 0.38%, 0.0006548%), (NKE, 0, 0.37%, 0.0002304%), (ADM, 0, 0.37%, 0.0007790%), (PGR, 0, 0.36%, 0.0001399%), (FANG, 0, 0.31%, 0.0004042%)</t>
  </si>
  <si>
    <t>(AVGO, 0, 3.00%, 0.0000877%), (META, 0, 2.73%, 0.0000675%), (BRK/B, 0, 2.02%, 0.0001242%), (CSCO, 0, 1.74%, 0.0002629%), (LIN, 0, 1.69%, 0.0003148%), (AMT, 0, 1.58%, 0.0006372%), (JPM, 0, 1.57%, 0.0000788%), (TSLA, 0, 1.49%, 0.0000592%), (XOM, 0, 1.44%, 0.0001231%), (V, 0, 1.37%, 0.0000950%), (LLY, 0, 1.18%, 0.0000654%), (CB, 0, 1.10%, 0.0004182%), (MA, 0, 1.07%, 0.0000858%), (WM, 0, 1.05%, 0.0004577%), (GE, 0, 1.03%, 0.0001455%), (ORCL, 0, 0.94%, 0.0000542%), (NEE, 0, 0.83%, 0.0002275%), (NFLX, 0, 0.83%, 0.0000680%), (JNJ, 0, 0.79%, 0.0000784%), (WMT, 0, 0.77%, 0.0000394%), (PLTR, 0, 0.76%, 0.0000866%), (COST, 0, 0.76%, 0.0000724%), (CVX, 0, 0.75%, 0.0000974%), (PG, 0, 0.75%, 0.0000850%), (RTX, 0, 0.74%, 0.0001408%), (CAT, 0, 0.73%, 0.0001462%), (MCD, 0, 0.71%, 0.0001316%), (ABT, 0, 0.69%, 0.0001246%), (UNH, 0, 0.68%, 0.0001268%), (ABBV, 0, 0.67%, 0.0000785%), (HD, 0, 0.66%, 0.0000713%), (KO, 0, 0.62%, 0.0000835%), (AMD, 0, 0.61%, 0.0000887%), (SO, 0, 0.60%, 0.0002294%), (BA, 0, 0.59%, 0.0001395%), (PM, 0, 0.59%, 0.0000925%), (BAC, 0, 0.59%, 0.0000694%), (CRM, 0, 0.58%, 0.0000965%), (BKNG, 0, 0.58%, 0.0001334%), (NKE, 0, 0.57%, 0.0002580%), (IBM, 0, 0.55%, 0.0000950%), (DUK, 0, 0.55%, 0.0002291%), (ISRG, 0, 0.54%, 0.0001255%), (ETN, 0, 0.54%, 0.0001441%), (INTU, 0, 0.52%, 0.0000965%), (GS, 0, 0.52%, 0.0000977%), (HON, 0, 0.50%, 0.0001452%), (WFC, 0, 0.50%, 0.0000800%), (UBER, 0, 0.50%, 0.0001095%), (MET, 0, 0.47%, 0.0003840%), (DE, 0, 0.45%, 0.0001335%), (NOW, 0, 0.45%, 0.0000952%), (PEP, 0, 0.44%, 0.0000930%), (T, 0, 0.42%, 0.0003984%), (MS, 0, 0.40%, 0.0000725%), (SPGI, 0, 0.40%, 0.0000978%), (MRK, 0, 0.39%, 0.0000794%), (VZ, 0, 0.38%, 0.0000851%), (AXP, 0, 0.38%, 0.0000755%), (ACN, 0, 0.38%, 0.0000963%), (BLK, 0, 0.37%, 0.0000878%), (ADBE, 0, 0.37%, 0.0001011%), (TXN, 0, 0.37%, 0.0000890%), (QCOM, 0, 0.36%, 0.0000913%), (UNP, 0, 0.36%, 0.0001109%), (COP, 0, 0.36%, 0.0001236%), (MDT, 0, 0.36%, 0.0001248%), (DIS, 0, 0.36%, 0.0000680%), (TMO, 0, 0.35%, 0.0000798%), (C, 0, 0.33%, 0.0000791%), (SCHW, 0, 0.33%, 0.0000769%), (AMAT, 0, 0.33%, 0.0000918%), (SBUX, 0, 0.32%, 0.0001306%), (LMT, 0, 0.31%, 0.0001292%), (AMGN, 0, 0.31%, 0.0000784%), (EMR, 0, 0.29%, 0.0001437%), (MMM, 0, 0.28%, 0.0001453%), (GILD, 0, 0.28%, 0.0000787%), (PFE, 0, 0.26%, 0.0000782%), (TJX, 0, 0.25%, 0.0000724%), (DHR, 0, 0.25%, 0.0000714%), (CVS, 0, 0.24%, 0.0001238%), (MO, 0, 0.24%, 0.0000935%), (LOW, 0, 0.23%, 0.0000724%), (CMCSA, 0, 0.21%, 0.0000709%), (ELV, 0, 0.20%, 0.0001305%), (MDLZ, 0, 0.20%, 0.0000960%), (INTC, 0, 0.18%, 0.0000822%), (BMY, 0, 0.18%, 0.0000781%), (UPS, 0, 0.17%, 0.0001077%), (PYPL, 0, 0.16%, 0.0001000%), (CL, 0, 0.14%, 0.0000855%), (FDX, 0, 0.13%, 0.0001034%), (USB, 0, 0.13%, 0.0000772%), (TGT, 0, 0.08%, 0.0000735%), (nan, 0, -0.00%, 0.0000000%), (nan, 0, -0.00%, 0.0000000%)</t>
  </si>
  <si>
    <t>(GOOGLE, 0, 3.56%, 0.0001304%), (AVGO, 0, 3.16%, 0.0001794%), (META, 0, 2.88%, 0.0001382%), (BRK/B, 0, 2.13%, 0.0002540%), (CSCO, 0, 1.83%, 0.0005377%), (LIN, 0, 1.78%, 0.0006440%), (AMT, 0, 1.67%, 0.0013032%), (JPM, 0, 1.65%, 0.0001612%), (TSLA, 0, 1.57%, 0.0001211%), (XOM, 0, 1.51%, 0.0002517%), (V, 0, 1.44%, 0.0001943%), (LLY, 0, 1.24%, 0.0001337%), (CB, 0, 1.16%, 0.0008555%), (MA, 0, 1.12%, 0.0001756%), (WM, 0, 1.11%, 0.0009363%), (GE, 0, 1.09%, 0.0002977%), (ORCL, 0, 0.99%, 0.0001108%), (NFLX, 0, 0.88%, 0.0001392%), (NEE, 0, 0.88%, 0.0004652%), (JNJ, 0, 0.83%, 0.0001603%), (WMT, 0, 0.81%, 0.0000806%), (COST, 0, 0.80%, 0.0001480%), (PLTR, 0, 0.80%, 0.0001771%), (CVX, 0, 0.79%, 0.0001993%), (PG, 0, 0.79%, 0.0001739%), (RTX, 0, 0.78%, 0.0002880%), (CAT, 0, 0.77%, 0.0002991%), (MCD, 0, 0.75%, 0.0002691%), (ABT, 0, 0.72%, 0.0002547%), (UNH, 0, 0.71%, 0.0002594%), (ABBV, 0, 0.71%, 0.0001604%), (HD, 0, 0.70%, 0.0001460%), (KO, 0, 0.65%, 0.0001708%), (AMD, 0, 0.65%, 0.0001813%), (SO, 0, 0.63%, 0.0004692%), (BA, 0, 0.62%, 0.0002854%), (PM, 0, 0.62%, 0.0001893%), (BAC, 0, 0.62%, 0.0001419%), (BKNG, 0, 0.61%, 0.0002761%), (CRM, 0, 0.61%, 0.0001974%), (NKE, 0, 0.60%, 0.0005277%), (IBM, 0, 0.58%, 0.0001944%), (DUK, 0, 0.58%, 0.0004683%), (ISRG, 0, 0.56%, 0.0002567%), (ETN, 0, 0.56%, 0.0002944%), (INTU, 0, 0.55%, 0.0001976%), (GS, 0, 0.55%, 0.0002000%), (HON, 0, 0.53%, 0.0002971%), (WFC, 0, 0.52%, 0.0001636%), (UBER, 0, 0.52%, 0.0002240%), (MET, 0, 0.50%, 0.0007855%), (NOW, 0, 0.48%, 0.0001947%), (DE, 0, 0.47%, 0.0002730%), (PEP, 0, 0.47%, 0.0001902%), (T, 0, 0.45%, 0.0008149%), (MS, 0, 0.42%, 0.0001484%), (SPGI, 0, 0.42%, 0.0002001%), (MRK, 0, 0.41%, 0.0001624%), (VZ, 0, 0.40%, 0.0001741%), (AXP, 0, 0.40%, 0.0001543%), (ACN, 0, 0.40%, 0.0001972%), (BLK, 0, 0.39%, 0.0001795%), (ADBE, 0, 0.39%, 0.0002066%), (TXN, 0, 0.39%, 0.0001820%), (QCOM, 0, 0.38%, 0.0001867%), (UNP, 0, 0.38%, 0.0002268%), (COP, 0, 0.38%, 0.0002529%), (MDT, 0, 0.38%, 0.0002553%), (DIS, 0, 0.37%, 0.0001390%), (TMO, 0, 0.36%, 0.0001632%), (C, 0, 0.35%, 0.0001618%), (SCHW, 0, 0.35%, 0.0001573%), (AMAT, 0, 0.35%, 0.0001877%), (SBUX, 0, 0.34%, 0.0002671%), (LMT, 0, 0.33%, 0.0002645%), (AMGN, 0, 0.33%, 0.0001601%), (EMR, 0, 0.30%, 0.0002939%), (MMM, 0, 0.29%, 0.0002974%), (GILD, 0, 0.29%, 0.0001610%), (PFE, 0, 0.27%, 0.0001598%), (TJX, 0, 0.27%, 0.0001482%), (DHR, 0, 0.26%, 0.0001460%), (CVS, 0, 0.26%, 0.0002532%), (MO, 0, 0.25%, 0.0001913%), (LOW, 0, 0.24%, 0.0001480%), (CMCSA, 0, 0.22%, 0.0001450%), (MDLZ, 0, 0.21%, 0.0001964%), (ELV, 0, 0.21%, 0.0002664%), (INTC, 0, 0.19%, 0.0001682%), (BMY, 0, 0.18%, 0.0001598%), (UPS, 0, 0.18%, 0.0002204%), (PYPL, 0, 0.16%, 0.0002047%), (CL, 0, 0.15%, 0.0001748%), (FDX, 0, 0.14%, 0.0002115%), (USB, 0, 0.14%, 0.0001578%), (TGT, 0, 0.09%, 0.0001501%), (nan, 0, -0.00%, 0.0000000%), (nan, 0, -0.00%, 0.0000000%)</t>
  </si>
  <si>
    <t>(AVGO, 0, 2.96%, 0.0003557%), (META, 0, 2.69%, 0.0002740%), (BRK/B, 0, 1.99%, 0.0005036%), (CSCO, 0, 1.72%, 0.0010664%), (LIN, 0, 1.67%, 0.0012772%), (AMT, 0, 1.56%, 0.0025847%), (JPM, 0, 1.54%, 0.0003197%), (TSLA, 0, 1.47%, 0.0002401%), (XOM, 0, 1.42%, 0.0004992%), (V, 0, 1.35%, 0.0003854%), (LLY, 0, 1.16%, 0.0002651%), (CB, 0, 1.08%, 0.0016969%), (MA, 0, 1.05%, 0.0003484%), (WM, 0, 1.04%, 0.0018567%), (GE, 0, 1.02%, 0.0005902%), (ORCL, 0, 0.93%, 0.0002197%), (NEE, 0, 0.82%, 0.0009226%), (NFLX, 0, 0.82%, 0.0002761%), (JNJ, 0, 0.78%, 0.0003179%), (WMT, 0, 0.76%, 0.0001599%), (PLTR, 0, 0.75%, 0.0003513%), (COST, 0, 0.75%, 0.0002936%), (CVX, 0, 0.74%, 0.0003952%), (PG, 0, 0.74%, 0.0003448%), (RTX, 0, 0.73%, 0.0005711%), (CAT, 0, 0.72%, 0.0005930%), (MCD, 0, 0.70%, 0.0005335%), (ABT, 0, 0.68%, 0.0005052%), (UNH, 0, 0.67%, 0.0005146%), (ABBV, 0, 0.66%, 0.0003181%), (HD, 0, 0.65%, 0.0002894%), (KO, 0, 0.61%, 0.0003387%), (AMD, 0, 0.60%, 0.0003597%), (SO, 0, 0.59%, 0.0009306%), (BA, 0, 0.58%, 0.0005658%), (PM, 0, 0.58%, 0.0003754%), (BAC, 0, 0.58%, 0.0002814%), (BKNG, 0, 0.57%, 0.0005460%), (CRM, 0, 0.57%, 0.0003914%), (NKE, 0, 0.56%, 0.0010465%), (IBM, 0, 0.54%, 0.0003856%), (DUK, 0, 0.54%, 0.0009289%), (ISRG, 0, 0.53%, 0.0005089%), (ETN, 0, 0.53%, 0.0005841%), (INTU, 0, 0.51%, 0.0003917%), (GS, 0, 0.51%, 0.0003964%), (HON, 0, 0.50%, 0.0005892%), (WFC, 0, 0.49%, 0.0003246%), (UBER, 0, 0.49%, 0.0004442%), (MET, 0, 0.47%, 0.0015580%), (DE, 0, 0.45%, 0.0005416%), (NOW, 0, 0.45%, 0.0003861%), (PEP, 0, 0.44%, 0.0003771%), (T, 0, 0.42%, 0.0016160%), (MS, 0, 0.40%, 0.0002944%), (SPGI, 0, 0.40%, 0.0003973%), (MRK, 0, 0.39%, 0.0003221%), (VZ, 0, 0.38%, 0.0003452%), (AXP, 0, 0.38%, 0.0003060%), (ACN, 0, 0.38%, 0.0003909%), (BLK, 0, 0.37%, 0.0003558%), (ADBE, 0, 0.36%, 0.0004099%), (TXN, 0, 0.36%, 0.0003611%), (QCOM, 0, 0.36%, 0.0003703%), (UNP, 0, 0.36%, 0.0004496%), (COP, 0, 0.35%, 0.0005015%), (MDT, 0, 0.35%, 0.0005064%), (DIS, 0, 0.35%, 0.0002757%), (TMO, 0, 0.34%, 0.0003239%), (C, 0, 0.33%, 0.0003208%), (SCHW, 0, 0.33%, 0.0003119%), (AMAT, 0, 0.32%, 0.0003722%), (SBUX, 0, 0.32%, 0.0005298%), (LMT, 0, 0.31%, 0.0005246%), (AMGN, 0, 0.31%, 0.0003176%), (EMR, 0, 0.28%, 0.0005828%), (MMM, 0, 0.28%, 0.0005898%), (GILD, 0, 0.27%, 0.0003192%), (PFE, 0, 0.26%, 0.0003170%), (TJX, 0, 0.25%, 0.0002939%), (DHR, 0, 0.24%, 0.0002895%), (CVS, 0, 0.24%, 0.0005020%), (MO, 0, 0.24%, 0.0003794%), (LOW, 0, 0.23%, 0.0002933%), (CMCSA, 0, 0.21%, 0.0002875%), (MDLZ, 0, 0.20%, 0.0003894%), (ELV, 0, 0.20%, 0.0005287%), (INTC, 0, 0.18%, 0.0003335%), (BMY, 0, 0.17%, 0.0003169%), (UPS, 0, 0.17%, 0.0004371%), (PYPL, 0, 0.15%, 0.0004058%), (CL, 0, 0.14%, 0.0003467%), (FDX, 0, 0.13%, 0.0004191%), (USB, 0, 0.13%, 0.0003130%), (TGT, 0, 0.08%, 0.0002978%), (nan, 0, -0.00%, 0.0000000%), (nan, 0, -0.00%, 0.0000000%)</t>
  </si>
  <si>
    <t>(AVGO, 0, 2.97%, 0.0000519%), (META, 0, 2.72%, 0.0000399%), (BRK/B, 0, 1.90%, 0.0000734%), (CSCO, 0, 1.72%, 0.0001555%), (LIN, 0, 1.66%, 0.0001863%), (AMT, 0, 1.55%, 0.0003768%), (JPM, 0, 1.54%, 0.0000466%), (TSLA, 0, 1.47%, 0.0000350%), (XOM, 0, 1.39%, 0.0000728%), (V, 0, 1.33%, 0.0000562%), (LLY, 0, 1.13%, 0.0000386%), (CB, 0, 1.07%, 0.0002475%), (MA, 0, 1.05%, 0.0000508%), (WM, 0, 1.02%, 0.0002708%), (GE, 0, 1.02%, 0.0000861%), (ORCL, 0, 0.93%, 0.0000320%), (NFLX, 0, 0.82%, 0.0000404%), (NEE, 0, 0.81%, 0.0001345%), (JNJ, 0, 0.77%, 0.0000463%), (PLTR, 0, 0.76%, 0.0000512%), (WMT, 0, 0.76%, 0.0000233%), (COST, 0, 0.74%, 0.0000429%), (CVX, 0, 0.73%, 0.0000576%), (PG, 0, 0.72%, 0.0000503%), (RTX, 0, 0.72%, 0.0000832%), (CAT, 0, 0.72%, 0.0000864%), (MCD, 0, 0.69%, 0.0000778%), (ABT, 0, 0.67%, 0.0000737%), (UNH, 0, 0.67%, 0.0000751%), (ABBV, 0, 0.65%, 0.0000464%), (HD, 0, 0.65%, 0.0000422%), (AMD, 0, 0.62%, 0.0000524%), (KO, 0, 0.59%, 0.0000494%), (SO, 0, 0.58%, 0.0001357%), (BAC, 0, 0.57%, 0.0000410%), (PM, 0, 0.57%, 0.0000547%), (BKNG, 0, 0.57%, 0.0000807%), (BA, 0, 0.57%, 0.0000825%), (CRM, 0, 0.56%, 0.0000570%), (NKE, 0, 0.56%, 0.0001526%), (IBM, 0, 0.54%, 0.0000562%), (DUK, 0, 0.53%, 0.0001354%), (ISRG, 0, 0.52%, 0.0000742%), (ETN, 0, 0.52%, 0.0000850%), (INTU, 0, 0.51%, 0.0000570%), (GS, 0, 0.51%, 0.0000577%), (HON, 0, 0.49%, 0.0000858%), (UBER, 0, 0.49%, 0.0000648%), (WFC, 0, 0.48%, 0.0000473%), (MET, 0, 0.46%, 0.0002272%), (NOW, 0, 0.44%, 0.0000562%), (DE, 0, 0.44%, 0.0000788%), (PEP, 0, 0.43%, 0.0000550%), (T, 0, 0.41%, 0.0002356%), (SPGI, 0, 0.40%, 0.0000578%), (MS, 0, 0.39%, 0.0000429%), (MRK, 0, 0.38%, 0.0000470%), (ACN, 0, 0.38%, 0.0000570%), (AXP, 0, 0.37%, 0.0000446%), (VZ, 0, 0.37%, 0.0000503%), (BLK, 0, 0.36%, 0.0000517%), (QCOM, 0, 0.36%, 0.0000540%), (ADBE, 0, 0.36%, 0.0000597%), (TXN, 0, 0.36%, 0.0000526%), (DIS, 0, 0.35%, 0.0000402%), (UNP, 0, 0.35%, 0.0000656%), (COP, 0, 0.35%, 0.0000731%), (MDT, 0, 0.35%, 0.0000738%), (TMO, 0, 0.33%, 0.0000471%), (C, 0, 0.33%, 0.0000468%), (SCHW, 0, 0.33%, 0.0000455%), (AMAT, 0, 0.32%, 0.0000542%), (SBUX, 0, 0.32%, 0.0000772%), (LMT, 0, 0.30%, 0.0000765%), (AMGN, 0, 0.30%, 0.0000463%), (EMR, 0, 0.28%, 0.0000849%), (MMM, 0, 0.27%, 0.0000860%), (GILD, 0, 0.27%, 0.0000465%), (PFE, 0, 0.25%, 0.0000462%), (TJX, 0, 0.25%, 0.0000429%), (DHR, 0, 0.24%, 0.0000422%), (MO, 0, 0.24%, 0.0000553%), (CVS, 0, 0.24%, 0.0000732%), (LOW, 0, 0.23%, 0.0000428%), (CMCSA, 0, 0.21%, 0.0000419%), (ELV, 0, 0.19%, 0.0000769%), (MDLZ, 0, 0.19%, 0.0000568%), (INTC, 0, 0.18%, 0.0000486%), (BMY, 0, 0.17%, 0.0000462%), (UPS, 0, 0.16%, 0.0000637%), (PYPL, 0, 0.15%, 0.0000592%), (CL, 0, 0.14%, 0.0000506%), (FDX, 0, 0.13%, 0.0000610%), (USB, 0, 0.13%, 0.0000456%), (TGT, 0, 0.08%, 0.0000434%)</t>
  </si>
  <si>
    <t>(GOOGLE, 0, 3.63%, 0.0002268%), (AVGO, 0, 3.18%, 0.0003120%), (META, 0, 2.91%, 0.0002403%), (BRK/B, 0, 2.05%, 0.0004417%), (CSCO, 0, 1.84%, 0.0009353%), (LIN, 0, 1.80%, 0.0011203%), (AMT, 0, 1.67%, 0.0022668%), (JPM, 0, 1.65%, 0.0002804%), (TSLA, 0, 1.57%, 0.0002106%), (XOM, 0, 1.50%, 0.0004378%), (V, 0, 1.43%, 0.0003380%), (LLY, 0, 1.21%, 0.0002325%), (CB, 0, 1.15%, 0.0014882%), (MA, 0, 1.12%, 0.0003055%), (WM, 0, 1.10%, 0.0016283%), (GE, 0, 1.09%, 0.0005177%), (ORCL, 0, 1.00%, 0.0001927%), (NFLX, 0, 0.88%, 0.0002421%), (NEE, 0, 0.88%, 0.0008092%), (JNJ, 0, 0.83%, 0.0002788%), (WMT, 0, 0.81%, 0.0001402%), (PLTR, 0, 0.80%, 0.0003081%), (COST, 0, 0.80%, 0.0002575%), (CVX, 0, 0.79%, 0.0003466%), (PG, 0, 0.78%, 0.0003024%), (RTX, 0, 0.78%, 0.0005009%), (CAT, 0, 0.77%, 0.0005200%), (MCD, 0, 0.74%, 0.0004679%), (ABT, 0, 0.72%, 0.0004431%), (UNH, 0, 0.71%, 0.0004513%), (ABBV, 0, 0.71%, 0.0002791%), (HD, 0, 0.70%, 0.0002539%), (AMD, 0, 0.65%, 0.0003154%), (KO, 0, 0.64%, 0.0002971%), (SO, 0, 0.63%, 0.0008161%), (BAC, 0, 0.62%, 0.0002468%), (PM, 0, 0.62%, 0.0003292%), (BA, 0, 0.61%, 0.0004963%), (BKNG, 0, 0.61%, 0.0004778%), (CRM, 0, 0.60%, 0.0003433%), (NKE, 0, 0.60%, 0.0009178%), (IBM, 0, 0.58%, 0.0003382%), (DUK, 0, 0.58%, 0.0008148%), (ISRG, 0, 0.56%, 0.0004463%), (ETN, 0, 0.56%, 0.0005122%), (INTU, 0, 0.55%, 0.0003436%), (GS, 0, 0.55%, 0.0003477%), (HON, 0, 0.53%, 0.0005168%), (WFC, 0, 0.52%, 0.0002847%), (UBER, 0, 0.52%, 0.0003896%), (MET, 0, 0.50%, 0.0013664%), (DE, 0, 0.48%, 0.0004750%), (NOW, 0, 0.47%, 0.0003385%), (PEP, 0, 0.46%, 0.0003307%), (T, 0, 0.44%, 0.0014173%), (SPGI, 0, 0.43%, 0.0003484%), (MS, 0, 0.42%, 0.0002582%), (MRK, 0, 0.41%, 0.0002825%), (ACN, 0, 0.40%, 0.0003429%), (AXP, 0, 0.40%, 0.0002684%), (VZ, 0, 0.40%, 0.0003027%), (BLK, 0, 0.39%, 0.0003126%), (QCOM, 0, 0.39%, 0.0003248%), (ADBE, 0, 0.38%, 0.0003595%), (TXN, 0, 0.38%, 0.0003167%), (UNP, 0, 0.38%, 0.0003943%), (DIS, 0, 0.38%, 0.0002418%), (COP, 0, 0.37%, 0.0004398%), (MDT, 0, 0.37%, 0.0004441%), (TMO, 0, 0.36%, 0.0002840%), (C, 0, 0.35%, 0.0002814%), (SCHW, 0, 0.35%, 0.0002736%), (AMAT, 0, 0.35%, 0.0003265%), (SBUX, 0, 0.34%, 0.0004647%), (LMT, 0, 0.33%, 0.0004598%), (AMGN, 0, 0.33%, 0.0002784%), (EMR, 0, 0.30%, 0.0005112%), (MMM, 0, 0.29%, 0.0005173%), (GILD, 0, 0.29%, 0.0002800%), (PFE, 0, 0.27%, 0.0002780%), (TJX, 0, 0.27%, 0.0002578%), (DHR, 0, 0.26%, 0.0002538%), (MO, 0, 0.25%, 0.0003328%), (CVS, 0, 0.25%, 0.0004404%), (LOW, 0, 0.24%, 0.0002573%), (CMCSA, 0, 0.22%, 0.0002521%), (ELV, 0, 0.21%, 0.0004635%), (MDLZ, 0, 0.21%, 0.0003415%), (INTC, 0, 0.19%, 0.0002925%), (BMY, 0, 0.18%, 0.0002779%), (UPS, 0, 0.18%, 0.0003834%), (PYPL, 0, 0.17%, 0.0003560%), (CL, 0, 0.15%, 0.0003042%), (FDX, 0, 0.14%, 0.0003674%), (USB, 0, 0.14%, 0.0002746%), (TGT, 0, 0.09%, 0.0002612%), (nan, 0, -0.01%, 0.0000000%), (nan, 0, -0.01%, 0.0000000%)</t>
  </si>
  <si>
    <t>(GOOGLE, 0, 3.61%, 0.0001688%), (AVGO, 0, 3.17%, 0.0002323%), (META, 0, 2.90%, 0.0001789%), (BRK/B, 0, 2.05%, 0.0003288%), (CSCO, 0, 1.84%, 0.0006963%), (LIN, 0, 1.79%, 0.0008339%), (AMT, 0, 1.66%, 0.0016877%), (JPM, 0, 1.65%, 0.0002087%), (TSLA, 0, 1.57%, 0.0001568%), (XOM, 0, 1.50%, 0.0003259%), (V, 0, 1.43%, 0.0002516%), (LLY, 0, 1.21%, 0.0001731%), (CB, 0, 1.15%, 0.0011079%), (MA, 0, 1.12%, 0.0002274%), (WM, 0, 1.10%, 0.0012123%), (GE, 0, 1.09%, 0.0003855%), (ORCL, 0, 1.00%, 0.0001435%), (NFLX, 0, 0.88%, 0.0001803%), (NEE, 0, 0.87%, 0.0006024%), (JNJ, 0, 0.82%, 0.0002075%), (WMT, 0, 0.81%, 0.0001044%), (PLTR, 0, 0.80%, 0.0002293%), (COST, 0, 0.80%, 0.0001918%), (CVX, 0, 0.79%, 0.0002581%), (PG, 0, 0.78%, 0.0002251%), (RTX, 0, 0.77%, 0.0003729%), (CAT, 0, 0.77%, 0.0003872%), (MCD, 0, 0.74%, 0.0003484%), (ABT, 0, 0.72%, 0.0003299%), (UNH, 0, 0.71%, 0.0003359%), (ABBV, 0, 0.70%, 0.0002077%), (HD, 0, 0.69%, 0.0001890%), (AMD, 0, 0.65%, 0.0002348%), (KO, 0, 0.64%, 0.0002211%), (SO, 0, 0.63%, 0.0006076%), (BAC, 0, 0.61%, 0.0001838%), (PM, 0, 0.61%, 0.0002451%), (BA, 0, 0.61%, 0.0003694%), (BKNG, 0, 0.61%, 0.0003568%), (CRM, 0, 0.60%, 0.0002556%), (NKE, 0, 0.60%, 0.0006833%), (IBM, 0, 0.58%, 0.0002517%), (DUK, 0, 0.57%, 0.0006065%), (ISRG, 0, 0.56%, 0.0003323%), (ETN, 0, 0.56%, 0.0003815%), (INTU, 0, 0.55%, 0.0002557%), (GS, 0, 0.55%, 0.0002587%), (HON, 0, 0.52%, 0.0003848%), (WFC, 0, 0.52%, 0.0002119%), (UBER, 0, 0.52%, 0.0002900%), (MET, 0, 0.49%, 0.0010173%), (DE, 0, 0.47%, 0.0003536%), (NOW, 0, 0.47%, 0.0002519%), (PEP, 0, 0.46%, 0.0002462%), (T, 0, 0.44%, 0.0010552%), (SPGI, 0, 0.42%, 0.0002592%), (MS, 0, 0.42%, 0.0001922%), (MRK, 0, 0.41%, 0.0002103%), (ACN, 0, 0.40%, 0.0002553%), (AXP, 0, 0.40%, 0.0001998%), (VZ, 0, 0.40%, 0.0002254%), (BLK, 0, 0.39%, 0.0002325%), (QCOM, 0, 0.38%, 0.0002418%), (ADBE, 0, 0.38%, 0.0002676%), (TXN, 0, 0.38%, 0.0002357%), (UNP, 0, 0.38%, 0.0002935%), (DIS, 0, 0.38%, 0.0001800%), (COP, 0, 0.37%, 0.0003275%), (MDT, 0, 0.37%, 0.0003306%), (TMO, 0, 0.36%, 0.0002113%), (C, 0, 0.35%, 0.0002095%), (SCHW, 0, 0.35%, 0.0002037%), (AMAT, 0, 0.34%, 0.0002430%), (SBUX, 0, 0.34%, 0.0003459%), (LMT, 0, 0.33%, 0.0003423%), (AMGN, 0, 0.33%, 0.0002073%), (EMR, 0, 0.30%, 0.0003806%), (MMM, 0, 0.29%, 0.0003851%), (GILD, 0, 0.29%, 0.0002084%), (PFE, 0, 0.27%, 0.0002070%), (TJX, 0, 0.27%, 0.0001919%), (DHR, 0, 0.25%, 0.0001890%), (MO, 0, 0.25%, 0.0002477%), (CVS, 0, 0.25%, 0.0003279%), (LOW, 0, 0.24%, 0.0001915%), (CMCSA, 0, 0.22%, 0.0001877%), (ELV, 0, 0.21%, 0.0003451%), (MDLZ, 0, 0.21%, 0.0002543%), (INTC, 0, 0.19%, 0.0002178%), (BMY, 0, 0.18%, 0.0002069%), (UPS, 0, 0.18%, 0.0002854%), (PYPL, 0, 0.17%, 0.0002649%), (CL, 0, 0.15%, 0.0002264%), (FDX, 0, 0.14%, 0.0002738%), (USB, 0, 0.14%, 0.0002044%), (TGT, 0, 0.09%, 0.0001943%), (nan, 0, -0.01%, 0.0000000%), (nan, 0, -0.01%, 0.0000000%)</t>
  </si>
  <si>
    <t>(GOOGLE, 0, 3.65%, 0.0000396%), (AVGO, 0, 3.20%, 0.0000544%), (META, 0, 2.93%, 0.0000419%), (BRK/B, 0, 2.07%, 0.0000771%), (CSCO, 0, 1.86%, 0.0001632%), (LIN, 0, 1.81%, 0.0001955%), (AMT, 0, 1.68%, 0.0003956%), (JPM, 0, 1.66%, 0.0000489%), (TSLA, 0, 1.58%, 0.0000367%), (XOM, 0, 1.51%, 0.0000764%), (V, 0, 1.44%, 0.0000590%), (LLY, 0, 1.22%, 0.0000406%), (CB, 0, 1.16%, 0.0002597%), (MA, 0, 1.13%, 0.0000533%), (WM, 0, 1.11%, 0.0002842%), (GE, 0, 1.10%, 0.0000903%), (ORCL, 0, 1.01%, 0.0000336%), (NFLX, 0, 0.89%, 0.0000422%), (NEE, 0, 0.88%, 0.0001412%), (JNJ, 0, 0.83%, 0.0000486%), (WMT, 0, 0.82%, 0.0000245%), (PLTR, 0, 0.81%, 0.0000538%), (COST, 0, 0.80%, 0.0000449%), (CVX, 0, 0.80%, 0.0000605%), (PG, 0, 0.78%, 0.0000528%), (RTX, 0, 0.78%, 0.0000874%), (CAT, 0, 0.77%, 0.0000907%), (MCD, 0, 0.75%, 0.0000817%), (ABT, 0, 0.73%, 0.0000773%), (UNH, 0, 0.72%, 0.0000787%), (ABBV, 0, 0.71%, 0.0000487%), (HD, 0, 0.70%, 0.0000443%), (AMD, 0, 0.66%, 0.0000550%), (KO, 0, 0.65%, 0.0000518%), (SO, 0, 0.63%, 0.0001424%), (BAC, 0, 0.62%, 0.0000431%), (PM, 0, 0.62%, 0.0000574%), (BKNG, 0, 0.61%, 0.0000838%), (BA, 0, 0.61%, 0.0000866%), (CRM, 0, 0.61%, 0.0000599%), (NKE, 0, 0.60%, 0.0001602%), (IBM, 0, 0.58%, 0.0000591%), (DUK, 0, 0.58%, 0.0001422%), (ISRG, 0, 0.56%, 0.0000779%), (ETN, 0, 0.56%, 0.0000894%), (GS, 0, 0.56%, 0.0000607%), (INTU, 0, 0.56%, 0.0000599%), (HON, 0, 0.53%, 0.0000903%), (WFC, 0, 0.52%, 0.0000497%), (UBER, 0, 0.52%, 0.0000680%), (MET, 0, 0.50%, 0.0002385%), (NOW, 0, 0.48%, 0.0000591%), (DE, 0, 0.48%, 0.0000829%), (PEP, 0, 0.46%, 0.0000577%), (T, 0, 0.45%, 0.0002473%), (SPGI, 0, 0.43%, 0.0000608%), (MS, 0, 0.43%, 0.0000450%), (MRK, 0, 0.41%, 0.0000493%), (ACN, 0, 0.41%, 0.0000599%), (AXP, 0, 0.40%, 0.0000469%), (VZ, 0, 0.40%, 0.0000528%), (BLK, 0, 0.39%, 0.0000542%), (QCOM, 0, 0.39%, 0.0000567%), (ADBE, 0, 0.39%, 0.0000628%), (TXN, 0, 0.38%, 0.0000552%), (UNP, 0, 0.38%, 0.0000688%), (DIS, 0, 0.38%, 0.0000422%), (COP, 0, 0.38%, 0.0000768%), (MDT, 0, 0.38%, 0.0000775%), (TMO, 0, 0.36%, 0.0000495%), (C, 0, 0.35%, 0.0000491%), (SCHW, 0, 0.35%, 0.0000478%), (AMAT, 0, 0.35%, 0.0000570%), (SBUX, 0, 0.34%, 0.0000811%), (LMT, 0, 0.33%, 0.0000804%), (AMGN, 0, 0.33%, 0.0000487%), (EMR, 0, 0.30%, 0.0000892%), (MMM, 0, 0.30%, 0.0000904%), (GILD, 0, 0.29%, 0.0000489%), (PFE, 0, 0.27%, 0.0000485%), (TJX, 0, 0.27%, 0.0000450%), (DHR, 0, 0.26%, 0.0000443%), (MO, 0, 0.26%, 0.0000581%), (CVS, 0, 0.26%, 0.0000769%), (LOW, 0, 0.24%, 0.0000449%), (CMCSA, 0, 0.22%, 0.0000440%), (ELV, 0, 0.21%, 0.0000810%), (MDLZ, 0, 0.21%, 0.0000596%), (INTC, 0, 0.20%, 0.0000510%), (BMY, 0, 0.18%, 0.0000485%), (UPS, 0, 0.18%, 0.0000668%), (PYPL, 0, 0.17%, 0.0000621%), (CL, 0, 0.15%, 0.0000531%), (FDX, 0, 0.14%, 0.0000640%), (USB, 0, 0.14%, 0.0000479%), (TGT, 0, 0.09%, 0.0000456%), (nan, 0, -0.01%, 0.0000000%), (nan, 0, -0.01%, 0.0000000%)</t>
  </si>
  <si>
    <t>(GOOGLE, 0, 3.49%, 0.0000692%), (AVGO, 0, 3.06%, 0.0000953%), (META, 0, 2.80%, 0.0000734%), (BRK/B, 0, 1.97%, 0.0001349%), (CSCO, 0, 1.78%, 0.0002856%), (LIN, 0, 1.73%, 0.0003420%), (AMT, 0, 1.60%, 0.0006921%), (JPM, 0, 1.59%, 0.0000856%), (TSLA, 0, 1.51%, 0.0000643%), (XOM, 0, 1.44%, 0.0001337%), (V, 0, 1.38%, 0.0001032%), (LLY, 0, 1.17%, 0.0000710%), (CB, 0, 1.11%, 0.0004543%), (MA, 0, 1.08%, 0.0000932%), (WM, 0, 1.06%, 0.0004972%), (GE, 0, 1.05%, 0.0001580%), (ORCL, 0, 0.96%, 0.0000588%), (NFLX, 0, 0.84%, 0.0000739%), (NEE, 0, 0.84%, 0.0002471%), (JNJ, 0, 0.79%, 0.0000851%), (WMT, 0, 0.78%, 0.0000428%), (PLTR, 0, 0.78%, 0.0000941%), (COST, 0, 0.77%, 0.0000785%), (CVX, 0, 0.76%, 0.0001058%), (PG, 0, 0.75%, 0.0000924%), (RTX, 0, 0.75%, 0.0001530%), (CAT, 0, 0.74%, 0.0001588%), (MCD, 0, 0.71%, 0.0001429%), (ABT, 0, 0.70%, 0.0001353%), (UNH, 0, 0.69%, 0.0001378%), (ABBV, 0, 0.68%, 0.0000852%), (HD, 0, 0.67%, 0.0000775%), (AMD, 0, 0.63%, 0.0000963%), (KO, 0, 0.62%, 0.0000907%), (SO, 0, 0.61%, 0.0002492%), (BAC, 0, 0.59%, 0.0000754%), (PM, 0, 0.59%, 0.0001005%), (BA, 0, 0.59%, 0.0001516%), (BKNG, 0, 0.58%, 0.0001458%), (CRM, 0, 0.58%, 0.0001048%), (NKE, 0, 0.58%, 0.0002802%), (IBM, 0, 0.56%, 0.0001032%), (DUK, 0, 0.55%, 0.0002488%), (ISRG, 0, 0.54%, 0.0001362%), (ETN, 0, 0.54%, 0.0001564%), (INTU, 0, 0.53%, 0.0001051%), (GS, 0, 0.53%, 0.0001060%), (HON, 0, 0.51%, 0.0001578%), (UBER, 0, 0.50%, 0.0001190%), (WFC, 0, 0.50%, 0.0000869%), (MET, 0, 0.48%, 0.0004173%), (NOW, 0, 0.46%, 0.0001034%), (DE, 0, 0.46%, 0.0001450%), (PEP, 0, 0.44%, 0.0001010%), (T, 0, 0.43%, 0.0004328%), (SPGI, 0, 0.41%, 0.0001063%), (MS, 0, 0.41%, 0.0000788%), (MRK, 0, 0.39%, 0.0000863%), (ACN, 0, 0.39%, 0.0001047%), (AXP, 0, 0.39%, 0.0000820%), (VZ, 0, 0.38%, 0.0000924%), (BLK, 0, 0.38%, 0.0000956%), (QCOM, 0, 0.37%, 0.0000992%), (ADBE, 0, 0.37%, 0.0001097%), (TXN, 0, 0.37%, 0.0000967%), (UNP, 0, 0.36%, 0.0001204%), (DIS, 0, 0.36%, 0.0000739%), (COP, 0, 0.36%, 0.0001343%), (MDT, 0, 0.36%, 0.0001356%), (TMO, 0, 0.34%, 0.0000868%), (C, 0, 0.34%, 0.0000859%), (SCHW, 0, 0.34%, 0.0000835%), (AMAT, 0, 0.33%, 0.0000997%), (SBUX, 0, 0.33%, 0.0001419%), (AMGN, 0, 0.31%, 0.0000851%), (LMT, 0, 0.31%, 0.0001405%), (EMR, 0, 0.29%, 0.0001560%), (MMM, 0, 0.28%, 0.0001579%), (GILD, 0, 0.28%, 0.0000855%), (PFE, 0, 0.26%, 0.0000849%), (TJX, 0, 0.26%, 0.0000787%), (DHR, 0, 0.25%, 0.0000776%), (MO, 0, 0.25%, 0.0001016%), (CVS, 0, 0.24%, 0.0001345%), (LOW, 0, 0.23%, 0.0000786%), (CMCSA, 0, 0.21%, 0.0000770%), (ELV, 0, 0.20%, 0.0001417%), (MDLZ, 0, 0.20%, 0.0001043%), (INTC, 0, 0.19%, 0.0000893%), (BMY, 0, 0.18%, 0.0000849%), (UPS, 0, 0.17%, 0.0001171%), (PYPL, 0, 0.16%, 0.0001087%), (CL, 0, 0.14%, 0.0000929%), (FDX, 0, 0.13%, 0.0001123%), (USB, 0, 0.13%, 0.0000839%), (TGT, 0, 0.08%, 0.0000797%), (nan, 0, -0.01%, 0.0000000%), (nan, 0, -0.01%, 0.0000000%)</t>
  </si>
  <si>
    <t>(GOOGLE, 0, 3.56%, 0.0000251%), (AVGO, 0, 3.12%, 0.0000345%), (META, 0, 2.86%, 0.0000266%), (BRK/B, 0, 2.01%, 0.0000489%), (CSCO, 0, 1.81%, 0.0001035%), (LIN, 0, 1.76%, 0.0001240%), (AMT, 0, 1.63%, 0.0002508%), (JPM, 0, 1.62%, 0.0000310%), (TSLA, 0, 1.54%, 0.0000233%), (XOM, 0, 1.47%, 0.0000484%), (V, 0, 1.41%, 0.0000374%), (LLY, 0, 1.18%, 0.0000257%), (CB, 0, 1.13%, 0.0001647%), (MA, 0, 1.10%, 0.0000338%), (WM, 0, 1.08%, 0.0001802%), (GE, 0, 1.07%, 0.0000573%), (ORCL, 0, 0.98%, 0.0000213%), (NFLX, 0, 0.87%, 0.0000269%), (NEE, 0, 0.86%, 0.0000896%), (JNJ, 0, 0.81%, 0.0000308%), (WMT, 0, 0.80%, 0.0000155%), (PLTR, 0, 0.79%, 0.0000341%), (COST, 0, 0.78%, 0.0000284%), (CVX, 0, 0.78%, 0.0000383%), (PG, 0, 0.76%, 0.0000335%), (RTX, 0, 0.76%, 0.0000554%), (CAT, 0, 0.75%, 0.0000576%), (MCD, 0, 0.73%, 0.0000518%), (ABT, 0, 0.71%, 0.0000491%), (UNH, 0, 0.70%, 0.0000499%), (ABBV, 0, 0.69%, 0.0000309%), (HD, 0, 0.68%, 0.0000281%), (AMD, 0, 0.64%, 0.0000349%), (KO, 0, 0.63%, 0.0000329%), (SO, 0, 0.62%, 0.0000903%), (BAC, 0, 0.60%, 0.0000273%), (PM, 0, 0.60%, 0.0000364%), (BA, 0, 0.60%, 0.0000549%), (BKNG, 0, 0.59%, 0.0000527%), (CRM, 0, 0.59%, 0.0000380%), (NKE, 0, 0.59%, 0.0001016%), (IBM, 0, 0.57%, 0.0000374%), (DUK, 0, 0.57%, 0.0000902%), (ETN, 0, 0.55%, 0.0000568%), (ISRG, 0, 0.55%, 0.0000494%), (INTU, 0, 0.54%, 0.0000380%), (GS, 0, 0.54%, 0.0000383%), (HON, 0, 0.52%, 0.0000572%), (WFC, 0, 0.51%, 0.0000315%), (UBER, 0, 0.51%, 0.0000431%), (MET, 0, 0.49%, 0.0001513%), (NOW, 0, 0.47%, 0.0000375%), (DE, 0, 0.47%, 0.0000525%), (PEP, 0, 0.45%, 0.0000366%), (T, 0, 0.43%, 0.0001569%), (SPGI, 0, 0.42%, 0.0000386%), (MS, 0, 0.42%, 0.0000286%), (MRK, 0, 0.40%, 0.0000313%), (AXP, 0, 0.40%, 0.0000298%), (ACN, 0, 0.40%, 0.0000379%), (VZ, 0, 0.39%, 0.0000335%), (BLK, 0, 0.39%, 0.0000349%), (ADBE, 0, 0.38%, 0.0000399%), (QCOM, 0, 0.38%, 0.0000360%), (TXN, 0, 0.37%, 0.0000350%), (UNP, 0, 0.37%, 0.0000437%), (DIS, 0, 0.37%, 0.0000268%), (COP, 0, 0.37%, 0.0000487%), (MDT, 0, 0.37%, 0.0000491%), (TMO, 0, 0.35%, 0.0000314%), (C, 0, 0.34%, 0.0000311%), (SCHW, 0, 0.34%, 0.0000303%), (AMAT, 0, 0.34%, 0.0000362%), (SBUX, 0, 0.33%, 0.0000515%), (LMT, 0, 0.32%, 0.0000510%), (AMGN, 0, 0.32%, 0.0000308%), (EMR, 0, 0.29%, 0.0000565%), (MMM, 0, 0.29%, 0.0000572%), (GILD, 0, 0.28%, 0.0000310%), (PFE, 0, 0.27%, 0.0000308%), (TJX, 0, 0.26%, 0.0000285%), (DHR, 0, 0.25%, 0.0000280%), (MO, 0, 0.25%, 0.0000368%), (CVS, 0, 0.25%, 0.0000488%), (LOW, 0, 0.24%, 0.0000285%), (CMCSA, 0, 0.22%, 0.0000279%), (ELV, 0, 0.21%, 0.0000513%), (MDLZ, 0, 0.20%, 0.0000378%), (INTC, 0, 0.19%, 0.0000324%), (BMY, 0, 0.18%, 0.0000308%), (UPS, 0, 0.17%, 0.0000424%), (PYPL, 0, 0.16%, 0.0000394%), (CL, 0, 0.15%, 0.0000336%), (FDX, 0, 0.14%, 0.0000407%), (USB, 0, 0.14%, 0.0000304%), (TGT, 0, 0.09%, 0.0000288%), (nan, 0, -0.01%, 0.0000000%), (nan, 0, -0.01%, 0.0000000%)</t>
  </si>
  <si>
    <t>(GOOGLE, 0, 3.79%, 0.0000602%), (AVGO, 0, 3.32%, 0.0000828%), (META, 0, 3.04%, 0.0000637%), (BRK/B, 0, 2.15%, 0.0001172%), (CSCO, 0, 1.93%, 0.0002481%), (LIN, 0, 1.88%, 0.0002972%), (AMT, 0, 1.74%, 0.0006013%), (JPM, 0, 1.73%, 0.0000744%), (TSLA, 0, 1.65%, 0.0000559%), (XOM, 0, 1.57%, 0.0001161%), (V, 0, 1.50%, 0.0000897%), (LLY, 0, 1.27%, 0.0000617%), (CB, 0, 1.20%, 0.0003949%), (MA, 0, 1.17%, 0.0000810%), (WM, 0, 1.15%, 0.0004319%), (GE, 0, 1.14%, 0.0001374%), (ORCL, 0, 1.04%, 0.0000511%), (NFLX, 0, 0.92%, 0.0000642%), (NEE, 0, 0.92%, 0.0002146%), (JNJ, 0, 0.86%, 0.0000740%), (WMT, 0, 0.85%, 0.0000372%), (PLTR, 0, 0.84%, 0.0000817%), (COST, 0, 0.83%, 0.0000684%), (CVX, 0, 0.83%, 0.0000920%), (PG, 0, 0.81%, 0.0000802%), (RTX, 0, 0.81%, 0.0001328%), (CAT, 0, 0.80%, 0.0001379%), (MCD, 0, 0.78%, 0.0001242%), (ABT, 0, 0.76%, 0.0001175%), (UNH, 0, 0.75%, 0.0001197%), (ABBV, 0, 0.74%, 0.0000740%), (HD, 0, 0.73%, 0.0000673%), (AMD, 0, 0.68%, 0.0000837%), (KO, 0, 0.67%, 0.0000788%), (SO, 0, 0.66%, 0.0002165%), (BAC, 0, 0.64%, 0.0000655%), (PM, 0, 0.64%, 0.0000873%), (BA, 0, 0.64%, 0.0001317%), (BKNG, 0, 0.64%, 0.0001272%), (CRM, 0, 0.63%, 0.0000911%), (NKE, 0, 0.63%, 0.0002435%), (IBM, 0, 0.61%, 0.0000897%), (DUK, 0, 0.60%, 0.0002161%), (ISRG, 0, 0.59%, 0.0001185%), (ETN, 0, 0.59%, 0.0001359%), (GS, 0, 0.57%, 0.0000924%), (INTU, 0, 0.57%, 0.0000911%), (HON, 0, 0.55%, 0.0001370%), (WFC, 0, 0.55%, 0.0000755%), (UBER, 0, 0.54%, 0.0001033%), (MET, 0, 0.52%, 0.0003624%), (NOW, 0, 0.50%, 0.0000899%), (DE, 0, 0.50%, 0.0001261%), (PEP, 0, 0.48%, 0.0000877%), (T, 0, 0.46%, 0.0003759%), (SPGI, 0, 0.44%, 0.0000925%), (MS, 0, 0.44%, 0.0000685%), (MRK, 0, 0.43%, 0.0000749%), (ACN, 0, 0.42%, 0.0000910%), (AXP, 0, 0.42%, 0.0000711%), (VZ, 0, 0.42%, 0.0000803%), (BLK, 0, 0.41%, 0.0000827%), (QCOM, 0, 0.40%, 0.0000862%), (ADBE, 0, 0.40%, 0.0000953%), (TXN, 0, 0.40%, 0.0000840%), (UNP, 0, 0.40%, 0.0001045%), (DIS, 0, 0.39%, 0.0000641%), (COP, 0, 0.39%, 0.0001167%), (MDT, 0, 0.39%, 0.0001178%), (TMO, 0, 0.37%, 0.0000753%), (C, 0, 0.37%, 0.0000746%), (SCHW, 0, 0.37%, 0.0000726%), (AMAT, 0, 0.36%, 0.0000866%), (SBUX, 0, 0.36%, 0.0001233%), (AMGN, 0, 0.34%, 0.0000739%), (LMT, 0, 0.34%, 0.0001219%), (EMR, 0, 0.31%, 0.0001356%), (MMM, 0, 0.31%, 0.0001372%), (GILD, 0, 0.30%, 0.0000742%), (PFE, 0, 0.28%, 0.0000737%), (TJX, 0, 0.28%, 0.0000684%), (DHR, 0, 0.27%, 0.0000674%), (MO, 0, 0.27%, 0.0000883%), (CVS, 0, 0.27%, 0.0001168%), (LOW, 0, 0.25%, 0.0000683%), (CMCSA, 0, 0.23%, 0.0000669%), (ELV, 0, 0.22%, 0.0001228%), (MDLZ, 0, 0.22%, 0.0000906%), (INTC, 0, 0.20%, 0.0000776%), (BMY, 0, 0.19%, 0.0000737%), (UPS, 0, 0.19%, 0.0001018%), (PYPL, 0, 0.17%, 0.0000944%), (CL, 0, 0.15%, 0.0000806%), (USB, 0, 0.14%, 0.0000728%), (FDX, 0, 0.14%, 0.0000975%), (TGT, 0, 0.09%, 0.0000693%), (nan, 0, -0.01%, 0.0000000%), (nan, 0, -0.01%, 0.0000000%)</t>
  </si>
  <si>
    <t>EBAY, META, MSFT, BK, JPM, GOOGLE, RJF, BLK, BKNG, MLI, EA, AMAT</t>
  </si>
  <si>
    <t>(EWBC, 0, 1.81%, 0.0073508%), (V, 0, 1.80%, 0.0001725%), (HIG, 0, 1.77%, 0.0028164%), (AXP, 0, 1.77%, 0.0004799%), (PHM, 0, 1.76%, 0.0042664%), (TRV, 0, 1.76%, 0.0016717%), (NVDA, 0, 1.75%, 0.0000225%), (ADP, 0, 1.71%, 0.0007741%), (KLAC, 0, 1.69%, 0.0007892%), (SNA, 0, 1.67%, 0.0056184%), (UNM, 0, 1.66%, 0.0077410%), (ROST, 0, 1.64%, 0.0020075%), (PCAR, 0, 1.62%, 0.0017646%), (CB, 0, 1.59%, 0.0008403%), (CRM, 0, 1.53%, 0.0003527%), (CTSH, 0, 1.52%, 0.0024542%), (SYF, 0, 1.52%, 0.0033981%), (PAYC, 0, 1.49%, 0.0061942%), (LEN, 0, 1.46%, 0.0030916%), (WSM, 0, 1.46%, 0.0034026%), (BKR, 0, 1.37%, 0.0017666%), (ACN, 0, 1.30%, 0.0004484%), (QCOM, 0, 1.28%, 0.0004382%), (DHI, 0, 1.25%, 0.0015611%), (AFL, 0, 1.15%, 0.0012105%), (AAPL, 0, 1.13%, 0.0000207%), (ELV, 0, 1.12%, 0.0010102%), (MPWR, 0, 1.10%, 0.0015618%), (CSCO, 0, 1.08%, 0.0002218%), (LRCX, 0, 1.07%, 0.0004807%), (GE, 0, 1.04%, 0.0002006%), (ODFL, 0, 1.04%, 0.0019109%), (STT, 0, 0.96%, 0.0017400%), (CF, 0, 0.93%, 0.0034296%), (PNC, 0, 0.88%, 0.0006610%), (MTB, 0, 0.87%, 0.0016826%), (AMP, 0, 0.87%, 0.0010193%), (COST, 0, 0.84%, 0.0001097%), (ABT, 0, 0.81%, 0.0002012%), (XOM, 0, 0.80%, 0.0000954%), (EOG, 0, 0.77%, 0.0006705%), (EG, 0, 0.74%, 0.0029310%), (CSL, 0, 0.69%, 0.0026085%), (GEV, 0, 0.60%, 0.0001828%), (NTRS, 0, 0.52%, 0.0011929%), (CRBG, 0, 0.48%, 0.0014389%), (MA, 0, 0.48%, 0.0000528%), (JNJ, 0, 0.46%, 0.0000627%), (ACM, 0, 0.43%, 0.0016120%), (MTG, 0, 0.42%, 0.0039622%), (LNC, 0, 0.42%, 0.0032484%), (CINF, 0, 0.42%, 0.0010056%), (DOV, 0, 0.42%, 0.0009617%), (SLM, 0, 0.42%, 0.0035678%), (MCK, 0, 0.41%, 0.0002621%), (WTFC, 0, 0.41%, 0.0027139%), (ALL, 0, 0.41%, 0.0004239%), (EQH, 0, 0.40%, 0.0014603%), (JXN, 0, 0.39%, 0.0036568%), (NUE, 0, 0.38%, 0.0006570%), (NKE, 0, 0.37%, 0.0002312%), (ADM, 0, 0.36%, 0.0007820%), (PGR, 0, 0.36%, 0.0001404%), (FANG, 0, 0.31%, 0.0004055%)</t>
  </si>
  <si>
    <t>(GOOGLE, 0, 3.44%, 0.0000637%), (AVGO, 0, 3.02%, 0.0000876%), (META, 0, 2.76%, 0.0000675%), (BRK/B, 0, 1.95%, 0.0001241%), (CSCO, 0, 1.75%, 0.0002627%), (LIN, 0, 1.70%, 0.0003148%), (AMT, 0, 1.58%, 0.0006368%), (JPM, 0, 1.57%, 0.0000788%), (TSLA, 0, 1.49%, 0.0000592%), (XOM, 0, 1.43%, 0.0001230%), (V, 0, 1.36%, 0.0000950%), (LLY, 0, 1.15%, 0.0000653%), (CB, 0, 1.09%, 0.0004180%), (MA, 0, 1.07%, 0.0000858%), (WM, 0, 1.05%, 0.0004575%), (GE, 0, 1.04%, 0.0001454%), (ORCL, 0, 0.95%, 0.0000541%), (NFLX, 0, 0.83%, 0.0000680%), (NEE, 0, 0.83%, 0.0002273%), (JNJ, 0, 0.78%, 0.0000783%), (WMT, 0, 0.77%, 0.0000394%), (PLTR, 0, 0.77%, 0.0000865%), (COST, 0, 0.76%, 0.0000724%), (CVX, 0, 0.75%, 0.0000974%), (PG, 0, 0.74%, 0.0000849%), (RTX, 0, 0.74%, 0.0001407%), (CAT, 0, 0.73%, 0.0001460%), (MCD, 0, 0.70%, 0.0001314%), (ABT, 0, 0.69%, 0.0001244%), (UNH, 0, 0.68%, 0.0001267%), (ABBV, 0, 0.67%, 0.0000784%), (HD, 0, 0.66%, 0.0000713%), (AMD, 0, 0.62%, 0.0000886%), (KO, 0, 0.61%, 0.0000835%), (SO, 0, 0.60%, 0.0002293%), (BAC, 0, 0.59%, 0.0000693%), (PM, 0, 0.58%, 0.0000925%), (BA, 0, 0.58%, 0.0001395%), (CRM, 0, 0.57%, 0.0000964%), (BKNG, 0, 0.57%, 0.0001334%), (NKE, 0, 0.57%, 0.0002579%), (IBM, 0, 0.55%, 0.0000950%), (DUK, 0, 0.55%, 0.0002288%), (ETN, 0, 0.53%, 0.0001438%), (ISRG, 0, 0.53%, 0.0001252%), (INTU, 0, 0.52%, 0.0000965%), (GS, 0, 0.52%, 0.0000977%), (HON, 0, 0.50%, 0.0001452%), (UBER, 0, 0.50%, 0.0001094%), (WFC, 0, 0.50%, 0.0000800%), (MET, 0, 0.47%, 0.0003839%), (NOW, 0, 0.45%, 0.0000952%), (DE, 0, 0.45%, 0.0001335%), (PEP, 0, 0.44%, 0.0000929%), (T, 0, 0.42%, 0.0003982%), (SPGI, 0, 0.40%, 0.0000978%), (MS, 0, 0.40%, 0.0000725%), (MRK, 0, 0.39%, 0.0000794%), (ACN, 0, 0.38%, 0.0000963%), (AXP, 0, 0.38%, 0.0000753%), (VZ, 0, 0.38%, 0.0000850%), (BLK, 0, 0.37%, 0.0000878%), (QCOM, 0, 0.37%, 0.0000913%), (ADBE, 0, 0.37%, 0.0001011%), (TXN, 0, 0.36%, 0.0000889%), (UNP, 0, 0.36%, 0.0001108%), (DIS, 0, 0.36%, 0.0000679%), (COP, 0, 0.36%, 0.0001235%), (MDT, 0, 0.35%, 0.0001247%), (TMO, 0, 0.34%, 0.0000798%), (C, 0, 0.33%, 0.0000790%), (SCHW, 0, 0.33%, 0.0000769%), (AMAT, 0, 0.33%, 0.0000918%), (SBUX, 0, 0.32%, 0.0001306%), (LMT, 0, 0.31%, 0.0001292%), (AMGN, 0, 0.31%, 0.0000782%), (EMR, 0, 0.28%, 0.0001436%), (MMM, 0, 0.28%, 0.0001453%), (GILD, 0, 0.27%, 0.0000787%), (PFE, 0, 0.26%, 0.0000781%), (TJX, 0, 0.25%, 0.0000724%), (DHR, 0, 0.24%, 0.0000714%), (MO, 0, 0.24%, 0.0000935%), (CVS, 0, 0.24%, 0.0001237%), (LOW, 0, 0.23%, 0.0000722%), (CMCSA, 0, 0.21%, 0.0000708%), (ELV, 0, 0.20%, 0.0001300%), (MDLZ, 0, 0.20%, 0.0000959%), (INTC, 0, 0.18%, 0.0000822%), (BMY, 0, 0.17%, 0.0000781%), (UPS, 0, 0.17%, 0.0001077%), (PYPL, 0, 0.16%, 0.0001000%), (CL, 0, 0.14%, 0.0000855%), (FDX, 0, 0.13%, 0.0001034%), (USB, 0, 0.13%, 0.0000771%), (TGT, 0, 0.08%, 0.0000733%), (nan, 0, -0.01%, 0.0000000%), (nan, 0, -0.01%, 0.0000000%)</t>
  </si>
  <si>
    <t>(GOOGLE, 0, 3.61%, 0.0001303%), (AVGO, 0, 3.17%, 0.0001793%), (META, 0, 2.90%, 0.0001381%), (BRK/B, 0, 2.05%, 0.0002537%), (CSCO, 0, 1.84%, 0.0005373%), (LIN, 0, 1.79%, 0.0006435%), (AMT, 0, 1.66%, 0.0013024%), (JPM, 0, 1.65%, 0.0001611%), (TSLA, 0, 1.57%, 0.0001210%), (XOM, 0, 1.50%, 0.0002515%), (V, 0, 1.43%, 0.0001942%), (LLY, 0, 1.21%, 0.0001336%), (CB, 0, 1.15%, 0.0008550%), (MA, 0, 1.12%, 0.0001755%), (WM, 0, 1.10%, 0.0009355%), (GE, 0, 1.09%, 0.0002974%), (ORCL, 0, 1.00%, 0.0001107%), (NFLX, 0, 0.88%, 0.0001392%), (NEE, 0, 0.87%, 0.0004649%), (JNJ, 0, 0.82%, 0.0001602%), (WMT, 0, 0.81%, 0.0000806%), (PLTR, 0, 0.80%, 0.0001770%), (COST, 0, 0.80%, 0.0001480%), (CVX, 0, 0.79%, 0.0001992%), (PG, 0, 0.78%, 0.0001737%), (RTX, 0, 0.77%, 0.0002877%), (CAT, 0, 0.77%, 0.0002988%), (MCD, 0, 0.74%, 0.0002688%), (ABT, 0, 0.72%, 0.0002545%), (UNH, 0, 0.71%, 0.0002593%), (ABBV, 0, 0.70%, 0.0001603%), (HD, 0, 0.69%, 0.0001459%), (AMD, 0, 0.65%, 0.0001812%), (KO, 0, 0.64%, 0.0001707%), (SO, 0, 0.63%, 0.0004689%), (BAC, 0, 0.61%, 0.0001418%), (PM, 0, 0.61%, 0.0001891%), (BKNG, 0, 0.61%, 0.0002761%), (BA, 0, 0.61%, 0.0002851%), (CRM, 0, 0.60%, 0.0001972%), (NKE, 0, 0.60%, 0.0005274%), (IBM, 0, 0.58%, 0.0001943%), (DUK, 0, 0.57%, 0.0004681%), (ISRG, 0, 0.56%, 0.0002564%), (ETN, 0, 0.56%, 0.0002944%), (INTU, 0, 0.55%, 0.0001973%), (GS, 0, 0.55%, 0.0001997%), (HON, 0, 0.52%, 0.0002969%), (UBER, 0, 0.52%, 0.0002238%), (WFC, 0, 0.52%, 0.0001635%), (MET, 0, 0.49%, 0.0007851%), (DE, 0, 0.47%, 0.0002730%), (NOW, 0, 0.47%, 0.0001947%), (PEP, 0, 0.46%, 0.0001900%), (T, 0, 0.44%, 0.0008143%), (SPGI, 0, 0.43%, 0.0002001%), (MS, 0, 0.42%, 0.0001483%), (MRK, 0, 0.41%, 0.0001623%), (ACN, 0, 0.40%, 0.0001970%), (AXP, 0, 0.40%, 0.0001542%), (VZ, 0, 0.40%, 0.0001739%), (BLK, 0, 0.39%, 0.0001795%), (QCOM, 0, 0.38%, 0.0001867%), (ADBE, 0, 0.38%, 0.0002064%), (TXN, 0, 0.38%, 0.0001819%), (UNP, 0, 0.38%, 0.0002266%), (DIS, 0, 0.38%, 0.0001389%), (COP, 0, 0.37%, 0.0002527%), (MDT, 0, 0.37%, 0.0002552%), (TMO, 0, 0.36%, 0.0001632%), (C, 0, 0.35%, 0.0001617%), (SCHW, 0, 0.35%, 0.0001572%), (AMAT, 0, 0.34%, 0.0001875%), (SBUX, 0, 0.34%, 0.0002669%), (LMT, 0, 0.33%, 0.0002645%), (AMGN, 0, 0.33%, 0.0001599%), (EMR, 0, 0.30%, 0.0002937%), (MMM, 0, 0.29%, 0.0002972%), (GILD, 0, 0.29%, 0.0001608%), (PFE, 0, 0.27%, 0.0001597%), (TJX, 0, 0.27%, 0.0001481%), (DHR, 0, 0.25%, 0.0001458%), (MO, 0, 0.25%, 0.0001912%), (CVS, 0, 0.25%, 0.0002530%), (LOW, 0, 0.24%, 0.0001478%), (CMCSA, 0, 0.22%, 0.0001449%), (ELV, 0, 0.21%, 0.0002664%), (MDLZ, 0, 0.21%, 0.0001962%), (INTC, 0, 0.19%, 0.0001681%), (BMY, 0, 0.18%, 0.0001597%), (UPS, 0, 0.18%, 0.0002202%), (PYPL, 0, 0.17%, 0.0002045%), (CL, 0, 0.15%, 0.0001747%), (FDX, 0, 0.14%, 0.0002111%), (USB, 0, 0.14%, 0.0001578%), (TGT, 0, 0.09%, 0.0001501%), (nan, 0, -0.01%, 0.0000000%), (nan, 0, -0.01%, 0.0000000%)</t>
  </si>
  <si>
    <t>(GOOGLE, 0, 3.43%, 0.0002609%), (AVGO, 0, 3.03%, 0.0003590%), (META, 0, 2.77%, 0.0002765%), (BRK/B, 0, 1.94%, 0.0005082%), (CSCO, 0, 1.75%, 0.0010760%), (LIN, 0, 1.70%, 0.0012888%), (AMT, 0, 1.58%, 0.0026082%), (JPM, 0, 1.57%, 0.0003226%), (TSLA, 0, 1.50%, 0.0002423%), (XOM, 0, 1.42%, 0.0005037%), (V, 0, 1.36%, 0.0003888%), (LLY, 0, 1.16%, 0.0002675%), (CB, 0, 1.09%, 0.0017121%), (MA, 0, 1.07%, 0.0003515%), (WM, 0, 1.04%, 0.0018736%), (GE, 0, 1.04%, 0.0005957%), (ORCL, 0, 0.95%, 0.0002217%), (NFLX, 0, 0.84%, 0.0002787%), (NEE, 0, 0.83%, 0.0009310%), (JNJ, 0, 0.78%, 0.0003207%), (PLTR, 0, 0.78%, 0.0003544%), (WMT, 0, 0.77%, 0.0001613%), (COST, 0, 0.76%, 0.0002963%), (CVX, 0, 0.75%, 0.0003988%), (PG, 0, 0.74%, 0.0003479%), (RTX, 0, 0.74%, 0.0005763%), (CAT, 0, 0.73%, 0.0005983%), (MCD, 0, 0.71%, 0.0005384%), (ABT, 0, 0.69%, 0.0005098%), (UNH, 0, 0.68%, 0.0005192%), (ABBV, 0, 0.67%, 0.0003210%), (HD, 0, 0.66%, 0.0002920%), (AMD, 0, 0.63%, 0.0003629%), (KO, 0, 0.61%, 0.0003418%), (SO, 0, 0.60%, 0.0009390%), (BAC, 0, 0.59%, 0.0002840%), (PM, 0, 0.58%, 0.0003788%), (BA, 0, 0.58%, 0.0005710%), (CRM, 0, 0.57%, 0.0003950%), (BKNG, 0, 0.57%, 0.0005491%), (NKE, 0, 0.57%, 0.0010560%), (IBM, 0, 0.55%, 0.0003890%), (DUK, 0, 0.54%, 0.0009373%), (ETN, 0, 0.53%, 0.0005893%), (ISRG, 0, 0.53%, 0.0005134%), (INTU, 0, 0.52%, 0.0003953%), (GS, 0, 0.52%, 0.0004001%), (HON, 0, 0.50%, 0.0005946%), (UBER, 0, 0.50%, 0.0004482%), (WFC, 0, 0.49%, 0.0003275%), (MET, 0, 0.47%, 0.0015720%), (DE, 0, 0.45%, 0.0005464%), (NOW, 0, 0.45%, 0.0003894%), (PEP, 0, 0.44%, 0.0003804%), (T, 0, 0.42%, 0.0016307%), (SPGI, 0, 0.41%, 0.0004006%), (MS, 0, 0.40%, 0.0002970%), (MRK, 0, 0.39%, 0.0003250%), (ACN, 0, 0.38%, 0.0003945%), (AXP, 0, 0.38%, 0.0003088%), (VZ, 0, 0.38%, 0.0003483%), (BLK, 0, 0.37%, 0.0003590%), (QCOM, 0, 0.37%, 0.0003737%), (ADBE, 0, 0.36%, 0.0004135%), (TXN, 0, 0.36%, 0.0003644%), (DIS, 0, 0.36%, 0.0002782%), (UNP, 0, 0.36%, 0.0004537%), (COP, 0, 0.36%, 0.0005060%), (MDT, 0, 0.35%, 0.0005110%), (TMO, 0, 0.34%, 0.0003268%), (C, 0, 0.33%, 0.0003237%), (SCHW, 0, 0.33%, 0.0003148%), (AMAT, 0, 0.33%, 0.0003756%), (SBUX, 0, 0.32%, 0.0005346%), (LMT, 0, 0.31%, 0.0005294%), (AMGN, 0, 0.31%, 0.0003204%), (EMR, 0, 0.28%, 0.0005881%), (MMM, 0, 0.28%, 0.0005950%), (GILD, 0, 0.27%, 0.0003221%), (PFE, 0, 0.26%, 0.0003199%), (TJX, 0, 0.25%, 0.0002966%), (DHR, 0, 0.24%, 0.0002921%), (MO, 0, 0.24%, 0.0003828%), (CVS, 0, 0.24%, 0.0005066%), (LOW, 0, 0.23%, 0.0002960%), (CMCSA, 0, 0.21%, 0.0002901%), (ELV, 0, 0.20%, 0.0005332%), (MDLZ, 0, 0.20%, 0.0003929%), (INTC, 0, 0.18%, 0.0003365%), (BMY, 0, 0.17%, 0.0003197%), (UPS, 0, 0.17%, 0.0004411%), (PYPL, 0, 0.16%, 0.0004096%), (CL, 0, 0.14%, 0.0003500%), (FDX, 0, 0.13%, 0.0004230%), (USB, 0, 0.13%, 0.0003159%), (TGT, 0, 0.08%, 0.0003004%)</t>
  </si>
  <si>
    <t>(AVGO, 0, 2.94%, 0.0000519%), (META, 0, 2.71%, 0.0000399%), (BRK/B, 0, 1.93%, 0.0000734%), (CSCO, 0, 1.71%, 0.0001555%), (LIN, 0, 1.67%, 0.0001863%), (AMT, 0, 1.52%, 0.0003768%), (JPM, 0, 1.52%, 0.0000466%), (TSLA, 0, 1.46%, 0.0000350%), (XOM, 0, 1.37%, 0.0000728%), (V, 0, 1.32%, 0.0000562%), (LLY, 0, 1.14%, 0.0000386%), (CB, 0, 1.07%, 0.0002475%), (MA, 0, 1.05%, 0.0000508%), (WM, 0, 1.03%, 0.0002708%), (GE, 0, 1.00%, 0.0000861%), (ORCL, 0, 0.94%, 0.0000320%), (NEE, 0, 0.82%, 0.0001345%), (NFLX, 0, 0.81%, 0.0000404%), (PLTR, 0, 0.80%, 0.0000512%), (JNJ, 0, 0.78%, 0.0000463%), (WMT, 0, 0.76%, 0.0000233%), (COST, 0, 0.74%, 0.0000429%), (CVX, 0, 0.73%, 0.0000576%), (PG, 0, 0.73%, 0.0000503%), (CAT, 0, 0.72%, 0.0000864%), (RTX, 0, 0.71%, 0.0000832%), (MCD, 0, 0.69%, 0.0000778%), (UNH, 0, 0.68%, 0.0000751%), (ABT, 0, 0.68%, 0.0000737%), (ABBV, 0, 0.67%, 0.0000464%), (HD, 0, 0.66%, 0.0000422%), (AMD, 0, 0.60%, 0.0000524%), (KO, 0, 0.60%, 0.0000494%), (SO, 0, 0.58%, 0.0001357%), (BKNG, 0, 0.58%, 0.0000807%), (BA, 0, 0.58%, 0.0000825%), (PM, 0, 0.57%, 0.0000547%), (BAC, 0, 0.56%, 0.0000410%), (CRM, 0, 0.56%, 0.0000570%), (NKE, 0, 0.55%, 0.0001526%), (DUK, 0, 0.54%, 0.0001354%), (IBM, 0, 0.54%, 0.0000562%), (ISRG, 0, 0.51%, 0.0000742%), (GS, 0, 0.51%, 0.0000577%), (INTU, 0, 0.50%, 0.0000570%), (UBER, 0, 0.49%, 0.0000648%), (HON, 0, 0.49%, 0.0000858%), (ETN, 0, 0.49%, 0.0000850%), (WFC, 0, 0.48%, 0.0000473%), (MET, 0, 0.46%, 0.0002272%), (DE, 0, 0.44%, 0.0000788%), (NOW, 0, 0.44%, 0.0000562%), (PEP, 0, 0.43%, 0.0000550%), (T, 0, 0.41%, 0.0002356%), (SPGI, 0, 0.40%, 0.0000578%), (MS, 0, 0.39%, 0.0000429%), (MRK, 0, 0.39%, 0.0000470%), (AXP, 0, 0.37%, 0.0000446%), (VZ, 0, 0.37%, 0.0000503%), (ACN, 0, 0.37%, 0.0000570%), (BLK, 0, 0.36%, 0.0000517%), (TXN, 0, 0.36%, 0.0000526%), (UNP, 0, 0.35%, 0.0000656%), (QCOM, 0, 0.35%, 0.0000540%), (DIS, 0, 0.35%, 0.0000402%), (ADBE, 0, 0.35%, 0.0000597%), (MDT, 0, 0.35%, 0.0000738%), (COP, 0, 0.35%, 0.0000731%), (TMO, 0, 0.34%, 0.0000471%), (SCHW, 0, 0.32%, 0.0000455%), (SBUX, 0, 0.32%, 0.0000772%), (C, 0, 0.32%, 0.0000468%), (AMAT, 0, 0.32%, 0.0000542%), (LMT, 0, 0.31%, 0.0000765%), (AMGN, 0, 0.30%, 0.0000463%), (MMM, 0, 0.28%, 0.0000860%), (EMR, 0, 0.27%, 0.0000849%), (GILD, 0, 0.27%, 0.0000465%), (PFE, 0, 0.26%, 0.0000462%), (TJX, 0, 0.25%, 0.0000429%), (CVS, 0, 0.24%, 0.0000732%), (DHR, 0, 0.24%, 0.0000422%), (MO, 0, 0.24%, 0.0000553%), (LOW, 0, 0.23%, 0.0000428%), (CMCSA, 0, 0.20%, 0.0000419%), (ELV, 0, 0.20%, 0.0000769%), (MDLZ, 0, 0.19%, 0.0000568%), (INTC, 0, 0.19%, 0.0000486%), (BMY, 0, 0.17%, 0.0000462%), (UPS, 0, 0.17%, 0.0000637%), (PYPL, 0, 0.15%, 0.0000592%), (CL, 0, 0.14%, 0.0000506%), (FDX, 0, 0.13%, 0.0000610%), (USB, 0, 0.13%, 0.0000456%), (TGT, 0, 0.08%, 0.0000434%), (nan, 0, -0.01%, 0.0000000%), (nan, 0, -0.01%, 0.0000000%)</t>
  </si>
  <si>
    <t>(GOOGLE, 0, 3.67%, 0.0002268%), (AVGO, 0, 3.17%, 0.0003120%), (META, 0, 2.92%, 0.0002403%), (BRK/B, 0, 2.08%, 0.0004417%), (CSCO, 0, 1.84%, 0.0009353%), (LIN, 0, 1.81%, 0.0011203%), (AMT, 0, 1.65%, 0.0022668%), (JPM, 0, 1.64%, 0.0002804%), (TSLA, 0, 1.57%, 0.0002106%), (XOM, 0, 1.48%, 0.0004378%), (V, 0, 1.43%, 0.0003380%), (LLY, 0, 1.23%, 0.0002325%), (CB, 0, 1.16%, 0.0014882%), (MA, 0, 1.13%, 0.0003055%), (WM, 0, 1.12%, 0.0016283%), (GE, 0, 1.08%, 0.0005177%), (ORCL, 0, 1.01%, 0.0001927%), (NEE, 0, 0.89%, 0.0008092%), (NFLX, 0, 0.87%, 0.0002421%), (PLTR, 0, 0.86%, 0.0003081%), (JNJ, 0, 0.84%, 0.0002788%), (WMT, 0, 0.81%, 0.0001402%), (CVX, 0, 0.79%, 0.0003466%), (COST, 0, 0.79%, 0.0002575%), (PG, 0, 0.78%, 0.0003024%), (CAT, 0, 0.78%, 0.0005200%), (RTX, 0, 0.77%, 0.0005009%), (MCD, 0, 0.74%, 0.0004679%), (ABT, 0, 0.74%, 0.0004431%), (UNH, 0, 0.74%, 0.0004513%), (ABBV, 0, 0.72%, 0.0002791%), (HD, 0, 0.71%, 0.0002539%), (AMD, 0, 0.65%, 0.0003154%), (KO, 0, 0.65%, 0.0002971%), (SO, 0, 0.62%, 0.0008161%), (BA, 0, 0.62%, 0.0004963%), (PM, 0, 0.62%, 0.0003292%), (BKNG, 0, 0.61%, 0.0004778%), (BAC, 0, 0.61%, 0.0002468%), (CRM, 0, 0.60%, 0.0003433%), (NKE, 0, 0.60%, 0.0009178%), (DUK, 0, 0.59%, 0.0008148%), (IBM, 0, 0.58%, 0.0003382%), (ISRG, 0, 0.56%, 0.0004463%), (GS, 0, 0.55%, 0.0003477%), (INTU, 0, 0.54%, 0.0003436%), (HON, 0, 0.53%, 0.0005168%), (UBER, 0, 0.53%, 0.0003896%), (ETN, 0, 0.53%, 0.0005122%), (WFC, 0, 0.52%, 0.0002847%), (MET, 0, 0.50%, 0.0013664%), (DE, 0, 0.48%, 0.0004750%), (NOW, 0, 0.47%, 0.0003385%), (PEP, 0, 0.46%, 0.0003307%), (T, 0, 0.44%, 0.0014173%), (SPGI, 0, 0.43%, 0.0003484%), (MS, 0, 0.42%, 0.0002582%), (MRK, 0, 0.42%, 0.0002825%), (AXP, 0, 0.40%, 0.0002684%), (VZ, 0, 0.40%, 0.0003027%), (ACN, 0, 0.39%, 0.0003429%), (BLK, 0, 0.39%, 0.0003126%), (TXN, 0, 0.39%, 0.0003167%), (UNP, 0, 0.38%, 0.0003943%), (QCOM, 0, 0.38%, 0.0003248%), (ADBE, 0, 0.38%, 0.0003595%), (DIS, 0, 0.38%, 0.0002418%), (MDT, 0, 0.38%, 0.0004441%), (COP, 0, 0.37%, 0.0004398%), (TMO, 0, 0.36%, 0.0002840%), (SCHW, 0, 0.35%, 0.0002736%), (SBUX, 0, 0.35%, 0.0004647%), (C, 0, 0.35%, 0.0002814%), (AMAT, 0, 0.34%, 0.0003265%), (LMT, 0, 0.33%, 0.0004598%), (AMGN, 0, 0.33%, 0.0002784%), (MMM, 0, 0.30%, 0.0005173%), (EMR, 0, 0.30%, 0.0005112%), (GILD, 0, 0.29%, 0.0002800%), (PFE, 0, 0.28%, 0.0002780%), (TJX, 0, 0.27%, 0.0002578%), (DHR, 0, 0.26%, 0.0002538%), (CVS, 0, 0.26%, 0.0004404%), (MO, 0, 0.26%, 0.0003328%), (LOW, 0, 0.25%, 0.0002573%), (CMCSA, 0, 0.22%, 0.0002521%), (ELV, 0, 0.21%, 0.0004635%), (MDLZ, 0, 0.20%, 0.0003415%), (INTC, 0, 0.20%, 0.0002925%), (BMY, 0, 0.19%, 0.0002779%), (UPS, 0, 0.18%, 0.0003834%), (PYPL, 0, 0.17%, 0.0003560%), (CL, 0, 0.15%, 0.0003042%), (FDX, 0, 0.14%, 0.0003674%), (USB, 0, 0.14%, 0.0002746%), (TGT, 0, 0.09%, 0.0002612%), (nan, 0, -0.01%, 0.0000000%), (nan, 0, -0.02%, 0.0000000%)</t>
  </si>
  <si>
    <t>(GOOGLE, 0, 3.65%, 0.0001688%), (AVGO, 0, 3.15%, 0.0002323%), (META, 0, 2.91%, 0.0001789%), (BRK/B, 0, 2.07%, 0.0003288%), (CSCO, 0, 1.83%, 0.0006963%), (LIN, 0, 1.80%, 0.0008339%), (AMT, 0, 1.64%, 0.0016877%), (JPM, 0, 1.63%, 0.0002087%), (TSLA, 0, 1.57%, 0.0001568%), (XOM, 0, 1.47%, 0.0003259%), (V, 0, 1.42%, 0.0002516%), (LLY, 0, 1.22%, 0.0001731%), (CB, 0, 1.15%, 0.0011079%), (MA, 0, 1.13%, 0.0002274%), (WM, 0, 1.11%, 0.0012123%), (GE, 0, 1.07%, 0.0003855%), (ORCL, 0, 1.01%, 0.0001435%), (NEE, 0, 0.88%, 0.0006024%), (NFLX, 0, 0.87%, 0.0001803%), (PLTR, 0, 0.86%, 0.0002293%), (JNJ, 0, 0.83%, 0.0002075%), (WMT, 0, 0.81%, 0.0001044%), (CVX, 0, 0.79%, 0.0002581%), (COST, 0, 0.79%, 0.0001918%), (PG, 0, 0.78%, 0.0002251%), (CAT, 0, 0.77%, 0.0003872%), (RTX, 0, 0.77%, 0.0003729%), (MCD, 0, 0.74%, 0.0003484%), (ABT, 0, 0.73%, 0.0003299%), (UNH, 0, 0.73%, 0.0003359%), (ABBV, 0, 0.72%, 0.0002077%), (HD, 0, 0.71%, 0.0001890%), (AMD, 0, 0.65%, 0.0002348%), (KO, 0, 0.65%, 0.0002211%), (SO, 0, 0.62%, 0.0006076%), (BA, 0, 0.62%, 0.0003694%), (PM, 0, 0.61%, 0.0002451%), (BKNG, 0, 0.61%, 0.0003568%), (BAC, 0, 0.61%, 0.0001838%), (CRM, 0, 0.60%, 0.0002556%), (NKE, 0, 0.59%, 0.0006833%), (DUK, 0, 0.59%, 0.0006065%), (IBM, 0, 0.58%, 0.0002517%), (ISRG, 0, 0.55%, 0.0003323%), (GS, 0, 0.55%, 0.0002587%), (INTU, 0, 0.54%, 0.0002557%), (UBER, 0, 0.53%, 0.0002900%), (HON, 0, 0.53%, 0.0003848%), (ETN, 0, 0.52%, 0.0003815%), (WFC, 0, 0.52%, 0.0002119%), (MET, 0, 0.50%, 0.0010173%), (DE, 0, 0.48%, 0.0003536%), (NOW, 0, 0.47%, 0.0002519%), (PEP, 0, 0.46%, 0.0002462%), (T, 0, 0.44%, 0.0010552%), (SPGI, 0, 0.43%, 0.0002592%), (MS, 0, 0.42%, 0.0001922%), (MRK, 0, 0.41%, 0.0002103%), (AXP, 0, 0.40%, 0.0001998%), (VZ, 0, 0.40%, 0.0002254%), (ACN, 0, 0.39%, 0.0002553%), (BLK, 0, 0.39%, 0.0002325%), (TXN, 0, 0.39%, 0.0002357%), (UNP, 0, 0.38%, 0.0002935%), (QCOM, 0, 0.38%, 0.0002418%), (ADBE, 0, 0.38%, 0.0002676%), (DIS, 0, 0.37%, 0.0001800%), (MDT, 0, 0.37%, 0.0003306%), (COP, 0, 0.37%, 0.0003275%), (TMO, 0, 0.36%, 0.0002113%), (SCHW, 0, 0.35%, 0.0002037%), (SBUX, 0, 0.35%, 0.0003459%), (C, 0, 0.34%, 0.0002095%), (AMAT, 0, 0.34%, 0.0002430%), (LMT, 0, 0.33%, 0.0003423%), (AMGN, 0, 0.33%, 0.0002073%), (MMM, 0, 0.30%, 0.0003851%), (EMR, 0, 0.29%, 0.0003806%), (GILD, 0, 0.29%, 0.0002084%), (PFE, 0, 0.28%, 0.0002070%), (TJX, 0, 0.27%, 0.0001919%), (DHR, 0, 0.26%, 0.0001890%), (CVS, 0, 0.26%, 0.0003279%), (MO, 0, 0.25%, 0.0002477%), (LOW, 0, 0.25%, 0.0001915%), (CMCSA, 0, 0.22%, 0.0001877%), (ELV, 0, 0.21%, 0.0003451%), (MDLZ, 0, 0.20%, 0.0002543%), (INTC, 0, 0.20%, 0.0002178%), (BMY, 0, 0.19%, 0.0002069%), (UPS, 0, 0.18%, 0.0002854%), (PYPL, 0, 0.17%, 0.0002649%), (CL, 0, 0.15%, 0.0002264%), (FDX, 0, 0.14%, 0.0002738%), (USB, 0, 0.14%, 0.0002044%), (TGT, 0, 0.09%, 0.0001943%), (nan, 0, -0.01%, 0.0000000%), (nan, 0, -0.02%, 0.0000000%)</t>
  </si>
  <si>
    <t>(GOOGLE, 0, 3.69%, 0.0000396%), (AVGO, 0, 3.18%, 0.0000544%), (META, 0, 2.94%, 0.0000419%), (BRK/B, 0, 2.10%, 0.0000771%), (CSCO, 0, 1.85%, 0.0001632%), (LIN, 0, 1.82%, 0.0001955%), (AMT, 0, 1.66%, 0.0003956%), (JPM, 0, 1.65%, 0.0000489%), (TSLA, 0, 1.58%, 0.0000367%), (XOM, 0, 1.49%, 0.0000764%), (V, 0, 1.43%, 0.0000590%), (LLY, 0, 1.24%, 0.0000406%), (CB, 0, 1.16%, 0.0002597%), (MA, 0, 1.14%, 0.0000533%), (WM, 0, 1.12%, 0.0002842%), (GE, 0, 1.09%, 0.0000903%), (ORCL, 0, 1.02%, 0.0000336%), (NEE, 0, 0.89%, 0.0001412%), (NFLX, 0, 0.88%, 0.0000422%), (PLTR, 0, 0.86%, 0.0000538%), (JNJ, 0, 0.84%, 0.0000486%), (WMT, 0, 0.82%, 0.0000245%), (CVX, 0, 0.80%, 0.0000605%), (COST, 0, 0.80%, 0.0000449%), (PG, 0, 0.79%, 0.0000528%), (CAT, 0, 0.78%, 0.0000907%), (RTX, 0, 0.78%, 0.0000874%), (MCD, 0, 0.74%, 0.0000817%), (ABT, 0, 0.74%, 0.0000773%), (UNH, 0, 0.74%, 0.0000787%), (ABBV, 0, 0.72%, 0.0000487%), (HD, 0, 0.72%, 0.0000443%), (AMD, 0, 0.66%, 0.0000550%), (KO, 0, 0.65%, 0.0000518%), (SO, 0, 0.63%, 0.0001424%), (BA, 0, 0.62%, 0.0000866%), (PM, 0, 0.62%, 0.0000574%), (BKNG, 0, 0.62%, 0.0000838%), (BAC, 0, 0.61%, 0.0000431%), (CRM, 0, 0.61%, 0.0000599%), (NKE, 0, 0.60%, 0.0001602%), (DUK, 0, 0.59%, 0.0001422%), (IBM, 0, 0.59%, 0.0000591%), (ISRG, 0, 0.56%, 0.0000779%), (GS, 0, 0.56%, 0.0000607%), (INTU, 0, 0.55%, 0.0000599%), (HON, 0, 0.53%, 0.0000903%), (UBER, 0, 0.53%, 0.0000680%), (ETN, 0, 0.53%, 0.0000894%), (WFC, 0, 0.52%, 0.0000497%), (MET, 0, 0.50%, 0.0002385%), (DE, 0, 0.48%, 0.0000829%), (NOW, 0, 0.48%, 0.0000591%), (PEP, 0, 0.47%, 0.0000577%), (T, 0, 0.45%, 0.0002473%), (SPGI, 0, 0.44%, 0.0000608%), (MS, 0, 0.43%, 0.0000450%), (MRK, 0, 0.42%, 0.0000493%), (AXP, 0, 0.41%, 0.0000469%), (VZ, 0, 0.40%, 0.0000528%), (ACN, 0, 0.40%, 0.0000599%), (BLK, 0, 0.40%, 0.0000542%), (TXN, 0, 0.39%, 0.0000552%), (UNP, 0, 0.38%, 0.0000688%), (QCOM, 0, 0.38%, 0.0000567%), (ADBE, 0, 0.38%, 0.0000628%), (DIS, 0, 0.38%, 0.0000422%), (MDT, 0, 0.38%, 0.0000775%), (COP, 0, 0.38%, 0.0000768%), (TMO, 0, 0.37%, 0.0000495%), (SCHW, 0, 0.35%, 0.0000478%), (SBUX, 0, 0.35%, 0.0000811%), (C, 0, 0.35%, 0.0000491%), (AMAT, 0, 0.34%, 0.0000570%), (LMT, 0, 0.34%, 0.0000804%), (AMGN, 0, 0.33%, 0.0000487%), (MMM, 0, 0.30%, 0.0000904%), (EMR, 0, 0.30%, 0.0000892%), (GILD, 0, 0.29%, 0.0000489%), (PFE, 0, 0.28%, 0.0000485%), (TJX, 0, 0.27%, 0.0000450%), (CVS, 0, 0.26%, 0.0000769%), (DHR, 0, 0.26%, 0.0000443%), (MO, 0, 0.26%, 0.0000581%), (LOW, 0, 0.25%, 0.0000449%), (CMCSA, 0, 0.22%, 0.0000440%), (ELV, 0, 0.21%, 0.0000810%), (MDLZ, 0, 0.21%, 0.0000596%), (INTC, 0, 0.20%, 0.0000510%), (BMY, 0, 0.19%, 0.0000485%), (UPS, 0, 0.18%, 0.0000668%), (PYPL, 0, 0.17%, 0.0000621%), (CL, 0, 0.15%, 0.0000531%), (FDX, 0, 0.14%, 0.0000640%), (USB, 0, 0.14%, 0.0000479%), (TGT, 0, 0.09%, 0.0000456%), (nan, 0, -0.01%, 0.0000000%), (nan, 0, -0.02%, 0.0000000%)</t>
  </si>
  <si>
    <t>(GOOGLE, 0, 3.53%, 0.0000692%), (AVGO, 0, 3.05%, 0.0000953%), (META, 0, 2.82%, 0.0000734%), (BRK/B, 0, 2.00%, 0.0001349%), (CSCO, 0, 1.77%, 0.0002856%), (LIN, 0, 1.74%, 0.0003420%), (AMT, 0, 1.58%, 0.0006921%), (JPM, 0, 1.58%, 0.0000856%), (TSLA, 0, 1.52%, 0.0000643%), (XOM, 0, 1.42%, 0.0001337%), (V, 0, 1.37%, 0.0001032%), (LLY, 0, 1.19%, 0.0000710%), (CB, 0, 1.11%, 0.0004543%), (MA, 0, 1.09%, 0.0000932%), (WM, 0, 1.07%, 0.0004972%), (GE, 0, 1.04%, 0.0001580%), (ORCL, 0, 0.98%, 0.0000588%), (NEE, 0, 0.85%, 0.0002471%), (NFLX, 0, 0.84%, 0.0000739%), (PLTR, 0, 0.83%, 0.0000941%), (JNJ, 0, 0.81%, 0.0000851%), (WMT, 0, 0.78%, 0.0000428%), (CVX, 0, 0.76%, 0.0001058%), (COST, 0, 0.76%, 0.0000785%), (PG, 0, 0.75%, 0.0000924%), (CAT, 0, 0.75%, 0.0001588%), (RTX, 0, 0.74%, 0.0001530%), (MCD, 0, 0.71%, 0.0001429%), (UNH, 0, 0.71%, 0.0001378%), (ABT, 0, 0.71%, 0.0001353%), (ABBV, 0, 0.69%, 0.0000852%), (HD, 0, 0.68%, 0.0000775%), (AMD, 0, 0.63%, 0.0000963%), (KO, 0, 0.62%, 0.0000907%), (SO, 0, 0.60%, 0.0002492%), (BA, 0, 0.60%, 0.0001516%), (PM, 0, 0.59%, 0.0001005%), (BKNG, 0, 0.59%, 0.0001458%), (BAC, 0, 0.59%, 0.0000754%), (CRM, 0, 0.58%, 0.0001048%), (NKE, 0, 0.57%, 0.0002802%), (DUK, 0, 0.57%, 0.0002488%), (IBM, 0, 0.56%, 0.0001032%), (ISRG, 0, 0.53%, 0.0001362%), (GS, 0, 0.53%, 0.0001060%), (INTU, 0, 0.52%, 0.0001051%), (UBER, 0, 0.51%, 0.0001190%), (HON, 0, 0.51%, 0.0001578%), (ETN, 0, 0.51%, 0.0001564%), (WFC, 0, 0.50%, 0.0000869%), (MET, 0, 0.48%, 0.0004173%), (DE, 0, 0.46%, 0.0001450%), (NOW, 0, 0.45%, 0.0001034%), (PEP, 0, 0.45%, 0.0001010%), (T, 0, 0.43%, 0.0004328%), (SPGI, 0, 0.41%, 0.0001063%), (MS, 0, 0.41%, 0.0000788%), (MRK, 0, 0.40%, 0.0000863%), (AXP, 0, 0.39%, 0.0000820%), (VZ, 0, 0.39%, 0.0000924%), (BLK, 0, 0.38%, 0.0000956%), (ACN, 0, 0.38%, 0.0001047%), (TXN, 0, 0.38%, 0.0000967%), (UNP, 0, 0.37%, 0.0001204%), (QCOM, 0, 0.36%, 0.0000992%), (DIS, 0, 0.36%, 0.0000739%), (ADBE, 0, 0.36%, 0.0001097%), (MDT, 0, 0.36%, 0.0001356%), (COP, 0, 0.36%, 0.0001343%), (TMO, 0, 0.35%, 0.0000868%), (SCHW, 0, 0.34%, 0.0000835%), (SBUX, 0, 0.33%, 0.0001419%), (C, 0, 0.33%, 0.0000859%), (AMAT, 0, 0.33%, 0.0000997%), (LMT, 0, 0.32%, 0.0001405%), (AMGN, 0, 0.32%, 0.0000851%), (MMM, 0, 0.29%, 0.0001579%), (EMR, 0, 0.28%, 0.0001560%), (GILD, 0, 0.28%, 0.0000855%), (PFE, 0, 0.27%, 0.0000849%), (TJX, 0, 0.26%, 0.0000787%), (DHR, 0, 0.25%, 0.0000776%), (CVS, 0, 0.25%, 0.0001345%), (MO, 0, 0.25%, 0.0001016%), (LOW, 0, 0.24%, 0.0000786%), (CMCSA, 0, 0.21%, 0.0000770%), (ELV, 0, 0.20%, 0.0001417%), (MDLZ, 0, 0.20%, 0.0001043%), (INTC, 0, 0.20%, 0.0000893%), (BMY, 0, 0.18%, 0.0000849%), (UPS, 0, 0.17%, 0.0001171%), (PYPL, 0, 0.16%, 0.0001087%), (CL, 0, 0.14%, 0.0000929%), (FDX, 0, 0.13%, 0.0001123%), (USB, 0, 0.13%, 0.0000839%), (TGT, 0, 0.08%, 0.0000797%), (nan, 0, -0.01%, 0.0000000%), (nan, 0, -0.01%, 0.0000000%)</t>
  </si>
  <si>
    <t>(GOOGLE, 0, 3.60%, 0.0000251%), (AVGO, 0, 3.11%, 0.0000345%), (META, 0, 2.87%, 0.0000266%), (BRK/B, 0, 2.04%, 0.0000489%), (CSCO, 0, 1.81%, 0.0001035%), (LIN, 0, 1.77%, 0.0001240%), (AMT, 0, 1.61%, 0.0002508%), (JPM, 0, 1.61%, 0.0000310%), (TSLA, 0, 1.54%, 0.0000233%), (XOM, 0, 1.45%, 0.0000484%), (V, 0, 1.40%, 0.0000374%), (LLY, 0, 1.20%, 0.0000257%), (CB, 0, 1.13%, 0.0001647%), (MA, 0, 1.11%, 0.0000338%), (WM, 0, 1.09%, 0.0001802%), (GE, 0, 1.06%, 0.0000573%), (ORCL, 0, 1.00%, 0.0000213%), (NEE, 0, 0.87%, 0.0000896%), (NFLX, 0, 0.86%, 0.0000269%), (PLTR, 0, 0.84%, 0.0000341%), (JNJ, 0, 0.82%, 0.0000308%), (WMT, 0, 0.80%, 0.0000155%), (CVX, 0, 0.78%, 0.0000383%), (COST, 0, 0.78%, 0.0000284%), (PG, 0, 0.77%, 0.0000335%), (CAT, 0, 0.76%, 0.0000576%), (RTX, 0, 0.76%, 0.0000554%), (MCD, 0, 0.73%, 0.0000518%), (ABT, 0, 0.72%, 0.0000491%), (UNH, 0, 0.72%, 0.0000499%), (ABBV, 0, 0.71%, 0.0000309%), (HD, 0, 0.70%, 0.0000281%), (AMD, 0, 0.64%, 0.0000349%), (KO, 0, 0.64%, 0.0000329%), (SO, 0, 0.61%, 0.0000903%), (BA, 0, 0.61%, 0.0000549%), (PM, 0, 0.61%, 0.0000364%), (BKNG, 0, 0.60%, 0.0000527%), (BAC, 0, 0.60%, 0.0000273%), (CRM, 0, 0.59%, 0.0000380%), (NKE, 0, 0.59%, 0.0001016%), (DUK, 0, 0.58%, 0.0000902%), (IBM, 0, 0.57%, 0.0000374%), (ISRG, 0, 0.55%, 0.0000494%), (GS, 0, 0.54%, 0.0000383%), (INTU, 0, 0.53%, 0.0000380%), (UBER, 0, 0.52%, 0.0000431%), (HON, 0, 0.52%, 0.0000572%), (ETN, 0, 0.52%, 0.0000568%), (WFC, 0, 0.51%, 0.0000315%), (MET, 0, 0.49%, 0.0001513%), (DE, 0, 0.47%, 0.0000525%), (NOW, 0, 0.46%, 0.0000375%), (PEP, 0, 0.45%, 0.0000366%), (T, 0, 0.44%, 0.0001569%), (SPGI, 0, 0.43%, 0.0000386%), (MS, 0, 0.42%, 0.0000286%), (MRK, 0, 0.41%, 0.0000313%), (AXP, 0, 0.40%, 0.0000298%), (VZ, 0, 0.39%, 0.0000335%), (BLK, 0, 0.39%, 0.0000349%), (ACN, 0, 0.39%, 0.0000379%), (TXN, 0, 0.38%, 0.0000350%), (UNP, 0, 0.37%, 0.0000437%), (QCOM, 0, 0.37%, 0.0000360%), (ADBE, 0, 0.37%, 0.0000399%), (DIS, 0, 0.37%, 0.0000268%), (MDT, 0, 0.37%, 0.0000491%), (COP, 0, 0.37%, 0.0000487%), (TMO, 0, 0.36%, 0.0000314%), (SCHW, 0, 0.34%, 0.0000303%), (SBUX, 0, 0.34%, 0.0000515%), (C, 0, 0.34%, 0.0000311%), (AMAT, 0, 0.34%, 0.0000362%), (LMT, 0, 0.33%, 0.0000510%), (AMGN, 0, 0.33%, 0.0000308%), (MMM, 0, 0.29%, 0.0000572%), (EMR, 0, 0.29%, 0.0000565%), (GILD, 0, 0.28%, 0.0000310%), (PFE, 0, 0.27%, 0.0000308%), (TJX, 0, 0.26%, 0.0000285%), (DHR, 0, 0.26%, 0.0000280%), (CVS, 0, 0.26%, 0.0000488%), (MO, 0, 0.25%, 0.0000368%), (LOW, 0, 0.25%, 0.0000285%), (CMCSA, 0, 0.21%, 0.0000279%), (ELV, 0, 0.21%, 0.0000513%), (MDLZ, 0, 0.20%, 0.0000378%), (INTC, 0, 0.20%, 0.0000324%), (BMY, 0, 0.18%, 0.0000308%), (UPS, 0, 0.17%, 0.0000424%), (PYPL, 0, 0.16%, 0.0000394%), (CL, 0, 0.15%, 0.0000336%), (FDX, 0, 0.14%, 0.0000407%), (USB, 0, 0.14%, 0.0000304%), (TGT, 0, 0.09%, 0.0000288%), (nan, 0, -0.01%, 0.0000000%), (nan, 0, -0.01%, 0.0000000%)</t>
  </si>
  <si>
    <t>(GOOGLE, 0, 3.84%, 0.0000602%), (AVGO, 0, 3.31%, 0.0000828%), (META, 0, 3.06%, 0.0000637%), (BRK/B, 0, 2.18%, 0.0001172%), (CSCO, 0, 1.92%, 0.0002481%), (LIN, 0, 1.89%, 0.0002972%), (AMT, 0, 1.72%, 0.0006013%), (JPM, 0, 1.71%, 0.0000744%), (TSLA, 0, 1.65%, 0.0000559%), (XOM, 0, 1.55%, 0.0001161%), (V, 0, 1.49%, 0.0000897%), (LLY, 0, 1.29%, 0.0000617%), (CB, 0, 1.21%, 0.0003949%), (MA, 0, 1.18%, 0.0000810%), (WM, 0, 1.17%, 0.0004319%), (GE, 0, 1.13%, 0.0001374%), (ORCL, 0, 1.06%, 0.0000511%), (NEE, 0, 0.93%, 0.0002146%), (NFLX, 0, 0.91%, 0.0000642%), (PLTR, 0, 0.90%, 0.0000817%), (JNJ, 0, 0.88%, 0.0000740%), (WMT, 0, 0.85%, 0.0000372%), (CVX, 0, 0.83%, 0.0000920%), (COST, 0, 0.83%, 0.0000684%), (PG, 0, 0.82%, 0.0000802%), (CAT, 0, 0.81%, 0.0001379%), (RTX, 0, 0.81%, 0.0001328%), (MCD, 0, 0.77%, 0.0001242%), (ABT, 0, 0.77%, 0.0001175%), (UNH, 0, 0.77%, 0.0001197%), (ABBV, 0, 0.75%, 0.0000740%), (HD, 0, 0.74%, 0.0000673%), (AMD, 0, 0.68%, 0.0000837%), (KO, 0, 0.68%, 0.0000788%), (SO, 0, 0.65%, 0.0002165%), (BA, 0, 0.65%, 0.0001317%), (PM, 0, 0.64%, 0.0000873%), (BKNG, 0, 0.64%, 0.0001272%), (BAC, 0, 0.64%, 0.0000655%), (CRM, 0, 0.63%, 0.0000911%), (NKE, 0, 0.62%, 0.0002435%), (DUK, 0, 0.61%, 0.0002161%), (IBM, 0, 0.61%, 0.0000897%), (ISRG, 0, 0.58%, 0.0001185%), (GS, 0, 0.57%, 0.0000924%), (INTU, 0, 0.57%, 0.0000911%), (UBER, 0, 0.55%, 0.0001033%), (HON, 0, 0.55%, 0.0001370%), (ETN, 0, 0.55%, 0.0001359%), (WFC, 0, 0.54%, 0.0000755%), (MET, 0, 0.52%, 0.0003624%), (DE, 0, 0.50%, 0.0001261%), (NOW, 0, 0.49%, 0.0000899%), (PEP, 0, 0.48%, 0.0000877%), (T, 0, 0.46%, 0.0003759%), (SPGI, 0, 0.45%, 0.0000925%), (MS, 0, 0.44%, 0.0000685%), (MRK, 0, 0.43%, 0.0000749%), (AXP, 0, 0.42%, 0.0000711%), (VZ, 0, 0.42%, 0.0000803%), (ACN, 0, 0.41%, 0.0000910%), (BLK, 0, 0.41%, 0.0000827%), (TXN, 0, 0.41%, 0.0000840%), (UNP, 0, 0.40%, 0.0001045%), (QCOM, 0, 0.40%, 0.0000862%), (ADBE, 0, 0.39%, 0.0000953%), (DIS, 0, 0.39%, 0.0000641%), (MDT, 0, 0.39%, 0.0001178%), (COP, 0, 0.39%, 0.0001167%), (TMO, 0, 0.38%, 0.0000753%), (SCHW, 0, 0.37%, 0.0000726%), (SBUX, 0, 0.36%, 0.0001233%), (C, 0, 0.36%, 0.0000746%), (AMAT, 0, 0.36%, 0.0000866%), (LMT, 0, 0.35%, 0.0001219%), (AMGN, 0, 0.34%, 0.0000739%), (MMM, 0, 0.31%, 0.0001372%), (EMR, 0, 0.31%, 0.0001356%), (GILD, 0, 0.30%, 0.0000742%), (PFE, 0, 0.29%, 0.0000737%), (TJX, 0, 0.28%, 0.0000684%), (DHR, 0, 0.27%, 0.0000674%), (CVS, 0, 0.27%, 0.0001168%), (MO, 0, 0.27%, 0.0000883%), (LOW, 0, 0.26%, 0.0000683%), (CMCSA, 0, 0.23%, 0.0000669%), (ELV, 0, 0.22%, 0.0001228%), (MDLZ, 0, 0.21%, 0.0000906%), (INTC, 0, 0.21%, 0.0000776%), (BMY, 0, 0.20%, 0.0000737%), (UPS, 0, 0.19%, 0.0001018%), (PYPL, 0, 0.17%, 0.0000944%), (CL, 0, 0.16%, 0.0000806%), (FDX, 0, 0.15%, 0.0000975%), (USB, 0, 0.15%, 0.0000728%), (TGT, 0, 0.09%, 0.0000693%), (nan, 0, -0.01%, 0.0000000%), (nan, 0, -0.02%, 0.0000000%)</t>
  </si>
  <si>
    <t>EBAY, META, MSFT, BK, GOOGLE, JPM, BLK, RJF, BKNG, MLI, EA, PHM</t>
  </si>
  <si>
    <t>(AMAT, 0, 1.83%, 0.0007048%), (EWBC, 0, 1.82%, 0.0073508%), (HIG, 0, 1.81%, 0.0028164%), (V, 0, 1.81%, 0.0001725%), (TRV, 0, 1.80%, 0.0016717%), (AXP, 0, 1.79%, 0.0004799%), (NVDA, 0, 1.77%, 0.0000225%), (ADP, 0, 1.71%, 0.0007741%), (SNA, 0, 1.71%, 0.0056184%), (UNM, 0, 1.68%, 0.0077410%), (ROST, 0, 1.68%, 0.0020075%), (KLAC, 0, 1.67%, 0.0007892%), (PCAR, 0, 1.64%, 0.0017646%), (CB, 0, 1.62%, 0.0008403%), (SYF, 0, 1.55%, 0.0033981%), (CRM, 0, 1.53%, 0.0003527%), (CTSH, 0, 1.52%, 0.0024542%), (WSM, 0, 1.52%, 0.0034026%), (LEN, 0, 1.51%, 0.0030916%), (PAYC, 0, 1.47%, 0.0061942%), (BKR, 0, 1.38%, 0.0017666%), (DHI, 0, 1.31%, 0.0015611%), (ACN, 0, 1.28%, 0.0004484%), (QCOM, 0, 1.27%, 0.0004382%), (AFL, 0, 1.17%, 0.0012105%), (ELV, 0, 1.15%, 0.0010102%), (AAPL, 0, 1.13%, 0.0000207%), (CSCO, 0, 1.09%, 0.0002218%), (MPWR, 0, 1.08%, 0.0015618%), (ODFL, 0, 1.07%, 0.0019109%), (LRCX, 0, 1.07%, 0.0004807%), (GE, 0, 1.04%, 0.0002006%), (STT, 0, 0.97%, 0.0017400%), (CF, 0, 0.94%, 0.0034296%), (PNC, 0, 0.89%, 0.0006610%), (MTB, 0, 0.88%, 0.0016826%), (AMP, 0, 0.87%, 0.0010193%), (COST, 0, 0.84%, 0.0001097%), (ABT, 0, 0.83%, 0.0002012%), (XOM, 0, 0.80%, 0.0000954%), (EOG, 0, 0.78%, 0.0006705%), (EG, 0, 0.74%, 0.0029310%), (CSL, 0, 0.72%, 0.0026085%), (GEV, 0, 0.59%, 0.0001828%), (NTRS, 0, 0.52%, 0.0011929%), (CRBG, 0, 0.49%, 0.0014389%), (MA, 0, 0.49%, 0.0000528%), (ACM, 0, 0.47%, 0.0016120%), (JNJ, 0, 0.47%, 0.0000627%), (MTG, 0, 0.43%, 0.0039622%), (LNC, 0, 0.43%, 0.0032484%), (CINF, 0, 0.43%, 0.0010056%), (DOV, 0, 0.42%, 0.0009617%), (MCK, 0, 0.42%, 0.0002621%), (ALL, 0, 0.42%, 0.0004239%), (SLM, 0, 0.41%, 0.0035678%), (WTFC, 0, 0.41%, 0.0027139%), (EQH, 0, 0.41%, 0.0014603%), (JXN, 0, 0.40%, 0.0036568%), (ADM, 0, 0.39%, 0.0007820%), (NUE, 0, 0.38%, 0.0006570%), (NKE, 0, 0.37%, 0.0002312%), (PGR, 0, 0.37%, 0.0001404%), (FANG, 0, 0.31%, 0.0004055%)</t>
  </si>
  <si>
    <t>(GOOGLE, 0, 3.48%, 0.0000637%), (AVGO, 0, 3.01%, 0.0000876%), (META, 0, 2.78%, 0.0000675%), (BRK/B, 0, 1.98%, 0.0001241%), (CSCO, 0, 1.75%, 0.0002627%), (LIN, 0, 1.71%, 0.0003148%), (AMT, 0, 1.56%, 0.0006368%), (JPM, 0, 1.56%, 0.0000788%), (TSLA, 0, 1.50%, 0.0000592%), (XOM, 0, 1.40%, 0.0001230%), (V, 0, 1.35%, 0.0000950%), (LLY, 0, 1.17%, 0.0000653%), (CB, 0, 1.10%, 0.0004180%), (MA, 0, 1.08%, 0.0000858%), (WM, 0, 1.06%, 0.0004575%), (GE, 0, 1.02%, 0.0001454%), (ORCL, 0, 0.96%, 0.0000541%), (NEE, 0, 0.84%, 0.0002273%), (NFLX, 0, 0.82%, 0.0000680%), (PLTR, 0, 0.82%, 0.0000865%), (JNJ, 0, 0.80%, 0.0000783%), (WMT, 0, 0.77%, 0.0000394%), (CVX, 0, 0.75%, 0.0000974%), (COST, 0, 0.75%, 0.0000724%), (PG, 0, 0.74%, 0.0000849%), (CAT, 0, 0.74%, 0.0001460%), (RTX, 0, 0.73%, 0.0001407%), (MCD, 0, 0.70%, 0.0001314%), (ABT, 0, 0.70%, 0.0001244%), (UNH, 0, 0.70%, 0.0001267%), (ABBV, 0, 0.68%, 0.0000784%), (HD, 0, 0.68%, 0.0000713%), (AMD, 0, 0.62%, 0.0000886%), (KO, 0, 0.62%, 0.0000835%), (SO, 0, 0.59%, 0.0002293%), (BA, 0, 0.59%, 0.0001395%), (PM, 0, 0.59%, 0.0000925%), (BKNG, 0, 0.58%, 0.0001334%), (BAC, 0, 0.58%, 0.0000693%), (CRM, 0, 0.57%, 0.0000964%), (NKE, 0, 0.57%, 0.0002579%), (DUK, 0, 0.56%, 0.0002288%), (IBM, 0, 0.55%, 0.0000950%), (ISRG, 0, 0.53%, 0.0001252%), (GS, 0, 0.52%, 0.0000977%), (INTU, 0, 0.51%, 0.0000965%), (UBER, 0, 0.50%, 0.0001094%), (HON, 0, 0.50%, 0.0001452%), (ETN, 0, 0.50%, 0.0001438%), (WFC, 0, 0.49%, 0.0000800%), (MET, 0, 0.47%, 0.0003839%), (DE, 0, 0.45%, 0.0001335%), (NOW, 0, 0.45%, 0.0000952%), (PEP, 0, 0.44%, 0.0000929%), (T, 0, 0.42%, 0.0003982%), (SPGI, 0, 0.41%, 0.0000978%), (MS, 0, 0.40%, 0.0000725%), (MRK, 0, 0.39%, 0.0000794%), (AXP, 0, 0.38%, 0.0000753%), (VZ, 0, 0.38%, 0.0000850%), (BLK, 0, 0.37%, 0.0000878%), (ACN, 0, 0.37%, 0.0000963%), (TXN, 0, 0.37%, 0.0000889%), (UNP, 0, 0.36%, 0.0001108%), (QCOM, 0, 0.36%, 0.0000913%), (DIS, 0, 0.36%, 0.0000679%), (ADBE, 0, 0.36%, 0.0001011%), (MDT, 0, 0.36%, 0.0001247%), (COP, 0, 0.36%, 0.0001235%), (TMO, 0, 0.35%, 0.0000798%), (SCHW, 0, 0.33%, 0.0000769%), (SBUX, 0, 0.33%, 0.0001306%), (C, 0, 0.33%, 0.0000790%), (AMAT, 0, 0.33%, 0.0000918%), (LMT, 0, 0.32%, 0.0001292%), (AMGN, 0, 0.31%, 0.0000782%), (MMM, 0, 0.29%, 0.0001453%), (EMR, 0, 0.28%, 0.0001436%), (GILD, 0, 0.27%, 0.0000787%), (PFE, 0, 0.27%, 0.0000781%), (TJX, 0, 0.26%, 0.0000724%), (DHR, 0, 0.25%, 0.0000714%), (CVS, 0, 0.25%, 0.0001237%), (MO, 0, 0.24%, 0.0000935%), (LOW, 0, 0.24%, 0.0000722%), (CMCSA, 0, 0.21%, 0.0000708%), (ELV, 0, 0.20%, 0.0001300%), (MDLZ, 0, 0.19%, 0.0000959%), (INTC, 0, 0.19%, 0.0000822%), (BMY, 0, 0.18%, 0.0000781%), (UPS, 0, 0.17%, 0.0001077%), (PYPL, 0, 0.16%, 0.0001000%), (CL, 0, 0.14%, 0.0000855%), (FDX, 0, 0.13%, 0.0001034%), (USB, 0, 0.13%, 0.0000771%), (TGT, 0, 0.08%, 0.0000733%), (nan, 0, -0.01%, 0.0000000%), (nan, 0, -0.01%, 0.0000000%)</t>
  </si>
  <si>
    <t>(GOOGLE, 0, 3.66%, 0.0001303%), (AVGO, 0, 3.16%, 0.0001793%), (META, 0, 2.92%, 0.0001381%), (BRK/B, 0, 2.07%, 0.0002537%), (CSCO, 0, 1.84%, 0.0005373%), (LIN, 0, 1.80%, 0.0006435%), (AMT, 0, 1.64%, 0.0013024%), (JPM, 0, 1.63%, 0.0001611%), (TSLA, 0, 1.57%, 0.0001210%), (XOM, 0, 1.47%, 0.0002515%), (V, 0, 1.42%, 0.0001942%), (LLY, 0, 1.23%, 0.0001336%), (CB, 0, 1.15%, 0.0008550%), (MA, 0, 1.13%, 0.0001755%), (WM, 0, 1.11%, 0.0009355%), (GE, 0, 1.08%, 0.0002974%), (ORCL, 0, 1.01%, 0.0001107%), (NEE, 0, 0.88%, 0.0004649%), (NFLX, 0, 0.87%, 0.0001392%), (PLTR, 0, 0.86%, 0.0001770%), (JNJ, 0, 0.84%, 0.0001602%), (WMT, 0, 0.81%, 0.0000806%), (CVX, 0, 0.79%, 0.0001992%), (COST, 0, 0.79%, 0.0001480%), (PG, 0, 0.78%, 0.0001737%), (CAT, 0, 0.77%, 0.0002988%), (RTX, 0, 0.77%, 0.0002877%), (MCD, 0, 0.74%, 0.0002688%), (ABT, 0, 0.74%, 0.0002545%), (UNH, 0, 0.73%, 0.0002593%), (ABBV, 0, 0.72%, 0.0001603%), (HD, 0, 0.71%, 0.0001459%), (AMD, 0, 0.65%, 0.0001812%), (KO, 0, 0.65%, 0.0001707%), (SO, 0, 0.62%, 0.0004689%), (BA, 0, 0.62%, 0.0002851%), (BKNG, 0, 0.62%, 0.0002761%), (PM, 0, 0.61%, 0.0001891%), (BAC, 0, 0.61%, 0.0001418%), (CRM, 0, 0.60%, 0.0001972%), (NKE, 0, 0.59%, 0.0005274%), (DUK, 0, 0.59%, 0.0004681%), (IBM, 0, 0.58%, 0.0001943%), (ISRG, 0, 0.55%, 0.0002564%), (GS, 0, 0.55%, 0.0001997%), (INTU, 0, 0.54%, 0.0001973%), (UBER, 0, 0.53%, 0.0002238%), (HON, 0, 0.53%, 0.0002969%), (ETN, 0, 0.52%, 0.0002944%), (WFC, 0, 0.52%, 0.0001635%), (MET, 0, 0.50%, 0.0007851%), (DE, 0, 0.48%, 0.0002730%), (NOW, 0, 0.47%, 0.0001947%), (PEP, 0, 0.46%, 0.0001900%), (T, 0, 0.44%, 0.0008143%), (SPGI, 0, 0.43%, 0.0002001%), (MS, 0, 0.42%, 0.0001483%), (MRK, 0, 0.41%, 0.0001623%), (AXP, 0, 0.40%, 0.0001542%), (VZ, 0, 0.40%, 0.0001739%), (ACN, 0, 0.39%, 0.0001970%), (BLK, 0, 0.39%, 0.0001795%), (TXN, 0, 0.39%, 0.0001819%), (UNP, 0, 0.38%, 0.0002266%), (QCOM, 0, 0.38%, 0.0001867%), (DIS, 0, 0.38%, 0.0001389%), (ADBE, 0, 0.38%, 0.0002064%), (MDT, 0, 0.37%, 0.0002552%), (COP, 0, 0.37%, 0.0002527%), (TMO, 0, 0.36%, 0.0001632%), (SCHW, 0, 0.35%, 0.0001572%), (SBUX, 0, 0.35%, 0.0002669%), (C, 0, 0.34%, 0.0001617%), (AMAT, 0, 0.34%, 0.0001875%), (LMT, 0, 0.33%, 0.0002645%), (AMGN, 0, 0.33%, 0.0001599%), (MMM, 0, 0.30%, 0.0002972%), (EMR, 0, 0.29%, 0.0002937%), (GILD, 0, 0.29%, 0.0001608%), (PFE, 0, 0.28%, 0.0001597%), (TJX, 0, 0.27%, 0.0001481%), (DHR, 0, 0.26%, 0.0001458%), (CVS, 0, 0.26%, 0.0002530%), (MO, 0, 0.25%, 0.0001912%), (LOW, 0, 0.25%, 0.0001478%), (CMCSA, 0, 0.22%, 0.0001449%), (ELV, 0, 0.21%, 0.0002664%), (MDLZ, 0, 0.20%, 0.0001962%), (INTC, 0, 0.20%, 0.0001681%), (BMY, 0, 0.19%, 0.0001597%), (UPS, 0, 0.18%, 0.0002202%), (PYPL, 0, 0.17%, 0.0002045%), (CL, 0, 0.15%, 0.0001747%), (FDX, 0, 0.14%, 0.0002111%), (USB, 0, 0.14%, 0.0001578%), (TGT, 0, 0.09%, 0.0001501%), (nan, 0, -0.01%, 0.0000000%), (nan, 0, -0.01%, 0.0000000%)</t>
  </si>
  <si>
    <t>(AVGO, 0, 2.99%, 0.0003590%), (META, 0, 2.76%, 0.0002765%), (BRK/B, 0, 1.97%, 0.0005082%), (CSCO, 0, 1.74%, 0.0010760%), (LIN, 0, 1.71%, 0.0012888%), (AMT, 0, 1.56%, 0.0026082%), (JPM, 0, 1.55%, 0.0003226%), (TSLA, 0, 1.49%, 0.0002423%), (XOM, 0, 1.40%, 0.0005037%), (V, 0, 1.35%, 0.0003888%), (LLY, 0, 1.16%, 0.0002675%), (CB, 0, 1.09%, 0.0017121%), (MA, 0, 1.07%, 0.0003515%), (WM, 0, 1.05%, 0.0018736%), (GE, 0, 1.02%, 0.0005957%), (ORCL, 0, 0.96%, 0.0002217%), (NEE, 0, 0.84%, 0.0009310%), (NFLX, 0, 0.82%, 0.0002787%), (PLTR, 0, 0.81%, 0.0003544%), (JNJ, 0, 0.79%, 0.0003207%), (WMT, 0, 0.77%, 0.0001613%), (CVX, 0, 0.75%, 0.0003988%), (COST, 0, 0.75%, 0.0002963%), (PG, 0, 0.74%, 0.0003479%), (CAT, 0, 0.73%, 0.0005983%), (RTX, 0, 0.73%, 0.0005763%), (MCD, 0, 0.70%, 0.0005384%), (ABT, 0, 0.70%, 0.0005098%), (UNH, 0, 0.70%, 0.0005192%), (ABBV, 0, 0.68%, 0.0003210%), (HD, 0, 0.67%, 0.0002920%), (AMD, 0, 0.62%, 0.0003629%), (KO, 0, 0.61%, 0.0003418%), (SO, 0, 0.59%, 0.0009390%), (BA, 0, 0.59%, 0.0005710%), (PM, 0, 0.58%, 0.0003788%), (BKNG, 0, 0.58%, 0.0005491%), (BAC, 0, 0.58%, 0.0002840%), (CRM, 0, 0.57%, 0.0003950%), (NKE, 0, 0.56%, 0.0010560%), (DUK, 0, 0.56%, 0.0009373%), (IBM, 0, 0.55%, 0.0003890%), (ISRG, 0, 0.53%, 0.0005134%), (GS, 0, 0.52%, 0.0004001%), (INTU, 0, 0.51%, 0.0003953%), (HON, 0, 0.50%, 0.0005946%), (UBER, 0, 0.50%, 0.0004482%), (ETN, 0, 0.50%, 0.0005893%), (WFC, 0, 0.49%, 0.0003275%), (MET, 0, 0.47%, 0.0015720%), (DE, 0, 0.45%, 0.0005464%), (NOW, 0, 0.44%, 0.0003894%), (PEP, 0, 0.44%, 0.0003804%), (T, 0, 0.42%, 0.0016307%), (SPGI, 0, 0.41%, 0.0004006%), (MS, 0, 0.40%, 0.0002970%), (MRK, 0, 0.39%, 0.0003250%), (AXP, 0, 0.38%, 0.0003088%), (VZ, 0, 0.38%, 0.0003483%), (ACN, 0, 0.37%, 0.0003945%), (BLK, 0, 0.37%, 0.0003590%), (TXN, 0, 0.37%, 0.0003644%), (UNP, 0, 0.36%, 0.0004537%), (QCOM, 0, 0.36%, 0.0003737%), (ADBE, 0, 0.36%, 0.0004135%), (DIS, 0, 0.36%, 0.0002782%), (MDT, 0, 0.36%, 0.0005110%), (COP, 0, 0.35%, 0.0005060%), (TMO, 0, 0.35%, 0.0003268%), (SCHW, 0, 0.33%, 0.0003148%), (SBUX, 0, 0.33%, 0.0005346%), (C, 0, 0.33%, 0.0003237%), (AMAT, 0, 0.32%, 0.0003756%), (LMT, 0, 0.32%, 0.0005294%), (AMGN, 0, 0.31%, 0.0003204%), (MMM, 0, 0.28%, 0.0005950%), (EMR, 0, 0.28%, 0.0005881%), (GILD, 0, 0.27%, 0.0003221%), (PFE, 0, 0.26%, 0.0003199%), (TJX, 0, 0.26%, 0.0002966%), (DHR, 0, 0.25%, 0.0002921%), (CVS, 0, 0.25%, 0.0005066%), (MO, 0, 0.24%, 0.0003828%), (LOW, 0, 0.24%, 0.0002960%), (CMCSA, 0, 0.21%, 0.0002901%), (ELV, 0, 0.20%, 0.0005332%), (MDLZ, 0, 0.19%, 0.0003929%), (INTC, 0, 0.19%, 0.0003365%), (BMY, 0, 0.18%, 0.0003197%), (UPS, 0, 0.17%, 0.0004411%), (PYPL, 0, 0.16%, 0.0004096%), (CL, 0, 0.14%, 0.0003500%), (FDX, 0, 0.13%, 0.0004230%), (USB, 0, 0.13%, 0.0003159%), (TGT, 0, 0.08%, 0.0003004%), (nan, 0, -0.01%, 0.0000000%), (nan, 0, -0.02%, 0.0000000%)</t>
  </si>
  <si>
    <t>(AVGO, 0, 3.00%, 0.0000520%), (META, 0, 2.73%, 0.0000400%), (BRK/B, 0, 1.94%, 0.0000736%), (CSCO, 0, 1.73%, 0.0001558%), (LIN, 0, 1.68%, 0.0001867%), (JPM, 0, 1.53%, 0.0000467%), (TSLA, 0, 1.51%, 0.0000351%), (AMT, 0, 1.51%, 0.0003777%), (XOM, 0, 1.35%, 0.0000729%), (V, 0, 1.33%, 0.0000563%), (LLY, 0, 1.11%, 0.0000387%), (CB, 0, 1.07%, 0.0002480%), (MA, 0, 1.05%, 0.0000509%), (WM, 0, 1.03%, 0.0002713%), (GE, 0, 1.01%, 0.0000863%), (ORCL, 0, 0.95%, 0.0000321%), (PLTR, 0, 0.84%, 0.0000513%), (NFLX, 0, 0.82%, 0.0000404%), (NEE, 0, 0.81%, 0.0001348%), (WMT, 0, 0.78%, 0.0000234%), (JNJ, 0, 0.78%, 0.0000464%), (COST, 0, 0.75%, 0.0000429%), (CVX, 0, 0.74%, 0.0000578%), (PG, 0, 0.73%, 0.0000504%), (RTX, 0, 0.71%, 0.0000835%), (CAT, 0, 0.71%, 0.0000867%), (MCD, 0, 0.70%, 0.0000779%), (ABT, 0, 0.68%, 0.0000738%), (UNH, 0, 0.68%, 0.0000752%), (HD, 0, 0.66%, 0.0000423%), (ABBV, 0, 0.66%, 0.0000465%), (KO, 0, 0.60%, 0.0000495%), (BKNG, 0, 0.59%, 0.0000807%), (PM, 0, 0.58%, 0.0000549%), (SO, 0, 0.58%, 0.0001360%), (BA, 0, 0.58%, 0.0000828%), (AMD, 0, 0.57%, 0.0000526%), (BAC, 0, 0.56%, 0.0000411%), (NKE, 0, 0.56%, 0.0001529%), (CRM, 0, 0.55%, 0.0000571%), (IBM, 0, 0.54%, 0.0000564%), (DUK, 0, 0.54%, 0.0001358%), (GS, 0, 0.52%, 0.0000580%), (ISRG, 0, 0.51%, 0.0000745%), (INTU, 0, 0.51%, 0.0000574%), (UBER, 0, 0.49%, 0.0000649%), (HON, 0, 0.49%, 0.0000862%), (ETN, 0, 0.49%, 0.0000853%), (WFC, 0, 0.48%, 0.0000474%), (MET, 0, 0.47%, 0.0002277%), (DE, 0, 0.45%, 0.0000792%), (NOW, 0, 0.44%, 0.0000562%), (PEP, 0, 0.43%, 0.0000551%), (T, 0, 0.41%, 0.0002362%), (SPGI, 0, 0.40%, 0.0000581%), (MS, 0, 0.40%, 0.0000430%), (MRK, 0, 0.38%, 0.0000471%), (BLK, 0, 0.37%, 0.0000523%), (AXP, 0, 0.37%, 0.0000447%), (VZ, 0, 0.37%, 0.0000504%), (TXN, 0, 0.36%, 0.0000528%), (ACN, 0, 0.36%, 0.0000572%), (UNP, 0, 0.36%, 0.0000657%), (ADBE, 0, 0.35%, 0.0000600%), (QCOM, 0, 0.35%, 0.0000541%), (COP, 0, 0.35%, 0.0000733%), (MDT, 0, 0.35%, 0.0000740%), (DIS, 0, 0.34%, 0.0000403%), (TMO, 0, 0.33%, 0.0000474%), (SCHW, 0, 0.33%, 0.0000456%), (C, 0, 0.32%, 0.0000469%), (SBUX, 0, 0.32%, 0.0000774%), (AMAT, 0, 0.31%, 0.0000544%), (LMT, 0, 0.31%, 0.0000765%), (AMGN, 0, 0.29%, 0.0000464%), (MMM, 0, 0.28%, 0.0000862%), (EMR, 0, 0.26%, 0.0000851%), (GILD, 0, 0.26%, 0.0000466%), (PFE, 0, 0.26%, 0.0000463%), (TJX, 0, 0.26%, 0.0000429%), (CVS, 0, 0.24%, 0.0000733%), (MO, 0, 0.24%, 0.0000555%), (DHR, 0, 0.24%, 0.0000423%), (LOW, 0, 0.23%, 0.0000428%), (CMCSA, 0, 0.20%, 0.0000420%), (ELV, 0, 0.19%, 0.0000774%), (INTC, 0, 0.19%, 0.0000487%), (MDLZ, 0, 0.19%, 0.0000569%), (BMY, 0, 0.17%, 0.0000463%), (UPS, 0, 0.17%, 0.0000639%), (PYPL, 0, 0.16%, 0.0000593%), (CL, 0, 0.14%, 0.0000506%), (FDX, 0, 0.13%, 0.0000615%), (USB, 0, 0.13%, 0.0000458%), (TGT, 0, 0.09%, 0.0000436%), (nan, 0, -0.01%, 0.0000000%), (nan, 0, -0.01%, 0.0000000%)</t>
  </si>
  <si>
    <t>(GOOGLE, 0, 3.67%, 0.0002275%), (AVGO, 0, 3.23%, 0.0003129%), (META, 0, 2.94%, 0.0002411%), (BRK/B, 0, 2.10%, 0.0004431%), (CSCO, 0, 1.87%, 0.0009381%), (LIN, 0, 1.81%, 0.0011237%), (JPM, 0, 1.65%, 0.0002813%), (AMT, 0, 1.63%, 0.0022736%), (TSLA, 0, 1.62%, 0.0002112%), (XOM, 0, 1.46%, 0.0004391%), (V, 0, 1.43%, 0.0003390%), (LLY, 0, 1.20%, 0.0002332%), (CB, 0, 1.16%, 0.0014926%), (MA, 0, 1.13%, 0.0003064%), (WM, 0, 1.12%, 0.0016333%), (GE, 0, 1.09%, 0.0005192%), (ORCL, 0, 1.03%, 0.0001933%), (PLTR, 0, 0.90%, 0.0003090%), (NFLX, 0, 0.88%, 0.0002428%), (NEE, 0, 0.87%, 0.0008116%), (WMT, 0, 0.84%, 0.0001407%), (JNJ, 0, 0.84%, 0.0002796%), (COST, 0, 0.81%, 0.0002584%), (CVX, 0, 0.80%, 0.0003477%), (PG, 0, 0.79%, 0.0003033%), (RTX, 0, 0.77%, 0.0005024%), (CAT, 0, 0.76%, 0.0005215%), (MCD, 0, 0.75%, 0.0004693%), (ABT, 0, 0.74%, 0.0004444%), (UNH, 0, 0.73%, 0.0004526%), (HD, 0, 0.71%, 0.0002546%), (ABBV, 0, 0.71%, 0.0002799%), (KO, 0, 0.65%, 0.0002979%), (BKNG, 0, 0.63%, 0.0004809%), (PM, 0, 0.62%, 0.0003302%), (SO, 0, 0.62%, 0.0008186%), (BA, 0, 0.62%, 0.0004977%), (AMD, 0, 0.61%, 0.0003164%), (BAC, 0, 0.61%, 0.0002476%), (NKE, 0, 0.60%, 0.0009206%), (CRM, 0, 0.60%, 0.0003443%), (IBM, 0, 0.58%, 0.0003391%), (DUK, 0, 0.58%, 0.0008172%), (GS, 0, 0.55%, 0.0003487%), (ISRG, 0, 0.55%, 0.0004477%), (INTU, 0, 0.55%, 0.0003447%), (UBER, 0, 0.53%, 0.0003908%), (HON, 0, 0.53%, 0.0005184%), (ETN, 0, 0.52%, 0.0005137%), (WFC, 0, 0.52%, 0.0002855%), (MET, 0, 0.51%, 0.0013705%), (DE, 0, 0.48%, 0.0004765%), (NOW, 0, 0.47%, 0.0003394%), (PEP, 0, 0.47%, 0.0003317%), (T, 0, 0.44%, 0.0014216%), (SPGI, 0, 0.43%, 0.0003494%), (MS, 0, 0.43%, 0.0002589%), (MRK, 0, 0.41%, 0.0002834%), (AXP, 0, 0.40%, 0.0002691%), (VZ, 0, 0.40%, 0.0003037%), (BLK, 0, 0.40%, 0.0003132%), (TXN, 0, 0.39%, 0.0003176%), (ACN, 0, 0.39%, 0.0003439%), (UNP, 0, 0.38%, 0.0003955%), (ADBE, 0, 0.38%, 0.0003605%), (QCOM, 0, 0.38%, 0.0003258%), (COP, 0, 0.37%, 0.0004412%), (MDT, 0, 0.37%, 0.0004455%), (DIS, 0, 0.37%, 0.0002426%), (SCHW, 0, 0.35%, 0.0002744%), (TMO, 0, 0.35%, 0.0002848%), (C, 0, 0.35%, 0.0002822%), (SBUX, 0, 0.34%, 0.0004661%), (AMAT, 0, 0.34%, 0.0003275%), (LMT, 0, 0.34%, 0.0004615%), (AMGN, 0, 0.31%, 0.0002794%), (MMM, 0, 0.30%, 0.0005188%), (EMR, 0, 0.28%, 0.0005128%), (GILD, 0, 0.28%, 0.0002808%), (PFE, 0, 0.28%, 0.0002789%), (TJX, 0, 0.28%, 0.0002586%), (CVS, 0, 0.26%, 0.0004417%), (MO, 0, 0.26%, 0.0003337%), (DHR, 0, 0.26%, 0.0002547%), (LOW, 0, 0.25%, 0.0002580%), (CMCSA, 0, 0.22%, 0.0002529%), (ELV, 0, 0.21%, 0.0004648%), (INTC, 0, 0.20%, 0.0002934%), (MDLZ, 0, 0.20%, 0.0003425%), (BMY, 0, 0.19%, 0.0002788%), (UPS, 0, 0.18%, 0.0003845%), (PYPL, 0, 0.17%, 0.0003571%), (CL, 0, 0.15%, 0.0003051%), (FDX, 0, 0.14%, 0.0003687%), (USB, 0, 0.14%, 0.0002754%), (TGT, 0, 0.09%, 0.0002619%), (nan, 0, -0.02%, 0.0000000%), (nan, 0, -0.02%, 0.0000000%)</t>
  </si>
  <si>
    <t>(GOOGLE, 0, 3.66%, 0.0001693%), (AVGO, 0, 3.22%, 0.0002330%), (META, 0, 2.93%, 0.0001794%), (BRK/B, 0, 2.09%, 0.0003298%), (CSCO, 0, 1.86%, 0.0006983%), (LIN, 0, 1.81%, 0.0008365%), (JPM, 0, 1.64%, 0.0002094%), (AMT, 0, 1.62%, 0.0016926%), (TSLA, 0, 1.62%, 0.0001573%), (XOM, 0, 1.46%, 0.0003269%), (V, 0, 1.42%, 0.0002524%), (LLY, 0, 1.20%, 0.0001736%), (CB, 0, 1.16%, 0.0011112%), (MA, 0, 1.13%, 0.0002281%), (WM, 0, 1.11%, 0.0012160%), (GE, 0, 1.08%, 0.0003866%), (ORCL, 0, 1.02%, 0.0001439%), (PLTR, 0, 0.89%, 0.0002301%), (NFLX, 0, 0.88%, 0.0001808%), (NEE, 0, 0.87%, 0.0006042%), (WMT, 0, 0.84%, 0.0001047%), (JNJ, 0, 0.83%, 0.0002082%), (COST, 0, 0.81%, 0.0001922%), (CVX, 0, 0.79%, 0.0002588%), (PG, 0, 0.79%, 0.0002258%), (RTX, 0, 0.77%, 0.0003740%), (CAT, 0, 0.76%, 0.0003883%), (MCD, 0, 0.75%, 0.0003494%), (ABT, 0, 0.73%, 0.0003308%), (UNH, 0, 0.73%, 0.0003369%), (ABBV, 0, 0.71%, 0.0002084%), (HD, 0, 0.71%, 0.0001896%), (KO, 0, 0.65%, 0.0002218%), (BKNG, 0, 0.62%, 0.0003568%), (PM, 0, 0.62%, 0.0002458%), (SO, 0, 0.62%, 0.0006094%), (BA, 0, 0.62%, 0.0003706%), (AMD, 0, 0.61%, 0.0002356%), (BAC, 0, 0.61%, 0.0001843%), (NKE, 0, 0.60%, 0.0006854%), (CRM, 0, 0.60%, 0.0002563%), (IBM, 0, 0.58%, 0.0002525%), (DUK, 0, 0.58%, 0.0006083%), (GS, 0, 0.55%, 0.0002597%), (ISRG, 0, 0.55%, 0.0003331%), (INTU, 0, 0.55%, 0.0002565%), (UBER, 0, 0.53%, 0.0002909%), (HON, 0, 0.53%, 0.0003859%), (ETN, 0, 0.52%, 0.0003825%), (WFC, 0, 0.52%, 0.0002126%), (MET, 0, 0.51%, 0.0010203%), (DE, 0, 0.48%, 0.0003548%), (NOW, 0, 0.47%, 0.0002529%), (PEP, 0, 0.46%, 0.0002469%), (T, 0, 0.44%, 0.0010584%), (SPGI, 0, 0.43%, 0.0002602%), (MS, 0, 0.42%, 0.0001928%), (MRK, 0, 0.41%, 0.0002109%), (AXP, 0, 0.40%, 0.0002003%), (VZ, 0, 0.40%, 0.0002261%), (BLK, 0, 0.39%, 0.0002331%), (TXN, 0, 0.39%, 0.0002365%), (ACN, 0, 0.39%, 0.0002561%), (UNP, 0, 0.38%, 0.0002945%), (ADBE, 0, 0.38%, 0.0002683%), (QCOM, 0, 0.37%, 0.0002425%), (COP, 0, 0.37%, 0.0003284%), (MDT, 0, 0.37%, 0.0003316%), (DIS, 0, 0.37%, 0.0001806%), (SCHW, 0, 0.35%, 0.0002043%), (TMO, 0, 0.35%, 0.0002121%), (C, 0, 0.35%, 0.0002101%), (SBUX, 0, 0.34%, 0.0003470%), (AMAT, 0, 0.34%, 0.0002438%), (LMT, 0, 0.34%, 0.0003436%), (AMGN, 0, 0.31%, 0.0002080%), (MMM, 0, 0.30%, 0.0003863%), (EMR, 0, 0.28%, 0.0003817%), (GILD, 0, 0.28%, 0.0002090%), (PFE, 0, 0.28%, 0.0002076%), (TJX, 0, 0.27%, 0.0001925%), (CVS, 0, 0.26%, 0.0003288%), (MO, 0, 0.26%, 0.0002485%), (DHR, 0, 0.26%, 0.0001896%), (LOW, 0, 0.25%, 0.0001920%), (CMCSA, 0, 0.22%, 0.0001883%), (ELV, 0, 0.21%, 0.0003460%), (INTC, 0, 0.20%, 0.0002184%), (MDLZ, 0, 0.20%, 0.0002550%), (BMY, 0, 0.18%, 0.0002075%), (UPS, 0, 0.18%, 0.0002863%), (PYPL, 0, 0.17%, 0.0002658%), (CL, 0, 0.15%, 0.0002272%), (FDX, 0, 0.14%, 0.0002746%), (USB, 0, 0.14%, 0.0002050%), (TGT, 0, 0.09%, 0.0001950%), (nan, 0, -0.01%, 0.0000000%), (nan, 0, -0.02%, 0.0000000%)</t>
  </si>
  <si>
    <t>(GOOGLE, 0, 3.70%, 0.0000397%), (AVGO, 0, 3.25%, 0.0000546%), (META, 0, 2.96%, 0.0000421%), (BRK/B, 0, 2.11%, 0.0000773%), (CSCO, 0, 1.88%, 0.0001637%), (LIN, 0, 1.83%, 0.0001962%), (JPM, 0, 1.66%, 0.0000491%), (AMT, 0, 1.64%, 0.0003967%), (TSLA, 0, 1.63%, 0.0000369%), (XOM, 0, 1.47%, 0.0000766%), (V, 0, 1.44%, 0.0000592%), (LLY, 0, 1.21%, 0.0000407%), (CB, 0, 1.17%, 0.0002604%), (MA, 0, 1.14%, 0.0000535%), (WM, 0, 1.12%, 0.0002850%), (GE, 0, 1.10%, 0.0000906%), (ORCL, 0, 1.03%, 0.0000337%), (PLTR, 0, 0.90%, 0.0000539%), (NFLX, 0, 0.90%, 0.0000425%), (NEE, 0, 0.88%, 0.0001416%), (WMT, 0, 0.84%, 0.0000245%), (JNJ, 0, 0.84%, 0.0000488%), (COST, 0, 0.81%, 0.0000451%), (CVX, 0, 0.80%, 0.0000607%), (PG, 0, 0.79%, 0.0000529%), (RTX, 0, 0.77%, 0.0000876%), (CAT, 0, 0.77%, 0.0000909%), (MCD, 0, 0.76%, 0.0000818%), (ABT, 0, 0.74%, 0.0000776%), (UNH, 0, 0.74%, 0.0000790%), (HD, 0, 0.72%, 0.0000444%), (ABBV, 0, 0.72%, 0.0000489%), (KO, 0, 0.65%, 0.0000520%), (BKNG, 0, 0.63%, 0.0000838%), (PM, 0, 0.63%, 0.0000576%), (SO, 0, 0.63%, 0.0001429%), (BA, 0, 0.62%, 0.0000868%), (AMD, 0, 0.62%, 0.0000552%), (BAC, 0, 0.61%, 0.0000432%), (NKE, 0, 0.61%, 0.0001607%), (CRM, 0, 0.60%, 0.0000601%), (IBM, 0, 0.59%, 0.0000592%), (DUK, 0, 0.59%, 0.0001426%), (GS, 0, 0.56%, 0.0000610%), (ISRG, 0, 0.55%, 0.0000781%), (INTU, 0, 0.55%, 0.0000603%), (UBER, 0, 0.53%, 0.0000682%), (HON, 0, 0.53%, 0.0000904%), (ETN, 0, 0.53%, 0.0000896%), (WFC, 0, 0.52%, 0.0000498%), (MET, 0, 0.51%, 0.0002391%), (DE, 0, 0.48%, 0.0000832%), (NOW, 0, 0.47%, 0.0000591%), (PEP, 0, 0.47%, 0.0000578%), (T, 0, 0.44%, 0.0002481%), (SPGI, 0, 0.44%, 0.0000611%), (MS, 0, 0.43%, 0.0000452%), (MRK, 0, 0.41%, 0.0000494%), (AXP, 0, 0.40%, 0.0000470%), (BLK, 0, 0.40%, 0.0000549%), (VZ, 0, 0.40%, 0.0000530%), (TXN, 0, 0.39%, 0.0000555%), (ACN, 0, 0.39%, 0.0000600%), (UNP, 0, 0.39%, 0.0000690%), (ADBE, 0, 0.38%, 0.0000628%), (QCOM, 0, 0.38%, 0.0000568%), (COP, 0, 0.38%, 0.0000769%), (MDT, 0, 0.38%, 0.0000777%), (DIS, 0, 0.37%, 0.0000423%), (TMO, 0, 0.35%, 0.0000498%), (SCHW, 0, 0.35%, 0.0000479%), (C, 0, 0.35%, 0.0000493%), (SBUX, 0, 0.35%, 0.0000813%), (AMAT, 0, 0.34%, 0.0000571%), (LMT, 0, 0.34%, 0.0000804%), (AMGN, 0, 0.32%, 0.0000487%), (MMM, 0, 0.30%, 0.0000905%), (EMR, 0, 0.29%, 0.0000896%), (GILD, 0, 0.28%, 0.0000490%), (PFE, 0, 0.28%, 0.0000487%), (TJX, 0, 0.28%, 0.0000451%), (CVS, 0, 0.26%, 0.0000770%), (MO, 0, 0.26%, 0.0000583%), (DHR, 0, 0.26%, 0.0000445%), (LOW, 0, 0.25%, 0.0000451%), (CMCSA, 0, 0.22%, 0.0000441%), (ELV, 0, 0.21%, 0.0000810%), (INTC, 0, 0.20%, 0.0000512%), (MDLZ, 0, 0.20%, 0.0000598%), (BMY, 0, 0.19%, 0.0000486%), (UPS, 0, 0.18%, 0.0000671%), (PYPL, 0, 0.17%, 0.0000623%), (CL, 0, 0.15%, 0.0000532%), (FDX, 0, 0.15%, 0.0000644%), (USB, 0, 0.14%, 0.0000481%), (TGT, 0, 0.09%, 0.0000458%), (nan, 0, -0.02%, 0.0000000%), (nan, 0, -0.02%, 0.0000000%)</t>
  </si>
  <si>
    <t>(GOOGLE, 0, 3.53%, 0.0000694%), (AVGO, 0, 3.11%, 0.0000955%), (META, 0, 2.83%, 0.0000736%), (BRK/B, 0, 2.02%, 0.0001352%), (CSCO, 0, 1.80%, 0.0002863%), (LIN, 0, 1.74%, 0.0003429%), (JPM, 0, 1.58%, 0.0000858%), (TSLA, 0, 1.57%, 0.0000645%), (AMT, 0, 1.57%, 0.0006938%), (XOM, 0, 1.40%, 0.0001340%), (V, 0, 1.37%, 0.0001034%), (LLY, 0, 1.16%, 0.0000712%), (CB, 0, 1.12%, 0.0004556%), (MA, 0, 1.09%, 0.0000936%), (WM, 0, 1.07%, 0.0004984%), (GE, 0, 1.05%, 0.0001585%), (ORCL, 0, 0.99%, 0.0000590%), (PLTR, 0, 0.87%, 0.0000943%), (NFLX, 0, 0.85%, 0.0000741%), (NEE, 0, 0.84%, 0.0002477%), (WMT, 0, 0.81%, 0.0000429%), (JNJ, 0, 0.81%, 0.0000853%), (COST, 0, 0.77%, 0.0000787%), (CVX, 0, 0.76%, 0.0001061%), (PG, 0, 0.76%, 0.0000926%), (RTX, 0, 0.74%, 0.0001533%), (CAT, 0, 0.74%, 0.0001592%), (MCD, 0, 0.72%, 0.0001432%), (ABT, 0, 0.71%, 0.0001356%), (UNH, 0, 0.70%, 0.0001381%), (ABBV, 0, 0.68%, 0.0000854%), (HD, 0, 0.68%, 0.0000777%), (KO, 0, 0.63%, 0.0000909%), (PM, 0, 0.60%, 0.0001007%), (BKNG, 0, 0.60%, 0.0001458%), (SO, 0, 0.60%, 0.0002498%), (BA, 0, 0.60%, 0.0001520%), (AMD, 0, 0.59%, 0.0000966%), (BAC, 0, 0.59%, 0.0000756%), (NKE, 0, 0.58%, 0.0002809%), (CRM, 0, 0.57%, 0.0001050%), (IBM, 0, 0.56%, 0.0001035%), (DUK, 0, 0.56%, 0.0002494%), (GS, 0, 0.53%, 0.0001064%), (ISRG, 0, 0.53%, 0.0001365%), (INTU, 0, 0.53%, 0.0001051%), (UBER, 0, 0.51%, 0.0001193%), (HON, 0, 0.51%, 0.0001581%), (ETN, 0, 0.50%, 0.0001567%), (WFC, 0, 0.50%, 0.0000871%), (MET, 0, 0.49%, 0.0004182%), (DE, 0, 0.46%, 0.0001454%), (NOW, 0, 0.45%, 0.0001038%), (PEP, 0, 0.45%, 0.0001012%), (T, 0, 0.42%, 0.0004338%), (SPGI, 0, 0.42%, 0.0001067%), (MS, 0, 0.41%, 0.0000790%), (MRK, 0, 0.39%, 0.0000865%), (AXP, 0, 0.38%, 0.0000822%), (BLK, 0, 0.38%, 0.0000956%), (VZ, 0, 0.38%, 0.0000927%), (TXN, 0, 0.37%, 0.0000970%), (ACN, 0, 0.37%, 0.0001050%), (UNP, 0, 0.37%, 0.0001207%), (ADBE, 0, 0.37%, 0.0001101%), (QCOM, 0, 0.36%, 0.0000994%), (COP, 0, 0.36%, 0.0001346%), (MDT, 0, 0.36%, 0.0001360%), (DIS, 0, 0.35%, 0.0000740%), (TMO, 0, 0.34%, 0.0000870%), (SCHW, 0, 0.34%, 0.0000837%), (C, 0, 0.34%, 0.0000861%), (SBUX, 0, 0.33%, 0.0001423%), (AMAT, 0, 0.33%, 0.0000999%), (LMT, 0, 0.32%, 0.0001409%), (AMGN, 0, 0.30%, 0.0000853%), (MMM, 0, 0.29%, 0.0001583%), (EMR, 0, 0.27%, 0.0001565%), (GILD, 0, 0.27%, 0.0000857%), (PFE, 0, 0.27%, 0.0000851%), (TJX, 0, 0.26%, 0.0000789%), (CVS, 0, 0.25%, 0.0001348%), (MO, 0, 0.25%, 0.0001019%), (DHR, 0, 0.25%, 0.0000777%), (LOW, 0, 0.24%, 0.0000788%), (CMCSA, 0, 0.21%, 0.0000772%), (ELV, 0, 0.20%, 0.0001417%), (INTC, 0, 0.19%, 0.0000895%), (MDLZ, 0, 0.19%, 0.0001045%), (BMY, 0, 0.18%, 0.0000851%), (UPS, 0, 0.17%, 0.0001174%), (PYPL, 0, 0.16%, 0.0001089%), (CL, 0, 0.15%, 0.0000930%), (FDX, 0, 0.14%, 0.0001123%), (USB, 0, 0.13%, 0.0000841%), (TGT, 0, 0.09%, 0.0000799%), (nan, 0, -0.01%, 0.0000000%), (nan, 0, -0.01%, 0.0000000%)</t>
  </si>
  <si>
    <t>(GOOGLE, 0, 3.60%, 0.0000252%), (AVGO, 0, 3.18%, 0.0000346%), (META, 0, 2.89%, 0.0000267%), (BRK/B, 0, 2.06%, 0.0000490%), (CSCO, 0, 1.83%, 0.0001038%), (LIN, 0, 1.78%, 0.0001242%), (JPM, 0, 1.61%, 0.0000311%), (AMT, 0, 1.60%, 0.0002514%), (TSLA, 0, 1.59%, 0.0000234%), (XOM, 0, 1.43%, 0.0000486%), (V, 0, 1.40%, 0.0000375%), (LLY, 0, 1.17%, 0.0000258%), (CB, 0, 1.14%, 0.0001652%), (MA, 0, 1.11%, 0.0000339%), (WM, 0, 1.09%, 0.0001807%), (GE, 0, 1.07%, 0.0000575%), (ORCL, 0, 1.01%, 0.0000214%), (PLTR, 0, 0.88%, 0.0000342%), (NFLX, 0, 0.87%, 0.0000269%), (NEE, 0, 0.85%, 0.0000898%), (WMT, 0, 0.82%, 0.0000156%), (JNJ, 0, 0.82%, 0.0000309%), (COST, 0, 0.80%, 0.0000287%), (CVX, 0, 0.78%, 0.0000384%), (PG, 0, 0.77%, 0.0000336%), (RTX, 0, 0.75%, 0.0000556%), (CAT, 0, 0.75%, 0.0000576%), (MCD, 0, 0.73%, 0.0000518%), (ABT, 0, 0.72%, 0.0000492%), (UNH, 0, 0.72%, 0.0000501%), (ABBV, 0, 0.70%, 0.0000310%), (HD, 0, 0.69%, 0.0000281%), (KO, 0, 0.64%, 0.0000330%), (PM, 0, 0.61%, 0.0000366%), (SO, 0, 0.61%, 0.0000905%), (BKNG, 0, 0.61%, 0.0000527%), (BA, 0, 0.61%, 0.0000550%), (AMD, 0, 0.60%, 0.0000350%), (BAC, 0, 0.60%, 0.0000274%), (NKE, 0, 0.59%, 0.0001018%), (CRM, 0, 0.59%, 0.0000381%), (IBM, 0, 0.57%, 0.0000376%), (DUK, 0, 0.57%, 0.0000903%), (GS, 0, 0.55%, 0.0000387%), (ISRG, 0, 0.54%, 0.0000496%), (INTU, 0, 0.54%, 0.0000380%), (UBER, 0, 0.52%, 0.0000432%), (HON, 0, 0.52%, 0.0000573%), (ETN, 0, 0.51%, 0.0000568%), (WFC, 0, 0.51%, 0.0000316%), (MET, 0, 0.50%, 0.0001516%), (DE, 0, 0.47%, 0.0000525%), (NOW, 0, 0.46%, 0.0000375%), (PEP, 0, 0.46%, 0.0000367%), (T, 0, 0.43%, 0.0001573%), (SPGI, 0, 0.43%, 0.0000386%), (MS, 0, 0.42%, 0.0000286%), (MRK, 0, 0.40%, 0.0000313%), (AXP, 0, 0.39%, 0.0000298%), (BLK, 0, 0.39%, 0.0000349%), (VZ, 0, 0.39%, 0.0000336%), (TXN, 0, 0.38%, 0.0000351%), (ACN, 0, 0.38%, 0.0000381%), (UNP, 0, 0.38%, 0.0000438%), (ADBE, 0, 0.37%, 0.0000399%), (QCOM, 0, 0.37%, 0.0000361%), (COP, 0, 0.37%, 0.0000488%), (MDT, 0, 0.37%, 0.0000493%), (DIS, 0, 0.36%, 0.0000268%), (SCHW, 0, 0.35%, 0.0000304%), (TMO, 0, 0.34%, 0.0000314%), (C, 0, 0.34%, 0.0000312%), (SBUX, 0, 0.34%, 0.0000516%), (AMAT, 0, 0.33%, 0.0000363%), (LMT, 0, 0.33%, 0.0000510%), (AMGN, 0, 0.31%, 0.0000308%), (MMM, 0, 0.30%, 0.0000574%), (EMR, 0, 0.28%, 0.0000567%), (GILD, 0, 0.27%, 0.0000311%), (PFE, 0, 0.27%, 0.0000309%), (TJX, 0, 0.27%, 0.0000286%), (CVS, 0, 0.26%, 0.0000488%), (MO, 0, 0.25%, 0.0000369%), (DHR, 0, 0.25%, 0.0000282%), (LOW, 0, 0.25%, 0.0000285%), (CMCSA, 0, 0.21%, 0.0000280%), (ELV, 0, 0.20%, 0.0000513%), (INTC, 0, 0.20%, 0.0000324%), (MDLZ, 0, 0.20%, 0.0000379%), (BMY, 0, 0.18%, 0.0000308%), (UPS, 0, 0.17%, 0.0000425%), (PYPL, 0, 0.16%, 0.0000394%), (CL, 0, 0.15%, 0.0000337%), (FDX, 0, 0.14%, 0.0000407%), (USB, 0, 0.14%, 0.0000305%), (TGT, 0, 0.09%, 0.0000290%), (nan, 0, -0.01%, 0.0000000%), (nan, 0, -0.01%, 0.0000000%)</t>
  </si>
  <si>
    <t>(GOOGLE, 0, 3.84%, 0.0000603%), (AVGO, 0, 3.38%, 0.0000830%), (META, 0, 3.08%, 0.0000639%), (BRK/B, 0, 2.19%, 0.0001175%), (CSCO, 0, 1.95%, 0.0002488%), (LIN, 0, 1.89%, 0.0002981%), (JPM, 0, 1.72%, 0.0000746%), (AMT, 0, 1.70%, 0.0006030%), (TSLA, 0, 1.70%, 0.0000560%), (XOM, 0, 1.53%, 0.0001165%), (V, 0, 1.49%, 0.0000899%), (LLY, 0, 1.26%, 0.0000619%), (CB, 0, 1.21%, 0.0003959%), (MA, 0, 1.18%, 0.0000812%), (WM, 0, 1.17%, 0.0004331%), (GE, 0, 1.14%, 0.0001377%), (ORCL, 0, 1.07%, 0.0000513%), (PLTR, 0, 0.94%, 0.0000820%), (NFLX, 0, 0.92%, 0.0000644%), (NEE, 0, 0.91%, 0.0002153%), (WMT, 0, 0.88%, 0.0000373%), (JNJ, 0, 0.88%, 0.0000742%), (COST, 0, 0.84%, 0.0000686%), (CVX, 0, 0.83%, 0.0000922%), (PG, 0, 0.82%, 0.0000805%), (RTX, 0, 0.80%, 0.0001333%), (CAT, 0, 0.80%, 0.0001383%), (MCD, 0, 0.78%, 0.0001244%), (ABT, 0, 0.77%, 0.0001179%), (UNH, 0, 0.76%, 0.0001201%), (ABBV, 0, 0.74%, 0.0000742%), (HD, 0, 0.74%, 0.0000675%), (KO, 0, 0.68%, 0.0000790%), (BKNG, 0, 0.66%, 0.0001272%), (PM, 0, 0.65%, 0.0000876%), (SO, 0, 0.65%, 0.0002171%), (BA, 0, 0.65%, 0.0001321%), (AMD, 0, 0.64%, 0.0000839%), (BAC, 0, 0.64%, 0.0000657%), (NKE, 0, 0.63%, 0.0002442%), (CRM, 0, 0.62%, 0.0000913%), (IBM, 0, 0.61%, 0.0000900%), (DUK, 0, 0.61%, 0.0002167%), (ISRG, 0, 0.58%, 0.0001188%), (GS, 0, 0.57%, 0.0000924%), (INTU, 0, 0.57%, 0.0000915%), (UBER, 0, 0.55%, 0.0001036%), (HON, 0, 0.55%, 0.0001375%), (ETN, 0, 0.55%, 0.0001361%), (WFC, 0, 0.54%, 0.0000757%), (MET, 0, 0.53%, 0.0003634%), (DE, 0, 0.50%, 0.0001265%), (NOW, 0, 0.49%, 0.0000899%), (PEP, 0, 0.49%, 0.0000880%), (T, 0, 0.46%, 0.0003771%), (SPGI, 0, 0.45%, 0.0000928%), (MS, 0, 0.44%, 0.0000687%), (MRK, 0, 0.43%, 0.0000751%), (AXP, 0, 0.42%, 0.0000714%), (BLK, 0, 0.42%, 0.0000833%), (VZ, 0, 0.41%, 0.0000805%), (TXN, 0, 0.41%, 0.0000843%), (ACN, 0, 0.41%, 0.0000912%), (UNP, 0, 0.40%, 0.0001049%), (ADBE, 0, 0.40%, 0.0000956%), (QCOM, 0, 0.39%, 0.0000864%), (COP, 0, 0.39%, 0.0001170%), (MDT, 0, 0.39%, 0.0001182%), (DIS, 0, 0.38%, 0.0000644%), (SCHW, 0, 0.37%, 0.0000728%), (TMO, 0, 0.37%, 0.0000756%), (C, 0, 0.37%, 0.0000749%), (SBUX, 0, 0.36%, 0.0001236%), (AMAT, 0, 0.36%, 0.0000869%), (LMT, 0, 0.35%, 0.0001223%), (AMGN, 0, 0.33%, 0.0000741%), (MMM, 0, 0.32%, 0.0001376%), (EMR, 0, 0.30%, 0.0001359%), (GILD, 0, 0.29%, 0.0000745%), (PFE, 0, 0.29%, 0.0000740%), (TJX, 0, 0.29%, 0.0000686%), (CVS, 0, 0.27%, 0.0001171%), (MO, 0, 0.27%, 0.0000885%), (DHR, 0, 0.27%, 0.0000675%), (LOW, 0, 0.26%, 0.0000685%), (CMCSA, 0, 0.23%, 0.0000671%), (ELV, 0, 0.22%, 0.0001233%), (INTC, 0, 0.21%, 0.0000778%), (MDLZ, 0, 0.21%, 0.0000908%), (BMY, 0, 0.19%, 0.0000739%), (UPS, 0, 0.19%, 0.0001020%), (PYPL, 0, 0.18%, 0.0000947%), (CL, 0, 0.16%, 0.0000809%), (FDX, 0, 0.15%, 0.0000979%), (USB, 0, 0.15%, 0.0000731%), (TGT, 0, 0.09%, 0.0000695%), (nan, 0, -0.02%, 0.0000000%), (nan, 0, -0.02%, 0.0000000%)</t>
  </si>
  <si>
    <t>EBAY, META, BK, MSFT, JPM, GOOGLE, BLK, RJF, BKNG, MLI, EA, HIG</t>
  </si>
  <si>
    <t>(AMAT, 0, 1.82%, 0.0007048%), (PHM, 0, 1.82%, 0.0042664%), (TRV, 0, 1.82%, 0.0016717%), (EWBC, 0, 1.82%, 0.0073508%), (V, 0, 1.82%, 0.0001725%), (NVDA, 0, 1.79%, 0.0000225%), (AXP, 0, 1.78%, 0.0004799%), (ROST, 0, 1.74%, 0.0020075%), (ADP, 0, 1.72%, 0.0007741%), (SNA, 0, 1.72%, 0.0056184%), (UNM, 0, 1.69%, 0.0077410%), (KLAC, 0, 1.68%, 0.0007892%), (PCAR, 0, 1.65%, 0.0017646%), (CB, 0, 1.63%, 0.0008403%), (SYF, 0, 1.55%, 0.0033981%), (CTSH, 0, 1.53%, 0.0024542%), (CRM, 0, 1.53%, 0.0003527%), (WSM, 0, 1.52%, 0.0034026%), (LEN, 0, 1.51%, 0.0030916%), (PAYC, 0, 1.46%, 0.0061942%), (BKR, 0, 1.38%, 0.0017666%), (DHI, 0, 1.29%, 0.0015611%), (ACN, 0, 1.26%, 0.0004484%), (QCOM, 0, 1.26%, 0.0004382%), (AFL, 0, 1.21%, 0.0012105%), (AAPL, 0, 1.19%, 0.0000207%), (ELV, 0, 1.13%, 0.0010102%), (CSCO, 0, 1.11%, 0.0002218%), (MPWR, 0, 1.10%, 0.0015618%), (ODFL, 0, 1.10%, 0.0019109%), (LRCX, 0, 1.06%, 0.0004807%), (GE, 0, 1.05%, 0.0002006%), (STT, 0, 0.98%, 0.0017400%), (CF, 0, 0.91%, 0.0034296%), (PNC, 0, 0.89%, 0.0006610%), (AMP, 0, 0.88%, 0.0010193%), (MTB, 0, 0.87%, 0.0016826%), (COST, 0, 0.86%, 0.0001097%), (ABT, 0, 0.84%, 0.0002012%), (XOM, 0, 0.79%, 0.0000954%), (EOG, 0, 0.78%, 0.0006705%), (EG, 0, 0.74%, 0.0029310%), (CSL, 0, 0.71%, 0.0026085%), (GEV, 0, 0.60%, 0.0001828%), (NTRS, 0, 0.52%, 0.0011929%), (MA, 0, 0.49%, 0.0000528%), (CRBG, 0, 0.48%, 0.0014389%), (JNJ, 0, 0.47%, 0.0000627%), (ACM, 0, 0.46%, 0.0016120%), (LNC, 0, 0.44%, 0.0032484%), (CINF, 0, 0.44%, 0.0010056%), (MTG, 0, 0.44%, 0.0039622%), (JXN, 0, 0.43%, 0.0036568%), (ALL, 0, 0.43%, 0.0004239%), (SLM, 0, 0.42%, 0.0035678%), (DOV, 0, 0.42%, 0.0009617%), (MCK, 0, 0.42%, 0.0002621%), (WTFC, 0, 0.41%, 0.0027139%), (EQH, 0, 0.41%, 0.0014603%), (ADM, 0, 0.39%, 0.0007820%), (NUE, 0, 0.38%, 0.0006570%), (NKE, 0, 0.38%, 0.0002312%), (PGR, 0, 0.37%, 0.0001404%), (FANG, 0, 0.31%, 0.0004055%)</t>
  </si>
  <si>
    <t>(GOOGLE, 0, 3.49%, 0.0000639%), (AVGO, 0, 3.07%, 0.0000879%), (META, 0, 2.80%, 0.0000677%), (BRK/B, 0, 1.99%, 0.0001244%), (CSCO, 0, 1.77%, 0.0002634%), (LIN, 0, 1.72%, 0.0003155%), (JPM, 0, 1.56%, 0.0000790%), (AMT, 0, 1.54%, 0.0006383%), (TSLA, 0, 1.54%, 0.0000593%), (XOM, 0, 1.39%, 0.0001233%), (V, 0, 1.36%, 0.0000952%), (LLY, 0, 1.14%, 0.0000655%), (CB, 0, 1.10%, 0.0004190%), (MA, 0, 1.08%, 0.0000861%), (WM, 0, 1.06%, 0.0004585%), (GE, 0, 1.03%, 0.0001458%), (ORCL, 0, 0.97%, 0.0000543%), (PLTR, 0, 0.85%, 0.0000868%), (NFLX, 0, 0.84%, 0.0000682%), (NEE, 0, 0.83%, 0.0002278%), (WMT, 0, 0.80%, 0.0000395%), (JNJ, 0, 0.79%, 0.0000785%), (COST, 0, 0.76%, 0.0000724%), (CVX, 0, 0.75%, 0.0000976%), (PG, 0, 0.75%, 0.0000852%), (RTX, 0, 0.73%, 0.0001410%), (CAT, 0, 0.73%, 0.0001464%), (MCD, 0, 0.71%, 0.0001317%), (ABT, 0, 0.70%, 0.0001248%), (UNH, 0, 0.70%, 0.0001271%), (HD, 0, 0.68%, 0.0000714%), (ABBV, 0, 0.67%, 0.0000786%), (KO, 0, 0.62%, 0.0000836%), (PM, 0, 0.59%, 0.0000927%), (SO, 0, 0.59%, 0.0002298%), (BA, 0, 0.59%, 0.0001397%), (BKNG, 0, 0.59%, 0.0001334%), (AMD, 0, 0.58%, 0.0000889%), (BAC, 0, 0.58%, 0.0000695%), (NKE, 0, 0.57%, 0.0002585%), (CRM, 0, 0.57%, 0.0000966%), (IBM, 0, 0.55%, 0.0000952%), (DUK, 0, 0.55%, 0.0002295%), (GS, 0, 0.52%, 0.0000980%), (ISRG, 0, 0.52%, 0.0001258%), (INTU, 0, 0.52%, 0.0000968%), (UBER, 0, 0.50%, 0.0001097%), (HON, 0, 0.50%, 0.0001455%), (ETN, 0, 0.50%, 0.0001444%), (WFC, 0, 0.49%, 0.0000802%), (MET, 0, 0.48%, 0.0003848%), (DE, 0, 0.45%, 0.0001339%), (NOW, 0, 0.45%, 0.0000952%), (PEP, 0, 0.44%, 0.0000931%), (T, 0, 0.42%, 0.0003991%), (SPGI, 0, 0.41%, 0.0000981%), (MS, 0, 0.40%, 0.0000727%), (MRK, 0, 0.39%, 0.0000796%), (AXP, 0, 0.38%, 0.0000756%), (BLK, 0, 0.38%, 0.0000878%), (VZ, 0, 0.38%, 0.0000853%), (TXN, 0, 0.37%, 0.0000891%), (ACN, 0, 0.37%, 0.0000965%), (UNP, 0, 0.37%, 0.0001111%), (ADBE, 0, 0.36%, 0.0001013%), (QCOM, 0, 0.36%, 0.0000915%), (COP, 0, 0.36%, 0.0001239%), (MDT, 0, 0.35%, 0.0001251%), (DIS, 0, 0.35%, 0.0000681%), (SCHW, 0, 0.33%, 0.0000770%), (TMO, 0, 0.33%, 0.0000798%), (C, 0, 0.33%, 0.0000793%), (SBUX, 0, 0.33%, 0.0001308%), (AMAT, 0, 0.32%, 0.0000919%), (LMT, 0, 0.32%, 0.0001296%), (AMGN, 0, 0.30%, 0.0000784%), (MMM, 0, 0.29%, 0.0001457%), (EMR, 0, 0.27%, 0.0001439%), (GILD, 0, 0.27%, 0.0000788%), (PFE, 0, 0.26%, 0.0000783%), (TJX, 0, 0.26%, 0.0000726%), (CVS, 0, 0.25%, 0.0001240%), (MO, 0, 0.24%, 0.0000937%), (DHR, 0, 0.24%, 0.0000715%), (LOW, 0, 0.24%, 0.0000724%), (CMCSA, 0, 0.21%, 0.0000710%), (ELV, 0, 0.20%, 0.0001305%), (INTC, 0, 0.19%, 0.0000824%), (MDLZ, 0, 0.19%, 0.0000962%), (BMY, 0, 0.18%, 0.0000783%), (UPS, 0, 0.17%, 0.0001080%), (PYPL, 0, 0.16%, 0.0001003%), (CL, 0, 0.14%, 0.0000856%), (FDX, 0, 0.14%, 0.0001034%), (USB, 0, 0.13%, 0.0000773%), (TGT, 0, 0.09%, 0.0000735%), (nan, 0, -0.01%, 0.0000000%), (nan, 0, -0.01%, 0.0000000%)</t>
  </si>
  <si>
    <t>(GOOGLE, 0, 3.66%, 0.0001306%), (AVGO, 0, 3.23%, 0.0001797%), (META, 0, 2.93%, 0.0001384%), (BRK/B, 0, 2.09%, 0.0002544%), (CSCO, 0, 1.86%, 0.0005387%), (LIN, 0, 1.80%, 0.0006453%), (JPM, 0, 1.64%, 0.0001615%), (AMT, 0, 1.62%, 0.0013056%), (TSLA, 0, 1.62%, 0.0001213%), (XOM, 0, 1.45%, 0.0002521%), (V, 0, 1.42%, 0.0001946%), (LLY, 0, 1.20%, 0.0001339%), (CB, 0, 1.16%, 0.0008571%), (MA, 0, 1.13%, 0.0001759%), (WM, 0, 1.11%, 0.0009378%), (GE, 0, 1.08%, 0.0002982%), (ORCL, 0, 1.02%, 0.0001110%), (PLTR, 0, 0.90%, 0.0001774%), (NFLX, 0, 0.88%, 0.0001395%), (NEE, 0, 0.87%, 0.0004660%), (WMT, 0, 0.84%, 0.0000808%), (JNJ, 0, 0.83%, 0.0001605%), (COST, 0, 0.81%, 0.0001482%), (CVX, 0, 0.79%, 0.0001996%), (PG, 0, 0.79%, 0.0001742%), (RTX, 0, 0.76%, 0.0002885%), (CAT, 0, 0.76%, 0.0002995%), (MCD, 0, 0.75%, 0.0002695%), (ABT, 0, 0.73%, 0.0002552%), (UNH, 0, 0.73%, 0.0002599%), (HD, 0, 0.71%, 0.0001462%), (ABBV, 0, 0.71%, 0.0001607%), (KO, 0, 0.65%, 0.0001711%), (BKNG, 0, 0.63%, 0.0002761%), (PM, 0, 0.62%, 0.0001896%), (SO, 0, 0.62%, 0.0004700%), (BA, 0, 0.62%, 0.0002858%), (AMD, 0, 0.61%, 0.0001817%), (BAC, 0, 0.61%, 0.0001422%), (NKE, 0, 0.60%, 0.0005286%), (CRM, 0, 0.59%, 0.0001977%), (IBM, 0, 0.58%, 0.0001947%), (DUK, 0, 0.58%, 0.0004692%), (GS, 0, 0.55%, 0.0002004%), (ISRG, 0, 0.55%, 0.0002570%), (INTU, 0, 0.55%, 0.0001980%), (UBER, 0, 0.53%, 0.0002244%), (HON, 0, 0.53%, 0.0002977%), (ETN, 0, 0.52%, 0.0002949%), (WFC, 0, 0.52%, 0.0001639%), (MET, 0, 0.50%, 0.0007869%), (DE, 0, 0.48%, 0.0002734%), (NOW, 0, 0.47%, 0.0001952%), (PEP, 0, 0.46%, 0.0001904%), (T, 0, 0.44%, 0.0008163%), (SPGI, 0, 0.43%, 0.0002005%), (MS, 0, 0.42%, 0.0001487%), (MRK, 0, 0.41%, 0.0001627%), (AXP, 0, 0.40%, 0.0001546%), (VZ, 0, 0.40%, 0.0001744%), (BLK, 0, 0.39%, 0.0001802%), (TXN, 0, 0.39%, 0.0001824%), (ACN, 0, 0.39%, 0.0001975%), (UNP, 0, 0.38%, 0.0002271%), (ADBE, 0, 0.38%, 0.0002071%), (QCOM, 0, 0.37%, 0.0001870%), (COP, 0, 0.37%, 0.0002533%), (MDT, 0, 0.37%, 0.0002558%), (DIS, 0, 0.37%, 0.0001393%), (TMO, 0, 0.35%, 0.0001637%), (SCHW, 0, 0.35%, 0.0001576%), (C, 0, 0.35%, 0.0001620%), (SBUX, 0, 0.34%, 0.0002676%), (AMAT, 0, 0.34%, 0.0001880%), (LMT, 0, 0.34%, 0.0002649%), (AMGN, 0, 0.31%, 0.0001605%), (MMM, 0, 0.30%, 0.0002978%), (EMR, 0, 0.28%, 0.0002944%), (GILD, 0, 0.28%, 0.0001612%), (PFE, 0, 0.28%, 0.0001601%), (TJX, 0, 0.28%, 0.0001484%), (CVS, 0, 0.26%, 0.0002536%), (MO, 0, 0.26%, 0.0001916%), (DHR, 0, 0.26%, 0.0001462%), (LOW, 0, 0.25%, 0.0001482%), (CMCSA, 0, 0.22%, 0.0001452%), (ELV, 0, 0.21%, 0.0002668%), (INTC, 0, 0.20%, 0.0001685%), (MDLZ, 0, 0.20%, 0.0001967%), (BMY, 0, 0.18%, 0.0001600%), (UPS, 0, 0.18%, 0.0002208%), (PYPL, 0, 0.17%, 0.0002050%), (CL, 0, 0.15%, 0.0001752%), (FDX, 0, 0.14%, 0.0002115%), (USB, 0, 0.14%, 0.0001581%), (TGT, 0, 0.09%, 0.0001503%), (nan, 0, -0.01%, 0.0000000%), (nan, 0, -0.01%, 0.0000000%)</t>
  </si>
  <si>
    <t>(GOOGLE, 0, 3.48%, 0.0002617%), (AVGO, 0, 3.06%, 0.0003601%), (META, 0, 2.78%, 0.0002773%), (BRK/B, 0, 1.98%, 0.0005097%), (CSCO, 0, 1.77%, 0.0010794%), (LIN, 0, 1.71%, 0.0012929%), (JPM, 0, 1.56%, 0.0003236%), (AMT, 0, 1.54%, 0.0026161%), (TSLA, 0, 1.54%, 0.0002430%), (XOM, 0, 1.38%, 0.0005052%), (V, 0, 1.35%, 0.0003900%), (LLY, 0, 1.14%, 0.0002684%), (CB, 0, 1.10%, 0.0017174%), (MA, 0, 1.07%, 0.0003526%), (WM, 0, 1.06%, 0.0018793%), (GE, 0, 1.03%, 0.0005975%), (ORCL, 0, 0.97%, 0.0002224%), (PLTR, 0, 0.85%, 0.0003555%), (NFLX, 0, 0.84%, 0.0002794%), (NEE, 0, 0.82%, 0.0009338%), (WMT, 0, 0.79%, 0.0001618%), (JNJ, 0, 0.79%, 0.0003217%), (COST, 0, 0.76%, 0.0002972%), (CVX, 0, 0.75%, 0.0004001%), (PG, 0, 0.75%, 0.0003490%), (RTX, 0, 0.73%, 0.0005780%), (CAT, 0, 0.72%, 0.0006000%), (MCD, 0, 0.71%, 0.0005401%), (ABT, 0, 0.70%, 0.0005113%), (UNH, 0, 0.69%, 0.0005208%), (HD, 0, 0.67%, 0.0002930%), (ABBV, 0, 0.67%, 0.0003220%), (KO, 0, 0.62%, 0.0003428%), (BKNG, 0, 0.59%, 0.0005522%), (PM, 0, 0.59%, 0.0003799%), (SO, 0, 0.59%, 0.0009418%), (BA, 0, 0.59%, 0.0005727%), (AMD, 0, 0.58%, 0.0003641%), (BAC, 0, 0.58%, 0.0002849%), (NKE, 0, 0.57%, 0.0010593%), (CRM, 0, 0.56%, 0.0003961%), (IBM, 0, 0.55%, 0.0003902%), (DUK, 0, 0.55%, 0.0009403%), (GS, 0, 0.52%, 0.0004011%), (ISRG, 0, 0.52%, 0.0005151%), (INTU, 0, 0.52%, 0.0003967%), (UBER, 0, 0.50%, 0.0004496%), (HON, 0, 0.50%, 0.0005963%), (ETN, 0, 0.50%, 0.0005911%), (WFC, 0, 0.49%, 0.0003285%), (MET, 0, 0.48%, 0.0015769%), (DE, 0, 0.45%, 0.0005482%), (NOW, 0, 0.45%, 0.0003909%), (PEP, 0, 0.44%, 0.0003816%), (T, 0, 0.42%, 0.0016357%), (SPGI, 0, 0.41%, 0.0004019%), (MS, 0, 0.40%, 0.0002979%), (MRK, 0, 0.39%, 0.0003260%), (AXP, 0, 0.38%, 0.0003098%), (VZ, 0, 0.38%, 0.0003494%), (BLK, 0, 0.37%, 0.0003603%), (TXN, 0, 0.37%, 0.0003655%), (ACN, 0, 0.37%, 0.0003958%), (UNP, 0, 0.36%, 0.0004550%), (ADBE, 0, 0.36%, 0.0004147%), (QCOM, 0, 0.36%, 0.0003749%), (COP, 0, 0.35%, 0.0005075%), (MDT, 0, 0.35%, 0.0005125%), (DIS, 0, 0.35%, 0.0002791%), (SCHW, 0, 0.33%, 0.0003157%), (TMO, 0, 0.33%, 0.0003276%), (C, 0, 0.33%, 0.0003247%), (SBUX, 0, 0.32%, 0.0005362%), (AMAT, 0, 0.32%, 0.0003767%), (LMT, 0, 0.32%, 0.0005307%), (AMGN, 0, 0.30%, 0.0003213%), (MMM, 0, 0.29%, 0.0005969%), (EMR, 0, 0.27%, 0.0005899%), (GILD, 0, 0.27%, 0.0003230%), (PFE, 0, 0.26%, 0.0003209%), (TJX, 0, 0.26%, 0.0002975%), (CVS, 0, 0.25%, 0.0005082%), (MO, 0, 0.24%, 0.0003840%), (DHR, 0, 0.24%, 0.0002929%), (LOW, 0, 0.24%, 0.0002969%), (CMCSA, 0, 0.20%, 0.0002910%), (ELV, 0, 0.20%, 0.0005350%), (INTC, 0, 0.19%, 0.0003376%), (MDLZ, 0, 0.19%, 0.0003942%), (BMY, 0, 0.18%, 0.0003207%), (UPS, 0, 0.17%, 0.0004425%), (PYPL, 0, 0.16%, 0.0004108%), (CL, 0, 0.14%, 0.0003510%), (FDX, 0, 0.14%, 0.0004242%), (USB, 0, 0.13%, 0.0003169%), (TGT, 0, 0.09%, 0.0003013%), (nan, 0, -0.01%, 0.0000000%), (nan, 0, -0.02%, 0.0000000%)</t>
  </si>
  <si>
    <t>(AVGO, 0, 3.01%, 0.0000520%), (META, 0, 2.69%, 0.0000400%), (BRK/B, 0, 1.91%, 0.0000736%), (CSCO, 0, 1.75%, 0.0001558%), (LIN, 0, 1.67%, 0.0001867%), (TSLA, 0, 1.52%, 0.0000351%), (AMT, 0, 1.52%, 0.0003777%), (JPM, 0, 1.50%, 0.0000467%), (XOM, 0, 1.35%, 0.0000729%), (V, 0, 1.30%, 0.0000563%), (CB, 0, 1.07%, 0.0002480%), (WM, 0, 1.04%, 0.0002713%), (MA, 0, 1.04%, 0.0000509%), (GE, 0, 1.01%, 0.0000863%), (LLY, 0, 0.96%, 0.0000387%), (ORCL, 0, 0.92%, 0.0000321%), (PLTR, 0, 0.85%, 0.0000513%), (NEE, 0, 0.83%, 0.0001348%), (NFLX, 0, 0.83%, 0.0000404%), (JNJ, 0, 0.78%, 0.0000464%), (WMT, 0, 0.78%, 0.0000234%), (COST, 0, 0.76%, 0.0000429%), (CVX, 0, 0.74%, 0.0000578%), (PG, 0, 0.74%, 0.0000504%), (RTX, 0, 0.71%, 0.0000835%), (MCD, 0, 0.70%, 0.0000779%), (CAT, 0, 0.69%, 0.0000867%), (ABT, 0, 0.69%, 0.0000738%), (UNH, 0, 0.68%, 0.0000752%), (ABBV, 0, 0.67%, 0.0000465%), (HD, 0, 0.66%, 0.0000423%), (KO, 0, 0.61%, 0.0000495%), (AMD, 0, 0.60%, 0.0000526%), (PM, 0, 0.58%, 0.0000549%), (SO, 0, 0.58%, 0.0001360%), (BA, 0, 0.58%, 0.0000828%), (BKNG, 0, 0.58%, 0.0000807%), (BAC, 0, 0.56%, 0.0000411%), (NKE, 0, 0.55%, 0.0001529%), (DUK, 0, 0.54%, 0.0001358%), (IBM, 0, 0.54%, 0.0000564%), (CRM, 0, 0.54%, 0.0000571%), (GS, 0, 0.51%, 0.0000580%), (UBER, 0, 0.51%, 0.0000649%), (ISRG, 0, 0.51%, 0.0000745%), (INTU, 0, 0.50%, 0.0000574%), (ETN, 0, 0.49%, 0.0000853%), (HON, 0, 0.48%, 0.0000862%), (WFC, 0, 0.48%, 0.0000474%), (MET, 0, 0.46%, 0.0002277%), (DE, 0, 0.44%, 0.0000792%), (PEP, 0, 0.44%, 0.0000551%), (NOW, 0, 0.42%, 0.0000562%), (T, 0, 0.42%, 0.0002362%), (SPGI, 0, 0.40%, 0.0000581%), (MS, 0, 0.39%, 0.0000430%), (MRK, 0, 0.39%, 0.0000471%), (VZ, 0, 0.37%, 0.0000504%), (AXP, 0, 0.37%, 0.0000447%), (BLK, 0, 0.37%, 0.0000523%), (TXN, 0, 0.36%, 0.0000528%), (UNP, 0, 0.35%, 0.0000657%), (MDT, 0, 0.35%, 0.0000740%), (ACN, 0, 0.35%, 0.0000572%), (QCOM, 0, 0.35%, 0.0000541%), (ADBE, 0, 0.35%, 0.0000600%), (COP, 0, 0.35%, 0.0000733%), (DIS, 0, 0.33%, 0.0000403%), (TMO, 0, 0.33%, 0.0000474%), (SBUX, 0, 0.32%, 0.0000774%), (SCHW, 0, 0.32%, 0.0000456%), (AMAT, 0, 0.32%, 0.0000544%), (C, 0, 0.32%, 0.0000469%), (LMT, 0, 0.31%, 0.0000765%), (AMGN, 0, 0.29%, 0.0000464%), (MMM, 0, 0.28%, 0.0000862%), (GILD, 0, 0.26%, 0.0000466%), (PFE, 0, 0.26%, 0.0000463%), (EMR, 0, 0.26%, 0.0000851%), (TJX, 0, 0.26%, 0.0000429%), (CVS, 0, 0.24%, 0.0000733%), (DHR, 0, 0.24%, 0.0000423%), (MO, 0, 0.24%, 0.0000555%), (LOW, 0, 0.23%, 0.0000428%), (ELV, 0, 0.20%, 0.0000774%), (CMCSA, 0, 0.20%, 0.0000420%), (MDLZ, 0, 0.19%, 0.0000569%), (INTC, 0, 0.18%, 0.0000487%), (BMY, 0, 0.17%, 0.0000463%), (UPS, 0, 0.17%, 0.0000639%), (PYPL, 0, 0.15%, 0.0000593%), (CL, 0, 0.14%, 0.0000506%), (FDX, 0, 0.13%, 0.0000615%), (USB, 0, 0.13%, 0.0000458%), (TGT, 0, 0.09%, 0.0000436%), (nan, 0, -0.01%, 0.0000000%), (nan, 0, -0.01%, 0.0000000%)</t>
  </si>
  <si>
    <t>(GOOGLE, 0, 3.69%, 0.0002275%), (AVGO, 0, 3.24%, 0.0003129%), (META, 0, 2.90%, 0.0002411%), (BRK/B, 0, 2.07%, 0.0004431%), (CSCO, 0, 1.88%, 0.0009381%), (LIN, 0, 1.81%, 0.0011237%), (AMT, 0, 1.64%, 0.0022736%), (TSLA, 0, 1.64%, 0.0002112%), (JPM, 0, 1.62%, 0.0002813%), (XOM, 0, 1.45%, 0.0004391%), (V, 0, 1.40%, 0.0003390%), (CB, 0, 1.16%, 0.0014926%), (WM, 0, 1.12%, 0.0016333%), (MA, 0, 1.12%, 0.0003064%), (GE, 0, 1.09%, 0.0005192%), (LLY, 0, 1.04%, 0.0002332%), (ORCL, 0, 1.00%, 0.0001933%), (PLTR, 0, 0.90%, 0.0003090%), (NEE, 0, 0.90%, 0.0008116%), (NFLX, 0, 0.89%, 0.0002428%), (JNJ, 0, 0.84%, 0.0002796%), (WMT, 0, 0.84%, 0.0001407%), (COST, 0, 0.81%, 0.0002584%), (CVX, 0, 0.80%, 0.0003477%), (PG, 0, 0.79%, 0.0003033%), (RTX, 0, 0.77%, 0.0005024%), (MCD, 0, 0.75%, 0.0004693%), (CAT, 0, 0.75%, 0.0005215%), (ABT, 0, 0.74%, 0.0004444%), (UNH, 0, 0.73%, 0.0004526%), (ABBV, 0, 0.72%, 0.0002799%), (HD, 0, 0.71%, 0.0002546%), (KO, 0, 0.66%, 0.0002979%), (AMD, 0, 0.65%, 0.0003164%), (PM, 0, 0.63%, 0.0003302%), (SO, 0, 0.63%, 0.0008186%), (BA, 0, 0.63%, 0.0004977%), (BKNG, 0, 0.62%, 0.0004809%), (BAC, 0, 0.60%, 0.0002476%), (NKE, 0, 0.59%, 0.0009206%), (DUK, 0, 0.59%, 0.0008172%), (IBM, 0, 0.58%, 0.0003391%), (CRM, 0, 0.58%, 0.0003443%), (UBER, 0, 0.55%, 0.0003908%), (GS, 0, 0.55%, 0.0003487%), (ISRG, 0, 0.55%, 0.0004477%), (INTU, 0, 0.54%, 0.0003447%), (ETN, 0, 0.53%, 0.0005137%), (HON, 0, 0.52%, 0.0005184%), (WFC, 0, 0.52%, 0.0002855%), (MET, 0, 0.49%, 0.0013705%), (DE, 0, 0.48%, 0.0004765%), (PEP, 0, 0.48%, 0.0003317%), (NOW, 0, 0.45%, 0.0003394%), (T, 0, 0.45%, 0.0014216%), (SPGI, 0, 0.43%, 0.0003494%), (MS, 0, 0.43%, 0.0002589%), (MRK, 0, 0.42%, 0.0002834%), (VZ, 0, 0.40%, 0.0003037%), (AXP, 0, 0.40%, 0.0002691%), (BLK, 0, 0.39%, 0.0003132%), (TXN, 0, 0.39%, 0.0003176%), (UNP, 0, 0.38%, 0.0003955%), (MDT, 0, 0.38%, 0.0004455%), (ACN, 0, 0.38%, 0.0003439%), (QCOM, 0, 0.38%, 0.0003258%), (ADBE, 0, 0.37%, 0.0003605%), (COP, 0, 0.37%, 0.0004412%), (DIS, 0, 0.36%, 0.0002426%), (TMO, 0, 0.36%, 0.0002848%), (SBUX, 0, 0.35%, 0.0004661%), (SCHW, 0, 0.35%, 0.0002744%), (AMAT, 0, 0.35%, 0.0003275%), (C, 0, 0.35%, 0.0002822%), (LMT, 0, 0.33%, 0.0004615%), (AMGN, 0, 0.31%, 0.0002794%), (MMM, 0, 0.30%, 0.0005188%), (EMR, 0, 0.28%, 0.0005128%), (GILD, 0, 0.28%, 0.0002808%), (PFE, 0, 0.28%, 0.0002789%), (TJX, 0, 0.28%, 0.0002586%), (CVS, 0, 0.26%, 0.0004417%), (DHR, 0, 0.26%, 0.0002547%), (MO, 0, 0.26%, 0.0003337%), (LOW, 0, 0.25%, 0.0002580%), (ELV, 0, 0.21%, 0.0004648%), (CMCSA, 0, 0.21%, 0.0002529%), (MDLZ, 0, 0.20%, 0.0003425%), (INTC, 0, 0.20%, 0.0002934%), (BMY, 0, 0.19%, 0.0002788%), (UPS, 0, 0.18%, 0.0003845%), (PYPL, 0, 0.17%, 0.0003571%), (CL, 0, 0.15%, 0.0003051%), (FDX, 0, 0.14%, 0.0003687%), (USB, 0, 0.14%, 0.0002754%), (TGT, 0, 0.09%, 0.0002619%), (nan, 0, -0.02%, 0.0000000%), (nan, 0, -0.02%, 0.0000000%)</t>
  </si>
  <si>
    <t>(GOOGLE, 0, 3.67%, 0.0001693%), (AVGO, 0, 3.23%, 0.0002330%), (META, 0, 2.90%, 0.0001794%), (BRK/B, 0, 2.06%, 0.0003298%), (CSCO, 0, 1.88%, 0.0006983%), (LIN, 0, 1.80%, 0.0008365%), (TSLA, 0, 1.63%, 0.0001573%), (AMT, 0, 1.63%, 0.0016926%), (JPM, 0, 1.62%, 0.0002094%), (XOM, 0, 1.45%, 0.0003269%), (V, 0, 1.39%, 0.0002524%), (CB, 0, 1.16%, 0.0011112%), (WM, 0, 1.12%, 0.0012160%), (MA, 0, 1.11%, 0.0002281%), (GE, 0, 1.09%, 0.0003866%), (LLY, 0, 1.03%, 0.0001736%), (ORCL, 0, 0.99%, 0.0001439%), (PLTR, 0, 0.90%, 0.0002301%), (NEE, 0, 0.89%, 0.0006042%), (NFLX, 0, 0.88%, 0.0001808%), (JNJ, 0, 0.84%, 0.0002082%), (WMT, 0, 0.84%, 0.0001047%), (COST, 0, 0.81%, 0.0001922%), (CVX, 0, 0.79%, 0.0002588%), (PG, 0, 0.79%, 0.0002258%), (RTX, 0, 0.77%, 0.0003740%), (MCD, 0, 0.75%, 0.0003494%), (CAT, 0, 0.74%, 0.0003883%), (ABT, 0, 0.74%, 0.0003308%), (UNH, 0, 0.73%, 0.0003369%), (ABBV, 0, 0.72%, 0.0002084%), (HD, 0, 0.71%, 0.0001896%), (KO, 0, 0.66%, 0.0002218%), (AMD, 0, 0.64%, 0.0002356%), (PM, 0, 0.63%, 0.0002458%), (SO, 0, 0.63%, 0.0006094%), (BA, 0, 0.62%, 0.0003706%), (BKNG, 0, 0.61%, 0.0003568%), (BAC, 0, 0.60%, 0.0001843%), (NKE, 0, 0.59%, 0.0006854%), (DUK, 0, 0.58%, 0.0006083%), (IBM, 0, 0.58%, 0.0002525%), (CRM, 0, 0.58%, 0.0002563%), (UBER, 0, 0.55%, 0.0002909%), (GS, 0, 0.55%, 0.0002597%), (ISRG, 0, 0.54%, 0.0003331%), (INTU, 0, 0.53%, 0.0002565%), (ETN, 0, 0.53%, 0.0003825%), (HON, 0, 0.52%, 0.0003859%), (WFC, 0, 0.51%, 0.0002126%), (MET, 0, 0.49%, 0.0010203%), (DE, 0, 0.48%, 0.0003548%), (PEP, 0, 0.47%, 0.0002469%), (NOW, 0, 0.45%, 0.0002529%), (T, 0, 0.45%, 0.0010584%), (SPGI, 0, 0.43%, 0.0002602%), (MS, 0, 0.42%, 0.0001928%), (MRK, 0, 0.41%, 0.0002109%), (VZ, 0, 0.40%, 0.0002261%), (AXP, 0, 0.40%, 0.0002003%), (BLK, 0, 0.39%, 0.0002331%), (TXN, 0, 0.39%, 0.0002365%), (UNP, 0, 0.38%, 0.0002945%), (MDT, 0, 0.38%, 0.0003316%), (ACN, 0, 0.38%, 0.0002561%), (QCOM, 0, 0.37%, 0.0002425%), (ADBE, 0, 0.37%, 0.0002683%), (COP, 0, 0.37%, 0.0003284%), (DIS, 0, 0.36%, 0.0001806%), (TMO, 0, 0.36%, 0.0002121%), (SBUX, 0, 0.35%, 0.0003470%), (SCHW, 0, 0.35%, 0.0002043%), (AMAT, 0, 0.35%, 0.0002438%), (C, 0, 0.35%, 0.0002101%), (LMT, 0, 0.33%, 0.0003436%), (AMGN, 0, 0.31%, 0.0002080%), (MMM, 0, 0.30%, 0.0003863%), (GILD, 0, 0.28%, 0.0002090%), (EMR, 0, 0.28%, 0.0003817%), (PFE, 0, 0.28%, 0.0002076%), (TJX, 0, 0.27%, 0.0001925%), (CVS, 0, 0.26%, 0.0003288%), (DHR, 0, 0.26%, 0.0001896%), (MO, 0, 0.26%, 0.0002485%), (LOW, 0, 0.25%, 0.0001920%), (ELV, 0, 0.21%, 0.0003460%), (CMCSA, 0, 0.21%, 0.0001883%), (MDLZ, 0, 0.20%, 0.0002550%), (INTC, 0, 0.20%, 0.0002184%), (BMY, 0, 0.19%, 0.0002075%), (UPS, 0, 0.18%, 0.0002863%), (PYPL, 0, 0.17%, 0.0002658%), (CL, 0, 0.15%, 0.0002272%), (FDX, 0, 0.14%, 0.0002746%), (USB, 0, 0.14%, 0.0002050%), (TGT, 0, 0.09%, 0.0001950%), (nan, 0, -0.01%, 0.0000000%), (nan, 0, -0.02%, 0.0000000%)</t>
  </si>
  <si>
    <t>(GOOGLE, 0, 3.71%, 0.0000397%), (AVGO, 0, 3.26%, 0.0000546%), (META, 0, 2.93%, 0.0000421%), (BRK/B, 0, 2.08%, 0.0000773%), (CSCO, 0, 1.89%, 0.0001637%), (LIN, 0, 1.82%, 0.0001962%), (AMT, 0, 1.65%, 0.0003967%), (TSLA, 0, 1.65%, 0.0000369%), (JPM, 0, 1.64%, 0.0000491%), (XOM, 0, 1.46%, 0.0000766%), (V, 0, 1.41%, 0.0000592%), (CB, 0, 1.17%, 0.0002604%), (WM, 0, 1.13%, 0.0002850%), (MA, 0, 1.13%, 0.0000535%), (GE, 0, 1.10%, 0.0000906%), (LLY, 0, 1.04%, 0.0000407%), (ORCL, 0, 1.01%, 0.0000337%), (PLTR, 0, 0.91%, 0.0000539%), (NEE, 0, 0.90%, 0.0001416%), (NFLX, 0, 0.90%, 0.0000425%), (JNJ, 0, 0.85%, 0.0000488%), (WMT, 0, 0.84%, 0.0000245%), (COST, 0, 0.81%, 0.0000451%), (CVX, 0, 0.80%, 0.0000607%), (PG, 0, 0.80%, 0.0000529%), (RTX, 0, 0.77%, 0.0000876%), (MCD, 0, 0.76%, 0.0000818%), (CAT, 0, 0.75%, 0.0000909%), (ABT, 0, 0.75%, 0.0000776%), (UNH, 0, 0.74%, 0.0000790%), (ABBV, 0, 0.73%, 0.0000489%), (HD, 0, 0.72%, 0.0000444%), (KO, 0, 0.66%, 0.0000520%), (AMD, 0, 0.65%, 0.0000552%), (PM, 0, 0.63%, 0.0000576%), (SO, 0, 0.63%, 0.0001429%), (BA, 0, 0.63%, 0.0000868%), (BKNG, 0, 0.62%, 0.0000838%), (BAC, 0, 0.61%, 0.0000432%), (NKE, 0, 0.60%, 0.0001607%), (DUK, 0, 0.59%, 0.0001426%), (IBM, 0, 0.58%, 0.0000592%), (CRM, 0, 0.58%, 0.0000601%), (GS, 0, 0.56%, 0.0000610%), (UBER, 0, 0.55%, 0.0000682%), (ISRG, 0, 0.55%, 0.0000781%), (INTU, 0, 0.54%, 0.0000603%), (ETN, 0, 0.53%, 0.0000896%), (HON, 0, 0.53%, 0.0000904%), (WFC, 0, 0.52%, 0.0000498%), (MET, 0, 0.50%, 0.0002391%), (DE, 0, 0.48%, 0.0000832%), (PEP, 0, 0.48%, 0.0000578%), (NOW, 0, 0.45%, 0.0000591%), (T, 0, 0.45%, 0.0002481%), (SPGI, 0, 0.44%, 0.0000611%), (MS, 0, 0.43%, 0.0000452%), (MRK, 0, 0.42%, 0.0000494%), (VZ, 0, 0.41%, 0.0000530%), (AXP, 0, 0.40%, 0.0000470%), (BLK, 0, 0.40%, 0.0000549%), (TXN, 0, 0.39%, 0.0000555%), (UNP, 0, 0.38%, 0.0000690%), (ACN, 0, 0.38%, 0.0000600%), (MDT, 0, 0.38%, 0.0000777%), (QCOM, 0, 0.38%, 0.0000568%), (COP, 0, 0.38%, 0.0000769%), (ADBE, 0, 0.38%, 0.0000628%), (DIS, 0, 0.36%, 0.0000423%), (TMO, 0, 0.36%, 0.0000498%), (SBUX, 0, 0.35%, 0.0000813%), (SCHW, 0, 0.35%, 0.0000479%), (AMAT, 0, 0.35%, 0.0000571%), (C, 0, 0.35%, 0.0000493%), (LMT, 0, 0.34%, 0.0000804%), (AMGN, 0, 0.32%, 0.0000487%), (MMM, 0, 0.31%, 0.0000905%), (EMR, 0, 0.28%, 0.0000896%), (PFE, 0, 0.28%, 0.0000487%), (GILD, 0, 0.28%, 0.0000490%), (TJX, 0, 0.28%, 0.0000451%), (CVS, 0, 0.26%, 0.0000770%), (MO, 0, 0.26%, 0.0000583%), (DHR, 0, 0.26%, 0.0000445%), (LOW, 0, 0.25%, 0.0000451%), (ELV, 0, 0.22%, 0.0000810%), (CMCSA, 0, 0.21%, 0.0000441%), (MDLZ, 0, 0.20%, 0.0000598%), (INTC, 0, 0.20%, 0.0000512%), (BMY, 0, 0.19%, 0.0000486%), (UPS, 0, 0.18%, 0.0000671%), (PYPL, 0, 0.17%, 0.0000623%), (CL, 0, 0.15%, 0.0000532%), (FDX, 0, 0.14%, 0.0000644%), (USB, 0, 0.14%, 0.0000481%), (TGT, 0, 0.09%, 0.0000458%), (nan, 0, -0.02%, 0.0000000%), (nan, 0, -0.02%, 0.0000000%)</t>
  </si>
  <si>
    <t>(GOOGLE, 0, 3.54%, 0.0000694%), (AVGO, 0, 3.12%, 0.0000955%), (META, 0, 2.80%, 0.0000736%), (BRK/B, 0, 1.99%, 0.0001352%), (CSCO, 0, 1.81%, 0.0002863%), (LIN, 0, 1.74%, 0.0003429%), (TSLA, 0, 1.58%, 0.0000645%), (AMT, 0, 1.57%, 0.0006938%), (JPM, 0, 1.56%, 0.0000858%), (XOM, 0, 1.40%, 0.0001340%), (V, 0, 1.35%, 0.0001034%), (CB, 0, 1.11%, 0.0004556%), (WM, 0, 1.08%, 0.0004984%), (MA, 0, 1.07%, 0.0000936%), (GE, 0, 1.05%, 0.0001585%), (LLY, 0, 1.00%, 0.0000712%), (ORCL, 0, 0.96%, 0.0000590%), (PLTR, 0, 0.88%, 0.0000943%), (NEE, 0, 0.86%, 0.0002477%), (NFLX, 0, 0.85%, 0.0000741%), (JNJ, 0, 0.81%, 0.0000853%), (WMT, 0, 0.81%, 0.0000429%), (COST, 0, 0.78%, 0.0000787%), (CVX, 0, 0.77%, 0.0001061%), (PG, 0, 0.76%, 0.0000926%), (RTX, 0, 0.74%, 0.0001533%), (MCD, 0, 0.72%, 0.0001432%), (CAT, 0, 0.72%, 0.0001592%), (ABT, 0, 0.71%, 0.0001356%), (UNH, 0, 0.70%, 0.0001381%), (ABBV, 0, 0.69%, 0.0000854%), (HD, 0, 0.68%, 0.0000777%), (KO, 0, 0.63%, 0.0000909%), (AMD, 0, 0.62%, 0.0000966%), (PM, 0, 0.61%, 0.0001007%), (SO, 0, 0.60%, 0.0002498%), (BA, 0, 0.60%, 0.0001520%), (BKNG, 0, 0.59%, 0.0001458%), (BAC, 0, 0.58%, 0.0000756%), (NKE, 0, 0.57%, 0.0002809%), (DUK, 0, 0.56%, 0.0002494%), (IBM, 0, 0.56%, 0.0001035%), (CRM, 0, 0.56%, 0.0001050%), (UBER, 0, 0.53%, 0.0001193%), (GS, 0, 0.52%, 0.0001064%), (ISRG, 0, 0.52%, 0.0001365%), (INTU, 0, 0.51%, 0.0001051%), (ETN, 0, 0.51%, 0.0001567%), (HON, 0, 0.50%, 0.0001581%), (WFC, 0, 0.50%, 0.0000871%), (MET, 0, 0.47%, 0.0004182%), (DE, 0, 0.46%, 0.0001454%), (PEP, 0, 0.46%, 0.0001012%), (NOW, 0, 0.44%, 0.0001038%), (T, 0, 0.43%, 0.0004338%), (SPGI, 0, 0.41%, 0.0001067%), (MS, 0, 0.41%, 0.0000790%), (MRK, 0, 0.40%, 0.0000865%), (VZ, 0, 0.39%, 0.0000927%), (AXP, 0, 0.38%, 0.0000822%), (BLK, 0, 0.38%, 0.0000956%), (TXN, 0, 0.37%, 0.0000970%), (UNP, 0, 0.37%, 0.0001207%), (MDT, 0, 0.37%, 0.0001360%), (ACN, 0, 0.36%, 0.0001050%), (QCOM, 0, 0.36%, 0.0000994%), (ADBE, 0, 0.36%, 0.0001101%), (COP, 0, 0.36%, 0.0001346%), (DIS, 0, 0.35%, 0.0000740%), (TMO, 0, 0.34%, 0.0000870%), (SBUX, 0, 0.34%, 0.0001423%), (SCHW, 0, 0.34%, 0.0000837%), (AMAT, 0, 0.33%, 0.0000999%), (C, 0, 0.33%, 0.0000861%), (LMT, 0, 0.32%, 0.0001409%), (AMGN, 0, 0.30%, 0.0000853%), (MMM, 0, 0.29%, 0.0001583%), (GILD, 0, 0.27%, 0.0000857%), (EMR, 0, 0.27%, 0.0001565%), (PFE, 0, 0.27%, 0.0000851%), (TJX, 0, 0.26%, 0.0000789%), (CVS, 0, 0.25%, 0.0001348%), (DHR, 0, 0.25%, 0.0000777%), (MO, 0, 0.25%, 0.0001019%), (LOW, 0, 0.24%, 0.0000788%), (ELV, 0, 0.21%, 0.0001417%), (CMCSA, 0, 0.21%, 0.0000772%), (MDLZ, 0, 0.19%, 0.0001045%), (INTC, 0, 0.19%, 0.0000895%), (BMY, 0, 0.18%, 0.0000851%), (UPS, 0, 0.17%, 0.0001174%), (PYPL, 0, 0.16%, 0.0001089%), (CL, 0, 0.15%, 0.0000930%), (FDX, 0, 0.14%, 0.0001123%), (USB, 0, 0.13%, 0.0000841%), (TGT, 0, 0.09%, 0.0000799%), (nan, 0, -0.01%, 0.0000000%), (nan, 0, -0.01%, 0.0000000%)</t>
  </si>
  <si>
    <t>(GOOGLE, 0, 3.61%, 0.0000252%), (AVGO, 0, 3.19%, 0.0000346%), (META, 0, 2.86%, 0.0000267%), (BRK/B, 0, 2.03%, 0.0000490%), (CSCO, 0, 1.85%, 0.0001038%), (LIN, 0, 1.77%, 0.0001242%), (AMT, 0, 1.61%, 0.0002514%), (TSLA, 0, 1.60%, 0.0000234%), (JPM, 0, 1.59%, 0.0000311%), (XOM, 0, 1.43%, 0.0000486%), (V, 0, 1.37%, 0.0000375%), (CB, 0, 1.14%, 0.0001652%), (WM, 0, 1.10%, 0.0001807%), (MA, 0, 1.09%, 0.0000339%), (GE, 0, 1.07%, 0.0000575%), (LLY, 0, 1.02%, 0.0000258%), (ORCL, 0, 0.98%, 0.0000214%), (PLTR, 0, 0.88%, 0.0000342%), (NEE, 0, 0.88%, 0.0000898%), (NFLX, 0, 0.87%, 0.0000269%), (JNJ, 0, 0.83%, 0.0000309%), (WMT, 0, 0.82%, 0.0000156%), (COST, 0, 0.81%, 0.0000287%), (CVX, 0, 0.78%, 0.0000384%), (PG, 0, 0.78%, 0.0000336%), (RTX, 0, 0.75%, 0.0000556%), (MCD, 0, 0.74%, 0.0000518%), (CAT, 0, 0.73%, 0.0000576%), (ABT, 0, 0.73%, 0.0000492%), (UNH, 0, 0.72%, 0.0000501%), (ABBV, 0, 0.71%, 0.0000310%), (HD, 0, 0.69%, 0.0000281%), (KO, 0, 0.65%, 0.0000330%), (AMD, 0, 0.63%, 0.0000350%), (PM, 0, 0.62%, 0.0000366%), (SO, 0, 0.62%, 0.0000905%), (BA, 0, 0.61%, 0.0000550%), (BKNG, 0, 0.60%, 0.0000527%), (BAC, 0, 0.59%, 0.0000274%), (NKE, 0, 0.58%, 0.0001018%), (DUK, 0, 0.57%, 0.0000903%), (IBM, 0, 0.57%, 0.0000376%), (CRM, 0, 0.57%, 0.0000381%), (GS, 0, 0.54%, 0.0000387%), (UBER, 0, 0.54%, 0.0000432%), (ISRG, 0, 0.54%, 0.0000496%), (INTU, 0, 0.52%, 0.0000380%), (ETN, 0, 0.52%, 0.0000568%), (HON, 0, 0.51%, 0.0000573%), (WFC, 0, 0.51%, 0.0000316%), (MET, 0, 0.48%, 0.0001516%), (PEP, 0, 0.47%, 0.0000367%), (DE, 0, 0.47%, 0.0000525%), (NOW, 0, 0.44%, 0.0000375%), (T, 0, 0.44%, 0.0001573%), (SPGI, 0, 0.43%, 0.0000386%), (MS, 0, 0.42%, 0.0000286%), (MRK, 0, 0.41%, 0.0000313%), (VZ, 0, 0.40%, 0.0000336%), (AXP, 0, 0.39%, 0.0000298%), (BLK, 0, 0.39%, 0.0000349%), (TXN, 0, 0.38%, 0.0000351%), (MDT, 0, 0.37%, 0.0000493%), (UNP, 0, 0.37%, 0.0000438%), (ACN, 0, 0.37%, 0.0000381%), (QCOM, 0, 0.37%, 0.0000361%), (ADBE, 0, 0.37%, 0.0000399%), (COP, 0, 0.37%, 0.0000488%), (DIS, 0, 0.35%, 0.0000268%), (TMO, 0, 0.35%, 0.0000314%), (SBUX, 0, 0.34%, 0.0000516%), (SCHW, 0, 0.34%, 0.0000304%), (AMAT, 0, 0.34%, 0.0000363%), (C, 0, 0.34%, 0.0000312%), (LMT, 0, 0.33%, 0.0000510%), (AMGN, 0, 0.31%, 0.0000308%), (MMM, 0, 0.30%, 0.0000574%), (GILD, 0, 0.28%, 0.0000311%), (EMR, 0, 0.27%, 0.0000567%), (PFE, 0, 0.27%, 0.0000309%), (TJX, 0, 0.27%, 0.0000286%), (DHR, 0, 0.26%, 0.0000282%), (CVS, 0, 0.26%, 0.0000488%), (MO, 0, 0.26%, 0.0000369%), (LOW, 0, 0.25%, 0.0000285%), (ELV, 0, 0.21%, 0.0000513%), (CMCSA, 0, 0.21%, 0.0000280%), (MDLZ, 0, 0.20%, 0.0000379%), (INTC, 0, 0.19%, 0.0000324%), (BMY, 0, 0.18%, 0.0000308%), (UPS, 0, 0.17%, 0.0000425%), (PYPL, 0, 0.16%, 0.0000394%), (CL, 0, 0.15%, 0.0000337%), (FDX, 0, 0.14%, 0.0000407%), (USB, 0, 0.14%, 0.0000305%), (TGT, 0, 0.09%, 0.0000290%), (nan, 0, -0.01%, 0.0000000%), (nan, 0, -0.01%, 0.0000000%)</t>
  </si>
  <si>
    <t>(GOOGLE, 0, 3.85%, 0.0000603%), (AVGO, 0, 3.39%, 0.0000830%), (META, 0, 3.04%, 0.0000639%), (BRK/B, 0, 2.16%, 0.0001175%), (CSCO, 0, 1.97%, 0.0002488%), (LIN, 0, 1.89%, 0.0002981%), (TSLA, 0, 1.71%, 0.0000560%), (AMT, 0, 1.71%, 0.0006030%), (JPM, 0, 1.70%, 0.0000746%), (XOM, 0, 1.52%, 0.0001165%), (V, 0, 1.46%, 0.0000899%), (CB, 0, 1.21%, 0.0003959%), (WM, 0, 1.18%, 0.0004331%), (MA, 0, 1.17%, 0.0000812%), (GE, 0, 1.14%, 0.0001377%), (LLY, 0, 1.08%, 0.0000619%), (ORCL, 0, 1.04%, 0.0000513%), (PLTR, 0, 0.95%, 0.0000820%), (NEE, 0, 0.94%, 0.0002153%), (NFLX, 0, 0.92%, 0.0000644%), (JNJ, 0, 0.88%, 0.0000742%), (WMT, 0, 0.88%, 0.0000373%), (COST, 0, 0.85%, 0.0000686%), (CVX, 0, 0.83%, 0.0000922%), (PG, 0, 0.83%, 0.0000805%), (RTX, 0, 0.80%, 0.0001333%), (MCD, 0, 0.79%, 0.0001244%), (CAT, 0, 0.78%, 0.0001383%), (ABT, 0, 0.78%, 0.0001179%), (UNH, 0, 0.76%, 0.0001201%), (ABBV, 0, 0.75%, 0.0000742%), (HD, 0, 0.74%, 0.0000675%), (KO, 0, 0.69%, 0.0000790%), (AMD, 0, 0.68%, 0.0000839%), (PM, 0, 0.66%, 0.0000876%), (SO, 0, 0.66%, 0.0002171%), (BA, 0, 0.66%, 0.0001321%), (BKNG, 0, 0.64%, 0.0001272%), (BAC, 0, 0.63%, 0.0000657%), (NKE, 0, 0.62%, 0.0002442%), (DUK, 0, 0.61%, 0.0002167%), (IBM, 0, 0.61%, 0.0000900%), (CRM, 0, 0.60%, 0.0000913%), (UBER, 0, 0.57%, 0.0001036%), (ISRG, 0, 0.57%, 0.0001188%), (GS, 0, 0.57%, 0.0000924%), (INTU, 0, 0.56%, 0.0000915%), (ETN, 0, 0.55%, 0.0001361%), (HON, 0, 0.55%, 0.0001375%), (WFC, 0, 0.54%, 0.0000757%), (MET, 0, 0.52%, 0.0003634%), (DE, 0, 0.50%, 0.0001265%), (PEP, 0, 0.50%, 0.0000880%), (NOW, 0, 0.47%, 0.0000899%), (T, 0, 0.47%, 0.0003771%), (SPGI, 0, 0.45%, 0.0000928%), (MS, 0, 0.44%, 0.0000687%), (MRK, 0, 0.44%, 0.0000751%), (VZ, 0, 0.42%, 0.0000805%), (AXP, 0, 0.42%, 0.0000714%), (BLK, 0, 0.41%, 0.0000833%), (TXN, 0, 0.41%, 0.0000843%), (UNP, 0, 0.40%, 0.0001049%), (MDT, 0, 0.40%, 0.0001182%), (ACN, 0, 0.40%, 0.0000912%), (QCOM, 0, 0.39%, 0.0000864%), (ADBE, 0, 0.39%, 0.0000956%), (COP, 0, 0.39%, 0.0001170%), (DIS, 0, 0.38%, 0.0000644%), (TMO, 0, 0.37%, 0.0000756%), (SBUX, 0, 0.37%, 0.0001236%), (SCHW, 0, 0.37%, 0.0000728%), (AMAT, 0, 0.36%, 0.0000869%), (C, 0, 0.36%, 0.0000749%), (LMT, 0, 0.35%, 0.0001223%), (AMGN, 0, 0.33%, 0.0000741%), (MMM, 0, 0.32%, 0.0001376%), (GILD, 0, 0.29%, 0.0000745%), (EMR, 0, 0.29%, 0.0001359%), (PFE, 0, 0.29%, 0.0000740%), (TJX, 0, 0.29%, 0.0000686%), (CVS, 0, 0.27%, 0.0001171%), (DHR, 0, 0.27%, 0.0000675%), (MO, 0, 0.27%, 0.0000885%), (LOW, 0, 0.26%, 0.0000685%), (ELV, 0, 0.22%, 0.0001233%), (CMCSA, 0, 0.22%, 0.0000671%), (MDLZ, 0, 0.21%, 0.0000908%), (INTC, 0, 0.21%, 0.0000778%), (BMY, 0, 0.20%, 0.0000739%), (UPS, 0, 0.19%, 0.0001020%), (PYPL, 0, 0.17%, 0.0000947%), (CL, 0, 0.16%, 0.0000809%), (FDX, 0, 0.15%, 0.0000979%), (USB, 0, 0.14%, 0.0000731%), (TGT, 0, 0.09%, 0.0000695%), (nan, 0, -0.02%, 0.0000000%), (nan, 0, -0.02%, 0.0000000%)</t>
  </si>
  <si>
    <t>EBAY, META, BK, MSFT, GOOGLE, JPM, BLK, MLI, BKNG, RJF, EA, AMAT</t>
  </si>
  <si>
    <t>(PHM, 0, 1.84%, 0.0042664%), (HIG, 0, 1.83%, 0.0028164%), (NVDA, 0, 1.81%, 0.0000225%), (TRV, 0, 1.81%, 0.0016717%), (EWBC, 0, 1.81%, 0.0073508%), (AXP, 0, 1.78%, 0.0004799%), (V, 0, 1.78%, 0.0001725%), (ADP, 0, 1.74%, 0.0007741%), (ROST, 0, 1.74%, 0.0020075%), (KLAC, 0, 1.73%, 0.0007892%), (SNA, 0, 1.72%, 0.0056184%), (UNM, 0, 1.65%, 0.0077410%), (PCAR, 0, 1.64%, 0.0017646%), (CB, 0, 1.63%, 0.0008403%), (SYF, 0, 1.53%, 0.0033981%), (PAYC, 0, 1.53%, 0.0061942%), (WSM, 0, 1.51%, 0.0034026%), (LEN, 0, 1.51%, 0.0030916%), (CTSH, 0, 1.50%, 0.0024542%), (CRM, 0, 1.48%, 0.0003527%), (BKR, 0, 1.37%, 0.0017666%), (DHI, 0, 1.30%, 0.0015611%), (QCOM, 0, 1.26%, 0.0004382%), (ACN, 0, 1.24%, 0.0004484%), (AAPL, 0, 1.23%, 0.0000207%), (AFL, 0, 1.21%, 0.0012105%), (ELV, 0, 1.17%, 0.0010102%), (CSCO, 0, 1.12%, 0.0002218%), (LRCX, 0, 1.10%, 0.0004807%), (MPWR, 0, 1.09%, 0.0015618%), (ODFL, 0, 1.07%, 0.0019109%), (GE, 0, 1.05%, 0.0002006%), (STT, 0, 0.98%, 0.0017400%), (PNC, 0, 0.89%, 0.0006610%), (MTB, 0, 0.87%, 0.0016826%), (COST, 0, 0.87%, 0.0001097%), (AMP, 0, 0.86%, 0.0010193%), (ABT, 0, 0.85%, 0.0002012%), (CF, 0, 0.84%, 0.0034296%), (XOM, 0, 0.79%, 0.0000954%), (EOG, 0, 0.78%, 0.0006705%), (EG, 0, 0.74%, 0.0029310%), (CSL, 0, 0.71%, 0.0026085%), (GEV, 0, 0.59%, 0.0001828%), (NTRS, 0, 0.52%, 0.0011929%), (MA, 0, 0.48%, 0.0000528%), (JNJ, 0, 0.47%, 0.0000627%), (CRBG, 0, 0.47%, 0.0014389%), (ACM, 0, 0.47%, 0.0016120%), (CINF, 0, 0.44%, 0.0010056%), (LNC, 0, 0.43%, 0.0032484%), (MTG, 0, 0.43%, 0.0039622%), (DOV, 0, 0.42%, 0.0009617%), (ALL, 0, 0.42%, 0.0004239%), (SLM, 0, 0.42%, 0.0035678%), (JXN, 0, 0.41%, 0.0036568%), (WTFC, 0, 0.41%, 0.0027139%), (EQH, 0, 0.40%, 0.0014603%), (ADM, 0, 0.40%, 0.0007820%), (MCK, 0, 0.40%, 0.0002621%), (NUE, 0, 0.38%, 0.0006570%), (NKE, 0, 0.37%, 0.0002312%), (PGR, 0, 0.37%, 0.0001404%), (FANG, 0, 0.30%, 0.0004055%)</t>
  </si>
  <si>
    <t>(GOOGLE, 0, 3.50%, 0.0000639%), (AVGO, 0, 3.08%, 0.0000879%), (META, 0, 2.76%, 0.0000677%), (BRK/B, 0, 1.96%, 0.0001244%), (CSCO, 0, 1.79%, 0.0002634%), (LIN, 0, 1.71%, 0.0003155%), (TSLA, 0, 1.56%, 0.0000593%), (AMT, 0, 1.55%, 0.0006383%), (JPM, 0, 1.54%, 0.0000790%), (XOM, 0, 1.38%, 0.0001233%), (V, 0, 1.33%, 0.0000952%), (CB, 0, 1.10%, 0.0004190%), (WM, 0, 1.07%, 0.0004585%), (MA, 0, 1.06%, 0.0000861%), (GE, 0, 1.03%, 0.0001458%), (LLY, 0, 0.98%, 0.0000655%), (ORCL, 0, 0.95%, 0.0000543%), (PLTR, 0, 0.86%, 0.0000868%), (NEE, 0, 0.85%, 0.0002278%), (NFLX, 0, 0.84%, 0.0000682%), (JNJ, 0, 0.80%, 0.0000785%), (WMT, 0, 0.80%, 0.0000395%), (COST, 0, 0.77%, 0.0000724%), (CVX, 0, 0.76%, 0.0000976%), (PG, 0, 0.75%, 0.0000852%), (RTX, 0, 0.73%, 0.0001410%), (MCD, 0, 0.71%, 0.0001317%), (CAT, 0, 0.71%, 0.0001464%), (ABT, 0, 0.71%, 0.0001248%), (UNH, 0, 0.69%, 0.0001271%), (ABBV, 0, 0.68%, 0.0000786%), (HD, 0, 0.68%, 0.0000714%), (KO, 0, 0.63%, 0.0000836%), (AMD, 0, 0.61%, 0.0000889%), (PM, 0, 0.60%, 0.0000927%), (SO, 0, 0.60%, 0.0002298%), (BA, 0, 0.60%, 0.0001397%), (BKNG, 0, 0.58%, 0.0001334%), (BAC, 0, 0.57%, 0.0000695%), (NKE, 0, 0.56%, 0.0002585%), (DUK, 0, 0.56%, 0.0002295%), (IBM, 0, 0.55%, 0.0000952%), (CRM, 0, 0.55%, 0.0000966%), (UBER, 0, 0.52%, 0.0001097%), (ISRG, 0, 0.52%, 0.0001258%), (GS, 0, 0.52%, 0.0000980%), (INTU, 0, 0.51%, 0.0000968%), (ETN, 0, 0.50%, 0.0001444%), (HON, 0, 0.49%, 0.0001455%), (WFC, 0, 0.49%, 0.0000802%), (MET, 0, 0.47%, 0.0003848%), (DE, 0, 0.45%, 0.0001339%), (PEP, 0, 0.45%, 0.0000931%), (NOW, 0, 0.43%, 0.0000952%), (T, 0, 0.43%, 0.0003991%), (SPGI, 0, 0.41%, 0.0000981%), (MS, 0, 0.40%, 0.0000727%), (MRK, 0, 0.40%, 0.0000796%), (VZ, 0, 0.38%, 0.0000853%), (AXP, 0, 0.38%, 0.0000756%), (BLK, 0, 0.37%, 0.0000878%), (TXN, 0, 0.37%, 0.0000891%), (UNP, 0, 0.36%, 0.0001111%), (MDT, 0, 0.36%, 0.0001251%), (ACN, 0, 0.36%, 0.0000965%), (QCOM, 0, 0.36%, 0.0000915%), (ADBE, 0, 0.35%, 0.0001013%), (COP, 0, 0.35%, 0.0001239%), (DIS, 0, 0.34%, 0.0000681%), (TMO, 0, 0.34%, 0.0000798%), (SBUX, 0, 0.33%, 0.0001308%), (SCHW, 0, 0.33%, 0.0000770%), (AMAT, 0, 0.33%, 0.0000919%), (C, 0, 0.33%, 0.0000793%), (LMT, 0, 0.32%, 0.0001296%), (AMGN, 0, 0.30%, 0.0000784%), (MMM, 0, 0.29%, 0.0001457%), (GILD, 0, 0.27%, 0.0000788%), (EMR, 0, 0.27%, 0.0001439%), (PFE, 0, 0.27%, 0.0000783%), (TJX, 0, 0.26%, 0.0000726%), (CVS, 0, 0.25%, 0.0001240%), (DHR, 0, 0.25%, 0.0000715%), (MO, 0, 0.25%, 0.0000937%), (LOW, 0, 0.24%, 0.0000724%), (ELV, 0, 0.20%, 0.0001305%), (CMCSA, 0, 0.20%, 0.0000710%), (MDLZ, 0, 0.19%, 0.0000962%), (INTC, 0, 0.19%, 0.0000824%), (BMY, 0, 0.18%, 0.0000783%), (UPS, 0, 0.17%, 0.0001080%), (PYPL, 0, 0.16%, 0.0001003%), (CL, 0, 0.14%, 0.0000856%), (FDX, 0, 0.14%, 0.0001034%), (USB, 0, 0.13%, 0.0000773%), (TGT, 0, 0.09%, 0.0000735%), (nan, 0, -0.01%, 0.0000000%), (nan, 0, -0.01%, 0.0000000%)</t>
  </si>
  <si>
    <t>(GOOGLE, 0, 3.67%, 0.0001306%), (AVGO, 0, 3.24%, 0.0001797%), (META, 0, 2.90%, 0.0001384%), (BRK/B, 0, 2.06%, 0.0002544%), (CSCO, 0, 1.88%, 0.0005387%), (LIN, 0, 1.80%, 0.0006453%), (TSLA, 0, 1.64%, 0.0001213%), (AMT, 0, 1.63%, 0.0013056%), (JPM, 0, 1.62%, 0.0001615%), (XOM, 0, 1.45%, 0.0002521%), (V, 0, 1.39%, 0.0001946%), (CB, 0, 1.15%, 0.0008571%), (WM, 0, 1.12%, 0.0009378%), (MA, 0, 1.11%, 0.0001759%), (GE, 0, 1.09%, 0.0002982%), (LLY, 0, 1.03%, 0.0001339%), (ORCL, 0, 1.00%, 0.0001110%), (PLTR, 0, 0.91%, 0.0001774%), (NEE, 0, 0.89%, 0.0004660%), (NFLX, 0, 0.88%, 0.0001395%), (JNJ, 0, 0.84%, 0.0001605%), (WMT, 0, 0.84%, 0.0000808%), (COST, 0, 0.81%, 0.0001482%), (CVX, 0, 0.79%, 0.0001996%), (PG, 0, 0.79%, 0.0001742%), (RTX, 0, 0.77%, 0.0002885%), (MCD, 0, 0.75%, 0.0002695%), (CAT, 0, 0.74%, 0.0002995%), (ABT, 0, 0.74%, 0.0002552%), (UNH, 0, 0.73%, 0.0002599%), (ABBV, 0, 0.72%, 0.0001607%), (HD, 0, 0.71%, 0.0001462%), (KO, 0, 0.66%, 0.0001711%), (AMD, 0, 0.64%, 0.0001817%), (PM, 0, 0.63%, 0.0001896%), (SO, 0, 0.63%, 0.0004700%), (BA, 0, 0.63%, 0.0002858%), (BKNG, 0, 0.61%, 0.0002761%), (BAC, 0, 0.60%, 0.0001422%), (NKE, 0, 0.59%, 0.0005286%), (DUK, 0, 0.58%, 0.0004692%), (IBM, 0, 0.58%, 0.0001947%), (CRM, 0, 0.58%, 0.0001977%), (UBER, 0, 0.55%, 0.0002244%), (GS, 0, 0.55%, 0.0002004%), (ISRG, 0, 0.54%, 0.0002570%), (INTU, 0, 0.53%, 0.0001980%), (ETN, 0, 0.53%, 0.0002949%), (HON, 0, 0.52%, 0.0002977%), (WFC, 0, 0.51%, 0.0001639%), (MET, 0, 0.49%, 0.0007869%), (DE, 0, 0.48%, 0.0002734%), (PEP, 0, 0.47%, 0.0001904%), (NOW, 0, 0.45%, 0.0001952%), (T, 0, 0.45%, 0.0008163%), (SPGI, 0, 0.43%, 0.0002005%), (MS, 0, 0.42%, 0.0001487%), (MRK, 0, 0.41%, 0.0001627%), (VZ, 0, 0.40%, 0.0001744%), (AXP, 0, 0.40%, 0.0001546%), (BLK, 0, 0.39%, 0.0001802%), (TXN, 0, 0.39%, 0.0001824%), (UNP, 0, 0.38%, 0.0002271%), (MDT, 0, 0.38%, 0.0002558%), (ACN, 0, 0.38%, 0.0001975%), (QCOM, 0, 0.37%, 0.0001870%), (ADBE, 0, 0.37%, 0.0002071%), (COP, 0, 0.37%, 0.0002533%), (DIS, 0, 0.36%, 0.0001393%), (TMO, 0, 0.36%, 0.0001637%), (SBUX, 0, 0.35%, 0.0002676%), (SCHW, 0, 0.35%, 0.0001576%), (AMAT, 0, 0.35%, 0.0001880%), (C, 0, 0.35%, 0.0001620%), (LMT, 0, 0.33%, 0.0002649%), (AMGN, 0, 0.31%, 0.0001605%), (MMM, 0, 0.30%, 0.0002978%), (GILD, 0, 0.28%, 0.0001612%), (EMR, 0, 0.28%, 0.0002944%), (PFE, 0, 0.28%, 0.0001601%), (TJX, 0, 0.27%, 0.0001484%), (CVS, 0, 0.26%, 0.0002536%), (DHR, 0, 0.26%, 0.0001462%), (MO, 0, 0.26%, 0.0001916%), (LOW, 0, 0.25%, 0.0001482%), (ELV, 0, 0.21%, 0.0002668%), (CMCSA, 0, 0.21%, 0.0001452%), (MDLZ, 0, 0.20%, 0.0001967%), (INTC, 0, 0.20%, 0.0001685%), (BMY, 0, 0.19%, 0.0001600%), (UPS, 0, 0.18%, 0.0002208%), (PYPL, 0, 0.17%, 0.0002050%), (CL, 0, 0.15%, 0.0001752%), (FDX, 0, 0.14%, 0.0002115%), (USB, 0, 0.14%, 0.0001581%), (TGT, 0, 0.09%, 0.0001503%), (nan, 0, -0.01%, 0.0000000%), (nan, 0, -0.01%, 0.0000000%)</t>
  </si>
  <si>
    <t>(GOOGLE, 0, 3.49%, 0.0002617%), (AVGO, 0, 3.07%, 0.0003601%), (META, 0, 2.75%, 0.0002773%), (BRK/B, 0, 1.95%, 0.0005097%), (CSCO, 0, 1.78%, 0.0010794%), (LIN, 0, 1.71%, 0.0012929%), (AMT, 0, 1.55%, 0.0026161%), (TSLA, 0, 1.55%, 0.0002430%), (JPM, 0, 1.54%, 0.0003236%), (XOM, 0, 1.38%, 0.0005052%), (V, 0, 1.32%, 0.0003900%), (CB, 0, 1.10%, 0.0017174%), (WM, 0, 1.06%, 0.0018793%), (MA, 0, 1.06%, 0.0003526%), (GE, 0, 1.03%, 0.0005975%), (LLY, 0, 0.98%, 0.0002684%), (ORCL, 0, 0.94%, 0.0002224%), (PLTR, 0, 0.85%, 0.0003555%), (NEE, 0, 0.85%, 0.0009338%), (NFLX, 0, 0.84%, 0.0002794%), (JNJ, 0, 0.80%, 0.0003217%), (WMT, 0, 0.79%, 0.0001618%), (COST, 0, 0.77%, 0.0002972%), (CVX, 0, 0.75%, 0.0004001%), (PG, 0, 0.75%, 0.0003490%), (RTX, 0, 0.73%, 0.0005780%), (MCD, 0, 0.71%, 0.0005401%), (CAT, 0, 0.71%, 0.0006000%), (ABT, 0, 0.70%, 0.0005113%), (UNH, 0, 0.69%, 0.0005208%), (ABBV, 0, 0.68%, 0.0003220%), (HD, 0, 0.67%, 0.0002930%), (KO, 0, 0.62%, 0.0003428%), (AMD, 0, 0.61%, 0.0003641%), (PM, 0, 0.60%, 0.0003799%), (SO, 0, 0.59%, 0.0009418%), (BA, 0, 0.59%, 0.0005727%), (BKNG, 0, 0.58%, 0.0005522%), (BAC, 0, 0.57%, 0.0002849%), (NKE, 0, 0.56%, 0.0010593%), (DUK, 0, 0.55%, 0.0009403%), (IBM, 0, 0.55%, 0.0003902%), (CRM, 0, 0.55%, 0.0003961%), (UBER, 0, 0.52%, 0.0004496%), (GS, 0, 0.52%, 0.0004011%), (ISRG, 0, 0.52%, 0.0005151%), (INTU, 0, 0.51%, 0.0003967%), (ETN, 0, 0.50%, 0.0005911%), (HON, 0, 0.49%, 0.0005963%), (WFC, 0, 0.49%, 0.0003285%), (MET, 0, 0.47%, 0.0015769%), (DE, 0, 0.45%, 0.0005482%), (PEP, 0, 0.45%, 0.0003816%), (NOW, 0, 0.43%, 0.0003909%), (T, 0, 0.42%, 0.0016357%), (SPGI, 0, 0.41%, 0.0004019%), (MS, 0, 0.40%, 0.0002979%), (MRK, 0, 0.39%, 0.0003260%), (VZ, 0, 0.38%, 0.0003494%), (AXP, 0, 0.38%, 0.0003098%), (BLK, 0, 0.37%, 0.0003603%), (TXN, 0, 0.37%, 0.0003655%), (UNP, 0, 0.36%, 0.0004550%), (MDT, 0, 0.36%, 0.0005125%), (ACN, 0, 0.36%, 0.0003958%), (QCOM, 0, 0.36%, 0.0003749%), (ADBE, 0, 0.35%, 0.0004147%), (COP, 0, 0.35%, 0.0005075%), (DIS, 0, 0.34%, 0.0002791%), (TMO, 0, 0.34%, 0.0003276%), (SBUX, 0, 0.33%, 0.0005362%), (SCHW, 0, 0.33%, 0.0003157%), (AMAT, 0, 0.33%, 0.0003767%), (C, 0, 0.33%, 0.0003247%), (LMT, 0, 0.32%, 0.0005307%), (AMGN, 0, 0.30%, 0.0003213%), (MMM, 0, 0.29%, 0.0005969%), (EMR, 0, 0.27%, 0.0005899%), (GILD, 0, 0.27%, 0.0003230%), (PFE, 0, 0.27%, 0.0003209%), (TJX, 0, 0.26%, 0.0002975%), (CVS, 0, 0.25%, 0.0005082%), (DHR, 0, 0.25%, 0.0002929%), (MO, 0, 0.25%, 0.0003840%), (LOW, 0, 0.24%, 0.0002969%), (ELV, 0, 0.20%, 0.0005350%), (CMCSA, 0, 0.20%, 0.0002910%), (MDLZ, 0, 0.19%, 0.0003942%), (INTC, 0, 0.19%, 0.0003376%), (BMY, 0, 0.18%, 0.0003207%), (UPS, 0, 0.17%, 0.0004425%), (PYPL, 0, 0.16%, 0.0004108%), (CL, 0, 0.14%, 0.0003510%), (FDX, 0, 0.13%, 0.0004242%), (USB, 0, 0.13%, 0.0003169%), (TGT, 0, 0.09%, 0.0003013%), (nan, 0, -0.01%, 0.0000000%), (nan, 0, -0.02%, 0.0000000%)</t>
  </si>
  <si>
    <t>(AVGO, 0, 3.03%, 0.0000516%), (META, 0, 2.72%, 0.0000398%), (BRK/B, 0, 1.92%, 0.0000731%), (CSCO, 0, 1.77%, 0.0001548%), (LIN, 0, 1.66%, 0.0001855%), (TSLA, 0, 1.59%, 0.0000348%), (JPM, 0, 1.50%, 0.0000464%), (AMT, 0, 1.48%, 0.0003751%), (XOM, 0, 1.34%, 0.0000725%), (V, 0, 1.30%, 0.0000559%), (CB, 0, 1.07%, 0.0002462%), (MA, 0, 1.06%, 0.0000506%), (WM, 0, 1.04%, 0.0002696%), (GE, 0, 1.01%, 0.0000857%), (LLY, 0, 0.94%, 0.0000385%), (ORCL, 0, 0.93%, 0.0000319%), (PLTR, 0, 0.87%, 0.0000510%), (NFLX, 0, 0.84%, 0.0000401%), (NEE, 0, 0.82%, 0.0001339%), (JNJ, 0, 0.79%, 0.0000462%), (WMT, 0, 0.78%, 0.0000232%), (COST, 0, 0.76%, 0.0000426%), (CVX, 0, 0.74%, 0.0000574%), (PG, 0, 0.73%, 0.0000501%), (UNH, 0, 0.70%, 0.0000747%), (RTX, 0, 0.70%, 0.0000829%), (ABT, 0, 0.70%, 0.0000733%), (MCD, 0, 0.69%, 0.0000775%), (CAT, 0, 0.68%, 0.0000860%), (HD, 0, 0.66%, 0.0000420%), (ABBV, 0, 0.66%, 0.0000462%), (KO, 0, 0.60%, 0.0000492%), (AMD, 0, 0.59%, 0.0000522%), (PM, 0, 0.59%, 0.0000545%), (BA, 0, 0.58%, 0.0000821%), (SO, 0, 0.57%, 0.0001351%), (BKNG, 0, 0.57%, 0.0000807%), (BAC, 0, 0.57%, 0.0000409%), (NKE, 0, 0.54%, 0.0001519%), (DUK, 0, 0.53%, 0.0001349%), (CRM, 0, 0.53%, 0.0000568%), (IBM, 0, 0.51%, 0.0000560%), (GS, 0, 0.51%, 0.0000577%), (ISRG, 0, 0.50%, 0.0000739%), (UBER, 0, 0.49%, 0.0000645%), (ETN, 0, 0.49%, 0.0000848%), (INTU, 0, 0.48%, 0.0000570%), (HON, 0, 0.48%, 0.0000855%), (WFC, 0, 0.48%, 0.0000471%), (MET, 0, 0.47%, 0.0002262%), (PEP, 0, 0.44%, 0.0000547%), (DE, 0, 0.44%, 0.0000784%), (NOW, 0, 0.42%, 0.0000562%), (T, 0, 0.41%, 0.0002346%), (SPGI, 0, 0.40%, 0.0000578%), (MS, 0, 0.40%, 0.0000427%), (MRK, 0, 0.38%, 0.0000468%), (VZ, 0, 0.37%, 0.0000501%), (AXP, 0, 0.37%, 0.0000444%), (BLK, 0, 0.37%, 0.0000517%), (TXN, 0, 0.36%, 0.0000524%), (MDT, 0, 0.36%, 0.0000735%), (QCOM, 0, 0.35%, 0.0000538%), (COP, 0, 0.35%, 0.0000728%), (UNP, 0, 0.35%, 0.0000652%), (ACN, 0, 0.34%, 0.0000567%), (ADBE, 0, 0.34%, 0.0000595%), (TMO, 0, 0.34%, 0.0000471%), (DIS, 0, 0.33%, 0.0000400%), (AMAT, 0, 0.33%, 0.0000540%), (SBUX, 0, 0.32%, 0.0000769%), (SCHW, 0, 0.32%, 0.0000453%), (C, 0, 0.32%, 0.0000466%), (LMT, 0, 0.31%, 0.0000761%), (AMGN, 0, 0.29%, 0.0000461%), (MMM, 0, 0.28%, 0.0000857%), (GILD, 0, 0.28%, 0.0000463%), (PFE, 0, 0.26%, 0.0000460%), (EMR, 0, 0.26%, 0.0000846%), (TJX, 0, 0.25%, 0.0000427%), (CVS, 0, 0.25%, 0.0000729%), (MO, 0, 0.24%, 0.0000550%), (DHR, 0, 0.24%, 0.0000420%), (LOW, 0, 0.23%, 0.0000426%), (ELV, 0, 0.21%, 0.0000769%), (CMCSA, 0, 0.20%, 0.0000417%), (INTC, 0, 0.19%, 0.0000484%), (MDLZ, 0, 0.18%, 0.0000565%), (BMY, 0, 0.18%, 0.0000460%), (UPS, 0, 0.17%, 0.0000634%), (PYPL, 0, 0.15%, 0.0000589%), (CL, 0, 0.14%, 0.0000504%), (FDX, 0, 0.14%, 0.0000610%), (USB, 0, 0.13%, 0.0000454%), (TGT, 0, 0.08%, 0.0000431%), (nan, 0, -0.00%, 0.0000000%), (nan, 0, -0.01%, 0.0000000%)</t>
  </si>
  <si>
    <t>(GOOGLE, 0, 3.71%, 0.0002252%), (AVGO, 0, 3.26%, 0.0003099%), (META, 0, 2.93%, 0.0002387%), (BRK/B, 0, 2.06%, 0.0004387%), (CSCO, 0, 1.91%, 0.0009288%), (LIN, 0, 1.79%, 0.0011125%), (TSLA, 0, 1.71%, 0.0002092%), (JPM, 0, 1.62%, 0.0002785%), (AMT, 0, 1.59%, 0.0022514%), (XOM, 0, 1.45%, 0.0004348%), (V, 0, 1.40%, 0.0003356%), (CB, 0, 1.15%, 0.0014781%), (MA, 0, 1.14%, 0.0003034%), (WM, 0, 1.12%, 0.0016172%), (GE, 0, 1.09%, 0.0005141%), (LLY, 0, 1.01%, 0.0002309%), (ORCL, 0, 1.00%, 0.0001914%), (PLTR, 0, 0.94%, 0.0003059%), (NFLX, 0, 0.90%, 0.0002405%), (NEE, 0, 0.88%, 0.0008037%), (JNJ, 0, 0.85%, 0.0002768%), (WMT, 0, 0.84%, 0.0001393%), (COST, 0, 0.81%, 0.0002557%), (CVX, 0, 0.80%, 0.0003443%), (PG, 0, 0.79%, 0.0003003%), (UNH, 0, 0.76%, 0.0004482%), (RTX, 0, 0.76%, 0.0004975%), (ABT, 0, 0.75%, 0.0004401%), (MCD, 0, 0.74%, 0.0004647%), (CAT, 0, 0.73%, 0.0005164%), (HD, 0, 0.71%, 0.0002521%), (ABBV, 0, 0.71%, 0.0002771%), (KO, 0, 0.65%, 0.0002950%), (AMD, 0, 0.64%, 0.0003133%), (PM, 0, 0.63%, 0.0003269%), (BA, 0, 0.62%, 0.0004928%), (SO, 0, 0.62%, 0.0008106%), (BAC, 0, 0.61%, 0.0002451%), (BKNG, 0, 0.60%, 0.0004747%), (NKE, 0, 0.59%, 0.0009115%), (DUK, 0, 0.57%, 0.0008091%), (CRM, 0, 0.57%, 0.0003409%), (IBM, 0, 0.55%, 0.0003358%), (GS, 0, 0.55%, 0.0003454%), (ISRG, 0, 0.54%, 0.0004432%), (UBER, 0, 0.53%, 0.0003869%), (ETN, 0, 0.52%, 0.0005086%), (INTU, 0, 0.52%, 0.0003411%), (HON, 0, 0.51%, 0.0005132%), (WFC, 0, 0.51%, 0.0002827%), (MET, 0, 0.51%, 0.0013571%), (PEP, 0, 0.47%, 0.0003284%), (DE, 0, 0.47%, 0.0004716%), (NOW, 0, 0.45%, 0.0003361%), (T, 0, 0.44%, 0.0014076%), (SPGI, 0, 0.43%, 0.0003461%), (MS, 0, 0.43%, 0.0002564%), (MRK, 0, 0.41%, 0.0002806%), (VZ, 0, 0.40%, 0.0003007%), (AXP, 0, 0.40%, 0.0002665%), (BLK, 0, 0.39%, 0.0003100%), (TXN, 0, 0.39%, 0.0003145%), (MDT, 0, 0.38%, 0.0004411%), (QCOM, 0, 0.38%, 0.0003226%), (UNP, 0, 0.38%, 0.0003916%), (COP, 0, 0.38%, 0.0004368%), (ACN, 0, 0.37%, 0.0003405%), (ADBE, 0, 0.37%, 0.0003569%), (TMO, 0, 0.36%, 0.0002821%), (DIS, 0, 0.36%, 0.0002402%), (AMAT, 0, 0.35%, 0.0003242%), (SBUX, 0, 0.35%, 0.0004614%), (SCHW, 0, 0.35%, 0.0002717%), (C, 0, 0.35%, 0.0002794%), (LMT, 0, 0.33%, 0.0004568%), (AMGN, 0, 0.32%, 0.0002766%), (MMM, 0, 0.31%, 0.0005137%), (GILD, 0, 0.30%, 0.0002780%), (PFE, 0, 0.28%, 0.0002761%), (EMR, 0, 0.28%, 0.0005076%), (TJX, 0, 0.27%, 0.0002560%), (CVS, 0, 0.27%, 0.0004374%), (MO, 0, 0.26%, 0.0003304%), (DHR, 0, 0.26%, 0.0002521%), (LOW, 0, 0.25%, 0.0002555%), (ELV, 0, 0.22%, 0.0004603%), (CMCSA, 0, 0.21%, 0.0002504%), (INTC, 0, 0.20%, 0.0002905%), (MDLZ, 0, 0.20%, 0.0003392%), (BMY, 0, 0.19%, 0.0002760%), (UPS, 0, 0.18%, 0.0003807%), (PYPL, 0, 0.16%, 0.0003536%), (CL, 0, 0.15%, 0.0003021%), (FDX, 0, 0.14%, 0.0003649%), (USB, 0, 0.14%, 0.0002727%), (TGT, 0, 0.09%, 0.0002592%), (nan, 0, -0.01%, 0.0000000%), (nan, 0, -0.01%, 0.0000000%)</t>
  </si>
  <si>
    <t>(GOOGLE, 0, 3.70%, 0.0001677%), (AVGO, 0, 3.25%, 0.0002307%), (META, 0, 2.92%, 0.0001777%), (BRK/B, 0, 2.06%, 0.0003266%), (CSCO, 0, 1.90%, 0.0006915%), (LIN, 0, 1.78%, 0.0008284%), (TSLA, 0, 1.70%, 0.0001557%), (JPM, 0, 1.62%, 0.0002073%), (AMT, 0, 1.59%, 0.0016762%), (XOM, 0, 1.44%, 0.0003237%), (V, 0, 1.40%, 0.0002499%), (CB, 0, 1.15%, 0.0011002%), (MA, 0, 1.13%, 0.0002259%), (WM, 0, 1.12%, 0.0012041%), (GE, 0, 1.08%, 0.0003828%), (LLY, 0, 1.00%, 0.0001719%), (ORCL, 0, 1.00%, 0.0001425%), (PLTR, 0, 0.94%, 0.0002278%), (NFLX, 0, 0.90%, 0.0001791%), (NEE, 0, 0.88%, 0.0005983%), (JNJ, 0, 0.84%, 0.0002061%), (WMT, 0, 0.84%, 0.0001037%), (COST, 0, 0.81%, 0.0001904%), (CVX, 0, 0.80%, 0.0002563%), (PG, 0, 0.79%, 0.0002236%), (UNH, 0, 0.75%, 0.0003337%), (RTX, 0, 0.75%, 0.0003704%), (ABT, 0, 0.75%, 0.0003276%), (MCD, 0, 0.74%, 0.0003460%), (CAT, 0, 0.73%, 0.0003844%), (HD, 0, 0.71%, 0.0001877%), (ABBV, 0, 0.71%, 0.0002063%), (KO, 0, 0.65%, 0.0002196%), (AMD, 0, 0.64%, 0.0002332%), (PM, 0, 0.63%, 0.0002434%), (BA, 0, 0.62%, 0.0003669%), (SO, 0, 0.61%, 0.0006034%), (BAC, 0, 0.61%, 0.0001825%), (BKNG, 0, 0.60%, 0.0003537%), (NKE, 0, 0.58%, 0.0006786%), (DUK, 0, 0.57%, 0.0006024%), (CRM, 0, 0.57%, 0.0002538%), (IBM, 0, 0.55%, 0.0002500%), (GS, 0, 0.54%, 0.0002571%), (ISRG, 0, 0.54%, 0.0003300%), (UBER, 0, 0.53%, 0.0002880%), (ETN, 0, 0.52%, 0.0003786%), (INTU, 0, 0.52%, 0.0002539%), (HON, 0, 0.51%, 0.0003821%), (WFC, 0, 0.51%, 0.0002105%), (MET, 0, 0.50%, 0.0010103%), (PEP, 0, 0.47%, 0.0002445%), (DE, 0, 0.47%, 0.0003511%), (NOW, 0, 0.45%, 0.0002505%), (T, 0, 0.44%, 0.0010480%), (SPGI, 0, 0.43%, 0.0002576%), (MS, 0, 0.43%, 0.0001909%), (MRK, 0, 0.41%, 0.0002089%), (VZ, 0, 0.40%, 0.0002238%), (AXP, 0, 0.40%, 0.0001984%), (BLK, 0, 0.39%, 0.0002312%), (TXN, 0, 0.39%, 0.0002342%), (MDT, 0, 0.38%, 0.0003284%), (QCOM, 0, 0.38%, 0.0002401%), (UNP, 0, 0.38%, 0.0002917%), (COP, 0, 0.38%, 0.0003252%), (ACN, 0, 0.37%, 0.0002535%), (ADBE, 0, 0.37%, 0.0002659%), (TMO, 0, 0.36%, 0.0002100%), (DIS, 0, 0.35%, 0.0001788%), (AMAT, 0, 0.35%, 0.0002414%), (SBUX, 0, 0.35%, 0.0003435%), (SCHW, 0, 0.35%, 0.0002023%), (C, 0, 0.35%, 0.0002081%), (LMT, 0, 0.33%, 0.0003401%), (AMGN, 0, 0.31%, 0.0002060%), (MMM, 0, 0.31%, 0.0003825%), (GILD, 0, 0.30%, 0.0002069%), (PFE, 0, 0.28%, 0.0002056%), (EMR, 0, 0.28%, 0.0003779%), (TJX, 0, 0.27%, 0.0001906%), (CVS, 0, 0.27%, 0.0003256%), (MO, 0, 0.26%, 0.0002460%), (DHR, 0, 0.26%, 0.0001877%), (LOW, 0, 0.25%, 0.0001903%), (ELV, 0, 0.22%, 0.0003429%), (CMCSA, 0, 0.21%, 0.0001864%), (INTC, 0, 0.20%, 0.0002163%), (MDLZ, 0, 0.20%, 0.0002526%), (BMY, 0, 0.19%, 0.0002055%), (UPS, 0, 0.18%, 0.0002834%), (PYPL, 0, 0.16%, 0.0002632%), (CL, 0, 0.15%, 0.0002249%), (FDX, 0, 0.14%, 0.0002717%), (USB, 0, 0.14%, 0.0002030%), (TGT, 0, 0.09%, 0.0001930%), (nan, 0, -0.01%, 0.0000000%), (nan, 0, -0.01%, 0.0000000%)</t>
  </si>
  <si>
    <t>(GOOGLE, 0, 3.74%, 0.0000393%), (AVGO, 0, 3.29%, 0.0000541%), (META, 0, 2.95%, 0.0000416%), (BRK/B, 0, 2.08%, 0.0000765%), (CSCO, 0, 1.92%, 0.0001620%), (LIN, 0, 1.80%, 0.0001940%), (TSLA, 0, 1.72%, 0.0000365%), (JPM, 0, 1.63%, 0.0000486%), (AMT, 0, 1.60%, 0.0003928%), (XOM, 0, 1.46%, 0.0000759%), (V, 0, 1.41%, 0.0000586%), (CB, 0, 1.16%, 0.0002579%), (MA, 0, 1.15%, 0.0000530%), (WM, 0, 1.13%, 0.0002822%), (GE, 0, 1.09%, 0.0000897%), (LLY, 0, 1.02%, 0.0000403%), (ORCL, 0, 1.01%, 0.0000334%), (PLTR, 0, 0.95%, 0.0000534%), (NFLX, 0, 0.90%, 0.0000420%), (NEE, 0, 0.89%, 0.0001402%), (JNJ, 0, 0.85%, 0.0000483%), (WMT, 0, 0.85%, 0.0000243%), (COST, 0, 0.82%, 0.0000447%), (CVX, 0, 0.80%, 0.0000601%), (PG, 0, 0.79%, 0.0000524%), (UNH, 0, 0.76%, 0.0000782%), (RTX, 0, 0.76%, 0.0000868%), (ABT, 0, 0.75%, 0.0000768%), (MCD, 0, 0.74%, 0.0000811%), (CAT, 0, 0.74%, 0.0000901%), (HD, 0, 0.72%, 0.0000440%), (ABBV, 0, 0.72%, 0.0000483%), (KO, 0, 0.66%, 0.0000515%), (AMD, 0, 0.64%, 0.0000547%), (PM, 0, 0.64%, 0.0000570%), (BA, 0, 0.63%, 0.0000860%), (SO, 0, 0.62%, 0.0001414%), (BAC, 0, 0.62%, 0.0000428%), (BKNG, 0, 0.62%, 0.0000838%), (NKE, 0, 0.59%, 0.0001590%), (DUK, 0, 0.58%, 0.0001412%), (CRM, 0, 0.57%, 0.0000595%), (IBM, 0, 0.56%, 0.0000586%), (GS, 0, 0.55%, 0.0000603%), (ISRG, 0, 0.54%, 0.0000773%), (UBER, 0, 0.53%, 0.0000675%), (ETN, 0, 0.53%, 0.0000886%), (INTU, 0, 0.52%, 0.0000595%), (HON, 0, 0.52%, 0.0000895%), (WFC, 0, 0.52%, 0.0000493%), (MET, 0, 0.51%, 0.0002367%), (PEP, 0, 0.48%, 0.0000573%), (DE, 0, 0.48%, 0.0000821%), (NOW, 0, 0.45%, 0.0000587%), (T, 0, 0.45%, 0.0002456%), (MS, 0, 0.43%, 0.0000447%), (SPGI, 0, 0.43%, 0.0000604%), (MRK, 0, 0.42%, 0.0000490%), (VZ, 0, 0.40%, 0.0000525%), (AXP, 0, 0.40%, 0.0000465%), (BLK, 0, 0.40%, 0.0000542%), (TXN, 0, 0.40%, 0.0000549%), (MDT, 0, 0.39%, 0.0000769%), (QCOM, 0, 0.38%, 0.0000563%), (UNP, 0, 0.38%, 0.0000683%), (COP, 0, 0.38%, 0.0000762%), (ACN, 0, 0.37%, 0.0000594%), (ADBE, 0, 0.37%, 0.0000624%), (TMO, 0, 0.36%, 0.0000492%), (DIS, 0, 0.36%, 0.0000419%), (AMAT, 0, 0.36%, 0.0000566%), (SBUX, 0, 0.35%, 0.0000805%), (SCHW, 0, 0.35%, 0.0000474%), (C, 0, 0.35%, 0.0000487%), (LMT, 0, 0.33%, 0.0000795%), (AMGN, 0, 0.32%, 0.0000483%), (MMM, 0, 0.31%, 0.0000896%), (GILD, 0, 0.30%, 0.0000485%), (PFE, 0, 0.29%, 0.0000482%), (EMR, 0, 0.28%, 0.0000885%), (TJX, 0, 0.28%, 0.0000447%), (CVS, 0, 0.27%, 0.0000763%), (MO, 0, 0.26%, 0.0000577%), (DHR, 0, 0.26%, 0.0000440%), (LOW, 0, 0.25%, 0.0000446%), (ELV, 0, 0.22%, 0.0000801%), (CMCSA, 0, 0.21%, 0.0000437%), (INTC, 0, 0.21%, 0.0000507%), (MDLZ, 0, 0.20%, 0.0000592%), (BMY, 0, 0.19%, 0.0000481%), (UPS, 0, 0.18%, 0.0000664%), (PYPL, 0, 0.17%, 0.0000617%), (CL, 0, 0.15%, 0.0000527%), (FDX, 0, 0.15%, 0.0000636%), (USB, 0, 0.14%, 0.0000476%), (TGT, 0, 0.09%, 0.0000453%), (nan, 0, -0.01%, 0.0000000%), (nan, 0, -0.01%, 0.0000000%)</t>
  </si>
  <si>
    <t>(GOOGLE, 0, 3.57%, 0.0000688%), (AVGO, 0, 3.14%, 0.0000947%), (META, 0, 2.82%, 0.0000730%), (BRK/B, 0, 1.99%, 0.0001341%), (CSCO, 0, 1.84%, 0.0002838%), (LIN, 0, 1.72%, 0.0003401%), (TSLA, 0, 1.65%, 0.0000639%), (JPM, 0, 1.56%, 0.0000851%), (AMT, 0, 1.53%, 0.0006880%), (XOM, 0, 1.39%, 0.0001329%), (V, 0, 1.35%, 0.0001026%), (CB, 0, 1.11%, 0.0004518%), (MA, 0, 1.09%, 0.0000927%), (WM, 0, 1.08%, 0.0004942%), (GE, 0, 1.05%, 0.0001571%), (LLY, 0, 0.97%, 0.0000706%), (ORCL, 0, 0.96%, 0.0000585%), (PLTR, 0, 0.90%, 0.0000935%), (NFLX, 0, 0.86%, 0.0000734%), (NEE, 0, 0.85%, 0.0002456%), (JNJ, 0, 0.82%, 0.0000846%), (WMT, 0, 0.81%, 0.0000426%), (COST, 0, 0.78%, 0.0000781%), (CVX, 0, 0.77%, 0.0001052%), (PG, 0, 0.76%, 0.0000918%), (UNH, 0, 0.73%, 0.0001370%), (RTX, 0, 0.73%, 0.0001520%), (ABT, 0, 0.72%, 0.0001345%), (MCD, 0, 0.71%, 0.0001420%), (CAT, 0, 0.71%, 0.0001577%), (HD, 0, 0.69%, 0.0000771%), (ABBV, 0, 0.69%, 0.0000847%), (KO, 0, 0.63%, 0.0000902%), (AMD, 0, 0.61%, 0.0000958%), (PM, 0, 0.61%, 0.0000999%), (BA, 0, 0.60%, 0.0001506%), (SO, 0, 0.59%, 0.0002477%), (BAC, 0, 0.59%, 0.0000749%), (BKNG, 0, 0.58%, 0.0001458%), (NKE, 0, 0.56%, 0.0002786%), (DUK, 0, 0.55%, 0.0002472%), (CRM, 0, 0.55%, 0.0001042%), (IBM, 0, 0.53%, 0.0001026%), (GS, 0, 0.52%, 0.0001054%), (ISRG, 0, 0.52%, 0.0001354%), (UBER, 0, 0.51%, 0.0001182%), (ETN, 0, 0.50%, 0.0001554%), (INTU, 0, 0.50%, 0.0001044%), (HON, 0, 0.50%, 0.0001569%), (WFC, 0, 0.49%, 0.0000864%), (MET, 0, 0.49%, 0.0004147%), (DE, 0, 0.46%, 0.0001443%), (PEP, 0, 0.46%, 0.0001003%), (NOW, 0, 0.43%, 0.0001029%), (T, 0, 0.43%, 0.0004302%), (MS, 0, 0.41%, 0.0000784%), (SPGI, 0, 0.41%, 0.0001057%), (MRK, 0, 0.40%, 0.0000858%), (VZ, 0, 0.38%, 0.0000919%), (AXP, 0, 0.38%, 0.0000814%), (BLK, 0, 0.38%, 0.0000949%), (TXN, 0, 0.38%, 0.0000961%), (MDT, 0, 0.37%, 0.0001348%), (QCOM, 0, 0.37%, 0.0000986%), (COP, 0, 0.36%, 0.0001335%), (UNP, 0, 0.36%, 0.0001197%), (ACN, 0, 0.36%, 0.0001040%), (ADBE, 0, 0.36%, 0.0001092%), (TMO, 0, 0.35%, 0.0000862%), (DIS, 0, 0.34%, 0.0000734%), (AMAT, 0, 0.34%, 0.0000990%), (SBUX, 0, 0.34%, 0.0001410%), (SCHW, 0, 0.34%, 0.0000830%), (C, 0, 0.34%, 0.0000854%), (LMT, 0, 0.32%, 0.0001396%), (AMGN, 0, 0.30%, 0.0000845%), (MMM, 0, 0.29%, 0.0001570%), (GILD, 0, 0.29%, 0.0000849%), (PFE, 0, 0.27%, 0.0000844%), (EMR, 0, 0.27%, 0.0001551%), (TJX, 0, 0.26%, 0.0000783%), (CVS, 0, 0.26%, 0.0001337%), (MO, 0, 0.25%, 0.0001010%), (DHR, 0, 0.25%, 0.0000770%), (LOW, 0, 0.24%, 0.0000781%), (ELV, 0, 0.21%, 0.0001408%), (CMCSA, 0, 0.20%, 0.0000765%), (INTC, 0, 0.20%, 0.0000888%), (MDLZ, 0, 0.19%, 0.0001037%), (BMY, 0, 0.18%, 0.0000843%), (UPS, 0, 0.17%, 0.0001163%), (PYPL, 0, 0.16%, 0.0001081%), (CL, 0, 0.15%, 0.0000923%), (FDX, 0, 0.14%, 0.0001115%), (USB, 0, 0.13%, 0.0000833%), (TGT, 0, 0.09%, 0.0000792%), (nan, 0, -0.00%, 0.0000000%), (nan, 0, -0.01%, 0.0000000%)</t>
  </si>
  <si>
    <t>(GOOGLE, 0, 3.64%, 0.0000249%), (AVGO, 0, 3.21%, 0.0000343%), (META, 0, 2.88%, 0.0000264%), (BRK/B, 0, 2.03%, 0.0000486%), (CSCO, 0, 1.88%, 0.0001029%), (LIN, 0, 1.75%, 0.0001231%), (TSLA, 0, 1.68%, 0.0000232%), (JPM, 0, 1.59%, 0.0000308%), (AMT, 0, 1.56%, 0.0002493%), (XOM, 0, 1.42%, 0.0000482%), (V, 0, 1.37%, 0.0000371%), (CB, 0, 1.13%, 0.0001636%), (MA, 0, 1.11%, 0.0000335%), (WM, 0, 1.10%, 0.0001790%), (GE, 0, 1.07%, 0.0000570%), (LLY, 0, 0.99%, 0.0000256%), (ORCL, 0, 0.99%, 0.0000212%), (PLTR, 0, 0.92%, 0.0000339%), (NFLX, 0, 0.89%, 0.0000267%), (NEE, 0, 0.86%, 0.0000890%), (JNJ, 0, 0.83%, 0.0000307%), (WMT, 0, 0.83%, 0.0000154%), (COST, 0, 0.80%, 0.0000284%), (CVX, 0, 0.78%, 0.0000381%), (PG, 0, 0.77%, 0.0000333%), (UNH, 0, 0.75%, 0.0000497%), (RTX, 0, 0.74%, 0.0000551%), (ABT, 0, 0.74%, 0.0000487%), (MCD, 0, 0.73%, 0.0000514%), (CAT, 0, 0.72%, 0.0000572%), (HD, 0, 0.70%, 0.0000279%), (ABBV, 0, 0.70%, 0.0000307%), (KO, 0, 0.64%, 0.0000327%), (AMD, 0, 0.63%, 0.0000347%), (PM, 0, 0.62%, 0.0000362%), (BA, 0, 0.61%, 0.0000546%), (SO, 0, 0.60%, 0.0000897%), (BAC, 0, 0.60%, 0.0000272%), (BKNG, 0, 0.59%, 0.0000527%), (NKE, 0, 0.57%, 0.0001009%), (DUK, 0, 0.56%, 0.0000896%), (CRM, 0, 0.56%, 0.0000377%), (IBM, 0, 0.54%, 0.0000372%), (GS, 0, 0.54%, 0.0000383%), (ISRG, 0, 0.53%, 0.0000491%), (UBER, 0, 0.52%, 0.0000428%), (ETN, 0, 0.51%, 0.0000563%), (INTU, 0, 0.51%, 0.0000377%), (HON, 0, 0.51%, 0.0000569%), (WFC, 0, 0.50%, 0.0000313%), (MET, 0, 0.50%, 0.0001502%), (DE, 0, 0.47%, 0.0000522%), (PEP, 0, 0.47%, 0.0000363%), (NOW, 0, 0.44%, 0.0000370%), (T, 0, 0.44%, 0.0001559%), (SPGI, 0, 0.42%, 0.0000383%), (MS, 0, 0.42%, 0.0000284%), (MRK, 0, 0.41%, 0.0000311%), (VZ, 0, 0.39%, 0.0000333%), (AXP, 0, 0.39%, 0.0000295%), (BLK, 0, 0.39%, 0.0000342%), (TXN, 0, 0.38%, 0.0000348%), (MDT, 0, 0.38%, 0.0000489%), (QCOM, 0, 0.37%, 0.0000357%), (COP, 0, 0.37%, 0.0000484%), (UNP, 0, 0.37%, 0.0000433%), (ACN, 0, 0.36%, 0.0000377%), (ADBE, 0, 0.36%, 0.0000394%), (TMO, 0, 0.35%, 0.0000311%), (DIS, 0, 0.35%, 0.0000266%), (AMAT, 0, 0.35%, 0.0000359%), (SBUX, 0, 0.34%, 0.0000511%), (C, 0, 0.34%, 0.0000310%), (SCHW, 0, 0.34%, 0.0000301%), (LMT, 0, 0.32%, 0.0000506%), (AMGN, 0, 0.31%, 0.0000306%), (MMM, 0, 0.30%, 0.0000568%), (GILD, 0, 0.29%, 0.0000308%), (PFE, 0, 0.28%, 0.0000306%), (EMR, 0, 0.27%, 0.0000561%), (TJX, 0, 0.27%, 0.0000284%), (CVS, 0, 0.26%, 0.0000484%), (MO, 0, 0.26%, 0.0000366%), (DHR, 0, 0.26%, 0.0000279%), (LOW, 0, 0.25%, 0.0000284%), (ELV, 0, 0.22%, 0.0000508%), (CMCSA, 0, 0.21%, 0.0000277%), (INTC, 0, 0.20%, 0.0000322%), (MDLZ, 0, 0.19%, 0.0000376%), (BMY, 0, 0.18%, 0.0000306%), (UPS, 0, 0.18%, 0.0000421%), (PYPL, 0, 0.16%, 0.0000391%), (CL, 0, 0.15%, 0.0000335%), (FDX, 0, 0.14%, 0.0000403%), (USB, 0, 0.14%, 0.0000302%), (TGT, 0, 0.09%, 0.0000286%), (nan, 0, -0.00%, 0.0000000%), (nan, 0, -0.01%, 0.0000000%)</t>
  </si>
  <si>
    <t>(GOOGLE, 0, 3.88%, 0.0000597%), (AVGO, 0, 3.41%, 0.0000822%), (META, 0, 3.06%, 0.0000633%), (BRK/B, 0, 2.16%, 0.0001164%), (CSCO, 0, 1.99%, 0.0002464%), (LIN, 0, 1.87%, 0.0002951%), (TSLA, 0, 1.79%, 0.0000555%), (JPM, 0, 1.69%, 0.0000739%), (AMT, 0, 1.66%, 0.0005970%), (XOM, 0, 1.51%, 0.0001153%), (V, 0, 1.46%, 0.0000890%), (CB, 0, 1.21%, 0.0003921%), (MA, 0, 1.19%, 0.0000804%), (WM, 0, 1.17%, 0.0004289%), (GE, 0, 1.14%, 0.0001363%), (LLY, 0, 1.05%, 0.0000612%), (ORCL, 0, 1.05%, 0.0000508%), (PLTR, 0, 0.98%, 0.0000812%), (NFLX, 0, 0.94%, 0.0000637%), (NEE, 0, 0.92%, 0.0002131%), (JNJ, 0, 0.89%, 0.0000734%), (WMT, 0, 0.88%, 0.0000369%), (COST, 0, 0.85%, 0.0000679%), (CVX, 0, 0.83%, 0.0000913%), (PG, 0, 0.82%, 0.0000796%), (UNH, 0, 0.79%, 0.0001189%), (RTX, 0, 0.79%, 0.0001319%), (ABT, 0, 0.78%, 0.0001167%), (MCD, 0, 0.77%, 0.0001233%), (CAT, 0, 0.77%, 0.0001370%), (HD, 0, 0.75%, 0.0000669%), (ABBV, 0, 0.74%, 0.0000735%), (KO, 0, 0.68%, 0.0000782%), (AMD, 0, 0.67%, 0.0000831%), (PM, 0, 0.66%, 0.0000867%), (BA, 0, 0.65%, 0.0001308%), (SO, 0, 0.64%, 0.0002150%), (BAC, 0, 0.64%, 0.0000650%), (BKNG, 0, 0.64%, 0.0001272%), (NKE, 0, 0.61%, 0.0002417%), (DUK, 0, 0.60%, 0.0002147%), (CRM, 0, 0.60%, 0.0000904%), (IBM, 0, 0.58%, 0.0000891%), (GS, 0, 0.57%, 0.0000917%), (ISRG, 0, 0.56%, 0.0001176%), (UBER, 0, 0.55%, 0.0001026%), (ETN, 0, 0.55%, 0.0001349%), (INTU, 0, 0.54%, 0.0000904%), (HON, 0, 0.54%, 0.0001361%), (WFC, 0, 0.54%, 0.0000750%), (MET, 0, 0.53%, 0.0003600%), (PEP, 0, 0.50%, 0.0000871%), (DE, 0, 0.50%, 0.0001250%), (T, 0, 0.46%, 0.0003733%), (NOW, 0, 0.46%, 0.0000889%), (MS, 0, 0.45%, 0.0000680%), (SPGI, 0, 0.45%, 0.0000918%), (MRK, 0, 0.43%, 0.0000744%), (VZ, 0, 0.42%, 0.0000798%), (AXP, 0, 0.42%, 0.0000707%), (BLK, 0, 0.41%, 0.0000820%), (TXN, 0, 0.41%, 0.0000834%), (MDT, 0, 0.40%, 0.0001170%), (QCOM, 0, 0.40%, 0.0000855%), (COP, 0, 0.39%, 0.0001159%), (UNP, 0, 0.39%, 0.0001039%), (ACN, 0, 0.39%, 0.0000904%), (ADBE, 0, 0.39%, 0.0000946%), (TMO, 0, 0.38%, 0.0000748%), (DIS, 0, 0.37%, 0.0000637%), (AMAT, 0, 0.37%, 0.0000860%), (SBUX, 0, 0.37%, 0.0001224%), (C, 0, 0.37%, 0.0000741%), (SCHW, 0, 0.36%, 0.0000721%), (LMT, 0, 0.34%, 0.0001210%), (AMGN, 0, 0.33%, 0.0000734%), (MMM, 0, 0.32%, 0.0001363%), (GILD, 0, 0.31%, 0.0000738%), (PFE, 0, 0.30%, 0.0000732%), (EMR, 0, 0.29%, 0.0001347%), (TJX, 0, 0.29%, 0.0000679%), (CVS, 0, 0.28%, 0.0001160%), (MO, 0, 0.27%, 0.0000876%), (DHR, 0, 0.27%, 0.0000668%), (LOW, 0, 0.26%, 0.0000678%), (ELV, 0, 0.23%, 0.0001219%), (CMCSA, 0, 0.22%, 0.0000664%), (INTC, 0, 0.21%, 0.0000770%), (MDLZ, 0, 0.20%, 0.0000900%), (BMY, 0, 0.20%, 0.0000732%), (UPS, 0, 0.19%, 0.0001009%), (PYPL, 0, 0.17%, 0.0000937%), (CL, 0, 0.16%, 0.0000801%), (FDX, 0, 0.15%, 0.0000966%), (USB, 0, 0.15%, 0.0000723%), (TGT, 0, 0.10%, 0.0000689%), (nan, 0, -0.01%, 0.0000000%), (nan, 0, -0.01%, 0.0000000%)</t>
  </si>
  <si>
    <t>EBAY, META, BK, MSFT, GOOGLE, EA, JPM, BLK, MLI, RJF, BKNG</t>
  </si>
  <si>
    <t>(AMAT, 0, 1.93%, 0.0006996%), (HIG, 0, 1.83%, 0.0027953%), (EWBC, 0, 1.83%, 0.0072957%), (PHM, 0, 1.82%, 0.0042346%), (NVDA, 0, 1.81%, 0.0000224%), (TRV, 0, 1.79%, 0.0016592%), (V, 0, 1.79%, 0.0001713%), (AXP, 0, 1.78%, 0.0004763%), (KLAC, 0, 1.75%, 0.0007832%), (ADP, 0, 1.74%, 0.0007685%), (ROST, 0, 1.72%, 0.0019925%), (SNA, 0, 1.70%, 0.0055761%), (UNM, 0, 1.67%, 0.0076829%), (PCAR, 0, 1.64%, 0.0017515%), (CB, 0, 1.63%, 0.0008339%), (SYF, 0, 1.54%, 0.0033726%), (LEN, 0, 1.52%, 0.0030683%), (CTSH, 0, 1.51%, 0.0024357%), (WSM, 0, 1.50%, 0.0033771%), (PAYC, 0, 1.49%, 0.0061493%), (CRM, 0, 1.47%, 0.0003500%), (BKR, 0, 1.36%, 0.0017533%), (DHI, 0, 1.29%, 0.0015495%), (QCOM, 0, 1.29%, 0.0004348%), (AAPL, 0, 1.25%, 0.0000205%), (AFL, 0, 1.22%, 0.0012015%), (ACN, 0, 1.22%, 0.0004450%), (ELV, 0, 1.21%, 0.0010025%), (CSCO, 0, 1.14%, 0.0002202%), (LRCX, 0, 1.13%, 0.0004771%), (MPWR, 0, 1.10%, 0.0015493%), (ODFL, 0, 1.06%, 0.0018966%), (GE, 0, 1.05%, 0.0001991%), (STT, 0, 0.98%, 0.0017271%), (PNC, 0, 0.90%, 0.0006559%), (MTB, 0, 0.88%, 0.0016702%), (AMP, 0, 0.87%, 0.0010118%), (COST, 0, 0.87%, 0.0001090%), (ABT, 0, 0.85%, 0.0001997%), (CF, 0, 0.84%, 0.0034037%), (XOM, 0, 0.79%, 0.0000947%), (EOG, 0, 0.78%, 0.0006654%), (EG, 0, 0.74%, 0.0029095%), (CSL, 0, 0.72%, 0.0025894%), (GEV, 0, 0.58%, 0.0001813%), (NTRS, 0, 0.51%, 0.0011839%), (MA, 0, 0.49%, 0.0000524%), (JNJ, 0, 0.48%, 0.0000622%), (CRBG, 0, 0.47%, 0.0014281%), (ACM, 0, 0.46%, 0.0015991%), (MTG, 0, 0.44%, 0.0039322%), (CINF, 0, 0.43%, 0.0009980%), (LNC, 0, 0.43%, 0.0032242%), (JXN, 0, 0.42%, 0.0036295%), (SLM, 0, 0.42%, 0.0035407%), (ALL, 0, 0.42%, 0.0004209%), (EQH, 0, 0.42%, 0.0014492%), (DOV, 0, 0.42%, 0.0009544%), (WTFC, 0, 0.41%, 0.0026945%), (MCK, 0, 0.40%, 0.0002597%), (ADM, 0, 0.40%, 0.0007761%), (NUE, 0, 0.38%, 0.0006522%), (NKE, 0, 0.37%, 0.0002295%), (PGR, 0, 0.37%, 0.0001394%), (FANG, 0, 0.30%, 0.0004028%)</t>
  </si>
  <si>
    <t>(GOOGLE, 0, 3.52%, 0.0000633%), (AVGO, 0, 3.10%, 0.0000871%), (META, 0, 2.78%, 0.0000671%), (BRK/B, 0, 1.96%, 0.0001233%), (CSCO, 0, 1.82%, 0.0002611%), (LIN, 0, 1.70%, 0.0003129%), (TSLA, 0, 1.63%, 0.0000588%), (JPM, 0, 1.54%, 0.0000783%), (AMT, 0, 1.51%, 0.0006329%), (XOM, 0, 1.37%, 0.0001222%), (V, 0, 1.33%, 0.0000944%), (CB, 0, 1.10%, 0.0004154%), (MA, 0, 1.08%, 0.0000853%), (WM, 0, 1.07%, 0.0004547%), (GE, 0, 1.03%, 0.0001446%), (LLY, 0, 0.96%, 0.0000649%), (ORCL, 0, 0.95%, 0.0000538%), (PLTR, 0, 0.89%, 0.0000860%), (NFLX, 0, 0.85%, 0.0000677%), (NEE, 0, 0.84%, 0.0002259%), (JNJ, 0, 0.81%, 0.0000778%), (WMT, 0, 0.80%, 0.0000392%), (COST, 0, 0.77%, 0.0000720%), (CVX, 0, 0.76%, 0.0000968%), (PG, 0, 0.75%, 0.0000844%), (UNH, 0, 0.72%, 0.0001260%), (RTX, 0, 0.72%, 0.0001398%), (ABT, 0, 0.71%, 0.0001237%), (MCD, 0, 0.70%, 0.0001306%), (CAT, 0, 0.70%, 0.0001452%), (HD, 0, 0.68%, 0.0000708%), (ABBV, 0, 0.68%, 0.0000779%), (KO, 0, 0.62%, 0.0000829%), (AMD, 0, 0.61%, 0.0000881%), (PM, 0, 0.60%, 0.0000919%), (BA, 0, 0.59%, 0.0001385%), (SO, 0, 0.59%, 0.0002279%), (BAC, 0, 0.58%, 0.0000689%), (BKNG, 0, 0.57%, 0.0001334%), (NKE, 0, 0.56%, 0.0002563%), (DUK, 0, 0.55%, 0.0002275%), (CRM, 0, 0.54%, 0.0000958%), (IBM, 0, 0.53%, 0.0000944%), (GS, 0, 0.52%, 0.0000970%), (ISRG, 0, 0.51%, 0.0001247%), (UBER, 0, 0.50%, 0.0001088%), (ETN, 0, 0.50%, 0.0001431%), (INTU, 0, 0.49%, 0.0000961%), (HON, 0, 0.49%, 0.0001443%), (WFC, 0, 0.49%, 0.0000795%), (MET, 0, 0.48%, 0.0003815%), (PEP, 0, 0.45%, 0.0000924%), (DE, 0, 0.45%, 0.0001324%), (NOW, 0, 0.43%, 0.0000947%), (T, 0, 0.42%, 0.0003957%), (MS, 0, 0.41%, 0.0000721%), (SPGI, 0, 0.41%, 0.0000971%), (MRK, 0, 0.39%, 0.0000789%), (VZ, 0, 0.38%, 0.0000845%), (AXP, 0, 0.38%, 0.0000749%), (BLK, 0, 0.38%, 0.0000872%), (TXN, 0, 0.37%, 0.0000884%), (MDT, 0, 0.36%, 0.0001240%), (QCOM, 0, 0.36%, 0.0000907%), (UNP, 0, 0.36%, 0.0001101%), (COP, 0, 0.36%, 0.0001228%), (ACN, 0, 0.35%, 0.0000957%), (ADBE, 0, 0.35%, 0.0001003%), (TMO, 0, 0.34%, 0.0000793%), (DIS, 0, 0.34%, 0.0000675%), (AMAT, 0, 0.34%, 0.0000911%), (SBUX, 0, 0.33%, 0.0001298%), (SCHW, 0, 0.33%, 0.0000764%), (C, 0, 0.33%, 0.0000785%), (LMT, 0, 0.31%, 0.0001284%), (AMGN, 0, 0.30%, 0.0000778%), (MMM, 0, 0.29%, 0.0001444%), (GILD, 0, 0.28%, 0.0000782%), (PFE, 0, 0.27%, 0.0000776%), (EMR, 0, 0.26%, 0.0001427%), (TJX, 0, 0.26%, 0.0000720%), (CVS, 0, 0.25%, 0.0001230%), (MO, 0, 0.25%, 0.0000929%), (DHR, 0, 0.25%, 0.0000709%), (LOW, 0, 0.24%, 0.0000719%), (ELV, 0, 0.21%, 0.0001296%), (CMCSA, 0, 0.20%, 0.0000704%), (INTC, 0, 0.19%, 0.0000817%), (MDLZ, 0, 0.19%, 0.0000953%), (BMY, 0, 0.18%, 0.0000776%), (UPS, 0, 0.17%, 0.0001071%), (PYPL, 0, 0.16%, 0.0000994%), (CL, 0, 0.14%, 0.0000849%), (FDX, 0, 0.14%, 0.0001026%), (USB, 0, 0.13%, 0.0000767%), (TGT, 0, 0.09%, 0.0000728%), (nan, 0, -0.00%, 0.0000000%), (nan, 0, -0.00%, 0.0000000%)</t>
  </si>
  <si>
    <t>(GOOGLE, 0, 3.70%, 0.0001295%), (AVGO, 0, 3.26%, 0.0001782%), (META, 0, 2.92%, 0.0001372%), (BRK/B, 0, 2.06%, 0.0002523%), (CSCO, 0, 1.91%, 0.0005341%), (LIN, 0, 1.78%, 0.0006397%), (TSLA, 0, 1.71%, 0.0001203%), (JPM, 0, 1.62%, 0.0001601%), (AMT, 0, 1.59%, 0.0012947%), (XOM, 0, 1.44%, 0.0002500%), (V, 0, 1.40%, 0.0001930%), (CB, 0, 1.15%, 0.0008500%), (MA, 0, 1.13%, 0.0001745%), (WM, 0, 1.12%, 0.0009301%), (GE, 0, 1.09%, 0.0002957%), (LLY, 0, 1.01%, 0.0001328%), (ORCL, 0, 1.00%, 0.0001100%), (PLTR, 0, 0.94%, 0.0001759%), (NFLX, 0, 0.90%, 0.0001383%), (NEE, 0, 0.88%, 0.0004621%), (JNJ, 0, 0.85%, 0.0001592%), (WMT, 0, 0.84%, 0.0000801%), (COST, 0, 0.81%, 0.0001471%), (CVX, 0, 0.80%, 0.0001980%), (PG, 0, 0.79%, 0.0001727%), (UNH, 0, 0.76%, 0.0002578%), (RTX, 0, 0.75%, 0.0002860%), (ABT, 0, 0.75%, 0.0002530%), (MCD, 0, 0.74%, 0.0002672%), (CAT, 0, 0.73%, 0.0002969%), (HD, 0, 0.71%, 0.0001450%), (ABBV, 0, 0.71%, 0.0001593%), (KO, 0, 0.65%, 0.0001696%), (AMD, 0, 0.64%, 0.0001802%), (PM, 0, 0.63%, 0.0001880%), (BA, 0, 0.62%, 0.0002834%), (BAC, 0, 0.61%, 0.0001410%), (BKNG, 0, 0.60%, 0.0002730%), (NKE, 0, 0.58%, 0.0005242%), (DUK, 0, 0.57%, 0.0004652%), (CRM, 0, 0.57%, 0.0001960%), (SO, 0, 0.57%, 0.0004297%), (IBM, 0, 0.55%, 0.0001931%), (GS, 0, 0.54%, 0.0001987%), (ISRG, 0, 0.54%, 0.0002550%), (UBER, 0, 0.53%, 0.0002225%), (ETN, 0, 0.52%, 0.0002926%), (INTU, 0, 0.52%, 0.0001962%), (HON, 0, 0.51%, 0.0002952%), (WFC, 0, 0.51%, 0.0001626%), (MET, 0, 0.50%, 0.0007803%), (DE, 0, 0.47%, 0.0002712%), (PEP, 0, 0.47%, 0.0001888%), (NOW, 0, 0.45%, 0.0001933%), (T, 0, 0.44%, 0.0008094%), (MS, 0, 0.43%, 0.0001474%), (SPGI, 0, 0.43%, 0.0001988%), (MRK, 0, 0.41%, 0.0001613%), (VZ, 0, 0.40%, 0.0001729%), (AXP, 0, 0.40%, 0.0001533%), (BLK, 0, 0.39%, 0.0001782%), (TXN, 0, 0.39%, 0.0001808%), (MDT, 0, 0.38%, 0.0002536%), (QCOM, 0, 0.38%, 0.0001855%), (UNP, 0, 0.38%, 0.0002252%), (COP, 0, 0.38%, 0.0002512%), (ACN, 0, 0.37%, 0.0001959%), (ADBE, 0, 0.37%, 0.0002052%), (TMO, 0, 0.36%, 0.0001621%), (DIS, 0, 0.36%, 0.0001381%), (AMAT, 0, 0.35%, 0.0001864%), (SBUX, 0, 0.35%, 0.0002653%), (C, 0, 0.35%, 0.0001607%), (SCHW, 0, 0.35%, 0.0001562%), (LMT, 0, 0.33%, 0.0002628%), (AMGN, 0, 0.31%, 0.0001590%), (MMM, 0, 0.31%, 0.0002954%), (GILD, 0, 0.30%, 0.0001598%), (PFE, 0, 0.28%, 0.0001588%), (EMR, 0, 0.28%, 0.0002919%), (TJX, 0, 0.27%, 0.0001472%), (CVS, 0, 0.27%, 0.0002515%), (MO, 0, 0.26%, 0.0001900%), (DHR, 0, 0.26%, 0.0001450%), (LOW, 0, 0.25%, 0.0001469%), (ELV, 0, 0.22%, 0.0002646%), (CMCSA, 0, 0.21%, 0.0001440%), (INTC, 0, 0.20%, 0.0001670%), (MDLZ, 0, 0.20%, 0.0001951%), (BMY, 0, 0.19%, 0.0001587%), (UPS, 0, 0.18%, 0.0002190%), (PYPL, 0, 0.16%, 0.0002033%), (CL, 0, 0.15%, 0.0001737%), (FDX, 0, 0.14%, 0.0002098%), (USB, 0, 0.14%, 0.0001568%), (TGT, 0, 0.09%, 0.0001492%), (nan, 0, -0.00%, 0.0000000%), (nan, 0, -0.01%, 0.0000000%)</t>
  </si>
  <si>
    <t>(GOOGLE, 0, 3.51%, 0.0002595%), (AVGO, 0, 3.09%, 0.0003571%), (META, 0, 2.77%, 0.0002750%), (BRK/B, 0, 1.95%, 0.0005055%), (CSCO, 0, 1.81%, 0.0010704%), (LIN, 0, 1.69%, 0.0012822%), (TSLA, 0, 1.62%, 0.0002410%), (JPM, 0, 1.53%, 0.0003209%), (AMT, 0, 1.51%, 0.0025945%), (XOM, 0, 1.37%, 0.0005011%), (V, 0, 1.33%, 0.0003868%), (CB, 0, 1.09%, 0.0017032%), (MA, 0, 1.08%, 0.0003497%), (WM, 0, 1.06%, 0.0018636%), (GE, 0, 1.03%, 0.0005925%), (LLY, 0, 0.95%, 0.0002661%), (ORCL, 0, 0.95%, 0.0002205%), (PLTR, 0, 0.89%, 0.0003526%), (NFLX, 0, 0.85%, 0.0002773%), (NEE, 0, 0.83%, 0.0009261%), (JNJ, 0, 0.80%, 0.0003191%), (WMT, 0, 0.80%, 0.0001605%), (COST, 0, 0.77%, 0.0002947%), (CVX, 0, 0.76%, 0.0003967%), (PG, 0, 0.75%, 0.0003461%), (UNH, 0, 0.72%, 0.0005165%), (RTX, 0, 0.72%, 0.0005733%), (ABT, 0, 0.71%, 0.0005071%), (MCD, 0, 0.70%, 0.0005356%), (CAT, 0, 0.69%, 0.0005951%), (HD, 0, 0.68%, 0.0002905%), (ABBV, 0, 0.67%, 0.0003194%), (KO, 0, 0.62%, 0.0003400%), (AMD, 0, 0.60%, 0.0003610%), (PM, 0, 0.60%, 0.0003768%), (BA, 0, 0.59%, 0.0005680%), (SO, 0, 0.58%, 0.0009341%), (BAC, 0, 0.58%, 0.0002825%), (BKNG, 0, 0.57%, 0.0005491%), (NKE, 0, 0.57%, 0.0010757%), (DUK, 0, 0.54%, 0.0009324%), (CRM, 0, 0.54%, 0.0003929%), (IBM, 0, 0.52%, 0.0003870%), (GS, 0, 0.52%, 0.0003981%), (ISRG, 0, 0.51%, 0.0005109%), (UBER, 0, 0.50%, 0.0004459%), (ETN, 0, 0.50%, 0.0005862%), (INTU, 0, 0.49%, 0.0003935%), (HON, 0, 0.49%, 0.0005914%), (WFC, 0, 0.48%, 0.0003258%), (MET, 0, 0.48%, 0.0015638%), (DE, 0, 0.45%, 0.0005434%), (PEP, 0, 0.45%, 0.0003785%), (NOW, 0, 0.42%, 0.0003875%), (T, 0, 0.42%, 0.0016221%), (MS, 0, 0.40%, 0.0002954%), (SPGI, 0, 0.40%, 0.0003986%), (MRK, 0, 0.39%, 0.0003233%), (VZ, 0, 0.38%, 0.0003465%), (AXP, 0, 0.38%, 0.0003072%), (BLK, 0, 0.37%, 0.0003578%), (TXN, 0, 0.37%, 0.0003625%), (MDT, 0, 0.36%, 0.0005083%), (QCOM, 0, 0.36%, 0.0003717%), (UNP, 0, 0.36%, 0.0004513%), (COP, 0, 0.36%, 0.0005034%), (ACN, 0, 0.35%, 0.0003924%), (ADBE, 0, 0.35%, 0.0004114%), (TMO, 0, 0.34%, 0.0003250%), (DIS, 0, 0.34%, 0.0002768%), (AMAT, 0, 0.33%, 0.0003736%), (SBUX, 0, 0.33%, 0.0005318%), (SCHW, 0, 0.33%, 0.0003131%), (C, 0, 0.33%, 0.0003220%), (LMT, 0, 0.31%, 0.0005264%), (AMGN, 0, 0.30%, 0.0003187%), (MMM, 0, 0.29%, 0.0005920%), (GILD, 0, 0.28%, 0.0003204%), (PFE, 0, 0.27%, 0.0003182%), (EMR, 0, 0.26%, 0.0005851%), (TJX, 0, 0.26%, 0.0002950%), (CVS, 0, 0.25%, 0.0005040%), (MO, 0, 0.25%, 0.0003808%), (DHR, 0, 0.25%, 0.0002905%), (LOW, 0, 0.24%, 0.0002946%), (ELV, 0, 0.21%, 0.0005305%), (CMCSA, 0, 0.20%, 0.0002886%), (INTC, 0, 0.19%, 0.0003348%), (MDLZ, 0, 0.19%, 0.0003909%), (BMY, 0, 0.18%, 0.0003181%), (UPS, 0, 0.17%, 0.0004388%), (PYPL, 0, 0.16%, 0.0004074%), (CL, 0, 0.14%, 0.0003481%), (FDX, 0, 0.14%, 0.0004208%), (USB, 0, 0.13%, 0.0003142%), (TGT, 0, 0.09%, 0.0002989%), (nan, 0, -0.01%, 0.0000000%), (nan, 0, -0.01%, 0.0000000%)</t>
  </si>
  <si>
    <t>(GOOGLE, 0, 3.49%, 0.0000375%), (AVGO, 0, 3.06%, 0.0000516%), (META, 0, 2.76%, 0.0000398%), (BRK/B, 0, 1.92%, 0.0000731%), (CSCO, 0, 1.76%, 0.0001548%), (LIN, 0, 1.66%, 0.0001855%), (TSLA, 0, 1.58%, 0.0000348%), (JPM, 0, 1.51%, 0.0000464%), (AMT, 0, 1.46%, 0.0003751%), (XOM, 0, 1.34%, 0.0000725%), (V, 0, 1.29%, 0.0000559%), (CB, 0, 1.06%, 0.0002462%), (MA, 0, 1.04%, 0.0000506%), (WM, 0, 1.03%, 0.0002696%), (GE, 0, 1.02%, 0.0000857%), (LLY, 0, 0.94%, 0.0000385%), (ORCL, 0, 0.93%, 0.0000319%), (PLTR, 0, 0.88%, 0.0000510%), (NFLX, 0, 0.85%, 0.0000401%), (NEE, 0, 0.81%, 0.0001339%), (WMT, 0, 0.78%, 0.0000232%), (JNJ, 0, 0.78%, 0.0000462%), (COST, 0, 0.76%, 0.0000426%), (CVX, 0, 0.74%, 0.0000574%), (PG, 0, 0.73%, 0.0000501%), (UNH, 0, 0.70%, 0.0000747%), (RTX, 0, 0.70%, 0.0000829%), (CAT, 0, 0.68%, 0.0000860%), (MCD, 0, 0.68%, 0.0000775%), (ABT, 0, 0.67%, 0.0000733%), (HD, 0, 0.67%, 0.0000420%), (ABBV, 0, 0.65%, 0.0000462%), (KO, 0, 0.60%, 0.0000492%), (AMD, 0, 0.60%, 0.0000522%), (BA, 0, 0.58%, 0.0000821%), (BAC, 0, 0.58%, 0.0000409%), (PM, 0, 0.58%, 0.0000545%), (BKNG, 0, 0.58%, 0.0000807%), (SO, 0, 0.56%, 0.0001351%), (NKE, 0, 0.55%, 0.0001519%), (DUK, 0, 0.53%, 0.0001349%), (GS, 0, 0.52%, 0.0000577%), (CRM, 0, 0.51%, 0.0000568%), (ISRG, 0, 0.50%, 0.0000739%), (UBER, 0, 0.50%, 0.0000645%), (IBM, 0, 0.50%, 0.0000560%), (WFC, 0, 0.48%, 0.0000471%), (ETN, 0, 0.48%, 0.0000848%), (HON, 0, 0.48%, 0.0000855%), (MET, 0, 0.47%, 0.0002262%), (INTU, 0, 0.45%, 0.0000570%), (PEP, 0, 0.44%, 0.0000547%), (DE, 0, 0.43%, 0.0000784%), (T, 0, 0.41%, 0.0002346%), (MS, 0, 0.41%, 0.0000427%), (NOW, 0, 0.41%, 0.0000562%), (SPGI, 0, 0.40%, 0.0000578%), (MRK, 0, 0.38%, 0.0000468%), (BLK, 0, 0.38%, 0.0000517%), (AXP, 0, 0.37%, 0.0000444%), (VZ, 0, 0.37%, 0.0000501%), (TXN, 0, 0.37%, 0.0000524%), (QCOM, 0, 0.36%, 0.0000538%), (COP, 0, 0.35%, 0.0000728%), (MDT, 0, 0.35%, 0.0000735%), (UNP, 0, 0.34%, 0.0000652%), (TMO, 0, 0.34%, 0.0000471%), (ADBE, 0, 0.34%, 0.0000595%), (ACN, 0, 0.34%, 0.0000567%), (DIS, 0, 0.33%, 0.0000400%), (C, 0, 0.33%, 0.0000466%), (SBUX, 0, 0.33%, 0.0000769%), (SCHW, 0, 0.33%, 0.0000453%), (AMAT, 0, 0.33%, 0.0000540%), (LMT, 0, 0.30%, 0.0000761%), (MMM, 0, 0.29%, 0.0000857%), (AMGN, 0, 0.29%, 0.0000461%), (GILD, 0, 0.28%, 0.0000463%), (PFE, 0, 0.26%, 0.0000460%), (TJX, 0, 0.26%, 0.0000427%), (EMR, 0, 0.25%, 0.0000846%), (MO, 0, 0.25%, 0.0000550%), (DHR, 0, 0.25%, 0.0000420%), (CVS, 0, 0.24%, 0.0000729%), (LOW, 0, 0.24%, 0.0000426%), (ELV, 0, 0.20%, 0.0000769%), (CMCSA, 0, 0.20%, 0.0000417%), (INTC, 0, 0.19%, 0.0000484%), (MDLZ, 0, 0.18%, 0.0000565%), (BMY, 0, 0.18%, 0.0000460%), (UPS, 0, 0.17%, 0.0000634%), (PYPL, 0, 0.15%, 0.0000589%), (CL, 0, 0.14%, 0.0000504%), (FDX, 0, 0.14%, 0.0000610%), (USB, 0, 0.13%, 0.0000454%), (TGT, 0, 0.08%, 0.0000431%), (nan, 0, -0.01%, 0.0000000%), (nan, 0, -0.01%, 0.0000000%)</t>
  </si>
  <si>
    <t>(GOOGLE, 0, 3.75%, 0.0002252%), (AVGO, 0, 3.29%, 0.0003099%), (META, 0, 2.97%, 0.0002387%), (BRK/B, 0, 2.06%, 0.0004387%), (CSCO, 0, 1.90%, 0.0009288%), (LIN, 0, 1.79%, 0.0011125%), (TSLA, 0, 1.70%, 0.0002092%), (JPM, 0, 1.63%, 0.0002785%), (AMT, 0, 1.58%, 0.0022514%), (XOM, 0, 1.44%, 0.0004348%), (V, 0, 1.39%, 0.0003356%), (CB, 0, 1.14%, 0.0014781%), (MA, 0, 1.12%, 0.0003034%), (WM, 0, 1.11%, 0.0016172%), (GE, 0, 1.10%, 0.0005141%), (LLY, 0, 1.01%, 0.0002309%), (ORCL, 0, 1.00%, 0.0001914%), (PLTR, 0, 0.95%, 0.0003059%), (NFLX, 0, 0.91%, 0.0002405%), (NEE, 0, 0.87%, 0.0008037%), (WMT, 0, 0.84%, 0.0001393%), (JNJ, 0, 0.83%, 0.0002768%), (COST, 0, 0.81%, 0.0002557%), (CVX, 0, 0.80%, 0.0003443%), (PG, 0, 0.79%, 0.0003003%), (UNH, 0, 0.76%, 0.0004482%), (RTX, 0, 0.75%, 0.0004975%), (CAT, 0, 0.73%, 0.0005164%), (MCD, 0, 0.73%, 0.0004647%), (ABT, 0, 0.73%, 0.0004401%), (HD, 0, 0.72%, 0.0002521%), (ABBV, 0, 0.70%, 0.0002771%), (KO, 0, 0.65%, 0.0002950%), (AMD, 0, 0.64%, 0.0003133%), (BA, 0, 0.62%, 0.0004928%), (PM, 0, 0.62%, 0.0003269%), (BAC, 0, 0.62%, 0.0002451%), (BKNG, 0, 0.61%, 0.0004747%), (SO, 0, 0.61%, 0.0008106%), (NKE, 0, 0.59%, 0.0009115%), (DUK, 0, 0.57%, 0.0008091%), (GS, 0, 0.56%, 0.0003454%), (CRM, 0, 0.55%, 0.0003409%), (ISRG, 0, 0.54%, 0.0004432%), (UBER, 0, 0.54%, 0.0003869%), (IBM, 0, 0.53%, 0.0003358%), (WFC, 0, 0.52%, 0.0002827%), (ETN, 0, 0.52%, 0.0005086%), (HON, 0, 0.51%, 0.0005132%), (MET, 0, 0.50%, 0.0013571%), (INTU, 0, 0.49%, 0.0003411%), (PEP, 0, 0.48%, 0.0003284%), (DE, 0, 0.47%, 0.0004716%), (T, 0, 0.45%, 0.0014076%), (MS, 0, 0.44%, 0.0002564%), (NOW, 0, 0.43%, 0.0003361%), (SPGI, 0, 0.43%, 0.0003461%), (MRK, 0, 0.41%, 0.0002806%), (AXP, 0, 0.40%, 0.0002665%), (BLK, 0, 0.40%, 0.0003100%), (VZ, 0, 0.40%, 0.0003007%), (TXN, 0, 0.39%, 0.0003145%), (QCOM, 0, 0.38%, 0.0003226%), (MDT, 0, 0.38%, 0.0004411%), (COP, 0, 0.38%, 0.0004368%), (UNP, 0, 0.37%, 0.0003916%), (ADBE, 0, 0.37%, 0.0003569%), (ACN, 0, 0.37%, 0.0003405%), (TMO, 0, 0.37%, 0.0002821%), (DIS, 0, 0.36%, 0.0002402%), (C, 0, 0.35%, 0.0002794%), (SBUX, 0, 0.35%, 0.0004614%), (SCHW, 0, 0.35%, 0.0002717%), (AMAT, 0, 0.35%, 0.0003242%), (LMT, 0, 0.33%, 0.0004568%), (MMM, 0, 0.31%, 0.0005137%), (AMGN, 0, 0.31%, 0.0002766%), (GILD, 0, 0.30%, 0.0002780%), (PFE, 0, 0.28%, 0.0002761%), (TJX, 0, 0.28%, 0.0002560%), (EMR, 0, 0.27%, 0.0005076%), (MO, 0, 0.26%, 0.0003304%), (DHR, 0, 0.26%, 0.0002521%), (CVS, 0, 0.26%, 0.0004374%), (LOW, 0, 0.25%, 0.0002555%), (ELV, 0, 0.22%, 0.0004603%), (CMCSA, 0, 0.21%, 0.0002504%), (INTC, 0, 0.21%, 0.0002905%), (MDLZ, 0, 0.20%, 0.0003392%), (BMY, 0, 0.19%, 0.0002760%), (UPS, 0, 0.18%, 0.0003807%), (PYPL, 0, 0.16%, 0.0003536%), (CL, 0, 0.15%, 0.0003021%), (FDX, 0, 0.15%, 0.0003649%), (USB, 0, 0.14%, 0.0002727%), (TGT, 0, 0.09%, 0.0002592%), (nan, 0, -0.01%, 0.0000000%), (nan, 0, -0.01%, 0.0000000%)</t>
  </si>
  <si>
    <t>(GOOGLE, 0, 3.75%, 0.0001677%), (AVGO, 0, 3.29%, 0.0002307%), (META, 0, 2.96%, 0.0001777%), (BRK/B, 0, 2.06%, 0.0003266%), (CSCO, 0, 1.89%, 0.0006915%), (LIN, 0, 1.78%, 0.0008284%), (TSLA, 0, 1.69%, 0.0001557%), (JPM, 0, 1.62%, 0.0002073%), (AMT, 0, 1.57%, 0.0016762%), (XOM, 0, 1.43%, 0.0003237%), (V, 0, 1.39%, 0.0002499%), (CB, 0, 1.14%, 0.0011002%), (MA, 0, 1.12%, 0.0002259%), (WM, 0, 1.11%, 0.0012041%), (GE, 0, 1.10%, 0.0003828%), (LLY, 0, 1.01%, 0.0001719%), (ORCL, 0, 1.00%, 0.0001425%), (PLTR, 0, 0.95%, 0.0002278%), (NFLX, 0, 0.90%, 0.0001791%), (NEE, 0, 0.87%, 0.0005983%), (WMT, 0, 0.84%, 0.0001037%), (JNJ, 0, 0.83%, 0.0002061%), (COST, 0, 0.81%, 0.0001904%), (CVX, 0, 0.79%, 0.0002563%), (PG, 0, 0.78%, 0.0002236%), (UNH, 0, 0.75%, 0.0003337%), (RTX, 0, 0.75%, 0.0003704%), (CAT, 0, 0.73%, 0.0003844%), (MCD, 0, 0.73%, 0.0003460%), (ABT, 0, 0.72%, 0.0003276%), (HD, 0, 0.72%, 0.0001877%), (ABBV, 0, 0.70%, 0.0002063%), (KO, 0, 0.65%, 0.0002196%), (AMD, 0, 0.64%, 0.0002332%), (BA, 0, 0.62%, 0.0003669%), (PM, 0, 0.62%, 0.0002434%), (BAC, 0, 0.62%, 0.0001825%), (BKNG, 0, 0.61%, 0.0003537%), (SO, 0, 0.61%, 0.0006034%), (NKE, 0, 0.59%, 0.0006786%), (DUK, 0, 0.57%, 0.0006024%), (GS, 0, 0.56%, 0.0002571%), (CRM, 0, 0.55%, 0.0002538%), (ISRG, 0, 0.54%, 0.0003300%), (UBER, 0, 0.54%, 0.0002880%), (IBM, 0, 0.53%, 0.0002500%), (WFC, 0, 0.52%, 0.0002105%), (ETN, 0, 0.52%, 0.0003786%), (HON, 0, 0.51%, 0.0003821%), (MET, 0, 0.50%, 0.0010103%), (INTU, 0, 0.49%, 0.0002539%), (PEP, 0, 0.48%, 0.0002445%), (DE, 0, 0.47%, 0.0003511%), (T, 0, 0.45%, 0.0010480%), (MS, 0, 0.44%, 0.0001909%), (NOW, 0, 0.43%, 0.0002505%), (SPGI, 0, 0.42%, 0.0002576%), (MRK, 0, 0.41%, 0.0002089%), (AXP, 0, 0.40%, 0.0001984%), (BLK, 0, 0.40%, 0.0002312%), (VZ, 0, 0.40%, 0.0002238%), (TXN, 0, 0.39%, 0.0002342%), (QCOM, 0, 0.38%, 0.0002401%), (MDT, 0, 0.38%, 0.0003284%), (COP, 0, 0.38%, 0.0003252%), (UNP, 0, 0.37%, 0.0002917%), (ADBE, 0, 0.37%, 0.0002659%), (ACN, 0, 0.37%, 0.0002535%), (TMO, 0, 0.36%, 0.0002100%), (DIS, 0, 0.36%, 0.0001788%), (C, 0, 0.35%, 0.0002081%), (SBUX, 0, 0.35%, 0.0003435%), (SCHW, 0, 0.35%, 0.0002023%), (AMAT, 0, 0.35%, 0.0002414%), (LMT, 0, 0.33%, 0.0003401%), (MMM, 0, 0.31%, 0.0003825%), (AMGN, 0, 0.31%, 0.0002060%), (GILD, 0, 0.30%, 0.0002069%), (PFE, 0, 0.28%, 0.0002056%), (TJX, 0, 0.27%, 0.0001906%), (EMR, 0, 0.27%, 0.0003779%), (MO, 0, 0.26%, 0.0002460%), (DHR, 0, 0.26%, 0.0001877%), (CVS, 0, 0.26%, 0.0003256%), (LOW, 0, 0.25%, 0.0001903%), (ELV, 0, 0.22%, 0.0003429%), (CMCSA, 0, 0.21%, 0.0001864%), (INTC, 0, 0.21%, 0.0002163%), (MDLZ, 0, 0.20%, 0.0002526%), (BMY, 0, 0.19%, 0.0002055%), (UPS, 0, 0.18%, 0.0002834%), (PYPL, 0, 0.16%, 0.0002632%), (CL, 0, 0.15%, 0.0002249%), (FDX, 0, 0.14%, 0.0002717%), (USB, 0, 0.14%, 0.0002030%), (TGT, 0, 0.09%, 0.0001930%), (nan, 0, -0.01%, 0.0000000%), (nan, 0, -0.01%, 0.0000000%)</t>
  </si>
  <si>
    <t>(GOOGLE, 0, 3.78%, 0.0000393%), (AVGO, 0, 3.32%, 0.0000541%), (META, 0, 2.99%, 0.0000416%), (BRK/B, 0, 2.08%, 0.0000765%), (CSCO, 0, 1.91%, 0.0001620%), (LIN, 0, 1.80%, 0.0001940%), (TSLA, 0, 1.71%, 0.0000365%), (JPM, 0, 1.64%, 0.0000486%), (AMT, 0, 1.59%, 0.0003928%), (XOM, 0, 1.45%, 0.0000759%), (V, 0, 1.40%, 0.0000586%), (CB, 0, 1.15%, 0.0002579%), (MA, 0, 1.13%, 0.0000530%), (WM, 0, 1.12%, 0.0002822%), (GE, 0, 1.11%, 0.0000897%), (LLY, 0, 1.02%, 0.0000403%), (ORCL, 0, 1.01%, 0.0000334%), (PLTR, 0, 0.95%, 0.0000534%), (NFLX, 0, 0.91%, 0.0000420%), (NEE, 0, 0.88%, 0.0001402%), (WMT, 0, 0.84%, 0.0000243%), (JNJ, 0, 0.84%, 0.0000483%), (COST, 0, 0.82%, 0.0000447%), (CVX, 0, 0.80%, 0.0000601%), (PG, 0, 0.79%, 0.0000524%), (UNH, 0, 0.76%, 0.0000782%), (RTX, 0, 0.76%, 0.0000868%), (CAT, 0, 0.73%, 0.0000901%), (MCD, 0, 0.73%, 0.0000811%), (ABT, 0, 0.73%, 0.0000768%), (HD, 0, 0.72%, 0.0000440%), (ABBV, 0, 0.71%, 0.0000483%), (KO, 0, 0.66%, 0.0000515%), (AMD, 0, 0.64%, 0.0000547%), (BA, 0, 0.63%, 0.0000860%), (PM, 0, 0.63%, 0.0000570%), (BAC, 0, 0.63%, 0.0000428%), (BKNG, 0, 0.62%, 0.0000838%), (SO, 0, 0.61%, 0.0001414%), (NKE, 0, 0.59%, 0.0001590%), (DUK, 0, 0.57%, 0.0001412%), (GS, 0, 0.56%, 0.0000603%), (CRM, 0, 0.55%, 0.0000595%), (ISRG, 0, 0.55%, 0.0000773%), (UBER, 0, 0.54%, 0.0000675%), (IBM, 0, 0.54%, 0.0000586%), (WFC, 0, 0.52%, 0.0000493%), (ETN, 0, 0.52%, 0.0000886%), (HON, 0, 0.52%, 0.0000895%), (MET, 0, 0.51%, 0.0002367%), (INTU, 0, 0.49%, 0.0000595%), (PEP, 0, 0.48%, 0.0000573%), (DE, 0, 0.47%, 0.0000821%), (T, 0, 0.45%, 0.0002456%), (MS, 0, 0.44%, 0.0000447%), (NOW, 0, 0.44%, 0.0000587%), (SPGI, 0, 0.43%, 0.0000604%), (MRK, 0, 0.41%, 0.0000490%), (BLK, 0, 0.41%, 0.0000542%), (AXP, 0, 0.41%, 0.0000465%), (VZ, 0, 0.40%, 0.0000525%), (TXN, 0, 0.40%, 0.0000549%), (QCOM, 0, 0.39%, 0.0000563%), (MDT, 0, 0.38%, 0.0000769%), (COP, 0, 0.38%, 0.0000762%), (UNP, 0, 0.37%, 0.0000683%), (ADBE, 0, 0.37%, 0.0000624%), (ACN, 0, 0.37%, 0.0000594%), (TMO, 0, 0.37%, 0.0000492%), (DIS, 0, 0.36%, 0.0000419%), (C, 0, 0.36%, 0.0000487%), (SBUX, 0, 0.36%, 0.0000805%), (SCHW, 0, 0.35%, 0.0000474%), (AMAT, 0, 0.35%, 0.0000566%), (LMT, 0, 0.33%, 0.0000795%), (MMM, 0, 0.31%, 0.0000896%), (AMGN, 0, 0.31%, 0.0000483%), (GILD, 0, 0.30%, 0.0000485%), (PFE, 0, 0.28%, 0.0000482%), (TJX, 0, 0.28%, 0.0000447%), (EMR, 0, 0.28%, 0.0000885%), (MO, 0, 0.27%, 0.0000577%), (DHR, 0, 0.27%, 0.0000440%), (CVS, 0, 0.26%, 0.0000763%), (LOW, 0, 0.26%, 0.0000446%), (ELV, 0, 0.22%, 0.0000801%), (CMCSA, 0, 0.21%, 0.0000437%), (INTC, 0, 0.21%, 0.0000507%), (MDLZ, 0, 0.20%, 0.0000592%), (BMY, 0, 0.19%, 0.0000481%), (UPS, 0, 0.18%, 0.0000664%), (PYPL, 0, 0.16%, 0.0000617%), (CL, 0, 0.15%, 0.0000527%), (FDX, 0, 0.15%, 0.0000636%), (USB, 0, 0.14%, 0.0000476%), (TGT, 0, 0.09%, 0.0000453%), (nan, 0, -0.01%, 0.0000000%), (nan, 0, -0.01%, 0.0000000%)</t>
  </si>
  <si>
    <t>(GOOGLE, 0, 3.61%, 0.0000688%), (AVGO, 0, 3.17%, 0.0000947%), (META, 0, 2.86%, 0.0000730%), (BRK/B, 0, 1.99%, 0.0001341%), (CSCO, 0, 1.83%, 0.0002838%), (LIN, 0, 1.72%, 0.0003401%), (TSLA, 0, 1.64%, 0.0000639%), (JPM, 0, 1.57%, 0.0000851%), (AMT, 0, 1.52%, 0.0006880%), (XOM, 0, 1.38%, 0.0001329%), (V, 0, 1.34%, 0.0001026%), (CB, 0, 1.10%, 0.0004518%), (MA, 0, 1.08%, 0.0000927%), (WM, 0, 1.07%, 0.0004942%), (GE, 0, 1.06%, 0.0001571%), (LLY, 0, 0.97%, 0.0000706%), (ORCL, 0, 0.97%, 0.0000585%), (PLTR, 0, 0.91%, 0.0000935%), (NFLX, 0, 0.87%, 0.0000734%), (NEE, 0, 0.84%, 0.0002456%), (WMT, 0, 0.81%, 0.0000426%), (JNJ, 0, 0.80%, 0.0000846%), (COST, 0, 0.78%, 0.0000781%), (CVX, 0, 0.77%, 0.0001052%), (PG, 0, 0.76%, 0.0000918%), (UNH, 0, 0.73%, 0.0001370%), (RTX, 0, 0.72%, 0.0001520%), (CAT, 0, 0.70%, 0.0001577%), (MCD, 0, 0.70%, 0.0001420%), (ABT, 0, 0.70%, 0.0001345%), (HD, 0, 0.69%, 0.0000771%), (ABBV, 0, 0.68%, 0.0000847%), (KO, 0, 0.63%, 0.0000902%), (AMD, 0, 0.62%, 0.0000958%), (BA, 0, 0.60%, 0.0001506%), (BAC, 0, 0.60%, 0.0000749%), (PM, 0, 0.60%, 0.0000999%), (BKNG, 0, 0.59%, 0.0001458%), (SO, 0, 0.58%, 0.0002477%), (NKE, 0, 0.57%, 0.0002786%), (DUK, 0, 0.55%, 0.0002472%), (GS, 0, 0.54%, 0.0001054%), (CRM, 0, 0.53%, 0.0001042%), (ISRG, 0, 0.52%, 0.0001354%), (UBER, 0, 0.52%, 0.0001182%), (IBM, 0, 0.51%, 0.0001026%), (WFC, 0, 0.50%, 0.0000864%), (ETN, 0, 0.50%, 0.0001554%), (HON, 0, 0.49%, 0.0001569%), (MET, 0, 0.48%, 0.0004147%), (INTU, 0, 0.47%, 0.0001044%), (PEP, 0, 0.46%, 0.0001003%), (DE, 0, 0.45%, 0.0001443%), (T, 0, 0.43%, 0.0004302%), (MS, 0, 0.42%, 0.0000784%), (NOW, 0, 0.42%, 0.0001029%), (SPGI, 0, 0.41%, 0.0001057%), (MRK, 0, 0.39%, 0.0000858%), (BLK, 0, 0.39%, 0.0000949%), (AXP, 0, 0.39%, 0.0000814%), (VZ, 0, 0.38%, 0.0000919%), (TXN, 0, 0.38%, 0.0000961%), (QCOM, 0, 0.37%, 0.0000986%), (MDT, 0, 0.36%, 0.0001348%), (COP, 0, 0.36%, 0.0001335%), (UNP, 0, 0.36%, 0.0001197%), (ADBE, 0, 0.35%, 0.0001092%), (ACN, 0, 0.35%, 0.0001040%), (TMO, 0, 0.35%, 0.0000862%), (DIS, 0, 0.34%, 0.0000734%), (C, 0, 0.34%, 0.0000854%), (SBUX, 0, 0.34%, 0.0001410%), (SCHW, 0, 0.34%, 0.0000830%), (AMAT, 0, 0.34%, 0.0000990%), (LMT, 0, 0.31%, 0.0001396%), (MMM, 0, 0.30%, 0.0001570%), (AMGN, 0, 0.30%, 0.0000845%), (GILD, 0, 0.29%, 0.0000849%), (PFE, 0, 0.27%, 0.0000844%), (TJX, 0, 0.27%, 0.0000783%), (EMR, 0, 0.26%, 0.0001551%), (MO, 0, 0.25%, 0.0001010%), (DHR, 0, 0.25%, 0.0000770%), (CVS, 0, 0.25%, 0.0001337%), (LOW, 0, 0.24%, 0.0000781%), (ELV, 0, 0.21%, 0.0001408%), (CMCSA, 0, 0.20%, 0.0000765%), (INTC, 0, 0.20%, 0.0000888%), (MDLZ, 0, 0.19%, 0.0001037%), (BMY, 0, 0.18%, 0.0000843%), (UPS, 0, 0.17%, 0.0001163%), (PYPL, 0, 0.16%, 0.0001081%), (CL, 0, 0.14%, 0.0000923%), (FDX, 0, 0.14%, 0.0001115%), (USB, 0, 0.14%, 0.0000833%), (TGT, 0, 0.09%, 0.0000792%), (nan, 0, -0.01%, 0.0000000%), (nan, 0, -0.01%, 0.0000000%)</t>
  </si>
  <si>
    <t>(GOOGLE, 0, 3.69%, 0.0000249%), (AVGO, 0, 3.24%, 0.0000343%), (META, 0, 2.93%, 0.0000264%), (BRK/B, 0, 2.03%, 0.0000486%), (CSCO, 0, 1.86%, 0.0001029%), (LIN, 0, 1.76%, 0.0001231%), (TSLA, 0, 1.67%, 0.0000232%), (JPM, 0, 1.60%, 0.0000308%), (AMT, 0, 1.55%, 0.0002493%), (XOM, 0, 1.41%, 0.0000482%), (V, 0, 1.36%, 0.0000371%), (CB, 0, 1.12%, 0.0001636%), (MA, 0, 1.10%, 0.0000335%), (WM, 0, 1.09%, 0.0001790%), (GE, 0, 1.08%, 0.0000570%), (LLY, 0, 0.99%, 0.0000256%), (ORCL, 0, 0.99%, 0.0000212%), (PLTR, 0, 0.93%, 0.0000339%), (NFLX, 0, 0.89%, 0.0000267%), (NEE, 0, 0.85%, 0.0000890%), (WMT, 0, 0.82%, 0.0000154%), (JNJ, 0, 0.82%, 0.0000307%), (COST, 0, 0.80%, 0.0000284%), (CVX, 0, 0.78%, 0.0000381%), (PG, 0, 0.77%, 0.0000333%), (UNH, 0, 0.75%, 0.0000497%), (RTX, 0, 0.74%, 0.0000551%), (CAT, 0, 0.71%, 0.0000572%), (MCD, 0, 0.71%, 0.0000514%), (ABT, 0, 0.71%, 0.0000487%), (HD, 0, 0.70%, 0.0000279%), (ABBV, 0, 0.69%, 0.0000307%), (KO, 0, 0.64%, 0.0000327%), (AMD, 0, 0.63%, 0.0000347%), (BA, 0, 0.61%, 0.0000546%), (PM, 0, 0.61%, 0.0000362%), (BAC, 0, 0.61%, 0.0000272%), (BKNG, 0, 0.60%, 0.0000527%), (SO, 0, 0.60%, 0.0000897%), (NKE, 0, 0.58%, 0.0001009%), (DUK, 0, 0.56%, 0.0000896%), (GS, 0, 0.56%, 0.0000383%), (CRM, 0, 0.54%, 0.0000377%), (ISRG, 0, 0.54%, 0.0000491%), (UBER, 0, 0.53%, 0.0000428%), (IBM, 0, 0.53%, 0.0000372%), (WFC, 0, 0.51%, 0.0000313%), (ETN, 0, 0.51%, 0.0000563%), (HON, 0, 0.50%, 0.0000569%), (MET, 0, 0.49%, 0.0001502%), (INTU, 0, 0.48%, 0.0000377%), (PEP, 0, 0.47%, 0.0000363%), (DE, 0, 0.46%, 0.0000522%), (T, 0, 0.44%, 0.0001559%), (MS, 0, 0.43%, 0.0000284%), (NOW, 0, 0.42%, 0.0000370%), (SPGI, 0, 0.42%, 0.0000383%), (MRK, 0, 0.40%, 0.0000311%), (BLK, 0, 0.40%, 0.0000342%), (AXP, 0, 0.39%, 0.0000295%), (VZ, 0, 0.39%, 0.0000333%), (TXN, 0, 0.39%, 0.0000348%), (QCOM, 0, 0.38%, 0.0000357%), (COP, 0, 0.37%, 0.0000484%), (MDT, 0, 0.37%, 0.0000489%), (UNP, 0, 0.36%, 0.0000433%), (TMO, 0, 0.36%, 0.0000311%), (ADBE, 0, 0.36%, 0.0000394%), (ACN, 0, 0.36%, 0.0000377%), (DIS, 0, 0.35%, 0.0000266%), (C, 0, 0.35%, 0.0000310%), (SBUX, 0, 0.35%, 0.0000511%), (SCHW, 0, 0.35%, 0.0000301%), (AMAT, 0, 0.34%, 0.0000359%), (LMT, 0, 0.32%, 0.0000506%), (MMM, 0, 0.30%, 0.0000568%), (AMGN, 0, 0.30%, 0.0000306%), (GILD, 0, 0.29%, 0.0000308%), (PFE, 0, 0.27%, 0.0000306%), (TJX, 0, 0.27%, 0.0000284%), (EMR, 0, 0.27%, 0.0000561%), (DHR, 0, 0.26%, 0.0000279%), (MO, 0, 0.26%, 0.0000366%), (CVS, 0, 0.26%, 0.0000484%), (LOW, 0, 0.25%, 0.0000284%), (ELV, 0, 0.21%, 0.0000508%), (CMCSA, 0, 0.21%, 0.0000277%), (INTC, 0, 0.20%, 0.0000322%), (MDLZ, 0, 0.19%, 0.0000376%), (BMY, 0, 0.19%, 0.0000306%), (UPS, 0, 0.17%, 0.0000421%), (PYPL, 0, 0.16%, 0.0000391%), (CL, 0, 0.15%, 0.0000335%), (FDX, 0, 0.14%, 0.0000403%), (USB, 0, 0.14%, 0.0000302%), (TGT, 0, 0.09%, 0.0000286%), (nan, 0, -0.01%, 0.0000000%), (nan, 0, -0.01%, 0.0000000%)</t>
  </si>
  <si>
    <t>(GOOGLE, 0, 3.92%, 0.0000597%), (AVGO, 0, 3.44%, 0.0000822%), (META, 0, 3.10%, 0.0000633%), (BRK/B, 0, 2.16%, 0.0001164%), (CSCO, 0, 1.98%, 0.0002464%), (LIN, 0, 1.87%, 0.0002951%), (TSLA, 0, 1.77%, 0.0000555%), (JPM, 0, 1.70%, 0.0000739%), (AMT, 0, 1.65%, 0.0005970%), (XOM, 0, 1.50%, 0.0001153%), (V, 0, 1.45%, 0.0000890%), (CB, 0, 1.19%, 0.0003921%), (MA, 0, 1.17%, 0.0000804%), (WM, 0, 1.16%, 0.0004289%), (GE, 0, 1.15%, 0.0001363%), (LLY, 0, 1.05%, 0.0000612%), (ORCL, 0, 1.05%, 0.0000508%), (PLTR, 0, 0.99%, 0.0000812%), (NFLX, 0, 0.94%, 0.0000637%), (NEE, 0, 0.91%, 0.0002131%), (WMT, 0, 0.87%, 0.0000369%), (JNJ, 0, 0.87%, 0.0000734%), (COST, 0, 0.85%, 0.0000679%), (CVX, 0, 0.83%, 0.0000913%), (PG, 0, 0.82%, 0.0000796%), (UNH, 0, 0.79%, 0.0001189%), (RTX, 0, 0.78%, 0.0001319%), (CAT, 0, 0.76%, 0.0001370%), (MCD, 0, 0.76%, 0.0001233%), (ABT, 0, 0.76%, 0.0001167%), (HD, 0, 0.75%, 0.0000669%), (ABBV, 0, 0.74%, 0.0000735%), (KO, 0, 0.68%, 0.0000782%), (AMD, 0, 0.67%, 0.0000831%), (BA, 0, 0.65%, 0.0001308%), (PM, 0, 0.65%, 0.0000867%), (BAC, 0, 0.65%, 0.0000650%), (BKNG, 0, 0.64%, 0.0001272%), (SO, 0, 0.63%, 0.0002150%), (NKE, 0, 0.61%, 0.0002417%), (DUK, 0, 0.59%, 0.0002147%), (GS, 0, 0.58%, 0.0000917%), (CRM, 0, 0.57%, 0.0000904%), (ISRG, 0, 0.57%, 0.0001176%), (UBER, 0, 0.56%, 0.0001026%), (IBM, 0, 0.56%, 0.0000891%), (WFC, 0, 0.54%, 0.0000750%), (ETN, 0, 0.54%, 0.0001349%), (HON, 0, 0.54%, 0.0001361%), (MET, 0, 0.52%, 0.0003600%), (INTU, 0, 0.51%, 0.0000904%), (PEP, 0, 0.50%, 0.0000871%), (DE, 0, 0.49%, 0.0001250%), (T, 0, 0.47%, 0.0003733%), (MS, 0, 0.46%, 0.0000680%), (NOW, 0, 0.45%, 0.0000889%), (SPGI, 0, 0.44%, 0.0000918%), (MRK, 0, 0.43%, 0.0000744%), (AXP, 0, 0.42%, 0.0000707%), (BLK, 0, 0.42%, 0.0000820%), (VZ, 0, 0.42%, 0.0000798%), (TXN, 0, 0.41%, 0.0000834%), (QCOM, 0, 0.40%, 0.0000855%), (MDT, 0, 0.39%, 0.0001170%), (COP, 0, 0.39%, 0.0001159%), (UNP, 0, 0.39%, 0.0001039%), (ADBE, 0, 0.38%, 0.0000946%), (ACN, 0, 0.38%, 0.0000904%), (TMO, 0, 0.38%, 0.0000748%), (DIS, 0, 0.37%, 0.0000637%), (C, 0, 0.37%, 0.0000741%), (SBUX, 0, 0.37%, 0.0001224%), (SCHW, 0, 0.37%, 0.0000721%), (AMAT, 0, 0.37%, 0.0000860%), (LMT, 0, 0.34%, 0.0001210%), (MMM, 0, 0.32%, 0.0001363%), (AMGN, 0, 0.32%, 0.0000734%), (GILD, 0, 0.31%, 0.0000738%), (PFE, 0, 0.29%, 0.0000732%), (TJX, 0, 0.29%, 0.0000679%), (EMR, 0, 0.29%, 0.0001347%), (MO, 0, 0.28%, 0.0000876%), (DHR, 0, 0.28%, 0.0000668%), (CVS, 0, 0.27%, 0.0001160%), (LOW, 0, 0.27%, 0.0000678%), (ELV, 0, 0.22%, 0.0001219%), (CMCSA, 0, 0.22%, 0.0000664%), (INTC, 0, 0.22%, 0.0000770%), (MDLZ, 0, 0.20%, 0.0000900%), (BMY, 0, 0.20%, 0.0000732%), (UPS, 0, 0.19%, 0.0001009%), (PYPL, 0, 0.17%, 0.0000937%), (CL, 0, 0.16%, 0.0000801%), (FDX, 0, 0.15%, 0.0000966%), (USB, 0, 0.15%, 0.0000723%), (TGT, 0, 0.09%, 0.0000689%), (nan, 0, -0.01%, 0.0000000%), (nan, 0, -0.01%, 0.0000000%)</t>
  </si>
  <si>
    <t>EBAY, META, BK, MSFT, EA, GOOGLE, BLK, MLI, JPM, RJF, BKNG</t>
  </si>
  <si>
    <t>(AMAT, 0, 1.90%, 0.0006996%), (EWBC, 0, 1.85%, 0.0072957%), (PHM, 0, 1.82%, 0.0042346%), (HIG, 0, 1.82%, 0.0027953%), (AXP, 0, 1.81%, 0.0004763%), (NVDA, 0, 1.80%, 0.0000224%), (TRV, 0, 1.77%, 0.0016592%), (V, 0, 1.77%, 0.0001713%), (KLAC, 0, 1.74%, 0.0007832%), (ROST, 0, 1.74%, 0.0019925%), (SNA, 0, 1.71%, 0.0055761%), (ADP, 0, 1.70%, 0.0007685%), (UNM, 0, 1.67%, 0.0076829%), (PCAR, 0, 1.64%, 0.0017515%), (CB, 0, 1.61%, 0.0008339%), (SYF, 0, 1.59%, 0.0033726%), (LEN, 0, 1.55%, 0.0030683%), (WSM, 0, 1.54%, 0.0033771%), (CTSH, 0, 1.45%, 0.0024357%), (CRM, 0, 1.40%, 0.0003500%), (PAYC, 0, 1.39%, 0.0061493%), (BKR, 0, 1.34%, 0.0017533%), (DHI, 0, 1.31%, 0.0015495%), (QCOM, 0, 1.30%, 0.0004348%), (AAPL, 0, 1.26%, 0.0000205%), (AFL, 0, 1.21%, 0.0012015%), (ACN, 0, 1.20%, 0.0004450%), (ELV, 0, 1.18%, 0.0010025%), (LRCX, 0, 1.14%, 0.0004771%), (CSCO, 0, 1.13%, 0.0002202%), (MPWR, 0, 1.13%, 0.0015493%), (ODFL, 0, 1.08%, 0.0018966%), (GE, 0, 1.07%, 0.0001991%), (STT, 0, 0.98%, 0.0017271%), (PNC, 0, 0.90%, 0.0006559%), (MTB, 0, 0.88%, 0.0016702%), (AMP, 0, 0.88%, 0.0010118%), (COST, 0, 0.87%, 0.0001090%), (CF, 0, 0.83%, 0.0034037%), (ABT, 0, 0.82%, 0.0001997%), (EOG, 0, 0.78%, 0.0006654%), (XOM, 0, 0.78%, 0.0000947%), (CSL, 0, 0.75%, 0.0025894%), (EG, 0, 0.73%, 0.0029095%), (GEV, 0, 0.58%, 0.0001813%), (NTRS, 0, 0.52%, 0.0011839%), (MA, 0, 0.48%, 0.0000524%), (CRBG, 0, 0.48%, 0.0014281%), (JNJ, 0, 0.47%, 0.0000622%), (ACM, 0, 0.46%, 0.0015991%), (LNC, 0, 0.44%, 0.0032242%), (MTG, 0, 0.44%, 0.0039322%), (JXN, 0, 0.43%, 0.0036295%), (EQH, 0, 0.43%, 0.0014492%), (CINF, 0, 0.43%, 0.0009980%), (SLM, 0, 0.42%, 0.0035407%), (DOV, 0, 0.42%, 0.0009544%), (ALL, 0, 0.42%, 0.0004209%), (WTFC, 0, 0.41%, 0.0026945%), (ADM, 0, 0.40%, 0.0007761%), (MCK, 0, 0.39%, 0.0002597%), (NUE, 0, 0.38%, 0.0006522%), (NKE, 0, 0.37%, 0.0002295%), (PGR, 0, 0.36%, 0.0001394%), (FANG, 0, 0.29%, 0.0004028%)</t>
  </si>
  <si>
    <t>(GOOGLE, 0, 3.57%, 0.0000633%), (AVGO, 0, 3.14%, 0.0000871%), (META, 0, 2.83%, 0.0000671%), (BRK/B, 0, 1.96%, 0.0001233%), (CSCO, 0, 1.81%, 0.0002611%), (LIN, 0, 1.70%, 0.0003129%), (TSLA, 0, 1.62%, 0.0000588%), (JPM, 0, 1.55%, 0.0000783%), (AMT, 0, 1.50%, 0.0006329%), (XOM, 0, 1.37%, 0.0001222%), (V, 0, 1.32%, 0.0000944%), (CB, 0, 1.09%, 0.0004154%), (MA, 0, 1.07%, 0.0000853%), (WM, 0, 1.06%, 0.0004547%), (GE, 0, 1.05%, 0.0001446%), (LLY, 0, 0.96%, 0.0000649%), (ORCL, 0, 0.95%, 0.0000538%), (PLTR, 0, 0.90%, 0.0000860%), (NFLX, 0, 0.86%, 0.0000677%), (NEE, 0, 0.83%, 0.0002259%), (WMT, 0, 0.80%, 0.0000392%), (JNJ, 0, 0.79%, 0.0000778%), (COST, 0, 0.77%, 0.0000720%), (CVX, 0, 0.76%, 0.0000968%), (PG, 0, 0.75%, 0.0000844%), (UNH, 0, 0.72%, 0.0001260%), (RTX, 0, 0.71%, 0.0001398%), (CAT, 0, 0.69%, 0.0001452%), (MCD, 0, 0.69%, 0.0001306%), (ABT, 0, 0.69%, 0.0001237%), (HD, 0, 0.68%, 0.0000708%), (ABBV, 0, 0.67%, 0.0000779%), (KO, 0, 0.62%, 0.0000829%), (AMD, 0, 0.61%, 0.0000881%), (BA, 0, 0.59%, 0.0001385%), (BAC, 0, 0.59%, 0.0000689%), (PM, 0, 0.59%, 0.0000919%), (BKNG, 0, 0.58%, 0.0001334%), (SO, 0, 0.58%, 0.0002279%), (NKE, 0, 0.56%, 0.0002563%), (DUK, 0, 0.54%, 0.0002275%), (GS, 0, 0.53%, 0.0000970%), (CRM, 0, 0.52%, 0.0000958%), (ISRG, 0, 0.52%, 0.0001247%), (UBER, 0, 0.51%, 0.0001088%), (IBM, 0, 0.51%, 0.0000944%), (WFC, 0, 0.50%, 0.0000795%), (ETN, 0, 0.49%, 0.0001431%), (HON, 0, 0.49%, 0.0001443%), (MET, 0, 0.48%, 0.0003815%), (INTU, 0, 0.46%, 0.0000961%), (PEP, 0, 0.45%, 0.0000924%), (DE, 0, 0.44%, 0.0001324%), (T, 0, 0.42%, 0.0003957%), (MS, 0, 0.42%, 0.0000721%), (NOW, 0, 0.41%, 0.0000947%), (SPGI, 0, 0.40%, 0.0000971%), (MRK, 0, 0.39%, 0.0000789%), (AXP, 0, 0.38%, 0.0000749%), (BLK, 0, 0.38%, 0.0000872%), (VZ, 0, 0.38%, 0.0000845%), (TXN, 0, 0.38%, 0.0000884%), (QCOM, 0, 0.37%, 0.0000907%), (MDT, 0, 0.36%, 0.0001240%), (COP, 0, 0.36%, 0.0001228%), (UNP, 0, 0.35%, 0.0001101%), (ACN, 0, 0.35%, 0.0000957%), (ADBE, 0, 0.35%, 0.0001003%), (TMO, 0, 0.35%, 0.0000793%), (DIS, 0, 0.34%, 0.0000675%), (C, 0, 0.34%, 0.0000785%), (SBUX, 0, 0.34%, 0.0001298%), (SCHW, 0, 0.34%, 0.0000764%), (AMAT, 0, 0.33%, 0.0000911%), (LMT, 0, 0.31%, 0.0001284%), (MMM, 0, 0.30%, 0.0001444%), (AMGN, 0, 0.29%, 0.0000778%), (GILD, 0, 0.28%, 0.0000782%), (PFE, 0, 0.27%, 0.0000776%), (TJX, 0, 0.26%, 0.0000720%), (EMR, 0, 0.26%, 0.0001427%), (DHR, 0, 0.25%, 0.0000709%), (MO, 0, 0.25%, 0.0000929%), (CVS, 0, 0.25%, 0.0001230%), (LOW, 0, 0.24%, 0.0000719%), (ELV, 0, 0.21%, 0.0001296%), (CMCSA, 0, 0.20%, 0.0000704%), (INTC, 0, 0.20%, 0.0000817%), (MDLZ, 0, 0.19%, 0.0000953%), (BMY, 0, 0.18%, 0.0000776%), (UPS, 0, 0.17%, 0.0001071%), (PYPL, 0, 0.15%, 0.0000994%), (CL, 0, 0.14%, 0.0000849%), (FDX, 0, 0.14%, 0.0001026%), (USB, 0, 0.13%, 0.0000767%), (TGT, 0, 0.09%, 0.0000728%), (nan, 0, -0.01%, 0.0000000%), (nan, 0, -0.01%, 0.0000000%)</t>
  </si>
  <si>
    <t>(GOOGLE, 0, 3.74%, 0.0001295%), (AVGO, 0, 3.29%, 0.0001782%), (META, 0, 2.96%, 0.0001372%), (BRK/B, 0, 2.06%, 0.0002523%), (CSCO, 0, 1.89%, 0.0005341%), (LIN, 0, 1.78%, 0.0006397%), (TSLA, 0, 1.70%, 0.0001203%), (JPM, 0, 1.62%, 0.0001601%), (AMT, 0, 1.57%, 0.0012947%), (XOM, 0, 1.43%, 0.0002500%), (V, 0, 1.39%, 0.0001930%), (CB, 0, 1.14%, 0.0008500%), (MA, 0, 1.12%, 0.0001745%), (WM, 0, 1.11%, 0.0009301%), (GE, 0, 1.10%, 0.0002957%), (LLY, 0, 1.01%, 0.0001328%), (ORCL, 0, 1.00%, 0.0001100%), (PLTR, 0, 0.95%, 0.0001759%), (NFLX, 0, 0.90%, 0.0001383%), (NEE, 0, 0.87%, 0.0004621%), (WMT, 0, 0.83%, 0.0000801%), (JNJ, 0, 0.83%, 0.0001592%), (COST, 0, 0.81%, 0.0001471%), (CVX, 0, 0.79%, 0.0001980%), (PG, 0, 0.79%, 0.0001727%), (UNH, 0, 0.76%, 0.0002578%), (RTX, 0, 0.75%, 0.0002860%), (CAT, 0, 0.73%, 0.0002969%), (MCD, 0, 0.72%, 0.0002672%), (ABT, 0, 0.72%, 0.0002530%), (HD, 0, 0.72%, 0.0001450%), (ABBV, 0, 0.70%, 0.0001593%), (KO, 0, 0.65%, 0.0001696%), (AMD, 0, 0.64%, 0.0001802%), (BA, 0, 0.62%, 0.0002834%), (BAC, 0, 0.62%, 0.0001410%), (PM, 0, 0.62%, 0.0001880%), (BKNG, 0, 0.61%, 0.0002730%), (SO, 0, 0.61%, 0.0004661%), (NKE, 0, 0.59%, 0.0005242%), (DUK, 0, 0.57%, 0.0004652%), (GS, 0, 0.56%, 0.0001987%), (CRM, 0, 0.55%, 0.0001960%), (ISRG, 0, 0.54%, 0.0002550%), (UBER, 0, 0.54%, 0.0002225%), (IBM, 0, 0.53%, 0.0001931%), (WFC, 0, 0.52%, 0.0001626%), (ETN, 0, 0.52%, 0.0002926%), (HON, 0, 0.51%, 0.0002952%), (MET, 0, 0.50%, 0.0007803%), (INTU, 0, 0.49%, 0.0001962%), (PEP, 0, 0.48%, 0.0001888%), (DE, 0, 0.47%, 0.0002712%), (T, 0, 0.45%, 0.0008094%), (MS, 0, 0.44%, 0.0001474%), (NOW, 0, 0.43%, 0.0001933%), (SPGI, 0, 0.42%, 0.0001988%), (MRK, 0, 0.41%, 0.0001613%), (AXP, 0, 0.40%, 0.0001533%), (BLK, 0, 0.40%, 0.0001782%), (VZ, 0, 0.40%, 0.0001729%), (TXN, 0, 0.39%, 0.0001808%), (QCOM, 0, 0.38%, 0.0001855%), (COP, 0, 0.38%, 0.0002512%), (MDT, 0, 0.38%, 0.0002536%), (UNP, 0, 0.37%, 0.0002252%), (ACN, 0, 0.37%, 0.0001959%), (TMO, 0, 0.37%, 0.0001621%), (ADBE, 0, 0.37%, 0.0002052%), (DIS, 0, 0.36%, 0.0001381%), (C, 0, 0.35%, 0.0001607%), (SBUX, 0, 0.35%, 0.0002653%), (SCHW, 0, 0.35%, 0.0001562%), (AMAT, 0, 0.35%, 0.0001864%), (LMT, 0, 0.33%, 0.0002628%), (MMM, 0, 0.31%, 0.0002954%), (AMGN, 0, 0.31%, 0.0001590%), (GILD, 0, 0.30%, 0.0001598%), (PFE, 0, 0.28%, 0.0001588%), (TJX, 0, 0.27%, 0.0001472%), (EMR, 0, 0.27%, 0.0002919%), (MO, 0, 0.26%, 0.0001900%), (DHR, 0, 0.26%, 0.0001450%), (CVS, 0, 0.26%, 0.0002515%), (LOW, 0, 0.25%, 0.0001469%), (ELV, 0, 0.22%, 0.0002646%), (CMCSA, 0, 0.21%, 0.0001440%), (INTC, 0, 0.21%, 0.0001670%), (MDLZ, 0, 0.20%, 0.0001951%), (BMY, 0, 0.19%, 0.0001587%), (UPS, 0, 0.18%, 0.0002190%), (PYPL, 0, 0.16%, 0.0002033%), (CL, 0, 0.15%, 0.0001737%), (FDX, 0, 0.14%, 0.0002098%), (USB, 0, 0.14%, 0.0001568%), (TGT, 0, 0.09%, 0.0001492%), (nan, 0, -0.01%, 0.0000000%), (nan, 0, -0.01%, 0.0000000%)</t>
  </si>
  <si>
    <t>(GOOGLE, 0, 3.56%, 0.0002595%), (AVGO, 0, 3.12%, 0.0003571%), (META, 0, 2.81%, 0.0002750%), (BRK/B, 0, 1.96%, 0.0005055%), (CSCO, 0, 1.80%, 0.0010704%), (LIN, 0, 1.70%, 0.0012822%), (TSLA, 0, 1.61%, 0.0002410%), (JPM, 0, 1.54%, 0.0003209%), (AMT, 0, 1.49%, 0.0025945%), (XOM, 0, 1.36%, 0.0005011%), (V, 0, 1.32%, 0.0003868%), (CB, 0, 1.08%, 0.0017032%), (MA, 0, 1.07%, 0.0003497%), (WM, 0, 1.05%, 0.0018636%), (GE, 0, 1.04%, 0.0005925%), (LLY, 0, 0.96%, 0.0002661%), (ORCL, 0, 0.95%, 0.0002205%), (PLTR, 0, 0.90%, 0.0003526%), (NFLX, 0, 0.86%, 0.0002773%), (NEE, 0, 0.82%, 0.0009261%), (WMT, 0, 0.79%, 0.0001605%), (JNJ, 0, 0.79%, 0.0003191%), (COST, 0, 0.77%, 0.0002947%), (CVX, 0, 0.76%, 0.0003967%), (PG, 0, 0.75%, 0.0003461%), (UNH, 0, 0.72%, 0.0005165%), (RTX, 0, 0.71%, 0.0005733%), (CAT, 0, 0.69%, 0.0005951%), (MCD, 0, 0.69%, 0.0005356%), (ABT, 0, 0.69%, 0.0005071%), (HD, 0, 0.68%, 0.0002905%), (ABBV, 0, 0.67%, 0.0003194%), (KO, 0, 0.62%, 0.0003400%), (AMD, 0, 0.61%, 0.0003610%), (BA, 0, 0.59%, 0.0005680%), (PM, 0, 0.59%, 0.0003768%), (BAC, 0, 0.59%, 0.0002825%), (SO, 0, 0.58%, 0.0009341%), (BKNG, 0, 0.58%, 0.0005491%), (NKE, 0, 0.56%, 0.0010580%), (DUK, 0, 0.54%, 0.0009324%), (GS, 0, 0.53%, 0.0003981%), (CRM, 0, 0.52%, 0.0003929%), (ISRG, 0, 0.52%, 0.0005109%), (UBER, 0, 0.51%, 0.0004459%), (IBM, 0, 0.51%, 0.0003870%), (WFC, 0, 0.49%, 0.0003258%), (ETN, 0, 0.49%, 0.0005862%), (HON, 0, 0.49%, 0.0005914%), (MET, 0, 0.48%, 0.0015638%), (INTU, 0, 0.46%, 0.0003935%), (PEP, 0, 0.45%, 0.0003785%), (DE, 0, 0.44%, 0.0005434%), (T, 0, 0.42%, 0.0016221%), (MS, 0, 0.41%, 0.0002954%), (NOW, 0, 0.41%, 0.0003875%), (SPGI, 0, 0.40%, 0.0003986%), (MRK, 0, 0.39%, 0.0003233%), (AXP, 0, 0.38%, 0.0003072%), (BLK, 0, 0.38%, 0.0003578%), (VZ, 0, 0.38%, 0.0003465%), (TXN, 0, 0.37%, 0.0003625%), (QCOM, 0, 0.36%, 0.0003717%), (MDT, 0, 0.36%, 0.0005083%), (COP, 0, 0.36%, 0.0005034%), (UNP, 0, 0.35%, 0.0004513%), (ADBE, 0, 0.35%, 0.0004114%), (ACN, 0, 0.35%, 0.0003924%), (TMO, 0, 0.35%, 0.0003250%), (DIS, 0, 0.34%, 0.0002768%), (C, 0, 0.34%, 0.0003220%), (SBUX, 0, 0.34%, 0.0005318%), (SCHW, 0, 0.33%, 0.0003131%), (AMAT, 0, 0.33%, 0.0003736%), (LMT, 0, 0.31%, 0.0005264%), (MMM, 0, 0.29%, 0.0005920%), (AMGN, 0, 0.29%, 0.0003187%), (GILD, 0, 0.28%, 0.0003204%), (PFE, 0, 0.26%, 0.0003182%), (TJX, 0, 0.26%, 0.0002950%), (EMR, 0, 0.26%, 0.0005851%), (MO, 0, 0.25%, 0.0003808%), (DHR, 0, 0.25%, 0.0002905%), (CVS, 0, 0.25%, 0.0005040%), (LOW, 0, 0.24%, 0.0002946%), (ELV, 0, 0.20%, 0.0005305%), (CMCSA, 0, 0.20%, 0.0002886%), (INTC, 0, 0.20%, 0.0003348%), (MDLZ, 0, 0.19%, 0.0003909%), (BMY, 0, 0.18%, 0.0003181%), (UPS, 0, 0.17%, 0.0004388%), (PYPL, 0, 0.15%, 0.0004074%), (CL, 0, 0.14%, 0.0003481%), (FDX, 0, 0.14%, 0.0004208%), (USB, 0, 0.13%, 0.0003142%), (TGT, 0, 0.09%, 0.0002989%), (nan, 0, -0.01%, 0.0000000%), (nan, 0, -0.01%, 0.0000000%)</t>
  </si>
  <si>
    <t>(GOOGLE, 0, 3.44%, 0.0000375%), (AVGO, 0, 3.03%, 0.0000516%), (META, 0, 2.73%, 0.0000398%), (BRK/B, 0, 1.94%, 0.0000731%), (CSCO, 0, 1.75%, 0.0001548%), (LIN, 0, 1.66%, 0.0001855%), (TSLA, 0, 1.58%, 0.0000348%), (JPM, 0, 1.49%, 0.0000464%), (AMT, 0, 1.45%, 0.0003751%), (XOM, 0, 1.33%, 0.0000725%), (V, 0, 1.32%, 0.0000559%), (CB, 0, 1.08%, 0.0002462%), (MA, 0, 1.05%, 0.0000506%), (WM, 0, 1.01%, 0.0002696%), (GE, 0, 0.98%, 0.0000857%), (LLY, 0, 0.96%, 0.0000385%), (ORCL, 0, 0.90%, 0.0000319%), (PLTR, 0, 0.87%, 0.0000510%), (NFLX, 0, 0.84%, 0.0000401%), (NEE, 0, 0.81%, 0.0001339%), (JNJ, 0, 0.78%, 0.0000462%), (WMT, 0, 0.76%, 0.0000232%), (COST, 0, 0.75%, 0.0000426%), (CVX, 0, 0.74%, 0.0000574%), (PG, 0, 0.74%, 0.0000501%), (UNH, 0, 0.73%, 0.0000747%), (RTX, 0, 0.70%, 0.0000829%), (MCD, 0, 0.68%, 0.0000775%), (HD, 0, 0.68%, 0.0000420%), (CAT, 0, 0.68%, 0.0000860%), (ABT, 0, 0.67%, 0.0000733%), (ABBV, 0, 0.66%, 0.0000462%), (AMD, 0, 0.62%, 0.0000522%), (KO, 0, 0.60%, 0.0000492%), (BA, 0, 0.59%, 0.0000821%), (BAC, 0, 0.58%, 0.0000409%), (BKNG, 0, 0.57%, 0.0000807%), (PM, 0, 0.57%, 0.0000545%), (SO, 0, 0.57%, 0.0001351%), (NKE, 0, 0.56%, 0.0001519%), (DUK, 0, 0.53%, 0.0001349%), (GS, 0, 0.52%, 0.0000577%), (CRM, 0, 0.52%, 0.0000568%), (IBM, 0, 0.51%, 0.0000560%), (ISRG, 0, 0.51%, 0.0000739%), (UBER, 0, 0.49%, 0.0000645%), (HON, 0, 0.48%, 0.0000855%), (WFC, 0, 0.48%, 0.0000471%), (ETN, 0, 0.47%, 0.0000848%), (MET, 0, 0.47%, 0.0002262%), (INTU, 0, 0.46%, 0.0000570%), (PEP, 0, 0.45%, 0.0000547%), (DE, 0, 0.43%, 0.0000784%), (T, 0, 0.41%, 0.0002346%), (NOW, 0, 0.41%, 0.0000562%), (MS, 0, 0.40%, 0.0000427%), (SPGI, 0, 0.40%, 0.0000578%), (MRK, 0, 0.39%, 0.0000468%), (AXP, 0, 0.38%, 0.0000444%), (BLK, 0, 0.38%, 0.0000517%), (VZ, 0, 0.37%, 0.0000501%), (TXN, 0, 0.37%, 0.0000524%), (QCOM, 0, 0.37%, 0.0000538%), (MDT, 0, 0.35%, 0.0000735%), (ACN, 0, 0.35%, 0.0000567%), (ADBE, 0, 0.35%, 0.0000595%), (COP, 0, 0.35%, 0.0000728%), (UNP, 0, 0.35%, 0.0000652%), (TMO, 0, 0.35%, 0.0000471%), (DIS, 0, 0.34%, 0.0000400%), (SBUX, 0, 0.33%, 0.0000769%), (C, 0, 0.33%, 0.0000466%), (AMAT, 0, 0.33%, 0.0000540%), (SCHW, 0, 0.32%, 0.0000453%), (LMT, 0, 0.31%, 0.0000761%), (MMM, 0, 0.29%, 0.0000857%), (AMGN, 0, 0.29%, 0.0000461%), (GILD, 0, 0.28%, 0.0000463%), (PFE, 0, 0.26%, 0.0000460%), (EMR, 0, 0.26%, 0.0000846%), (TJX, 0, 0.26%, 0.0000427%), (DHR, 0, 0.25%, 0.0000420%), (CVS, 0, 0.25%, 0.0000729%), (MO, 0, 0.24%, 0.0000550%), (LOW, 0, 0.24%, 0.0000426%), (ELV, 0, 0.20%, 0.0000769%), (CMCSA, 0, 0.20%, 0.0000417%), (INTC, 0, 0.20%, 0.0000484%), (MDLZ, 0, 0.18%, 0.0000565%), (BMY, 0, 0.18%, 0.0000460%), (UPS, 0, 0.16%, 0.0000634%), (PYPL, 0, 0.16%, 0.0000589%), (CL, 0, 0.14%, 0.0000504%), (FDX, 0, 0.13%, 0.0000610%), (USB, 0, 0.13%, 0.0000454%), (TGT, 0, 0.08%, 0.0000431%), (nan, 0, -0.00%, 0.0000000%), (nan, 0, -0.00%, 0.0000000%)</t>
  </si>
  <si>
    <t>(GOOGLE, 0, 3.71%, 0.0002252%), (AVGO, 0, 3.26%, 0.0003099%), (META, 0, 2.94%, 0.0002387%), (BRK/B, 0, 2.08%, 0.0004387%), (CSCO, 0, 1.88%, 0.0009288%), (LIN, 0, 1.79%, 0.0011125%), (TSLA, 0, 1.70%, 0.0002092%), (JPM, 0, 1.61%, 0.0002785%), (AMT, 0, 1.56%, 0.0022514%), (XOM, 0, 1.43%, 0.0004348%), (V, 0, 1.41%, 0.0003356%), (CB, 0, 1.16%, 0.0014781%), (MA, 0, 1.13%, 0.0003034%), (WM, 0, 1.09%, 0.0016172%), (GE, 0, 1.06%, 0.0005141%), (LLY, 0, 1.03%, 0.0002309%), (ORCL, 0, 0.97%, 0.0001914%), (PLTR, 0, 0.93%, 0.0003059%), (NFLX, 0, 0.90%, 0.0002405%), (NEE, 0, 0.87%, 0.0008037%), (JNJ, 0, 0.84%, 0.0002768%), (WMT, 0, 0.82%, 0.0001393%), (COST, 0, 0.80%, 0.0002557%), (CVX, 0, 0.79%, 0.0003443%), (PG, 0, 0.79%, 0.0003003%), (UNH, 0, 0.78%, 0.0004482%), (RTX, 0, 0.75%, 0.0004975%), (MCD, 0, 0.73%, 0.0004647%), (HD, 0, 0.73%, 0.0002521%), (CAT, 0, 0.73%, 0.0005164%), (ABT, 0, 0.72%, 0.0004401%), (ABBV, 0, 0.71%, 0.0002771%), (AMD, 0, 0.67%, 0.0003133%), (KO, 0, 0.65%, 0.0002950%), (BA, 0, 0.63%, 0.0004928%), (BAC, 0, 0.62%, 0.0002451%), (PM, 0, 0.61%, 0.0003269%), (SO, 0, 0.61%, 0.0008106%), (BKNG, 0, 0.60%, 0.0004747%), (NKE, 0, 0.60%, 0.0009115%), (DUK, 0, 0.57%, 0.0008091%), (CRM, 0, 0.56%, 0.0003409%), (GS, 0, 0.56%, 0.0003454%), (IBM, 0, 0.55%, 0.0003358%), (ISRG, 0, 0.55%, 0.0004432%), (UBER, 0, 0.53%, 0.0003869%), (HON, 0, 0.52%, 0.0005132%), (WFC, 0, 0.51%, 0.0002827%), (ETN, 0, 0.51%, 0.0005086%), (MET, 0, 0.51%, 0.0013571%), (INTU, 0, 0.49%, 0.0003411%), (PEP, 0, 0.48%, 0.0003284%), (DE, 0, 0.47%, 0.0004716%), (T, 0, 0.44%, 0.0014076%), (NOW, 0, 0.44%, 0.0003361%), (MS, 0, 0.43%, 0.0002564%), (SPGI, 0, 0.43%, 0.0003461%), (MRK, 0, 0.42%, 0.0002806%), (AXP, 0, 0.41%, 0.0002665%), (BLK, 0, 0.40%, 0.0003100%), (VZ, 0, 0.40%, 0.0003007%), (TXN, 0, 0.40%, 0.0003145%), (QCOM, 0, 0.39%, 0.0003226%), (MDT, 0, 0.38%, 0.0004411%), (ACN, 0, 0.38%, 0.0003405%), (ADBE, 0, 0.38%, 0.0003569%), (COP, 0, 0.38%, 0.0004368%), (UNP, 0, 0.38%, 0.0003916%), (TMO, 0, 0.37%, 0.0002821%), (DIS, 0, 0.36%, 0.0002402%), (SBUX, 0, 0.36%, 0.0004614%), (C, 0, 0.35%, 0.0002794%), (AMAT, 0, 0.35%, 0.0003242%), (SCHW, 0, 0.34%, 0.0002717%), (LMT, 0, 0.34%, 0.0004568%), (MMM, 0, 0.31%, 0.0005137%), (AMGN, 0, 0.31%, 0.0002766%), (GILD, 0, 0.30%, 0.0002780%), (PFE, 0, 0.28%, 0.0002761%), (EMR, 0, 0.28%, 0.0005076%), (TJX, 0, 0.28%, 0.0002560%), (DHR, 0, 0.27%, 0.0002521%), (CVS, 0, 0.26%, 0.0004374%), (LOW, 0, 0.26%, 0.0002555%), (MO, 0, 0.26%, 0.0003304%), (ELV, 0, 0.22%, 0.0004603%), (CMCSA, 0, 0.22%, 0.0002504%), (INTC, 0, 0.21%, 0.0002905%), (MDLZ, 0, 0.20%, 0.0003392%), (BMY, 0, 0.19%, 0.0002760%), (UPS, 0, 0.18%, 0.0003807%), (PYPL, 0, 0.17%, 0.0003536%), (CL, 0, 0.15%, 0.0003021%), (FDX, 0, 0.14%, 0.0003649%), (USB, 0, 0.14%, 0.0002727%), (TGT, 0, 0.07%, 0.0001932%), (nan, 0, -0.01%, 0.0000000%), (nan, 0, -0.01%, 0.0000000%)</t>
  </si>
  <si>
    <t>(GOOGLE, 0, 3.70%, 0.0001677%), (AVGO, 0, 3.25%, 0.0002307%), (META, 0, 2.93%, 0.0001777%), (BRK/B, 0, 2.08%, 0.0003266%), (CSCO, 0, 1.87%, 0.0006915%), (LIN, 0, 1.79%, 0.0008284%), (TSLA, 0, 1.70%, 0.0001557%), (JPM, 0, 1.60%, 0.0002073%), (AMT, 0, 1.55%, 0.0016762%), (XOM, 0, 1.43%, 0.0003237%), (V, 0, 1.41%, 0.0002499%), (CB, 0, 1.15%, 0.0011002%), (MA, 0, 1.13%, 0.0002259%), (WM, 0, 1.08%, 0.0012041%), (GE, 0, 1.05%, 0.0003828%), (LLY, 0, 1.03%, 0.0001719%), (ORCL, 0, 0.96%, 0.0001425%), (PLTR, 0, 0.93%, 0.0002278%), (NFLX, 0, 0.89%, 0.0001791%), (NEE, 0, 0.87%, 0.0005983%), (JNJ, 0, 0.84%, 0.0002061%), (WMT, 0, 0.82%, 0.0001037%), (COST, 0, 0.80%, 0.0001904%), (CVX, 0, 0.79%, 0.0002563%), (PG, 0, 0.79%, 0.0002236%), (UNH, 0, 0.78%, 0.0003337%), (RTX, 0, 0.75%, 0.0003704%), (MCD, 0, 0.73%, 0.0003460%), (HD, 0, 0.73%, 0.0001877%), (CAT, 0, 0.73%, 0.0003844%), (ABT, 0, 0.72%, 0.0003276%), (ABBV, 0, 0.71%, 0.0002063%), (AMD, 0, 0.67%, 0.0002332%), (KO, 0, 0.65%, 0.0002196%), (BA, 0, 0.63%, 0.0003669%), (BAC, 0, 0.62%, 0.0001825%), (PM, 0, 0.61%, 0.0002434%), (SO, 0, 0.61%, 0.0006034%), (BKNG, 0, 0.60%, 0.0003537%), (NKE, 0, 0.60%, 0.0006786%), (DUK, 0, 0.57%, 0.0006024%), (GS, 0, 0.56%, 0.0002571%), (CRM, 0, 0.56%, 0.0002538%), (IBM, 0, 0.55%, 0.0002500%), (ISRG, 0, 0.55%, 0.0003300%), (UBER, 0, 0.53%, 0.0002880%), (HON, 0, 0.52%, 0.0003821%), (WFC, 0, 0.51%, 0.0002105%), (ETN, 0, 0.51%, 0.0003786%), (MET, 0, 0.51%, 0.0010103%), (INTU, 0, 0.49%, 0.0002539%), (PEP, 0, 0.48%, 0.0002445%), (DE, 0, 0.47%, 0.0003511%), (T, 0, 0.44%, 0.0010480%), (NOW, 0, 0.44%, 0.0002505%), (MS, 0, 0.43%, 0.0001909%), (SPGI, 0, 0.43%, 0.0002576%), (MRK, 0, 0.42%, 0.0002089%), (AXP, 0, 0.40%, 0.0001984%), (BLK, 0, 0.40%, 0.0002312%), (VZ, 0, 0.40%, 0.0002238%), (TXN, 0, 0.40%, 0.0002342%), (QCOM, 0, 0.39%, 0.0002401%), (MDT, 0, 0.38%, 0.0003284%), (ACN, 0, 0.38%, 0.0002535%), (ADBE, 0, 0.38%, 0.0002659%), (COP, 0, 0.37%, 0.0003252%), (UNP, 0, 0.37%, 0.0002917%), (TMO, 0, 0.37%, 0.0002100%), (DIS, 0, 0.36%, 0.0001788%), (SBUX, 0, 0.36%, 0.0003435%), (C, 0, 0.35%, 0.0002081%), (AMAT, 0, 0.35%, 0.0002414%), (SCHW, 0, 0.34%, 0.0002023%), (LMT, 0, 0.34%, 0.0003401%), (MMM, 0, 0.31%, 0.0003825%), (AMGN, 0, 0.31%, 0.0002060%), (GILD, 0, 0.30%, 0.0002069%), (PFE, 0, 0.28%, 0.0002056%), (EMR, 0, 0.28%, 0.0003779%), (TJX, 0, 0.28%, 0.0001906%), (DHR, 0, 0.27%, 0.0001877%), (CVS, 0, 0.26%, 0.0003256%), (LOW, 0, 0.26%, 0.0001903%), (MO, 0, 0.26%, 0.0002460%), (ELV, 0, 0.22%, 0.0003429%), (CMCSA, 0, 0.21%, 0.0001864%), (INTC, 0, 0.21%, 0.0002163%), (MDLZ, 0, 0.20%, 0.0002526%), (BMY, 0, 0.19%, 0.0002055%), (UPS, 0, 0.18%, 0.0002834%), (PYPL, 0, 0.17%, 0.0002632%), (CL, 0, 0.15%, 0.0002249%), (FDX, 0, 0.14%, 0.0002717%), (USB, 0, 0.14%, 0.0002030%), (TGT, 0, 0.07%, 0.0001490%), (nan, 0, -0.01%, 0.0000000%), (nan, 0, -0.01%, 0.0000000%)</t>
  </si>
  <si>
    <t>(GOOGLE, 0, 3.74%, 0.0000393%), (AVGO, 0, 3.28%, 0.0000541%), (META, 0, 2.96%, 0.0000416%), (BRK/B, 0, 2.10%, 0.0000765%), (CSCO, 0, 1.89%, 0.0001620%), (LIN, 0, 1.80%, 0.0001940%), (TSLA, 0, 1.72%, 0.0000365%), (JPM, 0, 1.62%, 0.0000486%), (AMT, 0, 1.57%, 0.0003928%), (XOM, 0, 1.45%, 0.0000759%), (V, 0, 1.43%, 0.0000586%), (CB, 0, 1.16%, 0.0002579%), (MA, 0, 1.14%, 0.0000530%), (WM, 0, 1.09%, 0.0002822%), (GE, 0, 1.06%, 0.0000897%), (LLY, 0, 1.04%, 0.0000403%), (ORCL, 0, 0.97%, 0.0000334%), (PLTR, 0, 0.94%, 0.0000534%), (NFLX, 0, 0.90%, 0.0000420%), (NEE, 0, 0.88%, 0.0001402%), (JNJ, 0, 0.85%, 0.0000483%), (WMT, 0, 0.82%, 0.0000243%), (COST, 0, 0.81%, 0.0000447%), (CVX, 0, 0.80%, 0.0000601%), (PG, 0, 0.80%, 0.0000524%), (UNH, 0, 0.79%, 0.0000782%), (RTX, 0, 0.76%, 0.0000868%), (HD, 0, 0.74%, 0.0000440%), (MCD, 0, 0.74%, 0.0000811%), (CAT, 0, 0.73%, 0.0000901%), (ABT, 0, 0.73%, 0.0000768%), (ABBV, 0, 0.72%, 0.0000483%), (AMD, 0, 0.67%, 0.0000547%), (KO, 0, 0.65%, 0.0000515%), (BA, 0, 0.64%, 0.0000860%), (BAC, 0, 0.62%, 0.0000428%), (PM, 0, 0.62%, 0.0000570%), (SO, 0, 0.62%, 0.0001414%), (BKNG, 0, 0.62%, 0.0000838%), (NKE, 0, 0.61%, 0.0001590%), (DUK, 0, 0.58%, 0.0001412%), (CRM, 0, 0.56%, 0.0000595%), (GS, 0, 0.56%, 0.0000603%), (IBM, 0, 0.55%, 0.0000586%), (ISRG, 0, 0.55%, 0.0000773%), (UBER, 0, 0.53%, 0.0000675%), (HON, 0, 0.52%, 0.0000895%), (WFC, 0, 0.52%, 0.0000493%), (ETN, 0, 0.51%, 0.0000886%), (MET, 0, 0.51%, 0.0002367%), (INTU, 0, 0.50%, 0.0000595%), (PEP, 0, 0.49%, 0.0000573%), (DE, 0, 0.47%, 0.0000821%), (T, 0, 0.45%, 0.0002456%), (NOW, 0, 0.44%, 0.0000587%), (MS, 0, 0.44%, 0.0000447%), (SPGI, 0, 0.43%, 0.0000604%), (MRK, 0, 0.42%, 0.0000490%), (BLK, 0, 0.41%, 0.0000542%), (AXP, 0, 0.41%, 0.0000465%), (VZ, 0, 0.40%, 0.0000525%), (TXN, 0, 0.40%, 0.0000549%), (QCOM, 0, 0.39%, 0.0000563%), (MDT, 0, 0.38%, 0.0000769%), (ACN, 0, 0.38%, 0.0000594%), (ADBE, 0, 0.38%, 0.0000624%), (COP, 0, 0.38%, 0.0000762%), (UNP, 0, 0.38%, 0.0000683%), (TMO, 0, 0.37%, 0.0000492%), (DIS, 0, 0.37%, 0.0000419%), (SBUX, 0, 0.36%, 0.0000805%), (AMAT, 0, 0.36%, 0.0000566%), (C, 0, 0.36%, 0.0000487%), (SCHW, 0, 0.35%, 0.0000474%), (LMT, 0, 0.34%, 0.0000795%), (MMM, 0, 0.32%, 0.0000896%), (AMGN, 0, 0.31%, 0.0000483%), (GILD, 0, 0.30%, 0.0000485%), (PFE, 0, 0.29%, 0.0000482%), (EMR, 0, 0.28%, 0.0000885%), (TJX, 0, 0.28%, 0.0000447%), (DHR, 0, 0.27%, 0.0000440%), (CVS, 0, 0.27%, 0.0000763%), (MO, 0, 0.26%, 0.0000577%), (LOW, 0, 0.26%, 0.0000446%), (CMCSA, 0, 0.22%, 0.0000437%), (ELV, 0, 0.22%, 0.0000801%), (INTC, 0, 0.21%, 0.0000507%), (MDLZ, 0, 0.20%, 0.0000592%), (BMY, 0, 0.19%, 0.0000481%), (UPS, 0, 0.18%, 0.0000664%), (PYPL, 0, 0.17%, 0.0000617%), (CL, 0, 0.15%, 0.0000527%), (FDX, 0, 0.14%, 0.0000636%), (USB, 0, 0.14%, 0.0000476%), (TGT, 0, 0.05%, 0.0000233%), (nan, 0, -0.01%, 0.0000000%), (nan, 0, -0.01%, 0.0000000%)</t>
  </si>
  <si>
    <t>(GOOGLE, 0, 3.57%, 0.0000688%), (AVGO, 0, 3.14%, 0.0000947%), (META, 0, 2.83%, 0.0000730%), (BRK/B, 0, 2.01%, 0.0001341%), (CSCO, 0, 1.81%, 0.0002838%), (LIN, 0, 1.72%, 0.0003401%), (TSLA, 0, 1.64%, 0.0000639%), (JPM, 0, 1.55%, 0.0000851%), (AMT, 0, 1.50%, 0.0006880%), (XOM, 0, 1.38%, 0.0001329%), (V, 0, 1.36%, 0.0001026%), (CB, 0, 1.11%, 0.0004518%), (MA, 0, 1.09%, 0.0000927%), (WM, 0, 1.05%, 0.0004942%), (GE, 0, 1.02%, 0.0001571%), (LLY, 0, 0.99%, 0.0000706%), (ORCL, 0, 0.93%, 0.0000585%), (PLTR, 0, 0.90%, 0.0000935%), (NFLX, 0, 0.86%, 0.0000734%), (NEE, 0, 0.84%, 0.0002456%), (JNJ, 0, 0.81%, 0.0000846%), (WMT, 0, 0.79%, 0.0000426%), (COST, 0, 0.77%, 0.0000781%), (CVX, 0, 0.76%, 0.0001052%), (PG, 0, 0.76%, 0.0000918%), (UNH, 0, 0.76%, 0.0001370%), (RTX, 0, 0.72%, 0.0001520%), (HD, 0, 0.70%, 0.0000771%), (MCD, 0, 0.70%, 0.0001420%), (CAT, 0, 0.70%, 0.0001577%), (ABT, 0, 0.69%, 0.0001345%), (ABBV, 0, 0.69%, 0.0000847%), (AMD, 0, 0.65%, 0.0000958%), (KO, 0, 0.62%, 0.0000902%), (BA, 0, 0.61%, 0.0001506%), (BAC, 0, 0.60%, 0.0000749%), (PM, 0, 0.59%, 0.0000999%), (SO, 0, 0.59%, 0.0002477%), (BKNG, 0, 0.59%, 0.0001458%), (NKE, 0, 0.58%, 0.0002786%), (DUK, 0, 0.55%, 0.0002472%), (CRM, 0, 0.54%, 0.0001042%), (GS, 0, 0.53%, 0.0001054%), (IBM, 0, 0.53%, 0.0001026%), (ISRG, 0, 0.53%, 0.0001354%), (UBER, 0, 0.51%, 0.0001182%), (HON, 0, 0.50%, 0.0001569%), (WFC, 0, 0.49%, 0.0000864%), (ETN, 0, 0.49%, 0.0001554%), (MET, 0, 0.49%, 0.0004147%), (INTU, 0, 0.47%, 0.0001044%), (PEP, 0, 0.47%, 0.0001003%), (DE, 0, 0.45%, 0.0001443%), (T, 0, 0.43%, 0.0004302%), (NOW, 0, 0.42%, 0.0001029%), (MS, 0, 0.42%, 0.0000784%), (SPGI, 0, 0.41%, 0.0001057%), (MRK, 0, 0.40%, 0.0000858%), (AXP, 0, 0.39%, 0.0000814%), (BLK, 0, 0.39%, 0.0000949%), (VZ, 0, 0.39%, 0.0000919%), (TXN, 0, 0.38%, 0.0000961%), (QCOM, 0, 0.38%, 0.0000986%), (MDT, 0, 0.37%, 0.0001348%), (ACN, 0, 0.36%, 0.0001040%), (ADBE, 0, 0.36%, 0.0001092%), (COP, 0, 0.36%, 0.0001335%), (UNP, 0, 0.36%, 0.0001197%), (TMO, 0, 0.35%, 0.0000862%), (DIS, 0, 0.35%, 0.0000734%), (SBUX, 0, 0.34%, 0.0001410%), (C, 0, 0.34%, 0.0000854%), (AMAT, 0, 0.34%, 0.0000990%), (SCHW, 0, 0.33%, 0.0000830%), (LMT, 0, 0.32%, 0.0001396%), (MMM, 0, 0.30%, 0.0001570%), (AMGN, 0, 0.30%, 0.0000845%), (GILD, 0, 0.29%, 0.0000849%), (PFE, 0, 0.27%, 0.0000844%), (EMR, 0, 0.27%, 0.0001551%), (TJX, 0, 0.27%, 0.0000783%), (DHR, 0, 0.26%, 0.0000770%), (CVS, 0, 0.25%, 0.0001337%), (LOW, 0, 0.25%, 0.0000781%), (MO, 0, 0.25%, 0.0001010%), (ELV, 0, 0.21%, 0.0001408%), (CMCSA, 0, 0.21%, 0.0000765%), (INTC, 0, 0.20%, 0.0000888%), (MDLZ, 0, 0.19%, 0.0001037%), (BMY, 0, 0.19%, 0.0000843%), (UPS, 0, 0.17%, 0.0001163%), (PYPL, 0, 0.16%, 0.0001081%), (CL, 0, 0.15%, 0.0000923%), (FDX, 0, 0.14%, 0.0001115%), (USB, 0, 0.14%, 0.0000833%), (TGT, 0, 0.06%, 0.0000572%), (nan, 0, -0.00%, 0.0000000%), (nan, 0, -0.00%, 0.0000000%)</t>
  </si>
  <si>
    <t>(GOOGLE, 0, 3.64%, 0.0000249%), (AVGO, 0, 3.20%, 0.0000343%), (META, 0, 2.89%, 0.0000264%), (BRK/B, 0, 2.05%, 0.0000486%), (CSCO, 0, 1.85%, 0.0001029%), (LIN, 0, 1.76%, 0.0001231%), (TSLA, 0, 1.67%, 0.0000232%), (JPM, 0, 1.58%, 0.0000308%), (AMT, 0, 1.53%, 0.0002493%), (XOM, 0, 1.41%, 0.0000482%), (V, 0, 1.39%, 0.0000371%), (CB, 0, 1.13%, 0.0001636%), (MA, 0, 1.11%, 0.0000335%), (WM, 0, 1.07%, 0.0001790%), (GE, 0, 1.04%, 0.0000570%), (LLY, 0, 1.01%, 0.0000256%), (ORCL, 0, 0.95%, 0.0000212%), (PLTR, 0, 0.92%, 0.0000339%), (NFLX, 0, 0.88%, 0.0000267%), (NEE, 0, 0.85%, 0.0000890%), (JNJ, 0, 0.83%, 0.0000307%), (WMT, 0, 0.80%, 0.0000154%), (COST, 0, 0.80%, 0.0000284%), (CVX, 0, 0.78%, 0.0000381%), (PG, 0, 0.78%, 0.0000333%), (UNH, 0, 0.77%, 0.0000497%), (RTX, 0, 0.74%, 0.0000551%), (MCD, 0, 0.72%, 0.0000514%), (HD, 0, 0.72%, 0.0000279%), (CAT, 0, 0.71%, 0.0000572%), (ABT, 0, 0.71%, 0.0000487%), (ABBV, 0, 0.70%, 0.0000307%), (AMD, 0, 0.66%, 0.0000347%), (KO, 0, 0.64%, 0.0000327%), (BA, 0, 0.62%, 0.0000546%), (BAC, 0, 0.61%, 0.0000272%), (PM, 0, 0.60%, 0.0000362%), (SO, 0, 0.60%, 0.0000897%), (BKNG, 0, 0.60%, 0.0000527%), (NKE, 0, 0.59%, 0.0001009%), (DUK, 0, 0.56%, 0.0000896%), (GS, 0, 0.55%, 0.0000383%), (CRM, 0, 0.55%, 0.0000377%), (ISRG, 0, 0.54%, 0.0000491%), (IBM, 0, 0.54%, 0.0000372%), (UBER, 0, 0.52%, 0.0000428%), (HON, 0, 0.51%, 0.0000569%), (WFC, 0, 0.50%, 0.0000313%), (ETN, 0, 0.50%, 0.0000563%), (MET, 0, 0.50%, 0.0001502%), (INTU, 0, 0.48%, 0.0000377%), (PEP, 0, 0.48%, 0.0000363%), (DE, 0, 0.46%, 0.0000522%), (T, 0, 0.44%, 0.0001559%), (NOW, 0, 0.43%, 0.0000370%), (MS, 0, 0.43%, 0.0000284%), (SPGI, 0, 0.42%, 0.0000383%), (MRK, 0, 0.41%, 0.0000311%), (BLK, 0, 0.40%, 0.0000342%), (AXP, 0, 0.40%, 0.0000295%), (VZ, 0, 0.39%, 0.0000333%), (TXN, 0, 0.39%, 0.0000348%), (QCOM, 0, 0.38%, 0.0000357%), (MDT, 0, 0.37%, 0.0000489%), (ADBE, 0, 0.37%, 0.0000394%), (ACN, 0, 0.37%, 0.0000377%), (COP, 0, 0.37%, 0.0000484%), (UNP, 0, 0.37%, 0.0000433%), (TMO, 0, 0.37%, 0.0000311%), (DIS, 0, 0.36%, 0.0000266%), (SBUX, 0, 0.35%, 0.0000511%), (C, 0, 0.35%, 0.0000310%), (AMAT, 0, 0.35%, 0.0000359%), (SCHW, 0, 0.34%, 0.0000301%), (LMT, 0, 0.33%, 0.0000506%), (AMGN, 0, 0.31%, 0.0000306%), (MMM, 0, 0.31%, 0.0000568%), (GILD, 0, 0.29%, 0.0000308%), (PFE, 0, 0.28%, 0.0000306%), (EMR, 0, 0.27%, 0.0000561%), (TJX, 0, 0.27%, 0.0000284%), (DHR, 0, 0.26%, 0.0000279%), (LOW, 0, 0.26%, 0.0000284%), (CVS, 0, 0.26%, 0.0000484%), (MO, 0, 0.26%, 0.0000366%), (ELV, 0, 0.21%, 0.0000508%), (CMCSA, 0, 0.21%, 0.0000277%), (INTC, 0, 0.21%, 0.0000322%), (MDLZ, 0, 0.19%, 0.0000376%), (BMY, 0, 0.19%, 0.0000306%), (UPS, 0, 0.17%, 0.0000421%), (PYPL, 0, 0.16%, 0.0000391%), (CL, 0, 0.15%, 0.0000335%), (FDX, 0, 0.14%, 0.0000403%), (USB, 0, 0.14%, 0.0000302%), (TGT, 0, 0.09%, 0.0000286%), (nan, 0, -0.00%, 0.0000000%), (nan, 0, -0.00%, 0.0000000%)</t>
  </si>
  <si>
    <t>(GOOGLE, 0, 3.87%, 0.0000597%), (AVGO, 0, 3.40%, 0.0000822%), (META, 0, 3.07%, 0.0000633%), (BRK/B, 0, 2.17%, 0.0001164%), (CSCO, 0, 1.96%, 0.0002464%), (LIN, 0, 1.87%, 0.0002951%), (TSLA, 0, 1.78%, 0.0000555%), (JPM, 0, 1.68%, 0.0000739%), (AMT, 0, 1.63%, 0.0005970%), (XOM, 0, 1.50%, 0.0001153%), (V, 0, 1.48%, 0.0000890%), (CB, 0, 1.21%, 0.0003921%), (MA, 0, 1.18%, 0.0000804%), (WM, 0, 1.13%, 0.0004289%), (GE, 0, 1.10%, 0.0001363%), (LLY, 0, 1.08%, 0.0000612%), (ORCL, 0, 1.01%, 0.0000508%), (PLTR, 0, 0.98%, 0.0000812%), (NFLX, 0, 0.93%, 0.0000637%), (NEE, 0, 0.91%, 0.0002131%), (JNJ, 0, 0.88%, 0.0000734%), (WMT, 0, 0.85%, 0.0000369%), (COST, 0, 0.84%, 0.0000679%), (CVX, 0, 0.83%, 0.0000913%), (PG, 0, 0.83%, 0.0000796%), (UNH, 0, 0.82%, 0.0001189%), (RTX, 0, 0.78%, 0.0001319%), (MCD, 0, 0.76%, 0.0001233%), (HD, 0, 0.76%, 0.0000669%), (CAT, 0, 0.76%, 0.0001370%), (ABT, 0, 0.75%, 0.0001167%), (ABBV, 0, 0.74%, 0.0000735%), (AMD, 0, 0.70%, 0.0000831%), (KO, 0, 0.68%, 0.0000782%), (BA, 0, 0.66%, 0.0001308%), (BAC, 0, 0.65%, 0.0000650%), (PM, 0, 0.64%, 0.0000867%), (SO, 0, 0.64%, 0.0002150%), (BKNG, 0, 0.64%, 0.0001272%), (NKE, 0, 0.63%, 0.0002417%), (DUK, 0, 0.60%, 0.0002147%), (CRM, 0, 0.58%, 0.0000904%), (GS, 0, 0.58%, 0.0000917%), (IBM, 0, 0.57%, 0.0000891%), (ISRG, 0, 0.57%, 0.0001176%), (UBER, 0, 0.55%, 0.0001026%), (HON, 0, 0.54%, 0.0001361%), (WFC, 0, 0.54%, 0.0000750%), (ETN, 0, 0.53%, 0.0001349%), (MET, 0, 0.53%, 0.0003600%), (INTU, 0, 0.51%, 0.0000904%), (PEP, 0, 0.50%, 0.0000871%), (DE, 0, 0.49%, 0.0001250%), (T, 0, 0.46%, 0.0003733%), (NOW, 0, 0.45%, 0.0000889%), (MS, 0, 0.45%, 0.0000680%), (SPGI, 0, 0.45%, 0.0000918%), (MRK, 0, 0.43%, 0.0000744%), (AXP, 0, 0.42%, 0.0000707%), (BLK, 0, 0.42%, 0.0000820%), (VZ, 0, 0.42%, 0.0000798%), (TXN, 0, 0.41%, 0.0000834%), (QCOM, 0, 0.41%, 0.0000855%), (MDT, 0, 0.40%, 0.0001170%), (ADBE, 0, 0.39%, 0.0000946%), (ACN, 0, 0.39%, 0.0000904%), (COP, 0, 0.39%, 0.0001159%), (UNP, 0, 0.39%, 0.0001039%), (TMO, 0, 0.38%, 0.0000748%), (DIS, 0, 0.38%, 0.0000637%), (SBUX, 0, 0.37%, 0.0001224%), (C, 0, 0.37%, 0.0000741%), (AMAT, 0, 0.37%, 0.0000860%), (SCHW, 0, 0.36%, 0.0000721%), (LMT, 0, 0.35%, 0.0001210%), (MMM, 0, 0.33%, 0.0001363%), (AMGN, 0, 0.33%, 0.0000734%), (GILD, 0, 0.31%, 0.0000738%), (PFE, 0, 0.30%, 0.0000732%), (EMR, 0, 0.29%, 0.0001347%), (TJX, 0, 0.29%, 0.0000679%), (DHR, 0, 0.28%, 0.0000668%), (CVS, 0, 0.28%, 0.0001160%), (LOW, 0, 0.27%, 0.0000678%), (MO, 0, 0.27%, 0.0000876%), (ELV, 0, 0.23%, 0.0001219%), (CMCSA, 0, 0.22%, 0.0000664%), (INTC, 0, 0.22%, 0.0000770%), (MDLZ, 0, 0.21%, 0.0000900%), (BMY, 0, 0.20%, 0.0000732%), (UPS, 0, 0.18%, 0.0001009%), (PYPL, 0, 0.18%, 0.0000937%), (CL, 0, 0.16%, 0.0000801%), (FDX, 0, 0.15%, 0.0000966%), (USB, 0, 0.15%, 0.0000723%), (TGT, 0, 0.06%, 0.0000469%), (nan, 0, -0.00%, 0.0000000%), (nan, 0, -0.01%, 0.0000000%)</t>
  </si>
  <si>
    <t>EBAY, META, BK, MSFT, EA, MLI, BLK, GOOGLE, JPM, PHM, BKNG</t>
  </si>
  <si>
    <t>(AMAT, 0, 1.91%, 0.0006996%), (RJF, 0, 1.91%, 0.0032600%), (EWBC, 0, 1.85%, 0.0072957%), (HIG, 0, 1.84%, 0.0027953%), (AXP, 0, 1.80%, 0.0004763%), (V, 0, 1.80%, 0.0001713%), (TRV, 0, 1.80%, 0.0016592%), (NVDA, 0, 1.78%, 0.0000224%), (KLAC, 0, 1.76%, 0.0007832%), (ROST, 0, 1.75%, 0.0019925%), (SNA, 0, 1.73%, 0.0055761%), (ADP, 0, 1.69%, 0.0007685%), (PCAR, 0, 1.67%, 0.0017515%), (UNM, 0, 1.67%, 0.0076829%), (LEN, 0, 1.63%, 0.0030683%), (CB, 0, 1.62%, 0.0008339%), (SYF, 0, 1.58%, 0.0033726%), (WSM, 0, 1.55%, 0.0033771%), (CTSH, 0, 1.48%, 0.0024357%), (PAYC, 0, 1.42%, 0.0061493%), (CRM, 0, 1.42%, 0.0003500%), (DHI, 0, 1.37%, 0.0015495%), (BKR, 0, 1.33%, 0.0017533%), (QCOM, 0, 1.32%, 0.0004348%), (AAPL, 0, 1.27%, 0.0000205%), (ACN, 0, 1.23%, 0.0004450%), (AFL, 0, 1.22%, 0.0012015%), (ELV, 0, 1.18%, 0.0010025%), (LRCX, 0, 1.15%, 0.0004771%), (MPWR, 0, 1.15%, 0.0015493%), (CSCO, 0, 1.11%, 0.0002202%), (ODFL, 0, 1.09%, 0.0018966%), (GE, 0, 1.01%, 0.0001991%), (STT, 0, 0.97%, 0.0017271%), (PNC, 0, 0.90%, 0.0006559%), (MTB, 0, 0.89%, 0.0016702%), (AMP, 0, 0.86%, 0.0010118%), (COST, 0, 0.85%, 0.0001090%), (CF, 0, 0.85%, 0.0034037%), (ABT, 0, 0.81%, 0.0001997%), (XOM, 0, 0.77%, 0.0000947%), (EOG, 0, 0.77%, 0.0006654%), (CSL, 0, 0.77%, 0.0025894%), (EG, 0, 0.74%, 0.0029095%), (GEV, 0, 0.56%, 0.0001813%), (NTRS, 0, 0.51%, 0.0011839%), (MA, 0, 0.48%, 0.0000524%), (CRBG, 0, 0.48%, 0.0014281%), (JNJ, 0, 0.47%, 0.0000622%), (ACM, 0, 0.46%, 0.0015991%), (LNC, 0, 0.44%, 0.0032242%), (MTG, 0, 0.44%, 0.0039322%), (JXN, 0, 0.44%, 0.0036295%), (CINF, 0, 0.43%, 0.0009980%), (DOV, 0, 0.43%, 0.0009544%), (SLM, 0, 0.43%, 0.0035407%), (EQH, 0, 0.43%, 0.0014492%), (ALL, 0, 0.42%, 0.0004209%), (WTFC, 0, 0.42%, 0.0026945%), (ADM, 0, 0.40%, 0.0007761%), (NUE, 0, 0.39%, 0.0006522%), (MCK, 0, 0.38%, 0.0002597%), (NKE, 0, 0.38%, 0.0002295%), (PGR, 0, 0.36%, 0.0001394%), (FANG, 0, 0.29%, 0.0004028%)</t>
  </si>
  <si>
    <t>(GOOGLE, 0, 3.52%, 0.0000633%), (AVGO, 0, 3.10%, 0.0000871%), (META, 0, 2.80%, 0.0000671%), (BRK/B, 0, 1.98%, 0.0001233%), (CSCO, 0, 1.79%, 0.0002611%), (LIN, 0, 1.70%, 0.0003129%), (TSLA, 0, 1.62%, 0.0000588%), (JPM, 0, 1.53%, 0.0000783%), (AMT, 0, 1.48%, 0.0006329%), (XOM, 0, 1.36%, 0.0001222%), (V, 0, 1.35%, 0.0000944%), (CB, 0, 1.10%, 0.0004154%), (MA, 0, 1.07%, 0.0000853%), (WM, 0, 1.03%, 0.0004547%), (GE, 0, 1.00%, 0.0001446%), (LLY, 0, 0.99%, 0.0000649%), (ORCL, 0, 0.92%, 0.0000538%), (PLTR, 0, 0.89%, 0.0000860%), (NFLX, 0, 0.85%, 0.0000677%), (NEE, 0, 0.83%, 0.0002259%), (JNJ, 0, 0.80%, 0.0000778%), (WMT, 0, 0.78%, 0.0000392%), (COST, 0, 0.77%, 0.0000720%), (CVX, 0, 0.75%, 0.0000968%), (PG, 0, 0.75%, 0.0000844%), (UNH, 0, 0.74%, 0.0001260%), (RTX, 0, 0.71%, 0.0001398%), (MCD, 0, 0.70%, 0.0001306%), (HD, 0, 0.69%, 0.0000708%), (CAT, 0, 0.69%, 0.0001452%), (ABT, 0, 0.68%, 0.0001237%), (ABBV, 0, 0.68%, 0.0000779%), (AMD, 0, 0.64%, 0.0000881%), (KO, 0, 0.62%, 0.0000829%), (BA, 0, 0.60%, 0.0001385%), (BAC, 0, 0.59%, 0.0000689%), (PM, 0, 0.58%, 0.0000919%), (SO, 0, 0.58%, 0.0002279%), (BKNG, 0, 0.58%, 0.0001334%), (NKE, 0, 0.57%, 0.0002563%), (DUK, 0, 0.54%, 0.0002275%), (CRM, 0, 0.53%, 0.0000958%), (GS, 0, 0.53%, 0.0000970%), (ISRG, 0, 0.52%, 0.0001247%), (IBM, 0, 0.52%, 0.0000944%), (UBER, 0, 0.50%, 0.0001088%), (HON, 0, 0.49%, 0.0001443%), (WFC, 0, 0.49%, 0.0000795%), (ETN, 0, 0.49%, 0.0001431%), (MET, 0, 0.48%, 0.0003815%), (INTU, 0, 0.47%, 0.0000961%), (PEP, 0, 0.46%, 0.0000924%), (DE, 0, 0.45%, 0.0001324%), (T, 0, 0.42%, 0.0003957%), (NOW, 0, 0.42%, 0.0000947%), (MS, 0, 0.41%, 0.0000721%), (SPGI, 0, 0.41%, 0.0000971%), (MRK, 0, 0.40%, 0.0000789%), (AXP, 0, 0.39%, 0.0000749%), (BLK, 0, 0.38%, 0.0000872%), (VZ, 0, 0.38%, 0.0000845%), (TXN, 0, 0.38%, 0.0000884%), (QCOM, 0, 0.37%, 0.0000907%), (MDT, 0, 0.36%, 0.0001240%), (ACN, 0, 0.36%, 0.0000957%), (ADBE, 0, 0.36%, 0.0001003%), (COP, 0, 0.36%, 0.0001228%), (UNP, 0, 0.36%, 0.0001101%), (TMO, 0, 0.35%, 0.0000793%), (DIS, 0, 0.35%, 0.0000675%), (SBUX, 0, 0.34%, 0.0001298%), (C, 0, 0.34%, 0.0000785%), (AMAT, 0, 0.34%, 0.0000911%), (SCHW, 0, 0.33%, 0.0000764%), (LMT, 0, 0.32%, 0.0001284%), (MMM, 0, 0.30%, 0.0001444%), (AMGN, 0, 0.30%, 0.0000778%), (GILD, 0, 0.29%, 0.0000782%), (PFE, 0, 0.27%, 0.0000776%), (EMR, 0, 0.26%, 0.0001427%), (TJX, 0, 0.26%, 0.0000720%), (DHR, 0, 0.25%, 0.0000709%), (CVS, 0, 0.25%, 0.0001230%), (LOW, 0, 0.25%, 0.0000719%), (MO, 0, 0.25%, 0.0000929%), (ELV, 0, 0.21%, 0.0001296%), (CMCSA, 0, 0.21%, 0.0000704%), (INTC, 0, 0.20%, 0.0000817%), (MDLZ, 0, 0.19%, 0.0000953%), (BMY, 0, 0.18%, 0.0000776%), (UPS, 0, 0.17%, 0.0001071%), (PYPL, 0, 0.16%, 0.0000994%), (CL, 0, 0.14%, 0.0000849%), (FDX, 0, 0.14%, 0.0001026%), (USB, 0, 0.14%, 0.0000767%), (TGT, 0, 0.06%, 0.0000508%), (nan, 0, -0.00%, 0.0000000%), (nan, 0, -0.00%, 0.0000000%)</t>
  </si>
  <si>
    <t>(GOOGLE, 0, 3.70%, 0.0001295%), (AVGO, 0, 3.25%, 0.0001782%), (META, 0, 2.93%, 0.0001372%), (BRK/B, 0, 2.08%, 0.0002523%), (CSCO, 0, 1.87%, 0.0005341%), (LIN, 0, 1.78%, 0.0006397%), (TSLA, 0, 1.70%, 0.0001203%), (JPM, 0, 1.60%, 0.0001601%), (AMT, 0, 1.55%, 0.0012947%), (XOM, 0, 1.43%, 0.0002500%), (V, 0, 1.41%, 0.0001930%), (CB, 0, 1.15%, 0.0008500%), (MA, 0, 1.13%, 0.0001745%), (WM, 0, 1.08%, 0.0009301%), (GE, 0, 1.05%, 0.0002957%), (LLY, 0, 1.03%, 0.0001328%), (ORCL, 0, 0.96%, 0.0001100%), (PLTR, 0, 0.93%, 0.0001759%), (NFLX, 0, 0.89%, 0.0001383%), (NEE, 0, 0.87%, 0.0004621%), (JNJ, 0, 0.84%, 0.0001592%), (WMT, 0, 0.81%, 0.0000801%), (COST, 0, 0.80%, 0.0001471%), (CVX, 0, 0.79%, 0.0001980%), (PG, 0, 0.79%, 0.0001727%), (UNH, 0, 0.78%, 0.0002578%), (RTX, 0, 0.75%, 0.0002860%), (HD, 0, 0.73%, 0.0001450%), (MCD, 0, 0.73%, 0.0002672%), (CAT, 0, 0.72%, 0.0002969%), (ABT, 0, 0.72%, 0.0002530%), (ABBV, 0, 0.71%, 0.0001593%), (AMD, 0, 0.67%, 0.0001802%), (KO, 0, 0.65%, 0.0001696%), (BA, 0, 0.63%, 0.0002834%), (BAC, 0, 0.62%, 0.0001410%), (PM, 0, 0.61%, 0.0001880%), (SO, 0, 0.61%, 0.0004661%), (BKNG, 0, 0.60%, 0.0002730%), (NKE, 0, 0.60%, 0.0005242%), (DUK, 0, 0.57%, 0.0004652%), (GS, 0, 0.56%, 0.0001987%), (CRM, 0, 0.55%, 0.0001960%), (IBM, 0, 0.55%, 0.0001931%), (ISRG, 0, 0.55%, 0.0002550%), (UBER, 0, 0.53%, 0.0002225%), (HON, 0, 0.52%, 0.0002952%), (WFC, 0, 0.51%, 0.0001626%), (ETN, 0, 0.51%, 0.0002926%), (MET, 0, 0.51%, 0.0007803%), (INTU, 0, 0.49%, 0.0001962%), (PEP, 0, 0.48%, 0.0001888%), (DE, 0, 0.47%, 0.0002712%), (T, 0, 0.44%, 0.0008094%), (NOW, 0, 0.44%, 0.0001933%), (MS, 0, 0.43%, 0.0001474%), (SPGI, 0, 0.43%, 0.0001988%), (MRK, 0, 0.42%, 0.0001613%), (AXP, 0, 0.40%, 0.0001533%), (VZ, 0, 0.40%, 0.0001729%), (BLK, 0, 0.40%, 0.0001782%), (TXN, 0, 0.40%, 0.0001808%), (QCOM, 0, 0.39%, 0.0001855%), (MDT, 0, 0.38%, 0.0002536%), (ACN, 0, 0.38%, 0.0001959%), (ADBE, 0, 0.38%, 0.0002052%), (COP, 0, 0.37%, 0.0002512%), (UNP, 0, 0.37%, 0.0002252%), (TMO, 0, 0.37%, 0.0001621%), (DIS, 0, 0.36%, 0.0001381%), (SBUX, 0, 0.36%, 0.0002653%), (C, 0, 0.35%, 0.0001607%), (AMAT, 0, 0.35%, 0.0001864%), (SCHW, 0, 0.34%, 0.0001562%), (LMT, 0, 0.34%, 0.0002628%), (MMM, 0, 0.31%, 0.0002954%), (AMGN, 0, 0.31%, 0.0001590%), (GILD, 0, 0.30%, 0.0001598%), (PFE, 0, 0.28%, 0.0001588%), (EMR, 0, 0.28%, 0.0002919%), (TJX, 0, 0.28%, 0.0001472%), (DHR, 0, 0.27%, 0.0001450%), (CVS, 0, 0.26%, 0.0002515%), (LOW, 0, 0.26%, 0.0001469%), (MO, 0, 0.26%, 0.0001900%), (ELV, 0, 0.22%, 0.0002646%), (CMCSA, 0, 0.22%, 0.0001440%), (INTC, 0, 0.21%, 0.0001670%), (MDLZ, 0, 0.20%, 0.0001951%), (BMY, 0, 0.19%, 0.0001587%), (UPS, 0, 0.18%, 0.0002190%), (PYPL, 0, 0.17%, 0.0002033%), (CL, 0, 0.15%, 0.0001737%), (FDX, 0, 0.14%, 0.0002098%), (USB, 0, 0.14%, 0.0001568%), (TGT, 0, 0.06%, 0.0001052%), (nan, 0, -0.00%, 0.0000000%), (nan, 0, -0.00%, 0.0000000%)</t>
  </si>
  <si>
    <t>(GOOGLE, 0, 3.52%, 0.0002595%), (AVGO, 0, 3.09%, 0.0003571%), (META, 0, 2.79%, 0.0002750%), (BRK/B, 0, 1.98%, 0.0005055%), (CSCO, 0, 1.78%, 0.0010704%), (LIN, 0, 1.70%, 0.0012822%), (TSLA, 0, 1.61%, 0.0002410%), (JPM, 0, 1.52%, 0.0003209%), (AMT, 0, 1.48%, 0.0025945%), (XOM, 0, 1.36%, 0.0005011%), (V, 0, 1.34%, 0.0003868%), (CB, 0, 1.10%, 0.0017032%), (MA, 0, 1.07%, 0.0003497%), (WM, 0, 1.03%, 0.0018636%), (GE, 0, 1.00%, 0.0005925%), (LLY, 0, 0.98%, 0.0002661%), (ORCL, 0, 0.92%, 0.0002205%), (PLTR, 0, 0.89%, 0.0003526%), (NFLX, 0, 0.85%, 0.0002773%), (NEE, 0, 0.83%, 0.0009261%), (JNJ, 0, 0.80%, 0.0003191%), (WMT, 0, 0.77%, 0.0001605%), (COST, 0, 0.76%, 0.0002947%), (CVX, 0, 0.75%, 0.0003967%), (PG, 0, 0.75%, 0.0003461%), (UNH, 0, 0.74%, 0.0005165%), (RTX, 0, 0.71%, 0.0005733%), (MCD, 0, 0.69%, 0.0005356%), (HD, 0, 0.69%, 0.0002905%), (CAT, 0, 0.69%, 0.0005951%), (ABT, 0, 0.68%, 0.0005071%), (ABBV, 0, 0.68%, 0.0003194%), (AMD, 0, 0.63%, 0.0003610%), (KO, 0, 0.61%, 0.0003400%), (BA, 0, 0.60%, 0.0005680%), (BAC, 0, 0.59%, 0.0002825%), (PM, 0, 0.58%, 0.0003768%), (SO, 0, 0.58%, 0.0009341%), (NKE, 0, 0.57%, 0.0010580%), (BKNG, 0, 0.57%, 0.0005491%), (DUK, 0, 0.54%, 0.0009324%), (GS, 0, 0.53%, 0.0003981%), (CRM, 0, 0.53%, 0.0003929%), (IBM, 0, 0.52%, 0.0003870%), (ISRG, 0, 0.52%, 0.0005109%), (UBER, 0, 0.50%, 0.0004459%), (HON, 0, 0.49%, 0.0005914%), (WFC, 0, 0.49%, 0.0003258%), (ETN, 0, 0.48%, 0.0005862%), (MET, 0, 0.48%, 0.0015638%), (INTU, 0, 0.47%, 0.0003935%), (PEP, 0, 0.46%, 0.0003785%), (DE, 0, 0.44%, 0.0005434%), (T, 0, 0.42%, 0.0016221%), (NOW, 0, 0.41%, 0.0003875%), (MS, 0, 0.41%, 0.0002954%), (SPGI, 0, 0.41%, 0.0003986%), (MRK, 0, 0.39%, 0.0003233%), (AXP, 0, 0.38%, 0.0003072%), (VZ, 0, 0.38%, 0.0003465%), (BLK, 0, 0.38%, 0.0003578%), (TXN, 0, 0.38%, 0.0003625%), (QCOM, 0, 0.37%, 0.0003717%), (MDT, 0, 0.36%, 0.0005083%), (ACN, 0, 0.36%, 0.0003924%), (ADBE, 0, 0.36%, 0.0004114%), (COP, 0, 0.36%, 0.0005034%), (UNP, 0, 0.36%, 0.0004513%), (TMO, 0, 0.35%, 0.0003250%), (DIS, 0, 0.34%, 0.0002768%), (SBUX, 0, 0.34%, 0.0005318%), (C, 0, 0.34%, 0.0003220%), (AMAT, 0, 0.34%, 0.0003736%), (SCHW, 0, 0.33%, 0.0003131%), (LMT, 0, 0.32%, 0.0005264%), (MMM, 0, 0.30%, 0.0005920%), (AMGN, 0, 0.30%, 0.0003187%), (GILD, 0, 0.28%, 0.0003204%), (PFE, 0, 0.27%, 0.0003182%), (EMR, 0, 0.26%, 0.0005851%), (TJX, 0, 0.26%, 0.0002950%), (DHR, 0, 0.25%, 0.0002905%), (CVS, 0, 0.25%, 0.0005040%), (MO, 0, 0.25%, 0.0003808%), (LOW, 0, 0.25%, 0.0002946%), (ELV, 0, 0.21%, 0.0005305%), (CMCSA, 0, 0.20%, 0.0002886%), (INTC, 0, 0.20%, 0.0003348%), (MDLZ, 0, 0.19%, 0.0003909%), (BMY, 0, 0.18%, 0.0003181%), (UPS, 0, 0.17%, 0.0004388%), (PYPL, 0, 0.16%, 0.0004074%), (CL, 0, 0.14%, 0.0003481%), (FDX, 0, 0.14%, 0.0004208%), (USB, 0, 0.13%, 0.0003142%), (TGT, 0, 0.06%, 0.0002108%), (nan, 0, -0.00%, 0.0000000%), (nan, 0, -0.00%, 0.0000000%)</t>
  </si>
  <si>
    <t>(GOOGLE, 0, 3.47%, 0.0000375%), (AVGO, 0, 3.06%, 0.0000516%), (META, 0, 2.73%, 0.0000398%), (BRK/B, 0, 1.95%, 0.0000731%), (CSCO, 0, 1.72%, 0.0001548%), (LIN, 0, 1.67%, 0.0001855%), (TSLA, 0, 1.57%, 0.0000348%), (JPM, 0, 1.51%, 0.0000464%), (AMT, 0, 1.45%, 0.0003751%), (XOM, 0, 1.34%, 0.0000725%), (V, 0, 1.32%, 0.0000559%), (CB, 0, 1.08%, 0.0002462%), (MA, 0, 1.06%, 0.0000506%), (WM, 0, 0.99%, 0.0002696%), (LLY, 0, 0.99%, 0.0000385%), (GE, 0, 0.99%, 0.0000857%), (ORCL, 0, 0.90%, 0.0000319%), (PLTR, 0, 0.85%, 0.0000510%), (NFLX, 0, 0.85%, 0.0000401%), (NEE, 0, 0.81%, 0.0001339%), (JNJ, 0, 0.79%, 0.0000462%), (WMT, 0, 0.76%, 0.0000232%), (COST, 0, 0.75%, 0.0000426%), (CVX, 0, 0.74%, 0.0000574%), (UNH, 0, 0.73%, 0.0000747%), (PG, 0, 0.73%, 0.0000501%), (RTX, 0, 0.70%, 0.0000829%), (MCD, 0, 0.69%, 0.0000775%), (CAT, 0, 0.68%, 0.0000860%), (HD, 0, 0.67%, 0.0000420%), (ABBV, 0, 0.67%, 0.0000462%), (ABT, 0, 0.67%, 0.0000733%), (AMD, 0, 0.61%, 0.0000522%), (KO, 0, 0.60%, 0.0000492%), (BA, 0, 0.59%, 0.0000821%), (BAC, 0, 0.58%, 0.0000409%), (BKNG, 0, 0.58%, 0.0000807%), (PM, 0, 0.57%, 0.0000545%), (SO, 0, 0.57%, 0.0001351%), (NKE, 0, 0.56%, 0.0001519%), (DUK, 0, 0.53%, 0.0001349%), (GS, 0, 0.52%, 0.0000577%), (CRM, 0, 0.51%, 0.0000568%), (ISRG, 0, 0.50%, 0.0000739%), (IBM, 0, 0.50%, 0.0000560%), (UBER, 0, 0.50%, 0.0000645%), (WFC, 0, 0.48%, 0.0000471%), (HON, 0, 0.48%, 0.0000855%), (ETN, 0, 0.47%, 0.0000848%), (MET, 0, 0.47%, 0.0002262%), (INTU, 0, 0.46%, 0.0000570%), (PEP, 0, 0.45%, 0.0000547%), (T, 0, 0.42%, 0.0002346%), (DE, 0, 0.41%, 0.0000784%), (MS, 0, 0.41%, 0.0000427%), (NOW, 0, 0.40%, 0.0000562%), (SPGI, 0, 0.40%, 0.0000578%), (MRK, 0, 0.39%, 0.0000468%), (AXP, 0, 0.38%, 0.0000444%), (BLK, 0, 0.38%, 0.0000517%), (TXN, 0, 0.37%, 0.0000524%), (VZ, 0, 0.37%, 0.0000501%), (QCOM, 0, 0.37%, 0.0000538%), (MDT, 0, 0.35%, 0.0000735%), (COP, 0, 0.35%, 0.0000728%), (ACN, 0, 0.35%, 0.0000567%), (ADBE, 0, 0.35%, 0.0000595%), (TMO, 0, 0.35%, 0.0000471%), (UNP, 0, 0.35%, 0.0000652%), (DIS, 0, 0.34%, 0.0000400%), (C, 0, 0.33%, 0.0000466%), (SBUX, 0, 0.33%, 0.0000769%), (AMAT, 0, 0.33%, 0.0000540%), (SCHW, 0, 0.32%, 0.0000453%), (LMT, 0, 0.31%, 0.0000761%), (AMGN, 0, 0.29%, 0.0000461%), (MMM, 0, 0.29%, 0.0000857%), (GILD, 0, 0.28%, 0.0000463%), (PFE, 0, 0.26%, 0.0000460%), (EMR, 0, 0.26%, 0.0000846%), (DHR, 0, 0.25%, 0.0000420%), (CVS, 0, 0.25%, 0.0000729%), (MO, 0, 0.24%, 0.0000550%), (LOW, 0, 0.24%, 0.0000426%), (INTC, 0, 0.21%, 0.0000484%), (ELV, 0, 0.20%, 0.0000769%), (TJX, 0, 0.20%, 0.0000337%), (CMCSA, 0, 0.20%, 0.0000417%), (MDLZ, 0, 0.18%, 0.0000565%), (BMY, 0, 0.18%, 0.0000460%), (UPS, 0, 0.17%, 0.0000634%), (PYPL, 0, 0.15%, 0.0000589%), (CL, 0, 0.14%, 0.0000504%), (FDX, 0, 0.13%, 0.0000610%), (USB, 0, 0.13%, 0.0000454%), (TGT, 0, 0.08%, 0.0000431%), (nan, 0, -0.00%, 0.0000000%), (nan, 0, -0.01%, 0.0000000%)</t>
  </si>
  <si>
    <t>(GOOGLE, 0, 3.73%, 0.0002252%), (AVGO, 0, 3.28%, 0.0003099%), (META, 0, 2.94%, 0.0002387%), (BRK/B, 0, 2.09%, 0.0004387%), (CSCO, 0, 1.85%, 0.0009288%), (LIN, 0, 1.80%, 0.0011125%), (TSLA, 0, 1.68%, 0.0002092%), (JPM, 0, 1.63%, 0.0002785%), (AMT, 0, 1.56%, 0.0022514%), (XOM, 0, 1.44%, 0.0004348%), (V, 0, 1.42%, 0.0003356%), (CB, 0, 1.16%, 0.0014781%), (MA, 0, 1.14%, 0.0003034%), (WM, 0, 1.07%, 0.0016172%), (LLY, 0, 1.06%, 0.0002309%), (GE, 0, 1.06%, 0.0005141%), (ORCL, 0, 0.97%, 0.0001914%), (PLTR, 0, 0.91%, 0.0003059%), (NFLX, 0, 0.91%, 0.0002405%), (NEE, 0, 0.88%, 0.0008037%), (JNJ, 0, 0.85%, 0.0002768%), (WMT, 0, 0.81%, 0.0001393%), (COST, 0, 0.80%, 0.0002557%), (CVX, 0, 0.79%, 0.0003443%), (UNH, 0, 0.78%, 0.0004482%), (PG, 0, 0.78%, 0.0003003%), (RTX, 0, 0.75%, 0.0004975%), (MCD, 0, 0.74%, 0.0004647%), (CAT, 0, 0.73%, 0.0005164%), (HD, 0, 0.72%, 0.0002521%), (ABBV, 0, 0.72%, 0.0002771%), (ABT, 0, 0.72%, 0.0004401%), (AMD, 0, 0.66%, 0.0003133%), (KO, 0, 0.64%, 0.0002950%), (BA, 0, 0.63%, 0.0004928%), (BAC, 0, 0.62%, 0.0002451%), (PM, 0, 0.61%, 0.0003269%), (SO, 0, 0.61%, 0.0008106%), (BKNG, 0, 0.61%, 0.0004747%), (NKE, 0, 0.60%, 0.0009115%), (DUK, 0, 0.57%, 0.0008091%), (GS, 0, 0.56%, 0.0003454%), (CRM, 0, 0.55%, 0.0003409%), (ISRG, 0, 0.54%, 0.0004432%), (IBM, 0, 0.54%, 0.0003358%), (UBER, 0, 0.53%, 0.0003869%), (WFC, 0, 0.52%, 0.0002827%), (HON, 0, 0.51%, 0.0005132%), (ETN, 0, 0.51%, 0.0005086%), (MET, 0, 0.51%, 0.0013571%), (INTU, 0, 0.49%, 0.0003411%), (PEP, 0, 0.48%, 0.0003284%), (T, 0, 0.45%, 0.0014076%), (DE, 0, 0.44%, 0.0004716%), (MS, 0, 0.44%, 0.0002564%), (NOW, 0, 0.43%, 0.0003361%), (SPGI, 0, 0.43%, 0.0003461%), (MRK, 0, 0.42%, 0.0002806%), (AXP, 0, 0.41%, 0.0002665%), (BLK, 0, 0.40%, 0.0003100%), (VZ, 0, 0.40%, 0.0003007%), (TXN, 0, 0.40%, 0.0003145%), (QCOM, 0, 0.39%, 0.0003226%), (MDT, 0, 0.38%, 0.0004411%), (COP, 0, 0.38%, 0.0004368%), (ACN, 0, 0.38%, 0.0003405%), (ADBE, 0, 0.38%, 0.0003569%), (UNP, 0, 0.37%, 0.0003916%), (TMO, 0, 0.37%, 0.0002821%), (DIS, 0, 0.36%, 0.0002402%), (C, 0, 0.35%, 0.0002794%), (SBUX, 0, 0.35%, 0.0004614%), (AMAT, 0, 0.35%, 0.0003242%), (SCHW, 0, 0.35%, 0.0002717%), (LMT, 0, 0.33%, 0.0004568%), (AMGN, 0, 0.31%, 0.0002766%), (MMM, 0, 0.31%, 0.0005137%), (GILD, 0, 0.30%, 0.0002780%), (PFE, 0, 0.28%, 0.0002761%), (EMR, 0, 0.28%, 0.0005076%), (DHR, 0, 0.27%, 0.0002521%), (CVS, 0, 0.27%, 0.0004374%), (MO, 0, 0.26%, 0.0003304%), (LOW, 0, 0.26%, 0.0002555%), (INTC, 0, 0.22%, 0.0002905%), (ELV, 0, 0.22%, 0.0004603%), (CMCSA, 0, 0.21%, 0.0002504%), (TJX, 0, 0.20%, 0.0001841%), (MDLZ, 0, 0.20%, 0.0003392%), (BMY, 0, 0.19%, 0.0002760%), (UPS, 0, 0.18%, 0.0003807%), (PYPL, 0, 0.17%, 0.0003536%), (CL, 0, 0.15%, 0.0003021%), (FDX, 0, 0.14%, 0.0003649%), (USB, 0, 0.14%, 0.0002727%), (TGT, 0, 0.09%, 0.0002592%), (nan, 0, -0.01%, 0.0000000%), (nan, 0, -0.01%, 0.0000000%)</t>
  </si>
  <si>
    <t>(GOOGLE, 0, 3.73%, 0.0001677%), (AVGO, 0, 3.30%, 0.0002307%), (META, 0, 2.95%, 0.0001777%), (BRK/B, 0, 2.10%, 0.0003266%), (CSCO, 0, 1.84%, 0.0006915%), (LIN, 0, 1.80%, 0.0008284%), (TSLA, 0, 1.69%, 0.0001557%), (JPM, 0, 1.63%, 0.0002073%), (AMT, 0, 1.55%, 0.0016762%), (XOM, 0, 1.44%, 0.0003237%), (V, 0, 1.43%, 0.0002499%), (CB, 0, 1.16%, 0.0011002%), (MA, 0, 1.14%, 0.0002259%), (LLY, 0, 1.08%, 0.0001719%), (WM, 0, 1.07%, 0.0012041%), (GE, 0, 1.06%, 0.0003828%), (ORCL, 0, 0.97%, 0.0001425%), (PLTR, 0, 0.91%, 0.0002278%), (NFLX, 0, 0.91%, 0.0001791%), (NEE, 0, 0.88%, 0.0005983%), (JNJ, 0, 0.84%, 0.0002061%), (WMT, 0, 0.81%, 0.0001037%), (COST, 0, 0.80%, 0.0001904%), (UNH, 0, 0.80%, 0.0003337%), (CVX, 0, 0.79%, 0.0002563%), (PG, 0, 0.78%, 0.0002236%), (RTX, 0, 0.75%, 0.0003704%), (MCD, 0, 0.74%, 0.0003460%), (CAT, 0, 0.73%, 0.0003844%), (HD, 0, 0.73%, 0.0001877%), (ABBV, 0, 0.73%, 0.0002063%), (ABT, 0, 0.72%, 0.0003276%), (AMD, 0, 0.67%, 0.0002332%), (KO, 0, 0.64%, 0.0002196%), (BA, 0, 0.63%, 0.0003669%), (BAC, 0, 0.63%, 0.0001825%), (PM, 0, 0.61%, 0.0002434%), (SO, 0, 0.61%, 0.0006034%), (BKNG, 0, 0.61%, 0.0003537%), (NKE, 0, 0.60%, 0.0006786%), (DUK, 0, 0.57%, 0.0006024%), (GS, 0, 0.56%, 0.0002571%), (CRM, 0, 0.55%, 0.0002538%), (ISRG, 0, 0.54%, 0.0003300%), (IBM, 0, 0.54%, 0.0002500%), (UBER, 0, 0.53%, 0.0002880%), (WFC, 0, 0.52%, 0.0002105%), (HON, 0, 0.52%, 0.0003821%), (MET, 0, 0.51%, 0.0010103%), (ETN, 0, 0.51%, 0.0003786%), (INTU, 0, 0.49%, 0.0002539%), (PEP, 0, 0.48%, 0.0002445%), (T, 0, 0.45%, 0.0010480%), (DE, 0, 0.44%, 0.0003511%), (MS, 0, 0.44%, 0.0001909%), (NOW, 0, 0.43%, 0.0002505%), (SPGI, 0, 0.43%, 0.0002576%), (MRK, 0, 0.42%, 0.0002089%), (AXP, 0, 0.41%, 0.0001984%), (BLK, 0, 0.40%, 0.0002312%), (TXN, 0, 0.40%, 0.0002342%), (VZ, 0, 0.40%, 0.0002238%), (QCOM, 0, 0.40%, 0.0002401%), (ACN, 0, 0.38%, 0.0002535%), (COP, 0, 0.38%, 0.0003252%), (ADBE, 0, 0.38%, 0.0002659%), (MDT, 0, 0.38%, 0.0003284%), (UNP, 0, 0.37%, 0.0002917%), (TMO, 0, 0.37%, 0.0002100%), (DIS, 0, 0.36%, 0.0001788%), (C, 0, 0.36%, 0.0002081%), (SBUX, 0, 0.35%, 0.0003435%), (AMAT, 0, 0.35%, 0.0002414%), (SCHW, 0, 0.35%, 0.0002023%), (LMT, 0, 0.34%, 0.0003401%), (AMGN, 0, 0.31%, 0.0002060%), (MMM, 0, 0.31%, 0.0003825%), (GILD, 0, 0.30%, 0.0002069%), (PFE, 0, 0.29%, 0.0002056%), (EMR, 0, 0.28%, 0.0003779%), (DHR, 0, 0.27%, 0.0001877%), (CVS, 0, 0.27%, 0.0003256%), (MO, 0, 0.26%, 0.0002460%), (LOW, 0, 0.26%, 0.0001903%), (INTC, 0, 0.23%, 0.0002163%), (ELV, 0, 0.22%, 0.0003429%), (CMCSA, 0, 0.22%, 0.0001864%), (TJX, 0, 0.21%, 0.0001457%), (MDLZ, 0, 0.20%, 0.0002526%), (BMY, 0, 0.19%, 0.0002055%), (UPS, 0, 0.18%, 0.0002834%), (PYPL, 0, 0.17%, 0.0002632%), (CL, 0, 0.15%, 0.0002249%), (FDX, 0, 0.14%, 0.0002717%), (USB, 0, 0.14%, 0.0002030%), (TGT, 0, 0.09%, 0.0001930%)</t>
  </si>
  <si>
    <t>(GOOGLE, 0, 3.76%, 0.0000393%), (AVGO, 0, 3.31%, 0.0000541%), (META, 0, 2.96%, 0.0000416%), (BRK/B, 0, 2.10%, 0.0000765%), (CSCO, 0, 1.86%, 0.0001620%), (LIN, 0, 1.81%, 0.0001940%), (TSLA, 0, 1.70%, 0.0000365%), (JPM, 0, 1.64%, 0.0000486%), (AMT, 0, 1.57%, 0.0003928%), (XOM, 0, 1.45%, 0.0000759%), (V, 0, 1.43%, 0.0000586%), (CB, 0, 1.17%, 0.0002579%), (MA, 0, 1.15%, 0.0000530%), (WM, 0, 1.08%, 0.0002822%), (LLY, 0, 1.07%, 0.0000403%), (GE, 0, 1.07%, 0.0000897%), (ORCL, 0, 0.98%, 0.0000334%), (PLTR, 0, 0.92%, 0.0000534%), (NFLX, 0, 0.91%, 0.0000420%), (NEE, 0, 0.88%, 0.0001402%), (JNJ, 0, 0.85%, 0.0000483%), (WMT, 0, 0.82%, 0.0000243%), (COST, 0, 0.81%, 0.0000447%), (CVX, 0, 0.80%, 0.0000601%), (UNH, 0, 0.79%, 0.0000782%), (PG, 0, 0.79%, 0.0000524%), (RTX, 0, 0.76%, 0.0000868%), (MCD, 0, 0.75%, 0.0000811%), (CAT, 0, 0.74%, 0.0000901%), (HD, 0, 0.73%, 0.0000440%), (ABBV, 0, 0.73%, 0.0000483%), (ABT, 0, 0.72%, 0.0000768%), (AMD, 0, 0.66%, 0.0000547%), (KO, 0, 0.65%, 0.0000515%), (BA, 0, 0.64%, 0.0000860%), (BAC, 0, 0.63%, 0.0000428%), (BKNG, 0, 0.62%, 0.0000838%), (PM, 0, 0.62%, 0.0000570%), (SO, 0, 0.61%, 0.0001414%), (NKE, 0, 0.60%, 0.0001590%), (DUK, 0, 0.57%, 0.0001412%), (GS, 0, 0.56%, 0.0000603%), (CRM, 0, 0.55%, 0.0000595%), (IBM, 0, 0.54%, 0.0000586%), (ISRG, 0, 0.54%, 0.0000773%), (UBER, 0, 0.54%, 0.0000675%), (WFC, 0, 0.52%, 0.0000493%), (HON, 0, 0.52%, 0.0000895%), (MET, 0, 0.51%, 0.0002367%), (ETN, 0, 0.51%, 0.0000886%), (INTU, 0, 0.49%, 0.0000595%), (PEP, 0, 0.48%, 0.0000573%), (T, 0, 0.45%, 0.0002456%), (DE, 0, 0.45%, 0.0000821%), (MS, 0, 0.44%, 0.0000447%), (NOW, 0, 0.44%, 0.0000587%), (SPGI, 0, 0.43%, 0.0000604%), (MRK, 0, 0.42%, 0.0000490%), (AXP, 0, 0.41%, 0.0000465%), (BLK, 0, 0.41%, 0.0000542%), (TXN, 0, 0.40%, 0.0000549%), (VZ, 0, 0.40%, 0.0000525%), (QCOM, 0, 0.39%, 0.0000563%), (MDT, 0, 0.38%, 0.0000769%), (COP, 0, 0.38%, 0.0000762%), (ACN, 0, 0.38%, 0.0000594%), (ADBE, 0, 0.38%, 0.0000624%), (UNP, 0, 0.38%, 0.0000683%), (TMO, 0, 0.37%, 0.0000492%), (DIS, 0, 0.36%, 0.0000419%), (C, 0, 0.36%, 0.0000487%), (SBUX, 0, 0.36%, 0.0000805%), (AMAT, 0, 0.35%, 0.0000566%), (SCHW, 0, 0.35%, 0.0000474%), (LMT, 0, 0.33%, 0.0000795%), (AMGN, 0, 0.32%, 0.0000483%), (MMM, 0, 0.31%, 0.0000896%), (GILD, 0, 0.30%, 0.0000485%), (PFE, 0, 0.29%, 0.0000482%), (EMR, 0, 0.28%, 0.0000885%), (DHR, 0, 0.27%, 0.0000440%), (CVS, 0, 0.27%, 0.0000763%), (MO, 0, 0.26%, 0.0000577%), (LOW, 0, 0.26%, 0.0000446%), (INTC, 0, 0.22%, 0.0000507%), (TJX, 0, 0.22%, 0.0000357%), (ELV, 0, 0.22%, 0.0000801%), (CMCSA, 0, 0.22%, 0.0000437%), (MDLZ, 0, 0.20%, 0.0000592%), (BMY, 0, 0.19%, 0.0000481%), (UPS, 0, 0.18%, 0.0000664%), (PYPL, 0, 0.17%, 0.0000617%), (CL, 0, 0.15%, 0.0000527%), (FDX, 0, 0.15%, 0.0000636%), (USB, 0, 0.14%, 0.0000476%), (TGT, 0, 0.09%, 0.0000453%), (nan, 0, -0.01%, 0.0000000%), (nan, 0, -0.01%, 0.0000000%)</t>
  </si>
  <si>
    <t>(GOOGLE, 0, 3.59%, 0.0000688%), (AVGO, 0, 3.17%, 0.0000947%), (META, 0, 2.83%, 0.0000730%), (BRK/B, 0, 2.01%, 0.0001341%), (CSCO, 0, 1.78%, 0.0002838%), (LIN, 0, 1.73%, 0.0003401%), (TSLA, 0, 1.62%, 0.0000639%), (JPM, 0, 1.57%, 0.0000851%), (AMT, 0, 1.50%, 0.0006880%), (XOM, 0, 1.39%, 0.0001329%), (V, 0, 1.37%, 0.0001026%), (CB, 0, 1.12%, 0.0004518%), (MA, 0, 1.10%, 0.0000927%), (WM, 0, 1.03%, 0.0004942%), (GE, 0, 1.02%, 0.0001571%), (LLY, 0, 1.02%, 0.0000706%), (ORCL, 0, 0.93%, 0.0000585%), (PLTR, 0, 0.88%, 0.0000935%), (NFLX, 0, 0.87%, 0.0000734%), (NEE, 0, 0.84%, 0.0002456%), (JNJ, 0, 0.81%, 0.0000846%), (WMT, 0, 0.78%, 0.0000426%), (COST, 0, 0.77%, 0.0000781%), (CVX, 0, 0.76%, 0.0001052%), (UNH, 0, 0.76%, 0.0001370%), (PG, 0, 0.75%, 0.0000918%), (RTX, 0, 0.72%, 0.0001520%), (MCD, 0, 0.71%, 0.0001420%), (CAT, 0, 0.70%, 0.0001577%), (HD, 0, 0.70%, 0.0000771%), (ABBV, 0, 0.70%, 0.0000847%), (ABT, 0, 0.69%, 0.0001345%), (AMD, 0, 0.63%, 0.0000958%), (KO, 0, 0.62%, 0.0000902%), (BA, 0, 0.61%, 0.0001506%), (BAC, 0, 0.60%, 0.0000749%), (BKNG, 0, 0.59%, 0.0001458%), (PM, 0, 0.59%, 0.0000999%), (SO, 0, 0.59%, 0.0002477%), (NKE, 0, 0.57%, 0.0002786%), (DUK, 0, 0.55%, 0.0002472%), (GS, 0, 0.53%, 0.0001054%), (CRM, 0, 0.53%, 0.0001042%), (ISRG, 0, 0.52%, 0.0001354%), (IBM, 0, 0.52%, 0.0001026%), (UBER, 0, 0.51%, 0.0001182%), (WFC, 0, 0.50%, 0.0000864%), (HON, 0, 0.50%, 0.0001569%), (ETN, 0, 0.49%, 0.0001554%), (MET, 0, 0.49%, 0.0004147%), (INTU, 0, 0.47%, 0.0001044%), (PEP, 0, 0.46%, 0.0001003%), (T, 0, 0.43%, 0.0004302%), (DE, 0, 0.43%, 0.0001443%), (MS, 0, 0.42%, 0.0000784%), (NOW, 0, 0.42%, 0.0001029%), (SPGI, 0, 0.41%, 0.0001057%), (MRK, 0, 0.40%, 0.0000858%), (AXP, 0, 0.39%, 0.0000814%), (BLK, 0, 0.39%, 0.0000949%), (VZ, 0, 0.38%, 0.0000919%), (TXN, 0, 0.38%, 0.0000961%), (QCOM, 0, 0.38%, 0.0000986%), (MDT, 0, 0.36%, 0.0001348%), (ACN, 0, 0.36%, 0.0001040%), (COP, 0, 0.36%, 0.0001335%), (ADBE, 0, 0.36%, 0.0001092%), (UNP, 0, 0.36%, 0.0001197%), (TMO, 0, 0.35%, 0.0000862%), (DIS, 0, 0.35%, 0.0000734%), (C, 0, 0.34%, 0.0000854%), (SBUX, 0, 0.34%, 0.0001410%), (AMAT, 0, 0.34%, 0.0000990%), (SCHW, 0, 0.34%, 0.0000830%), (LMT, 0, 0.32%, 0.0001396%), (AMGN, 0, 0.30%, 0.0000845%), (MMM, 0, 0.30%, 0.0001570%), (GILD, 0, 0.29%, 0.0000849%), (PFE, 0, 0.27%, 0.0000844%), (EMR, 0, 0.27%, 0.0001551%), (DHR, 0, 0.26%, 0.0000770%), (CVS, 0, 0.26%, 0.0001337%), (MO, 0, 0.25%, 0.0001010%), (LOW, 0, 0.25%, 0.0000781%), (INTC, 0, 0.22%, 0.0000888%), (ELV, 0, 0.21%, 0.0001408%), (CMCSA, 0, 0.21%, 0.0000765%), (TJX, 0, 0.20%, 0.0000603%), (MDLZ, 0, 0.19%, 0.0001037%), (BMY, 0, 0.19%, 0.0000843%), (UPS, 0, 0.17%, 0.0001163%), (PYPL, 0, 0.16%, 0.0001081%), (CL, 0, 0.14%, 0.0000923%), (FDX, 0, 0.14%, 0.0001115%), (USB, 0, 0.14%, 0.0000833%), (TGT, 0, 0.09%, 0.0000792%), (nan, 0, -0.00%, 0.0000000%), (nan, 0, -0.00%, 0.0000000%)</t>
  </si>
  <si>
    <t>(GOOGLE, 0, 3.67%, 0.0000249%), (AVGO, 0, 3.23%, 0.0000343%), (META, 0, 2.89%, 0.0000264%), (BRK/B, 0, 2.05%, 0.0000486%), (CSCO, 0, 1.82%, 0.0001029%), (LIN, 0, 1.77%, 0.0001231%), (TSLA, 0, 1.66%, 0.0000232%), (JPM, 0, 1.60%, 0.0000308%), (AMT, 0, 1.53%, 0.0002493%), (XOM, 0, 1.42%, 0.0000482%), (V, 0, 1.39%, 0.0000371%), (CB, 0, 1.14%, 0.0001636%), (MA, 0, 1.12%, 0.0000335%), (WM, 0, 1.05%, 0.0001790%), (GE, 0, 1.04%, 0.0000570%), (LLY, 0, 1.03%, 0.0000256%), (ORCL, 0, 0.95%, 0.0000212%), (PLTR, 0, 0.90%, 0.0000339%), (NFLX, 0, 0.90%, 0.0000267%), (NEE, 0, 0.86%, 0.0000890%), (JNJ, 0, 0.83%, 0.0000307%), (WMT, 0, 0.80%, 0.0000154%), (COST, 0, 0.79%, 0.0000284%), (CVX, 0, 0.78%, 0.0000381%), (UNH, 0, 0.77%, 0.0000497%), (PG, 0, 0.77%, 0.0000333%), (RTX, 0, 0.74%, 0.0000551%), (MCD, 0, 0.73%, 0.0000514%), (CAT, 0, 0.72%, 0.0000572%), (ABBV, 0, 0.71%, 0.0000307%), (HD, 0, 0.71%, 0.0000279%), (ABT, 0, 0.71%, 0.0000487%), (AMD, 0, 0.65%, 0.0000347%), (KO, 0, 0.63%, 0.0000327%), (BA, 0, 0.62%, 0.0000546%), (BAC, 0, 0.61%, 0.0000272%), (BKNG, 0, 0.60%, 0.0000527%), (PM, 0, 0.60%, 0.0000362%), (SO, 0, 0.60%, 0.0000897%), (NKE, 0, 0.59%, 0.0001009%), (DUK, 0, 0.56%, 0.0000896%), (GS, 0, 0.55%, 0.0000383%), (CRM, 0, 0.54%, 0.0000377%), (ISRG, 0, 0.53%, 0.0000491%), (IBM, 0, 0.53%, 0.0000372%), (UBER, 0, 0.52%, 0.0000428%), (WFC, 0, 0.51%, 0.0000313%), (HON, 0, 0.51%, 0.0000569%), (MET, 0, 0.50%, 0.0001502%), (ETN, 0, 0.50%, 0.0000563%), (INTU, 0, 0.48%, 0.0000377%), (PEP, 0, 0.47%, 0.0000363%), (T, 0, 0.44%, 0.0001559%), (DE, 0, 0.43%, 0.0000522%), (MS, 0, 0.43%, 0.0000284%), (NOW, 0, 0.42%, 0.0000370%), (SPGI, 0, 0.42%, 0.0000383%), (MRK, 0, 0.41%, 0.0000311%), (AXP, 0, 0.40%, 0.0000295%), (BLK, 0, 0.40%, 0.0000342%), (VZ, 0, 0.39%, 0.0000333%), (TXN, 0, 0.39%, 0.0000348%), (QCOM, 0, 0.39%, 0.0000357%), (MDT, 0, 0.37%, 0.0000489%), (COP, 0, 0.37%, 0.0000484%), (ADBE, 0, 0.37%, 0.0000394%), (ACN, 0, 0.37%, 0.0000377%), (UNP, 0, 0.37%, 0.0000433%), (TMO, 0, 0.37%, 0.0000311%), (DIS, 0, 0.36%, 0.0000266%), (C, 0, 0.35%, 0.0000310%), (SBUX, 0, 0.35%, 0.0000511%), (SCHW, 0, 0.34%, 0.0000301%), (AMAT, 0, 0.34%, 0.0000359%), (LMT, 0, 0.33%, 0.0000506%), (AMGN, 0, 0.31%, 0.0000306%), (MMM, 0, 0.30%, 0.0000568%), (GILD, 0, 0.29%, 0.0000308%), (PFE, 0, 0.28%, 0.0000306%), (EMR, 0, 0.27%, 0.0000561%), (DHR, 0, 0.27%, 0.0000279%), (CVS, 0, 0.26%, 0.0000484%), (LOW, 0, 0.26%, 0.0000284%), (MO, 0, 0.26%, 0.0000366%), (INTC, 0, 0.22%, 0.0000322%), (ELV, 0, 0.22%, 0.0000508%), (CMCSA, 0, 0.21%, 0.0000277%), (MDLZ, 0, 0.19%, 0.0000376%), (BMY, 0, 0.19%, 0.0000306%), (TJX, 0, 0.18%, 0.0000194%), (UPS, 0, 0.18%, 0.0000421%), (PYPL, 0, 0.16%, 0.0000391%), (CL, 0, 0.15%, 0.0000335%), (FDX, 0, 0.14%, 0.0000403%), (USB, 0, 0.14%, 0.0000302%), (TGT, 0, 0.09%, 0.0000286%), (nan, 0, -0.00%, 0.0000000%), (nan, 0, -0.00%, 0.0000000%)</t>
  </si>
  <si>
    <t>(GOOGLE, 0, 3.90%, 0.0000597%), (AVGO, 0, 3.43%, 0.0000822%), (META, 0, 3.07%, 0.0000633%), (BRK/B, 0, 2.18%, 0.0001164%), (CSCO, 0, 1.93%, 0.0002464%), (LIN, 0, 1.88%, 0.0002951%), (TSLA, 0, 1.76%, 0.0000555%), (JPM, 0, 1.70%, 0.0000739%), (AMT, 0, 1.63%, 0.0005970%), (XOM, 0, 1.51%, 0.0001153%), (V, 0, 1.48%, 0.0000890%), (CB, 0, 1.21%, 0.0003921%), (MA, 0, 1.19%, 0.0000804%), (WM, 0, 1.12%, 0.0004289%), (GE, 0, 1.11%, 0.0001363%), (LLY, 0, 1.10%, 0.0000612%), (ORCL, 0, 1.01%, 0.0000508%), (PLTR, 0, 0.96%, 0.0000812%), (NFLX, 0, 0.94%, 0.0000637%), (NEE, 0, 0.92%, 0.0002131%), (JNJ, 0, 0.88%, 0.0000734%), (WMT, 0, 0.85%, 0.0000369%), (COST, 0, 0.84%, 0.0000679%), (CVX, 0, 0.83%, 0.0000913%), (UNH, 0, 0.82%, 0.0001189%), (PG, 0, 0.82%, 0.0000796%), (RTX, 0, 0.78%, 0.0001319%), (MCD, 0, 0.77%, 0.0001233%), (CAT, 0, 0.76%, 0.0001370%), (HD, 0, 0.75%, 0.0000669%), (ABBV, 0, 0.75%, 0.0000735%), (ABT, 0, 0.75%, 0.0001167%), (AMD, 0, 0.69%, 0.0000831%), (KO, 0, 0.67%, 0.0000782%), (BA, 0, 0.66%, 0.0001308%), (BAC, 0, 0.65%, 0.0000650%), (BKNG, 0, 0.64%, 0.0001272%), (PM, 0, 0.64%, 0.0000867%), (SO, 0, 0.64%, 0.0002150%), (NKE, 0, 0.62%, 0.0002417%), (DUK, 0, 0.59%, 0.0002147%), (GS, 0, 0.58%, 0.0000917%), (CRM, 0, 0.57%, 0.0000904%), (ISRG, 0, 0.57%, 0.0001176%), (IBM, 0, 0.56%, 0.0000891%), (UBER, 0, 0.56%, 0.0001026%), (WFC, 0, 0.54%, 0.0000750%), (HON, 0, 0.54%, 0.0001361%), (ETN, 0, 0.53%, 0.0001349%), (MET, 0, 0.53%, 0.0003600%), (INTU, 0, 0.51%, 0.0000904%), (PEP, 0, 0.50%, 0.0000871%), (T, 0, 0.47%, 0.0003733%), (DE, 0, 0.46%, 0.0001250%), (MS, 0, 0.46%, 0.0000680%), (NOW, 0, 0.45%, 0.0000889%), (SPGI, 0, 0.45%, 0.0000918%), (MRK, 0, 0.44%, 0.0000744%), (AXP, 0, 0.43%, 0.0000707%), (BLK, 0, 0.42%, 0.0000820%), (VZ, 0, 0.42%, 0.0000798%), (TXN, 0, 0.42%, 0.0000834%), (QCOM, 0, 0.41%, 0.0000855%), (MDT, 0, 0.39%, 0.0001170%), (COP, 0, 0.39%, 0.0001159%), (ACN, 0, 0.39%, 0.0000904%), (ADBE, 0, 0.39%, 0.0000946%), (UNP, 0, 0.39%, 0.0001039%), (TMO, 0, 0.38%, 0.0000748%), (DIS, 0, 0.38%, 0.0000637%), (C, 0, 0.37%, 0.0000741%), (SBUX, 0, 0.37%, 0.0001224%), (AMAT, 0, 0.36%, 0.0000860%), (SCHW, 0, 0.36%, 0.0000721%), (LMT, 0, 0.35%, 0.0001210%), (AMGN, 0, 0.33%, 0.0000734%), (MMM, 0, 0.32%, 0.0001363%), (GILD, 0, 0.31%, 0.0000738%), (PFE, 0, 0.30%, 0.0000732%), (EMR, 0, 0.29%, 0.0001347%), (DHR, 0, 0.28%, 0.0000668%), (CVS, 0, 0.28%, 0.0001160%), (MO, 0, 0.27%, 0.0000876%), (LOW, 0, 0.27%, 0.0000678%), (INTC, 0, 0.23%, 0.0000770%), (ELV, 0, 0.23%, 0.0001219%), (CMCSA, 0, 0.22%, 0.0000664%), (TJX, 0, 0.21%, 0.0000500%), (MDLZ, 0, 0.20%, 0.0000900%), (BMY, 0, 0.20%, 0.0000732%), (UPS, 0, 0.19%, 0.0001009%), (PYPL, 0, 0.17%, 0.0000937%), (CL, 0, 0.16%, 0.0000801%), (FDX, 0, 0.15%, 0.0000966%), (USB, 0, 0.15%, 0.0000723%), (TGT, 0, 0.09%, 0.0000689%), (nan, 0, -0.01%, 0.0000000%), (nan, 0, -0.01%, 0.0000000%)</t>
  </si>
  <si>
    <t>EBAY, META, BK, MSFT, EA, GOOGLE, BLK, MLI, JPM, BKNG, RJF</t>
  </si>
  <si>
    <t>(PHM, 0, 1.91%, 0.0042346%), (AMAT, 0, 1.89%, 0.0006996%), (EWBC, 0, 1.87%, 0.0072957%), (HIG, 0, 1.85%, 0.0027953%), (AXP, 0, 1.82%, 0.0004763%), (V, 0, 1.81%, 0.0001713%), (TRV, 0, 1.79%, 0.0016592%), (NVDA, 0, 1.78%, 0.0000224%), (KLAC, 0, 1.77%, 0.0007832%), (ROST, 0, 1.72%, 0.0019925%), (SNA, 0, 1.70%, 0.0055761%), (ADP, 0, 1.69%, 0.0007685%), (UNM, 0, 1.67%, 0.0076829%), (PCAR, 0, 1.65%, 0.0017515%), (CB, 0, 1.63%, 0.0008339%), (LEN, 0, 1.62%, 0.0030683%), (SYF, 0, 1.60%, 0.0033726%), (WSM, 0, 1.52%, 0.0033771%), (CTSH, 0, 1.47%, 0.0024357%), (CRM, 0, 1.40%, 0.0003500%), (PAYC, 0, 1.39%, 0.0061493%), (BKR, 0, 1.35%, 0.0017533%), (DHI, 0, 1.35%, 0.0015495%), (QCOM, 0, 1.34%, 0.0004348%), (AAPL, 0, 1.27%, 0.0000205%), (ACN, 0, 1.23%, 0.0004450%), (AFL, 0, 1.22%, 0.0012015%), (ELV, 0, 1.19%, 0.0010025%), (LRCX, 0, 1.16%, 0.0004771%), (MPWR, 0, 1.14%, 0.0015493%), (CSCO, 0, 1.09%, 0.0002202%), (ODFL, 0, 1.09%, 0.0018966%), (GE, 0, 1.02%, 0.0001991%), (STT, 0, 0.99%, 0.0017271%), (PNC, 0, 0.91%, 0.0006559%), (MTB, 0, 0.90%, 0.0016702%), (AMP, 0, 0.87%, 0.0010118%), (COST, 0, 0.85%, 0.0001090%), (CF, 0, 0.85%, 0.0034037%), (ABT, 0, 0.81%, 0.0001997%), (EOG, 0, 0.78%, 0.0006654%), (XOM, 0, 0.78%, 0.0000947%), (CSL, 0, 0.76%, 0.0025894%), (EG, 0, 0.74%, 0.0029095%), (GEV, 0, 0.55%, 0.0001813%), (NTRS, 0, 0.52%, 0.0011839%), (MA, 0, 0.49%, 0.0000524%), (CRBG, 0, 0.48%, 0.0014281%), (JNJ, 0, 0.47%, 0.0000622%), (ACM, 0, 0.46%, 0.0015991%), (LNC, 0, 0.45%, 0.0032242%), (MTG, 0, 0.44%, 0.0039322%), (JXN, 0, 0.44%, 0.0036295%), (CINF, 0, 0.43%, 0.0009980%), (EQH, 0, 0.43%, 0.0014492%), (SLM, 0, 0.43%, 0.0035407%), (DOV, 0, 0.42%, 0.0009544%), (ALL, 0, 0.42%, 0.0004209%), (WTFC, 0, 0.42%, 0.0026945%), (ADM, 0, 0.40%, 0.0007761%), (MCK, 0, 0.39%, 0.0002597%), (NUE, 0, 0.39%, 0.0006522%), (NKE, 0, 0.38%, 0.0002295%), (PGR, 0, 0.37%, 0.0001394%), (FANG, 0, 0.30%, 0.0004028%)</t>
  </si>
  <si>
    <t>(GOOGLE, 0, 3.55%, 0.0000633%), (AVGO, 0, 3.13%, 0.0000871%), (META, 0, 2.80%, 0.0000671%), (BRK/B, 0, 1.99%, 0.0001233%), (CSCO, 0, 1.76%, 0.0002611%), (LIN, 0, 1.71%, 0.0003129%), (TSLA, 0, 1.61%, 0.0000588%), (JPM, 0, 1.55%, 0.0000783%), (AMT, 0, 1.48%, 0.0006329%), (XOM, 0, 1.37%, 0.0001222%), (V, 0, 1.35%, 0.0000944%), (CB, 0, 1.10%, 0.0004154%), (MA, 0, 1.09%, 0.0000853%), (LLY, 0, 1.02%, 0.0000649%), (WM, 0, 1.02%, 0.0004547%), (GE, 0, 1.01%, 0.0001446%), (ORCL, 0, 0.92%, 0.0000538%), (PLTR, 0, 0.87%, 0.0000860%), (NFLX, 0, 0.86%, 0.0000677%), (NEE, 0, 0.83%, 0.0002259%), (JNJ, 0, 0.80%, 0.0000778%), (WMT, 0, 0.77%, 0.0000392%), (COST, 0, 0.76%, 0.0000720%), (CVX, 0, 0.75%, 0.0000968%), (UNH, 0, 0.74%, 0.0001260%), (PG, 0, 0.74%, 0.0000844%), (RTX, 0, 0.71%, 0.0001398%), (MCD, 0, 0.71%, 0.0001306%), (CAT, 0, 0.70%, 0.0001452%), (HD, 0, 0.69%, 0.0000708%), (ABBV, 0, 0.69%, 0.0000779%), (ABT, 0, 0.68%, 0.0001237%), (AMD, 0, 0.63%, 0.0000881%), (KO, 0, 0.61%, 0.0000829%), (BA, 0, 0.60%, 0.0001385%), (BAC, 0, 0.59%, 0.0000689%), (PM, 0, 0.58%, 0.0000919%), (SO, 0, 0.58%, 0.0002279%), (BKNG, 0, 0.58%, 0.0001334%), (NKE, 0, 0.57%, 0.0002563%), (DUK, 0, 0.54%, 0.0002275%), (GS, 0, 0.53%, 0.0000970%), (CRM, 0, 0.52%, 0.0000958%), (ISRG, 0, 0.52%, 0.0001247%), (IBM, 0, 0.51%, 0.0000944%), (UBER, 0, 0.51%, 0.0001088%), (WFC, 0, 0.49%, 0.0000795%), (HON, 0, 0.49%, 0.0001443%), (ETN, 0, 0.49%, 0.0001431%), (MET, 0, 0.48%, 0.0003815%), (INTU, 0, 0.47%, 0.0000961%), (PEP, 0, 0.46%, 0.0000924%), (T, 0, 0.43%, 0.0003957%), (DE, 0, 0.42%, 0.0001324%), (MS, 0, 0.42%, 0.0000721%), (NOW, 0, 0.41%, 0.0000947%), (SPGI, 0, 0.41%, 0.0000971%), (MRK, 0, 0.40%, 0.0000789%), (AXP, 0, 0.39%, 0.0000749%), (BLK, 0, 0.38%, 0.0000872%), (VZ, 0, 0.38%, 0.0000845%), (TXN, 0, 0.38%, 0.0000884%), (QCOM, 0, 0.38%, 0.0000907%), (MDT, 0, 0.36%, 0.0001240%), (ACN, 0, 0.36%, 0.0000957%), (COP, 0, 0.36%, 0.0001228%), (ADBE, 0, 0.36%, 0.0001003%), (UNP, 0, 0.36%, 0.0001101%), (TMO, 0, 0.35%, 0.0000793%), (DIS, 0, 0.34%, 0.0000675%), (C, 0, 0.34%, 0.0000785%), (SBUX, 0, 0.34%, 0.0001298%), (AMAT, 0, 0.33%, 0.0000911%), (SCHW, 0, 0.33%, 0.0000764%), (LMT, 0, 0.32%, 0.0001284%), (AMGN, 0, 0.30%, 0.0000778%), (MMM, 0, 0.29%, 0.0001444%), (GILD, 0, 0.28%, 0.0000782%), (PFE, 0, 0.27%, 0.0000776%), (EMR, 0, 0.26%, 0.0001427%), (TJX, 0, 0.26%, 0.0000720%), (DHR, 0, 0.26%, 0.0000709%), (CVS, 0, 0.25%, 0.0001230%), (MO, 0, 0.25%, 0.0000929%), (LOW, 0, 0.25%, 0.0000719%), (INTC, 0, 0.21%, 0.0000817%), (ELV, 0, 0.21%, 0.0001296%), (CMCSA, 0, 0.20%, 0.0000704%), (MDLZ, 0, 0.19%, 0.0000953%), (BMY, 0, 0.18%, 0.0000776%), (UPS, 0, 0.17%, 0.0001071%), (PYPL, 0, 0.16%, 0.0000994%), (CL, 0, 0.14%, 0.0000849%), (FDX, 0, 0.14%, 0.0001026%), (USB, 0, 0.14%, 0.0000767%), (TGT, 0, 0.08%, 0.0000728%), (nan, 0, -0.00%, 0.0000000%), (nan, 0, -0.00%, 0.0000000%)</t>
  </si>
  <si>
    <t>(GOOGLE, 0, 3.72%, 0.0001295%), (AVGO, 0, 3.28%, 0.0001782%), (META, 0, 2.93%, 0.0001372%), (BRK/B, 0, 2.08%, 0.0002523%), (CSCO, 0, 1.84%, 0.0005341%), (LIN, 0, 1.79%, 0.0006397%), (TSLA, 0, 1.68%, 0.0001203%), (JPM, 0, 1.62%, 0.0001601%), (AMT, 0, 1.55%, 0.0012947%), (XOM, 0, 1.44%, 0.0002500%), (V, 0, 1.42%, 0.0001930%), (CB, 0, 1.16%, 0.0008500%), (MA, 0, 1.14%, 0.0001745%), (WM, 0, 1.07%, 0.0009301%), (LLY, 0, 1.06%, 0.0001328%), (GE, 0, 1.06%, 0.0002957%), (ORCL, 0, 0.97%, 0.0001100%), (PLTR, 0, 0.91%, 0.0001759%), (NFLX, 0, 0.91%, 0.0001383%), (NEE, 0, 0.87%, 0.0004621%), (JNJ, 0, 0.84%, 0.0001592%), (WMT, 0, 0.81%, 0.0000801%), (COST, 0, 0.80%, 0.0001471%), (CVX, 0, 0.79%, 0.0001980%), (UNH, 0, 0.78%, 0.0002578%), (PG, 0, 0.78%, 0.0001727%), (RTX, 0, 0.75%, 0.0002860%), (MCD, 0, 0.74%, 0.0002672%), (CAT, 0, 0.73%, 0.0002969%), (HD, 0, 0.72%, 0.0001450%), (ABBV, 0, 0.72%, 0.0001593%), (ABT, 0, 0.72%, 0.0002530%), (AMD, 0, 0.66%, 0.0001802%), (KO, 0, 0.64%, 0.0001696%), (BA, 0, 0.63%, 0.0002834%), (BAC, 0, 0.62%, 0.0001410%), (PM, 0, 0.61%, 0.0001880%), (SO, 0, 0.61%, 0.0004661%), (BKNG, 0, 0.61%, 0.0002730%), (NKE, 0, 0.60%, 0.0005242%), (DUK, 0, 0.57%, 0.0004652%), (GS, 0, 0.56%, 0.0001987%), (CRM, 0, 0.55%, 0.0001960%), (ISRG, 0, 0.54%, 0.0002550%), (IBM, 0, 0.54%, 0.0001931%), (UBER, 0, 0.53%, 0.0002225%), (WFC, 0, 0.52%, 0.0001626%), (HON, 0, 0.51%, 0.0002952%), (ETN, 0, 0.51%, 0.0002926%), (MET, 0, 0.51%, 0.0007803%), (INTU, 0, 0.49%, 0.0001962%), (PEP, 0, 0.48%, 0.0001888%), (T, 0, 0.45%, 0.0008094%), (DE, 0, 0.44%, 0.0002712%), (MS, 0, 0.44%, 0.0001474%), (NOW, 0, 0.43%, 0.0001933%), (SPGI, 0, 0.43%, 0.0001988%), (MRK, 0, 0.42%, 0.0001613%), (AXP, 0, 0.41%, 0.0001533%), (BLK, 0, 0.40%, 0.0001782%), (VZ, 0, 0.40%, 0.0001729%), (TXN, 0, 0.40%, 0.0001808%), (QCOM, 0, 0.39%, 0.0001855%), (MDT, 0, 0.38%, 0.0002536%), (COP, 0, 0.38%, 0.0002512%), (ACN, 0, 0.38%, 0.0001959%), (ADBE, 0, 0.38%, 0.0002052%), (UNP, 0, 0.37%, 0.0002252%), (TMO, 0, 0.37%, 0.0001621%), (DIS, 0, 0.36%, 0.0001381%), (C, 0, 0.35%, 0.0001607%), (SBUX, 0, 0.35%, 0.0002653%), (AMAT, 0, 0.35%, 0.0001864%), (SCHW, 0, 0.35%, 0.0001562%), (LMT, 0, 0.33%, 0.0002628%), (AMGN, 0, 0.31%, 0.0001590%), (MMM, 0, 0.31%, 0.0002954%), (GILD, 0, 0.30%, 0.0001598%), (PFE, 0, 0.28%, 0.0001588%), (EMR, 0, 0.28%, 0.0002919%), (DHR, 0, 0.27%, 0.0001450%), (CVS, 0, 0.27%, 0.0002515%), (MO, 0, 0.26%, 0.0001900%), (LOW, 0, 0.26%, 0.0001469%), (INTC, 0, 0.22%, 0.0001670%), (ELV, 0, 0.22%, 0.0002646%), (CMCSA, 0, 0.21%, 0.0001440%), (TJX, 0, 0.21%, 0.0001112%), (MDLZ, 0, 0.19%, 0.0001951%), (BMY, 0, 0.19%, 0.0001587%), (UPS, 0, 0.18%, 0.0002190%), (PYPL, 0, 0.17%, 0.0002033%), (CL, 0, 0.15%, 0.0001737%), (FDX, 0, 0.14%, 0.0002098%), (USB, 0, 0.14%, 0.0001568%), (TGT, 0, 0.09%, 0.0001492%), (nan, 0, -0.00%, 0.0000000%), (nan, 0, -0.00%, 0.0000000%)</t>
  </si>
  <si>
    <t>(GOOGLE, 0, 3.54%, 0.0002595%), (AVGO, 0, 3.12%, 0.0003571%), (META, 0, 2.79%, 0.0002750%), (BRK/B, 0, 1.98%, 0.0005055%), (CSCO, 0, 1.75%, 0.0010704%), (LIN, 0, 1.71%, 0.0012822%), (TSLA, 0, 1.60%, 0.0002410%), (JPM, 0, 1.54%, 0.0003209%), (AMT, 0, 1.48%, 0.0025945%), (XOM, 0, 1.37%, 0.0005011%), (V, 0, 1.35%, 0.0003868%), (CB, 0, 1.10%, 0.0017032%), (MA, 0, 1.08%, 0.0003497%), (WM, 0, 1.01%, 0.0018636%), (LLY, 0, 1.01%, 0.0002661%), (GE, 0, 1.01%, 0.0005925%), (ORCL, 0, 0.92%, 0.0002205%), (PLTR, 0, 0.87%, 0.0003526%), (NFLX, 0, 0.86%, 0.0002773%), (NEE, 0, 0.83%, 0.0009261%), (JNJ, 0, 0.80%, 0.0003191%), (WMT, 0, 0.77%, 0.0001605%), (COST, 0, 0.76%, 0.0002947%), (CVX, 0, 0.75%, 0.0003967%), (UNH, 0, 0.74%, 0.0005165%), (PG, 0, 0.74%, 0.0003461%), (RTX, 0, 0.71%, 0.0005733%), (MCD, 0, 0.70%, 0.0005356%), (CAT, 0, 0.69%, 0.0005951%), (HD, 0, 0.69%, 0.0002905%), (ABBV, 0, 0.68%, 0.0003194%), (ABT, 0, 0.68%, 0.0005071%), (AMD, 0, 0.62%, 0.0003610%), (KO, 0, 0.61%, 0.0003400%), (BA, 0, 0.60%, 0.0005680%), (BAC, 0, 0.59%, 0.0002825%), (PM, 0, 0.58%, 0.0003768%), (SO, 0, 0.58%, 0.0009341%), (BKNG, 0, 0.57%, 0.0005491%), (NKE, 0, 0.57%, 0.0010580%), (DUK, 0, 0.54%, 0.0009324%), (GS, 0, 0.53%, 0.0003981%), (CRM, 0, 0.52%, 0.0003929%), (ISRG, 0, 0.51%, 0.0005109%), (IBM, 0, 0.51%, 0.0003870%), (UBER, 0, 0.51%, 0.0004459%), (WFC, 0, 0.49%, 0.0003258%), (HON, 0, 0.49%, 0.0005914%), (ETN, 0, 0.48%, 0.0005862%), (MET, 0, 0.48%, 0.0015638%), (INTU, 0, 0.47%, 0.0003935%), (PEP, 0, 0.46%, 0.0003785%), (T, 0, 0.42%, 0.0016221%), (DE, 0, 0.42%, 0.0005434%), (MS, 0, 0.41%, 0.0002954%), (NOW, 0, 0.41%, 0.0003875%), (SPGI, 0, 0.41%, 0.0003986%), (MRK, 0, 0.40%, 0.0003233%), (AXP, 0, 0.39%, 0.0003072%), (BLK, 0, 0.38%, 0.0003578%), (VZ, 0, 0.38%, 0.0003465%), (TXN, 0, 0.38%, 0.0003625%), (QCOM, 0, 0.37%, 0.0003717%), (MDT, 0, 0.36%, 0.0005083%), (COP, 0, 0.36%, 0.0005034%), (ACN, 0, 0.36%, 0.0003924%), (ADBE, 0, 0.36%, 0.0004114%), (UNP, 0, 0.35%, 0.0004513%), (TMO, 0, 0.35%, 0.0003250%), (DIS, 0, 0.34%, 0.0002768%), (C, 0, 0.34%, 0.0003220%), (SBUX, 0, 0.34%, 0.0005318%), (AMAT, 0, 0.33%, 0.0003736%), (SCHW, 0, 0.33%, 0.0003131%), (LMT, 0, 0.32%, 0.0005264%), (AMGN, 0, 0.30%, 0.0003187%), (MMM, 0, 0.29%, 0.0005920%), (GILD, 0, 0.28%, 0.0003204%), (PFE, 0, 0.27%, 0.0003182%), (EMR, 0, 0.26%, 0.0005851%), (DHR, 0, 0.25%, 0.0002905%), (CVS, 0, 0.25%, 0.0005040%), (MO, 0, 0.25%, 0.0003808%), (LOW, 0, 0.25%, 0.0002946%), (INTC, 0, 0.21%, 0.0003348%), (ELV, 0, 0.21%, 0.0005305%), (CMCSA, 0, 0.20%, 0.0002886%), (TJX, 0, 0.19%, 0.0002141%), (MDLZ, 0, 0.19%, 0.0003909%), (BMY, 0, 0.18%, 0.0003181%), (UPS, 0, 0.17%, 0.0004388%), (PYPL, 0, 0.16%, 0.0004074%), (CL, 0, 0.14%, 0.0003481%), (FDX, 0, 0.14%, 0.0004208%), (USB, 0, 0.14%, 0.0003142%), (TGT, 0, 0.08%, 0.0002989%), (nan, 0, -0.01%, 0.0000000%), (nan, 0, -0.01%, 0.0000000%)</t>
  </si>
  <si>
    <t>(GOOGLE, 0, 3.49%, 0.0000375%), (AVGO, 0, 3.03%, 0.0000516%), (META, 0, 2.74%, 0.0000398%), (BRK/B, 0, 1.94%, 0.0000731%), (LIN, 0, 1.68%, 0.0001855%), (CSCO, 0, 1.64%, 0.0001548%), (TSLA, 0, 1.55%, 0.0000348%), (JPM, 0, 1.50%, 0.0000464%), (AMT, 0, 1.47%, 0.0003751%), (XOM, 0, 1.33%, 0.0000725%), (V, 0, 1.32%, 0.0000559%), (CB, 0, 1.07%, 0.0002462%), (MA, 0, 1.06%, 0.0000506%), (WM, 0, 1.00%, 0.0002696%), (GE, 0, 0.98%, 0.0000857%), (ORCL, 0, 0.91%, 0.0000319%), (NFLX, 0, 0.85%, 0.0000401%), (NEE, 0, 0.84%, 0.0001339%), (PLTR, 0, 0.83%, 0.0000510%), (JNJ, 0, 0.79%, 0.0000462%), (UNH, 0, 0.79%, 0.0000747%), (LLY, 0, 0.75%, 0.0000279%), (WMT, 0, 0.75%, 0.0000232%), (COST, 0, 0.74%, 0.0000426%), (CVX, 0, 0.74%, 0.0000574%), (PG, 0, 0.73%, 0.0000501%), (RTX, 0, 0.69%, 0.0000829%), (MCD, 0, 0.69%, 0.0000775%), (ABT, 0, 0.68%, 0.0000733%), (ABBV, 0, 0.68%, 0.0000462%), (HD, 0, 0.67%, 0.0000420%), (CAT, 0, 0.67%, 0.0000860%), (AMD, 0, 0.61%, 0.0000522%), (KO, 0, 0.60%, 0.0000492%), (BA, 0, 0.59%, 0.0000821%), (BKNG, 0, 0.57%, 0.0000807%), (BAC, 0, 0.57%, 0.0000409%), (PM, 0, 0.57%, 0.0000545%), (SO, 0, 0.57%, 0.0001351%), (NKE, 0, 0.56%, 0.0001519%), (CRM, 0, 0.53%, 0.0000568%), (DUK, 0, 0.52%, 0.0001349%), (GS, 0, 0.51%, 0.0000577%), (IBM, 0, 0.51%, 0.0000560%), (ISRG, 0, 0.51%, 0.0000739%), (UBER, 0, 0.50%, 0.0000645%), (HON, 0, 0.48%, 0.0000855%), (WFC, 0, 0.47%, 0.0000471%), (MET, 0, 0.47%, 0.0002262%), (ETN, 0, 0.47%, 0.0000848%), (INTU, 0, 0.46%, 0.0000570%), (PEP, 0, 0.45%, 0.0000547%), (DE, 0, 0.42%, 0.0000784%), (T, 0, 0.42%, 0.0002346%), (NOW, 0, 0.41%, 0.0000562%), (MS, 0, 0.40%, 0.0000427%), (SPGI, 0, 0.39%, 0.0000578%), (MRK, 0, 0.39%, 0.0000468%), (VZ, 0, 0.38%, 0.0000501%), (AXP, 0, 0.38%, 0.0000444%), (TXN, 0, 0.37%, 0.0000524%), (BLK, 0, 0.37%, 0.0000517%), (QCOM, 0, 0.37%, 0.0000538%), (MDT, 0, 0.36%, 0.0000735%), (ADBE, 0, 0.35%, 0.0000595%), (TMO, 0, 0.35%, 0.0000471%), (ACN, 0, 0.35%, 0.0000567%), (COP, 0, 0.35%, 0.0000728%), (UNP, 0, 0.35%, 0.0000652%), (DIS, 0, 0.33%, 0.0000400%), (C, 0, 0.32%, 0.0000466%), (SCHW, 0, 0.32%, 0.0000453%), (LMT, 0, 0.31%, 0.0000761%), (AMGN, 0, 0.29%, 0.0000461%), (AMAT, 0, 0.28%, 0.0000540%), (MMM, 0, 0.28%, 0.0000857%), (GILD, 0, 0.28%, 0.0000463%), (PFE, 0, 0.26%, 0.0000460%), (TJX, 0, 0.26%, 0.0000427%), (CVS, 0, 0.25%, 0.0000729%), (DHR, 0, 0.25%, 0.0000420%), (SBUX, 0, 0.25%, 0.0000593%), (MO, 0, 0.24%, 0.0000550%), (LOW, 0, 0.24%, 0.0000426%), (ELV, 0, 0.21%, 0.0000769%), (INTC, 0, 0.21%, 0.0000484%), (CMCSA, 0, 0.20%, 0.0000417%), (EMR, 0, 0.20%, 0.0000668%), (MDLZ, 0, 0.18%, 0.0000565%), (BMY, 0, 0.18%, 0.0000460%), (UPS, 0, 0.17%, 0.0000634%), (PYPL, 0, 0.15%, 0.0000589%), (CL, 0, 0.14%, 0.0000504%), (FDX, 0, 0.13%, 0.0000610%), (USB, 0, 0.13%, 0.0000454%), (TGT, 0, 0.08%, 0.0000431%), (nan, 0, -0.01%, 0.0000000%), (nan, 0, -0.01%, 0.0000000%)</t>
  </si>
  <si>
    <t>(GOOGLE, 0, 3.81%, 0.0002252%), (AVGO, 0, 3.30%, 0.0003099%), (META, 0, 2.99%, 0.0002387%), (BRK/B, 0, 2.11%, 0.0004387%), (LIN, 0, 1.83%, 0.0011125%), (CSCO, 0, 1.79%, 0.0009288%), (TSLA, 0, 1.69%, 0.0002092%), (JPM, 0, 1.63%, 0.0002785%), (AMT, 0, 1.60%, 0.0022514%), (V, 0, 1.44%, 0.0003356%), (XOM, 0, 1.26%, 0.0003761%), (CB, 0, 1.17%, 0.0014781%), (MA, 0, 1.15%, 0.0003034%), (WM, 0, 1.09%, 0.0016172%), (GE, 0, 1.07%, 0.0005141%), (ORCL, 0, 1.00%, 0.0001914%), (NFLX, 0, 0.92%, 0.0002405%), (NEE, 0, 0.92%, 0.0008037%), (PLTR, 0, 0.91%, 0.0003059%), (JNJ, 0, 0.87%, 0.0002768%), (UNH, 0, 0.86%, 0.0004482%), (WMT, 0, 0.82%, 0.0001393%), (LLY, 0, 0.82%, 0.0001674%), (COST, 0, 0.81%, 0.0002557%), (CVX, 0, 0.81%, 0.0003443%), (PG, 0, 0.79%, 0.0003003%), (RTX, 0, 0.76%, 0.0004975%), (MCD, 0, 0.75%, 0.0004647%), (ABT, 0, 0.74%, 0.0004401%), (ABBV, 0, 0.74%, 0.0002771%), (HD, 0, 0.73%, 0.0002521%), (CAT, 0, 0.73%, 0.0005164%), (AMD, 0, 0.66%, 0.0003133%), (KO, 0, 0.65%, 0.0002950%), (BA, 0, 0.65%, 0.0004928%), (BAC, 0, 0.62%, 0.0002451%), (PM, 0, 0.62%, 0.0003269%), (SO, 0, 0.62%, 0.0008106%), (BKNG, 0, 0.61%, 0.0004747%), (NKE, 0, 0.61%, 0.0009115%), (CRM, 0, 0.58%, 0.0003409%), (DUK, 0, 0.57%, 0.0008091%), (GS, 0, 0.56%, 0.0003454%), (IBM, 0, 0.55%, 0.0003358%), (ISRG, 0, 0.55%, 0.0004432%), (UBER, 0, 0.55%, 0.0003869%), (HON, 0, 0.52%, 0.0005132%), (WFC, 0, 0.51%, 0.0002827%), (MET, 0, 0.51%, 0.0013571%), (ETN, 0, 0.51%, 0.0005086%), (INTU, 0, 0.50%, 0.0003411%), (PEP, 0, 0.49%, 0.0003284%), (DE, 0, 0.46%, 0.0004716%), (T, 0, 0.46%, 0.0014076%), (NOW, 0, 0.45%, 0.0003361%), (MS, 0, 0.43%, 0.0002564%), (MRK, 0, 0.43%, 0.0002806%), (SPGI, 0, 0.43%, 0.0003461%), (AXP, 0, 0.41%, 0.0002665%), (VZ, 0, 0.41%, 0.0003007%), (TXN, 0, 0.41%, 0.0003145%), (BLK, 0, 0.40%, 0.0003100%), (QCOM, 0, 0.40%, 0.0003226%), (MDT, 0, 0.39%, 0.0004411%), (ADBE, 0, 0.39%, 0.0003569%), (ACN, 0, 0.38%, 0.0003405%), (COP, 0, 0.38%, 0.0004368%), (UNP, 0, 0.38%, 0.0003916%), (TMO, 0, 0.38%, 0.0002821%), (DIS, 0, 0.36%, 0.0002402%), (C, 0, 0.35%, 0.0002794%), (SCHW, 0, 0.35%, 0.0002717%), (LMT, 0, 0.34%, 0.0004568%), (AMGN, 0, 0.32%, 0.0002766%), (AMAT, 0, 0.31%, 0.0003242%), (MMM, 0, 0.31%, 0.0005137%), (GILD, 0, 0.30%, 0.0002780%), (PFE, 0, 0.29%, 0.0002761%), (TJX, 0, 0.28%, 0.0002560%), (CVS, 0, 0.28%, 0.0004374%), (DHR, 0, 0.27%, 0.0002521%), (MO, 0, 0.27%, 0.0003304%), (LOW, 0, 0.26%, 0.0002555%), (SBUX, 0, 0.25%, 0.0003295%), (INTC, 0, 0.23%, 0.0002905%), (ELV, 0, 0.23%, 0.0004603%), (CMCSA, 0, 0.22%, 0.0002504%), (MDLZ, 0, 0.20%, 0.0003392%), (EMR, 0, 0.20%, 0.0003655%), (BMY, 0, 0.20%, 0.0002760%), (UPS, 0, 0.18%, 0.0003807%), (PYPL, 0, 0.17%, 0.0003536%), (CL, 0, 0.15%, 0.0003021%), (FDX, 0, 0.14%, 0.0003649%), (USB, 0, 0.14%, 0.0002727%), (TGT, 0, 0.09%, 0.0002592%), (nan, 0, -0.01%, 0.0000000%), (nan, 0, -0.01%, 0.0000000%)</t>
  </si>
  <si>
    <t>(GOOGLE, 0, 3.79%, 0.0001677%), (AVGO, 0, 3.29%, 0.0002307%), (META, 0, 2.98%, 0.0001777%), (BRK/B, 0, 2.10%, 0.0003266%), (LIN, 0, 1.82%, 0.0008284%), (CSCO, 0, 1.78%, 0.0006915%), (TSLA, 0, 1.69%, 0.0001557%), (JPM, 0, 1.63%, 0.0002073%), (AMT, 0, 1.59%, 0.0016762%), (V, 0, 1.43%, 0.0002499%), (XOM, 0, 1.19%, 0.0002651%), (CB, 0, 1.16%, 0.0011002%), (MA, 0, 1.15%, 0.0002259%), (WM, 0, 1.08%, 0.0012041%), (GE, 0, 1.07%, 0.0003828%), (ORCL, 0, 0.99%, 0.0001425%), (NFLX, 0, 0.92%, 0.0001791%), (NEE, 0, 0.91%, 0.0005983%), (PLTR, 0, 0.90%, 0.0002278%), (JNJ, 0, 0.86%, 0.0002061%), (UNH, 0, 0.86%, 0.0003337%), (WMT, 0, 0.81%, 0.0001037%), (COST, 0, 0.81%, 0.0001904%), (CVX, 0, 0.81%, 0.0002563%), (PG, 0, 0.79%, 0.0002236%), (LLY, 0, 0.78%, 0.0001190%), (RTX, 0, 0.75%, 0.0003704%), (MCD, 0, 0.75%, 0.0003460%), (ABT, 0, 0.74%, 0.0003276%), (ABBV, 0, 0.73%, 0.0002063%), (HD, 0, 0.73%, 0.0001877%), (CAT, 0, 0.72%, 0.0003844%), (AMD, 0, 0.66%, 0.0002332%), (KO, 0, 0.65%, 0.0002196%), (BA, 0, 0.64%, 0.0003669%), (BAC, 0, 0.62%, 0.0001825%), (PM, 0, 0.62%, 0.0002434%), (SO, 0, 0.62%, 0.0006034%), (BKNG, 0, 0.61%, 0.0003537%), (NKE, 0, 0.60%, 0.0006786%), (CRM, 0, 0.58%, 0.0002538%), (DUK, 0, 0.56%, 0.0006024%), (GS, 0, 0.55%, 0.0002571%), (IBM, 0, 0.55%, 0.0002500%), (ISRG, 0, 0.55%, 0.0003300%), (UBER, 0, 0.54%, 0.0002880%), (HON, 0, 0.52%, 0.0003821%), (WFC, 0, 0.51%, 0.0002105%), (MET, 0, 0.51%, 0.0010103%), (ETN, 0, 0.51%, 0.0003786%), (INTU, 0, 0.50%, 0.0002539%), (PEP, 0, 0.49%, 0.0002445%), (DE, 0, 0.46%, 0.0003511%), (T, 0, 0.45%, 0.0010480%), (NOW, 0, 0.45%, 0.0002505%), (MS, 0, 0.43%, 0.0001909%), (MRK, 0, 0.43%, 0.0002089%), (SPGI, 0, 0.43%, 0.0002576%), (AXP, 0, 0.41%, 0.0001984%), (VZ, 0, 0.41%, 0.0002238%), (TXN, 0, 0.40%, 0.0002342%), (BLK, 0, 0.40%, 0.0002312%), (QCOM, 0, 0.40%, 0.0002401%), (MDT, 0, 0.39%, 0.0003284%), (ADBE, 0, 0.38%, 0.0002659%), (ACN, 0, 0.38%, 0.0002535%), (COP, 0, 0.38%, 0.0003252%), (UNP, 0, 0.38%, 0.0002917%), (TMO, 0, 0.38%, 0.0002100%), (DIS, 0, 0.36%, 0.0001788%), (C, 0, 0.35%, 0.0002081%), (SCHW, 0, 0.35%, 0.0002023%), (LMT, 0, 0.34%, 0.0003401%), (AMGN, 0, 0.32%, 0.0002060%), (AMAT, 0, 0.31%, 0.0002414%), (MMM, 0, 0.30%, 0.0003825%), (GILD, 0, 0.30%, 0.0002069%), (PFE, 0, 0.29%, 0.0002056%), (TJX, 0, 0.28%, 0.0001906%), (CVS, 0, 0.28%, 0.0003256%), (DHR, 0, 0.27%, 0.0001877%), (MO, 0, 0.27%, 0.0002460%), (LOW, 0, 0.26%, 0.0001903%), (SBUX, 0, 0.25%, 0.0002468%), (INTC, 0, 0.23%, 0.0002163%), (ELV, 0, 0.23%, 0.0003429%), (CMCSA, 0, 0.22%, 0.0001864%), (MDLZ, 0, 0.20%, 0.0002526%), (EMR, 0, 0.20%, 0.0002713%), (BMY, 0, 0.20%, 0.0002055%), (UPS, 0, 0.18%, 0.0002834%), (PYPL, 0, 0.17%, 0.0002632%), (CL, 0, 0.15%, 0.0002249%), (FDX, 0, 0.14%, 0.0002717%), (USB, 0, 0.14%, 0.0002030%), (TGT, 0, 0.09%, 0.0001930%), (nan, 0, -0.01%, 0.0000000%), (nan, 0, -0.01%, 0.0000000%)</t>
  </si>
  <si>
    <t>(GOOGLE, 0, 3.84%, 0.0000393%), (AVGO, 0, 3.33%, 0.0000541%), (META, 0, 3.01%, 0.0000416%), (BRK/B, 0, 2.13%, 0.0000765%), (LIN, 0, 1.84%, 0.0001940%), (CSCO, 0, 1.81%, 0.0001620%), (TSLA, 0, 1.71%, 0.0000365%), (JPM, 0, 1.65%, 0.0000486%), (AMT, 0, 1.62%, 0.0003928%), (V, 0, 1.45%, 0.0000586%), (CB, 0, 1.18%, 0.0002579%), (MA, 0, 1.17%, 0.0000530%), (WM, 0, 1.10%, 0.0002822%), (GE, 0, 1.08%, 0.0000897%), (XOM, 0, 1.06%, 0.0000547%), (ORCL, 0, 1.01%, 0.0000334%), (NFLX, 0, 0.93%, 0.0000420%), (NEE, 0, 0.92%, 0.0001402%), (PLTR, 0, 0.92%, 0.0000534%), (JNJ, 0, 0.87%, 0.0000483%), (UNH, 0, 0.87%, 0.0000782%), (LLY, 0, 0.84%, 0.0000297%), (WMT, 0, 0.83%, 0.0000243%), (COST, 0, 0.82%, 0.0000447%), (CVX, 0, 0.82%, 0.0000601%), (PG, 0, 0.80%, 0.0000524%), (RTX, 0, 0.76%, 0.0000868%), (MCD, 0, 0.76%, 0.0000811%), (ABT, 0, 0.75%, 0.0000768%), (ABBV, 0, 0.74%, 0.0000483%), (HD, 0, 0.74%, 0.0000440%), (CAT, 0, 0.73%, 0.0000901%), (AMD, 0, 0.66%, 0.0000547%), (KO, 0, 0.66%, 0.0000515%), (BA, 0, 0.65%, 0.0000860%), (BAC, 0, 0.63%, 0.0000428%), (PM, 0, 0.63%, 0.0000570%), (BKNG, 0, 0.63%, 0.0000838%), (SO, 0, 0.62%, 0.0001414%), (NKE, 0, 0.61%, 0.0001590%), (CRM, 0, 0.58%, 0.0000595%), (DUK, 0, 0.57%, 0.0001412%), (GS, 0, 0.56%, 0.0000603%), (IBM, 0, 0.56%, 0.0000586%), (ISRG, 0, 0.56%, 0.0000773%), (UBER, 0, 0.55%, 0.0000675%), (HON, 0, 0.52%, 0.0000895%), (WFC, 0, 0.52%, 0.0000493%), (MET, 0, 0.52%, 0.0002367%), (ETN, 0, 0.52%, 0.0000886%), (INTU, 0, 0.51%, 0.0000595%), (PEP, 0, 0.50%, 0.0000573%), (DE, 0, 0.46%, 0.0000821%), (T, 0, 0.46%, 0.0002456%), (NOW, 0, 0.45%, 0.0000587%), (MS, 0, 0.44%, 0.0000447%), (MRK, 0, 0.43%, 0.0000490%), (SPGI, 0, 0.43%, 0.0000604%), (VZ, 0, 0.41%, 0.0000525%), (AXP, 0, 0.41%, 0.0000465%), (TXN, 0, 0.41%, 0.0000549%), (BLK, 0, 0.41%, 0.0000542%), (QCOM, 0, 0.40%, 0.0000563%), (MDT, 0, 0.39%, 0.0000769%), (ADBE, 0, 0.39%, 0.0000624%), (ACN, 0, 0.39%, 0.0000594%), (COP, 0, 0.38%, 0.0000762%), (UNP, 0, 0.38%, 0.0000683%), (TMO, 0, 0.37%, 0.0000492%), (DIS, 0, 0.37%, 0.0000419%), (C, 0, 0.36%, 0.0000487%), (SBUX, 0, 0.35%, 0.0000805%), (SCHW, 0, 0.35%, 0.0000474%), (LMT, 0, 0.34%, 0.0000795%), (AMGN, 0, 0.32%, 0.0000483%), (AMAT, 0, 0.31%, 0.0000566%), (MMM, 0, 0.31%, 0.0000896%), (GILD, 0, 0.30%, 0.0000485%), (PFE, 0, 0.29%, 0.0000482%), (TJX, 0, 0.28%, 0.0000447%), (CVS, 0, 0.28%, 0.0000763%), (DHR, 0, 0.27%, 0.0000440%), (MO, 0, 0.27%, 0.0000577%), (LOW, 0, 0.26%, 0.0000446%), (INTC, 0, 0.23%, 0.0000507%), (ELV, 0, 0.23%, 0.0000801%), (EMR, 0, 0.22%, 0.0000707%), (CMCSA, 0, 0.22%, 0.0000437%), (MDLZ, 0, 0.20%, 0.0000592%), (BMY, 0, 0.20%, 0.0000481%), (UPS, 0, 0.18%, 0.0000664%), (PYPL, 0, 0.17%, 0.0000617%), (CL, 0, 0.15%, 0.0000527%), (FDX, 0, 0.15%, 0.0000636%), (USB, 0, 0.14%, 0.0000476%), (TGT, 0, 0.09%, 0.0000453%), (nan, 0, -0.01%, 0.0000000%), (nan, 0, -0.01%, 0.0000000%)</t>
  </si>
  <si>
    <t>(GOOGLE, 0, 3.64%, 0.0000688%), (AVGO, 0, 3.16%, 0.0000947%), (META, 0, 2.87%, 0.0000730%), (BRK/B, 0, 2.02%, 0.0001341%), (LIN, 0, 1.75%, 0.0003401%), (CSCO, 0, 1.71%, 0.0002838%), (TSLA, 0, 1.62%, 0.0000639%), (JPM, 0, 1.56%, 0.0000851%), (AMT, 0, 1.53%, 0.0006880%), (XOM, 0, 1.39%, 0.0001329%), (V, 0, 1.38%, 0.0001026%), (CB, 0, 1.12%, 0.0004518%), (MA, 0, 1.11%, 0.0000927%), (WM, 0, 1.04%, 0.0004942%), (GE, 0, 1.02%, 0.0001571%), (ORCL, 0, 0.96%, 0.0000585%), (NFLX, 0, 0.88%, 0.0000734%), (NEE, 0, 0.88%, 0.0002456%), (PLTR, 0, 0.87%, 0.0000935%), (UNH, 0, 0.83%, 0.0001370%), (JNJ, 0, 0.83%, 0.0000846%), (WMT, 0, 0.78%, 0.0000426%), (COST, 0, 0.78%, 0.0000781%), (CVX, 0, 0.78%, 0.0001052%), (PG, 0, 0.76%, 0.0000918%), (LLY, 0, 0.76%, 0.0000494%), (RTX, 0, 0.72%, 0.0001520%), (MCD, 0, 0.72%, 0.0001420%), (ABT, 0, 0.71%, 0.0001345%), (ABBV, 0, 0.71%, 0.0000847%), (HD, 0, 0.70%, 0.0000771%), (CAT, 0, 0.70%, 0.0001577%), (AMD, 0, 0.63%, 0.0000958%), (KO, 0, 0.63%, 0.0000902%), (BA, 0, 0.62%, 0.0001506%), (BAC, 0, 0.60%, 0.0000749%), (PM, 0, 0.60%, 0.0000999%), (BKNG, 0, 0.59%, 0.0001458%), (SO, 0, 0.59%, 0.0002477%), (NKE, 0, 0.58%, 0.0002786%), (CRM, 0, 0.55%, 0.0001042%), (DUK, 0, 0.54%, 0.0002472%), (GS, 0, 0.53%, 0.0001054%), (IBM, 0, 0.53%, 0.0001026%), (ISRG, 0, 0.53%, 0.0001354%), (UBER, 0, 0.52%, 0.0001182%), (HON, 0, 0.50%, 0.0001569%), (WFC, 0, 0.49%, 0.0000864%), (MET, 0, 0.49%, 0.0004147%), (ETN, 0, 0.49%, 0.0001554%), (INTU, 0, 0.48%, 0.0001044%), (PEP, 0, 0.47%, 0.0001003%), (DE, 0, 0.44%, 0.0001443%), (T, 0, 0.44%, 0.0004302%), (NOW, 0, 0.43%, 0.0001029%), (MS, 0, 0.42%, 0.0000784%), (MRK, 0, 0.41%, 0.0000858%), (SPGI, 0, 0.41%, 0.0001057%), (AXP, 0, 0.39%, 0.0000814%), (VZ, 0, 0.39%, 0.0000919%), (TXN, 0, 0.39%, 0.0000961%), (BLK, 0, 0.39%, 0.0000949%), (QCOM, 0, 0.38%, 0.0000986%), (MDT, 0, 0.37%, 0.0001348%), (ADBE, 0, 0.37%, 0.0001092%), (ACN, 0, 0.37%, 0.0001040%), (COP, 0, 0.37%, 0.0001335%), (UNP, 0, 0.36%, 0.0001197%), (TMO, 0, 0.36%, 0.0000862%), (DIS, 0, 0.35%, 0.0000734%), (C, 0, 0.34%, 0.0000854%), (SCHW, 0, 0.33%, 0.0000830%), (LMT, 0, 0.32%, 0.0001396%), (AMGN, 0, 0.31%, 0.0000845%), (AMAT, 0, 0.29%, 0.0000990%), (MMM, 0, 0.29%, 0.0001570%), (GILD, 0, 0.29%, 0.0000849%), (PFE, 0, 0.28%, 0.0000844%), (TJX, 0, 0.27%, 0.0000783%), (CVS, 0, 0.27%, 0.0001337%), (DHR, 0, 0.26%, 0.0000770%), (MO, 0, 0.26%, 0.0001010%), (LOW, 0, 0.25%, 0.0000781%), (SBUX, 0, 0.25%, 0.0001058%), (INTC, 0, 0.22%, 0.0000888%), (ELV, 0, 0.22%, 0.0001408%), (CMCSA, 0, 0.21%, 0.0000765%), (EMR, 0, 0.20%, 0.0001196%), (MDLZ, 0, 0.19%, 0.0001037%), (BMY, 0, 0.19%, 0.0000843%), (UPS, 0, 0.17%, 0.0001163%), (PYPL, 0, 0.16%, 0.0001081%), (CL, 0, 0.15%, 0.0000923%), (FDX, 0, 0.14%, 0.0001115%), (USB, 0, 0.14%, 0.0000833%), (TGT, 0, 0.09%, 0.0000792%), (nan, 0, -0.01%, 0.0000000%), (nan, 0, -0.01%, 0.0000000%)</t>
  </si>
  <si>
    <t>(GOOGLE, 0, 3.73%, 0.0000249%), (AVGO, 0, 3.23%, 0.0000343%), (META, 0, 2.94%, 0.0000264%), (BRK/B, 0, 2.07%, 0.0000486%), (LIN, 0, 1.80%, 0.0001231%), (CSCO, 0, 1.76%, 0.0001029%), (TSLA, 0, 1.66%, 0.0000232%), (JPM, 0, 1.60%, 0.0000308%), (AMT, 0, 1.57%, 0.0002493%), (V, 0, 1.41%, 0.0000371%), (CB, 0, 1.14%, 0.0001636%), (MA, 0, 1.13%, 0.0000335%), (XOM, 0, 1.08%, 0.0000364%), (WM, 0, 1.07%, 0.0001790%), (GE, 0, 1.05%, 0.0000570%), (ORCL, 0, 0.98%, 0.0000212%), (NFLX, 0, 0.91%, 0.0000267%), (NEE, 0, 0.90%, 0.0000890%), (PLTR, 0, 0.89%, 0.0000339%), (UNH, 0, 0.86%, 0.0000497%), (JNJ, 0, 0.85%, 0.0000307%), (WMT, 0, 0.80%, 0.0000154%), (COST, 0, 0.80%, 0.0000284%), (CVX, 0, 0.79%, 0.0000381%), (PG, 0, 0.78%, 0.0000333%), (RTX, 0, 0.74%, 0.0000551%), (MCD, 0, 0.74%, 0.0000514%), (ABT, 0, 0.73%, 0.0000487%), (ABBV, 0, 0.72%, 0.0000307%), (HD, 0, 0.72%, 0.0000279%), (CAT, 0, 0.71%, 0.0000572%), (LLY, 0, 0.65%, 0.0000150%), (AMD, 0, 0.65%, 0.0000347%), (KO, 0, 0.64%, 0.0000327%), (BA, 0, 0.63%, 0.0000546%), (BAC, 0, 0.61%, 0.0000272%), (PM, 0, 0.61%, 0.0000362%), (SO, 0, 0.61%, 0.0000897%), (BKNG, 0, 0.60%, 0.0000527%), (NKE, 0, 0.60%, 0.0001009%), (CRM, 0, 0.57%, 0.0000377%), (DUK, 0, 0.56%, 0.0000896%), (GS, 0, 0.55%, 0.0000383%), (ISRG, 0, 0.54%, 0.0000491%), (IBM, 0, 0.54%, 0.0000372%), (UBER, 0, 0.54%, 0.0000428%), (HON, 0, 0.51%, 0.0000569%), (WFC, 0, 0.50%, 0.0000313%), (MET, 0, 0.50%, 0.0001502%), (ETN, 0, 0.50%, 0.0000563%), (INTU, 0, 0.49%, 0.0000377%), (PEP, 0, 0.48%, 0.0000363%), (DE, 0, 0.45%, 0.0000522%), (T, 0, 0.45%, 0.0001559%), (NOW, 0, 0.44%, 0.0000370%), (MS, 0, 0.43%, 0.0000284%), (MRK, 0, 0.42%, 0.0000311%), (SPGI, 0, 0.42%, 0.0000383%), (VZ, 0, 0.40%, 0.0000333%), (AXP, 0, 0.40%, 0.0000295%), (TXN, 0, 0.40%, 0.0000348%), (BLK, 0, 0.39%, 0.0000342%), (QCOM, 0, 0.39%, 0.0000357%), (ADBE, 0, 0.38%, 0.0000394%), (MDT, 0, 0.38%, 0.0000489%), (COP, 0, 0.37%, 0.0000484%), (ACN, 0, 0.37%, 0.0000377%), (TMO, 0, 0.37%, 0.0000311%), (UNP, 0, 0.37%, 0.0000433%), (DIS, 0, 0.36%, 0.0000266%), (C, 0, 0.35%, 0.0000310%), (SBUX, 0, 0.34%, 0.0000511%), (SCHW, 0, 0.34%, 0.0000301%), (LMT, 0, 0.33%, 0.0000506%), (AMGN, 0, 0.32%, 0.0000306%), (AMAT, 0, 0.30%, 0.0000359%), (MMM, 0, 0.30%, 0.0000568%), (GILD, 0, 0.29%, 0.0000308%), (PFE, 0, 0.28%, 0.0000306%), (TJX, 0, 0.27%, 0.0000284%), (DHR, 0, 0.27%, 0.0000279%), (CVS, 0, 0.27%, 0.0000484%), (LOW, 0, 0.26%, 0.0000284%), (MO, 0, 0.26%, 0.0000366%), (ELV, 0, 0.23%, 0.0000508%), (INTC, 0, 0.23%, 0.0000322%), (CMCSA, 0, 0.22%, 0.0000277%), (MDLZ, 0, 0.20%, 0.0000376%), (BMY, 0, 0.19%, 0.0000306%), (EMR, 0, 0.19%, 0.0000384%), (UPS, 0, 0.18%, 0.0000421%), (PYPL, 0, 0.16%, 0.0000391%), (CL, 0, 0.15%, 0.0000335%), (FDX, 0, 0.14%, 0.0000403%), (USB, 0, 0.14%, 0.0000302%), (TGT, 0, 0.09%, 0.0000286%), (nan, 0, -0.01%, 0.0000000%), (nan, 0, -0.01%, 0.0000000%)</t>
  </si>
  <si>
    <t>(GOOGLE, 0, 3.96%, 0.0000597%), (AVGO, 0, 3.43%, 0.0000822%), (META, 0, 3.11%, 0.0000633%), (BRK/B, 0, 2.19%, 0.0001164%), (LIN, 0, 1.90%, 0.0002951%), (CSCO, 0, 1.86%, 0.0002464%), (TSLA, 0, 1.76%, 0.0000555%), (JPM, 0, 1.70%, 0.0000739%), (AMT, 0, 1.66%, 0.0005970%), (V, 0, 1.50%, 0.0000890%), (CB, 0, 1.22%, 0.0003921%), (MA, 0, 1.20%, 0.0000804%), (WM, 0, 1.13%, 0.0004289%), (GE, 0, 1.11%, 0.0001363%), (XOM, 0, 1.08%, 0.0000825%), (ORCL, 0, 1.04%, 0.0000508%), (NFLX, 0, 0.96%, 0.0000637%), (NEE, 0, 0.95%, 0.0002131%), (PLTR, 0, 0.94%, 0.0000812%), (JNJ, 0, 0.90%, 0.0000734%), (UNH, 0, 0.90%, 0.0001189%), (WMT, 0, 0.85%, 0.0000369%), (COST, 0, 0.84%, 0.0000679%), (CVX, 0, 0.84%, 0.0000913%), (PG, 0, 0.83%, 0.0000796%), (RTX, 0, 0.79%, 0.0001319%), (MCD, 0, 0.78%, 0.0001233%), (ABT, 0, 0.77%, 0.0001167%), (LLY, 0, 0.77%, 0.0000401%), (ABBV, 0, 0.77%, 0.0000735%), (HD, 0, 0.76%, 0.0000669%), (CAT, 0, 0.76%, 0.0001370%), (AMD, 0, 0.69%, 0.0000831%), (KO, 0, 0.68%, 0.0000782%), (BA, 0, 0.67%, 0.0001308%), (BAC, 0, 0.65%, 0.0000650%), (PM, 0, 0.65%, 0.0000867%), (BKNG, 0, 0.65%, 0.0001272%), (SO, 0, 0.64%, 0.0002150%), (NKE, 0, 0.63%, 0.0002417%), (CRM, 0, 0.60%, 0.0000904%), (DUK, 0, 0.59%, 0.0002147%), (GS, 0, 0.58%, 0.0000917%), (IBM, 0, 0.58%, 0.0000891%), (ISRG, 0, 0.58%, 0.0001176%), (UBER, 0, 0.57%, 0.0001026%), (HON, 0, 0.54%, 0.0001361%), (WFC, 0, 0.53%, 0.0000750%), (MET, 0, 0.53%, 0.0003600%), (ETN, 0, 0.53%, 0.0001349%), (INTU, 0, 0.52%, 0.0000904%), (PEP, 0, 0.51%, 0.0000871%), (DE, 0, 0.48%, 0.0001250%), (T, 0, 0.47%, 0.0003733%), (NOW, 0, 0.46%, 0.0000889%), (MS, 0, 0.45%, 0.0000680%), (MRK, 0, 0.45%, 0.0000744%), (SPGI, 0, 0.45%, 0.0000918%), (AXP, 0, 0.43%, 0.0000707%), (VZ, 0, 0.43%, 0.0000798%), (TXN, 0, 0.42%, 0.0000834%), (BLK, 0, 0.42%, 0.0000820%), (QCOM, 0, 0.41%, 0.0000855%), (MDT, 0, 0.40%, 0.0001170%), (ADBE, 0, 0.40%, 0.0000946%), (ACN, 0, 0.40%, 0.0000904%), (COP, 0, 0.40%, 0.0001159%), (UNP, 0, 0.39%, 0.0001039%), (TMO, 0, 0.39%, 0.0000748%), (DIS, 0, 0.38%, 0.0000637%), (C, 0, 0.37%, 0.0000741%), (SCHW, 0, 0.36%, 0.0000721%), (LMT, 0, 0.35%, 0.0001210%), (AMGN, 0, 0.34%, 0.0000734%), (AMAT, 0, 0.32%, 0.0000860%), (MMM, 0, 0.32%, 0.0001363%), (GILD, 0, 0.31%, 0.0000738%), (TJX, 0, 0.29%, 0.0000679%), (CVS, 0, 0.29%, 0.0001160%), (DHR, 0, 0.28%, 0.0000668%), (MO, 0, 0.28%, 0.0000876%), (LOW, 0, 0.27%, 0.0000678%), (SBUX, 0, 0.26%, 0.0000872%), (INTC, 0, 0.24%, 0.0000770%), (ELV, 0, 0.24%, 0.0001219%), (CMCSA, 0, 0.23%, 0.0000664%), (PFE, 0, 0.23%, 0.0000556%), (EMR, 0, 0.21%, 0.0000991%), (MDLZ, 0, 0.21%, 0.0000900%), (BMY, 0, 0.21%, 0.0000732%), (UPS, 0, 0.19%, 0.0001009%), (PYPL, 0, 0.17%, 0.0000937%), (CL, 0, 0.16%, 0.0000801%), (FDX, 0, 0.15%, 0.0000966%), (USB, 0, 0.15%, 0.0000723%), (TGT, 0, 0.09%, 0.0000689%), (nan, 0, -0.01%, 0.0000000%), (nan, 0, -0.01%, 0.0000000%)</t>
  </si>
  <si>
    <t>EBAY, META, BK, MSFT, GOOGLE, EA, MLI, BLK, JPM, BKNG, PHM</t>
  </si>
  <si>
    <t>(RJF, 0, 1.94%, 0.0032380%), (EWBC, 0, 1.86%, 0.0072470%), (HIG, 0, 1.86%, 0.0027766%), (AXP, 0, 1.83%, 0.0004731%), (V, 0, 1.83%, 0.0001701%), (TRV, 0, 1.80%, 0.0016480%), (NVDA, 0, 1.79%, 0.0000222%), (ROST, 0, 1.74%, 0.0019792%), (SNA, 0, 1.73%, 0.0055396%), (ADP, 0, 1.72%, 0.0007633%), (LEN, 0, 1.66%, 0.0030478%), (PCAR, 0, 1.65%, 0.0017397%), (AMAT, 0, 1.65%, 0.0006949%), (UNM, 0, 1.65%, 0.0076318%), (KLAC, 0, 1.65%, 0.0007778%), (CB, 0, 1.65%, 0.0008284%), (SYF, 0, 1.59%, 0.0033501%), (WSM, 0, 1.53%, 0.0033549%), (CTSH, 0, 1.51%, 0.0024194%), (CRM, 0, 1.48%, 0.0003477%), (PAYC, 0, 1.41%, 0.0061078%), (DHI, 0, 1.38%, 0.0015390%), (QCOM, 0, 1.36%, 0.0004320%), (BKR, 0, 1.35%, 0.0017415%), (AAPL, 0, 1.28%, 0.0000204%), (ELV, 0, 1.26%, 0.0009958%), (ACN, 0, 1.25%, 0.0004420%), (AFL, 0, 1.24%, 0.0011935%), (MPWR, 0, 1.12%, 0.0015389%), (ODFL, 0, 1.10%, 0.0018837%), (LRCX, 0, 1.09%, 0.0004740%), (CSCO, 0, 1.05%, 0.0002187%), (GE, 0, 1.03%, 0.0001978%), (STT, 0, 0.98%, 0.0017156%), (PNC, 0, 0.90%, 0.0006516%), (MTB, 0, 0.89%, 0.0016592%), (CF, 0, 0.87%, 0.0033808%), (AMP, 0, 0.86%, 0.0010042%), (COST, 0, 0.86%, 0.0001081%), (ABT, 0, 0.84%, 0.0001983%), (EOG, 0, 0.79%, 0.0006610%), (XOM, 0, 0.79%, 0.0000941%), (CSL, 0, 0.75%, 0.0025703%), (EG, 0, 0.74%, 0.0028905%), (GEV, 0, 0.56%, 0.0001802%), (NTRS, 0, 0.52%, 0.0011760%), (MA, 0, 0.50%, 0.0000521%), (JNJ, 0, 0.48%, 0.0000618%), (CRBG, 0, 0.48%, 0.0014185%), (ACM, 0, 0.46%, 0.0015886%), (LNC, 0, 0.45%, 0.0032026%), (MTG, 0, 0.44%, 0.0039059%), (JXN, 0, 0.44%, 0.0036051%), (CINF, 0, 0.43%, 0.0009915%), (EQH, 0, 0.43%, 0.0014396%), (DOV, 0, 0.42%, 0.0009478%), (WTFC, 0, 0.42%, 0.0026765%), (ALL, 0, 0.42%, 0.0004178%), (ADM, 0, 0.41%, 0.0007709%), (SLM, 0, 0.40%, 0.0035171%), (NUE, 0, 0.40%, 0.0006478%), (MCK, 0, 0.40%, 0.0002581%), (NKE, 0, 0.38%, 0.0002279%), (PGR, 0, 0.37%, 0.0001383%), (FANG, 0, 0.30%, 0.0004000%)</t>
  </si>
  <si>
    <t>(GOOGLE, 0, 3.61%, 0.0000633%), (AVGO, 0, 3.13%, 0.0000871%), (META, 0, 2.84%, 0.0000671%), (BRK/B, 0, 2.00%, 0.0001233%), (LIN, 0, 1.74%, 0.0003129%), (CSCO, 0, 1.70%, 0.0002611%), (TSLA, 0, 1.61%, 0.0000588%), (JPM, 0, 1.55%, 0.0000783%), (AMT, 0, 1.52%, 0.0006329%), (V, 0, 1.36%, 0.0000944%), (CB, 0, 1.11%, 0.0004154%), (MA, 0, 1.09%, 0.0000853%), (XOM, 0, 1.06%, 0.0000941%), (WM, 0, 1.03%, 0.0004547%), (GE, 0, 1.01%, 0.0001446%), (ORCL, 0, 0.95%, 0.0000538%), (LLY, 0, 0.90%, 0.0000544%), (NFLX, 0, 0.88%, 0.0000677%), (NEE, 0, 0.87%, 0.0002259%), (PLTR, 0, 0.86%, 0.0000860%), (JNJ, 0, 0.82%, 0.0000778%), (UNH, 0, 0.82%, 0.0001260%), (WMT, 0, 0.78%, 0.0000392%), (COST, 0, 0.77%, 0.0000720%), (CVX, 0, 0.77%, 0.0000968%), (PG, 0, 0.75%, 0.0000844%), (RTX, 0, 0.72%, 0.0001398%), (MCD, 0, 0.71%, 0.0001306%), (ABT, 0, 0.70%, 0.0001237%), (ABBV, 0, 0.70%, 0.0000779%), (HD, 0, 0.69%, 0.0000708%), (CAT, 0, 0.69%, 0.0001452%), (AMD, 0, 0.63%, 0.0000881%), (KO, 0, 0.62%, 0.0000829%), (BA, 0, 0.61%, 0.0001385%), (BAC, 0, 0.59%, 0.0000689%), (PM, 0, 0.59%, 0.0000919%), (SO, 0, 0.59%, 0.0002279%), (BKNG, 0, 0.58%, 0.0001334%), (NKE, 0, 0.58%, 0.0002563%), (CRM, 0, 0.55%, 0.0000958%), (DUK, 0, 0.54%, 0.0002275%), (GS, 0, 0.53%, 0.0000970%), (IBM, 0, 0.53%, 0.0000944%), (ISRG, 0, 0.52%, 0.0001247%), (UBER, 0, 0.52%, 0.0001088%), (WFC, 0, 0.49%, 0.0000795%), (MET, 0, 0.49%, 0.0003815%), (ETN, 0, 0.49%, 0.0001431%), (INTU, 0, 0.48%, 0.0000961%), (PEP, 0, 0.47%, 0.0000924%), (HON, 0, 0.44%, 0.0001285%), (DE, 0, 0.43%, 0.0001324%), (T, 0, 0.43%, 0.0003957%), (NOW, 0, 0.42%, 0.0000947%), (MS, 0, 0.41%, 0.0000721%), (MRK, 0, 0.41%, 0.0000789%), (SPGI, 0, 0.41%, 0.0000971%), (AXP, 0, 0.39%, 0.0000749%), (VZ, 0, 0.39%, 0.0000845%), (TXN, 0, 0.38%, 0.0000884%), (BLK, 0, 0.38%, 0.0000872%), (QCOM, 0, 0.38%, 0.0000907%), (MDT, 0, 0.37%, 0.0001240%), (ADBE, 0, 0.37%, 0.0001003%), (ACN, 0, 0.36%, 0.0000957%), (COP, 0, 0.36%, 0.0001228%), (UNP, 0, 0.36%, 0.0001101%), (TMO, 0, 0.36%, 0.0000793%), (DIS, 0, 0.35%, 0.0000675%), (C, 0, 0.34%, 0.0000785%), (SCHW, 0, 0.33%, 0.0000764%), (LMT, 0, 0.32%, 0.0001284%), (AMGN, 0, 0.31%, 0.0000778%), (AMAT, 0, 0.29%, 0.0000911%), (MMM, 0, 0.29%, 0.0001444%), (GILD, 0, 0.29%, 0.0000782%), (PFE, 0, 0.27%, 0.0000776%), (SBUX, 0, 0.26%, 0.0001034%), (TJX, 0, 0.26%, 0.0000720%), (CVS, 0, 0.26%, 0.0001230%), (DHR, 0, 0.26%, 0.0000709%), (MO, 0, 0.25%, 0.0000929%), (LOW, 0, 0.25%, 0.0000719%), (INTC, 0, 0.22%, 0.0000817%), (ELV, 0, 0.22%, 0.0001296%), (CMCSA, 0, 0.21%, 0.0000704%), (EMR, 0, 0.20%, 0.0001071%), (MDLZ, 0, 0.19%, 0.0000953%), (BMY, 0, 0.19%, 0.0000776%), (UPS, 0, 0.17%, 0.0001071%), (PYPL, 0, 0.16%, 0.0000994%), (CL, 0, 0.14%, 0.0000849%), (FDX, 0, 0.14%, 0.0001026%), (USB, 0, 0.14%, 0.0000767%), (TGT, 0, 0.08%, 0.0000728%), (nan, 0, -0.01%, 0.0000000%), (nan, 0, -0.01%, 0.0000000%)</t>
  </si>
  <si>
    <t>(GOOGLE, 0, 3.78%, 0.0001295%), (AVGO, 0, 3.28%, 0.0001782%), (META, 0, 2.97%, 0.0001372%), (BRK/B, 0, 2.10%, 0.0002523%), (LIN, 0, 1.82%, 0.0006397%), (CSCO, 0, 1.78%, 0.0005341%), (TSLA, 0, 1.68%, 0.0001203%), (JPM, 0, 1.62%, 0.0001601%), (AMT, 0, 1.59%, 0.0012947%), (V, 0, 1.43%, 0.0001930%), (CB, 0, 1.16%, 0.0008500%), (MA, 0, 1.15%, 0.0001745%), (XOM, 0, 1.11%, 0.0001914%), (WM, 0, 1.08%, 0.0009301%), (GE, 0, 1.06%, 0.0002957%), (ORCL, 0, 0.99%, 0.0001100%), (NFLX, 0, 0.92%, 0.0001383%), (NEE, 0, 0.91%, 0.0004621%), (PLTR, 0, 0.90%, 0.0001759%), (UNH, 0, 0.87%, 0.0002578%), (JNJ, 0, 0.86%, 0.0001592%), (LLY, 0, 0.85%, 0.0001010%), (WMT, 0, 0.81%, 0.0000801%), (COST, 0, 0.81%, 0.0001471%), (CVX, 0, 0.81%, 0.0001980%), (PG, 0, 0.79%, 0.0001727%), (RTX, 0, 0.75%, 0.0002860%), (MCD, 0, 0.75%, 0.0002672%), (ABT, 0, 0.74%, 0.0002530%), (ABBV, 0, 0.73%, 0.0001593%), (HD, 0, 0.73%, 0.0001450%), (CAT, 0, 0.72%, 0.0002969%), (AMD, 0, 0.66%, 0.0001802%), (KO, 0, 0.65%, 0.0001696%), (BA, 0, 0.64%, 0.0002834%), (BAC, 0, 0.62%, 0.0001410%), (PM, 0, 0.62%, 0.0001880%), (SO, 0, 0.61%, 0.0004661%), (BKNG, 0, 0.61%, 0.0002730%), (NKE, 0, 0.60%, 0.0005242%), (CRM, 0, 0.57%, 0.0001960%), (DUK, 0, 0.56%, 0.0004652%), (GS, 0, 0.55%, 0.0001987%), (IBM, 0, 0.55%, 0.0001931%), (ISRG, 0, 0.55%, 0.0002550%), (UBER, 0, 0.54%, 0.0002225%), (HON, 0, 0.52%, 0.0002952%), (WFC, 0, 0.51%, 0.0001626%), (MET, 0, 0.51%, 0.0007803%), (ETN, 0, 0.51%, 0.0002926%), (INTU, 0, 0.50%, 0.0001962%), (PEP, 0, 0.49%, 0.0001888%), (DE, 0, 0.46%, 0.0002712%), (T, 0, 0.45%, 0.0008094%), (NOW, 0, 0.44%, 0.0001933%), (MS, 0, 0.43%, 0.0001474%), (MRK, 0, 0.43%, 0.0001613%), (SPGI, 0, 0.43%, 0.0001988%), (AXP, 0, 0.41%, 0.0001533%), (VZ, 0, 0.41%, 0.0001729%), (TXN, 0, 0.40%, 0.0001808%), (QCOM, 0, 0.40%, 0.0001855%), (BLK, 0, 0.40%, 0.0001782%), (MDT, 0, 0.38%, 0.0002536%), (ADBE, 0, 0.38%, 0.0002052%), (ACN, 0, 0.38%, 0.0001959%), (COP, 0, 0.38%, 0.0002512%), (TMO, 0, 0.38%, 0.0001621%), (UNP, 0, 0.38%, 0.0002252%), (DIS, 0, 0.36%, 0.0001381%), (C, 0, 0.35%, 0.0001607%), (SCHW, 0, 0.35%, 0.0001562%), (LMT, 0, 0.34%, 0.0002628%), (AMGN, 0, 0.32%, 0.0001590%), (AMAT, 0, 0.31%, 0.0001864%), (MMM, 0, 0.30%, 0.0002954%), (GILD, 0, 0.30%, 0.0001598%), (PFE, 0, 0.29%, 0.0001588%), (TJX, 0, 0.28%, 0.0001472%), (CVS, 0, 0.28%, 0.0002515%), (DHR, 0, 0.27%, 0.0001450%), (SBUX, 0, 0.27%, 0.0002037%), (MO, 0, 0.27%, 0.0001900%), (LOW, 0, 0.26%, 0.0001469%), (INTC, 0, 0.23%, 0.0001670%), (ELV, 0, 0.23%, 0.0002646%), (CMCSA, 0, 0.22%, 0.0001440%), (EMR, 0, 0.21%, 0.0002209%), (MDLZ, 0, 0.20%, 0.0001951%), (BMY, 0, 0.20%, 0.0001587%), (UPS, 0, 0.18%, 0.0002190%), (PYPL, 0, 0.17%, 0.0002033%), (CL, 0, 0.15%, 0.0001737%), (FDX, 0, 0.14%, 0.0002098%), (USB, 0, 0.14%, 0.0001568%), (TGT, 0, 0.09%, 0.0001492%), (nan, 0, -0.01%, 0.0000000%), (nan, 0, -0.01%, 0.0000000%)</t>
  </si>
  <si>
    <t>(GOOGLE, 0, 3.56%, 0.0002595%), (AVGO, 0, 3.09%, 0.0003571%), (META, 0, 2.80%, 0.0002750%), (BRK/B, 0, 1.97%, 0.0005055%), (LIN, 0, 1.71%, 0.0012822%), (CSCO, 0, 1.68%, 0.0010704%), (TSLA, 0, 1.58%, 0.0002410%), (JPM, 0, 1.53%, 0.0003209%), (AMT, 0, 1.50%, 0.0025945%), (XOM, 0, 1.36%, 0.0005011%), (V, 0, 1.34%, 0.0003868%), (CB, 0, 1.09%, 0.0017032%), (MA, 0, 1.08%, 0.0003497%), (WM, 0, 1.02%, 0.0018636%), (GE, 0, 1.00%, 0.0005925%), (ORCL, 0, 0.93%, 0.0002205%), (NFLX, 0, 0.87%, 0.0002773%), (NEE, 0, 0.86%, 0.0009261%), (PLTR, 0, 0.85%, 0.0003526%), (JNJ, 0, 0.81%, 0.0003191%), (UNH, 0, 0.81%, 0.0005165%), (WMT, 0, 0.77%, 0.0001605%), (LLY, 0, 0.76%, 0.0001921%), (COST, 0, 0.76%, 0.0002947%), (CVX, 0, 0.76%, 0.0003967%), (PG, 0, 0.74%, 0.0003461%), (RTX, 0, 0.71%, 0.0005733%), (MCD, 0, 0.70%, 0.0005356%), (ABT, 0, 0.69%, 0.0005071%), (ABBV, 0, 0.69%, 0.0003194%), (HD, 0, 0.69%, 0.0002905%), (CAT, 0, 0.68%, 0.0005951%), (AMD, 0, 0.62%, 0.0003610%), (KO, 0, 0.61%, 0.0003400%), (BA, 0, 0.60%, 0.0005680%), (BAC, 0, 0.58%, 0.0002825%), (PM, 0, 0.58%, 0.0003768%), (SO, 0, 0.58%, 0.0009341%), (BKNG, 0, 0.57%, 0.0005491%), (NKE, 0, 0.57%, 0.0010580%), (CRM, 0, 0.54%, 0.0003929%), (DUK, 0, 0.53%, 0.0009324%), (GS, 0, 0.52%, 0.0003981%), (IBM, 0, 0.52%, 0.0003870%), (ISRG, 0, 0.52%, 0.0005109%), (UBER, 0, 0.51%, 0.0004459%), (HON, 0, 0.49%, 0.0005914%), (WFC, 0, 0.48%, 0.0003258%), (MET, 0, 0.48%, 0.0015638%), (ETN, 0, 0.48%, 0.0005862%), (INTU, 0, 0.47%, 0.0003935%), (PEP, 0, 0.46%, 0.0003785%), (DE, 0, 0.43%, 0.0005434%), (T, 0, 0.43%, 0.0016221%), (NOW, 0, 0.42%, 0.0003875%), (MS, 0, 0.41%, 0.0002954%), (MRK, 0, 0.40%, 0.0003233%), (SPGI, 0, 0.40%, 0.0003986%), (AXP, 0, 0.38%, 0.0003072%), (VZ, 0, 0.38%, 0.0003465%), (TXN, 0, 0.38%, 0.0003625%), (BLK, 0, 0.37%, 0.0003578%), (QCOM, 0, 0.37%, 0.0003717%), (MDT, 0, 0.36%, 0.0005083%), (ADBE, 0, 0.36%, 0.0004114%), (ACN, 0, 0.36%, 0.0003924%), (COP, 0, 0.36%, 0.0005034%), (UNP, 0, 0.35%, 0.0004513%), (TMO, 0, 0.35%, 0.0003250%), (DIS, 0, 0.34%, 0.0002768%), (C, 0, 0.33%, 0.0003220%), (SCHW, 0, 0.33%, 0.0003131%), (LMT, 0, 0.32%, 0.0005264%), (AMGN, 0, 0.30%, 0.0003187%), (AMAT, 0, 0.29%, 0.0003736%), (MMM, 0, 0.29%, 0.0005920%), (GILD, 0, 0.28%, 0.0003204%), (PFE, 0, 0.27%, 0.0003182%), (TJX, 0, 0.26%, 0.0002950%), (CVS, 0, 0.26%, 0.0005040%), (DHR, 0, 0.25%, 0.0002905%), (MO, 0, 0.25%, 0.0003808%), (LOW, 0, 0.25%, 0.0002946%), (SBUX, 0, 0.24%, 0.0003822%), (INTC, 0, 0.22%, 0.0003348%), (ELV, 0, 0.21%, 0.0005305%), (CMCSA, 0, 0.21%, 0.0002886%), (EMR, 0, 0.19%, 0.0004252%), (MDLZ, 0, 0.19%, 0.0003909%), (BMY, 0, 0.18%, 0.0003181%), (UPS, 0, 0.17%, 0.0004388%), (PYPL, 0, 0.16%, 0.0004074%), (CL, 0, 0.14%, 0.0003481%), (FDX, 0, 0.13%, 0.0004208%), (USB, 0, 0.13%, 0.0003142%), (TGT, 0, 0.08%, 0.0002989%), (nan, 0, -0.01%, 0.0000000%), (nan, 0, -0.01%, 0.0000000%)</t>
  </si>
  <si>
    <t>MSFT, NVDA, AAPL, AMZN</t>
  </si>
  <si>
    <t>(GOOGLE, 0, 3.48%, 0.0000375%), (AVGO, 0, 3.00%, 0.0000516%), (META, 0, 2.69%, 0.0000397%), (BRK/B, 0, 1.95%, 0.0000730%), (LIN, 0, 1.68%, 0.0001852%), (CSCO, 0, 1.65%, 0.0001546%), (JPM, 0, 1.50%, 0.0000464%), (AMT, 0, 1.44%, 0.0003747%), (XOM, 0, 1.33%, 0.0000724%), (V, 0, 1.32%, 0.0000559%), (TSLA, 0, 1.15%, 0.0000258%), (CB, 0, 1.07%, 0.0002460%), (MA, 0, 1.06%, 0.0000505%), (LLY, 0, 1.02%, 0.0000384%), (WM, 0, 0.98%, 0.0002691%), (GE, 0, 0.98%, 0.0000856%), (ORCL, 0, 0.91%, 0.0000319%), (NFLX, 0, 0.86%, 0.0000401%), (NEE, 0, 0.85%, 0.0001338%), (UNH, 0, 0.84%, 0.0000746%), (PLTR, 0, 0.81%, 0.0000509%), (JNJ, 0, 0.79%, 0.0000461%), (COST, 0, 0.75%, 0.0000426%), (WMT, 0, 0.75%, 0.0000232%), (CVX, 0, 0.74%, 0.0000573%), (PG, 0, 0.73%, 0.0000500%), (KO, 0, 0.73%, 0.0000607%), (RTX, 0, 0.70%, 0.0000828%), (MCD, 0, 0.69%, 0.0000774%), (ABBV, 0, 0.68%, 0.0000461%), (CAT, 0, 0.67%, 0.0000860%), (ABT, 0, 0.67%, 0.0000733%), (HD, 0, 0.67%, 0.0000420%), (AMD, 0, 0.60%, 0.0000521%), (BA, 0, 0.59%, 0.0000820%), (BAC, 0, 0.58%, 0.0000408%), (PM, 0, 0.57%, 0.0000544%), (NKE, 0, 0.56%, 0.0001517%), (BKNG, 0, 0.56%, 0.0000776%), (SO, 0, 0.56%, 0.0001349%), (CRM, 0, 0.53%, 0.0000567%), (DUK, 0, 0.51%, 0.0001346%), (GS, 0, 0.51%, 0.0000573%), (UBER, 0, 0.51%, 0.0000644%), (ISRG, 0, 0.51%, 0.0000739%), (IBM, 0, 0.51%, 0.0000558%), (HON, 0, 0.47%, 0.0000854%), (MET, 0, 0.47%, 0.0002259%), (WFC, 0, 0.47%, 0.0000470%), (ETN, 0, 0.47%, 0.0000848%), (INTU, 0, 0.46%, 0.0000567%), (PEP, 0, 0.45%, 0.0000546%), (T, 0, 0.42%, 0.0002342%), (DE, 0, 0.42%, 0.0000784%), (NOW, 0, 0.42%, 0.0000558%), (MS, 0, 0.40%, 0.0000427%), (MRK, 0, 0.40%, 0.0000467%), (SPGI, 0, 0.39%, 0.0000575%), (VZ, 0, 0.38%, 0.0000500%), (AXP, 0, 0.38%, 0.0000444%), (TXN, 0, 0.37%, 0.0000524%), (QCOM, 0, 0.37%, 0.0000537%), (BLK, 0, 0.37%, 0.0000517%), (ADBE, 0, 0.36%, 0.0000595%), (ACN, 0, 0.35%, 0.0000567%), (MDT, 0, 0.35%, 0.0000734%), (TMO, 0, 0.35%, 0.0000468%), (COP, 0, 0.35%, 0.0000727%), (UNP, 0, 0.34%, 0.0000652%), (DIS, 0, 0.34%, 0.0000400%), (C, 0, 0.33%, 0.0000465%), (SBUX, 0, 0.32%, 0.0000768%), (SCHW, 0, 0.32%, 0.0000452%), (LMT, 0, 0.31%, 0.0000761%), (AMGN, 0, 0.29%, 0.0000461%), (AMAT, 0, 0.28%, 0.0000540%), (MMM, 0, 0.28%, 0.0000855%), (GILD, 0, 0.27%, 0.0000463%), (PFE, 0, 0.26%, 0.0000460%), (CVS, 0, 0.26%, 0.0000728%), (TJX, 0, 0.25%, 0.0000426%), (EMR, 0, 0.25%, 0.0000846%), (DHR, 0, 0.25%, 0.0000419%), (MO, 0, 0.25%, 0.0000550%), (LOW, 0, 0.24%, 0.0000426%), (INTC, 0, 0.21%, 0.0000483%), (ELV, 0, 0.21%, 0.0000765%), (CMCSA, 0, 0.20%, 0.0000417%), (BMY, 0, 0.18%, 0.0000459%), (MDLZ, 0, 0.18%, 0.0000564%), (UPS, 0, 0.16%, 0.0000633%), (PYPL, 0, 0.15%, 0.0000589%), (CL, 0, 0.14%, 0.0000502%), (FDX, 0, 0.13%, 0.0000606%), (USB, 0, 0.13%, 0.0000454%), (TGT, 0, 0.08%, 0.0000431%), (nan, 0, -0.01%, 0.0000000%), (nan, 0, -0.01%, 0.0000000%)</t>
  </si>
  <si>
    <t>MSFT, NVDA, AAPL</t>
  </si>
  <si>
    <t>(AMZN, 0, 4.00%, 0.0002203%), (GOOGLE, 0, 3.78%, 0.0002244%), (AVGO, 0, 3.27%, 0.0003087%), (META, 0, 2.92%, 0.0002378%), (BRK/B, 0, 2.12%, 0.0004371%), (LIN, 0, 1.82%, 0.0011083%), (CSCO, 0, 1.79%, 0.0009254%), (JPM, 0, 1.63%, 0.0002774%), (AMT, 0, 1.57%, 0.0022429%), (XOM, 0, 1.45%, 0.0004331%), (V, 0, 1.43%, 0.0003344%), (TSLA, 0, 1.20%, 0.0001482%), (CB, 0, 1.16%, 0.0014725%), (MA, 0, 1.16%, 0.0003023%), (LLY, 0, 1.11%, 0.0002301%), (WM, 0, 1.07%, 0.0016112%), (GE, 0, 1.06%, 0.0005122%), (ORCL, 0, 0.99%, 0.0001906%), (NEE, 0, 0.93%, 0.0008006%), (NFLX, 0, 0.93%, 0.0002395%), (UNH, 0, 0.91%, 0.0004465%), (PLTR, 0, 0.89%, 0.0003048%), (JNJ, 0, 0.86%, 0.0002758%), (KO, 0, 0.83%, 0.0003799%), (WMT, 0, 0.81%, 0.0001387%), (COST, 0, 0.81%, 0.0002548%), (CVX, 0, 0.80%, 0.0003430%), (PG, 0, 0.80%, 0.0002992%), (RTX, 0, 0.76%, 0.0004956%), (MCD, 0, 0.75%, 0.0004630%), (ABBV, 0, 0.74%, 0.0002761%), (ABT, 0, 0.73%, 0.0004384%), (CAT, 0, 0.73%, 0.0005144%), (HD, 0, 0.72%, 0.0002512%), (AMD, 0, 0.65%, 0.0003121%), (BA, 0, 0.64%, 0.0004910%), (BAC, 0, 0.63%, 0.0002442%), (BKNG, 0, 0.62%, 0.0004747%), (PM, 0, 0.62%, 0.0003257%), (NKE, 0, 0.61%, 0.0009081%), (SO, 0, 0.61%, 0.0008075%), (CRM, 0, 0.58%, 0.0003396%), (DUK, 0, 0.56%, 0.0008060%), (GS, 0, 0.55%, 0.0003441%), (UBER, 0, 0.55%, 0.0003854%), (ISRG, 0, 0.55%, 0.0004415%), (IBM, 0, 0.55%, 0.0003345%), (HON, 0, 0.52%, 0.0005113%), (MET, 0, 0.51%, 0.0013518%), (WFC, 0, 0.51%, 0.0002816%), (ETN, 0, 0.51%, 0.0005068%), (INTU, 0, 0.50%, 0.0003400%), (PEP, 0, 0.49%, 0.0003272%), (DE, 0, 0.46%, 0.0004698%), (T, 0, 0.46%, 0.0014023%), (NOW, 0, 0.45%, 0.0003351%), (MS, 0, 0.43%, 0.0002554%), (MRK, 0, 0.43%, 0.0002795%), (SPGI, 0, 0.42%, 0.0003448%), (VZ, 0, 0.41%, 0.0002995%), (AXP, 0, 0.41%, 0.0002655%), (TXN, 0, 0.41%, 0.0003133%), (QCOM, 0, 0.40%, 0.0003214%), (BLK, 0, 0.40%, 0.0003093%), (ADBE, 0, 0.39%, 0.0003557%), (ACN, 0, 0.39%, 0.0003392%), (MDT, 0, 0.38%, 0.0004394%), (TMO, 0, 0.38%, 0.0002811%), (COP, 0, 0.38%, 0.0004352%), (UNP, 0, 0.37%, 0.0003901%), (DIS, 0, 0.37%, 0.0002393%), (C, 0, 0.35%, 0.0002784%), (SBUX, 0, 0.35%, 0.0004598%), (SCHW, 0, 0.35%, 0.0002707%), (LMT, 0, 0.34%, 0.0004551%), (AMGN, 0, 0.32%, 0.0002757%), (AMAT, 0, 0.31%, 0.0003230%), (MMM, 0, 0.30%, 0.0005118%), (GILD, 0, 0.30%, 0.0002770%), (PFE, 0, 0.29%, 0.0002751%), (CVS, 0, 0.28%, 0.0004357%), (TJX, 0, 0.28%, 0.0002550%), (EMR, 0, 0.28%, 0.0005059%), (DHR, 0, 0.27%, 0.0002512%), (MO, 0, 0.27%, 0.0003292%), (LOW, 0, 0.26%, 0.0002546%), (INTC, 0, 0.23%, 0.0002894%), (ELV, 0, 0.23%, 0.0004585%), (CMCSA, 0, 0.22%, 0.0002495%), (BMY, 0, 0.20%, 0.0002750%), (MDLZ, 0, 0.20%, 0.0003379%), (UPS, 0, 0.18%, 0.0003793%), (FDX, 0, 0.18%, 0.0004484%), (PYPL, 0, 0.17%, 0.0003522%), (CL, 0, 0.15%, 0.0003010%), (USB, 0, 0.14%, 0.0002716%), (TGT, 0, 0.09%, 0.0002584%), (nan, 0, -0.01%, 0.0000000%), (nan, 0, -0.01%, 0.0000000%)</t>
  </si>
  <si>
    <t>(AMZN, 0, 3.98%, 0.0001641%), (GOOGLE, 0, 3.77%, 0.0001672%), (AVGO, 0, 3.25%, 0.0002300%), (META, 0, 2.91%, 0.0001771%), (BRK/B, 0, 2.11%, 0.0003256%), (LIN, 0, 1.82%, 0.0008258%), (CSCO, 0, 1.79%, 0.0006894%), (JPM, 0, 1.63%, 0.0002067%), (AMT, 0, 1.57%, 0.0016711%), (XOM, 0, 1.44%, 0.0003227%), (V, 0, 1.43%, 0.0002491%), (TSLA, 0, 1.26%, 0.0001162%), (CB, 0, 1.16%, 0.0010969%), (MA, 0, 1.15%, 0.0002252%), (LLY, 0, 1.11%, 0.0001714%), (WM, 0, 1.07%, 0.0012004%), (GE, 0, 1.06%, 0.0003817%), (ORCL, 0, 0.99%, 0.0001421%), (NFLX, 0, 0.92%, 0.0001787%), (NEE, 0, 0.92%, 0.0005965%), (UNH, 0, 0.91%, 0.0003326%), (PLTR, 0, 0.88%, 0.0002271%), (JNJ, 0, 0.86%, 0.0002055%), (KO, 0, 0.82%, 0.0002817%), (WMT, 0, 0.81%, 0.0001034%), (COST, 0, 0.81%, 0.0001898%), (CVX, 0, 0.80%, 0.0002555%), (PG, 0, 0.80%, 0.0002229%), (RTX, 0, 0.76%, 0.0003693%), (MCD, 0, 0.75%, 0.0003449%), (ABBV, 0, 0.74%, 0.0002057%), (CAT, 0, 0.73%, 0.0003834%), (ABT, 0, 0.73%, 0.0003266%), (HD, 0, 0.72%, 0.0001871%), (AMD, 0, 0.65%, 0.0002326%), (BA, 0, 0.64%, 0.0003659%), (BAC, 0, 0.63%, 0.0001820%), (BKNG, 0, 0.62%, 0.0003537%), (PM, 0, 0.62%, 0.0002426%), (NKE, 0, 0.61%, 0.0006766%), (SO, 0, 0.61%, 0.0006016%), (CRM, 0, 0.58%, 0.0002530%), (DUK, 0, 0.56%, 0.0006006%), (GS, 0, 0.55%, 0.0002564%), (UBER, 0, 0.55%, 0.0002872%), (ISRG, 0, 0.55%, 0.0003289%), (IBM, 0, 0.55%, 0.0002493%), (HON, 0, 0.52%, 0.0003810%), (MET, 0, 0.51%, 0.0010072%), (WFC, 0, 0.51%, 0.0002098%), (ETN, 0, 0.51%, 0.0003776%), (INTU, 0, 0.50%, 0.0002532%), (PEP, 0, 0.49%, 0.0002438%), (DE, 0, 0.46%, 0.0003499%), (T, 0, 0.46%, 0.0010448%), (NOW, 0, 0.45%, 0.0002495%), (MS, 0, 0.43%, 0.0001903%), (MRK, 0, 0.43%, 0.0002083%), (SPGI, 0, 0.42%, 0.0002569%), (VZ, 0, 0.41%, 0.0002232%), (AXP, 0, 0.41%, 0.0001979%), (TXN, 0, 0.40%, 0.0002334%), (QCOM, 0, 0.40%, 0.0002395%), (BLK, 0, 0.40%, 0.0002305%), (ADBE, 0, 0.39%, 0.0002649%), (ACN, 0, 0.38%, 0.0002527%), (MDT, 0, 0.38%, 0.0003274%), (TMO, 0, 0.38%, 0.0002095%), (COP, 0, 0.37%, 0.0003242%), (UNP, 0, 0.37%, 0.0002906%), (DIS, 0, 0.37%, 0.0001783%), (C, 0, 0.35%, 0.0002074%), (SBUX, 0, 0.35%, 0.0003425%), (SCHW, 0, 0.35%, 0.0002017%), (LMT, 0, 0.34%, 0.0003392%), (AMGN, 0, 0.32%, 0.0002053%), (AMAT, 0, 0.31%, 0.0002406%), (MMM, 0, 0.30%, 0.0003812%), (GILD, 0, 0.30%, 0.0002064%), (PFE, 0, 0.29%, 0.0002050%), (CVS, 0, 0.28%, 0.0003246%), (TJX, 0, 0.28%, 0.0001900%), (EMR, 0, 0.27%, 0.0003769%), (DHR, 0, 0.27%, 0.0001872%), (MO, 0, 0.27%, 0.0002453%), (LOW, 0, 0.26%, 0.0001897%), (INTC, 0, 0.23%, 0.0002156%), (ELV, 0, 0.23%, 0.0003415%), (CMCSA, 0, 0.22%, 0.0001859%), (BMY, 0, 0.20%, 0.0002049%), (MDLZ, 0, 0.20%, 0.0002518%), (FDX, 0, 0.19%, 0.0003556%), (UPS, 0, 0.18%, 0.0002826%), (PYPL, 0, 0.17%, 0.0002624%), (CL, 0, 0.15%, 0.0002242%), (USB, 0, 0.14%, 0.0002024%), (TGT, 0, 0.09%, 0.0001926%), (nan, 0, -0.01%, 0.0000000%), (nan, 0, -0.01%, 0.0000000%)</t>
  </si>
  <si>
    <t>(AMZN, 0, 4.04%, 0.0000385%), (GOOGLE, 0, 3.82%, 0.0000392%), (AVGO, 0, 3.30%, 0.0000539%), (META, 0, 2.95%, 0.0000415%), (BRK/B, 0, 2.14%, 0.0000763%), (LIN, 0, 1.84%, 0.0001936%), (CSCO, 0, 1.81%, 0.0001616%), (JPM, 0, 1.65%, 0.0000484%), (AMT, 0, 1.59%, 0.0003915%), (XOM, 0, 1.46%, 0.0000756%), (V, 0, 1.45%, 0.0000584%), (TSLA, 0, 1.28%, 0.0000274%), (CB, 0, 1.18%, 0.0002571%), (MA, 0, 1.17%, 0.0000527%), (LLY, 0, 1.13%, 0.0000402%), (WM, 0, 1.08%, 0.0002812%), (GE, 0, 1.07%, 0.0000894%), (ORCL, 0, 1.00%, 0.0000333%), (NEE, 0, 0.94%, 0.0001398%), (NFLX, 0, 0.93%, 0.0000418%), (UNH, 0, 0.92%, 0.0000779%), (PLTR, 0, 0.89%, 0.0000532%), (JNJ, 0, 0.87%, 0.0000481%), (KO, 0, 0.83%, 0.0000653%), (WMT, 0, 0.82%, 0.0000242%), (COST, 0, 0.82%, 0.0000445%), (CVX, 0, 0.81%, 0.0000599%), (PG, 0, 0.81%, 0.0000523%), (RTX, 0, 0.77%, 0.0000865%), (MCD, 0, 0.76%, 0.0000809%), (ABBV, 0, 0.75%, 0.0000482%), (CAT, 0, 0.74%, 0.0000899%), (ABT, 0, 0.74%, 0.0000765%), (HD, 0, 0.73%, 0.0000439%), (AMD, 0, 0.66%, 0.0000545%), (BA, 0, 0.64%, 0.0000858%), (BAC, 0, 0.64%, 0.0000426%), (BKNG, 0, 0.64%, 0.0000838%), (PM, 0, 0.63%, 0.0000569%), (NKE, 0, 0.62%, 0.0001586%), (SO, 0, 0.61%, 0.0001410%), (CRM, 0, 0.58%, 0.0000593%), (DUK, 0, 0.57%, 0.0001408%), (UBER, 0, 0.56%, 0.0000673%), (GS, 0, 0.56%, 0.0000600%), (ISRG, 0, 0.56%, 0.0000770%), (IBM, 0, 0.56%, 0.0000584%), (HON, 0, 0.52%, 0.0000893%), (MET, 0, 0.52%, 0.0002361%), (WFC, 0, 0.52%, 0.0000492%), (ETN, 0, 0.52%, 0.0000886%), (INTU, 0, 0.51%, 0.0000595%), (PEP, 0, 0.50%, 0.0000571%), (NOW, 0, 0.46%, 0.0000587%), (T, 0, 0.46%, 0.0002449%), (DE, 0, 0.46%, 0.0000821%), (MS, 0, 0.44%, 0.0000446%), (MRK, 0, 0.44%, 0.0000488%), (SPGI, 0, 0.43%, 0.0000601%), (VZ, 0, 0.42%, 0.0000523%), (AXP, 0, 0.42%, 0.0000463%), (TXN, 0, 0.41%, 0.0000547%), (QCOM, 0, 0.41%, 0.0000562%), (BLK, 0, 0.41%, 0.0000542%), (ADBE, 0, 0.39%, 0.0000621%), (ACN, 0, 0.39%, 0.0000592%), (TMO, 0, 0.38%, 0.0000490%), (COP, 0, 0.38%, 0.0000760%), (UNP, 0, 0.38%, 0.0000681%), (DIS, 0, 0.37%, 0.0000418%), (C, 0, 0.36%, 0.0000486%), (SBUX, 0, 0.36%, 0.0000802%), (SCHW, 0, 0.35%, 0.0000473%), (LMT, 0, 0.34%, 0.0000795%), (AMGN, 0, 0.32%, 0.0000481%), (AMAT, 0, 0.31%, 0.0000564%), (MMM, 0, 0.31%, 0.0000894%), (MDT, 0, 0.31%, 0.0000611%), (GILD, 0, 0.30%, 0.0000484%), (PFE, 0, 0.29%, 0.0000480%), (CVS, 0, 0.29%, 0.0000761%), (TJX, 0, 0.28%, 0.0000446%), (EMR, 0, 0.28%, 0.0000883%), (DHR, 0, 0.27%, 0.0000439%), (MO, 0, 0.27%, 0.0000575%), (LOW, 0, 0.26%, 0.0000444%), (INTC, 0, 0.24%, 0.0000505%), (ELV, 0, 0.23%, 0.0000801%), (CMCSA, 0, 0.22%, 0.0000436%), (BMY, 0, 0.20%, 0.0000480%), (MDLZ, 0, 0.20%, 0.0000590%), (UPS, 0, 0.18%, 0.0000663%), (PYPL, 0, 0.17%, 0.0000615%), (CL, 0, 0.15%, 0.0000526%), (FDX, 0, 0.15%, 0.0000636%), (USB, 0, 0.14%, 0.0000474%), (TGT, 0, 0.09%, 0.0000451%), (nan, 0, -0.01%, 0.0000000%), (nan, 0, -0.01%, 0.0000000%)</t>
  </si>
  <si>
    <t>(GOOGLE, 0, 3.63%, 0.0000687%), (AVGO, 0, 3.14%, 0.0000946%), (META, 0, 2.81%, 0.0000729%), (BRK/B, 0, 2.04%, 0.0001339%), (LIN, 0, 1.75%, 0.0003397%), (CSCO, 0, 1.72%, 0.0002835%), (JPM, 0, 1.57%, 0.0000850%), (AMT, 0, 1.51%, 0.0006872%), (XOM, 0, 1.39%, 0.0001327%), (V, 0, 1.37%, 0.0001024%), (TSLA, 0, 1.24%, 0.0000488%), (CB, 0, 1.12%, 0.0004510%), (MA, 0, 1.11%, 0.0000926%), (LLY, 0, 1.07%, 0.0000704%), (WM, 0, 1.03%, 0.0004937%), (GE, 0, 1.02%, 0.0001569%), (ORCL, 0, 0.95%, 0.0000584%), (NEE, 0, 0.89%, 0.0002453%), (NFLX, 0, 0.89%, 0.0000734%), (UNH, 0, 0.88%, 0.0001368%), (PLTR, 0, 0.85%, 0.0000934%), (JNJ, 0, 0.83%, 0.0000845%), (WMT, 0, 0.78%, 0.0000425%), (COST, 0, 0.78%, 0.0000781%), (CVX, 0, 0.77%, 0.0001051%), (PG, 0, 0.77%, 0.0000917%), (KO, 0, 0.76%, 0.0001110%), (RTX, 0, 0.73%, 0.0001519%), (MCD, 0, 0.72%, 0.0001418%), (ABBV, 0, 0.71%, 0.0000846%), (ABT, 0, 0.70%, 0.0001343%), (CAT, 0, 0.70%, 0.0001575%), (HD, 0, 0.69%, 0.0000770%), (AMD, 0, 0.63%, 0.0000956%), (BA, 0, 0.61%, 0.0001504%), (BAC, 0, 0.61%, 0.0000748%), (BKNG, 0, 0.60%, 0.0001458%), (PM, 0, 0.60%, 0.0000998%), (NKE, 0, 0.59%, 0.0002782%), (SO, 0, 0.58%, 0.0002474%), (CRM, 0, 0.56%, 0.0001041%), (DUK, 0, 0.54%, 0.0002470%), (ISRG, 0, 0.53%, 0.0001354%), (UBER, 0, 0.53%, 0.0001181%), (GS, 0, 0.53%, 0.0001054%), (IBM, 0, 0.53%, 0.0001025%), (HON, 0, 0.50%, 0.0001567%), (MET, 0, 0.49%, 0.0004141%), (WFC, 0, 0.49%, 0.0000863%), (ETN, 0, 0.49%, 0.0001552%), (INTU, 0, 0.48%, 0.0001040%), (PEP, 0, 0.47%, 0.0001003%), (DE, 0, 0.44%, 0.0001439%), (T, 0, 0.44%, 0.0004296%), (NOW, 0, 0.43%, 0.0001024%), (MS, 0, 0.42%, 0.0000782%), (MRK, 0, 0.41%, 0.0000856%), (SPGI, 0, 0.41%, 0.0001057%), (AXP, 0, 0.40%, 0.0000813%), (VZ, 0, 0.40%, 0.0000918%), (TXN, 0, 0.39%, 0.0000960%), (QCOM, 0, 0.39%, 0.0000984%), (BLK, 0, 0.39%, 0.0000949%), (ADBE, 0, 0.37%, 0.0001089%), (ACN, 0, 0.37%, 0.0001039%), (MDT, 0, 0.37%, 0.0001346%), (TMO, 0, 0.36%, 0.0000860%), (COP, 0, 0.36%, 0.0001333%), (UNP, 0, 0.36%, 0.0001195%), (DIS, 0, 0.35%, 0.0000733%), (C, 0, 0.34%, 0.0000853%), (SBUX, 0, 0.34%, 0.0001408%), (SCHW, 0, 0.33%, 0.0000829%), (LMT, 0, 0.33%, 0.0001396%), (AMGN, 0, 0.31%, 0.0000845%), (AMAT, 0, 0.30%, 0.0000989%), (MMM, 0, 0.29%, 0.0001568%), (GILD, 0, 0.29%, 0.0000849%), (PFE, 0, 0.28%, 0.0000843%), (CVS, 0, 0.27%, 0.0001334%), (TJX, 0, 0.27%, 0.0000782%), (EMR, 0, 0.26%, 0.0001549%), (DHR, 0, 0.26%, 0.0000770%), (MO, 0, 0.26%, 0.0001009%), (LOW, 0, 0.25%, 0.0000779%), (INTC, 0, 0.22%, 0.0000887%), (ELV, 0, 0.22%, 0.0001404%), (CMCSA, 0, 0.21%, 0.0000764%), (BMY, 0, 0.19%, 0.0000842%), (MDLZ, 0, 0.19%, 0.0001035%), (FDX, 0, 0.19%, 0.0001538%), (UPS, 0, 0.17%, 0.0001162%), (PYPL, 0, 0.16%, 0.0001079%), (CL, 0, 0.14%, 0.0000922%), (USB, 0, 0.14%, 0.0000832%), (TGT, 0, 0.09%, 0.0000792%), (nan, 0, -0.01%, 0.0000000%), (nan, 0, -0.01%, 0.0000000%)</t>
  </si>
  <si>
    <t>(GOOGLE, 0, 3.71%, 0.0000248%), (AVGO, 0, 3.21%, 0.0000342%), (META, 0, 2.87%, 0.0000264%), (BRK/B, 0, 2.08%, 0.0000484%), (LIN, 0, 1.79%, 0.0001227%), (CSCO, 0, 1.76%, 0.0001025%), (JPM, 0, 1.60%, 0.0000307%), (AMT, 0, 1.54%, 0.0002484%), (XOM, 0, 1.42%, 0.0000480%), (V, 0, 1.40%, 0.0000370%), (TSLA, 0, 1.23%, 0.0000171%), (CB, 0, 1.14%, 0.0001631%), (MA, 0, 1.13%, 0.0000334%), (LLY, 0, 1.09%, 0.0000255%), (WM, 0, 1.05%, 0.0001785%), (GE, 0, 1.04%, 0.0000567%), (ORCL, 0, 0.97%, 0.0000211%), (NFLX, 0, 0.91%, 0.0000264%), (NEE, 0, 0.91%, 0.0000887%), (UNH, 0, 0.90%, 0.0000495%), (PLTR, 0, 0.87%, 0.0000338%), (JNJ, 0, 0.85%, 0.0000305%), (WMT, 0, 0.80%, 0.0000154%), (COST, 0, 0.80%, 0.0000282%), (CVX, 0, 0.79%, 0.0000380%), (PG, 0, 0.78%, 0.0000331%), (KO, 0, 0.77%, 0.0000395%), (RTX, 0, 0.74%, 0.0000549%), (MCD, 0, 0.73%, 0.0000513%), (ABBV, 0, 0.73%, 0.0000306%), (ABT, 0, 0.72%, 0.0000485%), (CAT, 0, 0.71%, 0.0000570%), (HD, 0, 0.71%, 0.0000278%), (AMD, 0, 0.64%, 0.0000346%), (BA, 0, 0.62%, 0.0000543%), (BAC, 0, 0.62%, 0.0000271%), (BKNG, 0, 0.61%, 0.0000527%), (PM, 0, 0.61%, 0.0000361%), (NKE, 0, 0.60%, 0.0001006%), (SO, 0, 0.60%, 0.0000894%), (CRM, 0, 0.57%, 0.0000376%), (DUK, 0, 0.55%, 0.0000893%), (GS, 0, 0.54%, 0.0000380%), (ISRG, 0, 0.54%, 0.0000488%), (UBER, 0, 0.54%, 0.0000427%), (IBM, 0, 0.54%, 0.0000370%), (HON, 0, 0.51%, 0.0000567%), (MET, 0, 0.50%, 0.0001498%), (WFC, 0, 0.50%, 0.0000312%), (ETN, 0, 0.50%, 0.0000563%), (INTU, 0, 0.49%, 0.0000377%), (PEP, 0, 0.48%, 0.0000363%), (DE, 0, 0.45%, 0.0000522%), (T, 0, 0.45%, 0.0001553%), (NOW, 0, 0.45%, 0.0000370%), (MS, 0, 0.43%, 0.0000283%), (MRK, 0, 0.42%, 0.0000309%), (SPGI, 0, 0.42%, 0.0000383%), (VZ, 0, 0.40%, 0.0000332%), (AXP, 0, 0.40%, 0.0000295%), (TXN, 0, 0.40%, 0.0000347%), (QCOM, 0, 0.40%, 0.0000356%), (BLK, 0, 0.39%, 0.0000342%), (ADBE, 0, 0.38%, 0.0000394%), (ACN, 0, 0.38%, 0.0000376%), (TMO, 0, 0.37%, 0.0000311%), (COP, 0, 0.37%, 0.0000482%), (UNP, 0, 0.37%, 0.0000432%), (DIS, 0, 0.36%, 0.0000265%), (C, 0, 0.35%, 0.0000309%), (SBUX, 0, 0.35%, 0.0000509%), (SCHW, 0, 0.34%, 0.0000300%), (LMT, 0, 0.34%, 0.0000506%), (AMGN, 0, 0.31%, 0.0000305%), (AMAT, 0, 0.30%, 0.0000358%), (MMM, 0, 0.30%, 0.0000567%), (GILD, 0, 0.29%, 0.0000307%), (PFE, 0, 0.28%, 0.0000305%), (CVS, 0, 0.28%, 0.0000483%), (TJX, 0, 0.27%, 0.0000282%), (EMR, 0, 0.27%, 0.0000560%), (DHR, 0, 0.27%, 0.0000279%), (MO, 0, 0.26%, 0.0000365%), (LOW, 0, 0.26%, 0.0000282%), (MDT, 0, 0.25%, 0.0000331%), (INTC, 0, 0.23%, 0.0000321%), (ELV, 0, 0.23%, 0.0000508%), (CMCSA, 0, 0.22%, 0.0000276%), (MDLZ, 0, 0.19%, 0.0000374%), (BMY, 0, 0.19%, 0.0000305%), (UPS, 0, 0.17%, 0.0000420%), (PYPL, 0, 0.16%, 0.0000390%), (CL, 0, 0.15%, 0.0000334%), (FDX, 0, 0.14%, 0.0000403%), (USB, 0, 0.14%, 0.0000301%), (TGT, 0, 0.09%, 0.0000286%), (nan, 0, -0.01%, 0.0000000%), (nan, 0, -0.01%, 0.0000000%)</t>
  </si>
  <si>
    <t>(AMZN, 0, 4.16%, 0.0000585%), (GOOGLE, 0, 3.94%, 0.0000596%), (AVGO, 0, 3.40%, 0.0000820%), (META, 0, 3.04%, 0.0000632%), (BRK/B, 0, 2.21%, 0.0001161%), (LIN, 0, 1.90%, 0.0002945%), (CSCO, 0, 1.87%, 0.0002459%), (JPM, 0, 1.70%, 0.0000737%), (AMT, 0, 1.64%, 0.0005960%), (XOM, 0, 1.51%, 0.0001151%), (V, 0, 1.49%, 0.0000888%), (TSLA, 0, 1.28%, 0.0000403%), (CB, 0, 1.21%, 0.0003913%), (MA, 0, 1.20%, 0.0000803%), (LLY, 0, 1.16%, 0.0000611%), (WM, 0, 1.12%, 0.0004282%), (GE, 0, 1.11%, 0.0001361%), (ORCL, 0, 1.03%, 0.0000507%), (NEE, 0, 0.96%, 0.0002127%), (NFLX, 0, 0.96%, 0.0000637%), (UNH, 0, 0.95%, 0.0001187%), (PLTR, 0, 0.92%, 0.0000810%), (JNJ, 0, 0.90%, 0.0000733%), (KO, 0, 0.85%, 0.0000990%), (WMT, 0, 0.85%, 0.0000369%), (COST, 0, 0.84%, 0.0000677%), (CVX, 0, 0.84%, 0.0000911%), (PG, 0, 0.83%, 0.0000795%), (RTX, 0, 0.79%, 0.0001317%), (MCD, 0, 0.78%, 0.0001230%), (ABBV, 0, 0.77%, 0.0000734%), (ABT, 0, 0.76%, 0.0001165%), (CAT, 0, 0.76%, 0.0001366%), (HD, 0, 0.75%, 0.0000667%), (AMD, 0, 0.68%, 0.0000829%), (BA, 0, 0.66%, 0.0001305%), (BAC, 0, 0.66%, 0.0000649%), (BKNG, 0, 0.65%, 0.0001272%), (PM, 0, 0.65%, 0.0000865%), (NKE, 0, 0.64%, 0.0002413%), (SO, 0, 0.63%, 0.0002146%), (CRM, 0, 0.60%, 0.0000902%), (DUK, 0, 0.58%, 0.0002142%), (ISRG, 0, 0.58%, 0.0001173%), (UBER, 0, 0.58%, 0.0001024%), (GS, 0, 0.58%, 0.0000914%), (IBM, 0, 0.57%, 0.0000889%), (HON, 0, 0.54%, 0.0001359%), (MET, 0, 0.54%, 0.0003592%), (WFC, 0, 0.53%, 0.0000748%), (ETN, 0, 0.53%, 0.0001346%), (INTU, 0, 0.52%, 0.0000904%), (PEP, 0, 0.51%, 0.0000870%), (DE, 0, 0.48%, 0.0001250%), (T, 0, 0.48%, 0.0003726%), (NOW, 0, 0.47%, 0.0000889%), (MS, 0, 0.45%, 0.0000678%), (MRK, 0, 0.45%, 0.0000743%), (SPGI, 0, 0.44%, 0.0000915%), (AXP, 0, 0.43%, 0.0000706%), (VZ, 0, 0.43%, 0.0000796%), (TXN, 0, 0.42%, 0.0000833%), (QCOM, 0, 0.42%, 0.0000854%), (BLK, 0, 0.42%, 0.0000820%), (ADBE, 0, 0.41%, 0.0000946%), (ACN, 0, 0.40%, 0.0000901%), (TMO, 0, 0.39%, 0.0000748%), (COP, 0, 0.39%, 0.0001156%), (UNP, 0, 0.39%, 0.0001037%), (DIS, 0, 0.38%, 0.0000636%), (C, 0, 0.37%, 0.0000740%), (SBUX, 0, 0.37%, 0.0001221%), (SCHW, 0, 0.36%, 0.0000719%), (LMT, 0, 0.35%, 0.0001210%), (AMGN, 0, 0.33%, 0.0000732%), (AMAT, 0, 0.32%, 0.0000859%), (MMM, 0, 0.32%, 0.0001359%), (GILD, 0, 0.31%, 0.0000736%), (PFE, 0, 0.30%, 0.0000731%), (CVS, 0, 0.30%, 0.0001158%), (MDT, 0, 0.29%, 0.0000856%), (TJX, 0, 0.29%, 0.0000677%), (EMR, 0, 0.29%, 0.0001343%), (DHR, 0, 0.28%, 0.0000667%), (MO, 0, 0.28%, 0.0000875%), (LOW, 0, 0.27%, 0.0000676%), (INTC, 0, 0.24%, 0.0000769%), (ELV, 0, 0.24%, 0.0001219%), (CMCSA, 0, 0.23%, 0.0000663%), (FDX, 0, 0.21%, 0.0001390%), (MDLZ, 0, 0.21%, 0.0000898%), (BMY, 0, 0.21%, 0.0000730%), (UPS, 0, 0.19%, 0.0001008%), (PYPL, 0, 0.17%, 0.0000936%), (CL, 0, 0.16%, 0.0000799%), (USB, 0, 0.15%, 0.0000722%), (TGT, 0, 0.09%, 0.0000687%), (nan, 0, -0.01%, 0.0000000%), (nan, 0, -0.01%, 0.0000000%)</t>
  </si>
  <si>
    <t>EBAY, META, BK, MSFT, GOOGLE, MLI, BLK, JPM, EA, BKNG, RJF</t>
  </si>
  <si>
    <t>(PHM, 0, 1.93%, 0.0041946%), (EWBC, 0, 1.87%, 0.0072267%), (HIG, 0, 1.84%, 0.0027687%), (AXP, 0, 1.84%, 0.0004718%), (V, 0, 1.82%, 0.0001696%), (NVDA, 0, 1.80%, 0.0000222%), (TRV, 0, 1.79%, 0.0016435%), (ROST, 0, 1.73%, 0.0019737%), (ADP, 0, 1.72%, 0.0007610%), (SNA, 0, 1.71%, 0.0055242%), (AMAT, 0, 1.66%, 0.0006929%), (KLAC, 0, 1.66%, 0.0007755%), (PCAR, 0, 1.65%, 0.0017349%), (LEN, 0, 1.65%, 0.0030393%), (UNM, 0, 1.64%, 0.0076107%), (CB, 0, 1.63%, 0.0008261%), (SYF, 0, 1.59%, 0.0033406%), (WSM, 0, 1.51%, 0.0033451%), (CTSH, 0, 1.50%, 0.0024127%), (CRM, 0, 1.48%, 0.0003467%), (PAYC, 0, 1.46%, 0.0060905%), (DHI, 0, 1.38%, 0.0015349%), (QCOM, 0, 1.36%, 0.0004308%), (BKR, 0, 1.35%, 0.0017367%), (AAPL, 0, 1.28%, 0.0000203%), (ACN, 0, 1.26%, 0.0004409%), (ELV, 0, 1.26%, 0.0009931%), (AFL, 0, 1.24%, 0.0011901%), (MPWR, 0, 1.15%, 0.0015347%), (ODFL, 0, 1.09%, 0.0018785%), (LRCX, 0, 1.08%, 0.0004726%), (CSCO, 0, 1.06%, 0.0002181%), (GE, 0, 1.03%, 0.0001972%), (STT, 0, 0.98%, 0.0017106%), (PNC, 0, 0.91%, 0.0006498%), (MTB, 0, 0.89%, 0.0016546%), (AMP, 0, 0.87%, 0.0010021%), (COST, 0, 0.86%, 0.0001079%), (CF, 0, 0.85%, 0.0033715%), (ABT, 0, 0.83%, 0.0001978%), (XOM, 0, 0.79%, 0.0000938%), (EOG, 0, 0.78%, 0.0006592%), (CSL, 0, 0.75%, 0.0025631%), (EG, 0, 0.74%, 0.0028810%), (GEV, 0, 0.56%, 0.0001795%), (NTRS, 0, 0.52%, 0.0011728%), (MA, 0, 0.50%, 0.0000519%), (JNJ, 0, 0.48%, 0.0000616%), (CRBG, 0, 0.48%, 0.0014146%), (ACM, 0, 0.46%, 0.0015840%), (LNC, 0, 0.45%, 0.0031937%), (MTG, 0, 0.44%, 0.0038951%), (JXN, 0, 0.43%, 0.0035950%), (CINF, 0, 0.43%, 0.0009890%), (WTFC, 0, 0.42%, 0.0026691%), (DOV, 0, 0.42%, 0.0009457%), (EQH, 0, 0.42%, 0.0014356%), (ALL, 0, 0.42%, 0.0004167%), (ADM, 0, 0.41%, 0.0007686%), (SLM, 0, 0.40%, 0.0035072%), (MCK, 0, 0.40%, 0.0002573%), (NUE, 0, 0.40%, 0.0006461%), (NKE, 0, 0.39%, 0.0002273%), (PGR, 0, 0.37%, 0.0001380%), (FANG, 0, 0.30%, 0.0003986%)</t>
  </si>
  <si>
    <t>(GOOGLE, 0, 3.59%, 0.0000631%), (AVGO, 0, 3.10%, 0.0000868%), (META, 0, 2.77%, 0.0000669%), (BRK/B, 0, 2.01%, 0.0001229%), (LIN, 0, 1.73%, 0.0003118%), (CSCO, 0, 1.70%, 0.0002602%), (TSLA, 0, 1.61%, 0.0000586%), (JPM, 0, 1.55%, 0.0000780%), (AMT, 0, 1.49%, 0.0006308%), (XOM, 0, 1.37%, 0.0001218%), (V, 0, 1.36%, 0.0000940%), (CB, 0, 1.10%, 0.0004142%), (MA, 0, 1.10%, 0.0000850%), (LLY, 0, 1.06%, 0.0000647%), (WM, 0, 1.02%, 0.0004533%), (GE, 0, 1.01%, 0.0001441%), (ORCL, 0, 0.94%, 0.0000536%), (NEE, 0, 0.88%, 0.0002252%), (NFLX, 0, 0.88%, 0.0000675%), (UNH, 0, 0.87%, 0.0001256%), (PLTR, 0, 0.84%, 0.0000857%), (JNJ, 0, 0.82%, 0.0000776%), (WMT, 0, 0.77%, 0.0000390%), (COST, 0, 0.77%, 0.0000718%), (CVX, 0, 0.76%, 0.0000965%), (PG, 0, 0.76%, 0.0000841%), (KO, 0, 0.75%, 0.0001013%), (RTX, 0, 0.72%, 0.0001394%), (MCD, 0, 0.71%, 0.0001302%), (ABBV, 0, 0.70%, 0.0000777%), (ABT, 0, 0.69%, 0.0001233%), (CAT, 0, 0.69%, 0.0001447%), (HD, 0, 0.69%, 0.0000706%), (AMD, 0, 0.62%, 0.0000878%), (BA, 0, 0.60%, 0.0001381%), (BAC, 0, 0.60%, 0.0000687%), (BKNG, 0, 0.59%, 0.0001334%), (PM, 0, 0.59%, 0.0000916%), (NKE, 0, 0.58%, 0.0002554%), (SO, 0, 0.58%, 0.0002271%), (CRM, 0, 0.55%, 0.0000955%), (DUK, 0, 0.53%, 0.0002268%), (UBER, 0, 0.53%, 0.0001084%), (GS, 0, 0.52%, 0.0000967%), (ISRG, 0, 0.52%, 0.0001241%), (IBM, 0, 0.52%, 0.0000940%), (HON, 0, 0.49%, 0.0001438%), (MET, 0, 0.49%, 0.0003803%), (WFC, 0, 0.49%, 0.0000792%), (ETN, 0, 0.49%, 0.0001426%), (INTU, 0, 0.47%, 0.0000958%), (PEP, 0, 0.47%, 0.0000920%), (NOW, 0, 0.43%, 0.0000942%), (T, 0, 0.43%, 0.0003944%), (DE, 0, 0.43%, 0.0001321%), (MS, 0, 0.41%, 0.0000719%), (MRK, 0, 0.41%, 0.0000786%), (SPGI, 0, 0.40%, 0.0000971%), (VZ, 0, 0.39%, 0.0000842%), (AXP, 0, 0.39%, 0.0000746%), (TXN, 0, 0.39%, 0.0000882%), (QCOM, 0, 0.38%, 0.0000904%), (BLK, 0, 0.38%, 0.0000872%), (ADBE, 0, 0.37%, 0.0001001%), (ACN, 0, 0.37%, 0.0000954%), (MDT, 0, 0.36%, 0.0001236%), (TMO, 0, 0.36%, 0.0000791%), (COP, 0, 0.36%, 0.0001224%), (UNP, 0, 0.35%, 0.0001098%), (DIS, 0, 0.35%, 0.0000673%), (C, 0, 0.34%, 0.0000783%), (SBUX, 0, 0.34%, 0.0001293%), (SCHW, 0, 0.33%, 0.0000761%), (LMT, 0, 0.32%, 0.0001279%), (AMGN, 0, 0.30%, 0.0000775%), (AMAT, 0, 0.29%, 0.0000909%), (MMM, 0, 0.29%, 0.0001440%), (GILD, 0, 0.28%, 0.0000779%), (PFE, 0, 0.27%, 0.0000774%), (CVS, 0, 0.27%, 0.0001225%), (TJX, 0, 0.26%, 0.0000717%), (EMR, 0, 0.26%, 0.0001423%), (DHR, 0, 0.26%, 0.0000706%), (MO, 0, 0.25%, 0.0000926%), (LOW, 0, 0.25%, 0.0000717%), (INTC, 0, 0.22%, 0.0000814%), (ELV, 0, 0.22%, 0.0001291%), (CMCSA, 0, 0.21%, 0.0000702%), (FDX, 0, 0.19%, 0.0001445%), (BMY, 0, 0.19%, 0.0000773%), (MDLZ, 0, 0.19%, 0.0000950%), (UPS, 0, 0.17%, 0.0001067%), (PYPL, 0, 0.16%, 0.0000991%), (CL, 0, 0.14%, 0.0000846%), (USB, 0, 0.14%, 0.0000764%), (TGT, 0, 0.08%, 0.0000726%), (nan, 0, -0.01%, 0.0000000%), (nan, 0, -0.01%, 0.0000000%)</t>
  </si>
  <si>
    <t>(GOOGLE, 0, 3.76%, 0.0001293%), (AVGO, 0, 3.25%, 0.0001778%), (META, 0, 2.91%, 0.0001370%), (BRK/B, 0, 2.11%, 0.0002518%), (LIN, 0, 1.82%, 0.0006386%), (CSCO, 0, 1.79%, 0.0005331%), (JPM, 0, 1.63%, 0.0001598%), (AMT, 0, 1.56%, 0.0012921%), (XOM, 0, 1.44%, 0.0002495%), (V, 0, 1.42%, 0.0001926%), (TSLA, 0, 1.31%, 0.0000930%), (CB, 0, 1.16%, 0.0008482%), (MA, 0, 1.15%, 0.0001741%), (LLY, 0, 1.11%, 0.0001325%), (WM, 0, 1.07%, 0.0009281%), (GE, 0, 1.06%, 0.0002951%), (ORCL, 0, 0.99%, 0.0001098%), (NFLX, 0, 0.92%, 0.0001381%), (NEE, 0, 0.92%, 0.0004612%), (UNH, 0, 0.91%, 0.0002572%), (PLTR, 0, 0.88%, 0.0001756%), (JNJ, 0, 0.86%, 0.0001589%), (WMT, 0, 0.81%, 0.0000799%), (COST, 0, 0.81%, 0.0001467%), (CVX, 0, 0.80%, 0.0001976%), (PG, 0, 0.80%, 0.0001724%), (KO, 0, 0.79%, 0.0002088%), (RTX, 0, 0.76%, 0.0002855%), (MCD, 0, 0.75%, 0.0002667%), (ABBV, 0, 0.74%, 0.0001591%), (CAT, 0, 0.73%, 0.0002965%), (ABT, 0, 0.73%, 0.0002525%), (HD, 0, 0.72%, 0.0001447%), (AMD, 0, 0.65%, 0.0001798%), (BA, 0, 0.63%, 0.0002829%), (BAC, 0, 0.63%, 0.0001407%), (BKNG, 0, 0.62%, 0.0002730%), (PM, 0, 0.62%, 0.0001876%), (NKE, 0, 0.61%, 0.0005232%), (SO, 0, 0.60%, 0.0004652%), (CRM, 0, 0.58%, 0.0001957%), (DUK, 0, 0.56%, 0.0004643%), (GS, 0, 0.55%, 0.0001980%), (UBER, 0, 0.55%, 0.0002221%), (ISRG, 0, 0.55%, 0.0002544%), (IBM, 0, 0.55%, 0.0001927%), (HON, 0, 0.51%, 0.0002945%), (MET, 0, 0.51%, 0.0007788%), (WFC, 0, 0.51%, 0.0001623%), (ETN, 0, 0.51%, 0.0002921%), (INTU, 0, 0.50%, 0.0001958%), (PEP, 0, 0.49%, 0.0001885%), (DE, 0, 0.46%, 0.0002708%), (T, 0, 0.46%, 0.0008079%), (NOW, 0, 0.45%, 0.0001928%), (MS, 0, 0.43%, 0.0001471%), (MRK, 0, 0.43%, 0.0001610%), (SPGI, 0, 0.42%, 0.0001985%), (VZ, 0, 0.41%, 0.0001726%), (AXP, 0, 0.41%, 0.0001530%), (TXN, 0, 0.40%, 0.0001805%), (QCOM, 0, 0.40%, 0.0001852%), (BLK, 0, 0.40%, 0.0001782%), (ADBE, 0, 0.39%, 0.0002050%), (ACN, 0, 0.38%, 0.0001954%), (TMO, 0, 0.38%, 0.0001618%), (COP, 0, 0.37%, 0.0002507%), (UNP, 0, 0.37%, 0.0002247%), (DIS, 0, 0.37%, 0.0001378%), (C, 0, 0.35%, 0.0001604%), (SBUX, 0, 0.35%, 0.0002648%), (SCHW, 0, 0.35%, 0.0001560%), (LMT, 0, 0.34%, 0.0002623%), (AMGN, 0, 0.32%, 0.0001588%), (AMAT, 0, 0.31%, 0.0001860%), (MMM, 0, 0.30%, 0.0002948%), (MDT, 0, 0.30%, 0.0001986%), (GILD, 0, 0.30%, 0.0001596%), (PFE, 0, 0.29%, 0.0001585%), (CVS, 0, 0.28%, 0.0002510%), (TJX, 0, 0.28%, 0.0001469%), (EMR, 0, 0.27%, 0.0002914%), (DHR, 0, 0.27%, 0.0001447%), (MO, 0, 0.27%, 0.0001897%), (LOW, 0, 0.26%, 0.0001466%), (INTC, 0, 0.23%, 0.0001667%), (ELV, 0, 0.23%, 0.0002641%), (CMCSA, 0, 0.22%, 0.0001437%), (BMY, 0, 0.20%, 0.0001584%), (MDLZ, 0, 0.20%, 0.0001947%), (UPS, 0, 0.18%, 0.0002185%), (FDX, 0, 0.17%, 0.0002517%), (PYPL, 0, 0.17%, 0.0002029%), (CL, 0, 0.15%, 0.0001733%), (USB, 0, 0.14%, 0.0001565%), (TGT, 0, 0.09%, 0.0001488%), (nan, 0, -0.01%, 0.0000000%), (nan, 0, -0.01%, 0.0000000%)</t>
  </si>
  <si>
    <t>(GOOGLE, 0, 3.55%, 0.0002592%), (AVGO, 0, 3.06%, 0.0003566%), (META, 0, 2.74%, 0.0002747%), (BRK/B, 0, 1.99%, 0.0005048%), (LIN, 0, 1.71%, 0.0012804%), (CSCO, 0, 1.68%, 0.0010690%), (JPM, 0, 1.53%, 0.0003205%), (AMT, 0, 1.47%, 0.0025909%), (XOM, 0, 1.36%, 0.0005003%), (V, 0, 1.34%, 0.0003862%), (TSLA, 0, 1.13%, 0.0001715%), (CB, 0, 1.09%, 0.0017009%), (MA, 0, 1.08%, 0.0003492%), (LLY, 0, 1.04%, 0.0002657%), (WM, 0, 1.01%, 0.0018612%), (GE, 0, 1.00%, 0.0005917%), (ORCL, 0, 0.93%, 0.0002203%), (NFLX, 0, 0.87%, 0.0002768%), (NEE, 0, 0.87%, 0.0009248%), (UNH, 0, 0.86%, 0.0005158%), (PLTR, 0, 0.83%, 0.0003521%), (JNJ, 0, 0.81%, 0.0003186%), (KO, 0, 0.78%, 0.0004371%), (WMT, 0, 0.76%, 0.0001603%), (COST, 0, 0.76%, 0.0002942%), (CVX, 0, 0.75%, 0.0003962%), (PG, 0, 0.75%, 0.0003457%), (RTX, 0, 0.71%, 0.0005725%), (MCD, 0, 0.70%, 0.0005348%), (ABBV, 0, 0.69%, 0.0003189%), (ABT, 0, 0.68%, 0.0005064%), (CAT, 0, 0.68%, 0.0005943%), (HD, 0, 0.68%, 0.0002901%), (AMD, 0, 0.61%, 0.0003605%), (BA, 0, 0.60%, 0.0005672%), (BAC, 0, 0.59%, 0.0002821%), (PM, 0, 0.58%, 0.0003763%), (BKNG, 0, 0.58%, 0.0005460%), (NKE, 0, 0.58%, 0.0010490%), (SO, 0, 0.57%, 0.0009328%), (CRM, 0, 0.54%, 0.0003923%), (DUK, 0, 0.53%, 0.0009311%), (GS, 0, 0.52%, 0.0003974%), (UBER, 0, 0.52%, 0.0004453%), (ISRG, 0, 0.52%, 0.0005100%), (IBM, 0, 0.52%, 0.0003864%), (HON, 0, 0.48%, 0.0005907%), (MET, 0, 0.48%, 0.0015617%), (WFC, 0, 0.48%, 0.0003253%), (ETN, 0, 0.48%, 0.0005854%), (INTU, 0, 0.47%, 0.0003927%), (PEP, 0, 0.46%, 0.0003780%), (DE, 0, 0.43%, 0.0005427%), (T, 0, 0.43%, 0.0016199%), (NOW, 0, 0.43%, 0.0003870%), (MS, 0, 0.41%, 0.0002951%), (MRK, 0, 0.40%, 0.0003229%), (SPGI, 0, 0.40%, 0.0003983%), (VZ, 0, 0.39%, 0.0003460%), (AXP, 0, 0.39%, 0.0003067%), (TXN, 0, 0.38%, 0.0003620%), (QCOM, 0, 0.38%, 0.0003713%), (BLK, 0, 0.37%, 0.0003571%), (ADBE, 0, 0.37%, 0.0004109%), (ACN, 0, 0.36%, 0.0003919%), (MDT, 0, 0.36%, 0.0005076%), (TMO, 0, 0.35%, 0.0003247%), (COP, 0, 0.35%, 0.0005027%), (UNP, 0, 0.35%, 0.0004506%), (DIS, 0, 0.34%, 0.0002764%), (C, 0, 0.33%, 0.0003216%), (SBUX, 0, 0.33%, 0.0005311%), (SCHW, 0, 0.33%, 0.0003127%), (LMT, 0, 0.32%, 0.0005259%), (AMGN, 0, 0.30%, 0.0003184%), (AMAT, 0, 0.29%, 0.0003731%), (MMM, 0, 0.29%, 0.0005911%), (GILD, 0, 0.28%, 0.0003199%), (PFE, 0, 0.27%, 0.0003178%), (CVS, 0, 0.27%, 0.0005033%), (TJX, 0, 0.26%, 0.0002946%), (EMR, 0, 0.26%, 0.0005842%), (DHR, 0, 0.25%, 0.0002901%), (MO, 0, 0.25%, 0.0003803%), (LOW, 0, 0.25%, 0.0002940%), (INTC, 0, 0.22%, 0.0003343%), (ELV, 0, 0.22%, 0.0005296%), (CMCSA, 0, 0.21%, 0.0002882%), (BMY, 0, 0.19%, 0.0003176%), (MDLZ, 0, 0.19%, 0.0003904%), (FDX, 0, 0.18%, 0.0005471%), (UPS, 0, 0.17%, 0.0004382%), (PYPL, 0, 0.16%, 0.0004069%), (CL, 0, 0.14%, 0.0003476%), (USB, 0, 0.13%, 0.0003138%), (TGT, 0, 0.08%, 0.0002984%), (nan, 0, -0.01%, 0.0000000%), (nan, 0, -0.01%, 0.0000000%)</t>
  </si>
  <si>
    <t>(AVGO, 0, 2.92%, 0.0000516%), (META, 0, 2.64%, 0.0000397%), (BRK/B, 0, 1.98%, 0.0000730%), (LIN, 0, 1.69%, 0.0001852%), (CSCO, 0, 1.65%, 0.0001546%), (TSLA, 0, 1.54%, 0.0000348%), (JPM, 0, 1.50%, 0.0000464%), (AMT, 0, 1.47%, 0.0003747%), (XOM, 0, 1.34%, 0.0000724%), (V, 0, 1.32%, 0.0000559%), (CB, 0, 1.08%, 0.0002460%), (MA, 0, 1.07%, 0.0000505%), (LLY, 0, 1.03%, 0.0000384%), (WM, 0, 1.01%, 0.0002691%), (GE, 0, 0.98%, 0.0000856%), (ORCL, 0, 0.87%, 0.0000319%), (NEE, 0, 0.86%, 0.0001338%), (NFLX, 0, 0.84%, 0.0000401%), (UNH, 0, 0.83%, 0.0000746%), (JNJ, 0, 0.80%, 0.0000461%), (WMT, 0, 0.75%, 0.0000232%), (COST, 0, 0.75%, 0.0000426%), (PG, 0, 0.75%, 0.0000500%), (PLTR, 0, 0.74%, 0.0000509%), (CVX, 0, 0.73%, 0.0000573%), (MCD, 0, 0.70%, 0.0000774%), (RTX, 0, 0.69%, 0.0000828%), (HD, 0, 0.69%, 0.0000420%), (ABBV, 0, 0.68%, 0.0000461%), (CAT, 0, 0.68%, 0.0000860%), (ABT, 0, 0.68%, 0.0000733%), (KO, 0, 0.60%, 0.0000491%), (BAC, 0, 0.59%, 0.0000408%), (PM, 0, 0.58%, 0.0000544%), (AMD, 0, 0.57%, 0.0000521%), (BA, 0, 0.57%, 0.0000820%), (BKNG, 0, 0.57%, 0.0000776%), (SO, 0, 0.57%, 0.0001349%), (NKE, 0, 0.56%, 0.0001517%), (CRM, 0, 0.54%, 0.0000567%), (DUK, 0, 0.53%, 0.0001346%), (UBER, 0, 0.52%, 0.0000644%), (IBM, 0, 0.51%, 0.0000558%), (ISRG, 0, 0.51%, 0.0000739%), (GS, 0, 0.50%, 0.0000573%), (MET, 0, 0.48%, 0.0002259%), (HON, 0, 0.48%, 0.0000854%), (WFC, 0, 0.47%, 0.0000470%), (ETN, 0, 0.47%, 0.0000848%), (PEP, 0, 0.46%, 0.0000546%), (INTU, 0, 0.45%, 0.0000567%), (T, 0, 0.42%, 0.0002342%), (DE, 0, 0.42%, 0.0000784%), (NOW, 0, 0.42%, 0.0000558%), (MRK, 0, 0.40%, 0.0000467%), (MS, 0, 0.40%, 0.0000427%), (SPGI, 0, 0.39%, 0.0000575%), (VZ, 0, 0.38%, 0.0000500%), (AXP, 0, 0.38%, 0.0000444%), (TXN, 0, 0.38%, 0.0000524%), (QCOM, 0, 0.37%, 0.0000537%), (BLK, 0, 0.37%, 0.0000517%), (ACN, 0, 0.36%, 0.0000567%), (ADBE, 0, 0.36%, 0.0000595%), (TMO, 0, 0.36%, 0.0000468%), (UNP, 0, 0.35%, 0.0000652%), (COP, 0, 0.35%, 0.0000727%), (MDT, 0, 0.34%, 0.0000734%), (DIS, 0, 0.34%, 0.0000400%), (C, 0, 0.33%, 0.0000465%), (SBUX, 0, 0.32%, 0.0000768%), (SCHW, 0, 0.32%, 0.0000452%), (LMT, 0, 0.32%, 0.0000761%), (AMGN, 0, 0.30%, 0.0000461%), (MMM, 0, 0.28%, 0.0000855%), (AMAT, 0, 0.28%, 0.0000540%), (GILD, 0, 0.28%, 0.0000463%), (PFE, 0, 0.27%, 0.0000460%), (CVS, 0, 0.27%, 0.0000728%), (TJX, 0, 0.26%, 0.0000426%), (EMR, 0, 0.25%, 0.0000846%), (DHR, 0, 0.25%, 0.0000419%), (MO, 0, 0.25%, 0.0000550%), (LOW, 0, 0.25%, 0.0000426%), (INTC, 0, 0.23%, 0.0000483%), (ELV, 0, 0.22%, 0.0000765%), (CMCSA, 0, 0.21%, 0.0000417%), (MDLZ, 0, 0.18%, 0.0000564%), (BMY, 0, 0.18%, 0.0000459%), (UPS, 0, 0.17%, 0.0000633%), (PYPL, 0, 0.15%, 0.0000589%), (CL, 0, 0.14%, 0.0000502%), (FDX, 0, 0.14%, 0.0000606%), (USB, 0, 0.13%, 0.0000454%), (TGT, 0, 0.08%, 0.0000431%), (nan, 0, -0.00%, 0.0000000%), (nan, 0, -0.00%, 0.0000000%)</t>
  </si>
  <si>
    <t>(GOOGLE, 0, 3.76%, 0.0002244%), (AVGO, 0, 3.18%, 0.0003087%), (META, 0, 2.88%, 0.0002378%), (BRK/B, 0, 2.15%, 0.0004371%), (LIN, 0, 1.84%, 0.0011083%), (CSCO, 0, 1.80%, 0.0009254%), (TSLA, 0, 1.68%, 0.0002083%), (JPM, 0, 1.64%, 0.0002774%), (AMT, 0, 1.61%, 0.0022429%), (XOM, 0, 1.46%, 0.0004331%), (V, 0, 1.44%, 0.0003344%), (CB, 0, 1.17%, 0.0014725%), (MA, 0, 1.16%, 0.0003023%), (LLY, 0, 1.13%, 0.0002301%), (WM, 0, 1.10%, 0.0016112%), (GE, 0, 1.06%, 0.0005122%), (ORCL, 0, 0.94%, 0.0001906%), (NEE, 0, 0.94%, 0.0008006%), (NFLX, 0, 0.91%, 0.0002395%), (UNH, 0, 0.91%, 0.0004465%), (JNJ, 0, 0.87%, 0.0002758%), (WMT, 0, 0.82%, 0.0001387%), (COST, 0, 0.82%, 0.0002548%), (PG, 0, 0.81%, 0.0002992%), (PLTR, 0, 0.81%, 0.0003048%), (CVX, 0, 0.79%, 0.0003430%), (MCD, 0, 0.76%, 0.0004630%), (RTX, 0, 0.75%, 0.0004956%), (HD, 0, 0.75%, 0.0002512%), (ABBV, 0, 0.74%, 0.0002761%), (ABT, 0, 0.74%, 0.0004384%), (CAT, 0, 0.74%, 0.0005144%), (KO, 0, 0.65%, 0.0002939%), (BAC, 0, 0.64%, 0.0002442%), (BKNG, 0, 0.63%, 0.0004747%), (PM, 0, 0.63%, 0.0003257%), (AMD, 0, 0.62%, 0.0003121%), (BA, 0, 0.62%, 0.0004910%), (SO, 0, 0.62%, 0.0008075%), (NKE, 0, 0.61%, 0.0009081%), (CRM, 0, 0.58%, 0.0003396%), (DUK, 0, 0.57%, 0.0008060%), (UBER, 0, 0.56%, 0.0003854%), (IBM, 0, 0.56%, 0.0003345%), (ISRG, 0, 0.55%, 0.0004415%), (GS, 0, 0.55%, 0.0003441%), (MET, 0, 0.52%, 0.0013518%), (HON, 0, 0.52%, 0.0005113%), (WFC, 0, 0.52%, 0.0002816%), (ETN, 0, 0.51%, 0.0005068%), (PEP, 0, 0.50%, 0.0003272%), (INTU, 0, 0.49%, 0.0003400%), (T, 0, 0.46%, 0.0014023%), (DE, 0, 0.46%, 0.0004698%), (NOW, 0, 0.45%, 0.0003351%), (MRK, 0, 0.44%, 0.0002795%), (MS, 0, 0.43%, 0.0002554%), (SPGI, 0, 0.43%, 0.0003448%), (VZ, 0, 0.42%, 0.0002995%), (AXP, 0, 0.41%, 0.0002655%), (TXN, 0, 0.41%, 0.0003133%), (QCOM, 0, 0.40%, 0.0003214%), (BLK, 0, 0.40%, 0.0003093%), (ACN, 0, 0.40%, 0.0003392%), (ADBE, 0, 0.40%, 0.0003557%), (TMO, 0, 0.39%, 0.0002811%), (UNP, 0, 0.38%, 0.0003901%), (COP, 0, 0.38%, 0.0004352%), (MDT, 0, 0.37%, 0.0004394%), (DIS, 0, 0.37%, 0.0002393%), (C, 0, 0.35%, 0.0002784%), (SBUX, 0, 0.35%, 0.0004598%), (SCHW, 0, 0.35%, 0.0002707%), (LMT, 0, 0.34%, 0.0004551%), (AMGN, 0, 0.32%, 0.0002757%), (MMM, 0, 0.31%, 0.0005118%), (AMAT, 0, 0.31%, 0.0003230%), (GILD, 0, 0.30%, 0.0002770%), (PFE, 0, 0.29%, 0.0002751%), (CVS, 0, 0.29%, 0.0004357%), (TJX, 0, 0.28%, 0.0002550%), (DHR, 0, 0.28%, 0.0002512%), (EMR, 0, 0.28%, 0.0005059%), (MO, 0, 0.27%, 0.0003292%), (LOW, 0, 0.27%, 0.0002546%), (INTC, 0, 0.25%, 0.0002894%), (ELV, 0, 0.24%, 0.0004585%), (CMCSA, 0, 0.23%, 0.0002495%), (MDLZ, 0, 0.20%, 0.0003379%), (BMY, 0, 0.20%, 0.0002750%), (UPS, 0, 0.18%, 0.0003793%), (PYPL, 0, 0.17%, 0.0003522%), (CL, 0, 0.15%, 0.0003010%), (FDX, 0, 0.15%, 0.0003636%), (USB, 0, 0.14%, 0.0002716%), (TGT, 0, 0.09%, 0.0002584%), (nan, 0, -0.00%, 0.0000000%), (nan, 0, -0.00%, 0.0000000%)</t>
  </si>
  <si>
    <t>(GOOGLE, 0, 3.75%, 0.0001672%), (AVGO, 0, 3.16%, 0.0002300%), (META, 0, 2.87%, 0.0001771%), (BRK/B, 0, 2.14%, 0.0003256%), (LIN, 0, 1.83%, 0.0008258%), (CSCO, 0, 1.79%, 0.0006894%), (TSLA, 0, 1.67%, 0.0001552%), (JPM, 0, 1.63%, 0.0002067%), (AMT, 0, 1.60%, 0.0016711%), (XOM, 0, 1.46%, 0.0003227%), (V, 0, 1.43%, 0.0002491%), (CB, 0, 1.17%, 0.0010969%), (MA, 0, 1.16%, 0.0002252%), (LLY, 0, 1.12%, 0.0001714%), (WM, 0, 1.09%, 0.0012004%), (GE, 0, 1.06%, 0.0003817%), (ORCL, 0, 0.94%, 0.0001421%), (NEE, 0, 0.94%, 0.0005965%), (NFLX, 0, 0.91%, 0.0001787%), (UNH, 0, 0.90%, 0.0003326%), (JNJ, 0, 0.87%, 0.0002055%), (WMT, 0, 0.82%, 0.0001034%), (COST, 0, 0.81%, 0.0001898%), (PG, 0, 0.81%, 0.0002229%), (PLTR, 0, 0.81%, 0.0002271%), (CVX, 0, 0.79%, 0.0002555%), (MCD, 0, 0.75%, 0.0003449%), (RTX, 0, 0.75%, 0.0003693%), (HD, 0, 0.75%, 0.0001871%), (ABBV, 0, 0.74%, 0.0002057%), (CAT, 0, 0.74%, 0.0003834%), (ABT, 0, 0.74%, 0.0003266%), (KO, 0, 0.65%, 0.0002190%), (BAC, 0, 0.64%, 0.0001820%), (BKNG, 0, 0.63%, 0.0003537%), (PM, 0, 0.63%, 0.0002426%), (AMD, 0, 0.62%, 0.0002326%), (BA, 0, 0.62%, 0.0003659%), (SO, 0, 0.62%, 0.0006016%), (NKE, 0, 0.61%, 0.0006766%), (CRM, 0, 0.58%, 0.0002530%), (DUK, 0, 0.57%, 0.0006006%), (UBER, 0, 0.56%, 0.0002872%), (IBM, 0, 0.55%, 0.0002493%), (ISRG, 0, 0.55%, 0.0003289%), (GS, 0, 0.55%, 0.0002564%), (MET, 0, 0.52%, 0.0010072%), (HON, 0, 0.52%, 0.0003810%), (WFC, 0, 0.51%, 0.0002098%), (ETN, 0, 0.51%, 0.0003776%), (PEP, 0, 0.50%, 0.0002438%), (INTU, 0, 0.49%, 0.0002532%), (T, 0, 0.46%, 0.0010448%), (DE, 0, 0.46%, 0.0003499%), (NOW, 0, 0.45%, 0.0002495%), (MRK, 0, 0.43%, 0.0002083%), (MS, 0, 0.43%, 0.0001903%), (SPGI, 0, 0.43%, 0.0002569%), (VZ, 0, 0.42%, 0.0002232%), (AXP, 0, 0.41%, 0.0001979%), (TXN, 0, 0.41%, 0.0002334%), (QCOM, 0, 0.40%, 0.0002395%), (BLK, 0, 0.40%, 0.0002305%), (ADBE, 0, 0.39%, 0.0002649%), (ACN, 0, 0.39%, 0.0002527%), (TMO, 0, 0.39%, 0.0002095%), (UNP, 0, 0.38%, 0.0002906%), (COP, 0, 0.38%, 0.0003242%), (MDT, 0, 0.37%, 0.0003274%), (DIS, 0, 0.37%, 0.0001783%), (C, 0, 0.35%, 0.0002074%), (SBUX, 0, 0.35%, 0.0003425%), (SCHW, 0, 0.35%, 0.0002017%), (LMT, 0, 0.34%, 0.0003392%), (AMGN, 0, 0.32%, 0.0002053%), (MMM, 0, 0.31%, 0.0003812%), (AMAT, 0, 0.31%, 0.0002406%), (GILD, 0, 0.30%, 0.0002064%), (PFE, 0, 0.29%, 0.0002050%), (CVS, 0, 0.29%, 0.0003246%), (TJX, 0, 0.28%, 0.0001900%), (DHR, 0, 0.28%, 0.0001872%), (EMR, 0, 0.28%, 0.0003769%), (MO, 0, 0.27%, 0.0002453%), (LOW, 0, 0.27%, 0.0001897%), (INTC, 0, 0.25%, 0.0002156%), (ELV, 0, 0.23%, 0.0003415%), (CMCSA, 0, 0.23%, 0.0001859%), (MDLZ, 0, 0.20%, 0.0002518%), (BMY, 0, 0.20%, 0.0002049%), (UPS, 0, 0.18%, 0.0002826%), (PYPL, 0, 0.17%, 0.0002624%), (CL, 0, 0.15%, 0.0002242%), (FDX, 0, 0.15%, 0.0002708%), (USB, 0, 0.14%, 0.0002024%), (TGT, 0, 0.09%, 0.0001926%), (nan, 0, -0.00%, 0.0000000%), (nan, 0, -0.00%, 0.0000000%)</t>
  </si>
  <si>
    <t>(GOOGLE, 0, 3.80%, 0.0000392%), (AVGO, 0, 3.21%, 0.0000539%), (META, 0, 2.91%, 0.0000415%), (BRK/B, 0, 2.17%, 0.0000763%), (LIN, 0, 1.86%, 0.0001936%), (CSCO, 0, 1.82%, 0.0001616%), (TSLA, 0, 1.70%, 0.0000364%), (JPM, 0, 1.65%, 0.0000484%), (AMT, 0, 1.62%, 0.0003915%), (XOM, 0, 1.48%, 0.0000756%), (V, 0, 1.45%, 0.0000584%), (CB, 0, 1.19%, 0.0002571%), (MA, 0, 1.18%, 0.0000527%), (LLY, 0, 1.14%, 0.0000402%), (WM, 0, 1.11%, 0.0002812%), (GE, 0, 1.07%, 0.0000894%), (ORCL, 0, 0.95%, 0.0000333%), (NEE, 0, 0.95%, 0.0001398%), (NFLX, 0, 0.92%, 0.0000418%), (UNH, 0, 0.92%, 0.0000779%), (JNJ, 0, 0.88%, 0.0000481%), (WMT, 0, 0.83%, 0.0000242%), (PG, 0, 0.82%, 0.0000523%), (COST, 0, 0.82%, 0.0000445%), (PLTR, 0, 0.82%, 0.0000532%), (CVX, 0, 0.80%, 0.0000599%), (MCD, 0, 0.76%, 0.0000809%), (RTX, 0, 0.76%, 0.0000865%), (HD, 0, 0.76%, 0.0000439%), (ABBV, 0, 0.75%, 0.0000482%), (CAT, 0, 0.75%, 0.0000899%), (ABT, 0, 0.75%, 0.0000765%), (KO, 0, 0.66%, 0.0000513%), (BKNG, 0, 0.65%, 0.0000838%), (BAC, 0, 0.65%, 0.0000426%), (PM, 0, 0.64%, 0.0000569%), (AMD, 0, 0.63%, 0.0000545%), (BA, 0, 0.63%, 0.0000858%), (SO, 0, 0.62%, 0.0001410%), (NKE, 0, 0.62%, 0.0001586%), (CRM, 0, 0.59%, 0.0000593%), (DUK, 0, 0.58%, 0.0001408%), (UBER, 0, 0.57%, 0.0000673%), (IBM, 0, 0.56%, 0.0000584%), (ISRG, 0, 0.56%, 0.0000770%), (GS, 0, 0.55%, 0.0000600%), (MET, 0, 0.53%, 0.0002361%), (HON, 0, 0.53%, 0.0000893%), (WFC, 0, 0.52%, 0.0000492%), (ETN, 0, 0.51%, 0.0000886%), (PEP, 0, 0.51%, 0.0000571%), (INTU, 0, 0.50%, 0.0000595%), (T, 0, 0.47%, 0.0002449%), (NOW, 0, 0.46%, 0.0000587%), (DE, 0, 0.46%, 0.0000821%), (MRK, 0, 0.44%, 0.0000488%), (MS, 0, 0.44%, 0.0000446%), (SPGI, 0, 0.43%, 0.0000601%), (VZ, 0, 0.42%, 0.0000523%), (AXP, 0, 0.42%, 0.0000463%), (TXN, 0, 0.42%, 0.0000547%), (BLK, 0, 0.41%, 0.0000542%), (QCOM, 0, 0.40%, 0.0000562%), (ACN, 0, 0.40%, 0.0000592%), (ADBE, 0, 0.40%, 0.0000621%), (TMO, 0, 0.39%, 0.0000490%), (UNP, 0, 0.39%, 0.0000681%), (COP, 0, 0.38%, 0.0000760%), (MDT, 0, 0.38%, 0.0000767%), (DIS, 0, 0.37%, 0.0000418%), (C, 0, 0.36%, 0.0000486%), (SBUX, 0, 0.35%, 0.0000802%), (SCHW, 0, 0.35%, 0.0000473%), (LMT, 0, 0.35%, 0.0000795%), (AMGN, 0, 0.33%, 0.0000481%), (MMM, 0, 0.31%, 0.0000894%), (AMAT, 0, 0.31%, 0.0000564%), (GILD, 0, 0.30%, 0.0000484%), (PFE, 0, 0.29%, 0.0000480%), (CVS, 0, 0.29%, 0.0000761%), (TJX, 0, 0.28%, 0.0000446%), (DHR, 0, 0.28%, 0.0000439%), (EMR, 0, 0.28%, 0.0000883%), (MO, 0, 0.27%, 0.0000575%), (LOW, 0, 0.27%, 0.0000444%), (INTC, 0, 0.25%, 0.0000505%), (ELV, 0, 0.24%, 0.0000801%), (CMCSA, 0, 0.23%, 0.0000436%), (MDLZ, 0, 0.20%, 0.0000590%), (BMY, 0, 0.20%, 0.0000480%), (UPS, 0, 0.18%, 0.0000663%), (PYPL, 0, 0.17%, 0.0000615%), (CL, 0, 0.16%, 0.0000526%), (FDX, 0, 0.15%, 0.0000636%), (USB, 0, 0.15%, 0.0000474%), (TGT, 0, 0.09%, 0.0000451%), (nan, 0, -0.00%, 0.0000000%), (nan, 0, -0.00%, 0.0000000%)</t>
  </si>
  <si>
    <t>(GOOGLE, 0, 3.61%, 0.0000687%), (AVGO, 0, 3.05%, 0.0000946%), (META, 0, 2.76%, 0.0000729%), (BRK/B, 0, 2.07%, 0.0001339%), (LIN, 0, 1.76%, 0.0003397%), (CSCO, 0, 1.73%, 0.0002835%), (TSLA, 0, 1.61%, 0.0000638%), (JPM, 0, 1.57%, 0.0000850%), (AMT, 0, 1.54%, 0.0006872%), (XOM, 0, 1.41%, 0.0001327%), (V, 0, 1.38%, 0.0001024%), (CB, 0, 1.13%, 0.0004510%), (MA, 0, 1.12%, 0.0000926%), (LLY, 0, 1.08%, 0.0000704%), (WM, 0, 1.05%, 0.0004937%), (GE, 0, 1.02%, 0.0001569%), (ORCL, 0, 0.91%, 0.0000584%), (NEE, 0, 0.90%, 0.0002453%), (NFLX, 0, 0.87%, 0.0000734%), (UNH, 0, 0.87%, 0.0001368%), (JNJ, 0, 0.84%, 0.0000845%), (WMT, 0, 0.79%, 0.0000425%), (COST, 0, 0.78%, 0.0000781%), (PG, 0, 0.78%, 0.0000917%), (PLTR, 0, 0.78%, 0.0000934%), (CVX, 0, 0.76%, 0.0001051%), (MCD, 0, 0.73%, 0.0001418%), (RTX, 0, 0.72%, 0.0001519%), (HD, 0, 0.72%, 0.0000770%), (ABBV, 0, 0.71%, 0.0000846%), (ABT, 0, 0.71%, 0.0001343%), (CAT, 0, 0.71%, 0.0001575%), (KO, 0, 0.63%, 0.0000900%), (BAC, 0, 0.61%, 0.0000748%), (BKNG, 0, 0.61%, 0.0001458%), (PM, 0, 0.61%, 0.0000998%), (AMD, 0, 0.60%, 0.0000956%), (BA, 0, 0.60%, 0.0001504%), (SO, 0, 0.59%, 0.0002474%), (NKE, 0, 0.59%, 0.0002782%), (CRM, 0, 0.56%, 0.0001041%), (DUK, 0, 0.55%, 0.0002470%), (UBER, 0, 0.54%, 0.0001181%), (IBM, 0, 0.53%, 0.0001025%), (ISRG, 0, 0.53%, 0.0001354%), (GS, 0, 0.53%, 0.0001054%), (MET, 0, 0.50%, 0.0004141%), (HON, 0, 0.50%, 0.0001567%), (WFC, 0, 0.50%, 0.0000863%), (ETN, 0, 0.49%, 0.0001552%), (PEP, 0, 0.48%, 0.0001003%), (INTU, 0, 0.47%, 0.0001040%), (T, 0, 0.44%, 0.0004296%), (DE, 0, 0.44%, 0.0001439%), (NOW, 0, 0.43%, 0.0001024%), (MRK, 0, 0.42%, 0.0000856%), (MS, 0, 0.42%, 0.0000782%), (SPGI, 0, 0.41%, 0.0001057%), (VZ, 0, 0.40%, 0.0000918%), (AXP, 0, 0.40%, 0.0000813%), (TXN, 0, 0.39%, 0.0000960%), (BLK, 0, 0.38%, 0.0000949%), (QCOM, 0, 0.38%, 0.0000984%), (ADBE, 0, 0.38%, 0.0001089%), (ACN, 0, 0.38%, 0.0001039%), (TMO, 0, 0.37%, 0.0000860%), (UNP, 0, 0.37%, 0.0001195%), (COP, 0, 0.36%, 0.0001333%), (MDT, 0, 0.36%, 0.0001346%), (DIS, 0, 0.35%, 0.0000733%), (C, 0, 0.34%, 0.0000853%), (SBUX, 0, 0.34%, 0.0001408%), (SCHW, 0, 0.33%, 0.0000829%), (LMT, 0, 0.33%, 0.0001396%), (AMGN, 0, 0.31%, 0.0000845%), (MMM, 0, 0.30%, 0.0001568%), (AMAT, 0, 0.30%, 0.0000989%), (GILD, 0, 0.29%, 0.0000849%), (PFE, 0, 0.28%, 0.0000843%), (CVS, 0, 0.28%, 0.0001334%), (TJX, 0, 0.27%, 0.0000782%), (DHR, 0, 0.27%, 0.0000770%), (EMR, 0, 0.27%, 0.0001549%), (MO, 0, 0.26%, 0.0001009%), (LOW, 0, 0.26%, 0.0000779%), (INTC, 0, 0.24%, 0.0000887%), (ELV, 0, 0.23%, 0.0001404%), (CMCSA, 0, 0.22%, 0.0000764%), (MDLZ, 0, 0.19%, 0.0001035%), (BMY, 0, 0.19%, 0.0000842%), (UPS, 0, 0.17%, 0.0001162%), (PYPL, 0, 0.16%, 0.0001079%), (CL, 0, 0.15%, 0.0000922%), (FDX, 0, 0.14%, 0.0001115%), (USB, 0, 0.14%, 0.0000832%), (TGT, 0, 0.09%, 0.0000792%), (nan, 0, -0.00%, 0.0000000%), (nan, 0, -0.00%, 0.0000000%)</t>
  </si>
  <si>
    <t>(GOOGLE, 0, 3.69%, 0.0000248%), (AVGO, 0, 3.12%, 0.0000342%), (META, 0, 2.82%, 0.0000264%), (BRK/B, 0, 2.11%, 0.0000484%), (LIN, 0, 1.80%, 0.0001227%), (CSCO, 0, 1.76%, 0.0001025%), (TSLA, 0, 1.65%, 0.0000231%), (JPM, 0, 1.60%, 0.0000307%), (AMT, 0, 1.57%, 0.0002484%), (XOM, 0, 1.43%, 0.0000480%), (V, 0, 1.41%, 0.0000370%), (CB, 0, 1.15%, 0.0001631%), (MA, 0, 1.14%, 0.0000334%), (LLY, 0, 1.10%, 0.0000255%), (WM, 0, 1.08%, 0.0001785%), (GE, 0, 1.04%, 0.0000567%), (ORCL, 0, 0.92%, 0.0000211%), (NEE, 0, 0.92%, 0.0000887%), (NFLX, 0, 0.89%, 0.0000264%), (UNH, 0, 0.89%, 0.0000495%), (JNJ, 0, 0.86%, 0.0000305%), (WMT, 0, 0.81%, 0.0000154%), (COST, 0, 0.80%, 0.0000282%), (PG, 0, 0.80%, 0.0000331%), (PLTR, 0, 0.79%, 0.0000338%), (CVX, 0, 0.77%, 0.0000380%), (MCD, 0, 0.74%, 0.0000513%), (RTX, 0, 0.74%, 0.0000549%), (HD, 0, 0.73%, 0.0000278%), (ABBV, 0, 0.73%, 0.0000306%), (ABT, 0, 0.72%, 0.0000485%), (CAT, 0, 0.72%, 0.0000570%), (KO, 0, 0.64%, 0.0000325%), (BAC, 0, 0.63%, 0.0000271%), (BKNG, 0, 0.62%, 0.0000527%), (PM, 0, 0.62%, 0.0000361%), (AMD, 0, 0.61%, 0.0000346%), (BA, 0, 0.61%, 0.0000543%), (SO, 0, 0.61%, 0.0000894%), (NKE, 0, 0.60%, 0.0001006%), (CRM, 0, 0.57%, 0.0000376%), (DUK, 0, 0.56%, 0.0000893%), (UBER, 0, 0.55%, 0.0000427%), (IBM, 0, 0.54%, 0.0000370%), (ISRG, 0, 0.54%, 0.0000488%), (GS, 0, 0.54%, 0.0000380%), (MET, 0, 0.51%, 0.0001498%), (HON, 0, 0.51%, 0.0000567%), (WFC, 0, 0.51%, 0.0000312%), (ETN, 0, 0.50%, 0.0000563%), (PEP, 0, 0.49%, 0.0000363%), (INTU, 0, 0.48%, 0.0000377%), (DE, 0, 0.45%, 0.0000522%), (T, 0, 0.45%, 0.0001553%), (NOW, 0, 0.45%, 0.0000370%), (MRK, 0, 0.43%, 0.0000309%), (MS, 0, 0.43%, 0.0000283%), (SPGI, 0, 0.42%, 0.0000383%), (VZ, 0, 0.41%, 0.0000332%), (AXP, 0, 0.40%, 0.0000295%), (TXN, 0, 0.40%, 0.0000347%), (QCOM, 0, 0.39%, 0.0000356%), (BLK, 0, 0.39%, 0.0000342%), (ADBE, 0, 0.39%, 0.0000394%), (ACN, 0, 0.39%, 0.0000376%), (TMO, 0, 0.38%, 0.0000311%), (UNP, 0, 0.37%, 0.0000432%), (COP, 0, 0.37%, 0.0000482%), (MDT, 0, 0.37%, 0.0000486%), (DIS, 0, 0.36%, 0.0000265%), (C, 0, 0.35%, 0.0000309%), (SBUX, 0, 0.34%, 0.0000509%), (SCHW, 0, 0.34%, 0.0000300%), (LMT, 0, 0.34%, 0.0000506%), (AMGN, 0, 0.32%, 0.0000305%), (MMM, 0, 0.30%, 0.0000567%), (AMAT, 0, 0.30%, 0.0000358%), (GILD, 0, 0.29%, 0.0000307%), (PFE, 0, 0.29%, 0.0000305%), (CVS, 0, 0.28%, 0.0000483%), (TJX, 0, 0.27%, 0.0000282%), (DHR, 0, 0.27%, 0.0000279%), (EMR, 0, 0.27%, 0.0000560%), (MO, 0, 0.27%, 0.0000365%), (LOW, 0, 0.27%, 0.0000282%), (INTC, 0, 0.24%, 0.0000321%), (ELV, 0, 0.23%, 0.0000508%), (CMCSA, 0, 0.22%, 0.0000276%), (MDLZ, 0, 0.20%, 0.0000374%), (BMY, 0, 0.20%, 0.0000305%), (UPS, 0, 0.18%, 0.0000420%), (PYPL, 0, 0.16%, 0.0000390%), (CL, 0, 0.15%, 0.0000334%), (FDX, 0, 0.15%, 0.0000403%), (USB, 0, 0.14%, 0.0000301%), (TGT, 0, 0.09%, 0.0000286%), (nan, 0, -0.00%, 0.0000000%), (nan, 0, -0.00%, 0.0000000%)</t>
  </si>
  <si>
    <t>(GOOGLE, 0, 3.92%, 0.0000596%), (AVGO, 0, 3.31%, 0.0000820%), (META, 0, 3.00%, 0.0000632%), (BRK/B, 0, 2.24%, 0.0001161%), (LIN, 0, 1.91%, 0.0002945%), (CSCO, 0, 1.87%, 0.0002459%), (TSLA, 0, 1.75%, 0.0000554%), (JPM, 0, 1.70%, 0.0000737%), (AMT, 0, 1.67%, 0.0005960%), (XOM, 0, 1.52%, 0.0001151%), (V, 0, 1.50%, 0.0000888%), (CB, 0, 1.22%, 0.0003913%), (MA, 0, 1.21%, 0.0000803%), (LLY, 0, 1.17%, 0.0000611%), (WM, 0, 1.14%, 0.0004282%), (GE, 0, 1.11%, 0.0001361%), (ORCL, 0, 0.98%, 0.0000507%), (NEE, 0, 0.98%, 0.0002127%), (NFLX, 0, 0.95%, 0.0000637%), (UNH, 0, 0.94%, 0.0001187%), (JNJ, 0, 0.91%, 0.0000733%), (WMT, 0, 0.86%, 0.0000369%), (COST, 0, 0.85%, 0.0000677%), (PG, 0, 0.85%, 0.0000795%), (PLTR, 0, 0.84%, 0.0000810%), (CVX, 0, 0.82%, 0.0000911%), (MCD, 0, 0.79%, 0.0001230%), (RTX, 0, 0.79%, 0.0001317%), (HD, 0, 0.78%, 0.0000667%), (ABBV, 0, 0.77%, 0.0000734%), (ABT, 0, 0.77%, 0.0001165%), (CAT, 0, 0.77%, 0.0001366%), (KO, 0, 0.68%, 0.0000781%), (BAC, 0, 0.67%, 0.0000649%), (BKNG, 0, 0.66%, 0.0001272%), (PM, 0, 0.66%, 0.0000865%), (AMD, 0, 0.65%, 0.0000829%), (BA, 0, 0.65%, 0.0001305%), (SO, 0, 0.64%, 0.0002146%), (NKE, 0, 0.64%, 0.0002413%), (CRM, 0, 0.61%, 0.0000902%), (DUK, 0, 0.60%, 0.0002142%), (UBER, 0, 0.59%, 0.0001024%), (IBM, 0, 0.58%, 0.0000889%), (ISRG, 0, 0.58%, 0.0001173%), (GS, 0, 0.57%, 0.0000914%), (MET, 0, 0.55%, 0.0003592%), (HON, 0, 0.54%, 0.0001359%), (WFC, 0, 0.54%, 0.0000748%), (ETN, 0, 0.53%, 0.0001346%), (PEP, 0, 0.52%, 0.0000870%), (INTU, 0, 0.51%, 0.0000904%), (T, 0, 0.48%, 0.0003726%), (DE, 0, 0.48%, 0.0001250%), (NOW, 0, 0.47%, 0.0000889%), (MRK, 0, 0.45%, 0.0000743%), (MS, 0, 0.45%, 0.0000678%), (SPGI, 0, 0.44%, 0.0000915%), (VZ, 0, 0.44%, 0.0000796%), (AXP, 0, 0.43%, 0.0000706%), (TXN, 0, 0.43%, 0.0000833%), (QCOM, 0, 0.42%, 0.0000854%), (BLK, 0, 0.42%, 0.0000820%), (ADBE, 0, 0.41%, 0.0000946%), (ACN, 0, 0.41%, 0.0000901%), (TMO, 0, 0.40%, 0.0000748%), (UNP, 0, 0.40%, 0.0001037%), (COP, 0, 0.39%, 0.0001156%), (MDT, 0, 0.39%, 0.0001168%), (DIS, 0, 0.38%, 0.0000636%), (C, 0, 0.37%, 0.0000740%), (SBUX, 0, 0.36%, 0.0001221%), (SCHW, 0, 0.36%, 0.0000719%), (LMT, 0, 0.36%, 0.0001210%), (AMGN, 0, 0.34%, 0.0000732%), (MMM, 0, 0.32%, 0.0001359%), (AMAT, 0, 0.32%, 0.0000859%), (GILD, 0, 0.31%, 0.0000736%), (PFE, 0, 0.30%, 0.0000731%), (CVS, 0, 0.30%, 0.0001158%), (TJX, 0, 0.29%, 0.0000677%), (DHR, 0, 0.29%, 0.0000667%), (EMR, 0, 0.29%, 0.0001343%), (MO, 0, 0.28%, 0.0000875%), (LOW, 0, 0.28%, 0.0000676%), (INTC, 0, 0.26%, 0.0000769%), (ELV, 0, 0.25%, 0.0001219%), (CMCSA, 0, 0.24%, 0.0000663%), (MDLZ, 0, 0.21%, 0.0000898%), (BMY, 0, 0.21%, 0.0000730%), (UPS, 0, 0.19%, 0.0001008%), (PYPL, 0, 0.17%, 0.0000936%), (CL, 0, 0.16%, 0.0000799%), (FDX, 0, 0.15%, 0.0000966%), (USB, 0, 0.15%, 0.0000722%), (TGT, 0, 0.09%, 0.0000687%), (nan, 0, -0.01%, 0.0000000%), (nan, 0, -0.01%, 0.0000000%)</t>
  </si>
  <si>
    <t>EBAY, META, BK, MSFT, GOOGLE, MLI, EA, BLK, JPM, BKNG, PHM</t>
  </si>
  <si>
    <t>(RJF, 0, 1.94%, 0.0032289%), (HIG, 0, 1.86%, 0.0027687%), (EWBC, 0, 1.85%, 0.0072267%), (AXP, 0, 1.82%, 0.0004718%), (V, 0, 1.81%, 0.0001696%), (TRV, 0, 1.81%, 0.0016435%), (ROST, 0, 1.74%, 0.0019737%), (NVDA, 0, 1.73%, 0.0000222%), (ADP, 0, 1.72%, 0.0007610%), (SNA, 0, 1.71%, 0.0055242%), (LEN, 0, 1.67%, 0.0030393%), (PCAR, 0, 1.66%, 0.0017349%), (UNM, 0, 1.64%, 0.0076107%), (AMAT, 0, 1.64%, 0.0006929%), (KLAC, 0, 1.64%, 0.0007755%), (CB, 0, 1.63%, 0.0008261%), (SYF, 0, 1.58%, 0.0033406%), (WSM, 0, 1.51%, 0.0033451%), (CTSH, 0, 1.51%, 0.0024127%), (CRM, 0, 1.49%, 0.0003467%), (PAYC, 0, 1.47%, 0.0060905%), (DHI, 0, 1.39%, 0.0015349%), (BKR, 0, 1.35%, 0.0017367%), (QCOM, 0, 1.33%, 0.0004308%), (ACN, 0, 1.29%, 0.0004409%), (AAPL, 0, 1.27%, 0.0000203%), (ELV, 0, 1.26%, 0.0009931%), (AFL, 0, 1.25%, 0.0011901%), (MPWR, 0, 1.14%, 0.0015347%), (ODFL, 0, 1.12%, 0.0018785%), (LRCX, 0, 1.09%, 0.0004726%), (CSCO, 0, 1.05%, 0.0002181%), (GE, 0, 1.01%, 0.0001972%), (STT, 0, 0.97%, 0.0017106%), (PNC, 0, 0.90%, 0.0006498%), (MTB, 0, 0.89%, 0.0016546%), (AMP, 0, 0.86%, 0.0010021%), (COST, 0, 0.86%, 0.0001079%), (CF, 0, 0.84%, 0.0033715%), (ABT, 0, 0.83%, 0.0001978%), (XOM, 0, 0.79%, 0.0000938%), (EOG, 0, 0.77%, 0.0006592%), (CSL, 0, 0.76%, 0.0025631%), (EG, 0, 0.75%, 0.0028810%), (GEV, 0, 0.54%, 0.0001795%), (NTRS, 0, 0.52%, 0.0011728%), (MA, 0, 0.50%, 0.0000519%), (JNJ, 0, 0.48%, 0.0000616%), (CRBG, 0, 0.48%, 0.0014146%), (ACM, 0, 0.46%, 0.0015840%), (LNC, 0, 0.45%, 0.0031937%), (JXN, 0, 0.44%, 0.0035950%), (MTG, 0, 0.44%, 0.0038951%), (CINF, 0, 0.43%, 0.0009890%), (DOV, 0, 0.43%, 0.0009457%), (ALL, 0, 0.42%, 0.0004167%), (WTFC, 0, 0.42%, 0.0026691%), (EQH, 0, 0.41%, 0.0014356%), (ADM, 0, 0.41%, 0.0007686%), (MCK, 0, 0.40%, 0.0002573%), (NUE, 0, 0.40%, 0.0006461%), (SLM, 0, 0.39%, 0.0035072%), (NKE, 0, 0.38%, 0.0002273%), (PGR, 0, 0.37%, 0.0001380%), (FANG, 0, 0.29%, 0.0003986%)</t>
  </si>
  <si>
    <t>(GOOGLE, 0, 3.57%, 0.0000631%), (AVGO, 0, 3.01%, 0.0000868%), (META, 0, 2.73%, 0.0000669%), (BRK/B, 0, 2.04%, 0.0001229%), (LIN, 0, 1.74%, 0.0003118%), (CSCO, 0, 1.71%, 0.0002602%), (TSLA, 0, 1.59%, 0.0000586%), (JPM, 0, 1.55%, 0.0000780%), (AMT, 0, 1.52%, 0.0006308%), (XOM, 0, 1.39%, 0.0001218%), (V, 0, 1.36%, 0.0000940%), (CB, 0, 1.11%, 0.0004142%), (MA, 0, 1.10%, 0.0000850%), (LLY, 0, 1.07%, 0.0000647%), (WM, 0, 1.04%, 0.0004533%), (GE, 0, 1.01%, 0.0001441%), (ORCL, 0, 0.89%, 0.0000536%), (NEE, 0, 0.89%, 0.0002252%), (NFLX, 0, 0.86%, 0.0000675%), (UNH, 0, 0.86%, 0.0001256%), (JNJ, 0, 0.83%, 0.0000776%), (WMT, 0, 0.78%, 0.0000390%), (COST, 0, 0.77%, 0.0000718%), (PG, 0, 0.77%, 0.0000841%), (PLTR, 0, 0.77%, 0.0000857%), (CVX, 0, 0.75%, 0.0000965%), (MCD, 0, 0.72%, 0.0001302%), (RTX, 0, 0.72%, 0.0001394%), (HD, 0, 0.71%, 0.0000706%), (ABBV, 0, 0.70%, 0.0000777%), (ABT, 0, 0.70%, 0.0001233%), (CAT, 0, 0.70%, 0.0001447%), (KO, 0, 0.62%, 0.0000827%), (BAC, 0, 0.61%, 0.0000687%), (BKNG, 0, 0.60%, 0.0001334%), (PM, 0, 0.60%, 0.0000916%), (AMD, 0, 0.59%, 0.0000878%), (BA, 0, 0.59%, 0.0001381%), (SO, 0, 0.59%, 0.0002271%), (NKE, 0, 0.58%, 0.0002554%), (CRM, 0, 0.55%, 0.0000955%), (DUK, 0, 0.54%, 0.0002268%), (UBER, 0, 0.53%, 0.0001084%), (IBM, 0, 0.53%, 0.0000940%), (ISRG, 0, 0.52%, 0.0001241%), (GS, 0, 0.52%, 0.0000967%), (MET, 0, 0.50%, 0.0003803%), (HON, 0, 0.49%, 0.0001438%), (WFC, 0, 0.49%, 0.0000792%), (ETN, 0, 0.48%, 0.0001426%), (PEP, 0, 0.48%, 0.0000920%), (INTU, 0, 0.46%, 0.0000958%), (T, 0, 0.44%, 0.0003944%), (DE, 0, 0.43%, 0.0001321%), (NOW, 0, 0.43%, 0.0000942%), (MRK, 0, 0.41%, 0.0000786%), (MS, 0, 0.41%, 0.0000719%), (SPGI, 0, 0.41%, 0.0000971%), (VZ, 0, 0.40%, 0.0000842%), (AXP, 0, 0.39%, 0.0000746%), (TXN, 0, 0.39%, 0.0000882%), (BLK, 0, 0.38%, 0.0000872%), (QCOM, 0, 0.38%, 0.0000904%), (ACN, 0, 0.38%, 0.0000954%), (ADBE, 0, 0.38%, 0.0001001%), (TMO, 0, 0.37%, 0.0000791%), (UNP, 0, 0.36%, 0.0001098%), (COP, 0, 0.36%, 0.0001224%), (MDT, 0, 0.36%, 0.0001236%), (DIS, 0, 0.35%, 0.0000673%), (C, 0, 0.34%, 0.0000783%), (SBUX, 0, 0.33%, 0.0001293%), (SCHW, 0, 0.33%, 0.0000761%), (LMT, 0, 0.32%, 0.0001279%), (AMGN, 0, 0.31%, 0.0000775%), (MMM, 0, 0.29%, 0.0001440%), (AMAT, 0, 0.29%, 0.0000909%), (GILD, 0, 0.28%, 0.0000779%), (PFE, 0, 0.28%, 0.0000774%), (CVS, 0, 0.27%, 0.0001225%), (TJX, 0, 0.27%, 0.0000717%), (DHR, 0, 0.26%, 0.0000706%), (EMR, 0, 0.26%, 0.0001423%), (MO, 0, 0.26%, 0.0000926%), (LOW, 0, 0.26%, 0.0000717%), (INTC, 0, 0.24%, 0.0000814%), (ELV, 0, 0.22%, 0.0001291%), (CMCSA, 0, 0.21%, 0.0000702%), (MDLZ, 0, 0.19%, 0.0000950%), (BMY, 0, 0.19%, 0.0000773%), (UPS, 0, 0.17%, 0.0001067%), (PYPL, 0, 0.16%, 0.0000991%), (CL, 0, 0.15%, 0.0000846%), (FDX, 0, 0.14%, 0.0001021%), (USB, 0, 0.14%, 0.0000764%), (TGT, 0, 0.09%, 0.0000726%), (nan, 0, -0.00%, 0.0000000%), (nan, 0, -0.00%, 0.0000000%)</t>
  </si>
  <si>
    <t>(GOOGLE, 0, 3.75%, 0.0001293%), (AVGO, 0, 3.16%, 0.0001778%), (META, 0, 2.86%, 0.0001370%), (BRK/B, 0, 2.14%, 0.0002518%), (LIN, 0, 1.83%, 0.0006386%), (CSCO, 0, 1.79%, 0.0005331%), (TSLA, 0, 1.67%, 0.0001200%), (JPM, 0, 1.63%, 0.0001598%), (AMT, 0, 1.60%, 0.0012921%), (XOM, 0, 1.46%, 0.0002495%), (V, 0, 1.43%, 0.0001926%), (CB, 0, 1.17%, 0.0008482%), (MA, 0, 1.16%, 0.0001741%), (LLY, 0, 1.12%, 0.0001325%), (WM, 0, 1.09%, 0.0009281%), (GE, 0, 1.06%, 0.0002951%), (ORCL, 0, 0.94%, 0.0001098%), (NEE, 0, 0.94%, 0.0004612%), (NFLX, 0, 0.91%, 0.0001381%), (UNH, 0, 0.90%, 0.0002572%), (JNJ, 0, 0.87%, 0.0001589%), (WMT, 0, 0.82%, 0.0000799%), (COST, 0, 0.81%, 0.0001467%), (PG, 0, 0.81%, 0.0001724%), (PLTR, 0, 0.80%, 0.0001756%), (CVX, 0, 0.79%, 0.0001976%), (MCD, 0, 0.75%, 0.0002667%), (RTX, 0, 0.75%, 0.0002855%), (HD, 0, 0.75%, 0.0001447%), (ABBV, 0, 0.74%, 0.0001591%), (CAT, 0, 0.74%, 0.0002965%), (ABT, 0, 0.74%, 0.0002525%), (KO, 0, 0.65%, 0.0001693%), (BAC, 0, 0.64%, 0.0001407%), (BKNG, 0, 0.63%, 0.0002730%), (PM, 0, 0.63%, 0.0001876%), (AMD, 0, 0.62%, 0.0001798%), (BA, 0, 0.62%, 0.0002829%), (SO, 0, 0.61%, 0.0004652%), (NKE, 0, 0.61%, 0.0005232%), (CRM, 0, 0.58%, 0.0001957%), (DUK, 0, 0.57%, 0.0004643%), (UBER, 0, 0.56%, 0.0002221%), (IBM, 0, 0.55%, 0.0001927%), (ISRG, 0, 0.55%, 0.0002544%), (GS, 0, 0.55%, 0.0001980%), (MET, 0, 0.52%, 0.0007788%), (HON, 0, 0.52%, 0.0002945%), (WFC, 0, 0.51%, 0.0001623%), (ETN, 0, 0.51%, 0.0002921%), (PEP, 0, 0.50%, 0.0001885%), (INTU, 0, 0.49%, 0.0001958%), (T, 0, 0.46%, 0.0008079%), (DE, 0, 0.46%, 0.0002708%), (NOW, 0, 0.45%, 0.0001928%), (MRK, 0, 0.43%, 0.0001610%), (MS, 0, 0.43%, 0.0001471%), (SPGI, 0, 0.43%, 0.0001985%), (VZ, 0, 0.42%, 0.0001726%), (AXP, 0, 0.41%, 0.0001530%), (TXN, 0, 0.41%, 0.0001805%), (QCOM, 0, 0.40%, 0.0001852%), (BLK, 0, 0.40%, 0.0001782%), (ACN, 0, 0.39%, 0.0001954%), (ADBE, 0, 0.39%, 0.0002050%), (TMO, 0, 0.39%, 0.0001618%), (UNP, 0, 0.38%, 0.0002247%), (COP, 0, 0.37%, 0.0002507%), (MDT, 0, 0.37%, 0.0002531%), (DIS, 0, 0.37%, 0.0001378%), (C, 0, 0.35%, 0.0001604%), (SBUX, 0, 0.35%, 0.0002648%), (SCHW, 0, 0.35%, 0.0001560%), (LMT, 0, 0.34%, 0.0002623%), (AMGN, 0, 0.32%, 0.0001588%), (MMM, 0, 0.31%, 0.0002948%), (AMAT, 0, 0.31%, 0.0001860%), (GILD, 0, 0.30%, 0.0001596%), (PFE, 0, 0.29%, 0.0001585%), (CVS, 0, 0.29%, 0.0002510%), (TJX, 0, 0.28%, 0.0001469%), (DHR, 0, 0.28%, 0.0001447%), (EMR, 0, 0.28%, 0.0002914%), (MO, 0, 0.27%, 0.0001897%), (LOW, 0, 0.27%, 0.0001466%), (INTC, 0, 0.25%, 0.0001667%), (ELV, 0, 0.23%, 0.0002641%), (CMCSA, 0, 0.23%, 0.0001437%), (MDLZ, 0, 0.20%, 0.0001947%), (BMY, 0, 0.20%, 0.0001584%), (UPS, 0, 0.18%, 0.0002185%), (PYPL, 0, 0.17%, 0.0002029%), (CL, 0, 0.15%, 0.0001733%), (FDX, 0, 0.15%, 0.0002094%), (USB, 0, 0.14%, 0.0001565%), (TGT, 0, 0.09%, 0.0001488%), (nan, 0, -0.00%, 0.0000000%), (nan, 0, -0.00%, 0.0000000%)</t>
  </si>
  <si>
    <t>(GOOGLE, 0, 3.53%, 0.0002592%), (AVGO, 0, 2.98%, 0.0003566%), (META, 0, 2.70%, 0.0002747%), (BRK/B, 0, 2.02%, 0.0005048%), (LIN, 0, 1.72%, 0.0012804%), (CSCO, 0, 1.69%, 0.0010690%), (TSLA, 0, 1.57%, 0.0002407%), (JPM, 0, 1.53%, 0.0003205%), (AMT, 0, 1.50%, 0.0025909%), (XOM, 0, 1.37%, 0.0005003%), (V, 0, 1.35%, 0.0003862%), (CB, 0, 1.10%, 0.0017009%), (MA, 0, 1.09%, 0.0003492%), (LLY, 0, 1.06%, 0.0002657%), (WM, 0, 1.03%, 0.0018612%), (GE, 0, 0.99%, 0.0005917%), (ORCL, 0, 0.88%, 0.0002203%), (NEE, 0, 0.88%, 0.0009248%), (NFLX, 0, 0.85%, 0.0002768%), (UNH, 0, 0.85%, 0.0005158%), (JNJ, 0, 0.82%, 0.0003186%), (WMT, 0, 0.77%, 0.0001603%), (COST, 0, 0.76%, 0.0002942%), (PG, 0, 0.76%, 0.0003457%), (PLTR, 0, 0.76%, 0.0003521%), (CVX, 0, 0.74%, 0.0003962%), (MCD, 0, 0.71%, 0.0005348%), (RTX, 0, 0.71%, 0.0005725%), (HD, 0, 0.70%, 0.0002901%), (ABBV, 0, 0.70%, 0.0003189%), (ABT, 0, 0.69%, 0.0005064%), (CAT, 0, 0.69%, 0.0005943%), (KO, 0, 0.61%, 0.0003395%), (BAC, 0, 0.60%, 0.0002821%), (PM, 0, 0.59%, 0.0003763%), (AMD, 0, 0.58%, 0.0003605%), (BA, 0, 0.58%, 0.0005672%), (BKNG, 0, 0.58%, 0.0005460%), (SO, 0, 0.58%, 0.0009328%), (NKE, 0, 0.57%, 0.0010490%), (CRM, 0, 0.55%, 0.0003923%), (DUK, 0, 0.54%, 0.0009311%), (UBER, 0, 0.53%, 0.0004453%), (IBM, 0, 0.52%, 0.0003864%), (ISRG, 0, 0.52%, 0.0005100%), (GS, 0, 0.52%, 0.0003974%), (MET, 0, 0.49%, 0.0015617%), (HON, 0, 0.49%, 0.0005907%), (WFC, 0, 0.48%, 0.0003253%), (ETN, 0, 0.48%, 0.0005854%), (PEP, 0, 0.47%, 0.0003780%), (INTU, 0, 0.46%, 0.0003927%), (T, 0, 0.43%, 0.0016199%), (DE, 0, 0.43%, 0.0005427%), (NOW, 0, 0.43%, 0.0003870%), (MRK, 0, 0.41%, 0.0003229%), (MS, 0, 0.41%, 0.0002951%), (SPGI, 0, 0.40%, 0.0003983%), (VZ, 0, 0.39%, 0.0003460%), (AXP, 0, 0.39%, 0.0003067%), (TXN, 0, 0.38%, 0.0003620%), (QCOM, 0, 0.37%, 0.0003713%), (BLK, 0, 0.37%, 0.0003571%), (ACN, 0, 0.37%, 0.0003919%), (ADBE, 0, 0.37%, 0.0004109%), (TMO, 0, 0.36%, 0.0003247%), (UNP, 0, 0.36%, 0.0004506%), (COP, 0, 0.35%, 0.0005027%), (MDT, 0, 0.35%, 0.0005076%), (DIS, 0, 0.35%, 0.0002764%), (C, 0, 0.33%, 0.0003216%), (SBUX, 0, 0.33%, 0.0005311%), (SCHW, 0, 0.33%, 0.0003127%), (LMT, 0, 0.32%, 0.0005259%), (AMGN, 0, 0.30%, 0.0003184%), (MMM, 0, 0.29%, 0.0005911%), (AMAT, 0, 0.29%, 0.0003731%), (GILD, 0, 0.28%, 0.0003199%), (PFE, 0, 0.27%, 0.0003178%), (CVS, 0, 0.27%, 0.0005033%), (TJX, 0, 0.26%, 0.0002946%), (DHR, 0, 0.26%, 0.0002901%), (EMR, 0, 0.26%, 0.0005842%), (MO, 0, 0.25%, 0.0003803%), (LOW, 0, 0.25%, 0.0002940%), (INTC, 0, 0.23%, 0.0003343%), (ELV, 0, 0.22%, 0.0005296%), (CMCSA, 0, 0.21%, 0.0002882%), (MDLZ, 0, 0.19%, 0.0003904%), (BMY, 0, 0.19%, 0.0003176%), (UPS, 0, 0.17%, 0.0004382%), (PYPL, 0, 0.16%, 0.0004069%), (CL, 0, 0.14%, 0.0003476%), (FDX, 0, 0.14%, 0.0004200%), (USB, 0, 0.14%, 0.0003138%), (TGT, 0, 0.08%, 0.0002984%), (nan, 0, -0.00%, 0.0000000%), (nan, 0, -0.00%, 0.0000000%)</t>
  </si>
  <si>
    <t>(AVGO, 0, 2.89%, 0.0000517%), (META, 0, 2.64%, 0.0000398%), (BRK/B, 0, 1.99%, 0.0000732%), (LIN, 0, 1.70%, 0.0001857%), (CSCO, 0, 1.67%, 0.0001550%), (TSLA, 0, 1.53%, 0.0000349%), (JPM, 0, 1.51%, 0.0000465%), (AMT, 0, 1.50%, 0.0003757%), (XOM, 0, 1.36%, 0.0000726%), (V, 0, 1.33%, 0.0000560%), (CB, 0, 1.10%, 0.0002467%), (MA, 0, 1.08%, 0.0000506%), (LLY, 0, 1.04%, 0.0000385%), (WM, 0, 1.02%, 0.0002698%), (GE, 0, 0.98%, 0.0000858%), (ORCL, 0, 0.87%, 0.0000320%), (NEE, 0, 0.86%, 0.0001341%), (NFLX, 0, 0.84%, 0.0000401%), (UNH, 0, 0.83%, 0.0000748%), (JNJ, 0, 0.81%, 0.0000462%), (WMT, 0, 0.77%, 0.0000232%), (COST, 0, 0.76%, 0.0000426%), (PG, 0, 0.75%, 0.0000501%), (PLTR, 0, 0.74%, 0.0000510%), (CVX, 0, 0.73%, 0.0000574%), (RTX, 0, 0.71%, 0.0000830%), (MCD, 0, 0.70%, 0.0000775%), (ABBV, 0, 0.69%, 0.0000462%), (CAT, 0, 0.69%, 0.0000862%), (ABT, 0, 0.69%, 0.0000734%), (HD, 0, 0.68%, 0.0000421%), (KO, 0, 0.61%, 0.0000492%), (BKNG, 0, 0.60%, 0.0000807%), (PM, 0, 0.59%, 0.0000545%), (BAC, 0, 0.59%, 0.0000409%), (BA, 0, 0.57%, 0.0000822%), (SO, 0, 0.57%, 0.0001352%), (AMD, 0, 0.57%, 0.0000523%), (NKE, 0, 0.56%, 0.0001521%), (CRM, 0, 0.54%, 0.0000569%), (DUK, 0, 0.53%, 0.0001350%), (IBM, 0, 0.52%, 0.0000561%), (UBER, 0, 0.51%, 0.0000646%), (ISRG, 0, 0.51%, 0.0000739%), (GS, 0, 0.51%, 0.0000577%), (MET, 0, 0.48%, 0.0002265%), (HON, 0, 0.48%, 0.0000857%), (WFC, 0, 0.48%, 0.0000472%), (ETN, 0, 0.47%, 0.0000850%), (PEP, 0, 0.46%, 0.0000548%), (INTU, 0, 0.45%, 0.0000570%), (T, 0, 0.43%, 0.0002349%), (DE, 0, 0.42%, 0.0000788%), (NOW, 0, 0.42%, 0.0000562%), (MRK, 0, 0.40%, 0.0000468%), (MS, 0, 0.40%, 0.0000428%), (SPGI, 0, 0.40%, 0.0000578%), (TXN, 0, 0.39%, 0.0000525%), (VZ, 0, 0.39%, 0.0000502%), (AXP, 0, 0.38%, 0.0000444%), (BLK, 0, 0.37%, 0.0000517%), (QCOM, 0, 0.37%, 0.0000538%), (ACN, 0, 0.36%, 0.0000568%), (MDT, 0, 0.36%, 0.0000736%), (ADBE, 0, 0.36%, 0.0000595%), (TMO, 0, 0.36%, 0.0000471%), (UNP, 0, 0.35%, 0.0000654%), (COP, 0, 0.35%, 0.0000729%), (DIS, 0, 0.34%, 0.0000401%), (C, 0, 0.33%, 0.0000467%), (LMT, 0, 0.32%, 0.0000761%), (SCHW, 0, 0.32%, 0.0000453%), (SBUX, 0, 0.32%, 0.0000770%), (AMGN, 0, 0.30%, 0.0000463%), (MMM, 0, 0.29%, 0.0000857%), (AMAT, 0, 0.28%, 0.0000541%), (GILD, 0, 0.28%, 0.0000464%), (PFE, 0, 0.27%, 0.0000461%), (TJX, 0, 0.27%, 0.0000428%), (CVS, 0, 0.26%, 0.0000729%), (DHR, 0, 0.25%, 0.0000420%), (EMR, 0, 0.25%, 0.0000848%), (MO, 0, 0.25%, 0.0000552%), (LOW, 0, 0.25%, 0.0000426%), (ELV, 0, 0.22%, 0.0000769%), (INTC, 0, 0.22%, 0.0000485%), (CMCSA, 0, 0.21%, 0.0000418%), (MDLZ, 0, 0.19%, 0.0000566%), (BMY, 0, 0.18%, 0.0000461%), (UPS, 0, 0.17%, 0.0000636%), (PYPL, 0, 0.15%, 0.0000590%), (CL, 0, 0.14%, 0.0000504%), (USB, 0, 0.13%, 0.0000455%), (FDX, 0, 0.13%, 0.0000610%), (TGT, 0, 0.08%, 0.0000434%), (nan, 0, -0.00%, 0.0000000%), (nan, 0, -0.00%, 0.0000000%)</t>
  </si>
  <si>
    <t>(GOOGLE, 0, 3.73%, 0.0002250%), (AVGO, 0, 3.15%, 0.0003096%), (META, 0, 2.87%, 0.0002384%), (BRK/B, 0, 2.17%, 0.0004383%), (LIN, 0, 1.85%, 0.0011115%), (CSCO, 0, 1.81%, 0.0009280%), (TSLA, 0, 1.66%, 0.0002089%), (JPM, 0, 1.65%, 0.0002782%), (AMT, 0, 1.63%, 0.0022493%), (XOM, 0, 1.48%, 0.0004344%), (V, 0, 1.45%, 0.0003353%), (CB, 0, 1.20%, 0.0014766%), (MA, 0, 1.18%, 0.0003032%), (LLY, 0, 1.14%, 0.0002307%), (WM, 0, 1.11%, 0.0016157%), (GE, 0, 1.07%, 0.0005137%), (ORCL, 0, 0.95%, 0.0001912%), (NEE, 0, 0.94%, 0.0008029%), (NFLX, 0, 0.91%, 0.0002402%), (UNH, 0, 0.90%, 0.0004478%), (JNJ, 0, 0.88%, 0.0002766%), (WMT, 0, 0.83%, 0.0001391%), (COST, 0, 0.83%, 0.0002554%), (PG, 0, 0.82%, 0.0003001%), (PLTR, 0, 0.80%, 0.0003057%), (CVX, 0, 0.80%, 0.0003439%), (RTX, 0, 0.77%, 0.0004970%), (MCD, 0, 0.76%, 0.0004643%), (ABBV, 0, 0.75%, 0.0002769%), (CAT, 0, 0.75%, 0.0005159%), (ABT, 0, 0.75%, 0.0004397%), (HD, 0, 0.74%, 0.0002519%), (KO, 0, 0.66%, 0.0002947%), (PM, 0, 0.64%, 0.0003266%), (BAC, 0, 0.64%, 0.0002449%), (BKNG, 0, 0.64%, 0.0004747%), (BA, 0, 0.63%, 0.0004924%), (SO, 0, 0.62%, 0.0008098%), (AMD, 0, 0.62%, 0.0003130%), (NKE, 0, 0.61%, 0.0009107%), (CRM, 0, 0.59%, 0.0003405%), (DUK, 0, 0.58%, 0.0008083%), (IBM, 0, 0.56%, 0.0003355%), (UBER, 0, 0.56%, 0.0003865%), (ISRG, 0, 0.56%, 0.0004429%), (GS, 0, 0.55%, 0.0003451%), (MET, 0, 0.53%, 0.0013557%), (HON, 0, 0.52%, 0.0005127%), (WFC, 0, 0.52%, 0.0002824%), (ETN, 0, 0.51%, 0.0005083%), (PEP, 0, 0.50%, 0.0003282%), (INTU, 0, 0.49%, 0.0003411%), (T, 0, 0.47%, 0.0014063%), (DE, 0, 0.46%, 0.0004713%), (NOW, 0, 0.46%, 0.0003361%), (MRK, 0, 0.44%, 0.0002803%), (MS, 0, 0.44%, 0.0002561%), (SPGI, 0, 0.43%, 0.0003458%), (VZ, 0, 0.42%, 0.0003004%), (TXN, 0, 0.42%, 0.0003142%), (AXP, 0, 0.42%, 0.0002662%), (BLK, 0, 0.40%, 0.0003100%), (QCOM, 0, 0.40%, 0.0003223%), (ACN, 0, 0.40%, 0.0003402%), (ADBE, 0, 0.39%, 0.0003567%), (MDT, 0, 0.39%, 0.0004407%), (TMO, 0, 0.39%, 0.0002819%), (UNP, 0, 0.38%, 0.0003913%), (COP, 0, 0.38%, 0.0004364%), (DIS, 0, 0.37%, 0.0002399%), (C, 0, 0.35%, 0.0002792%), (SCHW, 0, 0.35%, 0.0002715%), (LMT, 0, 0.35%, 0.0004564%), (SBUX, 0, 0.35%, 0.0004611%), (AMGN, 0, 0.33%, 0.0002764%), (MMM, 0, 0.31%, 0.0005132%), (AMAT, 0, 0.31%, 0.0003239%), (GILD, 0, 0.30%, 0.0002777%), (PFE, 0, 0.29%, 0.0002759%), (CVS, 0, 0.29%, 0.0004369%), (TJX, 0, 0.29%, 0.0002558%), (DHR, 0, 0.28%, 0.0002519%), (EMR, 0, 0.28%, 0.0005073%), (MO, 0, 0.28%, 0.0003301%), (LOW, 0, 0.27%, 0.0002553%), (INTC, 0, 0.23%, 0.0002902%), (ELV, 0, 0.23%, 0.0004599%), (CMCSA, 0, 0.22%, 0.0002502%), (MDLZ, 0, 0.20%, 0.0003389%), (BMY, 0, 0.20%, 0.0002758%), (UPS, 0, 0.18%, 0.0003804%), (PYPL, 0, 0.17%, 0.0003532%), (CL, 0, 0.15%, 0.0003018%), (USB, 0, 0.14%, 0.0002724%), (FDX, 0, 0.14%, 0.0003649%), (TGT, 0, 0.09%, 0.0002590%), (nan, 0, -0.00%, 0.0000000%), (nan, 0, -0.00%, 0.0000000%)</t>
  </si>
  <si>
    <t>(GOOGLE, 0, 3.72%, 0.0001677%), (AVGO, 0, 3.14%, 0.0002308%), (META, 0, 2.86%, 0.0001777%), (BRK/B, 0, 2.16%, 0.0003267%), (LIN, 0, 1.85%, 0.0008286%), (CSCO, 0, 1.81%, 0.0006917%), (TSLA, 0, 1.66%, 0.0001558%), (JPM, 0, 1.64%, 0.0002074%), (AMT, 0, 1.63%, 0.0016766%), (XOM, 0, 1.47%, 0.0003238%), (V, 0, 1.44%, 0.0002500%), (CB, 0, 1.20%, 0.0011007%), (MA, 0, 1.18%, 0.0002260%), (LLY, 0, 1.13%, 0.0001720%), (WM, 0, 1.10%, 0.0012044%), (GE, 0, 1.06%, 0.0003829%), (ORCL, 0, 0.94%, 0.0001425%), (NEE, 0, 0.94%, 0.0005985%), (NFLX, 0, 0.91%, 0.0001791%), (UNH, 0, 0.90%, 0.0003337%), (JNJ, 0, 0.88%, 0.0002062%), (WMT, 0, 0.83%, 0.0001037%), (COST, 0, 0.83%, 0.0001904%), (PG, 0, 0.82%, 0.0002236%), (PLTR, 0, 0.80%, 0.0002279%), (CVX, 0, 0.80%, 0.0002564%), (RTX, 0, 0.77%, 0.0003705%), (MCD, 0, 0.76%, 0.0003461%), (ABBV, 0, 0.75%, 0.0002064%), (CAT, 0, 0.74%, 0.0003846%), (ABT, 0, 0.74%, 0.0003277%), (HD, 0, 0.74%, 0.0001878%), (KO, 0, 0.66%, 0.0002197%), (PM, 0, 0.64%, 0.0002435%), (BAC, 0, 0.64%, 0.0001826%), (BKNG, 0, 0.64%, 0.0003537%), (BA, 0, 0.62%, 0.0003671%), (SO, 0, 0.62%, 0.0006036%), (AMD, 0, 0.62%, 0.0002333%), (NKE, 0, 0.61%, 0.0006788%), (CRM, 0, 0.59%, 0.0002539%), (DUK, 0, 0.58%, 0.0006026%), (IBM, 0, 0.56%, 0.0002501%), (ISRG, 0, 0.55%, 0.0003300%), (UBER, 0, 0.55%, 0.0002881%), (GS, 0, 0.55%, 0.0002571%), (MET, 0, 0.53%, 0.0010106%), (HON, 0, 0.52%, 0.0003823%), (WFC, 0, 0.52%, 0.0002105%), (ETN, 0, 0.51%, 0.0003789%), (PEP, 0, 0.50%, 0.0002446%), (INTU, 0, 0.49%, 0.0002543%), (T, 0, 0.46%, 0.0010483%), (DE, 0, 0.46%, 0.0003514%), (NOW, 0, 0.45%, 0.0002505%), (MRK, 0, 0.44%, 0.0002089%), (MS, 0, 0.43%, 0.0001909%), (SPGI, 0, 0.43%, 0.0002576%), (VZ, 0, 0.42%, 0.0002239%), (TXN, 0, 0.42%, 0.0002342%), (AXP, 0, 0.42%, 0.0001984%), (BLK, 0, 0.40%, 0.0002312%), (QCOM, 0, 0.40%, 0.0002402%), (ACN, 0, 0.39%, 0.0002537%), (ADBE, 0, 0.39%, 0.0002659%), (MDT, 0, 0.39%, 0.0003285%), (TMO, 0, 0.38%, 0.0002100%), (UNP, 0, 0.38%, 0.0002917%), (COP, 0, 0.38%, 0.0003253%), (DIS, 0, 0.37%, 0.0001789%), (C, 0, 0.35%, 0.0002081%), (SCHW, 0, 0.35%, 0.0002023%), (LMT, 0, 0.35%, 0.0003401%), (SBUX, 0, 0.35%, 0.0003436%), (AMGN, 0, 0.32%, 0.0002060%), (MMM, 0, 0.31%, 0.0003825%), (AMAT, 0, 0.31%, 0.0002414%), (GILD, 0, 0.30%, 0.0002070%), (PFE, 0, 0.29%, 0.0002056%), (CVS, 0, 0.29%, 0.0003257%), (TJX, 0, 0.29%, 0.0001907%), (DHR, 0, 0.28%, 0.0001877%), (EMR, 0, 0.28%, 0.0003781%), (MO, 0, 0.27%, 0.0002461%), (LOW, 0, 0.27%, 0.0001903%), (ELV, 0, 0.23%, 0.0003429%), (INTC, 0, 0.23%, 0.0002163%), (CMCSA, 0, 0.22%, 0.0001865%), (MDLZ, 0, 0.20%, 0.0002526%), (BMY, 0, 0.20%, 0.0002055%), (UPS, 0, 0.18%, 0.0002835%), (PYPL, 0, 0.17%, 0.0002632%), (CL, 0, 0.15%, 0.0002249%), (USB, 0, 0.14%, 0.0002031%), (FDX, 0, 0.14%, 0.0002717%), (TGT, 0, 0.09%, 0.0001932%), (nan, 0, -0.00%, 0.0000000%), (nan, 0, -0.00%, 0.0000000%)</t>
  </si>
  <si>
    <t>(GOOGLE, 0, 3.77%, 0.0000393%), (AVGO, 0, 3.18%, 0.0000541%), (META, 0, 2.90%, 0.0000416%), (BRK/B, 0, 2.19%, 0.0000766%), (LIN, 0, 1.87%, 0.0001942%), (CSCO, 0, 1.83%, 0.0001621%), (TSLA, 0, 1.68%, 0.0000365%), (JPM, 0, 1.67%, 0.0000486%), (AMT, 0, 1.65%, 0.0003930%), (XOM, 0, 1.50%, 0.0000759%), (V, 0, 1.46%, 0.0000586%), (CB, 0, 1.22%, 0.0002579%), (MA, 0, 1.19%, 0.0000530%), (LLY, 0, 1.15%, 0.0000403%), (WM, 0, 1.12%, 0.0002822%), (GE, 0, 1.08%, 0.0000898%), (ORCL, 0, 0.96%, 0.0000334%), (NEE, 0, 0.95%, 0.0001403%), (NFLX, 0, 0.92%, 0.0000420%), (UNH, 0, 0.91%, 0.0000783%), (JNJ, 0, 0.89%, 0.0000483%), (WMT, 0, 0.84%, 0.0000243%), (COST, 0, 0.83%, 0.0000447%), (PG, 0, 0.83%, 0.0000524%), (PLTR, 0, 0.81%, 0.0000534%), (CVX, 0, 0.81%, 0.0000601%), (RTX, 0, 0.78%, 0.0000868%), (MCD, 0, 0.77%, 0.0000811%), (ABBV, 0, 0.76%, 0.0000484%), (CAT, 0, 0.75%, 0.0000901%), (ABT, 0, 0.75%, 0.0000768%), (HD, 0, 0.75%, 0.0000440%), (KO, 0, 0.67%, 0.0000515%), (BKNG, 0, 0.65%, 0.0000838%), (BAC, 0, 0.65%, 0.0000428%), (PM, 0, 0.65%, 0.0000570%), (BA, 0, 0.63%, 0.0000860%), (SO, 0, 0.63%, 0.0001415%), (AMD, 0, 0.63%, 0.0000547%), (NKE, 0, 0.62%, 0.0001591%), (CRM, 0, 0.59%, 0.0000596%), (DUK, 0, 0.59%, 0.0001413%), (IBM, 0, 0.57%, 0.0000586%), (UBER, 0, 0.56%, 0.0000676%), (ISRG, 0, 0.56%, 0.0000773%), (GS, 0, 0.56%, 0.0000603%), (MET, 0, 0.53%, 0.0002368%), (HON, 0, 0.53%, 0.0000896%), (WFC, 0, 0.53%, 0.0000494%), (ETN, 0, 0.51%, 0.0000889%), (PEP, 0, 0.50%, 0.0000573%), (INTU, 0, 0.50%, 0.0000595%), (T, 0, 0.47%, 0.0002457%), (DE, 0, 0.47%, 0.0000825%), (NOW, 0, 0.47%, 0.0000587%), (MRK, 0, 0.44%, 0.0000490%), (MS, 0, 0.44%, 0.0000447%), (SPGI, 0, 0.43%, 0.0000604%), (TXN, 0, 0.43%, 0.0000549%), (VZ, 0, 0.43%, 0.0000525%), (AXP, 0, 0.42%, 0.0000466%), (BLK, 0, 0.41%, 0.0000542%), (QCOM, 0, 0.40%, 0.0000563%), (ACN, 0, 0.40%, 0.0000594%), (ADBE, 0, 0.39%, 0.0000624%), (MDT, 0, 0.39%, 0.0000770%), (UNP, 0, 0.39%, 0.0000684%), (TMO, 0, 0.39%, 0.0000492%), (COP, 0, 0.39%, 0.0000762%), (DIS, 0, 0.38%, 0.0000419%), (C, 0, 0.36%, 0.0000488%), (SCHW, 0, 0.35%, 0.0000474%), (SBUX, 0, 0.35%, 0.0000806%), (LMT, 0, 0.35%, 0.0000799%), (AMGN, 0, 0.33%, 0.0000483%), (MMM, 0, 0.31%, 0.0000896%), (AMAT, 0, 0.31%, 0.0000566%), (GILD, 0, 0.31%, 0.0000486%), (PFE, 0, 0.30%, 0.0000482%), (TJX, 0, 0.29%, 0.0000447%), (CVS, 0, 0.29%, 0.0000763%), (DHR, 0, 0.28%, 0.0000440%), (EMR, 0, 0.28%, 0.0000887%), (MO, 0, 0.28%, 0.0000577%), (LOW, 0, 0.27%, 0.0000446%), (ELV, 0, 0.24%, 0.0000805%), (INTC, 0, 0.24%, 0.0000507%), (CMCSA, 0, 0.23%, 0.0000437%), (MDLZ, 0, 0.21%, 0.0000592%), (BMY, 0, 0.20%, 0.0000482%), (UPS, 0, 0.18%, 0.0000664%), (PYPL, 0, 0.17%, 0.0000617%), (CL, 0, 0.16%, 0.0000527%), (USB, 0, 0.15%, 0.0000476%), (FDX, 0, 0.15%, 0.0000636%), (TGT, 0, 0.09%, 0.0000453%), (nan, 0, -0.00%, 0.0000000%), (nan, 0, -0.00%, 0.0000000%)</t>
  </si>
  <si>
    <t>(GOOGLE, 0, 3.59%, 0.0000689%), (AVGO, 0, 3.02%, 0.0000948%), (META, 0, 2.76%, 0.0000731%), (BRK/B, 0, 2.09%, 0.0001343%), (LIN, 0, 1.78%, 0.0003405%), (CSCO, 0, 1.74%, 0.0002843%), (TSLA, 0, 1.60%, 0.0000640%), (JPM, 0, 1.58%, 0.0000852%), (AMT, 0, 1.57%, 0.0006891%), (XOM, 0, 1.42%, 0.0001331%), (V, 0, 1.39%, 0.0001027%), (CB, 0, 1.16%, 0.0004523%), (MA, 0, 1.13%, 0.0000929%), (LLY, 0, 1.09%, 0.0000707%), (WM, 0, 1.06%, 0.0004950%), (GE, 0, 1.02%, 0.0001574%), (ORCL, 0, 0.91%, 0.0000586%), (NEE, 0, 0.90%, 0.0002460%), (NFLX, 0, 0.88%, 0.0000736%), (UNH, 0, 0.86%, 0.0001372%), (JNJ, 0, 0.84%, 0.0000848%), (WMT, 0, 0.80%, 0.0000426%), (COST, 0, 0.79%, 0.0000783%), (PG, 0, 0.79%, 0.0000919%), (PLTR, 0, 0.77%, 0.0000937%), (CVX, 0, 0.77%, 0.0001054%), (RTX, 0, 0.74%, 0.0001523%), (MCD, 0, 0.73%, 0.0001422%), (ABBV, 0, 0.73%, 0.0000849%), (CAT, 0, 0.72%, 0.0001582%), (ABT, 0, 0.72%, 0.0001347%), (HD, 0, 0.71%, 0.0000772%), (KO, 0, 0.64%, 0.0000903%), (PM, 0, 0.62%, 0.0001001%), (BAC, 0, 0.62%, 0.0000750%), (BKNG, 0, 0.62%, 0.0001458%), (BA, 0, 0.60%, 0.0001509%), (SO, 0, 0.60%, 0.0002481%), (AMD, 0, 0.60%, 0.0000959%), (NKE, 0, 0.59%, 0.0002790%), (CRM, 0, 0.57%, 0.0001043%), (DUK, 0, 0.56%, 0.0002476%), (IBM, 0, 0.54%, 0.0001028%), (UBER, 0, 0.54%, 0.0001184%), (ISRG, 0, 0.53%, 0.0001357%), (GS, 0, 0.53%, 0.0001057%), (MET, 0, 0.51%, 0.0004153%), (HON, 0, 0.50%, 0.0001570%), (WFC, 0, 0.50%, 0.0000865%), (ETN, 0, 0.49%, 0.0001557%), (PEP, 0, 0.48%, 0.0001006%), (INTU, 0, 0.47%, 0.0001044%), (T, 0, 0.45%, 0.0004308%), (DE, 0, 0.44%, 0.0001443%), (NOW, 0, 0.44%, 0.0001029%), (MRK, 0, 0.42%, 0.0000859%), (MS, 0, 0.42%, 0.0000785%), (SPGI, 0, 0.41%, 0.0001060%), (TXN, 0, 0.40%, 0.0000963%), (VZ, 0, 0.40%, 0.0000920%), (AXP, 0, 0.40%, 0.0000816%), (BLK, 0, 0.38%, 0.0000949%), (QCOM, 0, 0.38%, 0.0000987%), (ACN, 0, 0.38%, 0.0001042%), (ADBE, 0, 0.37%, 0.0001092%), (MDT, 0, 0.37%, 0.0001350%), (TMO, 0, 0.37%, 0.0000862%), (UNP, 0, 0.37%, 0.0001199%), (COP, 0, 0.37%, 0.0001337%), (DIS, 0, 0.36%, 0.0000735%), (C, 0, 0.34%, 0.0000856%), (SCHW, 0, 0.33%, 0.0000832%), (LMT, 0, 0.33%, 0.0001400%), (SBUX, 0, 0.33%, 0.0001413%), (AMGN, 0, 0.31%, 0.0000847%), (MMM, 0, 0.30%, 0.0001572%), (AMAT, 0, 0.29%, 0.0000993%), (GILD, 0, 0.29%, 0.0000851%), (PFE, 0, 0.28%, 0.0000845%), (CVS, 0, 0.28%, 0.0001338%), (TJX, 0, 0.28%, 0.0000784%), (DHR, 0, 0.27%, 0.0000772%), (EMR, 0, 0.27%, 0.0001555%), (MO, 0, 0.26%, 0.0001012%), (LOW, 0, 0.26%, 0.0000783%), (INTC, 0, 0.23%, 0.0000889%), (ELV, 0, 0.23%, 0.0001408%), (CMCSA, 0, 0.21%, 0.0000767%), (MDLZ, 0, 0.20%, 0.0001038%), (BMY, 0, 0.19%, 0.0000845%), (UPS, 0, 0.17%, 0.0001166%), (PYPL, 0, 0.16%, 0.0001082%), (CL, 0, 0.15%, 0.0000924%), (USB, 0, 0.14%, 0.0000835%), (FDX, 0, 0.14%, 0.0001119%), (TGT, 0, 0.08%, 0.0000794%), (nan, 0, -0.00%, 0.0000000%), (nan, 0, -0.00%, 0.0000000%)</t>
  </si>
  <si>
    <t>(GOOGLE, 0, 3.66%, 0.0000249%), (AVGO, 0, 3.09%, 0.0000343%), (META, 0, 2.82%, 0.0000264%), (BRK/B, 0, 2.13%, 0.0000485%), (LIN, 0, 1.82%, 0.0001231%), (CSCO, 0, 1.78%, 0.0001028%), (TSLA, 0, 1.63%, 0.0000232%), (JPM, 0, 1.62%, 0.0000308%), (AMT, 0, 1.60%, 0.0002491%), (XOM, 0, 1.45%, 0.0000481%), (V, 0, 1.42%, 0.0000371%), (CB, 0, 1.18%, 0.0001636%), (MA, 0, 1.15%, 0.0000335%), (LLY, 0, 1.11%, 0.0000256%), (WM, 0, 1.09%, 0.0001790%), (GE, 0, 1.04%, 0.0000569%), (ORCL, 0, 0.93%, 0.0000212%), (NEE, 0, 0.92%, 0.0000889%), (NFLX, 0, 0.90%, 0.0000267%), (UNH, 0, 0.88%, 0.0000496%), (JNJ, 0, 0.86%, 0.0000306%), (WMT, 0, 0.82%, 0.0000154%), (COST, 0, 0.81%, 0.0000282%), (PG, 0, 0.81%, 0.0000332%), (PLTR, 0, 0.79%, 0.0000339%), (CVX, 0, 0.78%, 0.0000381%), (RTX, 0, 0.75%, 0.0000550%), (MCD, 0, 0.75%, 0.0000514%), (ABBV, 0, 0.74%, 0.0000307%), (ABT, 0, 0.73%, 0.0000487%), (CAT, 0, 0.73%, 0.0000572%), (HD, 0, 0.73%, 0.0000279%), (KO, 0, 0.65%, 0.0000326%), (PM, 0, 0.63%, 0.0000362%), (BAC, 0, 0.63%, 0.0000271%), (BKNG, 0, 0.63%, 0.0000527%), (SO, 0, 0.61%, 0.0000897%), (BA, 0, 0.61%, 0.0000545%), (AMD, 0, 0.61%, 0.0000347%), (NKE, 0, 0.60%, 0.0001008%), (CRM, 0, 0.58%, 0.0000377%), (DUK, 0, 0.57%, 0.0000896%), (IBM, 0, 0.55%, 0.0000371%), (ISRG, 0, 0.55%, 0.0000491%), (UBER, 0, 0.55%, 0.0000428%), (GS, 0, 0.54%, 0.0000383%), (MET, 0, 0.52%, 0.0001501%), (HON, 0, 0.51%, 0.0000569%), (WFC, 0, 0.51%, 0.0000313%), (ETN, 0, 0.50%, 0.0000563%), (PEP, 0, 0.49%, 0.0000363%), (INTU, 0, 0.48%, 0.0000377%), (T, 0, 0.46%, 0.0001558%), (DE, 0, 0.46%, 0.0000522%), (NOW, 0, 0.45%, 0.0000370%), (MRK, 0, 0.43%, 0.0000310%), (MS, 0, 0.43%, 0.0000284%), (SPGI, 0, 0.42%, 0.0000383%), (VZ, 0, 0.41%, 0.0000333%), (TXN, 0, 0.41%, 0.0000348%), (AXP, 0, 0.41%, 0.0000295%), (BLK, 0, 0.39%, 0.0000342%), (QCOM, 0, 0.39%, 0.0000357%), (ACN, 0, 0.39%, 0.0000377%), (ADBE, 0, 0.38%, 0.0000394%), (MDT, 0, 0.38%, 0.0000488%), (TMO, 0, 0.38%, 0.0000311%), (UNP, 0, 0.38%, 0.0000433%), (COP, 0, 0.37%, 0.0000484%), (DIS, 0, 0.36%, 0.0000266%), (C, 0, 0.35%, 0.0000309%), (LMT, 0, 0.34%, 0.0000506%), (SCHW, 0, 0.34%, 0.0000301%), (SBUX, 0, 0.34%, 0.0000510%), (AMGN, 0, 0.32%, 0.0000306%), (MMM, 0, 0.30%, 0.0000568%), (AMAT, 0, 0.30%, 0.0000359%), (GILD, 0, 0.30%, 0.0000308%), (PFE, 0, 0.29%, 0.0000306%), (CVS, 0, 0.28%, 0.0000484%), (TJX, 0, 0.28%, 0.0000283%), (DHR, 0, 0.27%, 0.0000279%), (EMR, 0, 0.27%, 0.0000561%), (MO, 0, 0.27%, 0.0000366%), (LOW, 0, 0.27%, 0.0000284%), (INTC, 0, 0.23%, 0.0000321%), (ELV, 0, 0.23%, 0.0000508%), (CMCSA, 0, 0.22%, 0.0000277%), (MDLZ, 0, 0.20%, 0.0000375%), (BMY, 0, 0.20%, 0.0000306%), (UPS, 0, 0.18%, 0.0000421%), (PYPL, 0, 0.16%, 0.0000391%), (CL, 0, 0.15%, 0.0000334%), (USB, 0, 0.14%, 0.0000301%), (FDX, 0, 0.14%, 0.0000403%), (TGT, 0, 0.08%, 0.0000286%), (nan, 0, -0.00%, 0.0000000%), (nan, 0, -0.00%, 0.0000000%)</t>
  </si>
  <si>
    <t>(GOOGLE, 0, 3.88%, 0.0000596%), (AVGO, 0, 3.27%, 0.0000820%), (META, 0, 2.99%, 0.0000632%), (BRK/B, 0, 2.25%, 0.0001161%), (LIN, 0, 1.93%, 0.0002945%), (CSCO, 0, 1.88%, 0.0002459%), (TSLA, 0, 1.73%, 0.0000554%), (JPM, 0, 1.71%, 0.0000737%), (AMT, 0, 1.70%, 0.0005960%), (XOM, 0, 1.54%, 0.0001151%), (V, 0, 1.50%, 0.0000888%), (CB, 0, 1.25%, 0.0003913%), (MA, 0, 1.23%, 0.0000803%), (LLY, 0, 1.18%, 0.0000611%), (WM, 0, 1.15%, 0.0004282%), (GE, 0, 1.11%, 0.0001361%), (ORCL, 0, 0.99%, 0.0000507%), (NEE, 0, 0.98%, 0.0002127%), (NFLX, 0, 0.95%, 0.0000637%), (UNH, 0, 0.93%, 0.0001187%), (JNJ, 0, 0.91%, 0.0000733%), (WMT, 0, 0.87%, 0.0000369%), (COST, 0, 0.86%, 0.0000677%), (PG, 0, 0.85%, 0.0000795%), (PLTR, 0, 0.83%, 0.0000810%), (CVX, 0, 0.83%, 0.0000911%), (RTX, 0, 0.80%, 0.0001317%), (MCD, 0, 0.79%, 0.0001230%), (ABBV, 0, 0.78%, 0.0000734%), (ABT, 0, 0.78%, 0.0001165%), (CAT, 0, 0.77%, 0.0001366%), (HD, 0, 0.77%, 0.0000667%), (KO, 0, 0.69%, 0.0000781%), (BKNG, 0, 0.67%, 0.0001272%), (PM, 0, 0.67%, 0.0000865%), (BAC, 0, 0.67%, 0.0000649%), (BA, 0, 0.65%, 0.0001305%), (SO, 0, 0.65%, 0.0002146%), (AMD, 0, 0.65%, 0.0000829%), (NKE, 0, 0.63%, 0.0002413%), (CRM, 0, 0.61%, 0.0000902%), (DUK, 0, 0.60%, 0.0002142%), (IBM, 0, 0.58%, 0.0000889%), (ISRG, 0, 0.58%, 0.0001173%), (UBER, 0, 0.58%, 0.0001024%), (GS, 0, 0.57%, 0.0000914%), (MET, 0, 0.55%, 0.0003592%), (HON, 0, 0.54%, 0.0001359%), (WFC, 0, 0.54%, 0.0000748%), (ETN, 0, 0.53%, 0.0001346%), (PEP, 0, 0.52%, 0.0000870%), (INTU, 0, 0.51%, 0.0000904%), (T, 0, 0.48%, 0.0003726%), (DE, 0, 0.48%, 0.0001250%), (NOW, 0, 0.47%, 0.0000889%), (MRK, 0, 0.45%, 0.0000743%), (MS, 0, 0.45%, 0.0000678%), (SPGI, 0, 0.45%, 0.0000915%), (TXN, 0, 0.44%, 0.0000833%), (VZ, 0, 0.44%, 0.0000796%), (AXP, 0, 0.43%, 0.0000706%), (BLK, 0, 0.42%, 0.0000820%), (QCOM, 0, 0.41%, 0.0000854%), (ACN, 0, 0.41%, 0.0000901%), (ADBE, 0, 0.41%, 0.0000946%), (MDT, 0, 0.40%, 0.0001168%), (TMO, 0, 0.40%, 0.0000748%), (UNP, 0, 0.40%, 0.0001037%), (COP, 0, 0.40%, 0.0001156%), (DIS, 0, 0.39%, 0.0000636%), (C, 0, 0.37%, 0.0000740%), (SCHW, 0, 0.36%, 0.0000719%), (LMT, 0, 0.36%, 0.0001210%), (SBUX, 0, 0.36%, 0.0001221%), (AMGN, 0, 0.34%, 0.0000732%), (MMM, 0, 0.32%, 0.0001359%), (AMAT, 0, 0.32%, 0.0000859%), (GILD, 0, 0.31%, 0.0000736%), (PFE, 0, 0.30%, 0.0000731%), (CVS, 0, 0.30%, 0.0001158%), (TJX, 0, 0.30%, 0.0000677%), (DHR, 0, 0.29%, 0.0000667%), (EMR, 0, 0.29%, 0.0001343%), (MO, 0, 0.29%, 0.0000875%), (LOW, 0, 0.28%, 0.0000676%), (ELV, 0, 0.24%, 0.0001219%), (INTC, 0, 0.24%, 0.0000769%), (CMCSA, 0, 0.23%, 0.0000663%), (MDLZ, 0, 0.21%, 0.0000898%), (BMY, 0, 0.21%, 0.0000730%), (UPS, 0, 0.19%, 0.0001008%), (PYPL, 0, 0.17%, 0.0000936%), (CL, 0, 0.16%, 0.0000799%), (USB, 0, 0.15%, 0.0000722%), (FDX, 0, 0.15%, 0.0000966%), (TGT, 0, 0.09%, 0.0000687%), (nan, 0, -0.00%, 0.0000000%), (nan, 0, -0.00%, 0.0000000%)</t>
  </si>
  <si>
    <t>EBAY, META, BK, MSFT, GOOGLE, MLI, EA, JPM, BKNG, BLK, RJF, PHM</t>
  </si>
  <si>
    <t>(HIG, 0, 1.89%, 0.0027687%), (EWBC, 0, 1.85%, 0.0072267%), (TRV, 0, 1.84%, 0.0016435%), (AXP, 0, 1.84%, 0.0004718%), (V, 0, 1.81%, 0.0001696%), (ADP, 0, 1.74%, 0.0007610%), (NVDA, 0, 1.73%, 0.0000222%), (ROST, 0, 1.72%, 0.0019737%), (SNA, 0, 1.70%, 0.0055242%), (CB, 0, 1.66%, 0.0008261%), (UNM, 0, 1.65%, 0.0076107%), (KLAC, 0, 1.64%, 0.0007755%), (PCAR, 0, 1.64%, 0.0017349%), (AMAT, 0, 1.63%, 0.0006929%), (LEN, 0, 1.62%, 0.0030393%), (SYF, 0, 1.58%, 0.0033406%), (CTSH, 0, 1.50%, 0.0024127%), (CRM, 0, 1.49%, 0.0003467%), (WSM, 0, 1.49%, 0.0033451%), (PAYC, 0, 1.46%, 0.0060905%), (DHI, 0, 1.35%, 0.0015349%), (BKR, 0, 1.34%, 0.0017367%), (QCOM, 0, 1.32%, 0.0004308%), (ACN, 0, 1.28%, 0.0004409%), (AFL, 0, 1.26%, 0.0011901%), (ELV, 0, 1.25%, 0.0009931%), (AAPL, 0, 1.24%, 0.0000203%), (MPWR, 0, 1.11%, 0.0015347%), (ODFL, 0, 1.09%, 0.0018785%), (LRCX, 0, 1.08%, 0.0004726%), (CSCO, 0, 1.06%, 0.0002181%), (GE, 0, 1.01%, 0.0001972%), (STT, 0, 0.98%, 0.0017106%), (PNC, 0, 0.91%, 0.0006498%), (MTB, 0, 0.90%, 0.0016546%), (COST, 0, 0.87%, 0.0001079%), (AMP, 0, 0.86%, 0.0010021%), (CF, 0, 0.85%, 0.0033715%), (ABT, 0, 0.83%, 0.0001978%), (XOM, 0, 0.79%, 0.0000938%), (EOG, 0, 0.78%, 0.0006592%), (EG, 0, 0.76%, 0.0028810%), (CSL, 0, 0.75%, 0.0025631%), (GEV, 0, 0.54%, 0.0001795%), (NTRS, 0, 0.52%, 0.0011728%), (MA, 0, 0.50%, 0.0000519%), (JNJ, 0, 0.49%, 0.0000616%), (CRBG, 0, 0.48%, 0.0014146%), (ACM, 0, 0.46%, 0.0015840%), (LNC, 0, 0.45%, 0.0031937%), (JXN, 0, 0.44%, 0.0035950%), (MTG, 0, 0.44%, 0.0038951%), (CINF, 0, 0.43%, 0.0009890%), (ALL, 0, 0.43%, 0.0004167%), (DOV, 0, 0.42%, 0.0009457%), (WTFC, 0, 0.42%, 0.0026691%), (MCK, 0, 0.41%, 0.0002573%), (ADM, 0, 0.41%, 0.0007686%), (EQH, 0, 0.41%, 0.0014356%), (SLM, 0, 0.40%, 0.0035072%), (NUE, 0, 0.39%, 0.0006461%), (NKE, 0, 0.38%, 0.0002273%), (PGR, 0, 0.37%, 0.0001380%), (FANG, 0, 0.29%, 0.0003986%)</t>
  </si>
  <si>
    <t>(GOOGLE, 0, 3.54%, 0.0000634%), (AVGO, 0, 2.99%, 0.0000872%), (META, 0, 2.73%, 0.0000672%), (BRK/B, 0, 2.06%, 0.0001235%), (LIN, 0, 1.76%, 0.0003133%), (CSCO, 0, 1.72%, 0.0002615%), (TSLA, 0, 1.58%, 0.0000589%), (JPM, 0, 1.57%, 0.0000784%), (AMT, 0, 1.55%, 0.0006338%), (XOM, 0, 1.41%, 0.0001224%), (V, 0, 1.37%, 0.0000945%), (CB, 0, 1.14%, 0.0004162%), (MA, 0, 1.12%, 0.0000854%), (LLY, 0, 1.08%, 0.0000651%), (WM, 0, 1.05%, 0.0004552%), (GE, 0, 1.01%, 0.0001448%), (ORCL, 0, 0.90%, 0.0000539%), (NEE, 0, 0.89%, 0.0002263%), (NFLX, 0, 0.87%, 0.0000677%), (UNH, 0, 0.85%, 0.0001262%), (JNJ, 0, 0.84%, 0.0000779%), (WMT, 0, 0.79%, 0.0000392%), (COST, 0, 0.78%, 0.0000720%), (PG, 0, 0.78%, 0.0000846%), (PLTR, 0, 0.76%, 0.0000861%), (CVX, 0, 0.76%, 0.0000969%), (RTX, 0, 0.73%, 0.0001401%), (MCD, 0, 0.73%, 0.0001309%), (ABBV, 0, 0.72%, 0.0000780%), (ABT, 0, 0.71%, 0.0001239%), (CAT, 0, 0.71%, 0.0001454%), (HD, 0, 0.70%, 0.0000709%), (KO, 0, 0.63%, 0.0000831%), (PM, 0, 0.61%, 0.0000921%), (BAC, 0, 0.61%, 0.0000690%), (BKNG, 0, 0.60%, 0.0001334%), (BA, 0, 0.59%, 0.0001388%), (SO, 0, 0.59%, 0.0002282%), (AMD, 0, 0.59%, 0.0000882%), (NKE, 0, 0.58%, 0.0002566%), (CRM, 0, 0.56%, 0.0000960%), (DUK, 0, 0.55%, 0.0002278%), (IBM, 0, 0.53%, 0.0000946%), (UBER, 0, 0.53%, 0.0001089%), (ISRG, 0, 0.53%, 0.0001247%), (GS, 0, 0.52%, 0.0000974%), (MET, 0, 0.50%, 0.0003821%), (WFC, 0, 0.50%, 0.0000796%), (HON, 0, 0.50%, 0.0001444%), (ETN, 0, 0.48%, 0.0001433%), (PEP, 0, 0.47%, 0.0000924%), (INTU, 0, 0.46%, 0.0000961%), (T, 0, 0.44%, 0.0003963%), (DE, 0, 0.44%, 0.0001328%), (NOW, 0, 0.44%, 0.0000947%), (MRK, 0, 0.41%, 0.0000790%), (MS, 0, 0.41%, 0.0000722%), (SPGI, 0, 0.41%, 0.0000974%), (TXN, 0, 0.40%, 0.0000886%), (VZ, 0, 0.40%, 0.0000846%), (AXP, 0, 0.40%, 0.0000751%), (BLK, 0, 0.38%, 0.0000872%), (QCOM, 0, 0.38%, 0.0000908%), (ACN, 0, 0.38%, 0.0000958%), (ADBE, 0, 0.37%, 0.0001006%), (MDT, 0, 0.37%, 0.0001242%), (TMO, 0, 0.37%, 0.0000793%), (UNP, 0, 0.36%, 0.0001103%), (COP, 0, 0.36%, 0.0001230%), (DIS, 0, 0.35%, 0.0000676%), (C, 0, 0.34%, 0.0000787%), (SCHW, 0, 0.33%, 0.0000765%), (LMT, 0, 0.33%, 0.0001288%), (SBUX, 0, 0.33%, 0.0001299%), (AMGN, 0, 0.31%, 0.0000778%), (MMM, 0, 0.29%, 0.0001446%), (AMAT, 0, 0.29%, 0.0000913%), (GILD, 0, 0.29%, 0.0000783%), (PFE, 0, 0.28%, 0.0000777%), (CVS, 0, 0.27%, 0.0001231%), (TJX, 0, 0.27%, 0.0000721%), (DHR, 0, 0.26%, 0.0000709%), (EMR, 0, 0.26%, 0.0001429%), (MO, 0, 0.26%, 0.0000930%), (LOW, 0, 0.26%, 0.0000719%), (INTC, 0, 0.22%, 0.0000818%), (ELV, 0, 0.22%, 0.0001296%), (CMCSA, 0, 0.21%, 0.0000705%), (MDLZ, 0, 0.19%, 0.0000955%), (BMY, 0, 0.19%, 0.0000777%), (UPS, 0, 0.17%, 0.0001072%), (PYPL, 0, 0.16%, 0.0000995%), (CL, 0, 0.15%, 0.0000850%), (USB, 0, 0.14%, 0.0000768%), (FDX, 0, 0.14%, 0.0001026%), (TGT, 0, 0.08%, 0.0000731%), (nan, 0, -0.00%, 0.0000000%), (nan, 0, -0.00%, 0.0000000%)</t>
  </si>
  <si>
    <t>(GOOGLE, 0, 3.72%, 0.0001296%), (AVGO, 0, 3.13%, 0.0001783%), (META, 0, 2.86%, 0.0001373%), (BRK/B, 0, 2.16%, 0.0002524%), (LIN, 0, 1.84%, 0.0006403%), (CSCO, 0, 1.81%, 0.0005346%), (TSLA, 0, 1.66%, 0.0001204%), (JPM, 0, 1.64%, 0.0001603%), (AMT, 0, 1.62%, 0.0012955%), (XOM, 0, 1.47%, 0.0002502%), (V, 0, 1.44%, 0.0001931%), (CB, 0, 1.20%, 0.0008505%), (MA, 0, 1.17%, 0.0001746%), (LLY, 0, 1.13%, 0.0001329%), (WM, 0, 1.10%, 0.0009306%), (GE, 0, 1.06%, 0.0002959%), (ORCL, 0, 0.94%, 0.0001101%), (NEE, 0, 0.94%, 0.0004625%), (NFLX, 0, 0.91%, 0.0001385%), (UNH, 0, 0.89%, 0.0002579%), (JNJ, 0, 0.88%, 0.0001593%), (WMT, 0, 0.83%, 0.0000801%), (COST, 0, 0.82%, 0.0001471%), (PG, 0, 0.82%, 0.0001728%), (PLTR, 0, 0.80%, 0.0001761%), (CVX, 0, 0.79%, 0.0001981%), (RTX, 0, 0.77%, 0.0002863%), (MCD, 0, 0.76%, 0.0002674%), (ABBV, 0, 0.75%, 0.0001595%), (CAT, 0, 0.74%, 0.0002971%), (ABT, 0, 0.74%, 0.0002532%), (HD, 0, 0.74%, 0.0001451%), (KO, 0, 0.66%, 0.0001698%), (PM, 0, 0.64%, 0.0001882%), (BAC, 0, 0.64%, 0.0001411%), (BKNG, 0, 0.63%, 0.0002730%), (BA, 0, 0.62%, 0.0002836%), (SO, 0, 0.62%, 0.0004665%), (AMD, 0, 0.62%, 0.0001803%), (NKE, 0, 0.61%, 0.0005246%), (CRM, 0, 0.59%, 0.0001962%), (DUK, 0, 0.58%, 0.0004656%), (IBM, 0, 0.56%, 0.0001932%), (UBER, 0, 0.55%, 0.0002226%), (ISRG, 0, 0.55%, 0.0002550%), (GS, 0, 0.55%, 0.0001987%), (MET, 0, 0.52%, 0.0007809%), (HON, 0, 0.52%, 0.0002953%), (WFC, 0, 0.52%, 0.0001627%), (ETN, 0, 0.50%, 0.0002928%), (PEP, 0, 0.50%, 0.0001890%), (INTU, 0, 0.49%, 0.0001966%), (T, 0, 0.46%, 0.0008101%), (DE, 0, 0.46%, 0.0002715%), (NOW, 0, 0.45%, 0.0001933%), (MRK, 0, 0.44%, 0.0001615%), (MS, 0, 0.43%, 0.0001475%), (SPGI, 0, 0.43%, 0.0001991%), (TXN, 0, 0.42%, 0.0001810%), (VZ, 0, 0.42%, 0.0001730%), (AXP, 0, 0.41%, 0.0001534%), (BLK, 0, 0.40%, 0.0001782%), (QCOM, 0, 0.40%, 0.0001856%), (ACN, 0, 0.39%, 0.0001960%), (ADBE, 0, 0.39%, 0.0002054%), (MDT, 0, 0.39%, 0.0002538%), (TMO, 0, 0.38%, 0.0001624%), (UNP, 0, 0.38%, 0.0002254%), (COP, 0, 0.38%, 0.0002514%), (DIS, 0, 0.37%, 0.0001382%), (C, 0, 0.35%, 0.0001608%), (SCHW, 0, 0.35%, 0.0001563%), (LMT, 0, 0.35%, 0.0002628%), (SBUX, 0, 0.34%, 0.0002656%), (AMGN, 0, 0.32%, 0.0001592%), (MMM, 0, 0.31%, 0.0002955%), (AMAT, 0, 0.31%, 0.0001865%), (GILD, 0, 0.30%, 0.0001600%), (PFE, 0, 0.29%, 0.0001589%), (CVS, 0, 0.29%, 0.0002517%), (TJX, 0, 0.29%, 0.0001474%), (DHR, 0, 0.28%, 0.0001451%), (EMR, 0, 0.27%, 0.0002921%), (MO, 0, 0.27%, 0.0001902%), (LOW, 0, 0.27%, 0.0001471%), (INTC, 0, 0.23%, 0.0001672%), (ELV, 0, 0.23%, 0.0002650%), (CMCSA, 0, 0.22%, 0.0001441%), (MDLZ, 0, 0.20%, 0.0001952%), (BMY, 0, 0.20%, 0.0001589%), (UPS, 0, 0.18%, 0.0002191%), (PYPL, 0, 0.17%, 0.0002035%), (CL, 0, 0.15%, 0.0001738%), (USB, 0, 0.14%, 0.0001569%), (FDX, 0, 0.14%, 0.0002102%), (TGT, 0, 0.09%, 0.0001492%), (nan, 0, -0.00%, 0.0000000%), (nan, 0, -0.00%, 0.0000000%)</t>
  </si>
  <si>
    <t>(GOOGLE, 0, 3.50%, 0.0002600%), (AVGO, 0, 2.95%, 0.0003577%), (META, 0, 2.69%, 0.0002755%), (BRK/B, 0, 2.03%, 0.0005065%), (LIN, 0, 1.74%, 0.0012845%), (CSCO, 0, 1.70%, 0.0010724%), (TSLA, 0, 1.56%, 0.0002414%), (JPM, 0, 1.54%, 0.0003215%), (AMT, 0, 1.53%, 0.0025992%), (XOM, 0, 1.39%, 0.0005020%), (V, 0, 1.36%, 0.0003875%), (CB, 0, 1.13%, 0.0017063%), (MA, 0, 1.11%, 0.0003503%), (LLY, 0, 1.06%, 0.0002666%), (WM, 0, 1.04%, 0.0018671%), (GE, 0, 1.00%, 0.0005936%), (ORCL, 0, 0.89%, 0.0002210%), (NEE, 0, 0.88%, 0.0009278%), (NFLX, 0, 0.86%, 0.0002778%), (UNH, 0, 0.84%, 0.0005174%), (JNJ, 0, 0.82%, 0.0003196%), (WMT, 0, 0.78%, 0.0001608%), (COST, 0, 0.77%, 0.0002951%), (PG, 0, 0.77%, 0.0003467%), (PLTR, 0, 0.75%, 0.0003532%), (CVX, 0, 0.75%, 0.0003975%), (RTX, 0, 0.72%, 0.0005743%), (MCD, 0, 0.72%, 0.0005366%), (ABBV, 0, 0.71%, 0.0003199%), (CAT, 0, 0.70%, 0.0005962%), (ABT, 0, 0.70%, 0.0005080%), (HD, 0, 0.70%, 0.0002910%), (KO, 0, 0.62%, 0.0003406%), (PM, 0, 0.60%, 0.0003774%), (BAC, 0, 0.60%, 0.0002830%), (BKNG, 0, 0.59%, 0.0005491%), (BA, 0, 0.59%, 0.0005690%), (SO, 0, 0.58%, 0.0009357%), (AMD, 0, 0.58%, 0.0003617%), (NKE, 0, 0.57%, 0.0010524%), (CRM, 0, 0.55%, 0.0003936%), (DUK, 0, 0.54%, 0.0009342%), (IBM, 0, 0.53%, 0.0003877%), (UBER, 0, 0.52%, 0.0004467%), (ISRG, 0, 0.52%, 0.0005117%), (GS, 0, 0.52%, 0.0003988%), (MET, 0, 0.49%, 0.0015667%), (HON, 0, 0.49%, 0.0005925%), (WFC, 0, 0.49%, 0.0003264%), (ETN, 0, 0.47%, 0.0005872%), (PEP, 0, 0.47%, 0.0003792%), (INTU, 0, 0.46%, 0.0003938%), (T, 0, 0.44%, 0.0016251%), (DE, 0, 0.43%, 0.0005445%), (NOW, 0, 0.43%, 0.0003880%), (MRK, 0, 0.41%, 0.0003239%), (MS, 0, 0.41%, 0.0002960%), (SPGI, 0, 0.40%, 0.0003993%), (VZ, 0, 0.39%, 0.0003471%), (TXN, 0, 0.39%, 0.0003632%), (AXP, 0, 0.39%, 0.0003078%), (BLK, 0, 0.38%, 0.0003584%), (QCOM, 0, 0.37%, 0.0003725%), (ACN, 0, 0.37%, 0.0003932%), (ADBE, 0, 0.37%, 0.0004121%), (MDT, 0, 0.36%, 0.0005092%), (TMO, 0, 0.36%, 0.0003255%), (UNP, 0, 0.36%, 0.0004522%), (COP, 0, 0.36%, 0.0005043%), (DIS, 0, 0.35%, 0.0002773%), (C, 0, 0.33%, 0.0003226%), (SCHW, 0, 0.33%, 0.0003137%), (SBUX, 0, 0.32%, 0.0005328%), (LMT, 0, 0.32%, 0.0005272%), (AMGN, 0, 0.31%, 0.0003193%), (MMM, 0, 0.29%, 0.0005930%), (AMAT, 0, 0.29%, 0.0003743%), (GILD, 0, 0.28%, 0.0003209%), (PFE, 0, 0.27%, 0.0003188%), (CVS, 0, 0.27%, 0.0005049%), (TJX, 0, 0.27%, 0.0002955%), (DHR, 0, 0.26%, 0.0002911%), (EMR, 0, 0.26%, 0.0005862%), (MO, 0, 0.26%, 0.0003815%), (LOW, 0, 0.25%, 0.0002951%), (INTC, 0, 0.22%, 0.0003354%), (ELV, 0, 0.22%, 0.0005314%), (CMCSA, 0, 0.21%, 0.0002891%), (MDLZ, 0, 0.19%, 0.0003916%), (BMY, 0, 0.19%, 0.0003187%), (UPS, 0, 0.17%, 0.0004395%), (PYPL, 0, 0.16%, 0.0004082%), (CL, 0, 0.14%, 0.0003487%), (USB, 0, 0.14%, 0.0003148%), (FDX, 0, 0.14%, 0.0004213%), (TGT, 0, 0.08%, 0.0002993%), (nan, 0, -0.00%, 0.0000000%), (nan, 0, -0.00%, 0.0000000%)</t>
  </si>
  <si>
    <t>(AVGO, 0, 2.88%, 0.0000517%), (META, 0, 2.61%, 0.0000398%), (BRK/B, 0, 2.00%, 0.0000732%), (LIN, 0, 1.70%, 0.0001857%), (CSCO, 0, 1.67%, 0.0001550%), (JPM, 0, 1.51%, 0.0000465%), (TSLA, 0, 1.51%, 0.0000349%), (AMT, 0, 1.50%, 0.0003757%), (XOM, 0, 1.37%, 0.0000726%), (V, 0, 1.33%, 0.0000560%), (CB, 0, 1.10%, 0.0002467%), (MA, 0, 1.08%, 0.0000506%), (LLY, 0, 1.05%, 0.0000385%), (WM, 0, 1.02%, 0.0002698%), (GE, 0, 0.99%, 0.0000858%), (ORCL, 0, 0.87%, 0.0000320%), (NEE, 0, 0.86%, 0.0001341%), (UNH, 0, 0.84%, 0.0000748%), (NFLX, 0, 0.84%, 0.0000401%), (JNJ, 0, 0.81%, 0.0000462%), (PG, 0, 0.75%, 0.0000501%), (COST, 0, 0.75%, 0.0000426%), (CVX, 0, 0.75%, 0.0000574%), (WMT, 0, 0.74%, 0.0000232%), (PLTR, 0, 0.74%, 0.0000510%), (RTX, 0, 0.71%, 0.0000830%), (MCD, 0, 0.70%, 0.0000775%), (ABBV, 0, 0.70%, 0.0000462%), (CAT, 0, 0.69%, 0.0000862%), (ABT, 0, 0.68%, 0.0000734%), (HD, 0, 0.68%, 0.0000421%), (KO, 0, 0.61%, 0.0000492%), (BKNG, 0, 0.61%, 0.0000807%), (PM, 0, 0.60%, 0.0000545%), (BAC, 0, 0.59%, 0.0000409%), (SO, 0, 0.57%, 0.0001352%), (BA, 0, 0.57%, 0.0000822%), (AMD, 0, 0.57%, 0.0000523%), (NKE, 0, 0.56%, 0.0001521%), (CRM, 0, 0.54%, 0.0000569%), (DUK, 0, 0.53%, 0.0001350%), (UBER, 0, 0.52%, 0.0000646%), (IBM, 0, 0.51%, 0.0000561%), (GS, 0, 0.50%, 0.0000577%), (ISRG, 0, 0.50%, 0.0000739%), (MET, 0, 0.49%, 0.0002265%), (HON, 0, 0.48%, 0.0000857%), (WFC, 0, 0.48%, 0.0000472%), (ETN, 0, 0.47%, 0.0000850%), (PEP, 0, 0.45%, 0.0000548%), (INTU, 0, 0.45%, 0.0000570%), (T, 0, 0.43%, 0.0002349%), (DE, 0, 0.42%, 0.0000788%), (NOW, 0, 0.42%, 0.0000562%), (MRK, 0, 0.41%, 0.0000468%), (MS, 0, 0.40%, 0.0000428%), (SPGI, 0, 0.39%, 0.0000578%), (TXN, 0, 0.39%, 0.0000525%), (VZ, 0, 0.39%, 0.0000502%), (AXP, 0, 0.38%, 0.0000444%), (BLK, 0, 0.37%, 0.0000517%), (QCOM, 0, 0.36%, 0.0000538%), (ACN, 0, 0.36%, 0.0000568%), (ADBE, 0, 0.36%, 0.0000595%), (UNP, 0, 0.35%, 0.0000654%), (COP, 0, 0.35%, 0.0000729%), (MDT, 0, 0.35%, 0.0000736%), (TMO, 0, 0.35%, 0.0000471%), (DIS, 0, 0.34%, 0.0000401%), (C, 0, 0.32%, 0.0000467%), (SCHW, 0, 0.32%, 0.0000453%), (LMT, 0, 0.32%, 0.0000761%), (SBUX, 0, 0.32%, 0.0000770%), (AMGN, 0, 0.30%, 0.0000463%), (MMM, 0, 0.29%, 0.0000857%), (AMAT, 0, 0.28%, 0.0000541%), (PFE, 0, 0.27%, 0.0000461%), (GILD, 0, 0.27%, 0.0000464%), (CVS, 0, 0.27%, 0.0000729%), (TJX, 0, 0.26%, 0.0000428%), (MO, 0, 0.25%, 0.0000552%), (EMR, 0, 0.25%, 0.0000848%), (LOW, 0, 0.25%, 0.0000426%), (DHR, 0, 0.25%, 0.0000420%), (INTC, 0, 0.22%, 0.0000485%), (ELV, 0, 0.22%, 0.0000769%), (CMCSA, 0, 0.21%, 0.0000418%), (MDLZ, 0, 0.19%, 0.0000566%), (BMY, 0, 0.18%, 0.0000461%), (UPS, 0, 0.16%, 0.0000636%), (PYPL, 0, 0.15%, 0.0000590%), (CL, 0, 0.14%, 0.0000504%), (USB, 0, 0.13%, 0.0000455%), (FDX, 0, 0.13%, 0.0000610%), (TGT, 0, 0.08%, 0.0000434%), (nan, 0, -0.00%, 0.0000000%), (nan, 0, -0.00%, 0.0000000%)</t>
  </si>
  <si>
    <t>(GOOGLE, 0, 3.75%, 0.0002250%), (AVGO, 0, 3.14%, 0.0003096%), (META, 0, 2.85%, 0.0002384%), (BRK/B, 0, 2.18%, 0.0004383%), (LIN, 0, 1.85%, 0.0011115%), (CSCO, 0, 1.81%, 0.0009280%), (JPM, 0, 1.65%, 0.0002782%), (TSLA, 0, 1.65%, 0.0002089%), (AMT, 0, 1.64%, 0.0022493%), (XOM, 0, 1.49%, 0.0004344%), (V, 0, 1.45%, 0.0003353%), (CB, 0, 1.20%, 0.0014766%), (MA, 0, 1.18%, 0.0003032%), (LLY, 0, 1.14%, 0.0002307%), (WM, 0, 1.11%, 0.0016157%), (GE, 0, 1.08%, 0.0005137%), (ORCL, 0, 0.94%, 0.0001912%), (NEE, 0, 0.94%, 0.0008029%), (UNH, 0, 0.91%, 0.0004478%), (NFLX, 0, 0.91%, 0.0002402%), (JNJ, 0, 0.88%, 0.0002766%), (PG, 0, 0.82%, 0.0003001%), (COST, 0, 0.81%, 0.0002554%), (CVX, 0, 0.81%, 0.0003439%), (WMT, 0, 0.81%, 0.0001391%), (PLTR, 0, 0.81%, 0.0003057%), (RTX, 0, 0.77%, 0.0004970%), (MCD, 0, 0.77%, 0.0004643%), (ABBV, 0, 0.76%, 0.0002769%), (CAT, 0, 0.75%, 0.0005159%), (ABT, 0, 0.74%, 0.0004397%), (HD, 0, 0.74%, 0.0002519%), (KO, 0, 0.66%, 0.0002947%), (PM, 0, 0.65%, 0.0003266%), (BKNG, 0, 0.65%, 0.0004747%), (BAC, 0, 0.64%, 0.0002449%), (SO, 0, 0.62%, 0.0008098%), (BA, 0, 0.62%, 0.0004924%), (AMD, 0, 0.62%, 0.0003130%), (NKE, 0, 0.61%, 0.0009107%), (CRM, 0, 0.59%, 0.0003405%), (DUK, 0, 0.58%, 0.0008083%), (UBER, 0, 0.56%, 0.0003865%), (IBM, 0, 0.56%, 0.0003355%), (GS, 0, 0.55%, 0.0003451%), (ISRG, 0, 0.55%, 0.0004429%), (MET, 0, 0.53%, 0.0013557%), (HON, 0, 0.52%, 0.0005127%), (WFC, 0, 0.52%, 0.0002824%), (ETN, 0, 0.51%, 0.0005083%), (PEP, 0, 0.50%, 0.0003282%), (INTU, 0, 0.49%, 0.0003411%), (T, 0, 0.47%, 0.0014063%), (DE, 0, 0.46%, 0.0004713%), (NOW, 0, 0.45%, 0.0003361%), (MRK, 0, 0.44%, 0.0002803%), (MS, 0, 0.44%, 0.0002561%), (SPGI, 0, 0.43%, 0.0003458%), (TXN, 0, 0.42%, 0.0003142%), (VZ, 0, 0.42%, 0.0003004%), (AXP, 0, 0.42%, 0.0002662%), (BLK, 0, 0.40%, 0.0003100%), (QCOM, 0, 0.40%, 0.0003223%), (ACN, 0, 0.40%, 0.0003402%), (ADBE, 0, 0.39%, 0.0003567%), (UNP, 0, 0.38%, 0.0003913%), (COP, 0, 0.38%, 0.0004364%), (MDT, 0, 0.38%, 0.0004407%), (TMO, 0, 0.38%, 0.0002819%), (DIS, 0, 0.37%, 0.0002399%), (C, 0, 0.35%, 0.0002792%), (SCHW, 0, 0.35%, 0.0002715%), (LMT, 0, 0.35%, 0.0004564%), (SBUX, 0, 0.34%, 0.0004611%), (AMGN, 0, 0.33%, 0.0002764%), (MMM, 0, 0.31%, 0.0005132%), (AMAT, 0, 0.31%, 0.0003239%), (GILD, 0, 0.30%, 0.0002777%), (PFE, 0, 0.30%, 0.0002759%), (CVS, 0, 0.29%, 0.0004369%), (TJX, 0, 0.29%, 0.0002558%), (MO, 0, 0.28%, 0.0003301%), (EMR, 0, 0.28%, 0.0005073%), (LOW, 0, 0.27%, 0.0002553%), (DHR, 0, 0.27%, 0.0002519%), (INTC, 0, 0.24%, 0.0002902%), (ELV, 0, 0.23%, 0.0004599%), (CMCSA, 0, 0.23%, 0.0002502%), (MDLZ, 0, 0.20%, 0.0003389%), (BMY, 0, 0.20%, 0.0002758%), (UPS, 0, 0.18%, 0.0003804%), (PYPL, 0, 0.17%, 0.0003532%), (CL, 0, 0.16%, 0.0003018%), (USB, 0, 0.14%, 0.0002724%), (FDX, 0, 0.14%, 0.0003649%), (TGT, 0, 0.08%, 0.0002590%), (nan, 0, -0.00%, 0.0000000%), (nan, 0, -0.00%, 0.0000000%)</t>
  </si>
  <si>
    <t>(GOOGLE, 0, 3.73%, 0.0001677%), (AVGO, 0, 3.13%, 0.0002308%), (META, 0, 2.84%, 0.0001777%), (BRK/B, 0, 2.17%, 0.0003267%), (LIN, 0, 1.84%, 0.0008286%), (CSCO, 0, 1.81%, 0.0006917%), (JPM, 0, 1.64%, 0.0002074%), (TSLA, 0, 1.64%, 0.0001558%), (AMT, 0, 1.63%, 0.0016766%), (XOM, 0, 1.49%, 0.0003238%), (V, 0, 1.44%, 0.0002500%), (CB, 0, 1.20%, 0.0011007%), (MA, 0, 1.18%, 0.0002260%), (LLY, 0, 1.14%, 0.0001720%), (WM, 0, 1.10%, 0.0012044%), (GE, 0, 1.07%, 0.0003829%), (ORCL, 0, 0.94%, 0.0001425%), (NEE, 0, 0.94%, 0.0005985%), (UNH, 0, 0.91%, 0.0003337%), (NFLX, 0, 0.91%, 0.0001791%), (JNJ, 0, 0.88%, 0.0002062%), (PG, 0, 0.82%, 0.0002236%), (COST, 0, 0.81%, 0.0001904%), (CVX, 0, 0.81%, 0.0002564%), (WMT, 0, 0.80%, 0.0001037%), (PLTR, 0, 0.80%, 0.0002279%), (RTX, 0, 0.77%, 0.0003705%), (MCD, 0, 0.76%, 0.0003461%), (ABBV, 0, 0.75%, 0.0002064%), (CAT, 0, 0.74%, 0.0003846%), (ABT, 0, 0.74%, 0.0003277%), (HD, 0, 0.73%, 0.0001878%), (KO, 0, 0.66%, 0.0002197%), (PM, 0, 0.65%, 0.0002435%), (BKNG, 0, 0.65%, 0.0003537%), (BAC, 0, 0.64%, 0.0001826%), (SO, 0, 0.62%, 0.0006036%), (BA, 0, 0.62%, 0.0003671%), (AMD, 0, 0.61%, 0.0002333%), (NKE, 0, 0.61%, 0.0006788%), (CRM, 0, 0.59%, 0.0002539%), (DUK, 0, 0.58%, 0.0006026%), (UBER, 0, 0.56%, 0.0002881%), (IBM, 0, 0.55%, 0.0002501%), (GS, 0, 0.55%, 0.0002571%), (ISRG, 0, 0.54%, 0.0003300%), (MET, 0, 0.53%, 0.0010106%), (HON, 0, 0.52%, 0.0003823%), (WFC, 0, 0.52%, 0.0002105%), (ETN, 0, 0.50%, 0.0003789%), (PEP, 0, 0.49%, 0.0002446%), (INTU, 0, 0.49%, 0.0002543%), (T, 0, 0.47%, 0.0010483%), (DE, 0, 0.46%, 0.0003514%), (NOW, 0, 0.45%, 0.0002505%), (MRK, 0, 0.44%, 0.0002089%), (MS, 0, 0.43%, 0.0001909%), (SPGI, 0, 0.43%, 0.0002576%), (TXN, 0, 0.42%, 0.0002342%), (VZ, 0, 0.42%, 0.0002239%), (AXP, 0, 0.42%, 0.0001984%), (BLK, 0, 0.40%, 0.0002312%), (QCOM, 0, 0.40%, 0.0002402%), (ACN, 0, 0.40%, 0.0002537%), (ADBE, 0, 0.39%, 0.0002659%), (UNP, 0, 0.38%, 0.0002917%), (COP, 0, 0.38%, 0.0003253%), (MDT, 0, 0.38%, 0.0003285%), (TMO, 0, 0.38%, 0.0002100%), (DIS, 0, 0.37%, 0.0001789%), (C, 0, 0.35%, 0.0002081%), (SCHW, 0, 0.35%, 0.0002023%), (LMT, 0, 0.35%, 0.0003401%), (SBUX, 0, 0.34%, 0.0003436%), (AMGN, 0, 0.32%, 0.0002060%), (MMM, 0, 0.31%, 0.0003825%), (AMAT, 0, 0.30%, 0.0002414%), (GILD, 0, 0.30%, 0.0002070%), (PFE, 0, 0.30%, 0.0002056%), (CVS, 0, 0.29%, 0.0003257%), (TJX, 0, 0.29%, 0.0001907%), (MO, 0, 0.28%, 0.0002461%), (EMR, 0, 0.27%, 0.0003781%), (LOW, 0, 0.27%, 0.0001903%), (DHR, 0, 0.27%, 0.0001877%), (INTC, 0, 0.23%, 0.0002163%), (ELV, 0, 0.23%, 0.0003429%), (CMCSA, 0, 0.23%, 0.0001865%), (MDLZ, 0, 0.20%, 0.0002526%), (BMY, 0, 0.20%, 0.0002055%), (UPS, 0, 0.18%, 0.0002835%), (PYPL, 0, 0.16%, 0.0002632%), (CL, 0, 0.15%, 0.0002249%), (USB, 0, 0.14%, 0.0002031%), (FDX, 0, 0.14%, 0.0002717%), (TGT, 0, 0.08%, 0.0001932%), (nan, 0, -0.00%, 0.0000000%), (nan, 0, -0.00%, 0.0000000%)</t>
  </si>
  <si>
    <t>(GOOGLE, 0, 3.79%, 0.0000393%), (AVGO, 0, 3.17%, 0.0000541%), (META, 0, 2.87%, 0.0000416%), (BRK/B, 0, 2.20%, 0.0000766%), (LIN, 0, 1.87%, 0.0001942%), (CSCO, 0, 1.83%, 0.0001621%), (JPM, 0, 1.67%, 0.0000486%), (TSLA, 0, 1.67%, 0.0000365%), (AMT, 0, 1.65%, 0.0003930%), (XOM, 0, 1.51%, 0.0000759%), (V, 0, 1.46%, 0.0000586%), (CB, 0, 1.21%, 0.0002579%), (MA, 0, 1.19%, 0.0000530%), (LLY, 0, 1.16%, 0.0000403%), (WM, 0, 1.12%, 0.0002822%), (GE, 0, 1.09%, 0.0000898%), (ORCL, 0, 0.95%, 0.0000334%), (NEE, 0, 0.95%, 0.0001403%), (UNH, 0, 0.92%, 0.0000783%), (NFLX, 0, 0.92%, 0.0000420%), (JNJ, 0, 0.89%, 0.0000483%), (PG, 0, 0.83%, 0.0000524%), (COST, 0, 0.82%, 0.0000447%), (CVX, 0, 0.82%, 0.0000601%), (WMT, 0, 0.81%, 0.0000243%), (PLTR, 0, 0.81%, 0.0000534%), (RTX, 0, 0.78%, 0.0000868%), (MCD, 0, 0.77%, 0.0000811%), (ABBV, 0, 0.77%, 0.0000484%), (CAT, 0, 0.75%, 0.0000901%), (ABT, 0, 0.75%, 0.0000768%), (HD, 0, 0.75%, 0.0000440%), (KO, 0, 0.67%, 0.0000515%), (BKNG, 0, 0.66%, 0.0000838%), (PM, 0, 0.66%, 0.0000570%), (BAC, 0, 0.65%, 0.0000428%), (SO, 0, 0.63%, 0.0001415%), (BA, 0, 0.63%, 0.0000860%), (AMD, 0, 0.62%, 0.0000547%), (NKE, 0, 0.62%, 0.0001591%), (CRM, 0, 0.59%, 0.0000596%), (DUK, 0, 0.58%, 0.0001413%), (UBER, 0, 0.57%, 0.0000676%), (IBM, 0, 0.56%, 0.0000586%), (GS, 0, 0.56%, 0.0000603%), (ISRG, 0, 0.55%, 0.0000773%), (MET, 0, 0.54%, 0.0002368%), (HON, 0, 0.53%, 0.0000896%), (WFC, 0, 0.53%, 0.0000494%), (ETN, 0, 0.51%, 0.0000889%), (PEP, 0, 0.50%, 0.0000573%), (INTU, 0, 0.50%, 0.0000595%), (T, 0, 0.47%, 0.0002457%), (DE, 0, 0.46%, 0.0000825%), (NOW, 0, 0.46%, 0.0000587%), (MRK, 0, 0.45%, 0.0000490%), (MS, 0, 0.44%, 0.0000447%), (SPGI, 0, 0.43%, 0.0000604%), (TXN, 0, 0.43%, 0.0000549%), (VZ, 0, 0.43%, 0.0000525%), (AXP, 0, 0.42%, 0.0000466%), (BLK, 0, 0.41%, 0.0000542%), (QCOM, 0, 0.40%, 0.0000563%), (ACN, 0, 0.40%, 0.0000594%), (ADBE, 0, 0.39%, 0.0000624%), (UNP, 0, 0.39%, 0.0000684%), (COP, 0, 0.39%, 0.0000762%), (MDT, 0, 0.39%, 0.0000770%), (TMO, 0, 0.38%, 0.0000492%), (DIS, 0, 0.37%, 0.0000419%), (C, 0, 0.36%, 0.0000488%), (SCHW, 0, 0.35%, 0.0000474%), (LMT, 0, 0.35%, 0.0000799%), (SBUX, 0, 0.35%, 0.0000806%), (AMGN, 0, 0.33%, 0.0000483%), (MMM, 0, 0.31%, 0.0000896%), (AMAT, 0, 0.31%, 0.0000566%), (GILD, 0, 0.30%, 0.0000486%), (PFE, 0, 0.30%, 0.0000482%), (CVS, 0, 0.29%, 0.0000763%), (TJX, 0, 0.29%, 0.0000447%), (MO, 0, 0.28%, 0.0000577%), (EMR, 0, 0.28%, 0.0000887%), (LOW, 0, 0.27%, 0.0000446%), (DHR, 0, 0.27%, 0.0000440%), (ELV, 0, 0.24%, 0.0000805%), (INTC, 0, 0.24%, 0.0000507%), (CMCSA, 0, 0.23%, 0.0000437%), (MDLZ, 0, 0.21%, 0.0000592%), (BMY, 0, 0.20%, 0.0000482%), (UPS, 0, 0.18%, 0.0000664%), (PYPL, 0, 0.17%, 0.0000617%), (CL, 0, 0.16%, 0.0000527%), (USB, 0, 0.15%, 0.0000476%), (FDX, 0, 0.14%, 0.0000636%), (TGT, 0, 0.09%, 0.0000453%), (nan, 0, -0.00%, 0.0000000%), (nan, 0, -0.00%, 0.0000000%)</t>
  </si>
  <si>
    <t>(GOOGLE, 0, 3.60%, 0.0000689%), (AVGO, 0, 3.01%, 0.0000948%), (META, 0, 2.73%, 0.0000731%), (BRK/B, 0, 2.09%, 0.0001343%), (LIN, 0, 1.78%, 0.0003405%), (CSCO, 0, 1.74%, 0.0002843%), (JPM, 0, 1.58%, 0.0000852%), (TSLA, 0, 1.58%, 0.0000640%), (AMT, 0, 1.57%, 0.0006891%), (XOM, 0, 1.43%, 0.0001331%), (V, 0, 1.39%, 0.0001027%), (CB, 0, 1.15%, 0.0004523%), (MA, 0, 1.14%, 0.0000929%), (LLY, 0, 1.10%, 0.0000707%), (WM, 0, 1.06%, 0.0004950%), (GE, 0, 1.03%, 0.0001574%), (ORCL, 0, 0.91%, 0.0000586%), (NEE, 0, 0.90%, 0.0002460%), (UNH, 0, 0.88%, 0.0001372%), (NFLX, 0, 0.87%, 0.0000736%), (JNJ, 0, 0.85%, 0.0000848%), (PG, 0, 0.79%, 0.0000919%), (COST, 0, 0.78%, 0.0000783%), (CVX, 0, 0.78%, 0.0001054%), (WMT, 0, 0.77%, 0.0000426%), (PLTR, 0, 0.77%, 0.0000937%), (RTX, 0, 0.74%, 0.0001523%), (MCD, 0, 0.74%, 0.0001422%), (ABBV, 0, 0.73%, 0.0000849%), (CAT, 0, 0.72%, 0.0001582%), (ABT, 0, 0.72%, 0.0001347%), (HD, 0, 0.71%, 0.0000772%), (KO, 0, 0.64%, 0.0000903%), (PM, 0, 0.63%, 0.0001001%), (BKNG, 0, 0.62%, 0.0001458%), (BAC, 0, 0.62%, 0.0000750%), (SO, 0, 0.60%, 0.0002481%), (BA, 0, 0.60%, 0.0001509%), (AMD, 0, 0.59%, 0.0000959%), (NKE, 0, 0.59%, 0.0002790%), (CRM, 0, 0.57%, 0.0001043%), (DUK, 0, 0.56%, 0.0002476%), (UBER, 0, 0.54%, 0.0001184%), (IBM, 0, 0.53%, 0.0001028%), (GS, 0, 0.53%, 0.0001057%), (ISRG, 0, 0.53%, 0.0001357%), (MET, 0, 0.51%, 0.0004153%), (HON, 0, 0.50%, 0.0001570%), (WFC, 0, 0.50%, 0.0000865%), (ETN, 0, 0.49%, 0.0001557%), (PEP, 0, 0.48%, 0.0001006%), (INTU, 0, 0.47%, 0.0001044%), (T, 0, 0.45%, 0.0004308%), (DE, 0, 0.44%, 0.0001443%), (NOW, 0, 0.43%, 0.0001029%), (MRK, 0, 0.43%, 0.0000859%), (MS, 0, 0.42%, 0.0000785%), (SPGI, 0, 0.41%, 0.0001060%), (TXN, 0, 0.41%, 0.0000963%), (VZ, 0, 0.40%, 0.0000920%), (AXP, 0, 0.40%, 0.0000816%), (BLK, 0, 0.38%, 0.0000949%), (QCOM, 0, 0.38%, 0.0000987%), (ACN, 0, 0.38%, 0.0001042%), (ADBE, 0, 0.38%, 0.0001092%), (UNP, 0, 0.37%, 0.0001199%), (COP, 0, 0.37%, 0.0001337%), (MDT, 0, 0.37%, 0.0001350%), (TMO, 0, 0.36%, 0.0000862%), (DIS, 0, 0.36%, 0.0000735%), (C, 0, 0.34%, 0.0000856%), (SCHW, 0, 0.34%, 0.0000832%), (LMT, 0, 0.33%, 0.0001400%), (SBUX, 0, 0.33%, 0.0001413%), (AMGN, 0, 0.31%, 0.0000847%), (MMM, 0, 0.30%, 0.0001572%), (AMAT, 0, 0.29%, 0.0000993%), (PFE, 0, 0.29%, 0.0000845%), (GILD, 0, 0.29%, 0.0000851%), (CVS, 0, 0.28%, 0.0001338%), (TJX, 0, 0.28%, 0.0000784%), (MO, 0, 0.27%, 0.0001012%), (EMR, 0, 0.26%, 0.0001555%), (LOW, 0, 0.26%, 0.0000783%), (DHR, 0, 0.26%, 0.0000772%), (INTC, 0, 0.23%, 0.0000889%), (ELV, 0, 0.23%, 0.0001408%), (CMCSA, 0, 0.22%, 0.0000767%), (MDLZ, 0, 0.20%, 0.0001038%), (BMY, 0, 0.19%, 0.0000845%), (UPS, 0, 0.17%, 0.0001166%), (PYPL, 0, 0.16%, 0.0001082%), (CL, 0, 0.15%, 0.0000924%), (USB, 0, 0.14%, 0.0000835%), (FDX, 0, 0.14%, 0.0001119%), (TGT, 0, 0.08%, 0.0000794%), (nan, 0, -0.00%, 0.0000000%), (nan, 0, -0.00%, 0.0000000%)</t>
  </si>
  <si>
    <t>(GOOGLE, 0, 3.67%, 0.0000249%), (AVGO, 0, 3.08%, 0.0000343%), (META, 0, 2.79%, 0.0000264%), (BRK/B, 0, 2.13%, 0.0000485%), (LIN, 0, 1.81%, 0.0001231%), (CSCO, 0, 1.78%, 0.0001028%), (JPM, 0, 1.62%, 0.0000308%), (TSLA, 0, 1.62%, 0.0000232%), (AMT, 0, 1.61%, 0.0002491%), (XOM, 0, 1.46%, 0.0000481%), (V, 0, 1.42%, 0.0000371%), (CB, 0, 1.18%, 0.0001636%), (MA, 0, 1.16%, 0.0000335%), (LLY, 0, 1.12%, 0.0000256%), (WM, 0, 1.09%, 0.0001790%), (GE, 0, 1.05%, 0.0000569%), (ORCL, 0, 0.92%, 0.0000212%), (NEE, 0, 0.92%, 0.0000889%), (NFLX, 0, 0.89%, 0.0000267%), (UNH, 0, 0.89%, 0.0000496%), (JNJ, 0, 0.86%, 0.0000306%), (PG, 0, 0.80%, 0.0000332%), (CVX, 0, 0.80%, 0.0000381%), (COST, 0, 0.80%, 0.0000282%), (PLTR, 0, 0.79%, 0.0000339%), (WMT, 0, 0.79%, 0.0000154%), (RTX, 0, 0.76%, 0.0000550%), (MCD, 0, 0.75%, 0.0000514%), (ABBV, 0, 0.74%, 0.0000307%), (ABT, 0, 0.73%, 0.0000487%), (CAT, 0, 0.73%, 0.0000572%), (HD, 0, 0.72%, 0.0000279%), (KO, 0, 0.65%, 0.0000326%), (PM, 0, 0.64%, 0.0000362%), (BKNG, 0, 0.64%, 0.0000527%), (BAC, 0, 0.63%, 0.0000271%), (SO, 0, 0.61%, 0.0000897%), (BA, 0, 0.61%, 0.0000545%), (AMD, 0, 0.60%, 0.0000347%), (NKE, 0, 0.60%, 0.0001008%), (CRM, 0, 0.58%, 0.0000377%), (DUK, 0, 0.57%, 0.0000896%), (UBER, 0, 0.55%, 0.0000428%), (IBM, 0, 0.54%, 0.0000371%), (GS, 0, 0.54%, 0.0000383%), (ISRG, 0, 0.54%, 0.0000491%), (MET, 0, 0.52%, 0.0001501%), (HON, 0, 0.51%, 0.0000569%), (WFC, 0, 0.51%, 0.0000313%), (ETN, 0, 0.50%, 0.0000563%), (PEP, 0, 0.49%, 0.0000363%), (INTU, 0, 0.48%, 0.0000377%), (T, 0, 0.46%, 0.0001558%), (DE, 0, 0.45%, 0.0000522%), (NOW, 0, 0.44%, 0.0000370%), (MRK, 0, 0.43%, 0.0000310%), (MS, 0, 0.43%, 0.0000284%), (SPGI, 0, 0.42%, 0.0000383%), (VZ, 0, 0.41%, 0.0000333%), (TXN, 0, 0.41%, 0.0000348%), (AXP, 0, 0.41%, 0.0000295%), (BLK, 0, 0.39%, 0.0000342%), (QCOM, 0, 0.39%, 0.0000357%), (ACN, 0, 0.39%, 0.0000377%), (ADBE, 0, 0.38%, 0.0000394%), (UNP, 0, 0.38%, 0.0000433%), (COP, 0, 0.38%, 0.0000484%), (MDT, 0, 0.37%, 0.0000488%), (TMO, 0, 0.37%, 0.0000311%), (DIS, 0, 0.36%, 0.0000266%), (C, 0, 0.35%, 0.0000309%), (LMT, 0, 0.34%, 0.0000506%), (SCHW, 0, 0.34%, 0.0000301%), (SBUX, 0, 0.34%, 0.0000510%), (AMGN, 0, 0.32%, 0.0000306%), (MMM, 0, 0.30%, 0.0000568%), (AMAT, 0, 0.30%, 0.0000359%), (PFE, 0, 0.29%, 0.0000306%), (GILD, 0, 0.29%, 0.0000308%), (CVS, 0, 0.28%, 0.0000484%), (TJX, 0, 0.28%, 0.0000283%), (MO, 0, 0.27%, 0.0000366%), (EMR, 0, 0.27%, 0.0000561%), (LOW, 0, 0.27%, 0.0000284%), (DHR, 0, 0.26%, 0.0000279%), (INTC, 0, 0.23%, 0.0000321%), (ELV, 0, 0.23%, 0.0000508%), (CMCSA, 0, 0.22%, 0.0000277%), (MDLZ, 0, 0.20%, 0.0000375%), (BMY, 0, 0.20%, 0.0000306%), (UPS, 0, 0.18%, 0.0000421%), (PYPL, 0, 0.16%, 0.0000391%), (CL, 0, 0.15%, 0.0000334%), (USB, 0, 0.14%, 0.0000301%), (FDX, 0, 0.14%, 0.0000403%), (TGT, 0, 0.08%, 0.0000286%), (nan, 0, -0.00%, 0.0000000%), (nan, 0, -0.00%, 0.0000000%)</t>
  </si>
  <si>
    <t>(GOOGLE, 0, 3.90%, 0.0000596%), (AVGO, 0, 3.26%, 0.0000820%), (META, 0, 2.96%, 0.0000632%), (BRK/B, 0, 2.26%, 0.0001161%), (LIN, 0, 1.92%, 0.0002945%), (CSCO, 0, 1.89%, 0.0002459%), (JPM, 0, 1.71%, 0.0000737%), (TSLA, 0, 1.71%, 0.0000554%), (AMT, 0, 1.70%, 0.0005960%), (XOM, 0, 1.55%, 0.0001151%), (V, 0, 1.51%, 0.0000888%), (CB, 0, 1.25%, 0.0003913%), (MA, 0, 1.23%, 0.0000803%), (LLY, 0, 1.19%, 0.0000611%), (WM, 0, 1.15%, 0.0004282%), (GE, 0, 1.12%, 0.0001361%), (ORCL, 0, 0.98%, 0.0000507%), (NEE, 0, 0.98%, 0.0002127%), (NFLX, 0, 0.95%, 0.0000637%), (UNH, 0, 0.95%, 0.0001187%), (JNJ, 0, 0.92%, 0.0000733%), (PG, 0, 0.85%, 0.0000795%), (COST, 0, 0.85%, 0.0000677%), (CVX, 0, 0.84%, 0.0000911%), (WMT, 0, 0.84%, 0.0000369%), (PLTR, 0, 0.84%, 0.0000810%), (RTX, 0, 0.80%, 0.0001317%), (MCD, 0, 0.79%, 0.0001230%), (ABBV, 0, 0.79%, 0.0000734%), (CAT, 0, 0.77%, 0.0001366%), (ABT, 0, 0.77%, 0.0001165%), (HD, 0, 0.77%, 0.0000667%), (KO, 0, 0.69%, 0.0000781%), (BKNG, 0, 0.68%, 0.0001272%), (PM, 0, 0.68%, 0.0000865%), (BAC, 0, 0.67%, 0.0000649%), (SO, 0, 0.65%, 0.0002146%), (BA, 0, 0.65%, 0.0001305%), (AMD, 0, 0.64%, 0.0000829%), (NKE, 0, 0.64%, 0.0002413%), (CRM, 0, 0.61%, 0.0000902%), (DUK, 0, 0.60%, 0.0002142%), (UBER, 0, 0.58%, 0.0001024%), (IBM, 0, 0.58%, 0.0000889%), (GS, 0, 0.57%, 0.0000914%), (ISRG, 0, 0.57%, 0.0001173%), (MET, 0, 0.55%, 0.0003592%), (HON, 0, 0.55%, 0.0001359%), (WFC, 0, 0.54%, 0.0000748%), (ETN, 0, 0.53%, 0.0001346%), (PEP, 0, 0.51%, 0.0000870%), (INTU, 0, 0.51%, 0.0000904%), (T, 0, 0.49%, 0.0003726%), (DE, 0, 0.48%, 0.0001250%), (NOW, 0, 0.47%, 0.0000889%), (MRK, 0, 0.46%, 0.0000743%), (MS, 0, 0.45%, 0.0000678%), (SPGI, 0, 0.44%, 0.0000915%), (TXN, 0, 0.44%, 0.0000833%), (VZ, 0, 0.44%, 0.0000796%), (AXP, 0, 0.43%, 0.0000706%), (BLK, 0, 0.42%, 0.0000820%), (QCOM, 0, 0.41%, 0.0000854%), (ACN, 0, 0.41%, 0.0000901%), (ADBE, 0, 0.41%, 0.0000946%), (UNP, 0, 0.40%, 0.0001037%), (COP, 0, 0.40%, 0.0001156%), (MDT, 0, 0.40%, 0.0001168%), (TMO, 0, 0.39%, 0.0000748%), (DIS, 0, 0.38%, 0.0000636%), (C, 0, 0.37%, 0.0000740%), (SCHW, 0, 0.36%, 0.0000719%), (LMT, 0, 0.36%, 0.0001210%), (SBUX, 0, 0.36%, 0.0001221%), (AMGN, 0, 0.34%, 0.0000732%), (MMM, 0, 0.32%, 0.0001359%), (AMAT, 0, 0.32%, 0.0000859%), (GILD, 0, 0.31%, 0.0000736%), (PFE, 0, 0.31%, 0.0000731%), (CVS, 0, 0.30%, 0.0001158%), (TJX, 0, 0.30%, 0.0000677%), (MO, 0, 0.29%, 0.0000875%), (EMR, 0, 0.29%, 0.0001343%), (LOW, 0, 0.28%, 0.0000676%), (DHR, 0, 0.28%, 0.0000667%), (INTC, 0, 0.24%, 0.0000769%), (ELV, 0, 0.24%, 0.0001219%), (CMCSA, 0, 0.23%, 0.0000663%), (MDLZ, 0, 0.21%, 0.0000898%), (BMY, 0, 0.21%, 0.0000730%), (UPS, 0, 0.19%, 0.0001008%), (PYPL, 0, 0.17%, 0.0000936%), (CL, 0, 0.16%, 0.0000799%), (USB, 0, 0.15%, 0.0000722%), (FDX, 0, 0.15%, 0.0000966%), (TGT, 0, 0.09%, 0.0000687%), (nan, 0, -0.00%, 0.0000000%), (nan, 0, -0.00%, 0.0000000%)</t>
  </si>
  <si>
    <t>EBAY, BK, META, MSFT, GOOGLE, BKNG, EA, JPM, MLI, BLK, RJF, HIG</t>
  </si>
  <si>
    <t>(PHM, 0, 1.88%, 0.0041946%), (TRV, 0, 1.85%, 0.0016435%), (EWBC, 0, 1.84%, 0.0072267%), (AXP, 0, 1.84%, 0.0004718%), (V, 0, 1.81%, 0.0001696%), (NVDA, 0, 1.73%, 0.0000222%), (ADP, 0, 1.72%, 0.0007610%), (ROST, 0, 1.71%, 0.0019737%), (SNA, 0, 1.69%, 0.0055242%), (CB, 0, 1.66%, 0.0008261%), (UNM, 0, 1.65%, 0.0076107%), (KLAC, 0, 1.63%, 0.0007755%), (PCAR, 0, 1.63%, 0.0017349%), (AMAT, 0, 1.62%, 0.0006929%), (LEN, 0, 1.61%, 0.0030393%), (SYF, 0, 1.57%, 0.0033406%), (CTSH, 0, 1.52%, 0.0024127%), (CRM, 0, 1.49%, 0.0003467%), (WSM, 0, 1.47%, 0.0033451%), (PAYC, 0, 1.46%, 0.0060905%), (BKR, 0, 1.36%, 0.0017367%), (DHI, 0, 1.34%, 0.0015349%), (QCOM, 0, 1.31%, 0.0004308%), (ACN, 0, 1.28%, 0.0004409%), (AFL, 0, 1.26%, 0.0011901%), (ELV, 0, 1.25%, 0.0009931%), (AAPL, 0, 1.24%, 0.0000203%), (MPWR, 0, 1.11%, 0.0015347%), (ODFL, 0, 1.08%, 0.0018785%), (LRCX, 0, 1.07%, 0.0004726%), (CSCO, 0, 1.06%, 0.0002181%), (GE, 0, 1.02%, 0.0001972%), (STT, 0, 0.98%, 0.0017106%), (PNC, 0, 0.91%, 0.0006498%), (MTB, 0, 0.90%, 0.0016546%), (CF, 0, 0.86%, 0.0033715%), (AMP, 0, 0.86%, 0.0010021%), (COST, 0, 0.85%, 0.0001079%), (ABT, 0, 0.83%, 0.0001978%), (XOM, 0, 0.80%, 0.0000938%), (EOG, 0, 0.78%, 0.0006592%), (EG, 0, 0.77%, 0.0028810%), (CSL, 0, 0.75%, 0.0025631%), (GEV, 0, 0.54%, 0.0001795%), (NTRS, 0, 0.52%, 0.0011728%), (MA, 0, 0.50%, 0.0000519%), (JNJ, 0, 0.49%, 0.0000616%), (CRBG, 0, 0.48%, 0.0014146%), (ACM, 0, 0.47%, 0.0015840%), (LNC, 0, 0.45%, 0.0031937%), (MTG, 0, 0.44%, 0.0038951%), (JXN, 0, 0.44%, 0.0035950%), (CINF, 0, 0.43%, 0.0009890%), (DOV, 0, 0.42%, 0.0009457%), (WTFC, 0, 0.42%, 0.0026691%), (ALL, 0, 0.42%, 0.0004167%), (MCK, 0, 0.41%, 0.0002573%), (ADM, 0, 0.41%, 0.0007686%), (EQH, 0, 0.41%, 0.0014356%), (SLM, 0, 0.40%, 0.0035072%), (NUE, 0, 0.39%, 0.0006461%), (NKE, 0, 0.38%, 0.0002273%), (PGR, 0, 0.37%, 0.0001380%), (FANG, 0, 0.29%, 0.0003986%)</t>
  </si>
  <si>
    <t>(GOOGLE, 0, 3.56%, 0.0000634%), (AVGO, 0, 2.98%, 0.0000872%), (META, 0, 2.70%, 0.0000672%), (BRK/B, 0, 2.07%, 0.0001235%), (LIN, 0, 1.76%, 0.0003133%), (CSCO, 0, 1.72%, 0.0002615%), (JPM, 0, 1.57%, 0.0000784%), (TSLA, 0, 1.56%, 0.0000589%), (AMT, 0, 1.55%, 0.0006338%), (XOM, 0, 1.42%, 0.0001224%), (V, 0, 1.38%, 0.0000945%), (CB, 0, 1.14%, 0.0004162%), (MA, 0, 1.12%, 0.0000854%), (LLY, 0, 1.09%, 0.0000651%), (WM, 0, 1.05%, 0.0004552%), (GE, 0, 1.02%, 0.0001448%), (ORCL, 0, 0.89%, 0.0000539%), (NEE, 0, 0.89%, 0.0002263%), (UNH, 0, 0.86%, 0.0001262%), (NFLX, 0, 0.86%, 0.0000677%), (JNJ, 0, 0.84%, 0.0000779%), (PG, 0, 0.78%, 0.0000846%), (COST, 0, 0.77%, 0.0000720%), (CVX, 0, 0.77%, 0.0000969%), (WMT, 0, 0.76%, 0.0000392%), (PLTR, 0, 0.76%, 0.0000861%), (RTX, 0, 0.73%, 0.0001401%), (MCD, 0, 0.73%, 0.0001309%), (ABBV, 0, 0.72%, 0.0000780%), (CAT, 0, 0.71%, 0.0001454%), (ABT, 0, 0.71%, 0.0001239%), (HD, 0, 0.70%, 0.0000709%), (KO, 0, 0.63%, 0.0000831%), (PM, 0, 0.62%, 0.0000921%), (BKNG, 0, 0.61%, 0.0001334%), (BAC, 0, 0.61%, 0.0000690%), (SO, 0, 0.59%, 0.0002282%), (BA, 0, 0.59%, 0.0001388%), (AMD, 0, 0.59%, 0.0000882%), (NKE, 0, 0.58%, 0.0002566%), (CRM, 0, 0.56%, 0.0000960%), (DUK, 0, 0.55%, 0.0002278%), (UBER, 0, 0.53%, 0.0001089%), (IBM, 0, 0.53%, 0.0000946%), (GS, 0, 0.52%, 0.0000974%), (ISRG, 0, 0.52%, 0.0001247%), (MET, 0, 0.50%, 0.0003821%), (HON, 0, 0.50%, 0.0001444%), (WFC, 0, 0.49%, 0.0000796%), (ETN, 0, 0.48%, 0.0001433%), (PEP, 0, 0.47%, 0.0000924%), (INTU, 0, 0.46%, 0.0000961%), (T, 0, 0.45%, 0.0003963%), (DE, 0, 0.44%, 0.0001328%), (NOW, 0, 0.43%, 0.0000947%), (MRK, 0, 0.42%, 0.0000790%), (MS, 0, 0.41%, 0.0000722%), (SPGI, 0, 0.41%, 0.0000974%), (TXN, 0, 0.40%, 0.0000886%), (VZ, 0, 0.40%, 0.0000846%), (AXP, 0, 0.40%, 0.0000751%), (BLK, 0, 0.38%, 0.0000872%), (ACN, 0, 0.38%, 0.0000958%), (QCOM, 0, 0.38%, 0.0000908%), (ADBE, 0, 0.37%, 0.0001006%), (UNP, 0, 0.36%, 0.0001103%), (COP, 0, 0.36%, 0.0001230%), (MDT, 0, 0.36%, 0.0001242%), (TMO, 0, 0.36%, 0.0000793%), (DIS, 0, 0.35%, 0.0000676%), (C, 0, 0.33%, 0.0000787%), (SCHW, 0, 0.33%, 0.0000765%), (LMT, 0, 0.33%, 0.0001288%), (SBUX, 0, 0.33%, 0.0001299%), (AMGN, 0, 0.31%, 0.0000778%), (MMM, 0, 0.29%, 0.0001446%), (AMAT, 0, 0.29%, 0.0000913%), (PFE, 0, 0.28%, 0.0000777%), (GILD, 0, 0.28%, 0.0000783%), (CVS, 0, 0.28%, 0.0001231%), (TJX, 0, 0.27%, 0.0000721%), (MO, 0, 0.26%, 0.0000930%), (EMR, 0, 0.26%, 0.0001429%), (LOW, 0, 0.26%, 0.0000719%), (DHR, 0, 0.26%, 0.0000709%), (INTC, 0, 0.22%, 0.0000818%), (ELV, 0, 0.22%, 0.0001296%), (CMCSA, 0, 0.21%, 0.0000705%), (MDLZ, 0, 0.19%, 0.0000955%), (BMY, 0, 0.19%, 0.0000777%), (UPS, 0, 0.17%, 0.0001072%), (PYPL, 0, 0.16%, 0.0000995%), (CL, 0, 0.15%, 0.0000850%), (USB, 0, 0.14%, 0.0000768%), (FDX, 0, 0.14%, 0.0001026%), (TGT, 0, 0.08%, 0.0000731%), (nan, 0, -0.00%, 0.0000000%), (nan, 0, -0.00%, 0.0000000%)</t>
  </si>
  <si>
    <t>(GOOGLE, 0, 3.73%, 0.0001296%), (AVGO, 0, 3.12%, 0.0001783%), (META, 0, 2.83%, 0.0001373%), (BRK/B, 0, 2.17%, 0.0002524%), (LIN, 0, 1.84%, 0.0006403%), (CSCO, 0, 1.81%, 0.0005346%), (JPM, 0, 1.64%, 0.0001603%), (TSLA, 0, 1.64%, 0.0001204%), (AMT, 0, 1.63%, 0.0012955%), (XOM, 0, 1.49%, 0.0002502%), (V, 0, 1.44%, 0.0001931%), (CB, 0, 1.20%, 0.0008505%), (MA, 0, 1.18%, 0.0001746%), (LLY, 0, 1.14%, 0.0001329%), (WM, 0, 1.10%, 0.0009306%), (GE, 0, 1.07%, 0.0002959%), (ORCL, 0, 0.94%, 0.0001101%), (NEE, 0, 0.94%, 0.0004625%), (NFLX, 0, 0.91%, 0.0001385%), (UNH, 0, 0.91%, 0.0002579%), (JNJ, 0, 0.88%, 0.0001593%), (PG, 0, 0.82%, 0.0001728%), (COST, 0, 0.81%, 0.0001471%), (CVX, 0, 0.81%, 0.0001981%), (WMT, 0, 0.80%, 0.0000801%), (PLTR, 0, 0.80%, 0.0001761%), (RTX, 0, 0.77%, 0.0002863%), (MCD, 0, 0.76%, 0.0002674%), (ABBV, 0, 0.75%, 0.0001595%), (CAT, 0, 0.74%, 0.0002971%), (ABT, 0, 0.74%, 0.0002532%), (HD, 0, 0.73%, 0.0001451%), (KO, 0, 0.66%, 0.0001698%), (PM, 0, 0.65%, 0.0001882%), (BKNG, 0, 0.64%, 0.0002730%), (BAC, 0, 0.64%, 0.0001411%), (SO, 0, 0.62%, 0.0004665%), (BA, 0, 0.62%, 0.0002836%), (AMD, 0, 0.61%, 0.0001803%), (NKE, 0, 0.61%, 0.0005246%), (CRM, 0, 0.59%, 0.0001962%), (DUK, 0, 0.58%, 0.0004656%), (UBER, 0, 0.56%, 0.0002226%), (IBM, 0, 0.55%, 0.0001932%), (GS, 0, 0.55%, 0.0001987%), (ISRG, 0, 0.54%, 0.0002550%), (MET, 0, 0.53%, 0.0007809%), (HON, 0, 0.52%, 0.0002953%), (WFC, 0, 0.52%, 0.0001627%), (ETN, 0, 0.50%, 0.0002928%), (PEP, 0, 0.49%, 0.0001890%), (INTU, 0, 0.49%, 0.0001966%), (T, 0, 0.47%, 0.0008101%), (DE, 0, 0.46%, 0.0002715%), (NOW, 0, 0.45%, 0.0001933%), (MRK, 0, 0.44%, 0.0001615%), (MS, 0, 0.43%, 0.0001475%), (SPGI, 0, 0.43%, 0.0001991%), (TXN, 0, 0.42%, 0.0001810%), (VZ, 0, 0.42%, 0.0001730%), (AXP, 0, 0.42%, 0.0001534%), (BLK, 0, 0.40%, 0.0001782%), (ACN, 0, 0.40%, 0.0001960%), (QCOM, 0, 0.40%, 0.0001856%), (ADBE, 0, 0.39%, 0.0002054%), (UNP, 0, 0.38%, 0.0002254%), (COP, 0, 0.38%, 0.0002514%), (MDT, 0, 0.38%, 0.0002538%), (TMO, 0, 0.38%, 0.0001624%), (DIS, 0, 0.37%, 0.0001382%), (C, 0, 0.35%, 0.0001608%), (SCHW, 0, 0.35%, 0.0001563%), (LMT, 0, 0.35%, 0.0002628%), (SBUX, 0, 0.34%, 0.0002656%), (AMGN, 0, 0.32%, 0.0001592%), (MMM, 0, 0.31%, 0.0002955%), (AMAT, 0, 0.30%, 0.0001865%), (PFE, 0, 0.30%, 0.0001589%), (GILD, 0, 0.30%, 0.0001600%), (CVS, 0, 0.29%, 0.0002517%), (TJX, 0, 0.29%, 0.0001474%), (MO, 0, 0.28%, 0.0001902%), (EMR, 0, 0.27%, 0.0002921%), (LOW, 0, 0.27%, 0.0001471%), (DHR, 0, 0.27%, 0.0001451%), (INTC, 0, 0.23%, 0.0001672%), (ELV, 0, 0.23%, 0.0002650%), (CMCSA, 0, 0.22%, 0.0001441%), (MDLZ, 0, 0.20%, 0.0001952%), (BMY, 0, 0.20%, 0.0001589%), (UPS, 0, 0.18%, 0.0002191%), (PYPL, 0, 0.16%, 0.0002035%), (CL, 0, 0.15%, 0.0001738%), (USB, 0, 0.14%, 0.0001569%), (FDX, 0, 0.14%, 0.0002102%), (TGT, 0, 0.08%, 0.0001492%), (nan, 0, -0.00%, 0.0000000%), (nan, 0, -0.00%, 0.0000000%)</t>
  </si>
  <si>
    <t>(GOOGLE, 0, 3.51%, 0.0002600%), (AVGO, 0, 2.94%, 0.0003577%), (META, 0, 2.67%, 0.0002755%), (BRK/B, 0, 2.04%, 0.0005065%), (LIN, 0, 1.73%, 0.0012845%), (CSCO, 0, 1.70%, 0.0010724%), (JPM, 0, 1.55%, 0.0003215%), (TSLA, 0, 1.54%, 0.0002414%), (AMT, 0, 1.53%, 0.0025992%), (XOM, 0, 1.40%, 0.0005020%), (V, 0, 1.36%, 0.0003875%), (CB, 0, 1.13%, 0.0017063%), (MA, 0, 1.11%, 0.0003503%), (LLY, 0, 1.07%, 0.0002666%), (WM, 0, 1.04%, 0.0018671%), (GE, 0, 1.01%, 0.0005936%), (ORCL, 0, 0.88%, 0.0002210%), (NEE, 0, 0.88%, 0.0009278%), (NFLX, 0, 0.85%, 0.0002778%), (UNH, 0, 0.85%, 0.0005174%), (JNJ, 0, 0.83%, 0.0003196%), (PG, 0, 0.77%, 0.0003467%), (COST, 0, 0.76%, 0.0002951%), (CVX, 0, 0.76%, 0.0003975%), (WMT, 0, 0.75%, 0.0001608%), (PLTR, 0, 0.75%, 0.0003532%), (RTX, 0, 0.72%, 0.0005743%), (MCD, 0, 0.72%, 0.0005366%), (ABBV, 0, 0.71%, 0.0003199%), (CAT, 0, 0.70%, 0.0005962%), (ABT, 0, 0.70%, 0.0005080%), (HD, 0, 0.69%, 0.0002910%), (KO, 0, 0.62%, 0.0003406%), (PM, 0, 0.61%, 0.0003774%), (BAC, 0, 0.60%, 0.0002830%), (BKNG, 0, 0.59%, 0.0005491%), (SO, 0, 0.58%, 0.0009357%), (BA, 0, 0.58%, 0.0005690%), (AMD, 0, 0.58%, 0.0003617%), (NKE, 0, 0.57%, 0.0010524%), (CRM, 0, 0.55%, 0.0003936%), (DUK, 0, 0.54%, 0.0009342%), (UBER, 0, 0.53%, 0.0004467%), (IBM, 0, 0.52%, 0.0003877%), (GS, 0, 0.51%, 0.0003988%), (ISRG, 0, 0.51%, 0.0005117%), (MET, 0, 0.50%, 0.0015667%), (HON, 0, 0.49%, 0.0005925%), (WFC, 0, 0.49%, 0.0003264%), (ETN, 0, 0.47%, 0.0005872%), (PEP, 0, 0.46%, 0.0003792%), (INTU, 0, 0.46%, 0.0003938%), (T, 0, 0.44%, 0.0016251%), (DE, 0, 0.43%, 0.0005445%), (NOW, 0, 0.42%, 0.0003880%), (MRK, 0, 0.42%, 0.0003239%), (MS, 0, 0.41%, 0.0002960%), (SPGI, 0, 0.40%, 0.0003993%), (VZ, 0, 0.39%, 0.0003471%), (TXN, 0, 0.39%, 0.0003632%), (AXP, 0, 0.39%, 0.0003078%), (BLK, 0, 0.38%, 0.0003584%), (QCOM, 0, 0.37%, 0.0003725%), (ACN, 0, 0.37%, 0.0003932%), (ADBE, 0, 0.37%, 0.0004121%), (UNP, 0, 0.36%, 0.0004522%), (COP, 0, 0.36%, 0.0005043%), (MDT, 0, 0.36%, 0.0005092%), (TMO, 0, 0.35%, 0.0003255%), (DIS, 0, 0.35%, 0.0002773%), (C, 0, 0.33%, 0.0003226%), (SCHW, 0, 0.33%, 0.0003137%), (LMT, 0, 0.33%, 0.0005272%), (SBUX, 0, 0.32%, 0.0005328%), (AMGN, 0, 0.31%, 0.0003193%), (MMM, 0, 0.29%, 0.0005930%), (AMAT, 0, 0.29%, 0.0003743%), (GILD, 0, 0.28%, 0.0003209%), (PFE, 0, 0.28%, 0.0003188%), (CVS, 0, 0.27%, 0.0005049%), (TJX, 0, 0.27%, 0.0002955%), (MO, 0, 0.26%, 0.0003815%), (EMR, 0, 0.26%, 0.0005862%), (LOW, 0, 0.25%, 0.0002951%), (DHR, 0, 0.25%, 0.0002911%), (INTC, 0, 0.22%, 0.0003354%), (ELV, 0, 0.22%, 0.0005314%), (CMCSA, 0, 0.21%, 0.0002891%), (MDLZ, 0, 0.19%, 0.0003916%), (BMY, 0, 0.19%, 0.0003187%), (UPS, 0, 0.17%, 0.0004395%), (PYPL, 0, 0.15%, 0.0004082%), (CL, 0, 0.15%, 0.0003487%), (USB, 0, 0.14%, 0.0003148%), (FDX, 0, 0.13%, 0.0004213%), (TGT, 0, 0.08%, 0.0002993%), (nan, 0, -0.00%, 0.0000000%), (nan, 0, -0.00%, 0.0000000%)</t>
  </si>
  <si>
    <t>(AVGO, 0, 2.91%, 0.0000517%), (META, 0, 2.65%, 0.0000398%), (BRK/B, 0, 1.98%, 0.0000732%), (LIN, 0, 1.69%, 0.0001857%), (CSCO, 0, 1.66%, 0.0001550%), (TSLA, 0, 1.59%, 0.0000349%), (JPM, 0, 1.53%, 0.0000465%), (AMT, 0, 1.51%, 0.0003757%), (XOM, 0, 1.38%, 0.0000726%), (V, 0, 1.35%, 0.0000560%), (CB, 0, 1.09%, 0.0002467%), (MA, 0, 1.09%, 0.0000506%), (LLY, 0, 1.04%, 0.0000385%), (WM, 0, 1.00%, 0.0002698%), (GE, 0, 0.98%, 0.0000858%), (ORCL, 0, 0.87%, 0.0000320%), (NEE, 0, 0.86%, 0.0001341%), (UNH, 0, 0.84%, 0.0000748%), (NFLX, 0, 0.83%, 0.0000401%), (JNJ, 0, 0.81%, 0.0000462%), (CVX, 0, 0.75%, 0.0000574%), (PG, 0, 0.75%, 0.0000501%), (PLTR, 0, 0.75%, 0.0000510%), (COST, 0, 0.73%, 0.0000426%), (WMT, 0, 0.73%, 0.0000232%), (CAT, 0, 0.70%, 0.0000862%), (RTX, 0, 0.70%, 0.0000830%), (MCD, 0, 0.70%, 0.0000775%), (ABBV, 0, 0.69%, 0.0000462%), (HD, 0, 0.69%, 0.0000421%), (ABT, 0, 0.68%, 0.0000734%), (BKNG, 0, 0.60%, 0.0000807%), (KO, 0, 0.60%, 0.0000492%), (BAC, 0, 0.60%, 0.0000409%), (PM, 0, 0.59%, 0.0000545%), (BA, 0, 0.58%, 0.0000822%), (AMD, 0, 0.58%, 0.0000523%), (NKE, 0, 0.57%, 0.0001521%), (SO, 0, 0.57%, 0.0001352%), (CRM, 0, 0.54%, 0.0000569%), (DUK, 0, 0.53%, 0.0001350%), (UBER, 0, 0.52%, 0.0000646%), (GS, 0, 0.52%, 0.0000577%), (IBM, 0, 0.51%, 0.0000561%), (ISRG, 0, 0.50%, 0.0000739%), (MET, 0, 0.50%, 0.0002265%), (HON, 0, 0.49%, 0.0000857%), (WFC, 0, 0.48%, 0.0000472%), (ETN, 0, 0.47%, 0.0000850%), (PEP, 0, 0.45%, 0.0000548%), (INTU, 0, 0.43%, 0.0000570%), (DE, 0, 0.43%, 0.0000788%), (NOW, 0, 0.42%, 0.0000562%), (T, 0, 0.42%, 0.0002349%), (MRK, 0, 0.41%, 0.0000468%), (MS, 0, 0.41%, 0.0000428%), (SPGI, 0, 0.39%, 0.0000578%), (TXN, 0, 0.39%, 0.0000525%), (AXP, 0, 0.39%, 0.0000444%), (VZ, 0, 0.38%, 0.0000502%), (BLK, 0, 0.37%, 0.0000517%), (QCOM, 0, 0.37%, 0.0000538%), (ACN, 0, 0.37%, 0.0000568%), (ADBE, 0, 0.36%, 0.0000595%), (TMO, 0, 0.36%, 0.0000471%), (COP, 0, 0.36%, 0.0000729%), (UNP, 0, 0.35%, 0.0000654%), (MDT, 0, 0.35%, 0.0000736%), (DIS, 0, 0.34%, 0.0000401%), (C, 0, 0.33%, 0.0000467%), (SCHW, 0, 0.32%, 0.0000453%), (LMT, 0, 0.32%, 0.0000761%), (SBUX, 0, 0.31%, 0.0000770%), (MMM, 0, 0.29%, 0.0000857%), (AMAT, 0, 0.28%, 0.0000541%), (PFE, 0, 0.27%, 0.0000461%), (GILD, 0, 0.27%, 0.0000464%), (CVS, 0, 0.27%, 0.0000729%), (TJX, 0, 0.26%, 0.0000428%), (EMR, 0, 0.26%, 0.0000848%), (DHR, 0, 0.25%, 0.0000420%), (MO, 0, 0.25%, 0.0000552%), (LOW, 0, 0.25%, 0.0000426%), (INTC, 0, 0.23%, 0.0000485%), (ELV, 0, 0.22%, 0.0000769%), (CMCSA, 0, 0.21%, 0.0000418%), (MDLZ, 0, 0.19%, 0.0000566%), (BMY, 0, 0.18%, 0.0000461%), (AMGN, 0, 0.18%, 0.0000277%), (UPS, 0, 0.17%, 0.0000636%), (PYPL, 0, 0.16%, 0.0000590%), (CL, 0, 0.14%, 0.0000504%), (FDX, 0, 0.14%, 0.0000610%), (USB, 0, 0.14%, 0.0000455%), (TGT, 0, 0.08%, 0.0000434%), (nan, 0, -0.00%, 0.0000000%), (nan, 0, -0.00%, 0.0000000%)</t>
  </si>
  <si>
    <t>(GOOGLE, 0, 3.83%, 0.0002250%), (AVGO, 0, 3.16%, 0.0003096%), (META, 0, 2.88%, 0.0002384%), (BRK/B, 0, 2.16%, 0.0004383%), (LIN, 0, 1.84%, 0.0011115%), (CSCO, 0, 1.81%, 0.0009280%), (TSLA, 0, 1.72%, 0.0002089%), (JPM, 0, 1.66%, 0.0002782%), (AMT, 0, 1.64%, 0.0022493%), (XOM, 0, 1.50%, 0.0004344%), (V, 0, 1.46%, 0.0003353%), (CB, 0, 1.19%, 0.0014766%), (MA, 0, 1.18%, 0.0003032%), (LLY, 0, 1.14%, 0.0002307%), (WM, 0, 1.09%, 0.0016157%), (GE, 0, 1.06%, 0.0005137%), (ORCL, 0, 0.95%, 0.0001912%), (NEE, 0, 0.94%, 0.0008029%), (UNH, 0, 0.92%, 0.0004478%), (NFLX, 0, 0.90%, 0.0002402%), (JNJ, 0, 0.88%, 0.0002766%), (CVX, 0, 0.82%, 0.0003439%), (PG, 0, 0.81%, 0.0003001%), (PLTR, 0, 0.81%, 0.0003057%), (COST, 0, 0.80%, 0.0002554%), (WMT, 0, 0.79%, 0.0001391%), (RTX, 0, 0.76%, 0.0004970%), (CAT, 0, 0.76%, 0.0005159%), (MCD, 0, 0.76%, 0.0004643%), (ABBV, 0, 0.75%, 0.0002769%), (HD, 0, 0.75%, 0.0002519%), (ABT, 0, 0.74%, 0.0004397%), (KO, 0, 0.65%, 0.0002947%), (BAC, 0, 0.65%, 0.0002449%), (BKNG, 0, 0.64%, 0.0004747%), (PM, 0, 0.64%, 0.0003266%), (BA, 0, 0.63%, 0.0004924%), (AMD, 0, 0.63%, 0.0003130%), (NKE, 0, 0.62%, 0.0009107%), (SO, 0, 0.62%, 0.0008098%), (CRM, 0, 0.59%, 0.0003405%), (DUK, 0, 0.57%, 0.0008083%), (UBER, 0, 0.57%, 0.0003865%), (GS, 0, 0.56%, 0.0003451%), (IBM, 0, 0.56%, 0.0003355%), (ISRG, 0, 0.55%, 0.0004429%), (MET, 0, 0.54%, 0.0013557%), (HON, 0, 0.53%, 0.0005127%), (WFC, 0, 0.52%, 0.0002824%), (ETN, 0, 0.51%, 0.0005083%), (PEP, 0, 0.49%, 0.0003282%), (INTU, 0, 0.46%, 0.0003411%), (DE, 0, 0.46%, 0.0004713%), (T, 0, 0.46%, 0.0014063%), (NOW, 0, 0.45%, 0.0003361%), (MRK, 0, 0.45%, 0.0002803%), (MS, 0, 0.44%, 0.0002561%), (SPGI, 0, 0.43%, 0.0003458%), (TXN, 0, 0.43%, 0.0003142%), (AXP, 0, 0.43%, 0.0002662%), (VZ, 0, 0.41%, 0.0003004%), (BLK, 0, 0.40%, 0.0003100%), (QCOM, 0, 0.40%, 0.0003223%), (ACN, 0, 0.40%, 0.0003402%), (ADBE, 0, 0.40%, 0.0003567%), (TMO, 0, 0.39%, 0.0002819%), (COP, 0, 0.39%, 0.0004364%), (MDT, 0, 0.39%, 0.0004407%), (UNP, 0, 0.38%, 0.0003913%), (DIS, 0, 0.37%, 0.0002399%), (C, 0, 0.36%, 0.0002792%), (SCHW, 0, 0.35%, 0.0002715%), (LMT, 0, 0.34%, 0.0004564%), (SBUX, 0, 0.34%, 0.0004611%), (MMM, 0, 0.31%, 0.0005132%), (AMAT, 0, 0.31%, 0.0003239%), (PFE, 0, 0.30%, 0.0002759%), (GILD, 0, 0.29%, 0.0002777%), (CVS, 0, 0.29%, 0.0004369%), (TJX, 0, 0.28%, 0.0002558%), (EMR, 0, 0.28%, 0.0005073%), (DHR, 0, 0.28%, 0.0002519%), (LOW, 0, 0.27%, 0.0002553%), (MO, 0, 0.27%, 0.0003301%), (INTC, 0, 0.25%, 0.0002902%), (ELV, 0, 0.24%, 0.0004599%), (AMGN, 0, 0.24%, 0.0002021%), (CMCSA, 0, 0.23%, 0.0002502%), (MDLZ, 0, 0.20%, 0.0003389%), (BMY, 0, 0.20%, 0.0002758%), (UPS, 0, 0.18%, 0.0003804%), (PYPL, 0, 0.17%, 0.0003532%), (CL, 0, 0.15%, 0.0003018%), (USB, 0, 0.15%, 0.0002724%), (FDX, 0, 0.15%, 0.0003649%), (TGT, 0, 0.09%, 0.0002590%), (nan, 0, -0.00%, 0.0000000%), (nan, 0, -0.00%, 0.0000000%)</t>
  </si>
  <si>
    <t>(GOOGLE, 0, 3.82%, 0.0001677%), (AVGO, 0, 3.15%, 0.0002308%), (META, 0, 2.88%, 0.0001777%), (BRK/B, 0, 2.15%, 0.0003267%), (LIN, 0, 1.83%, 0.0008286%), (CSCO, 0, 1.80%, 0.0006917%), (TSLA, 0, 1.72%, 0.0001558%), (JPM, 0, 1.65%, 0.0002074%), (AMT, 0, 1.64%, 0.0016766%), (XOM, 0, 1.50%, 0.0003238%), (V, 0, 1.46%, 0.0002500%), (CB, 0, 1.18%, 0.0011007%), (MA, 0, 1.18%, 0.0002260%), (LLY, 0, 1.13%, 0.0001720%), (WM, 0, 1.08%, 0.0012044%), (GE, 0, 1.06%, 0.0003829%), (ORCL, 0, 0.95%, 0.0001425%), (NEE, 0, 0.94%, 0.0005985%), (UNH, 0, 0.91%, 0.0003337%), (NFLX, 0, 0.90%, 0.0001791%), (JNJ, 0, 0.87%, 0.0002062%), (CVX, 0, 0.82%, 0.0002564%), (PG, 0, 0.81%, 0.0002236%), (PLTR, 0, 0.81%, 0.0002279%), (COST, 0, 0.80%, 0.0001904%), (WMT, 0, 0.79%, 0.0001037%), (RTX, 0, 0.76%, 0.0003705%), (CAT, 0, 0.76%, 0.0003846%), (MCD, 0, 0.76%, 0.0003461%), (ABBV, 0, 0.75%, 0.0002064%), (HD, 0, 0.75%, 0.0001878%), (ABT, 0, 0.74%, 0.0003277%), (KO, 0, 0.65%, 0.0002197%), (BAC, 0, 0.65%, 0.0001826%), (BKNG, 0, 0.64%, 0.0003537%), (PM, 0, 0.64%, 0.0002435%), (BA, 0, 0.63%, 0.0003671%), (AMD, 0, 0.63%, 0.0002333%), (NKE, 0, 0.62%, 0.0006788%), (SO, 0, 0.62%, 0.0006036%), (CRM, 0, 0.59%, 0.0002539%), (DUK, 0, 0.57%, 0.0006026%), (UBER, 0, 0.57%, 0.0002881%), (GS, 0, 0.56%, 0.0002571%), (IBM, 0, 0.56%, 0.0002501%), (ISRG, 0, 0.55%, 0.0003300%), (MET, 0, 0.54%, 0.0010106%), (HON, 0, 0.53%, 0.0003823%), (WFC, 0, 0.52%, 0.0002105%), (ETN, 0, 0.50%, 0.0003789%), (PEP, 0, 0.49%, 0.0002446%), (INTU, 0, 0.46%, 0.0002543%), (DE, 0, 0.46%, 0.0003514%), (T, 0, 0.46%, 0.0010483%), (NOW, 0, 0.45%, 0.0002505%), (MRK, 0, 0.44%, 0.0002089%), (MS, 0, 0.44%, 0.0001909%), (SPGI, 0, 0.43%, 0.0002576%), (TXN, 0, 0.42%, 0.0002342%), (AXP, 0, 0.42%, 0.0001984%), (VZ, 0, 0.41%, 0.0002239%), (BLK, 0, 0.40%, 0.0002312%), (QCOM, 0, 0.40%, 0.0002402%), (ACN, 0, 0.40%, 0.0002537%), (ADBE, 0, 0.40%, 0.0002659%), (TMO, 0, 0.39%, 0.0002100%), (COP, 0, 0.39%, 0.0003253%), (MDT, 0, 0.38%, 0.0003285%), (UNP, 0, 0.38%, 0.0002917%), (DIS, 0, 0.37%, 0.0001789%), (C, 0, 0.36%, 0.0002081%), (SCHW, 0, 0.35%, 0.0002023%), (LMT, 0, 0.34%, 0.0003401%), (SBUX, 0, 0.34%, 0.0003436%), (MMM, 0, 0.31%, 0.0003825%), (AMAT, 0, 0.31%, 0.0002414%), (PFE, 0, 0.30%, 0.0002056%), (GILD, 0, 0.29%, 0.0002070%), (CVS, 0, 0.29%, 0.0003257%), (TJX, 0, 0.28%, 0.0001907%), (EMR, 0, 0.28%, 0.0003781%), (DHR, 0, 0.28%, 0.0001877%), (LOW, 0, 0.27%, 0.0001903%), (MO, 0, 0.27%, 0.0002461%), (INTC, 0, 0.24%, 0.0002163%), (ELV, 0, 0.24%, 0.0003429%), (AMGN, 0, 0.23%, 0.0001503%), (CMCSA, 0, 0.23%, 0.0001865%), (MDLZ, 0, 0.20%, 0.0002526%), (BMY, 0, 0.20%, 0.0002055%), (UPS, 0, 0.18%, 0.0002835%), (PYPL, 0, 0.17%, 0.0002632%), (CL, 0, 0.15%, 0.0002249%), (USB, 0, 0.15%, 0.0002031%), (FDX, 0, 0.15%, 0.0002717%), (TGT, 0, 0.09%, 0.0001932%), (nan, 0, -0.00%, 0.0000000%), (nan, 0, -0.00%, 0.0000000%)</t>
  </si>
  <si>
    <t>(GOOGLE, 0, 3.88%, 0.0000393%), (AVGO, 0, 3.20%, 0.0000541%), (META, 0, 2.91%, 0.0000416%), (BRK/B, 0, 2.18%, 0.0000766%), (LIN, 0, 1.86%, 0.0001942%), (CSCO, 0, 1.83%, 0.0001621%), (TSLA, 0, 1.74%, 0.0000365%), (JPM, 0, 1.68%, 0.0000486%), (AMT, 0, 1.66%, 0.0003930%), (XOM, 0, 1.52%, 0.0000759%), (V, 0, 1.48%, 0.0000586%), (CB, 0, 1.20%, 0.0002579%), (MA, 0, 1.20%, 0.0000530%), (LLY, 0, 1.15%, 0.0000403%), (WM, 0, 1.10%, 0.0002822%), (GE, 0, 1.07%, 0.0000898%), (ORCL, 0, 0.96%, 0.0000334%), (NEE, 0, 0.95%, 0.0001403%), (UNH, 0, 0.93%, 0.0000783%), (NFLX, 0, 0.91%, 0.0000420%), (JNJ, 0, 0.89%, 0.0000483%), (CVX, 0, 0.83%, 0.0000601%), (PG, 0, 0.82%, 0.0000524%), (PLTR, 0, 0.82%, 0.0000534%), (COST, 0, 0.81%, 0.0000447%), (WMT, 0, 0.80%, 0.0000243%), (RTX, 0, 0.77%, 0.0000868%), (CAT, 0, 0.77%, 0.0000901%), (MCD, 0, 0.77%, 0.0000811%), (ABBV, 0, 0.76%, 0.0000484%), (HD, 0, 0.76%, 0.0000440%), (ABT, 0, 0.75%, 0.0000768%), (KO, 0, 0.66%, 0.0000515%), (BAC, 0, 0.66%, 0.0000428%), (BKNG, 0, 0.66%, 0.0000838%), (PM, 0, 0.64%, 0.0000570%), (BA, 0, 0.64%, 0.0000860%), (AMD, 0, 0.63%, 0.0000547%), (NKE, 0, 0.63%, 0.0001591%), (SO, 0, 0.63%, 0.0001415%), (CRM, 0, 0.59%, 0.0000596%), (DUK, 0, 0.58%, 0.0001413%), (UBER, 0, 0.57%, 0.0000676%), (GS, 0, 0.57%, 0.0000603%), (IBM, 0, 0.56%, 0.0000586%), (ISRG, 0, 0.56%, 0.0000773%), (MET, 0, 0.55%, 0.0002368%), (HON, 0, 0.54%, 0.0000896%), (WFC, 0, 0.53%, 0.0000494%), (ETN, 0, 0.51%, 0.0000889%), (PEP, 0, 0.50%, 0.0000573%), (DE, 0, 0.47%, 0.0000825%), (INTU, 0, 0.47%, 0.0000595%), (T, 0, 0.46%, 0.0002457%), (NOW, 0, 0.46%, 0.0000587%), (MRK, 0, 0.45%, 0.0000490%), (MS, 0, 0.45%, 0.0000447%), (TXN, 0, 0.43%, 0.0000549%), (SPGI, 0, 0.43%, 0.0000604%), (AXP, 0, 0.43%, 0.0000466%), (VZ, 0, 0.42%, 0.0000525%), (BLK, 0, 0.41%, 0.0000542%), (QCOM, 0, 0.41%, 0.0000563%), (ACN, 0, 0.40%, 0.0000594%), (ADBE, 0, 0.40%, 0.0000624%), (COP, 0, 0.39%, 0.0000762%), (UNP, 0, 0.39%, 0.0000684%), (MDT, 0, 0.39%, 0.0000770%), (TMO, 0, 0.39%, 0.0000492%), (DIS, 0, 0.38%, 0.0000419%), (C, 0, 0.36%, 0.0000488%), (SCHW, 0, 0.35%, 0.0000474%), (LMT, 0, 0.35%, 0.0000799%), (SBUX, 0, 0.34%, 0.0000806%), (MMM, 0, 0.32%, 0.0000896%), (AMAT, 0, 0.31%, 0.0000566%), (PFE, 0, 0.30%, 0.0000482%), (GILD, 0, 0.29%, 0.0000486%), (CVS, 0, 0.29%, 0.0000763%), (TJX, 0, 0.29%, 0.0000447%), (EMR, 0, 0.28%, 0.0000887%), (DHR, 0, 0.28%, 0.0000440%), (MO, 0, 0.28%, 0.0000577%), (LOW, 0, 0.28%, 0.0000446%), (INTC, 0, 0.25%, 0.0000507%), (ELV, 0, 0.24%, 0.0000805%), (CMCSA, 0, 0.23%, 0.0000437%), (MDLZ, 0, 0.21%, 0.0000592%), (BMY, 0, 0.20%, 0.0000482%), (AMGN, 0, 0.20%, 0.0000297%), (UPS, 0, 0.18%, 0.0000664%), (PYPL, 0, 0.17%, 0.0000617%), (CL, 0, 0.16%, 0.0000527%), (FDX, 0, 0.15%, 0.0000636%), (USB, 0, 0.15%, 0.0000476%), (TGT, 0, 0.09%, 0.0000453%), (nan, 0, -0.00%, 0.0000000%), (nan, 0, -0.00%, 0.0000000%)</t>
  </si>
  <si>
    <t>(GOOGLE, 0, 3.68%, 0.0000689%), (AVGO, 0, 3.04%, 0.0000948%), (META, 0, 2.77%, 0.0000731%), (BRK/B, 0, 2.08%, 0.0001343%), (LIN, 0, 1.77%, 0.0003405%), (CSCO, 0, 1.74%, 0.0002843%), (TSLA, 0, 1.66%, 0.0000640%), (JPM, 0, 1.59%, 0.0000852%), (AMT, 0, 1.58%, 0.0006891%), (XOM, 0, 1.44%, 0.0001331%), (V, 0, 1.40%, 0.0001027%), (CB, 0, 1.14%, 0.0004523%), (MA, 0, 1.14%, 0.0000929%), (LLY, 0, 1.09%, 0.0000707%), (WM, 0, 1.04%, 0.0004950%), (GE, 0, 1.02%, 0.0001574%), (ORCL, 0, 0.91%, 0.0000586%), (NEE, 0, 0.90%, 0.0002460%), (UNH, 0, 0.88%, 0.0001372%), (NFLX, 0, 0.87%, 0.0000736%), (JNJ, 0, 0.84%, 0.0000848%), (CVX, 0, 0.79%, 0.0001054%), (PG, 0, 0.78%, 0.0000919%), (PLTR, 0, 0.78%, 0.0000937%), (COST, 0, 0.77%, 0.0000783%), (WMT, 0, 0.76%, 0.0000426%), (RTX, 0, 0.73%, 0.0001523%), (CAT, 0, 0.73%, 0.0001582%), (MCD, 0, 0.73%, 0.0001422%), (ABBV, 0, 0.72%, 0.0000849%), (HD, 0, 0.72%, 0.0000772%), (ABT, 0, 0.71%, 0.0001347%), (KO, 0, 0.63%, 0.0000903%), (BAC, 0, 0.63%, 0.0000750%), (BKNG, 0, 0.62%, 0.0001458%), (PM, 0, 0.61%, 0.0001001%), (BA, 0, 0.61%, 0.0001509%), (AMD, 0, 0.60%, 0.0000959%), (NKE, 0, 0.60%, 0.0002790%), (SO, 0, 0.59%, 0.0002481%), (CRM, 0, 0.57%, 0.0001043%), (DUK, 0, 0.55%, 0.0002476%), (UBER, 0, 0.55%, 0.0001184%), (GS, 0, 0.54%, 0.0001057%), (IBM, 0, 0.54%, 0.0001028%), (ISRG, 0, 0.53%, 0.0001357%), (MET, 0, 0.52%, 0.0004153%), (HON, 0, 0.51%, 0.0001570%), (WFC, 0, 0.50%, 0.0000865%), (ETN, 0, 0.49%, 0.0001557%), (PEP, 0, 0.47%, 0.0001006%), (DE, 0, 0.44%, 0.0001443%), (INTU, 0, 0.44%, 0.0001044%), (T, 0, 0.44%, 0.0004308%), (NOW, 0, 0.43%, 0.0001029%), (MRK, 0, 0.43%, 0.0000859%), (MS, 0, 0.43%, 0.0000785%), (SPGI, 0, 0.41%, 0.0001060%), (TXN, 0, 0.41%, 0.0000963%), (AXP, 0, 0.41%, 0.0000816%), (VZ, 0, 0.40%, 0.0000920%), (BLK, 0, 0.39%, 0.0000949%), (QCOM, 0, 0.39%, 0.0000987%), (ACN, 0, 0.38%, 0.0001042%), (ADBE, 0, 0.38%, 0.0001092%), (COP, 0, 0.37%, 0.0001337%), (TMO, 0, 0.37%, 0.0000862%), (MDT, 0, 0.37%, 0.0001350%), (UNP, 0, 0.37%, 0.0001199%), (DIS, 0, 0.36%, 0.0000735%), (C, 0, 0.34%, 0.0000856%), (SCHW, 0, 0.33%, 0.0000832%), (LMT, 0, 0.33%, 0.0001400%), (SBUX, 0, 0.33%, 0.0001413%), (MMM, 0, 0.30%, 0.0001572%), (AMAT, 0, 0.30%, 0.0000993%), (PFE, 0, 0.28%, 0.0000845%), (GILD, 0, 0.28%, 0.0000851%), (CVS, 0, 0.28%, 0.0001338%), (TJX, 0, 0.27%, 0.0000784%), (EMR, 0, 0.27%, 0.0001555%), (DHR, 0, 0.27%, 0.0000772%), (LOW, 0, 0.26%, 0.0000783%), (MO, 0, 0.26%, 0.0001012%), (AMGN, 0, 0.24%, 0.0000661%), (INTC, 0, 0.24%, 0.0000889%), (ELV, 0, 0.23%, 0.0001408%), (CMCSA, 0, 0.22%, 0.0000767%), (MDLZ, 0, 0.20%, 0.0001038%), (BMY, 0, 0.19%, 0.0000845%), (UPS, 0, 0.18%, 0.0001166%), (PYPL, 0, 0.16%, 0.0001082%), (CL, 0, 0.15%, 0.0000924%), (USB, 0, 0.14%, 0.0000835%), (FDX, 0, 0.14%, 0.0001119%), (TGT, 0, 0.08%, 0.0000794%), (nan, 0, -0.00%, 0.0000000%), (nan, 0, -0.00%, 0.0000000%)</t>
  </si>
  <si>
    <t>(GOOGLE, 0, 3.76%, 0.0000249%), (AVGO, 0, 3.10%, 0.0000343%), (META, 0, 2.83%, 0.0000264%), (BRK/B, 0, 2.12%, 0.0000485%), (LIN, 0, 1.80%, 0.0001231%), (CSCO, 0, 1.77%, 0.0001028%), (TSLA, 0, 1.69%, 0.0000232%), (JPM, 0, 1.63%, 0.0000308%), (AMT, 0, 1.61%, 0.0002491%), (XOM, 0, 1.47%, 0.0000481%), (V, 0, 1.43%, 0.0000371%), (CB, 0, 1.17%, 0.0001636%), (MA, 0, 1.16%, 0.0000335%), (LLY, 0, 1.12%, 0.0000256%), (WM, 0, 1.07%, 0.0001790%), (GE, 0, 1.04%, 0.0000569%), (ORCL, 0, 0.93%, 0.0000212%), (NEE, 0, 0.92%, 0.0000889%), (UNH, 0, 0.90%, 0.0000496%), (NFLX, 0, 0.89%, 0.0000267%), (JNJ, 0, 0.86%, 0.0000306%), (CVX, 0, 0.80%, 0.0000381%), (PG, 0, 0.80%, 0.0000332%), (PLTR, 0, 0.80%, 0.0000339%), (COST, 0, 0.78%, 0.0000282%), (WMT, 0, 0.77%, 0.0000154%), (RTX, 0, 0.75%, 0.0000550%), (MCD, 0, 0.75%, 0.0000514%), (CAT, 0, 0.74%, 0.0000572%), (ABBV, 0, 0.74%, 0.0000307%), (HD, 0, 0.74%, 0.0000279%), (ABT, 0, 0.73%, 0.0000487%), (KO, 0, 0.64%, 0.0000326%), (BAC, 0, 0.64%, 0.0000271%), (BKNG, 0, 0.63%, 0.0000527%), (PM, 0, 0.63%, 0.0000362%), (BA, 0, 0.62%, 0.0000545%), (AMD, 0, 0.62%, 0.0000347%), (NKE, 0, 0.61%, 0.0001008%), (SO, 0, 0.61%, 0.0000897%), (CRM, 0, 0.58%, 0.0000377%), (DUK, 0, 0.56%, 0.0000896%), (UBER, 0, 0.56%, 0.0000428%), (GS, 0, 0.56%, 0.0000383%), (IBM, 0, 0.55%, 0.0000371%), (ISRG, 0, 0.54%, 0.0000491%), (MET, 0, 0.53%, 0.0001501%), (HON, 0, 0.52%, 0.0000569%), (WFC, 0, 0.51%, 0.0000313%), (ETN, 0, 0.50%, 0.0000563%), (PEP, 0, 0.48%, 0.0000363%), (DE, 0, 0.46%, 0.0000522%), (INTU, 0, 0.45%, 0.0000377%), (T, 0, 0.45%, 0.0001558%), (NOW, 0, 0.44%, 0.0000370%), (MRK, 0, 0.44%, 0.0000310%), (MS, 0, 0.43%, 0.0000284%), (SPGI, 0, 0.42%, 0.0000383%), (TXN, 0, 0.42%, 0.0000348%), (AXP, 0, 0.41%, 0.0000295%), (VZ, 0, 0.41%, 0.0000333%), (BLK, 0, 0.40%, 0.0000342%), (QCOM, 0, 0.40%, 0.0000357%), (ADBE, 0, 0.39%, 0.0000394%), (ACN, 0, 0.39%, 0.0000377%), (TMO, 0, 0.38%, 0.0000311%), (COP, 0, 0.38%, 0.0000484%), (MDT, 0, 0.38%, 0.0000488%), (UNP, 0, 0.38%, 0.0000433%), (DIS, 0, 0.37%, 0.0000266%), (C, 0, 0.35%, 0.0000309%), (SCHW, 0, 0.34%, 0.0000301%), (LMT, 0, 0.34%, 0.0000506%), (SBUX, 0, 0.33%, 0.0000510%), (AMGN, 0, 0.32%, 0.0000306%), (MMM, 0, 0.31%, 0.0000568%), (AMAT, 0, 0.30%, 0.0000359%), (PFE, 0, 0.29%, 0.0000306%), (GILD, 0, 0.29%, 0.0000308%), (CVS, 0, 0.28%, 0.0000484%), (TJX, 0, 0.28%, 0.0000283%), (EMR, 0, 0.27%, 0.0000561%), (LOW, 0, 0.27%, 0.0000284%), (DHR, 0, 0.27%, 0.0000279%), (MO, 0, 0.27%, 0.0000366%), (INTC, 0, 0.24%, 0.0000321%), (ELV, 0, 0.23%, 0.0000508%), (CMCSA, 0, 0.22%, 0.0000277%), (MDLZ, 0, 0.20%, 0.0000375%), (BMY, 0, 0.19%, 0.0000306%), (UPS, 0, 0.18%, 0.0000421%), (PYPL, 0, 0.17%, 0.0000391%), (CL, 0, 0.15%, 0.0000334%), (FDX, 0, 0.15%, 0.0000403%), (USB, 0, 0.15%, 0.0000301%), (TGT, 0, 0.08%, 0.0000286%), (nan, 0, -0.00%, 0.0000000%), (nan, 0, -0.00%, 0.0000000%)</t>
  </si>
  <si>
    <t>(GOOGLE, 0, 3.98%, 0.0000596%), (AVGO, 0, 3.28%, 0.0000820%), (META, 0, 2.99%, 0.0000632%), (BRK/B, 0, 2.24%, 0.0001161%), (LIN, 0, 1.91%, 0.0002945%), (CSCO, 0, 1.88%, 0.0002459%), (TSLA, 0, 1.79%, 0.0000554%), (JPM, 0, 1.72%, 0.0000737%), (AMT, 0, 1.70%, 0.0005960%), (XOM, 0, 1.56%, 0.0001151%), (V, 0, 1.52%, 0.0000888%), (CB, 0, 1.23%, 0.0003913%), (MA, 0, 1.23%, 0.0000803%), (LLY, 0, 1.18%, 0.0000611%), (WM, 0, 1.13%, 0.0004282%), (GE, 0, 1.10%, 0.0001361%), (ORCL, 0, 0.98%, 0.0000507%), (NEE, 0, 0.97%, 0.0002127%), (UNH, 0, 0.95%, 0.0001187%), (NFLX, 0, 0.94%, 0.0000637%), (JNJ, 0, 0.91%, 0.0000733%), (CVX, 0, 0.85%, 0.0000911%), (PG, 0, 0.84%, 0.0000795%), (PLTR, 0, 0.84%, 0.0000810%), (COST, 0, 0.83%, 0.0000677%), (WMT, 0, 0.82%, 0.0000369%), (RTX, 0, 0.79%, 0.0001317%), (CAT, 0, 0.79%, 0.0001366%), (MCD, 0, 0.79%, 0.0001230%), (ABBV, 0, 0.78%, 0.0000734%), (HD, 0, 0.78%, 0.0000667%), (ABT, 0, 0.77%, 0.0001165%), (KO, 0, 0.68%, 0.0000781%), (BKNG, 0, 0.68%, 0.0001272%), (BAC, 0, 0.68%, 0.0000649%), (PM, 0, 0.66%, 0.0000865%), (BA, 0, 0.66%, 0.0001305%), (AMD, 0, 0.65%, 0.0000829%), (NKE, 0, 0.65%, 0.0002413%), (SO, 0, 0.64%, 0.0002146%), (CRM, 0, 0.61%, 0.0000902%), (DUK, 0, 0.60%, 0.0002142%), (UBER, 0, 0.59%, 0.0001024%), (GS, 0, 0.58%, 0.0000914%), (IBM, 0, 0.58%, 0.0000889%), (ISRG, 0, 0.57%, 0.0001173%), (MET, 0, 0.56%, 0.0003592%), (HON, 0, 0.55%, 0.0001359%), (WFC, 0, 0.54%, 0.0000748%), (ETN, 0, 0.53%, 0.0001346%), (PEP, 0, 0.51%, 0.0000870%), (DE, 0, 0.48%, 0.0001250%), (INTU, 0, 0.48%, 0.0000904%), (T, 0, 0.47%, 0.0003726%), (NOW, 0, 0.47%, 0.0000889%), (MRK, 0, 0.46%, 0.0000743%), (MS, 0, 0.46%, 0.0000678%), (SPGI, 0, 0.44%, 0.0000915%), (TXN, 0, 0.44%, 0.0000833%), (AXP, 0, 0.44%, 0.0000706%), (VZ, 0, 0.43%, 0.0000796%), (BLK, 0, 0.42%, 0.0000820%), (QCOM, 0, 0.42%, 0.0000854%), (ADBE, 0, 0.41%, 0.0000946%), (ACN, 0, 0.41%, 0.0000901%), (COP, 0, 0.40%, 0.0001156%), (TMO, 0, 0.40%, 0.0000748%), (MDT, 0, 0.40%, 0.0001168%), (UNP, 0, 0.40%, 0.0001037%), (DIS, 0, 0.39%, 0.0000636%), (C, 0, 0.37%, 0.0000740%), (SCHW, 0, 0.36%, 0.0000719%), (LMT, 0, 0.36%, 0.0001210%), (SBUX, 0, 0.35%, 0.0001221%), (MMM, 0, 0.33%, 0.0001359%), (AMAT, 0, 0.32%, 0.0000859%), (PFE, 0, 0.31%, 0.0000731%), (GILD, 0, 0.30%, 0.0000736%), (CVS, 0, 0.30%, 0.0001158%), (TJX, 0, 0.29%, 0.0000677%), (EMR, 0, 0.29%, 0.0001343%), (DHR, 0, 0.29%, 0.0000667%), (LOW, 0, 0.28%, 0.0000676%), (MO, 0, 0.28%, 0.0000875%), (INTC, 0, 0.25%, 0.0000769%), (AMGN, 0, 0.25%, 0.0000546%), (ELV, 0, 0.25%, 0.0001219%), (CMCSA, 0, 0.24%, 0.0000663%), (MDLZ, 0, 0.21%, 0.0000898%), (BMY, 0, 0.21%, 0.0000730%), (UPS, 0, 0.19%, 0.0001008%), (PYPL, 0, 0.18%, 0.0000936%), (CL, 0, 0.16%, 0.0000799%), (USB, 0, 0.15%, 0.0000722%), (FDX, 0, 0.15%, 0.0000966%), (TGT, 0, 0.09%, 0.0000687%), (nan, 0, -0.00%, 0.0000000%), (nan, 0, -0.00%, 0.0000000%)</t>
  </si>
  <si>
    <t>EBAY, BK, META, GOOGLE, MLI, MSFT, JPM, BLK, BKNG, EA, PHM, RJF</t>
  </si>
  <si>
    <t>(EWBC, 0, 1.90%, 0.0072267%), (AXP, 0, 1.88%, 0.0004718%), (HIG, 0, 1.87%, 0.0027687%), (TRV, 0, 1.83%, 0.0016435%), (V, 0, 1.83%, 0.0001696%), (NVDA, 0, 1.73%, 0.0000222%), (SNA, 0, 1.73%, 0.0055242%), (ADP, 0, 1.72%, 0.0007610%), (ROST, 0, 1.71%, 0.0019737%), (PCAR, 0, 1.67%, 0.0017349%), (LEN, 0, 1.67%, 0.0030393%), (UNM, 0, 1.64%, 0.0076107%), (CB, 0, 1.63%, 0.0008261%), (AMAT, 0, 1.62%, 0.0006929%), (KLAC, 0, 1.61%, 0.0007755%), (SYF, 0, 1.59%, 0.0033406%), (CTSH, 0, 1.53%, 0.0024127%), (WSM, 0, 1.50%, 0.0033451%), (PAYC, 0, 1.49%, 0.0060905%), (CRM, 0, 1.48%, 0.0003467%), (DHI, 0, 1.40%, 0.0015349%), (BKR, 0, 1.39%, 0.0017367%), (QCOM, 0, 1.33%, 0.0004308%), (ACN, 0, 1.29%, 0.0004409%), (ELV, 0, 1.26%, 0.0009931%), (AFL, 0, 1.25%, 0.0011901%), (AAPL, 0, 1.24%, 0.0000203%), (ODFL, 0, 1.14%, 0.0018785%), (MPWR, 0, 1.12%, 0.0015347%), (LRCX, 0, 1.08%, 0.0004726%), (CSCO, 0, 1.05%, 0.0002181%), (GE, 0, 1.00%, 0.0001972%), (STT, 0, 1.00%, 0.0017106%), (PNC, 0, 0.93%, 0.0006498%), (MTB, 0, 0.92%, 0.0016546%), (AMP, 0, 0.87%, 0.0010021%), (CF, 0, 0.86%, 0.0033715%), (COST, 0, 0.83%, 0.0001079%), (ABT, 0, 0.83%, 0.0001978%), (XOM, 0, 0.81%, 0.0000938%), (EOG, 0, 0.79%, 0.0006592%), (CSL, 0, 0.77%, 0.0025631%), (EG, 0, 0.75%, 0.0028810%), (GEV, 0, 0.54%, 0.0001795%), (NTRS, 0, 0.52%, 0.0011728%), (MA, 0, 0.50%, 0.0000519%), (CRBG, 0, 0.48%, 0.0014146%), (JNJ, 0, 0.48%, 0.0000616%), (ACM, 0, 0.47%, 0.0015840%), (LNC, 0, 0.46%, 0.0031937%), (JXN, 0, 0.45%, 0.0035950%), (MTG, 0, 0.44%, 0.0038951%), (CINF, 0, 0.43%, 0.0009890%), (WTFC, 0, 0.43%, 0.0026691%), (DOV, 0, 0.43%, 0.0009457%), (ADM, 0, 0.42%, 0.0007686%), (EQH, 0, 0.42%, 0.0014356%), (SLM, 0, 0.41%, 0.0035072%), (ALL, 0, 0.41%, 0.0004167%), (MCK, 0, 0.40%, 0.0002573%), (NUE, 0, 0.40%, 0.0006461%), (NKE, 0, 0.38%, 0.0002273%), (PGR, 0, 0.37%, 0.0001380%), (FANG, 0, 0.30%, 0.0003986%)</t>
  </si>
  <si>
    <t>(GOOGLE, 0, 3.64%, 0.0000634%), (AVGO, 0, 3.00%, 0.0000872%), (META, 0, 2.74%, 0.0000672%), (BRK/B, 0, 2.05%, 0.0001235%), (LIN, 0, 1.75%, 0.0003133%), (CSCO, 0, 1.72%, 0.0002615%), (TSLA, 0, 1.64%, 0.0000589%), (JPM, 0, 1.58%, 0.0000784%), (AMT, 0, 1.56%, 0.0006338%), (XOM, 0, 1.43%, 0.0001224%), (V, 0, 1.39%, 0.0000945%), (CB, 0, 1.13%, 0.0004162%), (MA, 0, 1.12%, 0.0000854%), (LLY, 0, 1.08%, 0.0000651%), (WM, 0, 1.03%, 0.0004552%), (GE, 0, 1.01%, 0.0001448%), (ORCL, 0, 0.90%, 0.0000539%), (NEE, 0, 0.89%, 0.0002263%), (UNH, 0, 0.87%, 0.0001262%), (NFLX, 0, 0.86%, 0.0000677%), (JNJ, 0, 0.83%, 0.0000779%), (CVX, 0, 0.78%, 0.0000969%), (PG, 0, 0.77%, 0.0000846%), (PLTR, 0, 0.77%, 0.0000861%), (COST, 0, 0.76%, 0.0000720%), (WMT, 0, 0.75%, 0.0000392%), (RTX, 0, 0.73%, 0.0001401%), (MCD, 0, 0.72%, 0.0001309%), (CAT, 0, 0.72%, 0.0001454%), (ABBV, 0, 0.72%, 0.0000780%), (HD, 0, 0.71%, 0.0000709%), (ABT, 0, 0.71%, 0.0001239%), (KO, 0, 0.62%, 0.0000831%), (BAC, 0, 0.62%, 0.0000690%), (BKNG, 0, 0.61%, 0.0001334%), (PM, 0, 0.61%, 0.0000921%), (BA, 0, 0.60%, 0.0001388%), (AMD, 0, 0.60%, 0.0000882%), (NKE, 0, 0.59%, 0.0002566%), (SO, 0, 0.59%, 0.0002282%), (CRM, 0, 0.56%, 0.0000960%), (DUK, 0, 0.55%, 0.0002278%), (UBER, 0, 0.54%, 0.0001089%), (GS, 0, 0.53%, 0.0000974%), (IBM, 0, 0.53%, 0.0000946%), (ISRG, 0, 0.52%, 0.0001247%), (MET, 0, 0.51%, 0.0003821%), (HON, 0, 0.50%, 0.0001444%), (WFC, 0, 0.50%, 0.0000796%), (ETN, 0, 0.48%, 0.0001433%), (PEP, 0, 0.47%, 0.0000924%), (DE, 0, 0.44%, 0.0001328%), (INTU, 0, 0.44%, 0.0000961%), (T, 0, 0.43%, 0.0003963%), (NOW, 0, 0.43%, 0.0000947%), (MRK, 0, 0.42%, 0.0000790%), (MS, 0, 0.42%, 0.0000722%), (SPGI, 0, 0.41%, 0.0000974%), (TXN, 0, 0.41%, 0.0000886%), (AXP, 0, 0.41%, 0.0000751%), (VZ, 0, 0.39%, 0.0000846%), (BLK, 0, 0.38%, 0.0000872%), (QCOM, 0, 0.38%, 0.0000908%), (ACN, 0, 0.38%, 0.0000958%), (ADBE, 0, 0.38%, 0.0001006%), (COP, 0, 0.37%, 0.0001230%), (TMO, 0, 0.37%, 0.0000793%), (MDT, 0, 0.37%, 0.0001242%), (UNP, 0, 0.37%, 0.0001103%), (DIS, 0, 0.36%, 0.0000676%), (C, 0, 0.34%, 0.0000787%), (SCHW, 0, 0.33%, 0.0000765%), (LMT, 0, 0.33%, 0.0001288%), (SBUX, 0, 0.32%, 0.0001299%), (MMM, 0, 0.30%, 0.0001446%), (AMAT, 0, 0.29%, 0.0000913%), (PFE, 0, 0.28%, 0.0000777%), (GILD, 0, 0.28%, 0.0000783%), (CVS, 0, 0.27%, 0.0001231%), (TJX, 0, 0.27%, 0.0000721%), (EMR, 0, 0.27%, 0.0001429%), (DHR, 0, 0.26%, 0.0000709%), (LOW, 0, 0.26%, 0.0000719%), (MO, 0, 0.26%, 0.0000930%), (INTC, 0, 0.23%, 0.0000818%), (AMGN, 0, 0.23%, 0.0000593%), (ELV, 0, 0.23%, 0.0001296%), (CMCSA, 0, 0.22%, 0.0000705%), (MDLZ, 0, 0.19%, 0.0000955%), (BMY, 0, 0.19%, 0.0000777%), (UPS, 0, 0.17%, 0.0001072%), (PYPL, 0, 0.16%, 0.0000995%), (CL, 0, 0.15%, 0.0000850%), (USB, 0, 0.14%, 0.0000768%), (FDX, 0, 0.14%, 0.0001026%), (TGT, 0, 0.08%, 0.0000731%), (nan, 0, -0.00%, 0.0000000%), (nan, 0, -0.00%, 0.0000000%)</t>
  </si>
  <si>
    <t>(GOOGLE, 0, 3.82%, 0.0001296%), (AVGO, 0, 3.15%, 0.0001783%), (META, 0, 2.87%, 0.0001373%), (BRK/B, 0, 2.15%, 0.0002524%), (LIN, 0, 1.83%, 0.0006403%), (CSCO, 0, 1.80%, 0.0005346%), (TSLA, 0, 1.72%, 0.0001204%), (JPM, 0, 1.65%, 0.0001603%), (AMT, 0, 1.63%, 0.0012955%), (XOM, 0, 1.49%, 0.0002502%), (V, 0, 1.45%, 0.0001931%), (CB, 0, 1.18%, 0.0008505%), (MA, 0, 1.18%, 0.0001746%), (LLY, 0, 1.13%, 0.0001329%), (WM, 0, 1.08%, 0.0009306%), (GE, 0, 1.06%, 0.0002959%), (ORCL, 0, 0.94%, 0.0001101%), (NEE, 0, 0.93%, 0.0004625%), (UNH, 0, 0.91%, 0.0002579%), (NFLX, 0, 0.90%, 0.0001385%), (JNJ, 0, 0.87%, 0.0001593%), (CVX, 0, 0.81%, 0.0001981%), (PG, 0, 0.81%, 0.0001728%), (PLTR, 0, 0.81%, 0.0001761%), (COST, 0, 0.79%, 0.0001471%), (WMT, 0, 0.79%, 0.0000801%), (CAT, 0, 0.76%, 0.0002971%), (RTX, 0, 0.76%, 0.0002863%), (MCD, 0, 0.76%, 0.0002674%), (ABBV, 0, 0.75%, 0.0001595%), (HD, 0, 0.75%, 0.0001451%), (ABT, 0, 0.74%, 0.0002532%), (KO, 0, 0.65%, 0.0001698%), (BAC, 0, 0.65%, 0.0001411%), (BKNG, 0, 0.64%, 0.0002730%), (PM, 0, 0.64%, 0.0001882%), (BA, 0, 0.63%, 0.0002836%), (AMD, 0, 0.62%, 0.0001803%), (NKE, 0, 0.62%, 0.0005246%), (SO, 0, 0.62%, 0.0004665%), (CRM, 0, 0.59%, 0.0001962%), (DUK, 0, 0.57%, 0.0004656%), (UBER, 0, 0.57%, 0.0002226%), (GS, 0, 0.56%, 0.0001987%), (IBM, 0, 0.55%, 0.0001932%), (ISRG, 0, 0.55%, 0.0002550%), (MET, 0, 0.54%, 0.0007809%), (HON, 0, 0.53%, 0.0002953%), (WFC, 0, 0.52%, 0.0001627%), (ETN, 0, 0.50%, 0.0002928%), (PEP, 0, 0.49%, 0.0001890%), (INTU, 0, 0.46%, 0.0001966%), (DE, 0, 0.46%, 0.0002715%), (T, 0, 0.45%, 0.0008101%), (NOW, 0, 0.45%, 0.0001933%), (MRK, 0, 0.44%, 0.0001615%), (MS, 0, 0.44%, 0.0001475%), (SPGI, 0, 0.43%, 0.0001991%), (TXN, 0, 0.42%, 0.0001810%), (AXP, 0, 0.42%, 0.0001534%), (VZ, 0, 0.41%, 0.0001730%), (QCOM, 0, 0.40%, 0.0001856%), (BLK, 0, 0.40%, 0.0001782%), (ACN, 0, 0.40%, 0.0001960%), (ADBE, 0, 0.39%, 0.0002054%), (TMO, 0, 0.39%, 0.0001624%), (COP, 0, 0.39%, 0.0002514%), (UNP, 0, 0.38%, 0.0002254%), (MDT, 0, 0.38%, 0.0002538%), (DIS, 0, 0.37%, 0.0001382%), (C, 0, 0.36%, 0.0001608%), (SCHW, 0, 0.35%, 0.0001563%), (LMT, 0, 0.34%, 0.0002628%), (SBUX, 0, 0.34%, 0.0002656%), (AMGN, 0, 0.32%, 0.0001592%), (MMM, 0, 0.31%, 0.0002955%), (AMAT, 0, 0.31%, 0.0001865%), (PFE, 0, 0.29%, 0.0001589%), (GILD, 0, 0.29%, 0.0001600%), (CVS, 0, 0.29%, 0.0002517%), (TJX, 0, 0.28%, 0.0001474%), (EMR, 0, 0.28%, 0.0002921%), (DHR, 0, 0.28%, 0.0001451%), (LOW, 0, 0.27%, 0.0001471%), (MO, 0, 0.27%, 0.0001902%), (INTC, 0, 0.24%, 0.0001672%), (ELV, 0, 0.24%, 0.0002650%), (CMCSA, 0, 0.23%, 0.0001441%), (MDLZ, 0, 0.20%, 0.0001952%), (BMY, 0, 0.20%, 0.0001589%), (UPS, 0, 0.18%, 0.0002191%), (PYPL, 0, 0.17%, 0.0002035%), (CL, 0, 0.15%, 0.0001738%), (USB, 0, 0.15%, 0.0001569%), (FDX, 0, 0.15%, 0.0002102%), (TGT, 0, 0.09%, 0.0001492%), (nan, 0, -0.00%, 0.0000000%), (nan, 0, -0.00%, 0.0000000%)</t>
  </si>
  <si>
    <t>(GOOGLE, 0, 3.60%, 0.0002600%), (AVGO, 0, 2.97%, 0.0003577%), (META, 0, 2.71%, 0.0002755%), (BRK/B, 0, 2.03%, 0.0005065%), (LIN, 0, 1.73%, 0.0012845%), (CSCO, 0, 1.70%, 0.0010724%), (TSLA, 0, 1.62%, 0.0002414%), (JPM, 0, 1.56%, 0.0003215%), (AMT, 0, 1.54%, 0.0025992%), (XOM, 0, 1.41%, 0.0005020%), (V, 0, 1.37%, 0.0003875%), (CB, 0, 1.11%, 0.0017063%), (MA, 0, 1.11%, 0.0003503%), (LLY, 0, 1.07%, 0.0002666%), (WM, 0, 1.02%, 0.0018671%), (GE, 0, 1.00%, 0.0005936%), (ORCL, 0, 0.89%, 0.0002210%), (NEE, 0, 0.88%, 0.0009278%), (UNH, 0, 0.86%, 0.0005174%), (NFLX, 0, 0.85%, 0.0002778%), (JNJ, 0, 0.82%, 0.0003196%), (CVX, 0, 0.77%, 0.0003975%), (PG, 0, 0.76%, 0.0003467%), (PLTR, 0, 0.76%, 0.0003532%), (COST, 0, 0.75%, 0.0002951%), (WMT, 0, 0.74%, 0.0001608%), (RTX, 0, 0.72%, 0.0005743%), (CAT, 0, 0.72%, 0.0005962%), (MCD, 0, 0.71%, 0.0005366%), (ABBV, 0, 0.71%, 0.0003199%), (HD, 0, 0.71%, 0.0002910%), (ABT, 0, 0.70%, 0.0005080%), (KO, 0, 0.61%, 0.0003406%), (BAC, 0, 0.61%, 0.0002830%), (PM, 0, 0.60%, 0.0003774%), (BA, 0, 0.59%, 0.0005690%), (BKNG, 0, 0.59%, 0.0005491%), (AMD, 0, 0.59%, 0.0003617%), (NKE, 0, 0.59%, 0.0010524%), (SO, 0, 0.58%, 0.0009357%), (CRM, 0, 0.55%, 0.0003936%), (DUK, 0, 0.54%, 0.0009342%), (UBER, 0, 0.53%, 0.0004467%), (GS, 0, 0.53%, 0.0003988%), (IBM, 0, 0.52%, 0.0003877%), (ISRG, 0, 0.52%, 0.0005117%), (MET, 0, 0.51%, 0.0015667%), (HON, 0, 0.50%, 0.0005925%), (WFC, 0, 0.49%, 0.0003264%), (ETN, 0, 0.47%, 0.0005872%), (PEP, 0, 0.46%, 0.0003792%), (DE, 0, 0.44%, 0.0005445%), (INTU, 0, 0.43%, 0.0003938%), (T, 0, 0.43%, 0.0016251%), (NOW, 0, 0.43%, 0.0003880%), (MRK, 0, 0.42%, 0.0003239%), (MS, 0, 0.42%, 0.0002960%), (SPGI, 0, 0.40%, 0.0003993%), (TXN, 0, 0.40%, 0.0003632%), (AXP, 0, 0.40%, 0.0003078%), (VZ, 0, 0.39%, 0.0003471%), (BLK, 0, 0.38%, 0.0003584%), (QCOM, 0, 0.38%, 0.0003725%), (ACN, 0, 0.37%, 0.0003932%), (ADBE, 0, 0.37%, 0.0004121%), (COP, 0, 0.36%, 0.0005043%), (TMO, 0, 0.36%, 0.0003255%), (MDT, 0, 0.36%, 0.0005092%), (UNP, 0, 0.36%, 0.0004522%), (DIS, 0, 0.35%, 0.0002773%), (C, 0, 0.34%, 0.0003226%), (SCHW, 0, 0.33%, 0.0003137%), (LMT, 0, 0.32%, 0.0005272%), (SBUX, 0, 0.32%, 0.0005328%), (MMM, 0, 0.30%, 0.0005930%), (AMAT, 0, 0.29%, 0.0003743%), (PFE, 0, 0.28%, 0.0003188%), (GILD, 0, 0.27%, 0.0003209%), (CVS, 0, 0.27%, 0.0005049%), (TJX, 0, 0.27%, 0.0002955%), (EMR, 0, 0.26%, 0.0005862%), (DHR, 0, 0.26%, 0.0002911%), (LOW, 0, 0.26%, 0.0002951%), (MO, 0, 0.26%, 0.0003815%), (INTC, 0, 0.23%, 0.0003354%), (ELV, 0, 0.22%, 0.0005314%), (AMGN, 0, 0.21%, 0.0002264%), (CMCSA, 0, 0.21%, 0.0002891%), (MDLZ, 0, 0.19%, 0.0003916%), (BMY, 0, 0.19%, 0.0003187%), (UPS, 0, 0.17%, 0.0004395%), (PYPL, 0, 0.16%, 0.0004082%), (CL, 0, 0.14%, 0.0003487%), (USB, 0, 0.14%, 0.0003148%), (FDX, 0, 0.14%, 0.0004213%), (TGT, 0, 0.08%, 0.0002993%), (nan, 0, -0.00%, 0.0000000%), (nan, 0, -0.00%, 0.0000000%)</t>
  </si>
  <si>
    <t>(AVGO, 0, 2.89%, 0.0000516%), (META, 0, 2.64%, 0.0000397%), (BRK/B, 0, 1.98%, 0.0000730%), (LIN, 0, 1.68%, 0.0001852%), (CSCO, 0, 1.66%, 0.0001547%), (TSLA, 0, 1.61%, 0.0000348%), (JPM, 0, 1.52%, 0.0000464%), (AMT, 0, 1.50%, 0.0003749%), (XOM, 0, 1.39%, 0.0000724%), (V, 0, 1.34%, 0.0000559%), (MA, 0, 1.08%, 0.0000505%), (CB, 0, 1.08%, 0.0002460%), (LLY, 0, 1.02%, 0.0000384%), (WM, 0, 0.99%, 0.0002693%), (GE, 0, 0.97%, 0.0000856%), (ORCL, 0, 0.86%, 0.0000319%), (NEE, 0, 0.85%, 0.0001338%), (NFLX, 0, 0.84%, 0.0000401%), (UNH, 0, 0.83%, 0.0000746%), (JNJ, 0, 0.80%, 0.0000461%), (CVX, 0, 0.75%, 0.0000573%), (PG, 0, 0.74%, 0.0000500%), (PLTR, 0, 0.73%, 0.0000510%), (COST, 0, 0.72%, 0.0000426%), (WMT, 0, 0.72%, 0.0000232%), (CAT, 0, 0.71%, 0.0000860%), (RTX, 0, 0.70%, 0.0000829%), (MCD, 0, 0.70%, 0.0000774%), (HD, 0, 0.69%, 0.0000420%), (ABBV, 0, 0.69%, 0.0000461%), (ABT, 0, 0.68%, 0.0000733%), (BAC, 0, 0.61%, 0.0000408%), (BKNG, 0, 0.60%, 0.0000807%), (KO, 0, 0.59%, 0.0000491%), (NKE, 0, 0.58%, 0.0001518%), (PM, 0, 0.57%, 0.0000544%), (BA, 0, 0.57%, 0.0000821%), (SO, 0, 0.56%, 0.0001350%), (AMD, 0, 0.56%, 0.0000522%), (CRM, 0, 0.54%, 0.0000567%), (DUK, 0, 0.52%, 0.0001347%), (UBER, 0, 0.52%, 0.0000644%), (GS, 0, 0.52%, 0.0000573%), (IBM, 0, 0.51%, 0.0000560%), (ISRG, 0, 0.50%, 0.0000739%), (MET, 0, 0.49%, 0.0002260%), (WFC, 0, 0.49%, 0.0000471%), (HON, 0, 0.49%, 0.0000855%), (ETN, 0, 0.46%, 0.0000848%), (PEP, 0, 0.45%, 0.0000547%), (INTU, 0, 0.42%, 0.0000567%), (DE, 0, 0.42%, 0.0000784%), (T, 0, 0.42%, 0.0002344%), (NOW, 0, 0.41%, 0.0000558%), (MS, 0, 0.41%, 0.0000427%), (MRK, 0, 0.40%, 0.0000467%), (TXN, 0, 0.40%, 0.0000524%), (AXP, 0, 0.39%, 0.0000444%), (SPGI, 0, 0.39%, 0.0000575%), (VZ, 0, 0.38%, 0.0000501%), (BLK, 0, 0.37%, 0.0000517%), (QCOM, 0, 0.37%, 0.0000538%), (ACN, 0, 0.37%, 0.0000567%), (ADBE, 0, 0.36%, 0.0000595%), (COP, 0, 0.36%, 0.0000727%), (MDT, 0, 0.35%, 0.0000734%), (UNP, 0, 0.35%, 0.0000652%), (TMO, 0, 0.35%, 0.0000468%), (DIS, 0, 0.34%, 0.0000400%), (C, 0, 0.33%, 0.0000465%), (LMT, 0, 0.32%, 0.0000761%), (SCHW, 0, 0.32%, 0.0000452%), (SBUX, 0, 0.30%, 0.0000768%), (AMGN, 0, 0.29%, 0.0000461%), (MMM, 0, 0.29%, 0.0000855%), (AMAT, 0, 0.28%, 0.0000540%), (PFE, 0, 0.27%, 0.0000460%), (CVS, 0, 0.27%, 0.0000728%), (GILD, 0, 0.27%, 0.0000463%), (TJX, 0, 0.26%, 0.0000426%), (EMR, 0, 0.26%, 0.0000846%), (MO, 0, 0.25%, 0.0000550%), (LOW, 0, 0.25%, 0.0000426%), (DHR, 0, 0.25%, 0.0000420%), (INTC, 0, 0.22%, 0.0000484%), (ELV, 0, 0.22%, 0.0000765%), (CMCSA, 0, 0.21%, 0.0000417%), (MDLZ, 0, 0.18%, 0.0000565%), (BMY, 0, 0.18%, 0.0000460%), (UPS, 0, 0.17%, 0.0000634%), (PYPL, 0, 0.16%, 0.0000589%), (CL, 0, 0.14%, 0.0000502%), (USB, 0, 0.14%, 0.0000454%), (FDX, 0, 0.14%, 0.0000606%), (TGT, 0, 0.08%, 0.0000431%), (nan, 0, -0.01%, 0.0000000%), (nan, 0, -0.01%, 0.0000000%)</t>
  </si>
  <si>
    <t>(GOOGLE, 0, 3.88%, 0.0002244%), (AVGO, 0, 3.15%, 0.0003087%), (META, 0, 2.87%, 0.0002378%), (BRK/B, 0, 2.16%, 0.0004371%), (LIN, 0, 1.82%, 0.0011085%), (CSCO, 0, 1.81%, 0.0009255%), (TSLA, 0, 1.75%, 0.0002084%), (JPM, 0, 1.65%, 0.0002775%), (AMT, 0, 1.64%, 0.0022431%), (XOM, 0, 1.52%, 0.0004332%), (V, 0, 1.46%, 0.0003344%), (MA, 0, 1.18%, 0.0003024%), (CB, 0, 1.17%, 0.0014727%), (LLY, 0, 1.11%, 0.0002301%), (WM, 0, 1.07%, 0.0016114%), (GE, 0, 1.06%, 0.0005123%), (ORCL, 0, 0.94%, 0.0001907%), (NEE, 0, 0.93%, 0.0008007%), (NFLX, 0, 0.91%, 0.0002398%), (UNH, 0, 0.91%, 0.0004465%), (JNJ, 0, 0.87%, 0.0002758%), (CVX, 0, 0.82%, 0.0003430%), (PG, 0, 0.80%, 0.0002993%), (PLTR, 0, 0.80%, 0.0003048%), (COST, 0, 0.78%, 0.0002548%), (WMT, 0, 0.78%, 0.0001388%), (CAT, 0, 0.77%, 0.0005146%), (RTX, 0, 0.77%, 0.0004957%), (MCD, 0, 0.76%, 0.0004630%), (HD, 0, 0.75%, 0.0002512%), (ABBV, 0, 0.75%, 0.0002761%), (ABT, 0, 0.74%, 0.0004384%), (BAC, 0, 0.66%, 0.0002442%), (BKNG, 0, 0.64%, 0.0004747%), (KO, 0, 0.64%, 0.0002939%), (NKE, 0, 0.63%, 0.0009083%), (PM, 0, 0.63%, 0.0003258%), (BA, 0, 0.62%, 0.0004911%), (SO, 0, 0.61%, 0.0008076%), (AMD, 0, 0.61%, 0.0003122%), (CRM, 0, 0.59%, 0.0003397%), (DUK, 0, 0.57%, 0.0008062%), (UBER, 0, 0.56%, 0.0003855%), (GS, 0, 0.56%, 0.0003441%), (IBM, 0, 0.55%, 0.0003345%), (ISRG, 0, 0.54%, 0.0004418%), (MET, 0, 0.54%, 0.0013521%), (WFC, 0, 0.53%, 0.0002817%), (HON, 0, 0.53%, 0.0005114%), (ETN, 0, 0.50%, 0.0005068%), (PEP, 0, 0.49%, 0.0003272%), (INTU, 0, 0.46%, 0.0003400%), (DE, 0, 0.46%, 0.0004698%), (T, 0, 0.45%, 0.0014026%), (NOW, 0, 0.45%, 0.0003351%), (MS, 0, 0.44%, 0.0002555%), (MRK, 0, 0.44%, 0.0002796%), (TXN, 0, 0.43%, 0.0003134%), (AXP, 0, 0.43%, 0.0002655%), (SPGI, 0, 0.42%, 0.0003448%), (VZ, 0, 0.41%, 0.0002996%), (BLK, 0, 0.40%, 0.0003093%), (QCOM, 0, 0.40%, 0.0003214%), (ACN, 0, 0.40%, 0.0003392%), (ADBE, 0, 0.40%, 0.0003557%), (COP, 0, 0.39%, 0.0004352%), (MDT, 0, 0.38%, 0.0004395%), (TMO, 0, 0.38%, 0.0002811%), (UNP, 0, 0.38%, 0.0003903%), (DIS, 0, 0.37%, 0.0002393%), (C, 0, 0.36%, 0.0002785%), (SCHW, 0, 0.35%, 0.0002707%), (LMT, 0, 0.35%, 0.0004551%), (SBUX, 0, 0.33%, 0.0004598%), (AMGN, 0, 0.32%, 0.0002757%), (MMM, 0, 0.31%, 0.0005118%), (AMAT, 0, 0.31%, 0.0003231%), (PFE, 0, 0.29%, 0.0002751%), (CVS, 0, 0.29%, 0.0004357%), (GILD, 0, 0.29%, 0.0002770%), (TJX, 0, 0.28%, 0.0002551%), (EMR, 0, 0.28%, 0.0005059%), (MO, 0, 0.27%, 0.0003292%), (LOW, 0, 0.27%, 0.0002546%), (DHR, 0, 0.27%, 0.0002512%), (INTC, 0, 0.24%, 0.0002894%), (ELV, 0, 0.24%, 0.0004585%), (CMCSA, 0, 0.23%, 0.0002495%), (MDLZ, 0, 0.20%, 0.0003380%), (BMY, 0, 0.19%, 0.0002750%), (UPS, 0, 0.18%, 0.0003793%), (PYPL, 0, 0.17%, 0.0003523%), (CL, 0, 0.15%, 0.0003010%), (USB, 0, 0.15%, 0.0002717%), (FDX, 0, 0.15%, 0.0003636%), (TGT, 0, 0.08%, 0.0002584%), (nan, 0, -0.01%, 0.0000000%), (nan, 0, -0.02%, 0.0000000%)</t>
  </si>
  <si>
    <t>(GOOGLE, 0, 3.87%, 0.0001673%), (AVGO, 0, 3.14%, 0.0002301%), (META, 0, 2.86%, 0.0001773%), (BRK/B, 0, 2.15%, 0.0003259%), (LIN, 0, 1.82%, 0.0008264%), (CSCO, 0, 1.80%, 0.0006899%), (TSLA, 0, 1.75%, 0.0001553%), (JPM, 0, 1.65%, 0.0002069%), (AMT, 0, 1.63%, 0.0016721%), (XOM, 0, 1.51%, 0.0003229%), (V, 0, 1.45%, 0.0002493%), (MA, 0, 1.17%, 0.0002254%), (CB, 0, 1.17%, 0.0010977%), (LLY, 0, 1.11%, 0.0001715%), (WM, 0, 1.07%, 0.0012011%), (GE, 0, 1.06%, 0.0003819%), (ORCL, 0, 0.94%, 0.0001421%), (NEE, 0, 0.92%, 0.0005969%), (NFLX, 0, 0.91%, 0.0001787%), (UNH, 0, 0.90%, 0.0003328%), (JNJ, 0, 0.87%, 0.0002056%), (CVX, 0, 0.82%, 0.0002557%), (PG, 0, 0.80%, 0.0002231%), (PLTR, 0, 0.80%, 0.0002272%), (COST, 0, 0.78%, 0.0001900%), (WMT, 0, 0.78%, 0.0001034%), (CAT, 0, 0.76%, 0.0003836%), (RTX, 0, 0.76%, 0.0003695%), (MCD, 0, 0.76%, 0.0003451%), (HD, 0, 0.75%, 0.0001873%), (ABBV, 0, 0.74%, 0.0002058%), (ABT, 0, 0.74%, 0.0003268%), (BAC, 0, 0.66%, 0.0001821%), (BKNG, 0, 0.64%, 0.0003537%), (KO, 0, 0.64%, 0.0002191%), (NKE, 0, 0.62%, 0.0006770%), (PM, 0, 0.62%, 0.0002428%), (BA, 0, 0.62%, 0.0003660%), (SO, 0, 0.61%, 0.0006020%), (AMD, 0, 0.61%, 0.0002327%), (CRM, 0, 0.59%, 0.0002532%), (DUK, 0, 0.57%, 0.0006010%), (UBER, 0, 0.56%, 0.0002874%), (GS, 0, 0.56%, 0.0002564%), (IBM, 0, 0.55%, 0.0002494%), (ISRG, 0, 0.54%, 0.0003292%), (MET, 0, 0.53%, 0.0010079%), (WFC, 0, 0.53%, 0.0002100%), (HON, 0, 0.53%, 0.0003812%), (ETN, 0, 0.50%, 0.0003779%), (PEP, 0, 0.49%, 0.0002439%), (INTU, 0, 0.46%, 0.0002536%), (DE, 0, 0.46%, 0.0003503%), (T, 0, 0.45%, 0.0010455%), (NOW, 0, 0.45%, 0.0002495%), (MS, 0, 0.44%, 0.0001904%), (MRK, 0, 0.44%, 0.0002084%), (TXN, 0, 0.43%, 0.0002337%), (AXP, 0, 0.42%, 0.0001980%), (SPGI, 0, 0.42%, 0.0002569%), (VZ, 0, 0.41%, 0.0002233%), (BLK, 0, 0.40%, 0.0002305%), (QCOM, 0, 0.40%, 0.0002396%), (ACN, 0, 0.40%, 0.0002529%), (ADBE, 0, 0.40%, 0.0002652%), (COP, 0, 0.39%, 0.0003244%), (MDT, 0, 0.38%, 0.0003276%), (TMO, 0, 0.38%, 0.0002095%), (UNP, 0, 0.38%, 0.0002908%), (DIS, 0, 0.37%, 0.0001784%), (C, 0, 0.36%, 0.0002076%), (SCHW, 0, 0.35%, 0.0002018%), (LMT, 0, 0.35%, 0.0003392%), (SBUX, 0, 0.33%, 0.0003427%), (AMGN, 0, 0.31%, 0.0002054%), (MMM, 0, 0.31%, 0.0003816%), (AMAT, 0, 0.31%, 0.0002408%), (PFE, 0, 0.29%, 0.0002051%), (CVS, 0, 0.29%, 0.0003248%), (GILD, 0, 0.29%, 0.0002064%), (TJX, 0, 0.28%, 0.0001901%), (EMR, 0, 0.28%, 0.0003770%), (MO, 0, 0.27%, 0.0002454%), (LOW, 0, 0.27%, 0.0001897%), (DHR, 0, 0.27%, 0.0001873%), (INTC, 0, 0.25%, 0.0002201%), (ELV, 0, 0.24%, 0.0003420%), (CMCSA, 0, 0.23%, 0.0001860%), (MDLZ, 0, 0.20%, 0.0002519%), (BMY, 0, 0.19%, 0.0002050%), (UPS, 0, 0.18%, 0.0002827%), (PYPL, 0, 0.17%, 0.0002626%), (CL, 0, 0.15%, 0.0002243%), (USB, 0, 0.15%, 0.0002025%), (FDX, 0, 0.15%, 0.0002712%), (TGT, 0, 0.08%, 0.0001926%), (nan, 0, -0.01%, 0.0000000%), (nan, 0, -0.02%, 0.0000000%)</t>
  </si>
  <si>
    <t>(GOOGLE, 0, 3.92%, 0.0000392%), (AVGO, 0, 3.18%, 0.0000540%), (META, 0, 2.90%, 0.0000416%), (BRK/B, 0, 2.18%, 0.0000764%), (LIN, 0, 1.84%, 0.0001936%), (CSCO, 0, 1.83%, 0.0001617%), (TSLA, 0, 1.77%, 0.0000364%), (JPM, 0, 1.67%, 0.0000485%), (AMT, 0, 1.65%, 0.0003920%), (XOM, 0, 1.53%, 0.0000757%), (V, 0, 1.47%, 0.0000585%), (MA, 0, 1.19%, 0.0000528%), (CB, 0, 1.19%, 0.0002574%), (LLY, 0, 1.13%, 0.0000402%), (WM, 0, 1.08%, 0.0002815%), (GE, 0, 1.07%, 0.0000895%), (ORCL, 0, 0.95%, 0.0000333%), (NEE, 0, 0.94%, 0.0001399%), (NFLX, 0, 0.92%, 0.0000418%), (UNH, 0, 0.92%, 0.0000780%), (JNJ, 0, 0.88%, 0.0000482%), (CVX, 0, 0.83%, 0.0000599%), (PG, 0, 0.81%, 0.0000523%), (PLTR, 0, 0.81%, 0.0000532%), (WMT, 0, 0.79%, 0.0000242%), (COST, 0, 0.79%, 0.0000445%), (CAT, 0, 0.78%, 0.0000899%), (RTX, 0, 0.77%, 0.0000866%), (MCD, 0, 0.77%, 0.0000809%), (HD, 0, 0.76%, 0.0000439%), (ABBV, 0, 0.75%, 0.0000482%), (ABT, 0, 0.75%, 0.0000766%), (BAC, 0, 0.67%, 0.0000427%), (BKNG, 0, 0.66%, 0.0000838%), (KO, 0, 0.65%, 0.0000514%), (NKE, 0, 0.63%, 0.0001587%), (PM, 0, 0.63%, 0.0000569%), (BA, 0, 0.63%, 0.0000858%), (SO, 0, 0.62%, 0.0001412%), (AMD, 0, 0.62%, 0.0000545%), (CRM, 0, 0.59%, 0.0000593%), (DUK, 0, 0.58%, 0.0001409%), (UBER, 0, 0.57%, 0.0000674%), (GS, 0, 0.57%, 0.0000600%), (IBM, 0, 0.56%, 0.0000584%), (ISRG, 0, 0.55%, 0.0000773%), (MET, 0, 0.54%, 0.0002362%), (WFC, 0, 0.54%, 0.0000492%), (HON, 0, 0.53%, 0.0000893%), (ETN, 0, 0.51%, 0.0000886%), (PEP, 0, 0.49%, 0.0000572%), (INTU, 0, 0.47%, 0.0000595%), (DE, 0, 0.46%, 0.0000821%), (T, 0, 0.46%, 0.0002451%), (NOW, 0, 0.46%, 0.0000587%), (MS, 0, 0.45%, 0.0000447%), (MRK, 0, 0.44%, 0.0000488%), (TXN, 0, 0.44%, 0.0000548%), (AXP, 0, 0.43%, 0.0000465%), (SPGI, 0, 0.43%, 0.0000601%), (VZ, 0, 0.42%, 0.0000523%), (BLK, 0, 0.41%, 0.0000542%), (QCOM, 0, 0.40%, 0.0000562%), (ACN, 0, 0.40%, 0.0000592%), (ADBE, 0, 0.40%, 0.0000621%), (COP, 0, 0.40%, 0.0000761%), (MDT, 0, 0.39%, 0.0000768%), (UNP, 0, 0.38%, 0.0000681%), (TMO, 0, 0.38%, 0.0000490%), (DIS, 0, 0.38%, 0.0000418%), (C, 0, 0.36%, 0.0000487%), (SCHW, 0, 0.35%, 0.0000473%), (LMT, 0, 0.35%, 0.0000795%), (SBUX, 0, 0.33%, 0.0000803%), (AMGN, 0, 0.32%, 0.0000481%), (MMM, 0, 0.32%, 0.0000894%), (AMAT, 0, 0.31%, 0.0000565%), (PFE, 0, 0.29%, 0.0000481%), (CVS, 0, 0.29%, 0.0000761%), (GILD, 0, 0.29%, 0.0000484%), (TJX, 0, 0.29%, 0.0000446%), (EMR, 0, 0.28%, 0.0000883%), (MO, 0, 0.28%, 0.0000575%), (LOW, 0, 0.27%, 0.0000444%), (DHR, 0, 0.27%, 0.0000439%), (INTC, 0, 0.25%, 0.0000506%), (ELV, 0, 0.24%, 0.0000801%), (CMCSA, 0, 0.23%, 0.0000436%), (MDLZ, 0, 0.20%, 0.0000591%), (BMY, 0, 0.20%, 0.0000480%), (UPS, 0, 0.18%, 0.0000663%), (PYPL, 0, 0.17%, 0.0000616%), (CL, 0, 0.15%, 0.0000526%), (USB, 0, 0.15%, 0.0000475%), (FDX, 0, 0.15%, 0.0000636%), (TGT, 0, 0.08%, 0.0000451%), (nan, 0, -0.01%, 0.0000000%), (nan, 0, -0.02%, 0.0000000%)</t>
  </si>
  <si>
    <t>(GOOGLE, 0, 3.73%, 0.0000688%), (AVGO, 0, 3.03%, 0.0000946%), (META, 0, 2.76%, 0.0000729%), (BRK/B, 0, 2.07%, 0.0001340%), (LIN, 0, 1.75%, 0.0003399%), (CSCO, 0, 1.74%, 0.0002837%), (TSLA, 0, 1.69%, 0.0000639%), (JPM, 0, 1.59%, 0.0000851%), (AMT, 0, 1.57%, 0.0006876%), (XOM, 0, 1.46%, 0.0001328%), (V, 0, 1.40%, 0.0001025%), (MA, 0, 1.13%, 0.0000927%), (CB, 0, 1.13%, 0.0004513%), (LLY, 0, 1.07%, 0.0000706%), (WM, 0, 1.03%, 0.0004940%), (GE, 0, 1.02%, 0.0001570%), (ORCL, 0, 0.90%, 0.0000584%), (NEE, 0, 0.89%, 0.0002455%), (UNH, 0, 0.87%, 0.0001369%), (NFLX, 0, 0.87%, 0.0000734%), (JNJ, 0, 0.84%, 0.0000845%), (CVX, 0, 0.79%, 0.0001052%), (PG, 0, 0.77%, 0.0000917%), (PLTR, 0, 0.77%, 0.0000934%), (WMT, 0, 0.75%, 0.0000425%), (COST, 0, 0.75%, 0.0000781%), (CAT, 0, 0.74%, 0.0001577%), (RTX, 0, 0.74%, 0.0001519%), (MCD, 0, 0.73%, 0.0001420%), (HD, 0, 0.72%, 0.0000770%), (ABBV, 0, 0.72%, 0.0000846%), (ABT, 0, 0.71%, 0.0001344%), (BAC, 0, 0.63%, 0.0000749%), (BKNG, 0, 0.62%, 0.0001458%), (KO, 0, 0.62%, 0.0000901%), (NKE, 0, 0.60%, 0.0002784%), (PM, 0, 0.60%, 0.0000998%), (BA, 0, 0.60%, 0.0001505%), (SO, 0, 0.59%, 0.0002476%), (AMD, 0, 0.59%, 0.0000957%), (CRM, 0, 0.57%, 0.0001041%), (DUK, 0, 0.55%, 0.0002471%), (UBER, 0, 0.54%, 0.0001182%), (GS, 0, 0.54%, 0.0001054%), (IBM, 0, 0.53%, 0.0001026%), (ISRG, 0, 0.52%, 0.0001354%), (MET, 0, 0.51%, 0.0004144%), (WFC, 0, 0.51%, 0.0000863%), (HON, 0, 0.51%, 0.0001567%), (ETN, 0, 0.48%, 0.0001554%), (PEP, 0, 0.47%, 0.0001003%), (INTU, 0, 0.44%, 0.0001044%), (DE, 0, 0.44%, 0.0001439%), (T, 0, 0.44%, 0.0004299%), (NOW, 0, 0.44%, 0.0001029%), (MS, 0, 0.43%, 0.0000783%), (MRK, 0, 0.42%, 0.0000857%), (TXN, 0, 0.41%, 0.0000961%), (AXP, 0, 0.41%, 0.0000814%), (SPGI, 0, 0.41%, 0.0001057%), (VZ, 0, 0.40%, 0.0000918%), (BLK, 0, 0.39%, 0.0000949%), (QCOM, 0, 0.38%, 0.0000985%), (ACN, 0, 0.38%, 0.0001040%), (ADBE, 0, 0.38%, 0.0001089%), (COP, 0, 0.38%, 0.0001334%), (MDT, 0, 0.37%, 0.0001347%), (TMO, 0, 0.37%, 0.0000862%), (UNP, 0, 0.37%, 0.0001195%), (DIS, 0, 0.36%, 0.0000734%), (C, 0, 0.34%, 0.0000853%), (SCHW, 0, 0.33%, 0.0000830%), (LMT, 0, 0.33%, 0.0001396%), (AMAT, 0, 0.33%, 0.0001116%), (SBUX, 0, 0.32%, 0.0001409%), (AMGN, 0, 0.30%, 0.0000845%), (MMM, 0, 0.30%, 0.0001568%), (PFE, 0, 0.28%, 0.0000843%), (CVS, 0, 0.28%, 0.0001336%), (GILD, 0, 0.28%, 0.0000849%), (TJX, 0, 0.27%, 0.0000782%), (EMR, 0, 0.27%, 0.0001551%), (MO, 0, 0.26%, 0.0001009%), (LOW, 0, 0.26%, 0.0000781%), (DHR, 0, 0.26%, 0.0000770%), (INTC, 0, 0.23%, 0.0000887%), (ELV, 0, 0.23%, 0.0001404%), (CMCSA, 0, 0.22%, 0.0000765%), (MDLZ, 0, 0.19%, 0.0001036%), (BMY, 0, 0.19%, 0.0000843%), (UPS, 0, 0.17%, 0.0001163%), (PYPL, 0, 0.16%, 0.0001079%), (CL, 0, 0.14%, 0.0000923%), (USB, 0, 0.14%, 0.0000833%), (FDX, 0, 0.14%, 0.0001115%), (TGT, 0, 0.08%, 0.0000792%), (nan, 0, -0.01%, 0.0000000%), (nan, 0, -0.01%, 0.0000000%)</t>
  </si>
  <si>
    <t>(GOOGLE, 0, 3.80%, 0.0000249%), (AVGO, 0, 3.09%, 0.0000342%), (META, 0, 2.82%, 0.0000264%), (BRK/B, 0, 2.11%, 0.0000484%), (LIN, 0, 1.79%, 0.0001227%), (CSCO, 0, 1.78%, 0.0001025%), (TSLA, 0, 1.72%, 0.0000231%), (JPM, 0, 1.62%, 0.0000307%), (AMT, 0, 1.60%, 0.0002484%), (XOM, 0, 1.49%, 0.0000480%), (V, 0, 1.43%, 0.0000370%), (MA, 0, 1.15%, 0.0000334%), (CB, 0, 1.15%, 0.0001631%), (LLY, 0, 1.09%, 0.0000255%), (WM, 0, 1.05%, 0.0001785%), (GE, 0, 1.04%, 0.0000568%), (ORCL, 0, 0.92%, 0.0000211%), (NEE, 0, 0.91%, 0.0000887%), (NFLX, 0, 0.89%, 0.0000264%), (UNH, 0, 0.89%, 0.0000495%), (JNJ, 0, 0.86%, 0.0000305%), (CVX, 0, 0.80%, 0.0000380%), (PG, 0, 0.79%, 0.0000332%), (PLTR, 0, 0.78%, 0.0000338%), (COST, 0, 0.77%, 0.0000282%), (WMT, 0, 0.77%, 0.0000154%), (CAT, 0, 0.75%, 0.0000570%), (RTX, 0, 0.75%, 0.0000549%), (MCD, 0, 0.75%, 0.0000513%), (HD, 0, 0.74%, 0.0000278%), (ABBV, 0, 0.73%, 0.0000306%), (ABT, 0, 0.73%, 0.0000485%), (BAC, 0, 0.65%, 0.0000271%), (BKNG, 0, 0.63%, 0.0000527%), (KO, 0, 0.63%, 0.0000325%), (NKE, 0, 0.61%, 0.0001006%), (PM, 0, 0.61%, 0.0000361%), (BA, 0, 0.61%, 0.0000543%), (SO, 0, 0.60%, 0.0000894%), (AMD, 0, 0.60%, 0.0000346%), (CRM, 0, 0.58%, 0.0000376%), (DUK, 0, 0.56%, 0.0000893%), (UBER, 0, 0.55%, 0.0000427%), (GS, 0, 0.55%, 0.0000380%), (IBM, 0, 0.54%, 0.0000370%), (ISRG, 0, 0.53%, 0.0000488%), (MET, 0, 0.53%, 0.0001498%), (WFC, 0, 0.52%, 0.0000312%), (HON, 0, 0.52%, 0.0000567%), (ETN, 0, 0.49%, 0.0000563%), (PEP, 0, 0.48%, 0.0000363%), (INTU, 0, 0.45%, 0.0000377%), (DE, 0, 0.45%, 0.0000522%), (T, 0, 0.45%, 0.0001554%), (NOW, 0, 0.44%, 0.0000370%), (MS, 0, 0.43%, 0.0000283%), (MRK, 0, 0.43%, 0.0000309%), (TXN, 0, 0.42%, 0.0000347%), (AXP, 0, 0.42%, 0.0000295%), (SPGI, 0, 0.42%, 0.0000383%), (VZ, 0, 0.40%, 0.0000332%), (BLK, 0, 0.39%, 0.0000342%), (ADBE, 0, 0.39%, 0.0000394%), (QCOM, 0, 0.39%, 0.0000356%), (ACN, 0, 0.39%, 0.0000376%), (COP, 0, 0.38%, 0.0000482%), (TMO, 0, 0.38%, 0.0000311%), (MDT, 0, 0.37%, 0.0000486%), (UNP, 0, 0.37%, 0.0000432%), (DIS, 0, 0.37%, 0.0000265%), (C, 0, 0.35%, 0.0000309%), (LMT, 0, 0.34%, 0.0000506%), (SCHW, 0, 0.34%, 0.0000300%), (SBUX, 0, 0.32%, 0.0000509%), (AMGN, 0, 0.31%, 0.0000305%), (MMM, 0, 0.31%, 0.0000567%), (AMAT, 0, 0.30%, 0.0000358%), (CVS, 0, 0.28%, 0.0000483%), (PFE, 0, 0.28%, 0.0000305%), (GILD, 0, 0.28%, 0.0000307%), (TJX, 0, 0.28%, 0.0000282%), (EMR, 0, 0.27%, 0.0000560%), (MO, 0, 0.27%, 0.0000365%), (DHR, 0, 0.27%, 0.0000279%), (LOW, 0, 0.27%, 0.0000282%), (INTC, 0, 0.24%, 0.0000321%), (ELV, 0, 0.23%, 0.0000508%), (CMCSA, 0, 0.22%, 0.0000276%), (MDLZ, 0, 0.20%, 0.0000374%), (BMY, 0, 0.19%, 0.0000305%), (UPS, 0, 0.18%, 0.0000420%), (PYPL, 0, 0.17%, 0.0000390%), (CL, 0, 0.15%, 0.0000334%), (USB, 0, 0.15%, 0.0000301%), (FDX, 0, 0.14%, 0.0000403%), (TGT, 0, 0.08%, 0.0000286%), (nan, 0, -0.01%, 0.0000000%), (nan, 0, -0.02%, 0.0000000%)</t>
  </si>
  <si>
    <t>(GOOGLE, 0, 4.03%, 0.0000595%), (AVGO, 0, 3.27%, 0.0000818%), (META, 0, 2.98%, 0.0000630%), (BRK/B, 0, 2.24%, 0.0001158%), (LIN, 0, 1.90%, 0.0002938%), (CSCO, 0, 1.88%, 0.0002453%), (TSLA, 0, 1.82%, 0.0000552%), (JPM, 0, 1.72%, 0.0000735%), (AMT, 0, 1.70%, 0.0005947%), (XOM, 0, 1.58%, 0.0001148%), (V, 0, 1.52%, 0.0000887%), (MA, 0, 1.22%, 0.0000801%), (CB, 0, 1.22%, 0.0003903%), (LLY, 0, 1.16%, 0.0000610%), (WM, 0, 1.11%, 0.0004272%), (GE, 0, 1.10%, 0.0001358%), (ORCL, 0, 0.98%, 0.0000505%), (NEE, 0, 0.96%, 0.0002122%), (UNH, 0, 0.94%, 0.0001183%), (NFLX, 0, 0.94%, 0.0000635%), (JNJ, 0, 0.91%, 0.0000731%), (CVX, 0, 0.85%, 0.0000909%), (PG, 0, 0.84%, 0.0000793%), (PLTR, 0, 0.83%, 0.0000808%), (WMT, 0, 0.81%, 0.0000368%), (COST, 0, 0.81%, 0.0000675%), (CAT, 0, 0.80%, 0.0001364%), (RTX, 0, 0.80%, 0.0001314%), (MCD, 0, 0.79%, 0.0001228%), (HD, 0, 0.78%, 0.0000666%), (ABBV, 0, 0.78%, 0.0000732%), (ABT, 0, 0.77%, 0.0001162%), (BAC, 0, 0.68%, 0.0000647%), (KO, 0, 0.67%, 0.0000779%), (BKNG, 0, 0.66%, 0.0001241%), (NKE, 0, 0.65%, 0.0002407%), (PM, 0, 0.65%, 0.0000863%), (BA, 0, 0.65%, 0.0001301%), (SO, 0, 0.63%, 0.0002141%), (AMD, 0, 0.63%, 0.0000828%), (CRM, 0, 0.61%, 0.0000900%), (DUK, 0, 0.59%, 0.0002138%), (UBER, 0, 0.59%, 0.0001022%), (GS, 0, 0.58%, 0.0000914%), (IBM, 0, 0.57%, 0.0000887%), (ISRG, 0, 0.56%, 0.0001171%), (MET, 0, 0.56%, 0.0003583%), (WFC, 0, 0.55%, 0.0000747%), (HON, 0, 0.55%, 0.0001356%), (ETN, 0, 0.52%, 0.0001343%), (PEP, 0, 0.51%, 0.0000867%), (INTU, 0, 0.48%, 0.0000900%), (DE, 0, 0.47%, 0.0001247%), (T, 0, 0.47%, 0.0003718%), (NOW, 0, 0.47%, 0.0000889%), (MS, 0, 0.46%, 0.0000677%), (MRK, 0, 0.46%, 0.0000741%), (TXN, 0, 0.45%, 0.0000831%), (AXP, 0, 0.44%, 0.0000704%), (SPGI, 0, 0.44%, 0.0000915%), (VZ, 0, 0.43%, 0.0000794%), (BLK, 0, 0.42%, 0.0000820%), (QCOM, 0, 0.41%, 0.0000852%), (ACN, 0, 0.41%, 0.0000899%), (ADBE, 0, 0.41%, 0.0000944%), (COP, 0, 0.41%, 0.0001154%), (MDT, 0, 0.40%, 0.0001165%), (TMO, 0, 0.40%, 0.0000745%), (UNP, 0, 0.40%, 0.0001035%), (DIS, 0, 0.39%, 0.0000634%), (C, 0, 0.37%, 0.0000738%), (SCHW, 0, 0.36%, 0.0000718%), (LMT, 0, 0.36%, 0.0001206%), (SBUX, 0, 0.34%, 0.0001218%), (AMGN, 0, 0.33%, 0.0000730%), (MMM, 0, 0.32%, 0.0001357%), (AMAT, 0, 0.32%, 0.0000856%), (PFE, 0, 0.30%, 0.0000729%), (CVS, 0, 0.30%, 0.0001155%), (GILD, 0, 0.30%, 0.0000734%), (TJX, 0, 0.29%, 0.0000677%), (EMR, 0, 0.29%, 0.0001342%), (MO, 0, 0.28%, 0.0000873%), (LOW, 0, 0.28%, 0.0000676%), (DHR, 0, 0.28%, 0.0000665%), (INTC, 0, 0.25%, 0.0000767%), (ELV, 0, 0.25%, 0.0001215%), (CMCSA, 0, 0.24%, 0.0000661%), (MDLZ, 0, 0.21%, 0.0000896%), (BMY, 0, 0.20%, 0.0000729%), (UPS, 0, 0.19%, 0.0001005%), (PYPL, 0, 0.18%, 0.0000934%), (CL, 0, 0.16%, 0.0000798%), (USB, 0, 0.16%, 0.0000720%), (FDX, 0, 0.15%, 0.0000962%), (TGT, 0, 0.09%, 0.0000684%), (nan, 0, -0.01%, 0.0000000%), (nan, 0, -0.02%, 0.0000000%)</t>
  </si>
  <si>
    <t>EBAY, BK, META, GOOGLE, MLI, MSFT, EA, BKNG, JPM, BLK, PHM</t>
  </si>
  <si>
    <t>(RJF, 0, 1.94%, 0.0032385%), (EWBC, 0, 1.89%, 0.0072478%), (AXP, 0, 1.87%, 0.0004731%), (HIG, 0, 1.86%, 0.0027766%), (V, 0, 1.83%, 0.0001701%), (TRV, 0, 1.82%, 0.0016480%), (NVDA, 0, 1.76%, 0.0000222%), (ROST, 0, 1.72%, 0.0019792%), (SNA, 0, 1.72%, 0.0055396%), (ADP, 0, 1.70%, 0.0007633%), (LEN, 0, 1.67%, 0.0030478%), (PCAR, 0, 1.67%, 0.0017399%), (UNM, 0, 1.63%, 0.0076324%), (KLAC, 0, 1.63%, 0.0007778%), (AMAT, 0, 1.63%, 0.0006949%), (CB, 0, 1.62%, 0.0008284%), (SYF, 0, 1.62%, 0.0033504%), (CTSH, 0, 1.53%, 0.0024196%), (CRM, 0, 1.49%, 0.0003477%), (PAYC, 0, 1.48%, 0.0061078%), (WSM, 0, 1.47%, 0.0033549%), (DHI, 0, 1.39%, 0.0015393%), (BKR, 0, 1.38%, 0.0017416%), (QCOM, 0, 1.32%, 0.0004320%), (ACN, 0, 1.28%, 0.0004420%), (ELV, 0, 1.26%, 0.0009958%), (AFL, 0, 1.24%, 0.0011935%), (AAPL, 0, 1.24%, 0.0000204%), (MPWR, 0, 1.12%, 0.0015410%), (ODFL, 0, 1.12%, 0.0018837%), (LRCX, 0, 1.09%, 0.0004740%), (CSCO, 0, 1.05%, 0.0002187%), (GE, 0, 1.01%, 0.0001978%), (STT, 0, 1.00%, 0.0017156%), (PNC, 0, 0.93%, 0.0006516%), (MTB, 0, 0.91%, 0.0016592%), (AMP, 0, 0.87%, 0.0010042%), (CF, 0, 0.86%, 0.0033814%), (ABT, 0, 0.82%, 0.0001984%), (COST, 0, 0.82%, 0.0001081%), (XOM, 0, 0.81%, 0.0000941%), (EOG, 0, 0.79%, 0.0006610%), (CSL, 0, 0.76%, 0.0025703%), (EG, 0, 0.75%, 0.0028905%), (GEV, 0, 0.53%, 0.0001802%), (NTRS, 0, 0.53%, 0.0011760%), (MA, 0, 0.50%, 0.0000521%), (JNJ, 0, 0.48%, 0.0000618%), (CRBG, 0, 0.48%, 0.0014186%), (ACM, 0, 0.47%, 0.0015886%), (LNC, 0, 0.46%, 0.0032026%), (JXN, 0, 0.44%, 0.0036051%), (MTG, 0, 0.44%, 0.0039063%), (WTFC, 0, 0.44%, 0.0026765%), (ADM, 0, 0.43%, 0.0007709%), (CINF, 0, 0.43%, 0.0009915%), (DOV, 0, 0.43%, 0.0009486%), (EQH, 0, 0.41%, 0.0014396%), (SLM, 0, 0.41%, 0.0035176%), (ALL, 0, 0.40%, 0.0004182%), (NUE, 0, 0.40%, 0.0006478%), (MCK, 0, 0.40%, 0.0002581%), (NKE, 0, 0.39%, 0.0002279%), (PGR, 0, 0.36%, 0.0001383%), (FANG, 0, 0.31%, 0.0004000%)</t>
  </si>
  <si>
    <t>(GOOGLE, 0, 3.69%, 0.0000633%), (AVGO, 0, 2.99%, 0.0000871%), (META, 0, 2.73%, 0.0000670%), (BRK/B, 0, 2.05%, 0.0001232%), (LIN, 0, 1.73%, 0.0003125%), (CSCO, 0, 1.72%, 0.0002610%), (TSLA, 0, 1.67%, 0.0000588%), (JPM, 0, 1.57%, 0.0000782%), (AMT, 0, 1.55%, 0.0006325%), (XOM, 0, 1.44%, 0.0001221%), (V, 0, 1.39%, 0.0000943%), (MA, 0, 1.12%, 0.0000853%), (CB, 0, 1.11%, 0.0004152%), (LLY, 0, 1.06%, 0.0000648%), (WM, 0, 1.02%, 0.0004542%), (GE, 0, 1.01%, 0.0001445%), (ORCL, 0, 0.89%, 0.0000538%), (NEE, 0, 0.88%, 0.0002258%), (UNH, 0, 0.86%, 0.0001260%), (NFLX, 0, 0.86%, 0.0000675%), (JNJ, 0, 0.83%, 0.0000778%), (CVX, 0, 0.78%, 0.0000967%), (PG, 0, 0.76%, 0.0000844%), (PLTR, 0, 0.76%, 0.0000860%), (WMT, 0, 0.74%, 0.0000391%), (COST, 0, 0.74%, 0.0000718%), (CAT, 0, 0.73%, 0.0001452%), (RTX, 0, 0.73%, 0.0001398%), (MCD, 0, 0.73%, 0.0001306%), (HD, 0, 0.72%, 0.0000708%), (ABBV, 0, 0.71%, 0.0000778%), (ABT, 0, 0.70%, 0.0001236%), (BAC, 0, 0.63%, 0.0000689%), (KO, 0, 0.61%, 0.0000829%), (BKNG, 0, 0.61%, 0.0001334%), (NKE, 0, 0.60%, 0.0002561%), (PM, 0, 0.59%, 0.0000919%), (BA, 0, 0.59%, 0.0001384%), (SO, 0, 0.58%, 0.0002277%), (AMD, 0, 0.58%, 0.0000880%), (CRM, 0, 0.56%, 0.0000958%), (DUK, 0, 0.54%, 0.0002273%), (UBER, 0, 0.54%, 0.0001087%), (GS, 0, 0.53%, 0.0000970%), (IBM, 0, 0.52%, 0.0000944%), (ISRG, 0, 0.51%, 0.0001244%), (MET, 0, 0.51%, 0.0003812%), (WFC, 0, 0.50%, 0.0000794%), (HON, 0, 0.50%, 0.0001441%), (ETN, 0, 0.48%, 0.0001428%), (PEP, 0, 0.46%, 0.0000923%), (INTU, 0, 0.44%, 0.0000958%), (DE, 0, 0.43%, 0.0001324%), (T, 0, 0.43%, 0.0003955%), (NOW, 0, 0.43%, 0.0000942%), (MS, 0, 0.42%, 0.0000720%), (MRK, 0, 0.42%, 0.0000788%), (TXN, 0, 0.41%, 0.0000884%), (AXP, 0, 0.40%, 0.0000749%), (SPGI, 0, 0.40%, 0.0000971%), (VZ, 0, 0.39%, 0.0000845%), (BLK, 0, 0.38%, 0.0000872%), (QCOM, 0, 0.38%, 0.0000906%), (ACN, 0, 0.38%, 0.0000957%), (ADBE, 0, 0.38%, 0.0001003%), (COP, 0, 0.37%, 0.0001227%), (MDT, 0, 0.36%, 0.0001239%), (TMO, 0, 0.36%, 0.0000793%), (UNP, 0, 0.36%, 0.0001101%), (DIS, 0, 0.35%, 0.0000675%), (C, 0, 0.34%, 0.0000785%), (SCHW, 0, 0.33%, 0.0000764%), (LMT, 0, 0.33%, 0.0001284%), (SBUX, 0, 0.31%, 0.0001297%), (AMGN, 0, 0.30%, 0.0000776%), (MMM, 0, 0.30%, 0.0001444%), (AMAT, 0, 0.29%, 0.0000911%), (PFE, 0, 0.28%, 0.0000776%), (CVS, 0, 0.28%, 0.0001229%), (GILD, 0, 0.27%, 0.0000781%), (TJX, 0, 0.27%, 0.0000719%), (EMR, 0, 0.26%, 0.0001427%), (MO, 0, 0.26%, 0.0000928%), (LOW, 0, 0.26%, 0.0000719%), (DHR, 0, 0.26%, 0.0000708%), (INTC, 0, 0.23%, 0.0000816%), (ELV, 0, 0.22%, 0.0001291%), (CMCSA, 0, 0.22%, 0.0000704%), (MDLZ, 0, 0.19%, 0.0000953%), (BMY, 0, 0.18%, 0.0000776%), (UPS, 0, 0.17%, 0.0001069%), (PYPL, 0, 0.16%, 0.0000993%), (CL, 0, 0.14%, 0.0000849%), (USB, 0, 0.14%, 0.0000766%), (FDX, 0, 0.14%, 0.0001026%), (TGT, 0, 0.08%, 0.0000728%), (nan, 0, -0.01%, 0.0000000%), (nan, 0, -0.01%, 0.0000000%)</t>
  </si>
  <si>
    <t>(GOOGLE, 0, 3.86%, 0.0001293%), (AVGO, 0, 3.14%, 0.0001779%), (META, 0, 2.86%, 0.0001371%), (BRK/B, 0, 2.15%, 0.0002519%), (LIN, 0, 1.82%, 0.0006388%), (CSCO, 0, 1.80%, 0.0005334%), (TSLA, 0, 1.75%, 0.0001201%), (JPM, 0, 1.65%, 0.0001599%), (AMT, 0, 1.63%, 0.0012928%), (XOM, 0, 1.51%, 0.0002497%), (V, 0, 1.45%, 0.0001927%), (MA, 0, 1.17%, 0.0001742%), (CB, 0, 1.17%, 0.0008487%), (LLY, 0, 1.11%, 0.0001326%), (WM, 0, 1.07%, 0.0009286%), (GE, 0, 1.06%, 0.0002952%), (ORCL, 0, 0.94%, 0.0001099%), (NEE, 0, 0.92%, 0.0004615%), (NFLX, 0, 0.90%, 0.0001381%), (UNH, 0, 0.90%, 0.0002573%), (JNJ, 0, 0.87%, 0.0001590%), (CVX, 0, 0.82%, 0.0001977%), (PG, 0, 0.80%, 0.0001725%), (PLTR, 0, 0.80%, 0.0001757%), (COST, 0, 0.78%, 0.0001469%), (WMT, 0, 0.78%, 0.0000800%), (CAT, 0, 0.76%, 0.0002965%), (RTX, 0, 0.76%, 0.0002857%), (MCD, 0, 0.76%, 0.0002668%), (HD, 0, 0.75%, 0.0001448%), (ABBV, 0, 0.74%, 0.0001591%), (ABT, 0, 0.74%, 0.0002527%), (BAC, 0, 0.66%, 0.0001408%), (KO, 0, 0.64%, 0.0001694%), (BKNG, 0, 0.64%, 0.0002730%), (NKE, 0, 0.62%, 0.0005235%), (PM, 0, 0.62%, 0.0001877%), (BA, 0, 0.62%, 0.0002830%), (SO, 0, 0.61%, 0.0004655%), (AMD, 0, 0.61%, 0.0001799%), (CRM, 0, 0.59%, 0.0001958%), (DUK, 0, 0.57%, 0.0004646%), (UBER, 0, 0.56%, 0.0002222%), (GS, 0, 0.56%, 0.0001984%), (IBM, 0, 0.55%, 0.0001928%), (ISRG, 0, 0.54%, 0.0002544%), (MET, 0, 0.53%, 0.0007792%), (WFC, 0, 0.53%, 0.0001624%), (HON, 0, 0.53%, 0.0002947%), (ETN, 0, 0.50%, 0.0002921%), (PEP, 0, 0.49%, 0.0001886%), (INTU, 0, 0.46%, 0.0001958%), (DE, 0, 0.45%, 0.0002708%), (T, 0, 0.45%, 0.0008083%), (NOW, 0, 0.45%, 0.0001933%), (MS, 0, 0.44%, 0.0001472%), (MRK, 0, 0.44%, 0.0001611%), (TXN, 0, 0.43%, 0.0001806%), (AXP, 0, 0.42%, 0.0001530%), (SPGI, 0, 0.42%, 0.0001988%), (VZ, 0, 0.41%, 0.0001727%), (BLK, 0, 0.40%, 0.0001782%), (QCOM, 0, 0.40%, 0.0001853%), (ACN, 0, 0.40%, 0.0001956%), (ADBE, 0, 0.40%, 0.0002050%), (COP, 0, 0.39%, 0.0002509%), (MDT, 0, 0.38%, 0.0002533%), (TMO, 0, 0.38%, 0.0001621%), (UNP, 0, 0.38%, 0.0002249%), (DIS, 0, 0.37%, 0.0001379%), (C, 0, 0.36%, 0.0001605%), (SCHW, 0, 0.35%, 0.0001560%), (LMT, 0, 0.35%, 0.0002623%), (SBUX, 0, 0.33%, 0.0002650%), (AMGN, 0, 0.31%, 0.0001588%), (MMM, 0, 0.31%, 0.0002950%), (AMAT, 0, 0.31%, 0.0001862%), (PFE, 0, 0.29%, 0.0001586%), (CVS, 0, 0.29%, 0.0002511%), (GILD, 0, 0.29%, 0.0001597%), (TJX, 0, 0.28%, 0.0001470%), (EMR, 0, 0.28%, 0.0002916%), (MO, 0, 0.27%, 0.0001898%), (LOW, 0, 0.27%, 0.0001467%), (DHR, 0, 0.27%, 0.0001448%), (INTC, 0, 0.24%, 0.0001668%), (ELV, 0, 0.24%, 0.0002646%), (CMCSA, 0, 0.23%, 0.0001438%), (MDLZ, 0, 0.20%, 0.0001948%), (BMY, 0, 0.19%, 0.0001585%), (UPS, 0, 0.18%, 0.0002186%), (PYPL, 0, 0.17%, 0.0002030%), (CL, 0, 0.15%, 0.0001734%), (USB, 0, 0.15%, 0.0001566%), (FDX, 0, 0.15%, 0.0002098%), (TGT, 0, 0.08%, 0.0001490%), (nan, 0, -0.01%, 0.0000000%), (nan, 0, -0.01%, 0.0000000%)</t>
  </si>
  <si>
    <t>(GOOGLE, 0, 3.64%, 0.0002593%), (AVGO, 0, 2.95%, 0.0003567%), (META, 0, 2.69%, 0.0002748%), (BRK/B, 0, 2.02%, 0.0005050%), (LIN, 0, 1.71%, 0.0012809%), (CSCO, 0, 1.70%, 0.0010693%), (TSLA, 0, 1.64%, 0.0002408%), (JPM, 0, 1.55%, 0.0003206%), (AMT, 0, 1.53%, 0.0025917%), (XOM, 0, 1.42%, 0.0005005%), (V, 0, 1.37%, 0.0003864%), (MA, 0, 1.10%, 0.0003493%), (CB, 0, 1.10%, 0.0017014%), (LLY, 0, 1.04%, 0.0002658%), (WM, 0, 1.01%, 0.0018617%), (GE, 0, 0.99%, 0.0005920%), (ORCL, 0, 0.88%, 0.0002203%), (NEE, 0, 0.87%, 0.0009252%), (NFLX, 0, 0.85%, 0.0002768%), (UNH, 0, 0.85%, 0.0005160%), (JNJ, 0, 0.82%, 0.0003187%), (CVX, 0, 0.77%, 0.0003963%), (PG, 0, 0.75%, 0.0003457%), (PLTR, 0, 0.75%, 0.0003522%), (COST, 0, 0.73%, 0.0002945%), (WMT, 0, 0.73%, 0.0001603%), (CAT, 0, 0.72%, 0.0005945%), (RTX, 0, 0.72%, 0.0005727%), (MCD, 0, 0.72%, 0.0005350%), (HD, 0, 0.71%, 0.0002902%), (ABBV, 0, 0.70%, 0.0003190%), (ABT, 0, 0.69%, 0.0005066%), (BAC, 0, 0.62%, 0.0002822%), (KO, 0, 0.60%, 0.0003396%), (BKNG, 0, 0.60%, 0.0005460%), (NKE, 0, 0.59%, 0.0010493%), (PM, 0, 0.59%, 0.0003764%), (BA, 0, 0.58%, 0.0005674%), (SO, 0, 0.57%, 0.0009331%), (AMD, 0, 0.57%, 0.0003607%), (CRM, 0, 0.55%, 0.0003924%), (DUK, 0, 0.53%, 0.0009315%), (UBER, 0, 0.53%, 0.0004454%), (GS, 0, 0.53%, 0.0003974%), (IBM, 0, 0.52%, 0.0003865%), (ISRG, 0, 0.51%, 0.0005103%), (MET, 0, 0.50%, 0.0015622%), (WFC, 0, 0.50%, 0.0003254%), (HON, 0, 0.49%, 0.0005908%), (ETN, 0, 0.47%, 0.0005857%), (PEP, 0, 0.46%, 0.0003781%), (INTU, 0, 0.43%, 0.0003927%), (DE, 0, 0.43%, 0.0005430%), (T, 0, 0.43%, 0.0016205%), (NOW, 0, 0.42%, 0.0003870%), (MS, 0, 0.42%, 0.0002952%), (MRK, 0, 0.41%, 0.0003230%), (TXN, 0, 0.40%, 0.0003621%), (AXP, 0, 0.40%, 0.0003069%), (SPGI, 0, 0.40%, 0.0003983%), (VZ, 0, 0.39%, 0.0003461%), (BLK, 0, 0.38%, 0.0003571%), (QCOM, 0, 0.37%, 0.0003714%), (ACN, 0, 0.37%, 0.0003921%), (ADBE, 0, 0.37%, 0.0004109%), (COP, 0, 0.37%, 0.0005028%), (MDT, 0, 0.36%, 0.0005078%), (TMO, 0, 0.36%, 0.0003247%), (UNP, 0, 0.36%, 0.0004508%), (DIS, 0, 0.35%, 0.0002765%), (C, 0, 0.34%, 0.0003217%), (SCHW, 0, 0.33%, 0.0003128%), (LMT, 0, 0.33%, 0.0005259%), (SBUX, 0, 0.31%, 0.0005313%), (AMGN, 0, 0.30%, 0.0003184%), (MMM, 0, 0.29%, 0.0005913%), (AMAT, 0, 0.29%, 0.0003732%), (PFE, 0, 0.27%, 0.0003179%), (CVS, 0, 0.27%, 0.0005035%), (GILD, 0, 0.27%, 0.0003200%), (TJX, 0, 0.27%, 0.0002947%), (EMR, 0, 0.26%, 0.0005844%), (MO, 0, 0.26%, 0.0003804%), (LOW, 0, 0.26%, 0.0002942%), (DHR, 0, 0.25%, 0.0002902%), (INTC, 0, 0.23%, 0.0003344%), (ELV, 0, 0.22%, 0.0005301%), (CMCSA, 0, 0.21%, 0.0002883%), (MDLZ, 0, 0.19%, 0.0003905%), (BMY, 0, 0.18%, 0.0003177%), (UPS, 0, 0.17%, 0.0004383%), (PYPL, 0, 0.16%, 0.0004070%), (CL, 0, 0.14%, 0.0003477%), (USB, 0, 0.14%, 0.0003139%), (FDX, 0, 0.14%, 0.0004204%), (TGT, 0, 0.08%, 0.0002986%), (nan, 0, -0.01%, 0.0000000%), (nan, 0, -0.02%, 0.0000000%)</t>
  </si>
  <si>
    <t>(AVGO, 0, 2.92%, 0.0000516%), (META, 0, 2.63%, 0.0000397%), (BRK/B, 0, 2.00%, 0.0000730%), (CSCO, 0, 1.69%, 0.0001547%), (LIN, 0, 1.69%, 0.0001852%), (TSLA, 0, 1.63%, 0.0000348%), (JPM, 0, 1.53%, 0.0000464%), (AMT, 0, 1.47%, 0.0003749%), (XOM, 0, 1.39%, 0.0000724%), (V, 0, 1.35%, 0.0000559%), (MA, 0, 1.08%, 0.0000505%), (LLY, 0, 1.07%, 0.0000384%), (CB, 0, 1.07%, 0.0002460%), (GE, 0, 0.99%, 0.0000856%), (WM, 0, 0.99%, 0.0002693%), (ORCL, 0, 0.86%, 0.0000319%), (NEE, 0, 0.84%, 0.0001338%), (NFLX, 0, 0.84%, 0.0000401%), (UNH, 0, 0.82%, 0.0000746%), (JNJ, 0, 0.79%, 0.0000461%), (PLTR, 0, 0.75%, 0.0000510%), (CVX, 0, 0.75%, 0.0000573%), (PG, 0, 0.74%, 0.0000500%), (COST, 0, 0.72%, 0.0000426%), (WMT, 0, 0.72%, 0.0000232%), (RTX, 0, 0.71%, 0.0000829%), (CAT, 0, 0.70%, 0.0000860%), (MCD, 0, 0.70%, 0.0000774%), (HD, 0, 0.69%, 0.0000420%), (ABBV, 0, 0.69%, 0.0000461%), (ABT, 0, 0.68%, 0.0000733%), (BAC, 0, 0.61%, 0.0000408%), (BKNG, 0, 0.60%, 0.0000807%), (BA, 0, 0.59%, 0.0000821%), (KO, 0, 0.59%, 0.0000491%), (NKE, 0, 0.57%, 0.0001518%), (PM, 0, 0.57%, 0.0000544%), (AMD, 0, 0.57%, 0.0000522%), (SO, 0, 0.56%, 0.0001350%), (CRM, 0, 0.53%, 0.0000567%), (UBER, 0, 0.52%, 0.0000644%), (DUK, 0, 0.52%, 0.0001347%), (GS, 0, 0.52%, 0.0000573%), (IBM, 0, 0.51%, 0.0000560%), (ISRG, 0, 0.50%, 0.0000739%), (WFC, 0, 0.49%, 0.0000471%), (MET, 0, 0.49%, 0.0002260%), (HON, 0, 0.49%, 0.0000855%), (ETN, 0, 0.47%, 0.0000848%), (PEP, 0, 0.44%, 0.0000547%), (INTU, 0, 0.42%, 0.0000567%), (DE, 0, 0.42%, 0.0000784%), (T, 0, 0.41%, 0.0002344%), (MS, 0, 0.41%, 0.0000427%), (NOW, 0, 0.41%, 0.0000558%), (MRK, 0, 0.40%, 0.0000467%), (TXN, 0, 0.40%, 0.0000524%), (AXP, 0, 0.40%, 0.0000444%), (SPGI, 0, 0.39%, 0.0000575%), (VZ, 0, 0.38%, 0.0000501%), (QCOM, 0, 0.37%, 0.0000538%), (BLK, 0, 0.37%, 0.0000517%), (ACN, 0, 0.36%, 0.0000567%), (ADBE, 0, 0.36%, 0.0000595%), (COP, 0, 0.36%, 0.0000727%), (MDT, 0, 0.35%, 0.0000734%), (UNP, 0, 0.35%, 0.0000652%), (TMO, 0, 0.35%, 0.0000468%), (DIS, 0, 0.34%, 0.0000400%), (C, 0, 0.33%, 0.0000465%), (LMT, 0, 0.32%, 0.0000761%), (SCHW, 0, 0.32%, 0.0000452%), (SBUX, 0, 0.31%, 0.0000768%), (AMGN, 0, 0.29%, 0.0000461%), (MMM, 0, 0.29%, 0.0000855%), (AMAT, 0, 0.28%, 0.0000540%), (GILD, 0, 0.27%, 0.0000463%), (CVS, 0, 0.27%, 0.0000728%), (PFE, 0, 0.26%, 0.0000460%), (TJX, 0, 0.26%, 0.0000426%), (EMR, 0, 0.26%, 0.0000846%), (LOW, 0, 0.25%, 0.0000426%), (MO, 0, 0.25%, 0.0000550%), (DHR, 0, 0.25%, 0.0000420%), (INTC, 0, 0.22%, 0.0000484%), (ELV, 0, 0.21%, 0.0000765%), (CMCSA, 0, 0.21%, 0.0000417%), (MDLZ, 0, 0.18%, 0.0000565%), (BMY, 0, 0.18%, 0.0000460%), (UPS, 0, 0.16%, 0.0000634%), (PYPL, 0, 0.16%, 0.0000589%), (USB, 0, 0.14%, 0.0000454%), (CL, 0, 0.14%, 0.0000502%), (FDX, 0, 0.13%, 0.0000606%), (TGT, 0, 0.08%, 0.0000431%), (nan, 0, -0.01%, 0.0000000%), (nan, 0, -0.01%, 0.0000000%)</t>
  </si>
  <si>
    <t>(GOOGLE, 0, 3.84%, 0.0002244%), (AVGO, 0, 3.17%, 0.0003087%), (META, 0, 2.86%, 0.0002378%), (BRK/B, 0, 2.17%, 0.0004371%), (LIN, 0, 1.83%, 0.0011085%), (CSCO, 0, 1.83%, 0.0009255%), (TSLA, 0, 1.77%, 0.0002084%), (JPM, 0, 1.67%, 0.0002775%), (AMT, 0, 1.60%, 0.0022431%), (XOM, 0, 1.51%, 0.0004332%), (V, 0, 1.46%, 0.0003344%), (MA, 0, 1.17%, 0.0003024%), (LLY, 0, 1.17%, 0.0002301%), (CB, 0, 1.16%, 0.0014727%), (GE, 0, 1.08%, 0.0005123%), (WM, 0, 1.07%, 0.0016114%), (ORCL, 0, 0.93%, 0.0001907%), (NEE, 0, 0.92%, 0.0008007%), (NFLX, 0, 0.91%, 0.0002398%), (UNH, 0, 0.89%, 0.0004465%), (JNJ, 0, 0.86%, 0.0002758%), (PLTR, 0, 0.81%, 0.0003048%), (CVX, 0, 0.81%, 0.0003430%), (PG, 0, 0.80%, 0.0002993%), (COST, 0, 0.78%, 0.0002548%), (WMT, 0, 0.78%, 0.0001388%), (RTX, 0, 0.78%, 0.0004957%), (CAT, 0, 0.76%, 0.0005146%), (MCD, 0, 0.76%, 0.0004630%), (HD, 0, 0.75%, 0.0002512%), (ABBV, 0, 0.75%, 0.0002761%), (ABT, 0, 0.74%, 0.0004384%), (BAC, 0, 0.66%, 0.0002442%), (BKNG, 0, 0.64%, 0.0004747%), (BA, 0, 0.64%, 0.0004911%), (KO, 0, 0.64%, 0.0002939%), (NKE, 0, 0.62%, 0.0009083%), (PM, 0, 0.62%, 0.0003258%), (AMD, 0, 0.62%, 0.0003122%), (SO, 0, 0.61%, 0.0008076%), (CRM, 0, 0.58%, 0.0003397%), (UBER, 0, 0.57%, 0.0003855%), (DUK, 0, 0.57%, 0.0008062%), (GS, 0, 0.57%, 0.0003441%), (IBM, 0, 0.56%, 0.0003345%), (ISRG, 0, 0.55%, 0.0004418%), (WFC, 0, 0.54%, 0.0002817%), (MET, 0, 0.54%, 0.0013521%), (HON, 0, 0.53%, 0.0005114%), (ETN, 0, 0.51%, 0.0005068%), (PEP, 0, 0.48%, 0.0003272%), (INTU, 0, 0.46%, 0.0003400%), (DE, 0, 0.45%, 0.0004698%), (T, 0, 0.45%, 0.0014026%), (MS, 0, 0.45%, 0.0002555%), (NOW, 0, 0.44%, 0.0003351%), (MRK, 0, 0.44%, 0.0002796%), (TXN, 0, 0.43%, 0.0003134%), (AXP, 0, 0.43%, 0.0002655%), (SPGI, 0, 0.42%, 0.0003448%), (VZ, 0, 0.41%, 0.0002996%), (QCOM, 0, 0.40%, 0.0003214%), (BLK, 0, 0.40%, 0.0003093%), (ACN, 0, 0.40%, 0.0003392%), (ADBE, 0, 0.39%, 0.0003557%), (COP, 0, 0.39%, 0.0004352%), (MDT, 0, 0.38%, 0.0004395%), (UNP, 0, 0.38%, 0.0003903%), (TMO, 0, 0.38%, 0.0002811%), (DIS, 0, 0.37%, 0.0002393%), (C, 0, 0.36%, 0.0002785%), (LMT, 0, 0.35%, 0.0004551%), (SCHW, 0, 0.35%, 0.0002707%), (SBUX, 0, 0.33%, 0.0004598%), (AMGN, 0, 0.32%, 0.0002757%), (MMM, 0, 0.31%, 0.0005118%), (AMAT, 0, 0.31%, 0.0003231%), (CVS, 0, 0.29%, 0.0004357%), (GILD, 0, 0.29%, 0.0002770%), (PFE, 0, 0.29%, 0.0002751%), (TJX, 0, 0.28%, 0.0002551%), (EMR, 0, 0.28%, 0.0005059%), (LOW, 0, 0.27%, 0.0002546%), (MO, 0, 0.27%, 0.0003292%), (DHR, 0, 0.27%, 0.0002512%), (INTC, 0, 0.24%, 0.0002894%), (ELV, 0, 0.23%, 0.0004585%), (CMCSA, 0, 0.22%, 0.0002495%), (MDLZ, 0, 0.20%, 0.0003380%), (BMY, 0, 0.19%, 0.0002750%), (UPS, 0, 0.18%, 0.0003793%), (PYPL, 0, 0.17%, 0.0003523%), (USB, 0, 0.15%, 0.0002717%), (CL, 0, 0.15%, 0.0003010%), (FDX, 0, 0.15%, 0.0003636%), (TGT, 0, 0.08%, 0.0002584%), (nan, 0, -0.01%, 0.0000000%), (nan, 0, -0.01%, 0.0000000%)</t>
  </si>
  <si>
    <t>(GOOGLE, 0, 3.83%, 0.0001673%), (AVGO, 0, 3.17%, 0.0002301%), (META, 0, 2.86%, 0.0001773%), (BRK/B, 0, 2.17%, 0.0003259%), (LIN, 0, 1.83%, 0.0008264%), (CSCO, 0, 1.83%, 0.0006899%), (TSLA, 0, 1.76%, 0.0001553%), (JPM, 0, 1.66%, 0.0002069%), (AMT, 0, 1.60%, 0.0016721%), (XOM, 0, 1.50%, 0.0003229%), (V, 0, 1.46%, 0.0002493%), (MA, 0, 1.17%, 0.0002254%), (LLY, 0, 1.16%, 0.0001715%), (CB, 0, 1.16%, 0.0010977%), (GE, 0, 1.08%, 0.0003819%), (WM, 0, 1.07%, 0.0012011%), (ORCL, 0, 0.93%, 0.0001421%), (NEE, 0, 0.91%, 0.0005969%), (NFLX, 0, 0.91%, 0.0001787%), (UNH, 0, 0.89%, 0.0003328%), (JNJ, 0, 0.86%, 0.0002056%), (PLTR, 0, 0.81%, 0.0002272%), (CVX, 0, 0.81%, 0.0002557%), (PG, 0, 0.80%, 0.0002231%), (COST, 0, 0.78%, 0.0001900%), (WMT, 0, 0.78%, 0.0001034%), (RTX, 0, 0.77%, 0.0003695%), (CAT, 0, 0.76%, 0.0003836%), (MCD, 0, 0.76%, 0.0003451%), (HD, 0, 0.75%, 0.0001873%), (ABBV, 0, 0.74%, 0.0002058%), (ABT, 0, 0.73%, 0.0003268%), (BAC, 0, 0.66%, 0.0001821%), (BKNG, 0, 0.64%, 0.0003537%), (BA, 0, 0.64%, 0.0003660%), (KO, 0, 0.64%, 0.0002191%), (NKE, 0, 0.62%, 0.0006770%), (PM, 0, 0.62%, 0.0002428%), (AMD, 0, 0.62%, 0.0002327%), (SO, 0, 0.61%, 0.0006020%), (CRM, 0, 0.58%, 0.0002532%), (UBER, 0, 0.57%, 0.0002874%), (DUK, 0, 0.57%, 0.0006010%), (GS, 0, 0.56%, 0.0002564%), (IBM, 0, 0.55%, 0.0002494%), (ISRG, 0, 0.54%, 0.0003292%), (WFC, 0, 0.53%, 0.0002100%), (MET, 0, 0.53%, 0.0010079%), (HON, 0, 0.53%, 0.0003812%), (ETN, 0, 0.51%, 0.0003779%), (PEP, 0, 0.48%, 0.0002439%), (INTU, 0, 0.46%, 0.0002536%), (DE, 0, 0.45%, 0.0003503%), (T, 0, 0.45%, 0.0010455%), (MS, 0, 0.44%, 0.0001904%), (NOW, 0, 0.44%, 0.0002495%), (MRK, 0, 0.43%, 0.0002084%), (TXN, 0, 0.43%, 0.0002337%), (AXP, 0, 0.43%, 0.0001980%), (SPGI, 0, 0.42%, 0.0002569%), (VZ, 0, 0.41%, 0.0002233%), (QCOM, 0, 0.40%, 0.0002396%), (BLK, 0, 0.40%, 0.0002305%), (ACN, 0, 0.40%, 0.0002529%), (ADBE, 0, 0.39%, 0.0002652%), (COP, 0, 0.39%, 0.0003244%), (MDT, 0, 0.38%, 0.0003276%), (UNP, 0, 0.38%, 0.0002908%), (TMO, 0, 0.38%, 0.0002095%), (DIS, 0, 0.37%, 0.0001784%), (C, 0, 0.36%, 0.0002076%), (LMT, 0, 0.35%, 0.0003392%), (SCHW, 0, 0.35%, 0.0002018%), (SBUX, 0, 0.33%, 0.0003427%), (AMGN, 0, 0.31%, 0.0002054%), (MMM, 0, 0.31%, 0.0003816%), (AMAT, 0, 0.31%, 0.0002408%), (CVS, 0, 0.29%, 0.0003248%), (GILD, 0, 0.29%, 0.0002064%), (PFE, 0, 0.29%, 0.0002051%), (TJX, 0, 0.28%, 0.0001901%), (EMR, 0, 0.28%, 0.0003770%), (LOW, 0, 0.27%, 0.0001897%), (MO, 0, 0.27%, 0.0002454%), (DHR, 0, 0.27%, 0.0001873%), (INTC, 0, 0.24%, 0.0002163%), (ELV, 0, 0.23%, 0.0003420%), (CMCSA, 0, 0.22%, 0.0001860%), (MDLZ, 0, 0.20%, 0.0002519%), (BMY, 0, 0.19%, 0.0002050%), (UPS, 0, 0.18%, 0.0002827%), (PYPL, 0, 0.17%, 0.0002626%), (USB, 0, 0.15%, 0.0002025%), (CL, 0, 0.15%, 0.0002243%), (FDX, 0, 0.15%, 0.0002712%), (TGT, 0, 0.08%, 0.0001926%), (nan, 0, -0.01%, 0.0000000%), (nan, 0, -0.01%, 0.0000000%)</t>
  </si>
  <si>
    <t>(GOOGLE, 0, 3.89%, 0.0000392%), (AVGO, 0, 3.21%, 0.0000540%), (META, 0, 2.90%, 0.0000416%), (BRK/B, 0, 2.20%, 0.0000764%), (CSCO, 0, 1.85%, 0.0001617%), (LIN, 0, 1.85%, 0.0001936%), (TSLA, 0, 1.79%, 0.0000364%), (JPM, 0, 1.68%, 0.0000485%), (AMT, 0, 1.62%, 0.0003920%), (XOM, 0, 1.53%, 0.0000757%), (V, 0, 1.48%, 0.0000585%), (MA, 0, 1.18%, 0.0000528%), (LLY, 0, 1.18%, 0.0000402%), (CB, 0, 1.17%, 0.0002574%), (GE, 0, 1.09%, 0.0000895%), (WM, 0, 1.09%, 0.0002815%), (ORCL, 0, 0.94%, 0.0000333%), (NEE, 0, 0.93%, 0.0001399%), (NFLX, 0, 0.92%, 0.0000418%), (UNH, 0, 0.90%, 0.0000780%), (JNJ, 0, 0.87%, 0.0000482%), (PLTR, 0, 0.82%, 0.0000532%), (CVX, 0, 0.82%, 0.0000599%), (PG, 0, 0.81%, 0.0000523%), (WMT, 0, 0.79%, 0.0000242%), (COST, 0, 0.79%, 0.0000445%), (RTX, 0, 0.78%, 0.0000866%), (CAT, 0, 0.77%, 0.0000899%), (MCD, 0, 0.77%, 0.0000809%), (HD, 0, 0.76%, 0.0000439%), (ABBV, 0, 0.75%, 0.0000482%), (ABT, 0, 0.74%, 0.0000766%), (BAC, 0, 0.67%, 0.0000427%), (BKNG, 0, 0.66%, 0.0000838%), (BA, 0, 0.65%, 0.0000858%), (KO, 0, 0.65%, 0.0000514%), (NKE, 0, 0.63%, 0.0001587%), (PM, 0, 0.63%, 0.0000569%), (AMD, 0, 0.62%, 0.0000545%), (SO, 0, 0.61%, 0.0001412%), (CRM, 0, 0.58%, 0.0000593%), (UBER, 0, 0.58%, 0.0000674%), (DUK, 0, 0.57%, 0.0001409%), (GS, 0, 0.57%, 0.0000600%), (IBM, 0, 0.56%, 0.0000584%), (ISRG, 0, 0.55%, 0.0000773%), (WFC, 0, 0.54%, 0.0000492%), (MET, 0, 0.54%, 0.0002362%), (HON, 0, 0.54%, 0.0000893%), (ETN, 0, 0.51%, 0.0000886%), (PEP, 0, 0.49%, 0.0000572%), (INTU, 0, 0.47%, 0.0000595%), (DE, 0, 0.46%, 0.0000821%), (T, 0, 0.46%, 0.0002451%), (MS, 0, 0.45%, 0.0000447%), (NOW, 0, 0.45%, 0.0000587%), (MRK, 0, 0.44%, 0.0000488%), (TXN, 0, 0.44%, 0.0000548%), (AXP, 0, 0.44%, 0.0000465%), (SPGI, 0, 0.43%, 0.0000601%), (VZ, 0, 0.41%, 0.0000523%), (QCOM, 0, 0.41%, 0.0000562%), (BLK, 0, 0.41%, 0.0000542%), (ACN, 0, 0.40%, 0.0000592%), (ADBE, 0, 0.39%, 0.0000621%), (COP, 0, 0.39%, 0.0000761%), (MDT, 0, 0.39%, 0.0000768%), (UNP, 0, 0.38%, 0.0000681%), (TMO, 0, 0.38%, 0.0000490%), (DIS, 0, 0.38%, 0.0000418%), (C, 0, 0.36%, 0.0000487%), (SCHW, 0, 0.35%, 0.0000473%), (LMT, 0, 0.35%, 0.0000795%), (SBUX, 0, 0.34%, 0.0000803%), (AMGN, 0, 0.32%, 0.0000481%), (MMM, 0, 0.32%, 0.0000894%), (AMAT, 0, 0.31%, 0.0000565%), (GILD, 0, 0.29%, 0.0000484%), (CVS, 0, 0.29%, 0.0000761%), (PFE, 0, 0.29%, 0.0000481%), (TJX, 0, 0.29%, 0.0000446%), (EMR, 0, 0.28%, 0.0000883%), (LOW, 0, 0.27%, 0.0000444%), (MO, 0, 0.27%, 0.0000575%), (DHR, 0, 0.27%, 0.0000439%), (INTC, 0, 0.24%, 0.0000506%), (ELV, 0, 0.23%, 0.0000801%), (CMCSA, 0, 0.23%, 0.0000436%), (MDLZ, 0, 0.20%, 0.0000591%), (BMY, 0, 0.20%, 0.0000480%), (UPS, 0, 0.18%, 0.0000663%), (PYPL, 0, 0.17%, 0.0000616%), (USB, 0, 0.15%, 0.0000475%), (CL, 0, 0.15%, 0.0000526%), (FDX, 0, 0.15%, 0.0000636%), (TGT, 0, 0.08%, 0.0000451%), (nan, 0, -0.01%, 0.0000000%), (nan, 0, -0.01%, 0.0000000%)</t>
  </si>
  <si>
    <t>(GOOGLE, 0, 3.69%, 0.0000688%), (AVGO, 0, 3.05%, 0.0000946%), (META, 0, 2.75%, 0.0000729%), (BRK/B, 0, 2.09%, 0.0001340%), (CSCO, 0, 1.76%, 0.0002837%), (LIN, 0, 1.76%, 0.0003399%), (TSLA, 0, 1.70%, 0.0000639%), (JPM, 0, 1.60%, 0.0000851%), (AMT, 0, 1.54%, 0.0006876%), (XOM, 0, 1.45%, 0.0001328%), (V, 0, 1.41%, 0.0001025%), (LLY, 0, 1.13%, 0.0000706%), (MA, 0, 1.13%, 0.0000927%), (CB, 0, 1.11%, 0.0004513%), (GE, 0, 1.04%, 0.0001570%), (WM, 0, 1.03%, 0.0004940%), (ORCL, 0, 0.90%, 0.0000584%), (NEE, 0, 0.88%, 0.0002455%), (NFLX, 0, 0.87%, 0.0000734%), (UNH, 0, 0.86%, 0.0001369%), (JNJ, 0, 0.83%, 0.0000845%), (PLTR, 0, 0.78%, 0.0000934%), (CVX, 0, 0.78%, 0.0001052%), (PG, 0, 0.77%, 0.0000917%), (WMT, 0, 0.75%, 0.0000425%), (COST, 0, 0.75%, 0.0000781%), (RTX, 0, 0.75%, 0.0001519%), (CAT, 0, 0.73%, 0.0001577%), (MCD, 0, 0.73%, 0.0001420%), (HD, 0, 0.72%, 0.0000770%), (ABBV, 0, 0.72%, 0.0000846%), (ABT, 0, 0.71%, 0.0001344%), (BAC, 0, 0.64%, 0.0000749%), (BKNG, 0, 0.62%, 0.0001458%), (BA, 0, 0.61%, 0.0001505%), (KO, 0, 0.61%, 0.0000901%), (NKE, 0, 0.60%, 0.0002784%), (PM, 0, 0.60%, 0.0000998%), (AMD, 0, 0.59%, 0.0000957%), (SO, 0, 0.58%, 0.0002476%), (CRM, 0, 0.56%, 0.0001041%), (UBER, 0, 0.55%, 0.0001182%), (DUK, 0, 0.55%, 0.0002471%), (GS, 0, 0.54%, 0.0001054%), (IBM, 0, 0.54%, 0.0001026%), (ISRG, 0, 0.52%, 0.0001354%), (WFC, 0, 0.52%, 0.0000863%), (MET, 0, 0.51%, 0.0004144%), (HON, 0, 0.51%, 0.0001567%), (ETN, 0, 0.49%, 0.0001554%), (PEP, 0, 0.46%, 0.0001003%), (INTU, 0, 0.44%, 0.0001044%), (DE, 0, 0.44%, 0.0001439%), (T, 0, 0.43%, 0.0004299%), (MS, 0, 0.43%, 0.0000783%), (NOW, 0, 0.43%, 0.0001029%), (MRK, 0, 0.42%, 0.0000857%), (AXP, 0, 0.41%, 0.0000814%), (TXN, 0, 0.41%, 0.0000961%), (SPGI, 0, 0.41%, 0.0001057%), (VZ, 0, 0.39%, 0.0000918%), (QCOM, 0, 0.39%, 0.0000985%), (BLK, 0, 0.39%, 0.0000949%), (ACN, 0, 0.38%, 0.0001040%), (ADBE, 0, 0.37%, 0.0001089%), (COP, 0, 0.37%, 0.0001334%), (MDT, 0, 0.37%, 0.0001347%), (TMO, 0, 0.36%, 0.0000862%), (UNP, 0, 0.36%, 0.0001195%), (DIS, 0, 0.36%, 0.0000734%), (C, 0, 0.35%, 0.0000853%), (LMT, 0, 0.34%, 0.0001396%), (SCHW, 0, 0.34%, 0.0000830%), (SBUX, 0, 0.32%, 0.0001409%), (AMGN, 0, 0.30%, 0.0000845%), (MMM, 0, 0.30%, 0.0001568%), (AMAT, 0, 0.30%, 0.0000990%), (CVS, 0, 0.28%, 0.0001336%), (GILD, 0, 0.28%, 0.0000849%), (PFE, 0, 0.28%, 0.0000843%), (TJX, 0, 0.27%, 0.0000782%), (EMR, 0, 0.27%, 0.0001551%), (LOW, 0, 0.26%, 0.0000781%), (MO, 0, 0.26%, 0.0001009%), (DHR, 0, 0.26%, 0.0000770%), (INTC, 0, 0.23%, 0.0000887%), (ELV, 0, 0.22%, 0.0001404%), (CMCSA, 0, 0.22%, 0.0000765%), (MDLZ, 0, 0.19%, 0.0001036%), (BMY, 0, 0.19%, 0.0000843%), (UPS, 0, 0.17%, 0.0001163%), (PYPL, 0, 0.16%, 0.0001079%), (USB, 0, 0.14%, 0.0000833%), (CL, 0, 0.14%, 0.0000923%), (FDX, 0, 0.14%, 0.0001115%), (TGT, 0, 0.08%, 0.0000792%), (nan, 0, -0.01%, 0.0000000%), (nan, 0, -0.01%, 0.0000000%)</t>
  </si>
  <si>
    <t>(GOOGLE, 0, 3.77%, 0.0000249%), (AVGO, 0, 3.12%, 0.0000342%), (META, 0, 2.81%, 0.0000264%), (BRK/B, 0, 2.13%, 0.0000484%), (CSCO, 0, 1.80%, 0.0001025%), (LIN, 0, 1.80%, 0.0001227%), (TSLA, 0, 1.74%, 0.0000231%), (JPM, 0, 1.64%, 0.0000307%), (AMT, 0, 1.57%, 0.0002484%), (XOM, 0, 1.48%, 0.0000480%), (V, 0, 1.44%, 0.0000370%), (MA, 0, 1.15%, 0.0000334%), (LLY, 0, 1.14%, 0.0000255%), (CB, 0, 1.14%, 0.0001631%), (GE, 0, 1.06%, 0.0000568%), (WM, 0, 1.05%, 0.0001785%), (ORCL, 0, 0.92%, 0.0000211%), (NEE, 0, 0.90%, 0.0000887%), (NFLX, 0, 0.89%, 0.0000264%), (UNH, 0, 0.88%, 0.0000495%), (JNJ, 0, 0.85%, 0.0000305%), (PLTR, 0, 0.80%, 0.0000338%), (CVX, 0, 0.80%, 0.0000380%), (PG, 0, 0.79%, 0.0000332%), (COST, 0, 0.77%, 0.0000282%), (WMT, 0, 0.77%, 0.0000154%), (RTX, 0, 0.76%, 0.0000549%), (CAT, 0, 0.75%, 0.0000570%), (MCD, 0, 0.74%, 0.0000513%), (HD, 0, 0.73%, 0.0000278%), (ABBV, 0, 0.73%, 0.0000306%), (ABT, 0, 0.72%, 0.0000485%), (BAC, 0, 0.65%, 0.0000271%), (BKNG, 0, 0.63%, 0.0000527%), (BA, 0, 0.63%, 0.0000543%), (KO, 0, 0.63%, 0.0000325%), (NKE, 0, 0.61%, 0.0001006%), (PM, 0, 0.61%, 0.0000361%), (AMD, 0, 0.61%, 0.0000346%), (SO, 0, 0.60%, 0.0000894%), (CRM, 0, 0.57%, 0.0000376%), (UBER, 0, 0.56%, 0.0000427%), (DUK, 0, 0.56%, 0.0000893%), (GS, 0, 0.56%, 0.0000380%), (IBM, 0, 0.55%, 0.0000370%), (ISRG, 0, 0.53%, 0.0000488%), (WFC, 0, 0.53%, 0.0000312%), (MET, 0, 0.53%, 0.0001498%), (HON, 0, 0.52%, 0.0000567%), (ETN, 0, 0.50%, 0.0000563%), (PEP, 0, 0.47%, 0.0000363%), (INTU, 0, 0.45%, 0.0000377%), (DE, 0, 0.45%, 0.0000522%), (T, 0, 0.44%, 0.0001554%), (MS, 0, 0.44%, 0.0000283%), (NOW, 0, 0.43%, 0.0000370%), (MRK, 0, 0.43%, 0.0000309%), (AXP, 0, 0.42%, 0.0000295%), (TXN, 0, 0.42%, 0.0000347%), (SPGI, 0, 0.42%, 0.0000383%), (VZ, 0, 0.40%, 0.0000332%), (QCOM, 0, 0.40%, 0.0000356%), (BLK, 0, 0.39%, 0.0000342%), (ACN, 0, 0.39%, 0.0000376%), (ADBE, 0, 0.38%, 0.0000394%), (COP, 0, 0.38%, 0.0000482%), (MDT, 0, 0.37%, 0.0000486%), (TMO, 0, 0.37%, 0.0000311%), (UNP, 0, 0.37%, 0.0000432%), (DIS, 0, 0.37%, 0.0000265%), (C, 0, 0.35%, 0.0000309%), (LMT, 0, 0.35%, 0.0000506%), (SCHW, 0, 0.34%, 0.0000300%), (SBUX, 0, 0.33%, 0.0000509%), (AMGN, 0, 0.31%, 0.0000305%), (MMM, 0, 0.31%, 0.0000567%), (AMAT, 0, 0.30%, 0.0000358%), (CVS, 0, 0.28%, 0.0000483%), (GILD, 0, 0.28%, 0.0000307%), (PFE, 0, 0.28%, 0.0000305%), (TJX, 0, 0.28%, 0.0000282%), (EMR, 0, 0.27%, 0.0000560%), (LOW, 0, 0.27%, 0.0000282%), (MO, 0, 0.26%, 0.0000365%), (DHR, 0, 0.26%, 0.0000279%), (INTC, 0, 0.24%, 0.0000321%), (ELV, 0, 0.23%, 0.0000508%), (CMCSA, 0, 0.22%, 0.0000276%), (MDLZ, 0, 0.20%, 0.0000374%), (BMY, 0, 0.19%, 0.0000305%), (UPS, 0, 0.18%, 0.0000420%), (PYPL, 0, 0.17%, 0.0000390%), (USB, 0, 0.15%, 0.0000301%), (CL, 0, 0.15%, 0.0000334%), (FDX, 0, 0.14%, 0.0000403%), (TGT, 0, 0.08%, 0.0000286%), (nan, 0, -0.01%, 0.0000000%), (nan, 0, -0.01%, 0.0000000%)</t>
  </si>
  <si>
    <t>(GOOGLE, 0, 3.99%, 0.0000595%), (AVGO, 0, 3.30%, 0.0000818%), (META, 0, 2.97%, 0.0000630%), (BRK/B, 0, 2.26%, 0.0001158%), (LIN, 0, 1.91%, 0.0002938%), (CSCO, 0, 1.91%, 0.0002453%), (TSLA, 0, 1.84%, 0.0000552%), (JPM, 0, 1.73%, 0.0000735%), (AMT, 0, 1.66%, 0.0005947%), (XOM, 0, 1.57%, 0.0001148%), (V, 0, 1.52%, 0.0000887%), (MA, 0, 1.22%, 0.0000801%), (LLY, 0, 1.21%, 0.0000610%), (CB, 0, 1.20%, 0.0003903%), (GE, 0, 1.12%, 0.0001358%), (WM, 0, 1.12%, 0.0004272%), (ORCL, 0, 0.97%, 0.0000505%), (NEE, 0, 0.95%, 0.0002122%), (NFLX, 0, 0.94%, 0.0000635%), (UNH, 0, 0.93%, 0.0001183%), (JNJ, 0, 0.90%, 0.0000731%), (PLTR, 0, 0.84%, 0.0000808%), (CVX, 0, 0.84%, 0.0000909%), (PG, 0, 0.83%, 0.0000793%), (WMT, 0, 0.81%, 0.0000368%), (COST, 0, 0.81%, 0.0000675%), (RTX, 0, 0.81%, 0.0001314%), (CAT, 0, 0.79%, 0.0001364%), (MCD, 0, 0.79%, 0.0001228%), (HD, 0, 0.78%, 0.0000666%), (ABBV, 0, 0.78%, 0.0000732%), (ABT, 0, 0.76%, 0.0001162%), (BAC, 0, 0.69%, 0.0000647%), (BA, 0, 0.66%, 0.0001301%), (KO, 0, 0.66%, 0.0000779%), (BKNG, 0, 0.66%, 0.0001241%), (NKE, 0, 0.65%, 0.0002407%), (PM, 0, 0.65%, 0.0000863%), (AMD, 0, 0.64%, 0.0000828%), (SO, 0, 0.63%, 0.0002141%), (CRM, 0, 0.60%, 0.0000900%), (UBER, 0, 0.59%, 0.0001022%), (DUK, 0, 0.59%, 0.0002138%), (GS, 0, 0.59%, 0.0000914%), (IBM, 0, 0.58%, 0.0000887%), (ISRG, 0, 0.57%, 0.0001171%), (WFC, 0, 0.56%, 0.0000747%), (MET, 0, 0.56%, 0.0003583%), (HON, 0, 0.55%, 0.0001356%), (ETN, 0, 0.53%, 0.0001343%), (PEP, 0, 0.50%, 0.0000867%), (INTU, 0, 0.48%, 0.0000900%), (DE, 0, 0.47%, 0.0001247%), (T, 0, 0.47%, 0.0003718%), (MS, 0, 0.46%, 0.0000677%), (NOW, 0, 0.46%, 0.0000889%), (MRK, 0, 0.45%, 0.0000741%), (TXN, 0, 0.45%, 0.0000831%), (AXP, 0, 0.45%, 0.0000704%), (SPGI, 0, 0.44%, 0.0000915%), (VZ, 0, 0.42%, 0.0000794%), (QCOM, 0, 0.42%, 0.0000852%), (BLK, 0, 0.42%, 0.0000820%), (ACN, 0, 0.41%, 0.0000899%), (ADBE, 0, 0.40%, 0.0000944%), (COP, 0, 0.40%, 0.0001154%), (MDT, 0, 0.40%, 0.0001165%), (UNP, 0, 0.39%, 0.0001035%), (TMO, 0, 0.39%, 0.0000745%), (DIS, 0, 0.39%, 0.0000634%), (C, 0, 0.37%, 0.0000738%), (SCHW, 0, 0.36%, 0.0000718%), (LMT, 0, 0.36%, 0.0001206%), (SBUX, 0, 0.35%, 0.0001218%), (AMGN, 0, 0.33%, 0.0000730%), (MMM, 0, 0.32%, 0.0001357%), (AMAT, 0, 0.32%, 0.0000856%), (GILD, 0, 0.30%, 0.0000734%), (CVS, 0, 0.30%, 0.0001155%), (PFE, 0, 0.30%, 0.0000729%), (TJX, 0, 0.30%, 0.0000677%), (EMR, 0, 0.29%, 0.0001342%), (LOW, 0, 0.28%, 0.0000676%), (MO, 0, 0.28%, 0.0000873%), (DHR, 0, 0.28%, 0.0000665%), (INTC, 0, 0.25%, 0.0000767%), (ELV, 0, 0.24%, 0.0001215%), (CMCSA, 0, 0.23%, 0.0000661%), (MDLZ, 0, 0.21%, 0.0000896%), (BMY, 0, 0.20%, 0.0000729%), (UPS, 0, 0.19%, 0.0001005%), (PYPL, 0, 0.18%, 0.0000934%), (USB, 0, 0.16%, 0.0000720%), (CL, 0, 0.16%, 0.0000798%), (FDX, 0, 0.15%, 0.0000962%), (TGT, 0, 0.09%, 0.0000684%), (nan, 0, -0.01%, 0.0000000%), (nan, 0, -0.01%, 0.0000000%)</t>
  </si>
  <si>
    <t>EBAY, BK, META, MLI, GOOGLE, JPM, MSFT, BKNG, EA, BLK, RJF</t>
  </si>
  <si>
    <t>(PHM, 0, 1.95%, 0.0042064%), (EWBC, 0, 1.92%, 0.0072478%), (AXP, 0, 1.89%, 0.0004731%), (HIG, 0, 1.86%, 0.0027766%), (V, 0, 1.84%, 0.0001701%), (TRV, 0, 1.80%, 0.0016480%), (NVDA, 0, 1.78%, 0.0000222%), (ROST, 0, 1.73%, 0.0019792%), (SNA, 0, 1.72%, 0.0055396%), (ADP, 0, 1.70%, 0.0007633%), (PCAR, 0, 1.66%, 0.0017399%), (AMAT, 0, 1.65%, 0.0006949%), (SYF, 0, 1.65%, 0.0033504%), (LEN, 0, 1.65%, 0.0030478%), (KLAC, 0, 1.64%, 0.0007778%), (UNM, 0, 1.64%, 0.0076324%), (CB, 0, 1.61%, 0.0008284%), (CTSH, 0, 1.52%, 0.0024196%), (WSM, 0, 1.47%, 0.0033549%), (CRM, 0, 1.46%, 0.0003477%), (PAYC, 0, 1.45%, 0.0061078%), (BKR, 0, 1.38%, 0.0017416%), (DHI, 0, 1.38%, 0.0015393%), (QCOM, 0, 1.34%, 0.0004320%), (ACN, 0, 1.27%, 0.0004420%), (AFL, 0, 1.25%, 0.0011935%), (AAPL, 0, 1.25%, 0.0000204%), (ELV, 0, 1.24%, 0.0009958%), (MPWR, 0, 1.14%, 0.0015410%), (LRCX, 0, 1.12%, 0.0004740%), (ODFL, 0, 1.11%, 0.0018837%), (CSCO, 0, 1.07%, 0.0002187%), (GE, 0, 1.04%, 0.0001978%), (STT, 0, 1.01%, 0.0017156%), (PNC, 0, 0.95%, 0.0006516%), (MTB, 0, 0.92%, 0.0016592%), (AMP, 0, 0.87%, 0.0010042%), (CF, 0, 0.86%, 0.0033814%), (ABT, 0, 0.82%, 0.0001984%), (COST, 0, 0.82%, 0.0001081%), (XOM, 0, 0.81%, 0.0000941%), (EOG, 0, 0.79%, 0.0006610%), (CSL, 0, 0.76%, 0.0025703%), (EG, 0, 0.74%, 0.0028905%), (GEV, 0, 0.55%, 0.0001802%), (NTRS, 0, 0.53%, 0.0011760%), (MA, 0, 0.50%, 0.0000521%), (CRBG, 0, 0.48%, 0.0014186%), (ACM, 0, 0.48%, 0.0015886%), (JNJ, 0, 0.48%, 0.0000618%), (LNC, 0, 0.47%, 0.0032026%), (JXN, 0, 0.45%, 0.0036051%), (WTFC, 0, 0.44%, 0.0026765%), (MTG, 0, 0.44%, 0.0039063%), (CINF, 0, 0.43%, 0.0009915%), (DOV, 0, 0.43%, 0.0009486%), (EQH, 0, 0.42%, 0.0014396%), (ADM, 0, 0.42%, 0.0007709%), (SLM, 0, 0.41%, 0.0035176%), (ALL, 0, 0.41%, 0.0004182%), (NUE, 0, 0.40%, 0.0006478%), (MCK, 0, 0.40%, 0.0002581%), (NKE, 0, 0.39%, 0.0002279%), (PGR, 0, 0.36%, 0.0001383%), (FANG, 0, 0.30%, 0.0004000%)</t>
  </si>
  <si>
    <t>(GOOGLE, 0, 3.65%, 0.0000633%), (AVGO, 0, 3.02%, 0.0000871%), (META, 0, 2.72%, 0.0000670%), (BRK/B, 0, 2.07%, 0.0001232%), (CSCO, 0, 1.74%, 0.0002610%), (LIN, 0, 1.74%, 0.0003125%), (TSLA, 0, 1.69%, 0.0000588%), (JPM, 0, 1.59%, 0.0000782%), (AMT, 0, 1.52%, 0.0006325%), (XOM, 0, 1.44%, 0.0001221%), (V, 0, 1.39%, 0.0000943%), (MA, 0, 1.11%, 0.0000853%), (LLY, 0, 1.11%, 0.0000648%), (CB, 0, 1.10%, 0.0004152%), (GE, 0, 1.03%, 0.0001445%), (WM, 0, 1.02%, 0.0004542%), (ORCL, 0, 0.89%, 0.0000538%), (NEE, 0, 0.87%, 0.0002258%), (NFLX, 0, 0.86%, 0.0000675%), (UNH, 0, 0.85%, 0.0001260%), (JNJ, 0, 0.82%, 0.0000778%), (PLTR, 0, 0.77%, 0.0000860%), (CVX, 0, 0.77%, 0.0000967%), (PG, 0, 0.76%, 0.0000844%), (WMT, 0, 0.74%, 0.0000391%), (COST, 0, 0.74%, 0.0000718%), (RTX, 0, 0.74%, 0.0001398%), (CAT, 0, 0.73%, 0.0001452%), (MCD, 0, 0.72%, 0.0001306%), (HD, 0, 0.71%, 0.0000708%), (ABBV, 0, 0.71%, 0.0000778%), (ABT, 0, 0.70%, 0.0001236%), (BAC, 0, 0.63%, 0.0000689%), (BA, 0, 0.61%, 0.0001384%), (BKNG, 0, 0.61%, 0.0001334%), (KO, 0, 0.61%, 0.0000829%), (NKE, 0, 0.59%, 0.0002561%), (PM, 0, 0.59%, 0.0000919%), (AMD, 0, 0.59%, 0.0000880%), (SO, 0, 0.58%, 0.0002277%), (CRM, 0, 0.55%, 0.0000958%), (UBER, 0, 0.54%, 0.0001087%), (DUK, 0, 0.54%, 0.0002273%), (GS, 0, 0.54%, 0.0000970%), (IBM, 0, 0.53%, 0.0000944%), (ISRG, 0, 0.52%, 0.0001244%), (WFC, 0, 0.51%, 0.0000794%), (MET, 0, 0.51%, 0.0003812%), (HON, 0, 0.50%, 0.0001441%), (ETN, 0, 0.48%, 0.0001428%), (PEP, 0, 0.46%, 0.0000923%), (INTU, 0, 0.44%, 0.0000958%), (DE, 0, 0.43%, 0.0001324%), (T, 0, 0.43%, 0.0003955%), (MS, 0, 0.42%, 0.0000720%), (NOW, 0, 0.42%, 0.0000942%), (MRK, 0, 0.41%, 0.0000788%), (TXN, 0, 0.41%, 0.0000884%), (AXP, 0, 0.41%, 0.0000749%), (SPGI, 0, 0.40%, 0.0000971%), (VZ, 0, 0.39%, 0.0000845%), (QCOM, 0, 0.38%, 0.0000906%), (BLK, 0, 0.38%, 0.0000872%), (ACN, 0, 0.38%, 0.0000957%), (ADBE, 0, 0.37%, 0.0001003%), (COP, 0, 0.37%, 0.0001227%), (MDT, 0, 0.36%, 0.0001239%), (UNP, 0, 0.36%, 0.0001101%), (TMO, 0, 0.36%, 0.0000793%), (DIS, 0, 0.35%, 0.0000675%), (C, 0, 0.34%, 0.0000785%), (SCHW, 0, 0.33%, 0.0000764%), (LMT, 0, 0.33%, 0.0001284%), (SBUX, 0, 0.32%, 0.0001297%), (AMGN, 0, 0.30%, 0.0000776%), (MMM, 0, 0.30%, 0.0001444%), (AMAT, 0, 0.29%, 0.0000911%), (CVS, 0, 0.28%, 0.0001229%), (GILD, 0, 0.28%, 0.0000781%), (PFE, 0, 0.27%, 0.0000776%), (TJX, 0, 0.27%, 0.0000719%), (EMR, 0, 0.26%, 0.0001427%), (LOW, 0, 0.26%, 0.0000719%), (MO, 0, 0.26%, 0.0000928%), (DHR, 0, 0.26%, 0.0000708%), (INTC, 0, 0.23%, 0.0000816%), (ELV, 0, 0.22%, 0.0001291%), (CMCSA, 0, 0.21%, 0.0000704%), (MDLZ, 0, 0.19%, 0.0000953%), (BMY, 0, 0.18%, 0.0000776%), (UPS, 0, 0.17%, 0.0001069%), (PYPL, 0, 0.16%, 0.0000993%), (USB, 0, 0.14%, 0.0000766%), (CL, 0, 0.14%, 0.0000849%), (FDX, 0, 0.14%, 0.0001026%), (TGT, 0, 0.08%, 0.0000728%), (nan, 0, -0.01%, 0.0000000%), (nan, 0, -0.01%, 0.0000000%)</t>
  </si>
  <si>
    <t>(GOOGLE, 0, 3.82%, 0.0001293%), (AVGO, 0, 3.16%, 0.0001779%), (META, 0, 2.85%, 0.0001371%), (BRK/B, 0, 2.16%, 0.0002519%), (CSCO, 0, 1.83%, 0.0005334%), (LIN, 0, 1.83%, 0.0006388%), (TSLA, 0, 1.77%, 0.0001201%), (JPM, 0, 1.66%, 0.0001599%), (AMT, 0, 1.59%, 0.0012928%), (XOM, 0, 1.50%, 0.0002497%), (V, 0, 1.46%, 0.0001927%), (MA, 0, 1.17%, 0.0001742%), (LLY, 0, 1.16%, 0.0001326%), (CB, 0, 1.15%, 0.0008487%), (GE, 0, 1.08%, 0.0002952%), (WM, 0, 1.07%, 0.0009286%), (ORCL, 0, 0.93%, 0.0001099%), (NEE, 0, 0.91%, 0.0004615%), (NFLX, 0, 0.91%, 0.0001381%), (UNH, 0, 0.89%, 0.0002573%), (JNJ, 0, 0.86%, 0.0001590%), (PLTR, 0, 0.81%, 0.0001757%), (CVX, 0, 0.81%, 0.0001977%), (PG, 0, 0.80%, 0.0001725%), (COST, 0, 0.78%, 0.0001469%), (WMT, 0, 0.78%, 0.0000800%), (RTX, 0, 0.77%, 0.0002857%), (CAT, 0, 0.76%, 0.0002965%), (MCD, 0, 0.76%, 0.0002668%), (HD, 0, 0.75%, 0.0001448%), (ABBV, 0, 0.74%, 0.0001591%), (ABT, 0, 0.73%, 0.0002527%), (BAC, 0, 0.66%, 0.0001408%), (BA, 0, 0.64%, 0.0002830%), (BKNG, 0, 0.64%, 0.0002730%), (KO, 0, 0.64%, 0.0001694%), (NKE, 0, 0.62%, 0.0005235%), (PM, 0, 0.62%, 0.0001877%), (AMD, 0, 0.62%, 0.0001799%), (SO, 0, 0.61%, 0.0004655%), (CRM, 0, 0.58%, 0.0001958%), (UBER, 0, 0.57%, 0.0002222%), (DUK, 0, 0.57%, 0.0004646%), (GS, 0, 0.56%, 0.0001984%), (IBM, 0, 0.55%, 0.0001928%), (ISRG, 0, 0.54%, 0.0002544%), (WFC, 0, 0.53%, 0.0001624%), (MET, 0, 0.53%, 0.0007792%), (HON, 0, 0.53%, 0.0002947%), (ETN, 0, 0.51%, 0.0002921%), (PEP, 0, 0.48%, 0.0001886%), (INTU, 0, 0.46%, 0.0001958%), (DE, 0, 0.45%, 0.0002708%), (T, 0, 0.45%, 0.0008083%), (MS, 0, 0.44%, 0.0001472%), (NOW, 0, 0.44%, 0.0001933%), (MRK, 0, 0.43%, 0.0001611%), (TXN, 0, 0.43%, 0.0001806%), (AXP, 0, 0.43%, 0.0001530%), (SPGI, 0, 0.42%, 0.0001988%), (VZ, 0, 0.41%, 0.0001727%), (QCOM, 0, 0.40%, 0.0001853%), (BLK, 0, 0.40%, 0.0001782%), (ACN, 0, 0.39%, 0.0001956%), (ADBE, 0, 0.39%, 0.0002050%), (COP, 0, 0.39%, 0.0002509%), (MDT, 0, 0.38%, 0.0002533%), (TMO, 0, 0.38%, 0.0001621%), (UNP, 0, 0.38%, 0.0002249%), (DIS, 0, 0.37%, 0.0001379%), (C, 0, 0.36%, 0.0001605%), (LMT, 0, 0.35%, 0.0002623%), (SCHW, 0, 0.35%, 0.0001560%), (SBUX, 0, 0.33%, 0.0002650%), (AMGN, 0, 0.31%, 0.0001588%), (MMM, 0, 0.31%, 0.0002950%), (AMAT, 0, 0.31%, 0.0001862%), (CVS, 0, 0.29%, 0.0002511%), (GILD, 0, 0.29%, 0.0001597%), (PFE, 0, 0.29%, 0.0001586%), (TJX, 0, 0.28%, 0.0001470%), (EMR, 0, 0.28%, 0.0002916%), (LOW, 0, 0.27%, 0.0001467%), (MO, 0, 0.27%, 0.0001898%), (DHR, 0, 0.27%, 0.0001448%), (INTC, 0, 0.24%, 0.0001668%), (ELV, 0, 0.23%, 0.0002646%), (CMCSA, 0, 0.22%, 0.0001438%), (MDLZ, 0, 0.20%, 0.0001948%), (BMY, 0, 0.19%, 0.0001585%), (UPS, 0, 0.18%, 0.0002186%), (PYPL, 0, 0.17%, 0.0002030%), (USB, 0, 0.15%, 0.0001566%), (CL, 0, 0.15%, 0.0001734%), (FDX, 0, 0.15%, 0.0002098%), (TGT, 0, 0.08%, 0.0001490%), (nan, 0, -0.01%, 0.0000000%), (nan, 0, -0.01%, 0.0000000%)</t>
  </si>
  <si>
    <t>(GOOGLE, 0, 3.61%, 0.0002593%), (AVGO, 0, 2.98%, 0.0003567%), (META, 0, 2.69%, 0.0002748%), (BRK/B, 0, 2.04%, 0.0005050%), (LIN, 0, 1.72%, 0.0012809%), (CSCO, 0, 1.72%, 0.0010693%), (TSLA, 0, 1.66%, 0.0002408%), (JPM, 0, 1.56%, 0.0003206%), (AMT, 0, 1.50%, 0.0025917%), (XOM, 0, 1.42%, 0.0005005%), (V, 0, 1.37%, 0.0003864%), (MA, 0, 1.10%, 0.0003493%), (LLY, 0, 1.09%, 0.0002658%), (CB, 0, 1.09%, 0.0017014%), (GE, 0, 1.01%, 0.0005920%), (WM, 0, 1.01%, 0.0018617%), (ORCL, 0, 0.88%, 0.0002203%), (NEE, 0, 0.86%, 0.0009252%), (NFLX, 0, 0.85%, 0.0002768%), (UNH, 0, 0.84%, 0.0005160%), (JNJ, 0, 0.81%, 0.0003187%), (PLTR, 0, 0.76%, 0.0003522%), (CVX, 0, 0.76%, 0.0003963%), (PG, 0, 0.75%, 0.0003457%), (COST, 0, 0.73%, 0.0002945%), (WMT, 0, 0.73%, 0.0001603%), (RTX, 0, 0.73%, 0.0005727%), (CAT, 0, 0.72%, 0.0005945%), (MCD, 0, 0.71%, 0.0005350%), (HD, 0, 0.70%, 0.0002902%), (ABBV, 0, 0.70%, 0.0003190%), (ABT, 0, 0.69%, 0.0005066%), (BAC, 0, 0.62%, 0.0002822%), (BA, 0, 0.60%, 0.0005674%), (BKNG, 0, 0.60%, 0.0005460%), (KO, 0, 0.60%, 0.0003396%), (NKE, 0, 0.58%, 0.0010493%), (PM, 0, 0.58%, 0.0003764%), (AMD, 0, 0.58%, 0.0003607%), (SO, 0, 0.57%, 0.0009331%), (CRM, 0, 0.54%, 0.0003924%), (UBER, 0, 0.53%, 0.0004454%), (DUK, 0, 0.53%, 0.0009315%), (GS, 0, 0.53%, 0.0003974%), (IBM, 0, 0.52%, 0.0003865%), (ISRG, 0, 0.51%, 0.0005103%), (WFC, 0, 0.50%, 0.0003254%), (MET, 0, 0.50%, 0.0015622%), (HON, 0, 0.50%, 0.0005908%), (ETN, 0, 0.48%, 0.0005857%), (PEP, 0, 0.45%, 0.0003781%), (INTU, 0, 0.43%, 0.0003927%), (DE, 0, 0.43%, 0.0005430%), (T, 0, 0.42%, 0.0016205%), (MS, 0, 0.42%, 0.0002952%), (NOW, 0, 0.41%, 0.0003870%), (MRK, 0, 0.41%, 0.0003230%), (TXN, 0, 0.40%, 0.0003621%), (AXP, 0, 0.40%, 0.0003069%), (SPGI, 0, 0.40%, 0.0003983%), (VZ, 0, 0.38%, 0.0003461%), (QCOM, 0, 0.38%, 0.0003714%), (BLK, 0, 0.38%, 0.0003571%), (ACN, 0, 0.37%, 0.0003921%), (ADBE, 0, 0.36%, 0.0004109%), (COP, 0, 0.36%, 0.0005028%), (MDT, 0, 0.36%, 0.0005078%), (TMO, 0, 0.36%, 0.0003247%), (UNP, 0, 0.36%, 0.0004508%), (DIS, 0, 0.35%, 0.0002765%), (C, 0, 0.34%, 0.0003217%), (LMT, 0, 0.33%, 0.0005259%), (SCHW, 0, 0.33%, 0.0003128%), (SBUX, 0, 0.31%, 0.0005313%), (AMGN, 0, 0.30%, 0.0003184%), (MMM, 0, 0.29%, 0.0005913%), (AMAT, 0, 0.29%, 0.0003732%), (CVS, 0, 0.27%, 0.0005035%), (GILD, 0, 0.27%, 0.0003200%), (PFE, 0, 0.27%, 0.0003179%), (TJX, 0, 0.27%, 0.0002947%), (EMR, 0, 0.26%, 0.0005844%), (LOW, 0, 0.25%, 0.0002942%), (MO, 0, 0.25%, 0.0003804%), (DHR, 0, 0.25%, 0.0002902%), (INTC, 0, 0.23%, 0.0003344%), (ELV, 0, 0.22%, 0.0005301%), (CMCSA, 0, 0.21%, 0.0002883%), (MDLZ, 0, 0.19%, 0.0003905%), (BMY, 0, 0.18%, 0.0003177%), (UPS, 0, 0.17%, 0.0004383%), (PYPL, 0, 0.16%, 0.0004070%), (USB, 0, 0.14%, 0.0003139%), (CL, 0, 0.14%, 0.0003477%), (FDX, 0, 0.14%, 0.0004204%), (TGT, 0, 0.08%, 0.0002986%), (nan, 0, -0.01%, 0.0000000%), (nan, 0, -0.01%, 0.0000000%)</t>
  </si>
  <si>
    <t>(AVGO, 0, 2.95%, 0.0000517%), (META, 0, 2.62%, 0.0000399%), (BRK/B, 0, 2.02%, 0.0000732%), (LIN, 0, 1.69%, 0.0001857%), (CSCO, 0, 1.69%, 0.0001550%), (TSLA, 0, 1.62%, 0.0000349%), (JPM, 0, 1.54%, 0.0000465%), (AMT, 0, 1.44%, 0.0003757%), (XOM, 0, 1.40%, 0.0000726%), (V, 0, 1.34%, 0.0000560%), (MA, 0, 1.08%, 0.0000506%), (CB, 0, 1.07%, 0.0002467%), (LLY, 0, 1.07%, 0.0000385%), (GE, 0, 0.99%, 0.0000858%), (WM, 0, 0.99%, 0.0002701%), (ORCL, 0, 0.87%, 0.0000320%), (NFLX, 0, 0.84%, 0.0000401%), (NEE, 0, 0.83%, 0.0001342%), (UNH, 0, 0.83%, 0.0000748%), (JNJ, 0, 0.79%, 0.0000462%), (CVX, 0, 0.76%, 0.0000575%), (PG, 0, 0.74%, 0.0000501%), (PLTR, 0, 0.73%, 0.0000510%), (COST, 0, 0.73%, 0.0000426%), (WMT, 0, 0.72%, 0.0000232%), (RTX, 0, 0.72%, 0.0000830%), (CAT, 0, 0.71%, 0.0000862%), (MCD, 0, 0.70%, 0.0000776%), (HD, 0, 0.69%, 0.0000421%), (ABBV, 0, 0.69%, 0.0000462%), (ABT, 0, 0.68%, 0.0000734%), (BAC, 0, 0.61%, 0.0000409%), (BA, 0, 0.59%, 0.0000822%), (BKNG, 0, 0.59%, 0.0000807%), (KO, 0, 0.59%, 0.0000492%), (AMD, 0, 0.57%, 0.0000523%), (NKE, 0, 0.57%, 0.0001522%), (PM, 0, 0.56%, 0.0000545%), (SO, 0, 0.56%, 0.0001353%), (CRM, 0, 0.55%, 0.0000569%), (DUK, 0, 0.52%, 0.0001350%), (GS, 0, 0.52%, 0.0000577%), (UBER, 0, 0.52%, 0.0000646%), (IBM, 0, 0.52%, 0.0000561%), (WFC, 0, 0.50%, 0.0000472%), (ISRG, 0, 0.50%, 0.0000739%), (MET, 0, 0.49%, 0.0002265%), (HON, 0, 0.49%, 0.0000857%), (ETN, 0, 0.47%, 0.0000850%), (PEP, 0, 0.45%, 0.0000549%), (INTU, 0, 0.43%, 0.0000570%), (DE, 0, 0.42%, 0.0000788%), (T, 0, 0.42%, 0.0002350%), (NOW, 0, 0.42%, 0.0000562%), (MS, 0, 0.41%, 0.0000428%), (AXP, 0, 0.40%, 0.0000444%), (MRK, 0, 0.40%, 0.0000468%), (TXN, 0, 0.40%, 0.0000525%), (SPGI, 0, 0.39%, 0.0000578%), (VZ, 0, 0.38%, 0.0000502%), (QCOM, 0, 0.37%, 0.0000538%), (ACN, 0, 0.37%, 0.0000568%), (BLK, 0, 0.37%, 0.0000517%), (COP, 0, 0.36%, 0.0000729%), (ADBE, 0, 0.36%, 0.0000595%), (MDT, 0, 0.35%, 0.0000736%), (TMO, 0, 0.35%, 0.0000471%), (UNP, 0, 0.35%, 0.0000654%), (DIS, 0, 0.34%, 0.0000401%), (C, 0, 0.34%, 0.0000467%), (LMT, 0, 0.32%, 0.0000761%), (SCHW, 0, 0.32%, 0.0000453%), (SBUX, 0, 0.31%, 0.0000771%), (AMGN, 0, 0.29%, 0.0000463%), (MMM, 0, 0.29%, 0.0000857%), (AMAT, 0, 0.29%, 0.0000541%), (CVS, 0, 0.27%, 0.0000730%), (PFE, 0, 0.27%, 0.0000461%), (GILD, 0, 0.26%, 0.0000464%), (TJX, 0, 0.26%, 0.0000428%), (EMR, 0, 0.26%, 0.0000848%), (LOW, 0, 0.25%, 0.0000426%), (MO, 0, 0.25%, 0.0000552%), (DHR, 0, 0.25%, 0.0000420%), (INTC, 0, 0.23%, 0.0000485%), (ELV, 0, 0.21%, 0.0000769%), (CMCSA, 0, 0.21%, 0.0000418%), (MDLZ, 0, 0.18%, 0.0000567%), (BMY, 0, 0.18%, 0.0000461%), (UPS, 0, 0.17%, 0.0000636%), (PYPL, 0, 0.16%, 0.0000590%), (USB, 0, 0.14%, 0.0000455%), (CL, 0, 0.14%, 0.0000504%), (FDX, 0, 0.14%, 0.0000610%), (TGT, 0, 0.08%, 0.0000434%), (nan, 0, -0.01%, 0.0000000%), (nan, 0, -0.01%, 0.0000000%)</t>
  </si>
  <si>
    <t>(GOOGLE, 0, 3.85%, 0.0002251%), (AVGO, 0, 3.21%, 0.0003097%), (META, 0, 2.84%, 0.0002385%), (BRK/B, 0, 2.19%, 0.0004384%), (LIN, 0, 1.84%, 0.0011119%), (CSCO, 0, 1.84%, 0.0009283%), (TSLA, 0, 1.76%, 0.0002090%), (JPM, 0, 1.67%, 0.0002783%), (AMT, 0, 1.57%, 0.0022499%), (XOM, 0, 1.53%, 0.0004345%), (V, 0, 1.46%, 0.0003354%), (MA, 0, 1.17%, 0.0003033%), (CB, 0, 1.17%, 0.0014771%), (LLY, 0, 1.16%, 0.0002308%), (GE, 0, 1.08%, 0.0005138%), (WM, 0, 1.08%, 0.0016162%), (ORCL, 0, 0.94%, 0.0001912%), (NFLX, 0, 0.91%, 0.0002405%), (NEE, 0, 0.91%, 0.0008031%), (UNH, 0, 0.90%, 0.0004479%), (JNJ, 0, 0.86%, 0.0002767%), (CVX, 0, 0.82%, 0.0003440%), (PG, 0, 0.81%, 0.0003002%), (PLTR, 0, 0.79%, 0.0003058%), (COST, 0, 0.79%, 0.0002557%), (WMT, 0, 0.78%, 0.0001392%), (RTX, 0, 0.78%, 0.0004972%), (CAT, 0, 0.77%, 0.0005161%), (MCD, 0, 0.76%, 0.0004644%), (HD, 0, 0.75%, 0.0002520%), (ABBV, 0, 0.75%, 0.0002770%), (ABT, 0, 0.74%, 0.0004398%), (BAC, 0, 0.67%, 0.0002450%), (BA, 0, 0.64%, 0.0004926%), (KO, 0, 0.64%, 0.0002948%), (BKNG, 0, 0.63%, 0.0004747%), (AMD, 0, 0.62%, 0.0003131%), (NKE, 0, 0.62%, 0.0009109%), (PM, 0, 0.61%, 0.0003267%), (SO, 0, 0.61%, 0.0008100%), (CRM, 0, 0.59%, 0.0003407%), (DUK, 0, 0.57%, 0.0008086%), (GS, 0, 0.57%, 0.0003451%), (UBER, 0, 0.56%, 0.0003867%), (IBM, 0, 0.56%, 0.0003356%), (WFC, 0, 0.54%, 0.0002825%), (ISRG, 0, 0.54%, 0.0004429%), (MET, 0, 0.54%, 0.0013562%), (HON, 0, 0.53%, 0.0005128%), (ETN, 0, 0.51%, 0.0005083%), (PEP, 0, 0.49%, 0.0003282%), (INTU, 0, 0.46%, 0.0003411%), (DE, 0, 0.46%, 0.0004713%), (T, 0, 0.46%, 0.0014067%), (NOW, 0, 0.45%, 0.0003361%), (MS, 0, 0.45%, 0.0002562%), (AXP, 0, 0.43%, 0.0002664%), (MRK, 0, 0.43%, 0.0002804%), (TXN, 0, 0.43%, 0.0003143%), (SPGI, 0, 0.42%, 0.0003458%), (VZ, 0, 0.41%, 0.0003005%), (QCOM, 0, 0.41%, 0.0003224%), (ACN, 0, 0.40%, 0.0003404%), (BLK, 0, 0.40%, 0.0003100%), (COP, 0, 0.39%, 0.0004365%), (ADBE, 0, 0.39%, 0.0003567%), (MDT, 0, 0.38%, 0.0004408%), (TMO, 0, 0.38%, 0.0002819%), (UNP, 0, 0.38%, 0.0003915%), (DIS, 0, 0.37%, 0.0002400%), (C, 0, 0.36%, 0.0002793%), (LMT, 0, 0.35%, 0.0004564%), (SCHW, 0, 0.35%, 0.0002715%), (SBUX, 0, 0.34%, 0.0004612%), (AMGN, 0, 0.31%, 0.0002764%), (MMM, 0, 0.31%, 0.0005133%), (AMAT, 0, 0.31%, 0.0003240%), (CVS, 0, 0.29%, 0.0004370%), (PFE, 0, 0.29%, 0.0002760%), (GILD, 0, 0.29%, 0.0002778%), (TJX, 0, 0.29%, 0.0002558%), (EMR, 0, 0.28%, 0.0005075%), (LOW, 0, 0.27%, 0.0002553%), (MO, 0, 0.27%, 0.0003303%), (DHR, 0, 0.27%, 0.0002520%), (INTC, 0, 0.25%, 0.0002903%), (ELV, 0, 0.23%, 0.0004603%), (CMCSA, 0, 0.23%, 0.0002503%), (MDLZ, 0, 0.20%, 0.0003390%), (BMY, 0, 0.20%, 0.0002758%), (UPS, 0, 0.18%, 0.0003805%), (PYPL, 0, 0.17%, 0.0003533%), (USB, 0, 0.15%, 0.0002725%), (CL, 0, 0.15%, 0.0003018%), (FDX, 0, 0.15%, 0.0003649%), (TGT, 0, 0.08%, 0.0002592%), (nan, 0, -0.01%, 0.0000000%), (nan, 0, -0.01%, 0.0000000%)</t>
  </si>
  <si>
    <t>(GOOGLE, 0, 3.85%, 0.0001678%), (AVGO, 0, 3.20%, 0.0002308%), (META, 0, 2.84%, 0.0001778%), (BRK/B, 0, 2.19%, 0.0003268%), (LIN, 0, 1.84%, 0.0008288%), (CSCO, 0, 1.83%, 0.0006919%), (TSLA, 0, 1.76%, 0.0001558%), (JPM, 0, 1.67%, 0.0002074%), (AMT, 0, 1.57%, 0.0016770%), (XOM, 0, 1.52%, 0.0003239%), (V, 0, 1.46%, 0.0002500%), (MA, 0, 1.17%, 0.0002260%), (CB, 0, 1.16%, 0.0011010%), (LLY, 0, 1.16%, 0.0001720%), (GE, 0, 1.08%, 0.0003830%), (WM, 0, 1.08%, 0.0012046%), (ORCL, 0, 0.94%, 0.0001426%), (NFLX, 0, 0.91%, 0.0001791%), (NEE, 0, 0.91%, 0.0005986%), (UNH, 0, 0.90%, 0.0003338%), (JNJ, 0, 0.86%, 0.0002062%), (CVX, 0, 0.82%, 0.0002564%), (PG, 0, 0.81%, 0.0002237%), (PLTR, 0, 0.79%, 0.0002279%), (COST, 0, 0.79%, 0.0001904%), (WMT, 0, 0.78%, 0.0001037%), (RTX, 0, 0.78%, 0.0003705%), (CAT, 0, 0.77%, 0.0003846%), (MCD, 0, 0.75%, 0.0003461%), (HD, 0, 0.75%, 0.0001878%), (ABBV, 0, 0.74%, 0.0002064%), (ABT, 0, 0.74%, 0.0003278%), (BAC, 0, 0.67%, 0.0001826%), (BA, 0, 0.64%, 0.0003671%), (KO, 0, 0.64%, 0.0002197%), (BKNG, 0, 0.63%, 0.0003537%), (AMD, 0, 0.62%, 0.0002334%), (NKE, 0, 0.62%, 0.0006790%), (PM, 0, 0.61%, 0.0002435%), (SO, 0, 0.61%, 0.0006038%), (CRM, 0, 0.59%, 0.0002539%), (DUK, 0, 0.57%, 0.0006027%), (GS, 0, 0.57%, 0.0002571%), (UBER, 0, 0.56%, 0.0002882%), (IBM, 0, 0.56%, 0.0002501%), (WFC, 0, 0.54%, 0.0002106%), (ISRG, 0, 0.54%, 0.0003300%), (MET, 0, 0.54%, 0.0010108%), (HON, 0, 0.53%, 0.0003823%), (ETN, 0, 0.51%, 0.0003789%), (PEP, 0, 0.49%, 0.0002446%), (INTU, 0, 0.46%, 0.0002543%), (DE, 0, 0.46%, 0.0003514%), (T, 0, 0.46%, 0.0010485%), (NOW, 0, 0.45%, 0.0002505%), (MS, 0, 0.45%, 0.0001910%), (AXP, 0, 0.43%, 0.0001986%), (MRK, 0, 0.43%, 0.0002090%), (TXN, 0, 0.43%, 0.0002343%), (SPGI, 0, 0.42%, 0.0002576%), (VZ, 0, 0.41%, 0.0002240%), (QCOM, 0, 0.41%, 0.0002403%), (ACN, 0, 0.40%, 0.0002537%), (BLK, 0, 0.40%, 0.0002312%), (COP, 0, 0.39%, 0.0003254%), (ADBE, 0, 0.39%, 0.0002659%), (MDT, 0, 0.38%, 0.0003285%), (TMO, 0, 0.38%, 0.0002100%), (UNP, 0, 0.38%, 0.0002917%), (DIS, 0, 0.37%, 0.0001789%), (C, 0, 0.36%, 0.0002082%), (LMT, 0, 0.35%, 0.0003401%), (SCHW, 0, 0.35%, 0.0002024%), (SBUX, 0, 0.34%, 0.0003437%), (AMGN, 0, 0.31%, 0.0002060%), (MMM, 0, 0.31%, 0.0003827%), (AMAT, 0, 0.31%, 0.0002415%), (CVS, 0, 0.29%, 0.0003257%), (PFE, 0, 0.29%, 0.0002057%), (GILD, 0, 0.29%, 0.0002071%), (TJX, 0, 0.29%, 0.0001907%), (EMR, 0, 0.28%, 0.0003781%), (LOW, 0, 0.27%, 0.0001903%), (MO, 0, 0.27%, 0.0002461%), (DHR, 0, 0.27%, 0.0001879%), (INTC, 0, 0.25%, 0.0002164%), (ELV, 0, 0.23%, 0.0003429%), (CMCSA, 0, 0.23%, 0.0001865%), (MDLZ, 0, 0.20%, 0.0002526%), (BMY, 0, 0.20%, 0.0002056%), (UPS, 0, 0.18%, 0.0002835%), (PYPL, 0, 0.17%, 0.0002633%), (USB, 0, 0.15%, 0.0002031%), (CL, 0, 0.15%, 0.0002250%), (FDX, 0, 0.15%, 0.0002721%), (TGT, 0, 0.08%, 0.0001932%), (nan, 0, -0.01%, 0.0000000%), (nan, 0, -0.01%, 0.0000000%)</t>
  </si>
  <si>
    <t>(GOOGLE, 0, 3.90%, 0.0000393%), (AVGO, 0, 3.24%, 0.0000541%), (META, 0, 2.88%, 0.0000417%), (BRK/B, 0, 2.22%, 0.0000766%), (LIN, 0, 1.86%, 0.0001942%), (CSCO, 0, 1.86%, 0.0001622%), (TSLA, 0, 1.78%, 0.0000365%), (JPM, 0, 1.69%, 0.0000486%), (AMT, 0, 1.59%, 0.0003930%), (XOM, 0, 1.54%, 0.0000759%), (V, 0, 1.48%, 0.0000586%), (MA, 0, 1.18%, 0.0000530%), (CB, 0, 1.18%, 0.0002582%), (LLY, 0, 1.18%, 0.0000403%), (WM, 0, 1.09%, 0.0002825%), (GE, 0, 1.09%, 0.0000898%), (ORCL, 0, 0.95%, 0.0000334%), (NFLX, 0, 0.93%, 0.0000420%), (NEE, 0, 0.92%, 0.0001404%), (UNH, 0, 0.91%, 0.0000783%), (JNJ, 0, 0.88%, 0.0000484%), (CVX, 0, 0.83%, 0.0000601%), (PG, 0, 0.82%, 0.0000525%), (PLTR, 0, 0.80%, 0.0000534%), (COST, 0, 0.80%, 0.0000447%), (WMT, 0, 0.79%, 0.0000243%), (RTX, 0, 0.79%, 0.0000869%), (CAT, 0, 0.78%, 0.0000901%), (MCD, 0, 0.76%, 0.0000811%), (HD, 0, 0.76%, 0.0000440%), (ABBV, 0, 0.76%, 0.0000484%), (ABT, 0, 0.75%, 0.0000768%), (BAC, 0, 0.68%, 0.0000428%), (BA, 0, 0.65%, 0.0000860%), (KO, 0, 0.65%, 0.0000515%), (BKNG, 0, 0.64%, 0.0000838%), (AMD, 0, 0.63%, 0.0000547%), (NKE, 0, 0.62%, 0.0001592%), (PM, 0, 0.62%, 0.0000571%), (SO, 0, 0.62%, 0.0001415%), (CRM, 0, 0.60%, 0.0000596%), (DUK, 0, 0.58%, 0.0001413%), (GS, 0, 0.58%, 0.0000603%), (UBER, 0, 0.57%, 0.0000676%), (IBM, 0, 0.57%, 0.0000586%), (WFC, 0, 0.55%, 0.0000494%), (ISRG, 0, 0.55%, 0.0000773%), (MET, 0, 0.54%, 0.0002370%), (HON, 0, 0.53%, 0.0000896%), (ETN, 0, 0.51%, 0.0000889%), (PEP, 0, 0.49%, 0.0000573%), (INTU, 0, 0.47%, 0.0000595%), (DE, 0, 0.47%, 0.0000825%), (T, 0, 0.46%, 0.0002458%), (NOW, 0, 0.46%, 0.0000587%), (MS, 0, 0.45%, 0.0000448%), (AXP, 0, 0.44%, 0.0000466%), (MRK, 0, 0.44%, 0.0000490%), (TXN, 0, 0.44%, 0.0000549%), (SPGI, 0, 0.43%, 0.0000604%), (VZ, 0, 0.42%, 0.0000525%), (QCOM, 0, 0.41%, 0.0000563%), (BLK, 0, 0.40%, 0.0000542%), (ACN, 0, 0.40%, 0.0000594%), (COP, 0, 0.39%, 0.0000763%), (ADBE, 0, 0.39%, 0.0000624%), (MDT, 0, 0.39%, 0.0000770%), (TMO, 0, 0.38%, 0.0000492%), (UNP, 0, 0.38%, 0.0000684%), (DIS, 0, 0.38%, 0.0000419%), (C, 0, 0.37%, 0.0000488%), (SCHW, 0, 0.35%, 0.0000474%), (LMT, 0, 0.35%, 0.0000799%), (SBUX, 0, 0.34%, 0.0000806%), (AMGN, 0, 0.32%, 0.0000483%), (MMM, 0, 0.32%, 0.0000898%), (AMAT, 0, 0.31%, 0.0000566%), (CVS, 0, 0.29%, 0.0000763%), (PFE, 0, 0.29%, 0.0000482%), (GILD, 0, 0.29%, 0.0000486%), (TJX, 0, 0.29%, 0.0000447%), (EMR, 0, 0.28%, 0.0000887%), (LOW, 0, 0.27%, 0.0000446%), (MO, 0, 0.27%, 0.0000577%), (DHR, 0, 0.27%, 0.0000440%), (INTC, 0, 0.25%, 0.0000507%), (ELV, 0, 0.24%, 0.0000805%), (CMCSA, 0, 0.23%, 0.0000437%), (MDLZ, 0, 0.20%, 0.0000592%), (BMY, 0, 0.20%, 0.0000482%), (UPS, 0, 0.18%, 0.0000664%), (PYPL, 0, 0.17%, 0.0000618%), (USB, 0, 0.15%, 0.0000476%), (CL, 0, 0.15%, 0.0000527%), (FDX, 0, 0.15%, 0.0000636%), (TGT, 0, 0.09%, 0.0000453%), (nan, 0, -0.01%, 0.0000000%), (nan, 0, -0.01%, 0.0000000%)</t>
  </si>
  <si>
    <t>(GOOGLE, 0, 3.70%, 0.0000689%), (AVGO, 0, 3.08%, 0.0000948%), (META, 0, 2.73%, 0.0000731%), (BRK/B, 0, 2.11%, 0.0001343%), (LIN, 0, 1.77%, 0.0003405%), (CSCO, 0, 1.77%, 0.0002843%), (TSLA, 0, 1.69%, 0.0000640%), (JPM, 0, 1.61%, 0.0000852%), (AMT, 0, 1.51%, 0.0006889%), (XOM, 0, 1.47%, 0.0001330%), (V, 0, 1.40%, 0.0001027%), (MA, 0, 1.13%, 0.0000929%), (LLY, 0, 1.12%, 0.0000707%), (CB, 0, 1.12%, 0.0004523%), (GE, 0, 1.04%, 0.0001574%), (WM, 0, 1.04%, 0.0004950%), (ORCL, 0, 0.90%, 0.0000586%), (NFLX, 0, 0.87%, 0.0000736%), (NEE, 0, 0.87%, 0.0002459%), (UNH, 0, 0.87%, 0.0001371%), (JNJ, 0, 0.83%, 0.0000847%), (CVX, 0, 0.79%, 0.0001054%), (PG, 0, 0.78%, 0.0000919%), (PLTR, 0, 0.76%, 0.0000936%), (COST, 0, 0.76%, 0.0000783%), (WMT, 0, 0.75%, 0.0000426%), (RTX, 0, 0.75%, 0.0001522%), (CAT, 0, 0.74%, 0.0001580%), (MCD, 0, 0.73%, 0.0001422%), (HD, 0, 0.72%, 0.0000772%), (ABBV, 0, 0.72%, 0.0000848%), (ABT, 0, 0.71%, 0.0001347%), (BAC, 0, 0.64%, 0.0000750%), (BA, 0, 0.62%, 0.0001508%), (KO, 0, 0.61%, 0.0000903%), (BKNG, 0, 0.61%, 0.0001458%), (AMD, 0, 0.60%, 0.0000959%), (NKE, 0, 0.59%, 0.0002790%), (PM, 0, 0.59%, 0.0001000%), (SO, 0, 0.59%, 0.0002480%), (CRM, 0, 0.57%, 0.0001043%), (DUK, 0, 0.55%, 0.0002476%), (GS, 0, 0.54%, 0.0001057%), (UBER, 0, 0.54%, 0.0001184%), (IBM, 0, 0.54%, 0.0001028%), (WFC, 0, 0.52%, 0.0000865%), (ISRG, 0, 0.52%, 0.0001357%), (MET, 0, 0.52%, 0.0004153%), (HON, 0, 0.51%, 0.0001570%), (ETN, 0, 0.49%, 0.0001557%), (PEP, 0, 0.47%, 0.0001005%), (INTU, 0, 0.44%, 0.0001044%), (DE, 0, 0.44%, 0.0001443%), (T, 0, 0.44%, 0.0004308%), (NOW, 0, 0.44%, 0.0001029%), (MS, 0, 0.43%, 0.0000784%), (AXP, 0, 0.42%, 0.0000816%), (MRK, 0, 0.41%, 0.0000859%), (TXN, 0, 0.41%, 0.0000963%), (SPGI, 0, 0.41%, 0.0001060%), (VZ, 0, 0.40%, 0.0000920%), (QCOM, 0, 0.39%, 0.0000987%), (ACN, 0, 0.38%, 0.0001042%), (BLK, 0, 0.38%, 0.0000949%), (COP, 0, 0.37%, 0.0001336%), (ADBE, 0, 0.37%, 0.0001092%), (MDT, 0, 0.37%, 0.0001350%), (TMO, 0, 0.36%, 0.0000862%), (UNP, 0, 0.36%, 0.0001199%), (DIS, 0, 0.36%, 0.0000735%), (C, 0, 0.35%, 0.0000855%), (LMT, 0, 0.34%, 0.0001400%), (SCHW, 0, 0.33%, 0.0000831%), (SBUX, 0, 0.32%, 0.0001412%), (AMGN, 0, 0.30%, 0.0000847%), (MMM, 0, 0.30%, 0.0001572%), (AMAT, 0, 0.30%, 0.0000992%), (CVS, 0, 0.28%, 0.0001338%), (PFE, 0, 0.28%, 0.0000845%), (GILD, 0, 0.28%, 0.0000851%), (TJX, 0, 0.27%, 0.0000784%), (EMR, 0, 0.27%, 0.0001553%), (LOW, 0, 0.26%, 0.0000783%), (MO, 0, 0.26%, 0.0001012%), (DHR, 0, 0.26%, 0.0000772%), (INTC, 0, 0.24%, 0.0000889%), (ELV, 0, 0.22%, 0.0001408%), (CMCSA, 0, 0.22%, 0.0000766%), (MDLZ, 0, 0.19%, 0.0001038%), (BMY, 0, 0.19%, 0.0000845%), (UPS, 0, 0.17%, 0.0001166%), (PYPL, 0, 0.16%, 0.0001082%), (USB, 0, 0.15%, 0.0000835%), (CL, 0, 0.14%, 0.0000924%), (FDX, 0, 0.14%, 0.0001119%), (TGT, 0, 0.08%, 0.0000794%), (nan, 0, -0.01%, 0.0000000%), (nan, 0, -0.01%, 0.0000000%)</t>
  </si>
  <si>
    <t>(GOOGLE, 0, 3.78%, 0.0000249%), (AVGO, 0, 3.15%, 0.0000343%), (META, 0, 2.79%, 0.0000264%), (BRK/B, 0, 2.15%, 0.0000485%), (LIN, 0, 1.81%, 0.0001231%), (CSCO, 0, 1.80%, 0.0001028%), (TSLA, 0, 1.73%, 0.0000232%), (JPM, 0, 1.64%, 0.0000308%), (AMT, 0, 1.54%, 0.0002491%), (XOM, 0, 1.50%, 0.0000481%), (V, 0, 1.44%, 0.0000371%), (MA, 0, 1.15%, 0.0000335%), (CB, 0, 1.14%, 0.0001634%), (LLY, 0, 1.13%, 0.0000255%), (GE, 0, 1.06%, 0.0000569%), (WM, 0, 1.06%, 0.0001790%), (ORCL, 0, 0.92%, 0.0000212%), (NFLX, 0, 0.90%, 0.0000267%), (NEE, 0, 0.89%, 0.0000889%), (UNH, 0, 0.89%, 0.0000496%), (JNJ, 0, 0.85%, 0.0000306%), (CVX, 0, 0.81%, 0.0000381%), (PG, 0, 0.79%, 0.0000332%), (PLTR, 0, 0.78%, 0.0000339%), (COST, 0, 0.77%, 0.0000282%), (WMT, 0, 0.77%, 0.0000154%), (RTX, 0, 0.76%, 0.0000550%), (CAT, 0, 0.75%, 0.0000572%), (MCD, 0, 0.74%, 0.0000514%), (HD, 0, 0.74%, 0.0000279%), (ABBV, 0, 0.73%, 0.0000307%), (ABT, 0, 0.72%, 0.0000487%), (BAC, 0, 0.66%, 0.0000271%), (BA, 0, 0.63%, 0.0000545%), (KO, 0, 0.63%, 0.0000326%), (BKNG, 0, 0.62%, 0.0000527%), (AMD, 0, 0.61%, 0.0000346%), (NKE, 0, 0.61%, 0.0001008%), (PM, 0, 0.60%, 0.0000362%), (SO, 0, 0.60%, 0.0000897%), (CRM, 0, 0.58%, 0.0000377%), (GS, 0, 0.56%, 0.0000383%), (DUK, 0, 0.56%, 0.0000896%), (UBER, 0, 0.55%, 0.0000428%), (IBM, 0, 0.55%, 0.0000371%), (WFC, 0, 0.53%, 0.0000313%), (ISRG, 0, 0.53%, 0.0000491%), (MET, 0, 0.53%, 0.0001501%), (HON, 0, 0.52%, 0.0000567%), (ETN, 0, 0.50%, 0.0000563%), (PEP, 0, 0.48%, 0.0000363%), (INTU, 0, 0.45%, 0.0000377%), (DE, 0, 0.45%, 0.0000522%), (T, 0, 0.45%, 0.0001558%), (NOW, 0, 0.44%, 0.0000370%), (MS, 0, 0.44%, 0.0000284%), (AXP, 0, 0.43%, 0.0000295%), (MRK, 0, 0.42%, 0.0000310%), (TXN, 0, 0.42%, 0.0000348%), (SPGI, 0, 0.41%, 0.0000383%), (VZ, 0, 0.40%, 0.0000333%), (QCOM, 0, 0.40%, 0.0000357%), (ACN, 0, 0.39%, 0.0000377%), (BLK, 0, 0.39%, 0.0000342%), (COP, 0, 0.38%, 0.0000484%), (ADBE, 0, 0.38%, 0.0000394%), (MDT, 0, 0.37%, 0.0000488%), (TMO, 0, 0.37%, 0.0000311%), (UNP, 0, 0.37%, 0.0000433%), (DIS, 0, 0.37%, 0.0000266%), (C, 0, 0.36%, 0.0000309%), (LMT, 0, 0.35%, 0.0000506%), (SCHW, 0, 0.34%, 0.0000301%), (SBUX, 0, 0.33%, 0.0000510%), (AMGN, 0, 0.31%, 0.0000306%), (MMM, 0, 0.31%, 0.0000568%), (AMAT, 0, 0.30%, 0.0000359%), (CVS, 0, 0.29%, 0.0000484%), (PFE, 0, 0.28%, 0.0000306%), (GILD, 0, 0.28%, 0.0000308%), (TJX, 0, 0.28%, 0.0000283%), (EMR, 0, 0.27%, 0.0000561%), (LOW, 0, 0.27%, 0.0000284%), (MO, 0, 0.27%, 0.0000366%), (DHR, 0, 0.26%, 0.0000279%), (INTC, 0, 0.24%, 0.0000321%), (ELV, 0, 0.23%, 0.0000508%), (CMCSA, 0, 0.22%, 0.0000277%), (MDLZ, 0, 0.19%, 0.0000375%), (BMY, 0, 0.19%, 0.0000306%), (UPS, 0, 0.18%, 0.0000421%), (PYPL, 0, 0.17%, 0.0000391%), (USB, 0, 0.15%, 0.0000301%), (CL, 0, 0.15%, 0.0000334%), (FDX, 0, 0.14%, 0.0000403%), (TGT, 0, 0.08%, 0.0000286%), (nan, 0, -0.01%, 0.0000000%), (nan, 0, -0.01%, 0.0000000%)</t>
  </si>
  <si>
    <t>(GOOGLE, 0, 4.01%, 0.0000597%), (AVGO, 0, 3.33%, 0.0000821%), (META, 0, 2.96%, 0.0000632%), (BRK/B, 0, 2.28%, 0.0001162%), (LIN, 0, 1.91%, 0.0002947%), (CSCO, 0, 1.91%, 0.0002461%), (TSLA, 0, 1.83%, 0.0000554%), (JPM, 0, 1.74%, 0.0000738%), (AMT, 0, 1.63%, 0.0005964%), (XOM, 0, 1.59%, 0.0001152%), (V, 0, 1.52%, 0.0000889%), (MA, 0, 1.22%, 0.0000803%), (CB, 0, 1.21%, 0.0003916%), (LLY, 0, 1.21%, 0.0000611%), (GE, 0, 1.12%, 0.0001362%), (WM, 0, 1.12%, 0.0004284%), (ORCL, 0, 0.98%, 0.0000507%), (NFLX, 0, 0.95%, 0.0000637%), (NEE, 0, 0.94%, 0.0002129%), (UNH, 0, 0.94%, 0.0001188%), (JNJ, 0, 0.90%, 0.0000733%), (CVX, 0, 0.85%, 0.0000912%), (PG, 0, 0.84%, 0.0000796%), (PLTR, 0, 0.82%, 0.0000810%), (COST, 0, 0.82%, 0.0000677%), (WMT, 0, 0.81%, 0.0000369%), (RTX, 0, 0.81%, 0.0001318%), (CAT, 0, 0.80%, 0.0001368%), (MCD, 0, 0.79%, 0.0001232%), (HD, 0, 0.78%, 0.0000668%), (ABBV, 0, 0.78%, 0.0000734%), (ABT, 0, 0.77%, 0.0001166%), (BAC, 0, 0.69%, 0.0000649%), (BA, 0, 0.67%, 0.0001305%), (KO, 0, 0.67%, 0.0000782%), (BKNG, 0, 0.66%, 0.0001272%), (AMD, 0, 0.65%, 0.0000830%), (NKE, 0, 0.64%, 0.0002415%), (PM, 0, 0.64%, 0.0000866%), (SO, 0, 0.63%, 0.0002147%), (CRM, 0, 0.62%, 0.0000903%), (DUK, 0, 0.59%, 0.0002144%), (GS, 0, 0.59%, 0.0000914%), (UBER, 0, 0.59%, 0.0001025%), (IBM, 0, 0.58%, 0.0000890%), (WFC, 0, 0.56%, 0.0000749%), (ISRG, 0, 0.56%, 0.0001173%), (MET, 0, 0.56%, 0.0003595%), (HON, 0, 0.55%, 0.0001359%), (ETN, 0, 0.53%, 0.0001349%), (PEP, 0, 0.51%, 0.0000870%), (INTU, 0, 0.48%, 0.0000904%), (DE, 0, 0.48%, 0.0001250%), (T, 0, 0.48%, 0.0003729%), (NOW, 0, 0.47%, 0.0000889%), (MS, 0, 0.46%, 0.0000679%), (AXP, 0, 0.45%, 0.0000706%), (MRK, 0, 0.45%, 0.0000743%), (TXN, 0, 0.45%, 0.0000833%), (SPGI, 0, 0.44%, 0.0000918%), (VZ, 0, 0.43%, 0.0000796%), (QCOM, 0, 0.42%, 0.0000854%), (ACN, 0, 0.42%, 0.0000902%), (BLK, 0, 0.41%, 0.0000820%), (ADBE, 0, 0.41%, 0.0000946%), (COP, 0, 0.41%, 0.0001157%), (MDT, 0, 0.40%, 0.0001169%), (TMO, 0, 0.39%, 0.0000748%), (UNP, 0, 0.39%, 0.0001037%), (DIS, 0, 0.39%, 0.0000636%), (C, 0, 0.38%, 0.0000740%), (SCHW, 0, 0.36%, 0.0000720%), (LMT, 0, 0.36%, 0.0001210%), (SBUX, 0, 0.35%, 0.0001223%), (AMGN, 0, 0.33%, 0.0000734%), (MMM, 0, 0.33%, 0.0001361%), (AMAT, 0, 0.32%, 0.0000859%), (CVS, 0, 0.30%, 0.0001159%), (PFE, 0, 0.30%, 0.0000732%), (GILD, 0, 0.30%, 0.0000737%), (TJX, 0, 0.30%, 0.0000678%), (EMR, 0, 0.29%, 0.0001345%), (LOW, 0, 0.28%, 0.0000678%), (MO, 0, 0.28%, 0.0000876%), (DHR, 0, 0.28%, 0.0000668%), (INTC, 0, 0.26%, 0.0000770%), (ELV, 0, 0.24%, 0.0001219%), (CMCSA, 0, 0.23%, 0.0000663%), (MDLZ, 0, 0.21%, 0.0000898%), (BMY, 0, 0.20%, 0.0000731%), (UPS, 0, 0.19%, 0.0001008%), (PYPL, 0, 0.18%, 0.0000936%), (USB, 0, 0.16%, 0.0000722%), (CL, 0, 0.16%, 0.0000800%), (FDX, 0, 0.15%, 0.0000966%), (TGT, 0, 0.09%, 0.0000687%), (nan, 0, -0.01%, 0.0000000%), (nan, 0, -0.01%, 0.0000000%)</t>
  </si>
  <si>
    <t>EBAY, BK, META, MLI, GOOGLE, MSFT, JPM, EA, BLK, BKNG, RJF</t>
  </si>
  <si>
    <t>(PHM, 0, 1.95%, 0.0042064%), (EWBC, 0, 1.92%, 0.0072478%), (AXP, 0, 1.90%, 0.0004731%), (HIG, 0, 1.86%, 0.0027766%), (V, 0, 1.83%, 0.0001701%), (TRV, 0, 1.81%, 0.0016480%), (NVDA, 0, 1.78%, 0.0000222%), (ROST, 0, 1.75%, 0.0019792%), (SNA, 0, 1.72%, 0.0055396%), (ADP, 0, 1.69%, 0.0007633%), (PCAR, 0, 1.68%, 0.0017399%), (SYF, 0, 1.66%, 0.0033504%), (AMAT, 0, 1.65%, 0.0006949%), (LEN, 0, 1.65%, 0.0030478%), (KLAC, 0, 1.65%, 0.0007778%), (UNM, 0, 1.64%, 0.0076324%), (CB, 0, 1.61%, 0.0008284%), (CTSH, 0, 1.53%, 0.0024196%), (CRM, 0, 1.50%, 0.0003477%), (PAYC, 0, 1.46%, 0.0061078%), (WSM, 0, 1.42%, 0.0033549%), (BKR, 0, 1.39%, 0.0017416%), (DHI, 0, 1.38%, 0.0015393%), (QCOM, 0, 1.35%, 0.0004320%), (ACN, 0, 1.28%, 0.0004420%), (AAPL, 0, 1.26%, 0.0000204%), (ELV, 0, 1.24%, 0.0009958%), (AFL, 0, 1.24%, 0.0011935%), (MPWR, 0, 1.16%, 0.0015410%), (LRCX, 0, 1.12%, 0.0004740%), (ODFL, 0, 1.10%, 0.0018837%), (CSCO, 0, 1.07%, 0.0002187%), (GE, 0, 1.03%, 0.0001978%), (STT, 0, 1.00%, 0.0017156%), (PNC, 0, 0.96%, 0.0006516%), (MTB, 0, 0.93%, 0.0016592%), (AMP, 0, 0.88%, 0.0010042%), (CF, 0, 0.86%, 0.0033814%), (COST, 0, 0.82%, 0.0001081%), (ABT, 0, 0.82%, 0.0001984%), (XOM, 0, 0.82%, 0.0000941%), (EOG, 0, 0.80%, 0.0006610%), (CSL, 0, 0.76%, 0.0025703%), (EG, 0, 0.76%, 0.0028905%), (GEV, 0, 0.55%, 0.0001802%), (NTRS, 0, 0.53%, 0.0011760%), (MA, 0, 0.50%, 0.0000521%), (CRBG, 0, 0.48%, 0.0014186%), (ACM, 0, 0.48%, 0.0015886%), (JNJ, 0, 0.48%, 0.0000618%), (LNC, 0, 0.47%, 0.0032026%), (WTFC, 0, 0.45%, 0.0026765%), (JXN, 0, 0.45%, 0.0036051%), (MTG, 0, 0.44%, 0.0039063%), (CINF, 0, 0.43%, 0.0009915%), (DOV, 0, 0.43%, 0.0009486%), (ADM, 0, 0.42%, 0.0007709%), (EQH, 0, 0.42%, 0.0014396%), (SLM, 0, 0.41%, 0.0035176%), (ALL, 0, 0.41%, 0.0004182%), (NUE, 0, 0.40%, 0.0006478%), (MCK, 0, 0.40%, 0.0002581%), (NKE, 0, 0.38%, 0.0002279%), (PGR, 0, 0.36%, 0.0001383%), (FANG, 0, 0.31%, 0.0004000%)</t>
  </si>
  <si>
    <t>(GOOGLE, 0, 3.66%, 0.0000634%), (AVGO, 0, 3.05%, 0.0000873%), (META, 0, 2.71%, 0.0000672%), (BRK/B, 0, 2.08%, 0.0001235%), (LIN, 0, 1.75%, 0.0003133%), (CSCO, 0, 1.75%, 0.0002616%), (TSLA, 0, 1.68%, 0.0000589%), (JPM, 0, 1.59%, 0.0000784%), (AMT, 0, 1.49%, 0.0006340%), (XOM, 0, 1.45%, 0.0001224%), (V, 0, 1.39%, 0.0000945%), (MA, 0, 1.11%, 0.0000855%), (LLY, 0, 1.11%, 0.0000651%), (CB, 0, 1.11%, 0.0004162%), (GE, 0, 1.03%, 0.0001448%), (WM, 0, 1.03%, 0.0004555%), (ORCL, 0, 0.90%, 0.0000539%), (NFLX, 0, 0.86%, 0.0000677%), (NEE, 0, 0.86%, 0.0002263%), (UNH, 0, 0.86%, 0.0001262%), (JNJ, 0, 0.82%, 0.0000779%), (CVX, 0, 0.78%, 0.0000970%), (PG, 0, 0.77%, 0.0000846%), (PLTR, 0, 0.76%, 0.0000861%), (COST, 0, 0.75%, 0.0000720%), (WMT, 0, 0.74%, 0.0000392%), (RTX, 0, 0.74%, 0.0001401%), (CAT, 0, 0.73%, 0.0001454%), (MCD, 0, 0.72%, 0.0001309%), (HD, 0, 0.71%, 0.0000710%), (ABBV, 0, 0.71%, 0.0000781%), (ABT, 0, 0.70%, 0.0001239%), (BAC, 0, 0.64%, 0.0000690%), (BA, 0, 0.61%, 0.0001388%), (KO, 0, 0.61%, 0.0000831%), (BKNG, 0, 0.60%, 0.0001334%), (AMD, 0, 0.59%, 0.0000882%), (NKE, 0, 0.59%, 0.0002567%), (PM, 0, 0.58%, 0.0000921%), (SO, 0, 0.58%, 0.0002282%), (CRM, 0, 0.57%, 0.0000960%), (DUK, 0, 0.54%, 0.0002278%), (GS, 0, 0.54%, 0.0000974%), (UBER, 0, 0.54%, 0.0001089%), (IBM, 0, 0.53%, 0.0000946%), (WFC, 0, 0.52%, 0.0000796%), (ISRG, 0, 0.52%, 0.0001247%), (MET, 0, 0.51%, 0.0003821%), (HON, 0, 0.50%, 0.0001446%), (ETN, 0, 0.48%, 0.0001433%), (PEP, 0, 0.46%, 0.0000925%), (INTU, 0, 0.44%, 0.0000961%), (DE, 0, 0.44%, 0.0001328%), (T, 0, 0.44%, 0.0003964%), (NOW, 0, 0.43%, 0.0000947%), (MS, 0, 0.43%, 0.0000722%), (AXP, 0, 0.41%, 0.0000751%), (MRK, 0, 0.41%, 0.0000790%), (TXN, 0, 0.41%, 0.0000886%), (SPGI, 0, 0.40%, 0.0000974%), (VZ, 0, 0.39%, 0.0000847%), (QCOM, 0, 0.39%, 0.0000908%), (ACN, 0, 0.38%, 0.0000958%), (BLK, 0, 0.38%, 0.0000872%), (COP, 0, 0.37%, 0.0001230%), (ADBE, 0, 0.37%, 0.0001006%), (MDT, 0, 0.36%, 0.0001242%), (TMO, 0, 0.36%, 0.0000793%), (UNP, 0, 0.36%, 0.0001103%), (DIS, 0, 0.36%, 0.0000676%), (C, 0, 0.35%, 0.0000787%), (LMT, 0, 0.33%, 0.0001288%), (SCHW, 0, 0.33%, 0.0000765%), (SBUX, 0, 0.32%, 0.0001299%), (AMGN, 0, 0.30%, 0.0000778%), (MMM, 0, 0.30%, 0.0001446%), (AMAT, 0, 0.29%, 0.0000913%), (CVS, 0, 0.28%, 0.0001231%), (PFE, 0, 0.27%, 0.0000778%), (GILD, 0, 0.27%, 0.0000783%), (TJX, 0, 0.27%, 0.0000721%), (EMR, 0, 0.27%, 0.0001430%), (LOW, 0, 0.26%, 0.0000720%), (MO, 0, 0.26%, 0.0000930%), (DHR, 0, 0.25%, 0.0000711%), (INTC, 0, 0.23%, 0.0000818%), (ELV, 0, 0.22%, 0.0001296%), (CMCSA, 0, 0.21%, 0.0000705%), (MDLZ, 0, 0.19%, 0.0000956%), (BMY, 0, 0.19%, 0.0000777%), (UPS, 0, 0.17%, 0.0001072%), (PYPL, 0, 0.16%, 0.0000995%), (USB, 0, 0.14%, 0.0000768%), (CL, 0, 0.14%, 0.0000851%), (FDX, 0, 0.14%, 0.0001030%), (TGT, 0, 0.08%, 0.0000731%), (nan, 0, -0.01%, 0.0000000%), (nan, 0, -0.01%, 0.0000000%)</t>
  </si>
  <si>
    <t>(GOOGLE, 0, 3.83%, 0.0001296%), (AVGO, 0, 3.19%, 0.0001784%), (META, 0, 2.83%, 0.0001374%), (BRK/B, 0, 2.18%, 0.0002525%), (LIN, 0, 1.83%, 0.0006403%), (CSCO, 0, 1.83%, 0.0005347%), (TSLA, 0, 1.76%, 0.0001204%), (JPM, 0, 1.67%, 0.0001603%), (AMT, 0, 1.56%, 0.0012960%), (XOM, 0, 1.52%, 0.0002503%), (V, 0, 1.45%, 0.0001932%), (MA, 0, 1.17%, 0.0001747%), (LLY, 0, 1.16%, 0.0001330%), (CB, 0, 1.16%, 0.0008507%), (GE, 0, 1.08%, 0.0002960%), (WM, 0, 1.07%, 0.0009308%), (ORCL, 0, 0.94%, 0.0001102%), (NFLX, 0, 0.91%, 0.0001385%), (NEE, 0, 0.90%, 0.0004626%), (UNH, 0, 0.90%, 0.0002580%), (JNJ, 0, 0.86%, 0.0001593%), (CVX, 0, 0.82%, 0.0001982%), (PG, 0, 0.80%, 0.0001729%), (PLTR, 0, 0.79%, 0.0001761%), (COST, 0, 0.78%, 0.0001471%), (WMT, 0, 0.78%, 0.0000802%), (RTX, 0, 0.78%, 0.0002863%), (CAT, 0, 0.76%, 0.0002973%), (MCD, 0, 0.75%, 0.0002675%), (HD, 0, 0.75%, 0.0001451%), (ABBV, 0, 0.74%, 0.0001595%), (ABT, 0, 0.73%, 0.0002533%), (BAC, 0, 0.66%, 0.0001411%), (BA, 0, 0.64%, 0.0002836%), (KO, 0, 0.64%, 0.0001698%), (BKNG, 0, 0.63%, 0.0002730%), (AMD, 0, 0.62%, 0.0001804%), (NKE, 0, 0.61%, 0.0005247%), (PM, 0, 0.61%, 0.0001882%), (SO, 0, 0.61%, 0.0004666%), (CRM, 0, 0.59%, 0.0001962%), (DUK, 0, 0.57%, 0.0004658%), (GS, 0, 0.57%, 0.0001987%), (UBER, 0, 0.56%, 0.0002227%), (IBM, 0, 0.56%, 0.0001933%), (WFC, 0, 0.54%, 0.0001627%), (ISRG, 0, 0.54%, 0.0002550%), (MET, 0, 0.53%, 0.0007812%), (HON, 0, 0.53%, 0.0002955%), (ETN, 0, 0.51%, 0.0002928%), (PEP, 0, 0.48%, 0.0001891%), (INTU, 0, 0.46%, 0.0001966%), (DE, 0, 0.46%, 0.0002715%), (T, 0, 0.46%, 0.0008103%), (NOW, 0, 0.45%, 0.0001938%), (MS, 0, 0.45%, 0.0001476%), (AXP, 0, 0.43%, 0.0001534%), (MRK, 0, 0.43%, 0.0001615%), (TXN, 0, 0.43%, 0.0001810%), (SPGI, 0, 0.42%, 0.0001991%), (VZ, 0, 0.41%, 0.0001731%), (QCOM, 0, 0.40%, 0.0001857%), (ACN, 0, 0.40%, 0.0001960%), (BLK, 0, 0.40%, 0.0001782%), (COP, 0, 0.39%, 0.0002514%), (ADBE, 0, 0.39%, 0.0002054%), (MDT, 0, 0.38%, 0.0002539%), (TMO, 0, 0.38%, 0.0001624%), (UNP, 0, 0.37%, 0.0002254%), (DIS, 0, 0.37%, 0.0001383%), (C, 0, 0.36%, 0.0001608%), (LMT, 0, 0.35%, 0.0002632%), (SCHW, 0, 0.35%, 0.0001564%), (SBUX, 0, 0.34%, 0.0002656%), (AMGN, 0, 0.31%, 0.0001592%), (MMM, 0, 0.31%, 0.0002957%), (AMAT, 0, 0.31%, 0.0001867%), (CVS, 0, 0.29%, 0.0002518%), (PFE, 0, 0.29%, 0.0001589%), (GILD, 0, 0.29%, 0.0001600%), (TJX, 0, 0.28%, 0.0001474%), (EMR, 0, 0.28%, 0.0002923%), (LOW, 0, 0.27%, 0.0001471%), (MO, 0, 0.27%, 0.0001902%), (DHR, 0, 0.27%, 0.0001451%), (INTC, 0, 0.24%, 0.0001672%), (ELV, 0, 0.23%, 0.0002650%), (CMCSA, 0, 0.22%, 0.0001441%), (MDLZ, 0, 0.20%, 0.0001952%), (BMY, 0, 0.20%, 0.0001589%), (UPS, 0, 0.18%, 0.0002191%), (PYPL, 0, 0.17%, 0.0002035%), (USB, 0, 0.15%, 0.0001570%), (CL, 0, 0.15%, 0.0001738%), (FDX, 0, 0.15%, 0.0002102%), (TGT, 0, 0.08%, 0.0001492%), (nan, 0, -0.01%, 0.0000000%), (nan, 0, -0.01%, 0.0000000%)</t>
  </si>
  <si>
    <t>(GOOGLE, 0, 3.62%, 0.0002600%), (AVGO, 0, 3.01%, 0.0003578%), (META, 0, 2.67%, 0.0002756%), (BRK/B, 0, 2.06%, 0.0005065%), (LIN, 0, 1.73%, 0.0012847%), (CSCO, 0, 1.73%, 0.0010725%), (TSLA, 0, 1.65%, 0.0002415%), (JPM, 0, 1.57%, 0.0003216%), (AMT, 0, 1.48%, 0.0025996%), (XOM, 0, 1.43%, 0.0005020%), (V, 0, 1.37%, 0.0003875%), (MA, 0, 1.10%, 0.0003504%), (CB, 0, 1.09%, 0.0017065%), (LLY, 0, 1.09%, 0.0002666%), (GE, 0, 1.01%, 0.0005937%), (WM, 0, 1.01%, 0.0018674%), (ORCL, 0, 0.88%, 0.0002210%), (NFLX, 0, 0.86%, 0.0002778%), (NEE, 0, 0.85%, 0.0009279%), (UNH, 0, 0.85%, 0.0005175%), (JNJ, 0, 0.81%, 0.0003197%), (CVX, 0, 0.77%, 0.0003975%), (PG, 0, 0.76%, 0.0003468%), (PLTR, 0, 0.75%, 0.0003533%), (COST, 0, 0.74%, 0.0002954%), (WMT, 0, 0.73%, 0.0001608%), (RTX, 0, 0.73%, 0.0005744%), (CAT, 0, 0.72%, 0.0005964%), (MCD, 0, 0.71%, 0.0005366%), (HD, 0, 0.70%, 0.0002910%), (ABBV, 0, 0.70%, 0.0003200%), (ABT, 0, 0.69%, 0.0005081%), (BAC, 0, 0.63%, 0.0002830%), (BA, 0, 0.60%, 0.0005691%), (KO, 0, 0.60%, 0.0003406%), (BKNG, 0, 0.59%, 0.0005491%), (AMD, 0, 0.58%, 0.0003618%), (NKE, 0, 0.58%, 0.0010525%), (PM, 0, 0.58%, 0.0003775%), (SO, 0, 0.57%, 0.0009359%), (CRM, 0, 0.56%, 0.0003936%), (DUK, 0, 0.54%, 0.0009342%), (GS, 0, 0.53%, 0.0003988%), (UBER, 0, 0.53%, 0.0004468%), (IBM, 0, 0.53%, 0.0003877%), (WFC, 0, 0.51%, 0.0003264%), (ISRG, 0, 0.51%, 0.0005117%), (MET, 0, 0.50%, 0.0015669%), (HON, 0, 0.50%, 0.0005925%), (ETN, 0, 0.48%, 0.0005875%), (PEP, 0, 0.46%, 0.0003792%), (INTU, 0, 0.43%, 0.0003942%), (DE, 0, 0.43%, 0.0005445%), (T, 0, 0.43%, 0.0016253%), (NOW, 0, 0.43%, 0.0003880%), (MS, 0, 0.42%, 0.0002961%), (AXP, 0, 0.41%, 0.0003078%), (MRK, 0, 0.41%, 0.0003240%), (TXN, 0, 0.40%, 0.0003632%), (SPGI, 0, 0.40%, 0.0003996%), (VZ, 0, 0.39%, 0.0003472%), (QCOM, 0, 0.38%, 0.0003725%), (ACN, 0, 0.38%, 0.0003932%), (BLK, 0, 0.37%, 0.0003584%), (COP, 0, 0.37%, 0.0005043%), (ADBE, 0, 0.37%, 0.0004121%), (MDT, 0, 0.36%, 0.0005093%), (TMO, 0, 0.36%, 0.0003258%), (UNP, 0, 0.35%, 0.0004522%), (DIS, 0, 0.35%, 0.0002773%), (C, 0, 0.34%, 0.0003227%), (LMT, 0, 0.33%, 0.0005277%), (SCHW, 0, 0.33%, 0.0003137%), (SBUX, 0, 0.32%, 0.0005329%), (AMGN, 0, 0.30%, 0.0003195%), (MMM, 0, 0.29%, 0.0005932%), (AMAT, 0, 0.29%, 0.0003743%), (CVS, 0, 0.27%, 0.0005050%), (PFE, 0, 0.27%, 0.0003188%), (GILD, 0, 0.27%, 0.0003210%), (TJX, 0, 0.27%, 0.0002956%), (EMR, 0, 0.26%, 0.0005862%), (LOW, 0, 0.26%, 0.0002951%), (MO, 0, 0.25%, 0.0003816%), (DHR, 0, 0.25%, 0.0002911%), (INTC, 0, 0.23%, 0.0003354%), (ELV, 0, 0.22%, 0.0005314%), (CMCSA, 0, 0.21%, 0.0002891%), (MDLZ, 0, 0.19%, 0.0003917%), (BMY, 0, 0.18%, 0.0003187%), (UPS, 0, 0.17%, 0.0004396%), (PYPL, 0, 0.16%, 0.0004082%), (USB, 0, 0.14%, 0.0003149%), (CL, 0, 0.14%, 0.0003487%), (FDX, 0, 0.14%, 0.0004217%), (TGT, 0, 0.08%, 0.0002995%), (nan, 0, -0.01%, 0.0000000%), (nan, 0, -0.01%, 0.0000000%)</t>
  </si>
  <si>
    <t>(GOOGLE, 0, 3.61%, 0.0000376%), (AVGO, 0, 3.00%, 0.0000517%), (META, 0, 2.63%, 0.0000399%), (BRK/B, 0, 2.02%, 0.0000732%), (CSCO, 0, 1.71%, 0.0001550%), (LIN, 0, 1.69%, 0.0001857%), (TSLA, 0, 1.61%, 0.0000349%), (JPM, 0, 1.54%, 0.0000465%), (AMT, 0, 1.44%, 0.0003757%), (XOM, 0, 1.41%, 0.0000726%), (V, 0, 1.34%, 0.0000560%), (MA, 0, 1.07%, 0.0000506%), (CB, 0, 1.07%, 0.0002467%), (LLY, 0, 1.07%, 0.0000385%), (GE, 0, 1.00%, 0.0000858%), (WM, 0, 0.99%, 0.0002701%), (ORCL, 0, 0.88%, 0.0000320%), (NFLX, 0, 0.84%, 0.0000401%), (UNH, 0, 0.83%, 0.0000748%), (NEE, 0, 0.81%, 0.0001342%), (JNJ, 0, 0.79%, 0.0000462%), (CVX, 0, 0.76%, 0.0000575%), (PLTR, 0, 0.74%, 0.0000510%), (PG, 0, 0.73%, 0.0000501%), (COST, 0, 0.72%, 0.0000426%), (WMT, 0, 0.72%, 0.0000232%), (RTX, 0, 0.72%, 0.0000830%), (CAT, 0, 0.71%, 0.0000862%), (MCD, 0, 0.70%, 0.0000776%), (HD, 0, 0.69%, 0.0000421%), (ABBV, 0, 0.68%, 0.0000462%), (ABT, 0, 0.68%, 0.0000734%), (BAC, 0, 0.61%, 0.0000409%), (BA, 0, 0.59%, 0.0000822%), (BKNG, 0, 0.59%, 0.0000807%), (KO, 0, 0.58%, 0.0000492%), (AMD, 0, 0.58%, 0.0000523%), (NKE, 0, 0.57%, 0.0001522%), (PM, 0, 0.57%, 0.0000545%), (SO, 0, 0.55%, 0.0001353%), (CRM, 0, 0.55%, 0.0000569%), (GS, 0, 0.52%, 0.0000577%), (UBER, 0, 0.52%, 0.0000646%), (IBM, 0, 0.52%, 0.0000561%), (DUK, 0, 0.52%, 0.0001350%), (ISRG, 0, 0.50%, 0.0000739%), (WFC, 0, 0.50%, 0.0000472%), (MET, 0, 0.49%, 0.0002265%), (HON, 0, 0.49%, 0.0000857%), (ETN, 0, 0.47%, 0.0000850%), (PEP, 0, 0.44%, 0.0000549%), (NOW, 0, 0.44%, 0.0000562%), (INTU, 0, 0.43%, 0.0000570%), (DE, 0, 0.42%, 0.0000788%), (T, 0, 0.42%, 0.0002350%), (MS, 0, 0.41%, 0.0000428%), (AXP, 0, 0.40%, 0.0000444%), (MRK, 0, 0.39%, 0.0000468%), (TXN, 0, 0.39%, 0.0000525%), (SPGI, 0, 0.39%, 0.0000578%), (QCOM, 0, 0.38%, 0.0000538%), (VZ, 0, 0.37%, 0.0000502%), (ACN, 0, 0.37%, 0.0000568%), (BLK, 0, 0.36%, 0.0000517%), (COP, 0, 0.36%, 0.0000729%), (ADBE, 0, 0.36%, 0.0000595%), (MDT, 0, 0.35%, 0.0000736%), (TMO, 0, 0.35%, 0.0000471%), (UNP, 0, 0.35%, 0.0000654%), (DIS, 0, 0.34%, 0.0000401%), (C, 0, 0.33%, 0.0000467%), (LMT, 0, 0.32%, 0.0000761%), (SCHW, 0, 0.32%, 0.0000453%), (SBUX, 0, 0.31%, 0.0000771%), (MMM, 0, 0.29%, 0.0000857%), (AMGN, 0, 0.29%, 0.0000463%), (AMAT, 0, 0.29%, 0.0000541%), (CVS, 0, 0.27%, 0.0000730%), (TJX, 0, 0.26%, 0.0000428%), (GILD, 0, 0.26%, 0.0000464%), (PFE, 0, 0.26%, 0.0000461%), (EMR, 0, 0.26%, 0.0000848%), (LOW, 0, 0.25%, 0.0000426%), (MO, 0, 0.25%, 0.0000552%), (DHR, 0, 0.25%, 0.0000420%), (INTC, 0, 0.23%, 0.0000485%), (ELV, 0, 0.21%, 0.0000769%), (CMCSA, 0, 0.21%, 0.0000418%), (MDLZ, 0, 0.18%, 0.0000567%), (BMY, 0, 0.18%, 0.0000461%), (UPS, 0, 0.16%, 0.0000636%), (PYPL, 0, 0.16%, 0.0000590%), (USB, 0, 0.14%, 0.0000455%), (CL, 0, 0.14%, 0.0000504%), (FDX, 0, 0.13%, 0.0000610%), (TGT, 0, 0.08%, 0.0000434%), (nan, 0, -0.01%, 0.0000000%), (nan, 0, -0.02%, 0.0000000%)</t>
  </si>
  <si>
    <t>(GOOGLE, 0, 3.92%, 0.0002251%), (AVGO, 0, 3.26%, 0.0003097%), (META, 0, 2.85%, 0.0002385%), (BRK/B, 0, 2.20%, 0.0004384%), (CSCO, 0, 1.86%, 0.0009283%), (LIN, 0, 1.83%, 0.0011119%), (TSLA, 0, 1.75%, 0.0002090%), (JPM, 0, 1.68%, 0.0002783%), (AMT, 0, 1.56%, 0.0022499%), (XOM, 0, 1.53%, 0.0004345%), (V, 0, 1.46%, 0.0003354%), (MA, 0, 1.17%, 0.0003033%), (CB, 0, 1.16%, 0.0014771%), (LLY, 0, 1.16%, 0.0002308%), (GE, 0, 1.09%, 0.0005138%), (WM, 0, 1.07%, 0.0016162%), (ORCL, 0, 0.95%, 0.0001912%), (NFLX, 0, 0.91%, 0.0002405%), (UNH, 0, 0.90%, 0.0004479%), (NEE, 0, 0.88%, 0.0008031%), (JNJ, 0, 0.86%, 0.0002767%), (CVX, 0, 0.82%, 0.0003440%), (PLTR, 0, 0.80%, 0.0003058%), (PG, 0, 0.80%, 0.0003002%), (COST, 0, 0.78%, 0.0002557%), (WMT, 0, 0.78%, 0.0001392%), (RTX, 0, 0.78%, 0.0004972%), (CAT, 0, 0.77%, 0.0005161%), (MCD, 0, 0.76%, 0.0004644%), (HD, 0, 0.75%, 0.0002520%), (ABBV, 0, 0.74%, 0.0002770%), (ABT, 0, 0.74%, 0.0004398%), (BAC, 0, 0.67%, 0.0002450%), (BA, 0, 0.64%, 0.0004926%), (KO, 0, 0.63%, 0.0002948%), (BKNG, 0, 0.63%, 0.0004747%), (AMD, 0, 0.62%, 0.0003131%), (PM, 0, 0.62%, 0.0003267%), (NKE, 0, 0.62%, 0.0009109%), (SO, 0, 0.60%, 0.0008100%), (CRM, 0, 0.60%, 0.0003407%), (GS, 0, 0.57%, 0.0003451%), (UBER, 0, 0.57%, 0.0003867%), (DUK, 0, 0.56%, 0.0008086%), (IBM, 0, 0.56%, 0.0003356%), (ISRG, 0, 0.54%, 0.0004429%), (WFC, 0, 0.54%, 0.0002825%), (MET, 0, 0.53%, 0.0013562%), (HON, 0, 0.53%, 0.0005128%), (ETN, 0, 0.51%, 0.0005083%), (PEP, 0, 0.48%, 0.0003282%), (NOW, 0, 0.47%, 0.0003361%), (INTU, 0, 0.46%, 0.0003411%), (DE, 0, 0.46%, 0.0004713%), (T, 0, 0.46%, 0.0014067%), (MS, 0, 0.45%, 0.0002562%), (AXP, 0, 0.44%, 0.0002664%), (MRK, 0, 0.43%, 0.0002804%), (TXN, 0, 0.43%, 0.0003143%), (SPGI, 0, 0.42%, 0.0003458%), (QCOM, 0, 0.41%, 0.0003224%), (VZ, 0, 0.41%, 0.0003005%), (ACN, 0, 0.40%, 0.0003404%), (BLK, 0, 0.40%, 0.0003100%), (COP, 0, 0.39%, 0.0004365%), (ADBE, 0, 0.39%, 0.0003567%), (MDT, 0, 0.38%, 0.0004408%), (TMO, 0, 0.38%, 0.0002819%), (UNP, 0, 0.38%, 0.0003915%), (DIS, 0, 0.37%, 0.0002400%), (C, 0, 0.36%, 0.0002793%), (LMT, 0, 0.35%, 0.0004564%), (SCHW, 0, 0.35%, 0.0002715%), (SBUX, 0, 0.34%, 0.0004612%), (MMM, 0, 0.31%, 0.0005133%), (AMGN, 0, 0.31%, 0.0002764%), (AMAT, 0, 0.31%, 0.0003240%), (CVS, 0, 0.29%, 0.0004370%), (TJX, 0, 0.29%, 0.0002558%), (GILD, 0, 0.28%, 0.0002778%), (PFE, 0, 0.28%, 0.0002760%), (EMR, 0, 0.28%, 0.0005075%), (LOW, 0, 0.27%, 0.0002553%), (MO, 0, 0.27%, 0.0003303%), (DHR, 0, 0.27%, 0.0002520%), (INTC, 0, 0.25%, 0.0002903%), (ELV, 0, 0.23%, 0.0004603%), (CMCSA, 0, 0.22%, 0.0002503%), (MDLZ, 0, 0.20%, 0.0003390%), (BMY, 0, 0.19%, 0.0002758%), (UPS, 0, 0.18%, 0.0003805%), (PYPL, 0, 0.17%, 0.0003533%), (USB, 0, 0.15%, 0.0002725%), (CL, 0, 0.15%, 0.0003018%), (FDX, 0, 0.15%, 0.0003649%), (TGT, 0, 0.08%, 0.0002592%), (nan, 0, -0.01%, 0.0000000%), (nan, 0, -0.02%, 0.0000000%)</t>
  </si>
  <si>
    <t>(GOOGLE, 0, 3.91%, 0.0001678%), (AVGO, 0, 3.25%, 0.0002308%), (META, 0, 2.85%, 0.0001778%), (BRK/B, 0, 2.19%, 0.0003268%), (CSCO, 0, 1.85%, 0.0006919%), (LIN, 0, 1.83%, 0.0008288%), (TSLA, 0, 1.75%, 0.0001558%), (JPM, 0, 1.67%, 0.0002074%), (AMT, 0, 1.56%, 0.0016770%), (XOM, 0, 1.52%, 0.0003239%), (V, 0, 1.46%, 0.0002500%), (MA, 0, 1.17%, 0.0002260%), (CB, 0, 1.16%, 0.0011010%), (LLY, 0, 1.16%, 0.0001720%), (GE, 0, 1.08%, 0.0003830%), (WM, 0, 1.07%, 0.0012046%), (ORCL, 0, 0.95%, 0.0001426%), (NFLX, 0, 0.91%, 0.0001791%), (UNH, 0, 0.90%, 0.0003338%), (NEE, 0, 0.88%, 0.0005986%), (JNJ, 0, 0.85%, 0.0002062%), (CVX, 0, 0.82%, 0.0002564%), (PLTR, 0, 0.80%, 0.0002279%), (PG, 0, 0.80%, 0.0002237%), (COST, 0, 0.78%, 0.0001904%), (WMT, 0, 0.78%, 0.0001037%), (RTX, 0, 0.78%, 0.0003705%), (CAT, 0, 0.77%, 0.0003846%), (MCD, 0, 0.76%, 0.0003461%), (HD, 0, 0.75%, 0.0001878%), (ABBV, 0, 0.74%, 0.0002064%), (ABT, 0, 0.73%, 0.0003278%), (BAC, 0, 0.67%, 0.0001826%), (BA, 0, 0.64%, 0.0003671%), (KO, 0, 0.63%, 0.0002197%), (BKNG, 0, 0.63%, 0.0003537%), (AMD, 0, 0.62%, 0.0002334%), (PM, 0, 0.62%, 0.0002435%), (NKE, 0, 0.62%, 0.0006790%), (SO, 0, 0.60%, 0.0006038%), (CRM, 0, 0.60%, 0.0002539%), (GS, 0, 0.57%, 0.0002571%), (UBER, 0, 0.57%, 0.0002882%), (DUK, 0, 0.56%, 0.0006027%), (IBM, 0, 0.56%, 0.0002501%), (ISRG, 0, 0.54%, 0.0003300%), (WFC, 0, 0.54%, 0.0002106%), (MET, 0, 0.53%, 0.0010108%), (HON, 0, 0.53%, 0.0003823%), (ETN, 0, 0.51%, 0.0003789%), (PEP, 0, 0.48%, 0.0002446%), (NOW, 0, 0.47%, 0.0002505%), (INTU, 0, 0.46%, 0.0002543%), (DE, 0, 0.46%, 0.0003514%), (T, 0, 0.45%, 0.0010485%), (MS, 0, 0.45%, 0.0001910%), (AXP, 0, 0.44%, 0.0001986%), (MRK, 0, 0.43%, 0.0002090%), (TXN, 0, 0.43%, 0.0002343%), (SPGI, 0, 0.42%, 0.0002576%), (QCOM, 0, 0.41%, 0.0002403%), (VZ, 0, 0.41%, 0.0002240%), (BLK, 0, 0.40%, 0.0002312%), (ACN, 0, 0.40%, 0.0002537%), (COP, 0, 0.39%, 0.0003254%), (ADBE, 0, 0.39%, 0.0002659%), (MDT, 0, 0.38%, 0.0003285%), (TMO, 0, 0.38%, 0.0002100%), (UNP, 0, 0.38%, 0.0002917%), (DIS, 0, 0.37%, 0.0001789%), (C, 0, 0.36%, 0.0002082%), (LMT, 0, 0.35%, 0.0003401%), (SCHW, 0, 0.35%, 0.0002024%), (SBUX, 0, 0.34%, 0.0003437%), (MMM, 0, 0.31%, 0.0003827%), (AMGN, 0, 0.31%, 0.0002060%), (AMAT, 0, 0.31%, 0.0002415%), (CVS, 0, 0.29%, 0.0003257%), (TJX, 0, 0.28%, 0.0001907%), (GILD, 0, 0.28%, 0.0002071%), (PFE, 0, 0.28%, 0.0002057%), (EMR, 0, 0.28%, 0.0003781%), (LOW, 0, 0.27%, 0.0001903%), (MO, 0, 0.27%, 0.0002461%), (DHR, 0, 0.27%, 0.0001879%), (INTC, 0, 0.25%, 0.0002164%), (ELV, 0, 0.23%, 0.0003429%), (CMCSA, 0, 0.22%, 0.0001865%), (MDLZ, 0, 0.20%, 0.0002526%), (BMY, 0, 0.19%, 0.0002056%), (UPS, 0, 0.18%, 0.0002835%), (PYPL, 0, 0.17%, 0.0002633%), (USB, 0, 0.15%, 0.0002031%), (CL, 0, 0.15%, 0.0002250%), (FDX, 0, 0.15%, 0.0002721%), (TGT, 0, 0.08%, 0.0001932%), (nan, 0, -0.01%, 0.0000000%), (nan, 0, -0.02%, 0.0000000%)</t>
  </si>
  <si>
    <t>(GOOGLE, 0, 3.97%, 0.0000393%), (AVGO, 0, 3.30%, 0.0000541%), (META, 0, 2.89%, 0.0000417%), (BRK/B, 0, 2.22%, 0.0000766%), (CSCO, 0, 1.88%, 0.0001622%), (LIN, 0, 1.85%, 0.0001942%), (TSLA, 0, 1.77%, 0.0000365%), (JPM, 0, 1.70%, 0.0000486%), (AMT, 0, 1.58%, 0.0003930%), (XOM, 0, 1.55%, 0.0000759%), (V, 0, 1.48%, 0.0000586%), (MA, 0, 1.18%, 0.0000530%), (CB, 0, 1.18%, 0.0002582%), (LLY, 0, 1.17%, 0.0000403%), (GE, 0, 1.10%, 0.0000898%), (WM, 0, 1.08%, 0.0002825%), (ORCL, 0, 0.97%, 0.0000334%), (NFLX, 0, 0.93%, 0.0000420%), (UNH, 0, 0.91%, 0.0000783%), (NEE, 0, 0.89%, 0.0001404%), (JNJ, 0, 0.87%, 0.0000484%), (CVX, 0, 0.83%, 0.0000601%), (PLTR, 0, 0.81%, 0.0000534%), (PG, 0, 0.81%, 0.0000525%), (COST, 0, 0.79%, 0.0000447%), (WMT, 0, 0.79%, 0.0000243%), (RTX, 0, 0.79%, 0.0000869%), (CAT, 0, 0.78%, 0.0000901%), (MCD, 0, 0.77%, 0.0000811%), (HD, 0, 0.76%, 0.0000440%), (ABBV, 0, 0.75%, 0.0000484%), (ABT, 0, 0.74%, 0.0000768%), (BAC, 0, 0.67%, 0.0000428%), (BA, 0, 0.65%, 0.0000860%), (BKNG, 0, 0.65%, 0.0000838%), (KO, 0, 0.64%, 0.0000515%), (AMD, 0, 0.63%, 0.0000547%), (PM, 0, 0.62%, 0.0000571%), (NKE, 0, 0.62%, 0.0001592%), (SO, 0, 0.61%, 0.0001415%), (CRM, 0, 0.60%, 0.0000596%), (GS, 0, 0.58%, 0.0000603%), (UBER, 0, 0.57%, 0.0000676%), (DUK, 0, 0.57%, 0.0001413%), (IBM, 0, 0.57%, 0.0000586%), (ISRG, 0, 0.55%, 0.0000773%), (WFC, 0, 0.54%, 0.0000494%), (MET, 0, 0.54%, 0.0002370%), (HON, 0, 0.53%, 0.0000896%), (ETN, 0, 0.52%, 0.0000889%), (PEP, 0, 0.49%, 0.0000573%), (NOW, 0, 0.48%, 0.0000587%), (INTU, 0, 0.47%, 0.0000595%), (DE, 0, 0.46%, 0.0000825%), (T, 0, 0.46%, 0.0002458%), (MS, 0, 0.45%, 0.0000448%), (AXP, 0, 0.44%, 0.0000466%), (MRK, 0, 0.43%, 0.0000490%), (TXN, 0, 0.43%, 0.0000549%), (SPGI, 0, 0.42%, 0.0000604%), (VZ, 0, 0.41%, 0.0000525%), (QCOM, 0, 0.41%, 0.0000563%), (BLK, 0, 0.40%, 0.0000542%), (ACN, 0, 0.40%, 0.0000594%), (COP, 0, 0.40%, 0.0000763%), (ADBE, 0, 0.39%, 0.0000624%), (MDT, 0, 0.39%, 0.0000770%), (TMO, 0, 0.38%, 0.0000492%), (UNP, 0, 0.38%, 0.0000684%), (DIS, 0, 0.38%, 0.0000419%), (C, 0, 0.37%, 0.0000488%), (LMT, 0, 0.35%, 0.0000799%), (SCHW, 0, 0.35%, 0.0000474%), (SBUX, 0, 0.34%, 0.0000806%), (MMM, 0, 0.32%, 0.0000898%), (AMGN, 0, 0.31%, 0.0000483%), (AMAT, 0, 0.31%, 0.0000566%), (CVS, 0, 0.29%, 0.0000763%), (TJX, 0, 0.29%, 0.0000447%), (GILD, 0, 0.29%, 0.0000486%), (PFE, 0, 0.29%, 0.0000482%), (EMR, 0, 0.28%, 0.0000887%), (LOW, 0, 0.27%, 0.0000446%), (MO, 0, 0.27%, 0.0000577%), (DHR, 0, 0.27%, 0.0000440%), (INTC, 0, 0.25%, 0.0000507%), (ELV, 0, 0.24%, 0.0000805%), (CMCSA, 0, 0.23%, 0.0000437%), (MDLZ, 0, 0.20%, 0.0000592%), (BMY, 0, 0.19%, 0.0000482%), (UPS, 0, 0.18%, 0.0000664%), (PYPL, 0, 0.17%, 0.0000618%), (USB, 0, 0.15%, 0.0000476%), (CL, 0, 0.15%, 0.0000527%), (FDX, 0, 0.15%, 0.0000636%), (TGT, 0, 0.08%, 0.0000453%), (nan, 0, -0.01%, 0.0000000%), (nan, 0, -0.02%, 0.0000000%)</t>
  </si>
  <si>
    <t>(GOOGLE, 0, 3.76%, 0.0000689%), (AVGO, 0, 3.14%, 0.0000948%), (META, 0, 2.74%, 0.0000731%), (BRK/B, 0, 2.11%, 0.0001343%), (CSCO, 0, 1.78%, 0.0002843%), (LIN, 0, 1.76%, 0.0003405%), (TSLA, 0, 1.68%, 0.0000640%), (JPM, 0, 1.61%, 0.0000852%), (AMT, 0, 1.50%, 0.0006889%), (XOM, 0, 1.47%, 0.0001330%), (V, 0, 1.40%, 0.0001027%), (MA, 0, 1.12%, 0.0000929%), (LLY, 0, 1.12%, 0.0000707%), (CB, 0, 1.12%, 0.0004523%), (GE, 0, 1.04%, 0.0001574%), (WM, 0, 1.03%, 0.0004950%), (ORCL, 0, 0.92%, 0.0000586%), (NFLX, 0, 0.88%, 0.0000736%), (UNH, 0, 0.86%, 0.0001371%), (NEE, 0, 0.85%, 0.0002459%), (JNJ, 0, 0.82%, 0.0000847%), (CVX, 0, 0.79%, 0.0001054%), (PLTR, 0, 0.77%, 0.0000936%), (PG, 0, 0.77%, 0.0000919%), (COST, 0, 0.75%, 0.0000783%), (RTX, 0, 0.75%, 0.0001522%), (WMT, 0, 0.75%, 0.0000426%), (CAT, 0, 0.74%, 0.0001580%), (MCD, 0, 0.73%, 0.0001422%), (HD, 0, 0.72%, 0.0000772%), (ABBV, 0, 0.71%, 0.0000848%), (ABT, 0, 0.71%, 0.0001347%), (BAC, 0, 0.64%, 0.0000750%), (BA, 0, 0.62%, 0.0001508%), (BKNG, 0, 0.61%, 0.0001458%), (KO, 0, 0.61%, 0.0000903%), (AMD, 0, 0.60%, 0.0000959%), (NKE, 0, 0.59%, 0.0002790%), (PM, 0, 0.59%, 0.0001000%), (SO, 0, 0.58%, 0.0002480%), (CRM, 0, 0.58%, 0.0001043%), (GS, 0, 0.54%, 0.0001057%), (UBER, 0, 0.54%, 0.0001184%), (IBM, 0, 0.54%, 0.0001028%), (DUK, 0, 0.54%, 0.0002476%), (ISRG, 0, 0.52%, 0.0001357%), (WFC, 0, 0.52%, 0.0000865%), (MET, 0, 0.51%, 0.0004153%), (HON, 0, 0.51%, 0.0001570%), (ETN, 0, 0.49%, 0.0001557%), (PEP, 0, 0.46%, 0.0001005%), (NOW, 0, 0.46%, 0.0001029%), (INTU, 0, 0.44%, 0.0001044%), (DE, 0, 0.44%, 0.0001443%), (T, 0, 0.44%, 0.0004308%), (MS, 0, 0.43%, 0.0000784%), (AXP, 0, 0.42%, 0.0000816%), (TXN, 0, 0.41%, 0.0000963%), (MRK, 0, 0.41%, 0.0000859%), (SPGI, 0, 0.40%, 0.0001060%), (QCOM, 0, 0.39%, 0.0000987%), (VZ, 0, 0.39%, 0.0000920%), (ACN, 0, 0.38%, 0.0001042%), (BLK, 0, 0.38%, 0.0000949%), (COP, 0, 0.38%, 0.0001336%), (ADBE, 0, 0.37%, 0.0001092%), (MDT, 0, 0.37%, 0.0001350%), (TMO, 0, 0.36%, 0.0000862%), (UNP, 0, 0.36%, 0.0001199%), (DIS, 0, 0.36%, 0.0000735%), (C, 0, 0.35%, 0.0000855%), (LMT, 0, 0.34%, 0.0001400%), (SCHW, 0, 0.33%, 0.0000831%), (SBUX, 0, 0.32%, 0.0001412%), (MMM, 0, 0.30%, 0.0001572%), (AMGN, 0, 0.30%, 0.0000847%), (AMAT, 0, 0.30%, 0.0000992%), (CVS, 0, 0.28%, 0.0001338%), (TJX, 0, 0.27%, 0.0000784%), (GILD, 0, 0.27%, 0.0000851%), (PFE, 0, 0.27%, 0.0000845%), (EMR, 0, 0.27%, 0.0001553%), (LOW, 0, 0.26%, 0.0000783%), (MO, 0, 0.26%, 0.0001012%), (DHR, 0, 0.26%, 0.0000772%), (INTC, 0, 0.24%, 0.0000889%), (ELV, 0, 0.22%, 0.0001408%), (CMCSA, 0, 0.21%, 0.0000766%), (MDLZ, 0, 0.19%, 0.0001038%), (BMY, 0, 0.19%, 0.0000845%), (UPS, 0, 0.17%, 0.0001166%), (PYPL, 0, 0.16%, 0.0001082%), (USB, 0, 0.14%, 0.0000835%), (CL, 0, 0.14%, 0.0000924%), (FDX, 0, 0.14%, 0.0001119%), (TGT, 0, 0.08%, 0.0000794%), (nan, 0, -0.01%, 0.0000000%), (nan, 0, -0.02%, 0.0000000%)</t>
  </si>
  <si>
    <t>(GOOGLE, 0, 3.85%, 0.0000249%), (AVGO, 0, 3.20%, 0.0000343%), (META, 0, 2.80%, 0.0000264%), (BRK/B, 0, 2.15%, 0.0000485%), (CSCO, 0, 1.82%, 0.0001028%), (LIN, 0, 1.80%, 0.0001231%), (TSLA, 0, 1.72%, 0.0000232%), (JPM, 0, 1.65%, 0.0000308%), (AMT, 0, 1.53%, 0.0002491%), (XOM, 0, 1.50%, 0.0000481%), (V, 0, 1.43%, 0.0000371%), (MA, 0, 1.15%, 0.0000335%), (CB, 0, 1.14%, 0.0001634%), (LLY, 0, 1.13%, 0.0000255%), (GE, 0, 1.07%, 0.0000569%), (WM, 0, 1.05%, 0.0001790%), (ORCL, 0, 0.94%, 0.0000212%), (NFLX, 0, 0.90%, 0.0000267%), (UNH, 0, 0.88%, 0.0000496%), (NEE, 0, 0.87%, 0.0000889%), (JNJ, 0, 0.84%, 0.0000306%), (CVX, 0, 0.81%, 0.0000381%), (PLTR, 0, 0.79%, 0.0000339%), (PG, 0, 0.78%, 0.0000332%), (COST, 0, 0.77%, 0.0000282%), (WMT, 0, 0.77%, 0.0000154%), (RTX, 0, 0.76%, 0.0000550%), (CAT, 0, 0.75%, 0.0000572%), (MCD, 0, 0.74%, 0.0000514%), (HD, 0, 0.73%, 0.0000279%), (ABBV, 0, 0.73%, 0.0000307%), (ABT, 0, 0.72%, 0.0000487%), (BAC, 0, 0.65%, 0.0000271%), (BA, 0, 0.63%, 0.0000545%), (BKNG, 0, 0.62%, 0.0000527%), (KO, 0, 0.62%, 0.0000326%), (AMD, 0, 0.61%, 0.0000346%), (PM, 0, 0.61%, 0.0000362%), (NKE, 0, 0.61%, 0.0001008%), (SO, 0, 0.59%, 0.0000897%), (CRM, 0, 0.59%, 0.0000377%), (GS, 0, 0.56%, 0.0000383%), (UBER, 0, 0.56%, 0.0000428%), (DUK, 0, 0.55%, 0.0000896%), (IBM, 0, 0.55%, 0.0000371%), (ISRG, 0, 0.53%, 0.0000491%), (WFC, 0, 0.53%, 0.0000313%), (MET, 0, 0.52%, 0.0001501%), (HON, 0, 0.52%, 0.0000567%), (ETN, 0, 0.50%, 0.0000563%), (PEP, 0, 0.47%, 0.0000363%), (NOW, 0, 0.46%, 0.0000370%), (INTU, 0, 0.46%, 0.0000377%), (DE, 0, 0.45%, 0.0000522%), (T, 0, 0.45%, 0.0001558%), (MS, 0, 0.44%, 0.0000284%), (AXP, 0, 0.43%, 0.0000295%), (MRK, 0, 0.42%, 0.0000310%), (TXN, 0, 0.42%, 0.0000348%), (SPGI, 0, 0.41%, 0.0000383%), (VZ, 0, 0.40%, 0.0000333%), (QCOM, 0, 0.40%, 0.0000357%), (ACN, 0, 0.39%, 0.0000377%), (BLK, 0, 0.39%, 0.0000342%), (COP, 0, 0.39%, 0.0000484%), (ADBE, 0, 0.38%, 0.0000394%), (MDT, 0, 0.37%, 0.0000488%), (TMO, 0, 0.37%, 0.0000311%), (UNP, 0, 0.37%, 0.0000433%), (DIS, 0, 0.36%, 0.0000266%), (C, 0, 0.36%, 0.0000309%), (LMT, 0, 0.35%, 0.0000506%), (SCHW, 0, 0.34%, 0.0000301%), (SBUX, 0, 0.33%, 0.0000510%), (MMM, 0, 0.31%, 0.0000568%), (AMGN, 0, 0.31%, 0.0000306%), (AMAT, 0, 0.30%, 0.0000359%), (CVS, 0, 0.29%, 0.0000484%), (TJX, 0, 0.28%, 0.0000283%), (GILD, 0, 0.28%, 0.0000308%), (PFE, 0, 0.28%, 0.0000306%), (EMR, 0, 0.28%, 0.0000561%), (LOW, 0, 0.27%, 0.0000284%), (MO, 0, 0.26%, 0.0000366%), (DHR, 0, 0.26%, 0.0000279%), (INTC, 0, 0.24%, 0.0000321%), (ELV, 0, 0.23%, 0.0000508%), (CMCSA, 0, 0.22%, 0.0000277%), (MDLZ, 0, 0.19%, 0.0000375%), (BMY, 0, 0.19%, 0.0000306%), (UPS, 0, 0.18%, 0.0000421%), (PYPL, 0, 0.17%, 0.0000391%), (USB, 0, 0.15%, 0.0000301%), (CL, 0, 0.15%, 0.0000334%), (FDX, 0, 0.14%, 0.0000403%), (TGT, 0, 0.08%, 0.0000286%), (nan, 0, -0.01%, 0.0000000%), (nan, 0, -0.02%, 0.0000000%)</t>
  </si>
  <si>
    <t>(GOOGLE, 0, 4.07%, 0.0000597%), (AVGO, 0, 3.39%, 0.0000821%), (META, 0, 2.97%, 0.0000632%), (BRK/B, 0, 2.28%, 0.0001162%), (CSCO, 0, 1.93%, 0.0002461%), (LIN, 0, 1.90%, 0.0002947%), (TSLA, 0, 1.82%, 0.0000554%), (JPM, 0, 1.74%, 0.0000738%), (AMT, 0, 1.62%, 0.0005964%), (XOM, 0, 1.59%, 0.0001152%), (V, 0, 1.51%, 0.0000889%), (MA, 0, 1.21%, 0.0000803%), (CB, 0, 1.21%, 0.0003916%), (LLY, 0, 1.20%, 0.0000611%), (GE, 0, 1.13%, 0.0001362%), (WM, 0, 1.11%, 0.0004284%), (ORCL, 0, 0.99%, 0.0000507%), (NFLX, 0, 0.95%, 0.0000637%), (UNH, 0, 0.93%, 0.0001188%), (NEE, 0, 0.92%, 0.0002129%), (JNJ, 0, 0.89%, 0.0000733%), (CVX, 0, 0.85%, 0.0000912%), (PLTR, 0, 0.83%, 0.0000810%), (PG, 0, 0.83%, 0.0000796%), (COST, 0, 0.81%, 0.0000677%), (WMT, 0, 0.81%, 0.0000369%), (RTX, 0, 0.81%, 0.0001318%), (CAT, 0, 0.80%, 0.0001368%), (MCD, 0, 0.79%, 0.0001232%), (HD, 0, 0.78%, 0.0000668%), (ABBV, 0, 0.77%, 0.0000734%), (ABT, 0, 0.76%, 0.0001166%), (BAC, 0, 0.69%, 0.0000649%), (BA, 0, 0.67%, 0.0001305%), (BKNG, 0, 0.67%, 0.0001272%), (KO, 0, 0.66%, 0.0000782%), (AMD, 0, 0.65%, 0.0000830%), (PM, 0, 0.64%, 0.0000866%), (NKE, 0, 0.64%, 0.0002415%), (SO, 0, 0.63%, 0.0002147%), (CRM, 0, 0.62%, 0.0000903%), (GS, 0, 0.59%, 0.0000914%), (UBER, 0, 0.59%, 0.0001025%), (DUK, 0, 0.59%, 0.0002144%), (IBM, 0, 0.58%, 0.0000890%), (ISRG, 0, 0.57%, 0.0001173%), (WFC, 0, 0.56%, 0.0000749%), (MET, 0, 0.55%, 0.0003595%), (HON, 0, 0.55%, 0.0001359%), (ETN, 0, 0.53%, 0.0001349%), (PEP, 0, 0.50%, 0.0000870%), (NOW, 0, 0.49%, 0.0000889%), (INTU, 0, 0.48%, 0.0000904%), (DE, 0, 0.48%, 0.0001250%), (T, 0, 0.47%, 0.0003729%), (MS, 0, 0.47%, 0.0000679%), (AXP, 0, 0.45%, 0.0000706%), (MRK, 0, 0.44%, 0.0000743%), (TXN, 0, 0.44%, 0.0000833%), (SPGI, 0, 0.44%, 0.0000918%), (QCOM, 0, 0.42%, 0.0000854%), (VZ, 0, 0.42%, 0.0000796%), (ACN, 0, 0.41%, 0.0000902%), (BLK, 0, 0.41%, 0.0000820%), (COP, 0, 0.41%, 0.0001157%), (ADBE, 0, 0.40%, 0.0000946%), (MDT, 0, 0.40%, 0.0001169%), (TMO, 0, 0.39%, 0.0000748%), (UNP, 0, 0.39%, 0.0001037%), (DIS, 0, 0.39%, 0.0000636%), (C, 0, 0.38%, 0.0000740%), (LMT, 0, 0.36%, 0.0001210%), (SCHW, 0, 0.36%, 0.0000720%), (SBUX, 0, 0.35%, 0.0001223%), (MMM, 0, 0.33%, 0.0001361%), (AMGN, 0, 0.32%, 0.0000734%), (AMAT, 0, 0.32%, 0.0000859%), (CVS, 0, 0.30%, 0.0001159%), (TJX, 0, 0.30%, 0.0000678%), (GILD, 0, 0.30%, 0.0000737%), (PFE, 0, 0.29%, 0.0000732%), (EMR, 0, 0.29%, 0.0001345%), (LOW, 0, 0.28%, 0.0000678%), (MO, 0, 0.28%, 0.0000876%), (DHR, 0, 0.28%, 0.0000668%), (INTC, 0, 0.26%, 0.0000770%), (ELV, 0, 0.24%, 0.0001219%), (CMCSA, 0, 0.23%, 0.0000663%), (MDLZ, 0, 0.20%, 0.0000898%), (BMY, 0, 0.20%, 0.0000731%), (UPS, 0, 0.19%, 0.0001008%), (PYPL, 0, 0.18%, 0.0000936%), (USB, 0, 0.16%, 0.0000722%), (CL, 0, 0.15%, 0.0000800%), (FDX, 0, 0.15%, 0.0000966%), (TGT, 0, 0.09%, 0.0000687%), (nan, 0, -0.01%, 0.0000000%), (nan, 0, -0.02%, 0.0000000%)</t>
  </si>
  <si>
    <t>EBAY, BK, META, GOOGLE, MLI, JPM, MSFT, BKNG, EA, BLK, RJF</t>
  </si>
  <si>
    <t>(PHM, 0, 1.95%, 0.0042064%), (AXP, 0, 1.93%, 0.0004731%), (EWBC, 0, 1.92%, 0.0072478%), (HIG, 0, 1.85%, 0.0027766%), (V, 0, 1.83%, 0.0001701%), (TRV, 0, 1.80%, 0.0016480%), (NVDA, 0, 1.76%, 0.0000222%), (ROST, 0, 1.74%, 0.0019792%), (SNA, 0, 1.71%, 0.0055396%), (ADP, 0, 1.70%, 0.0007633%), (SYF, 0, 1.68%, 0.0033504%), (PCAR, 0, 1.67%, 0.0017399%), (AMAT, 0, 1.66%, 0.0006949%), (KLAC, 0, 1.66%, 0.0007778%), (LEN, 0, 1.65%, 0.0030478%), (UNM, 0, 1.63%, 0.0076324%), (CB, 0, 1.61%, 0.0008284%), (CRM, 0, 1.53%, 0.0003477%), (CTSH, 0, 1.52%, 0.0024196%), (PAYC, 0, 1.45%, 0.0061078%), (BKR, 0, 1.42%, 0.0017416%), (WSM, 0, 1.39%, 0.0033549%), (DHI, 0, 1.39%, 0.0015393%), (QCOM, 0, 1.36%, 0.0004320%), (ACN, 0, 1.28%, 0.0004420%), (AAPL, 0, 1.27%, 0.0000204%), (ELV, 0, 1.25%, 0.0009958%), (AFL, 0, 1.23%, 0.0011935%), (MPWR, 0, 1.15%, 0.0015410%), (LRCX, 0, 1.12%, 0.0004740%), (CSCO, 0, 1.09%, 0.0002187%), (ODFL, 0, 1.07%, 0.0018837%), (GE, 0, 1.04%, 0.0001978%), (STT, 0, 1.00%, 0.0017156%), (PNC, 0, 0.96%, 0.0006516%), (MTB, 0, 0.93%, 0.0016592%), (AMP, 0, 0.87%, 0.0010042%), (CF, 0, 0.87%, 0.0033814%), (XOM, 0, 0.82%, 0.0000941%), (ABT, 0, 0.82%, 0.0001984%), (COST, 0, 0.82%, 0.0001081%), (EOG, 0, 0.81%, 0.0006610%), (CSL, 0, 0.75%, 0.0025703%), (EG, 0, 0.75%, 0.0028905%), (GEV, 0, 0.56%, 0.0001802%), (NTRS, 0, 0.53%, 0.0011760%), (MA, 0, 0.50%, 0.0000521%), (CRBG, 0, 0.48%, 0.0014186%), (ACM, 0, 0.48%, 0.0015886%), (JNJ, 0, 0.47%, 0.0000618%), (LNC, 0, 0.47%, 0.0032026%), (WTFC, 0, 0.45%, 0.0026765%), (JXN, 0, 0.45%, 0.0036051%), (MTG, 0, 0.44%, 0.0039063%), (CINF, 0, 0.43%, 0.0009915%), (DOV, 0, 0.43%, 0.0009486%), (ADM, 0, 0.42%, 0.0007709%), (EQH, 0, 0.42%, 0.0014396%), (ALL, 0, 0.41%, 0.0004182%), (SLM, 0, 0.41%, 0.0035176%), (NUE, 0, 0.40%, 0.0006478%), (MCK, 0, 0.40%, 0.0002581%), (NKE, 0, 0.38%, 0.0002279%), (PGR, 0, 0.36%, 0.0001383%), (FANG, 0, 0.31%, 0.0004000%)</t>
  </si>
  <si>
    <t>(GOOGLE, 0, 3.73%, 0.0000634%), (AVGO, 0, 3.11%, 0.0000873%), (META, 0, 2.71%, 0.0000672%), (BRK/B, 0, 2.09%, 0.0001235%), (CSCO, 0, 1.77%, 0.0002616%), (LIN, 0, 1.74%, 0.0003133%), (TSLA, 0, 1.67%, 0.0000589%), (JPM, 0, 1.60%, 0.0000784%), (AMT, 0, 1.49%, 0.0006340%), (XOM, 0, 1.45%, 0.0001224%), (V, 0, 1.39%, 0.0000945%), (MA, 0, 1.11%, 0.0000855%), (LLY, 0, 1.11%, 0.0000651%), (CB, 0, 1.11%, 0.0004162%), (GE, 0, 1.03%, 0.0001448%), (WM, 0, 1.02%, 0.0004555%), (ORCL, 0, 0.91%, 0.0000539%), (NFLX, 0, 0.87%, 0.0000677%), (UNH, 0, 0.85%, 0.0001262%), (NEE, 0, 0.84%, 0.0002263%), (JNJ, 0, 0.81%, 0.0000779%), (CVX, 0, 0.78%, 0.0000970%), (PLTR, 0, 0.76%, 0.0000861%), (PG, 0, 0.76%, 0.0000846%), (COST, 0, 0.74%, 0.0000720%), (WMT, 0, 0.74%, 0.0000392%), (RTX, 0, 0.74%, 0.0001401%), (CAT, 0, 0.73%, 0.0001454%), (MCD, 0, 0.72%, 0.0001309%), (HD, 0, 0.71%, 0.0000710%), (ABBV, 0, 0.71%, 0.0000781%), (ABT, 0, 0.70%, 0.0001239%), (BAC, 0, 0.63%, 0.0000690%), (BA, 0, 0.61%, 0.0001388%), (KO, 0, 0.60%, 0.0000831%), (BKNG, 0, 0.60%, 0.0001334%), (AMD, 0, 0.59%, 0.0000882%), (NKE, 0, 0.59%, 0.0002567%), (PM, 0, 0.59%, 0.0000921%), (SO, 0, 0.57%, 0.0002282%), (CRM, 0, 0.57%, 0.0000960%), (GS, 0, 0.54%, 0.0000974%), (UBER, 0, 0.54%, 0.0001089%), (DUK, 0, 0.54%, 0.0002278%), (IBM, 0, 0.53%, 0.0000946%), (ISRG, 0, 0.52%, 0.0001247%), (WFC, 0, 0.51%, 0.0000796%), (MET, 0, 0.51%, 0.0003821%), (HON, 0, 0.50%, 0.0001446%), (ETN, 0, 0.49%, 0.0001433%), (PEP, 0, 0.46%, 0.0000925%), (NOW, 0, 0.45%, 0.0000947%), (INTU, 0, 0.44%, 0.0000961%), (DE, 0, 0.44%, 0.0001328%), (T, 0, 0.43%, 0.0003964%), (MS, 0, 0.43%, 0.0000722%), (AXP, 0, 0.42%, 0.0000751%), (MRK, 0, 0.41%, 0.0000790%), (TXN, 0, 0.41%, 0.0000886%), (SPGI, 0, 0.40%, 0.0000974%), (QCOM, 0, 0.39%, 0.0000908%), (VZ, 0, 0.39%, 0.0000847%), (ACN, 0, 0.38%, 0.0000958%), (BLK, 0, 0.38%, 0.0000872%), (COP, 0, 0.37%, 0.0001230%), (ADBE, 0, 0.37%, 0.0001006%), (MDT, 0, 0.36%, 0.0001242%), (TMO, 0, 0.36%, 0.0000793%), (UNP, 0, 0.36%, 0.0001103%), (DIS, 0, 0.35%, 0.0000676%), (C, 0, 0.34%, 0.0000787%), (LMT, 0, 0.33%, 0.0001288%), (SCHW, 0, 0.33%, 0.0000765%), (SBUX, 0, 0.32%, 0.0001299%), (MMM, 0, 0.30%, 0.0001446%), (AMGN, 0, 0.30%, 0.0000778%), (AMAT, 0, 0.30%, 0.0000913%), (CVS, 0, 0.28%, 0.0001231%), (TJX, 0, 0.27%, 0.0000721%), (GILD, 0, 0.27%, 0.0000783%), (PFE, 0, 0.27%, 0.0000778%), (EMR, 0, 0.27%, 0.0001430%), (LOW, 0, 0.26%, 0.0000720%), (MO, 0, 0.26%, 0.0000930%), (DHR, 0, 0.25%, 0.0000711%), (INTC, 0, 0.23%, 0.0000818%), (ELV, 0, 0.22%, 0.0001296%), (CMCSA, 0, 0.21%, 0.0000705%), (MDLZ, 0, 0.19%, 0.0000956%), (BMY, 0, 0.18%, 0.0000777%), (UPS, 0, 0.17%, 0.0001072%), (PYPL, 0, 0.16%, 0.0000995%), (USB, 0, 0.14%, 0.0000768%), (CL, 0, 0.14%, 0.0000851%), (FDX, 0, 0.14%, 0.0001030%), (TGT, 0, 0.08%, 0.0000731%), (nan, 0, -0.01%, 0.0000000%), (nan, 0, -0.02%, 0.0000000%)</t>
  </si>
  <si>
    <t>(GOOGLE, 0, 3.90%, 0.0001296%), (AVGO, 0, 3.25%, 0.0001784%), (META, 0, 2.84%, 0.0001374%), (BRK/B, 0, 2.19%, 0.0002525%), (CSCO, 0, 1.85%, 0.0005347%), (LIN, 0, 1.82%, 0.0006403%), (TSLA, 0, 1.74%, 0.0001204%), (JPM, 0, 1.67%, 0.0001603%), (AMT, 0, 1.55%, 0.0012960%), (XOM, 0, 1.52%, 0.0002503%), (V, 0, 1.45%, 0.0001932%), (MA, 0, 1.16%, 0.0001747%), (CB, 0, 1.16%, 0.0008507%), (LLY, 0, 1.16%, 0.0001330%), (GE, 0, 1.08%, 0.0002960%), (WM, 0, 1.07%, 0.0009308%), (ORCL, 0, 0.95%, 0.0001102%), (NFLX, 0, 0.91%, 0.0001385%), (UNH, 0, 0.89%, 0.0002580%), (NEE, 0, 0.88%, 0.0004626%), (JNJ, 0, 0.85%, 0.0001593%), (CVX, 0, 0.82%, 0.0001982%), (PLTR, 0, 0.80%, 0.0001761%), (PG, 0, 0.80%, 0.0001729%), (COST, 0, 0.78%, 0.0001471%), (RTX, 0, 0.78%, 0.0002863%), (WMT, 0, 0.78%, 0.0000802%), (CAT, 0, 0.77%, 0.0002973%), (MCD, 0, 0.75%, 0.0002675%), (HD, 0, 0.74%, 0.0001451%), (ABBV, 0, 0.74%, 0.0001595%), (ABT, 0, 0.73%, 0.0002533%), (BAC, 0, 0.66%, 0.0001411%), (BA, 0, 0.64%, 0.0002836%), (KO, 0, 0.63%, 0.0001698%), (BKNG, 0, 0.63%, 0.0002730%), (AMD, 0, 0.62%, 0.0001804%), (NKE, 0, 0.61%, 0.0005247%), (PM, 0, 0.61%, 0.0001882%), (SO, 0, 0.60%, 0.0004666%), (CRM, 0, 0.60%, 0.0001962%), (GS, 0, 0.57%, 0.0001987%), (UBER, 0, 0.56%, 0.0002227%), (DUK, 0, 0.56%, 0.0004658%), (IBM, 0, 0.56%, 0.0001933%), (ISRG, 0, 0.54%, 0.0002550%), (WFC, 0, 0.54%, 0.0001627%), (MET, 0, 0.53%, 0.0007812%), (HON, 0, 0.52%, 0.0002955%), (ETN, 0, 0.51%, 0.0002928%), (PEP, 0, 0.48%, 0.0001891%), (NOW, 0, 0.47%, 0.0001938%), (INTU, 0, 0.46%, 0.0001966%), (DE, 0, 0.46%, 0.0002715%), (T, 0, 0.45%, 0.0008103%), (MS, 0, 0.45%, 0.0001476%), (AXP, 0, 0.44%, 0.0001534%), (MRK, 0, 0.42%, 0.0001615%), (TXN, 0, 0.42%, 0.0001810%), (SPGI, 0, 0.42%, 0.0001991%), (QCOM, 0, 0.41%, 0.0001857%), (VZ, 0, 0.41%, 0.0001731%), (ACN, 0, 0.40%, 0.0001960%), (BLK, 0, 0.39%, 0.0001782%), (COP, 0, 0.39%, 0.0002514%), (ADBE, 0, 0.38%, 0.0002054%), (MDT, 0, 0.38%, 0.0002539%), (TMO, 0, 0.38%, 0.0001624%), (UNP, 0, 0.38%, 0.0002254%), (DIS, 0, 0.37%, 0.0001383%), (C, 0, 0.36%, 0.0001608%), (LMT, 0, 0.35%, 0.0002632%), (SCHW, 0, 0.35%, 0.0001564%), (SBUX, 0, 0.34%, 0.0002656%), (MMM, 0, 0.31%, 0.0002957%), (AMAT, 0, 0.31%, 0.0001867%), (AMGN, 0, 0.31%, 0.0001592%), (CVS, 0, 0.29%, 0.0002518%), (TJX, 0, 0.28%, 0.0001474%), (GILD, 0, 0.28%, 0.0001600%), (PFE, 0, 0.28%, 0.0001589%), (EMR, 0, 0.28%, 0.0002923%), (LOW, 0, 0.27%, 0.0001471%), (MO, 0, 0.27%, 0.0001902%), (DHR, 0, 0.27%, 0.0001451%), (INTC, 0, 0.24%, 0.0001672%), (ELV, 0, 0.23%, 0.0002650%), (CMCSA, 0, 0.22%, 0.0001441%), (MDLZ, 0, 0.20%, 0.0001952%), (BMY, 0, 0.19%, 0.0001589%), (UPS, 0, 0.18%, 0.0002191%), (PYPL, 0, 0.17%, 0.0002035%), (USB, 0, 0.15%, 0.0001570%), (CL, 0, 0.15%, 0.0001738%), (FDX, 0, 0.15%, 0.0002102%), (TGT, 0, 0.08%, 0.0001492%), (nan, 0, -0.01%, 0.0000000%), (nan, 0, -0.02%, 0.0000000%)</t>
  </si>
  <si>
    <t>(GOOGLE, 0, 3.68%, 0.0002600%), (AVGO, 0, 3.06%, 0.0003578%), (META, 0, 2.68%, 0.0002756%), (BRK/B, 0, 2.06%, 0.0005065%), (CSCO, 0, 1.74%, 0.0010725%), (LIN, 0, 1.72%, 0.0012847%), (TSLA, 0, 1.64%, 0.0002415%), (JPM, 0, 1.58%, 0.0003216%), (AMT, 0, 1.47%, 0.0025996%), (XOM, 0, 1.43%, 0.0005020%), (V, 0, 1.37%, 0.0003875%), (MA, 0, 1.10%, 0.0003504%), (CB, 0, 1.09%, 0.0017065%), (LLY, 0, 1.09%, 0.0002666%), (GE, 0, 1.02%, 0.0005937%), (WM, 0, 1.01%, 0.0018674%), (ORCL, 0, 0.90%, 0.0002210%), (NFLX, 0, 0.86%, 0.0002778%), (UNH, 0, 0.84%, 0.0005175%), (NEE, 0, 0.83%, 0.0009279%), (JNJ, 0, 0.80%, 0.0003197%), (CVX, 0, 0.77%, 0.0003975%), (PLTR, 0, 0.75%, 0.0003533%), (PG, 0, 0.75%, 0.0003468%), (COST, 0, 0.74%, 0.0002954%), (WMT, 0, 0.73%, 0.0001608%), (RTX, 0, 0.73%, 0.0005744%), (CAT, 0, 0.72%, 0.0005964%), (MCD, 0, 0.71%, 0.0005366%), (HD, 0, 0.70%, 0.0002910%), (ABBV, 0, 0.70%, 0.0003200%), (ABT, 0, 0.69%, 0.0005081%), (BAC, 0, 0.63%, 0.0002830%), (BA, 0, 0.60%, 0.0005691%), (KO, 0, 0.60%, 0.0003406%), (BKNG, 0, 0.60%, 0.0005491%), (AMD, 0, 0.59%, 0.0003618%), (PM, 0, 0.58%, 0.0003775%), (NKE, 0, 0.58%, 0.0010525%), (SO, 0, 0.57%, 0.0009359%), (CRM, 0, 0.56%, 0.0003936%), (GS, 0, 0.53%, 0.0003988%), (UBER, 0, 0.53%, 0.0004468%), (DUK, 0, 0.53%, 0.0009342%), (IBM, 0, 0.53%, 0.0003877%), (ISRG, 0, 0.51%, 0.0005117%), (WFC, 0, 0.50%, 0.0003264%), (MET, 0, 0.50%, 0.0015669%), (HON, 0, 0.50%, 0.0005925%), (ETN, 0, 0.48%, 0.0005875%), (PEP, 0, 0.45%, 0.0003792%), (NOW, 0, 0.44%, 0.0003880%), (INTU, 0, 0.44%, 0.0003942%), (DE, 0, 0.43%, 0.0005445%), (T, 0, 0.43%, 0.0016253%), (MS, 0, 0.42%, 0.0002961%), (AXP, 0, 0.41%, 0.0003078%), (MRK, 0, 0.40%, 0.0003240%), (TXN, 0, 0.40%, 0.0003632%), (SPGI, 0, 0.39%, 0.0003996%), (QCOM, 0, 0.38%, 0.0003725%), (VZ, 0, 0.38%, 0.0003472%), (BLK, 0, 0.37%, 0.0003584%), (ACN, 0, 0.37%, 0.0003932%), (COP, 0, 0.37%, 0.0005043%), (ADBE, 0, 0.36%, 0.0004121%), (MDT, 0, 0.36%, 0.0005093%), (TMO, 0, 0.36%, 0.0003258%), (UNP, 0, 0.35%, 0.0004522%), (DIS, 0, 0.35%, 0.0002773%), (C, 0, 0.34%, 0.0003227%), (LMT, 0, 0.33%, 0.0005277%), (SCHW, 0, 0.33%, 0.0003137%), (SBUX, 0, 0.32%, 0.0005329%), (MMM, 0, 0.30%, 0.0005932%), (AMGN, 0, 0.29%, 0.0003195%), (AMAT, 0, 0.29%, 0.0003743%), (CVS, 0, 0.27%, 0.0005050%), (TJX, 0, 0.27%, 0.0002956%), (GILD, 0, 0.27%, 0.0003210%), (PFE, 0, 0.27%, 0.0003188%), (EMR, 0, 0.26%, 0.0005862%), (LOW, 0, 0.25%, 0.0002951%), (MO, 0, 0.25%, 0.0003816%), (DHR, 0, 0.25%, 0.0002911%), (INTC, 0, 0.23%, 0.0003354%), (ELV, 0, 0.22%, 0.0005314%), (CMCSA, 0, 0.21%, 0.0002891%), (MDLZ, 0, 0.18%, 0.0003917%), (BMY, 0, 0.18%, 0.0003187%), (UPS, 0, 0.17%, 0.0004396%), (PYPL, 0, 0.16%, 0.0004082%), (USB, 0, 0.14%, 0.0003149%), (CL, 0, 0.14%, 0.0003487%), (FDX, 0, 0.14%, 0.0004217%), (TGT, 0, 0.08%, 0.0002995%), (nan, 0, -0.01%, 0.0000000%), (nan, 0, -0.02%, 0.0000000%)</t>
  </si>
  <si>
    <t>(AVGO, 0, 2.90%, 0.0000511%), (META, 0, 2.56%, 0.0000394%), (BRK/B, 0, 2.01%, 0.0000723%), (CSCO, 0, 1.69%, 0.0001532%), (LIN, 0, 1.66%, 0.0001835%), (TSLA, 0, 1.55%, 0.0000345%), (JPM, 0, 1.53%, 0.0000459%), (AMT, 0, 1.43%, 0.0003713%), (XOM, 0, 1.40%, 0.0000717%), (V, 0, 1.34%, 0.0000554%), (MA, 0, 1.07%, 0.0000500%), (CB, 0, 1.07%, 0.0002439%), (LLY, 0, 1.06%, 0.0000381%), (GE, 0, 0.99%, 0.0000848%), (WM, 0, 0.98%, 0.0002668%), (UNH, 0, 0.84%, 0.0000740%), (ORCL, 0, 0.82%, 0.0000316%), (NFLX, 0, 0.82%, 0.0000396%), (NEE, 0, 0.80%, 0.0001326%), (JNJ, 0, 0.79%, 0.0000457%), (CVX, 0, 0.75%, 0.0000568%), (PG, 0, 0.73%, 0.0000495%), (PLTR, 0, 0.73%, 0.0000504%), (WMT, 0, 0.72%, 0.0000230%), (COST, 0, 0.71%, 0.0000422%), (RTX, 0, 0.70%, 0.0000820%), (MCD, 0, 0.69%, 0.0000768%), (ABBV, 0, 0.69%, 0.0000457%), (HD, 0, 0.68%, 0.0000416%), (ABT, 0, 0.68%, 0.0000726%), (CAT, 0, 0.68%, 0.0000852%), (BAC, 0, 0.61%, 0.0000404%), (BKNG, 0, 0.59%, 0.0000807%), (BA, 0, 0.58%, 0.0000813%), (KO, 0, 0.58%, 0.0000487%), (PM, 0, 0.57%, 0.0000539%), (NKE, 0, 0.56%, 0.0001504%), (CRM, 0, 0.55%, 0.0000563%), (AMD, 0, 0.55%, 0.0000517%), (SO, 0, 0.55%, 0.0001338%), (GS, 0, 0.52%, 0.0000570%), (DUK, 0, 0.51%, 0.0001335%), (IBM, 0, 0.51%, 0.0000554%), (UBER, 0, 0.50%, 0.0000638%), (ISRG, 0, 0.50%, 0.0000731%), (WFC, 0, 0.49%, 0.0000466%), (MET, 0, 0.49%, 0.0002238%), (HON, 0, 0.48%, 0.0000847%), (ETN, 0, 0.46%, 0.0000840%), (PEP, 0, 0.45%, 0.0000542%), (NOW, 0, 0.43%, 0.0000558%), (INTU, 0, 0.42%, 0.0000563%), (T, 0, 0.42%, 0.0002322%), (MS, 0, 0.41%, 0.0000423%), (DE, 0, 0.41%, 0.0000781%), (AXP, 0, 0.40%, 0.0000438%), (MRK, 0, 0.39%, 0.0000463%), (TXN, 0, 0.39%, 0.0000518%), (SPGI, 0, 0.38%, 0.0000571%), (VZ, 0, 0.37%, 0.0000496%), (QCOM, 0, 0.37%, 0.0000532%), (ACN, 0, 0.37%, 0.0000562%), (BLK, 0, 0.36%, 0.0000510%), (COP, 0, 0.36%, 0.0000721%), (ADBE, 0, 0.35%, 0.0000588%), (MDT, 0, 0.35%, 0.0000727%), (TMO, 0, 0.35%, 0.0000466%), (UNP, 0, 0.35%, 0.0000646%), (DIS, 0, 0.34%, 0.0000397%), (C, 0, 0.33%, 0.0000461%), (LMT, 0, 0.32%, 0.0000752%), (SCHW, 0, 0.31%, 0.0000448%), (SBUX, 0, 0.31%, 0.0000762%), (AMGN, 0, 0.29%, 0.0000457%), (MMM, 0, 0.28%, 0.0000847%), (AMAT, 0, 0.28%, 0.0000535%), (CVS, 0, 0.27%, 0.0000722%), (GILD, 0, 0.26%, 0.0000458%), (TJX, 0, 0.26%, 0.0000422%), (PFE, 0, 0.26%, 0.0000456%), (EMR, 0, 0.25%, 0.0000837%), (MO, 0, 0.25%, 0.0000545%), (LOW, 0, 0.25%, 0.0000421%), (DHR, 0, 0.24%, 0.0000416%), (INTC, 0, 0.22%, 0.0000479%), (ELV, 0, 0.22%, 0.0000760%), (CMCSA, 0, 0.21%, 0.0000413%), (MDLZ, 0, 0.18%, 0.0000560%), (BMY, 0, 0.18%, 0.0000455%), (UPS, 0, 0.16%, 0.0000629%), (PYPL, 0, 0.15%, 0.0000584%), (USB, 0, 0.14%, 0.0000450%), (CL, 0, 0.14%, 0.0000497%), (FDX, 0, 0.13%, 0.0000602%), (TGT, 0, 0.08%, 0.0000429%), (nan, 0, -0.01%, 0.0000000%), (nan, 0, -0.02%, 0.0000000%)</t>
  </si>
  <si>
    <t>(GOOGLE, 0, 3.90%, 0.0002219%), (AVGO, 0, 3.15%, 0.0003054%), (META, 0, 2.78%, 0.0002352%), (BRK/B, 0, 2.18%, 0.0004323%), (CSCO, 0, 1.83%, 0.0009153%), (LIN, 0, 1.80%, 0.0010963%), (TSLA, 0, 1.68%, 0.0002061%), (JPM, 0, 1.66%, 0.0002744%), (AMT, 0, 1.56%, 0.0022185%), (XOM, 0, 1.52%, 0.0004284%), (V, 0, 1.45%, 0.0003307%), (MA, 0, 1.17%, 0.0002990%), (CB, 0, 1.16%, 0.0014565%), (LLY, 0, 1.15%, 0.0002275%), (GE, 0, 1.07%, 0.0005066%), (WM, 0, 1.07%, 0.0015936%), (UNH, 0, 0.91%, 0.0004416%), (ORCL, 0, 0.89%, 0.0001886%), (NFLX, 0, 0.89%, 0.0002372%), (NEE, 0, 0.87%, 0.0007919%), (JNJ, 0, 0.86%, 0.0002728%), (CVX, 0, 0.82%, 0.0003393%), (PG, 0, 0.80%, 0.0002960%), (PLTR, 0, 0.79%, 0.0003015%), (WMT, 0, 0.78%, 0.0001372%), (COST, 0, 0.77%, 0.0002520%), (RTX, 0, 0.76%, 0.0004902%), (MCD, 0, 0.75%, 0.0004580%), (ABBV, 0, 0.75%, 0.0002731%), (HD, 0, 0.74%, 0.0002484%), (ABT, 0, 0.73%, 0.0004336%), (CAT, 0, 0.73%, 0.0005089%), (BAC, 0, 0.66%, 0.0002415%), (KO, 0, 0.63%, 0.0002907%), (BA, 0, 0.63%, 0.0004857%), (BKNG, 0, 0.62%, 0.0004685%), (PM, 0, 0.62%, 0.0003222%), (NKE, 0, 0.61%, 0.0008982%), (AMD, 0, 0.60%, 0.0003087%), (CRM, 0, 0.60%, 0.0003359%), (SO, 0, 0.60%, 0.0007987%), (DUK, 0, 0.56%, 0.0007973%), (IBM, 0, 0.55%, 0.0003309%), (UBER, 0, 0.55%, 0.0003813%), (ISRG, 0, 0.54%, 0.0004367%), (WFC, 0, 0.53%, 0.0002785%), (MET, 0, 0.53%, 0.0013372%), (HON, 0, 0.52%, 0.0005056%), (ETN, 0, 0.50%, 0.0005012%), (PEP, 0, 0.48%, 0.0003236%), (NOW, 0, 0.46%, 0.0003313%), (INTU, 0, 0.46%, 0.0003364%), (T, 0, 0.45%, 0.0013871%), (MS, 0, 0.44%, 0.0002526%), (DE, 0, 0.44%, 0.0004646%), (AXP, 0, 0.44%, 0.0002626%), (MRK, 0, 0.43%, 0.0002765%), (TXN, 0, 0.42%, 0.0003099%), (SPGI, 0, 0.42%, 0.0003408%), (VZ, 0, 0.41%, 0.0002963%), (QCOM, 0, 0.40%, 0.0003179%), (ACN, 0, 0.40%, 0.0003356%), (GS, 0, 0.39%, 0.0002404%), (BLK, 0, 0.39%, 0.0003055%), (COP, 0, 0.39%, 0.0004304%), (ADBE, 0, 0.39%, 0.0003516%), (MDT, 0, 0.38%, 0.0004346%), (TMO, 0, 0.38%, 0.0002779%), (UNP, 0, 0.38%, 0.0003861%), (DIS, 0, 0.37%, 0.0002367%), (C, 0, 0.36%, 0.0002754%), (LMT, 0, 0.35%, 0.0004499%), (SCHW, 0, 0.34%, 0.0002677%), (SBUX, 0, 0.33%, 0.0004547%), (AMGN, 0, 0.31%, 0.0002725%), (MMM, 0, 0.31%, 0.0005062%), (AMAT, 0, 0.30%, 0.0003195%), (CVS, 0, 0.29%, 0.0004309%), (GILD, 0, 0.28%, 0.0002739%), (PFE, 0, 0.28%, 0.0002721%), (TJX, 0, 0.28%, 0.0002522%), (EMR, 0, 0.27%, 0.0005004%), (MO, 0, 0.27%, 0.0003256%), (LOW, 0, 0.27%, 0.0002518%), (DHR, 0, 0.27%, 0.0002485%), (INTC, 0, 0.24%, 0.0002862%), (ELV, 0, 0.24%, 0.0004540%), (CMCSA, 0, 0.22%, 0.0002468%), (MDLZ, 0, 0.19%, 0.0003342%), (BMY, 0, 0.19%, 0.0002719%), (UPS, 0, 0.18%, 0.0003752%), (PYPL, 0, 0.17%, 0.0003484%), (USB, 0, 0.15%, 0.0002687%), (CL, 0, 0.15%, 0.0002976%), (FDX, 0, 0.14%, 0.0003598%), (TGT, 0, 0.08%, 0.0002557%), (nan, 0, -0.01%, 0.0000000%), (nan, 0, -0.02%, 0.0000000%)</t>
  </si>
  <si>
    <t>(GOOGLE, 0, 3.89%, 0.0001654%), (AVGO, 0, 3.14%, 0.0002275%), (META, 0, 2.77%, 0.0001753%), (BRK/B, 0, 2.18%, 0.0003222%), (CSCO, 0, 1.82%, 0.0006821%), (LIN, 0, 1.79%, 0.0008170%), (TSLA, 0, 1.68%, 0.0001536%), (JPM, 0, 1.66%, 0.0002045%), (AMT, 0, 1.55%, 0.0016531%), (XOM, 0, 1.52%, 0.0003193%), (V, 0, 1.45%, 0.0002465%), (MA, 0, 1.16%, 0.0002227%), (CB, 0, 1.15%, 0.0010852%), (LLY, 0, 1.15%, 0.0001696%), (GE, 0, 1.07%, 0.0003776%), (WM, 0, 1.06%, 0.0011875%), (UNH, 0, 0.91%, 0.0003291%), (ORCL, 0, 0.89%, 0.0001405%), (NFLX, 0, 0.89%, 0.0001765%), (NEE, 0, 0.87%, 0.0005901%), (JNJ, 0, 0.85%, 0.0002033%), (CVX, 0, 0.82%, 0.0002528%), (PG, 0, 0.80%, 0.0002206%), (PLTR, 0, 0.79%, 0.0002246%), (WMT, 0, 0.78%, 0.0001023%), (COST, 0, 0.77%, 0.0001877%), (RTX, 0, 0.76%, 0.0003652%), (MCD, 0, 0.75%, 0.0003412%), (ABBV, 0, 0.74%, 0.0002035%), (HD, 0, 0.74%, 0.0001851%), (ABT, 0, 0.73%, 0.0003231%), (CAT, 0, 0.73%, 0.0003791%), (BAC, 0, 0.66%, 0.0001800%), (KO, 0, 0.63%, 0.0002166%), (BA, 0, 0.63%, 0.0003618%), (BKNG, 0, 0.62%, 0.0003475%), (PM, 0, 0.61%, 0.0002401%), (NKE, 0, 0.61%, 0.0006693%), (AMD, 0, 0.60%, 0.0002300%), (CRM, 0, 0.60%, 0.0002503%), (SO, 0, 0.59%, 0.0005953%), (DUK, 0, 0.56%, 0.0005941%), (IBM, 0, 0.55%, 0.0002466%), (UBER, 0, 0.55%, 0.0002841%), (ISRG, 0, 0.54%, 0.0003253%), (WFC, 0, 0.53%, 0.0002076%), (MET, 0, 0.53%, 0.0009964%), (HON, 0, 0.52%, 0.0003768%), (ETN, 0, 0.50%, 0.0003735%), (PEP, 0, 0.48%, 0.0002411%), (NOW, 0, 0.46%, 0.0002471%), (INTU, 0, 0.46%, 0.0002507%), (T, 0, 0.45%, 0.0010336%), (MS, 0, 0.44%, 0.0001883%), (DE, 0, 0.44%, 0.0003462%), (AXP, 0, 0.44%, 0.0001958%), (MRK, 0, 0.43%, 0.0002060%), (TXN, 0, 0.42%, 0.0002310%), (SPGI, 0, 0.41%, 0.0002540%), (GS, 0, 0.41%, 0.0001867%), (VZ, 0, 0.40%, 0.0002208%), (QCOM, 0, 0.40%, 0.0002369%), (ACN, 0, 0.40%, 0.0002501%), (BLK, 0, 0.39%, 0.0002280%), (COP, 0, 0.39%, 0.0003208%), (ADBE, 0, 0.38%, 0.0002621%), (MDT, 0, 0.38%, 0.0003239%), (TMO, 0, 0.38%, 0.0002071%), (UNP, 0, 0.37%, 0.0002874%), (DIS, 0, 0.37%, 0.0001763%), (C, 0, 0.36%, 0.0002052%), (LMT, 0, 0.35%, 0.0003354%), (SCHW, 0, 0.34%, 0.0001995%), (SBUX, 0, 0.33%, 0.0003388%), (AMGN, 0, 0.31%, 0.0002030%), (MMM, 0, 0.31%, 0.0003772%), (AMAT, 0, 0.30%, 0.0002381%), (CVS, 0, 0.29%, 0.0003211%), (GILD, 0, 0.28%, 0.0002041%), (PFE, 0, 0.28%, 0.0002028%), (TJX, 0, 0.28%, 0.0001880%), (EMR, 0, 0.27%, 0.0003728%), (MO, 0, 0.27%, 0.0002426%), (LOW, 0, 0.27%, 0.0001876%), (DHR, 0, 0.26%, 0.0001852%), (INTC, 0, 0.24%, 0.0002133%), (ELV, 0, 0.24%, 0.0003379%), (CMCSA, 0, 0.22%, 0.0001839%), (MDLZ, 0, 0.19%, 0.0002491%), (BMY, 0, 0.19%, 0.0002027%), (UPS, 0, 0.18%, 0.0002795%), (PYPL, 0, 0.17%, 0.0002596%), (USB, 0, 0.15%, 0.0002002%), (CL, 0, 0.15%, 0.0002218%), (FDX, 0, 0.14%, 0.0002683%), (TGT, 0, 0.08%, 0.0001906%), (nan, 0, -0.01%, 0.0000000%), (nan, 0, -0.02%, 0.0000000%)</t>
  </si>
  <si>
    <t>(GOOGLE, 0, 3.94%, 0.0000388%), (AVGO, 0, 3.18%, 0.0000533%), (META, 0, 2.81%, 0.0000411%), (BRK/B, 0, 2.21%, 0.0000755%), (CSCO, 0, 1.85%, 0.0001599%), (LIN, 0, 1.82%, 0.0001915%), (TSLA, 0, 1.70%, 0.0000360%), (JPM, 0, 1.68%, 0.0000479%), (AMT, 0, 1.57%, 0.0003875%), (XOM, 0, 1.54%, 0.0000748%), (V, 0, 1.47%, 0.0000578%), (MA, 0, 1.18%, 0.0000522%), (CB, 0, 1.17%, 0.0002544%), (LLY, 0, 1.16%, 0.0000398%), (GE, 0, 1.08%, 0.0000885%), (WM, 0, 1.08%, 0.0002785%), (UNH, 0, 0.92%, 0.0000772%), (ORCL, 0, 0.90%, 0.0000329%), (NFLX, 0, 0.90%, 0.0000413%), (NEE, 0, 0.88%, 0.0001383%), (JNJ, 0, 0.86%, 0.0000476%), (CVX, 0, 0.83%, 0.0000592%), (PG, 0, 0.81%, 0.0000517%), (PLTR, 0, 0.80%, 0.0000527%), (WMT, 0, 0.79%, 0.0000240%), (COST, 0, 0.78%, 0.0000440%), (RTX, 0, 0.77%, 0.0000856%), (MCD, 0, 0.76%, 0.0000800%), (ABBV, 0, 0.75%, 0.0000477%), (HD, 0, 0.75%, 0.0000434%), (ABT, 0, 0.74%, 0.0000757%), (CAT, 0, 0.74%, 0.0000888%), (BAC, 0, 0.67%, 0.0000422%), (BKNG, 0, 0.64%, 0.0000838%), (KO, 0, 0.64%, 0.0000508%), (BA, 0, 0.64%, 0.0000849%), (PM, 0, 0.62%, 0.0000563%), (NKE, 0, 0.61%, 0.0001569%), (AMD, 0, 0.61%, 0.0000539%), (SO, 0, 0.60%, 0.0001395%), (CRM, 0, 0.60%, 0.0000587%), (GS, 0, 0.56%, 0.0000593%), (DUK, 0, 0.56%, 0.0001392%), (IBM, 0, 0.56%, 0.0000578%), (UBER, 0, 0.55%, 0.0000666%), (ISRG, 0, 0.54%, 0.0000762%), (WFC, 0, 0.54%, 0.0000486%), (MET, 0, 0.54%, 0.0002335%), (HON, 0, 0.52%, 0.0000884%), (ETN, 0, 0.51%, 0.0000876%), (PEP, 0, 0.49%, 0.0000565%), (NOW, 0, 0.47%, 0.0000577%), (INTU, 0, 0.47%, 0.0000588%), (T, 0, 0.46%, 0.0002423%), (MS, 0, 0.45%, 0.0000442%), (DE, 0, 0.45%, 0.0000814%), (AXP, 0, 0.44%, 0.0000459%), (MRK, 0, 0.43%, 0.0000483%), (TXN, 0, 0.42%, 0.0000541%), (SPGI, 0, 0.42%, 0.0000594%), (VZ, 0, 0.41%, 0.0000518%), (QCOM, 0, 0.41%, 0.0000555%), (ACN, 0, 0.40%, 0.0000586%), (BLK, 0, 0.40%, 0.0000536%), (COP, 0, 0.39%, 0.0000752%), (ADBE, 0, 0.39%, 0.0000614%), (MDT, 0, 0.38%, 0.0000759%), (TMO, 0, 0.38%, 0.0000484%), (UNP, 0, 0.38%, 0.0000674%), (DIS, 0, 0.37%, 0.0000413%), (C, 0, 0.36%, 0.0000481%), (LMT, 0, 0.35%, 0.0000787%), (SCHW, 0, 0.35%, 0.0000468%), (SBUX, 0, 0.34%, 0.0000794%), (AMGN, 0, 0.31%, 0.0000476%), (MMM, 0, 0.31%, 0.0000885%), (AMAT, 0, 0.30%, 0.0000559%), (CVS, 0, 0.29%, 0.0000752%), (GILD, 0, 0.29%, 0.0000478%), (TJX, 0, 0.28%, 0.0000441%), (PFE, 0, 0.28%, 0.0000475%), (EMR, 0, 0.28%, 0.0000874%), (MO, 0, 0.27%, 0.0000569%), (LOW, 0, 0.27%, 0.0000439%), (DHR, 0, 0.27%, 0.0000435%), (INTC, 0, 0.24%, 0.0000500%), (ELV, 0, 0.24%, 0.0000792%), (CMCSA, 0, 0.23%, 0.0000431%), (MDLZ, 0, 0.20%, 0.0000584%), (BMY, 0, 0.19%, 0.0000475%), (UPS, 0, 0.18%, 0.0000655%), (PYPL, 0, 0.17%, 0.0000609%), (USB, 0, 0.15%, 0.0000469%), (CL, 0, 0.15%, 0.0000520%), (FDX, 0, 0.15%, 0.0000627%), (TGT, 0, 0.08%, 0.0000447%), (nan, 0, -0.01%, 0.0000000%), (nan, 0, -0.02%, 0.0000000%)</t>
  </si>
  <si>
    <t>(GOOGLE, 0, 3.76%, 0.0000682%), (AVGO, 0, 3.03%, 0.0000938%), (META, 0, 2.68%, 0.0000723%), (BRK/B, 0, 2.11%, 0.0001328%), (CSCO, 0, 1.76%, 0.0002812%), (LIN, 0, 1.73%, 0.0003369%), (TSLA, 0, 1.62%, 0.0000633%), (JPM, 0, 1.60%, 0.0000843%), (AMT, 0, 1.50%, 0.0006814%), (XOM, 0, 1.47%, 0.0001316%), (V, 0, 1.40%, 0.0001016%), (MA, 0, 1.12%, 0.0000919%), (CB, 0, 1.12%, 0.0004475%), (LLY, 0, 1.11%, 0.0000699%), (GE, 0, 1.03%, 0.0001557%), (WM, 0, 1.03%, 0.0004895%), (UNH, 0, 0.88%, 0.0001357%), (ORCL, 0, 0.86%, 0.0000579%), (NFLX, 0, 0.86%, 0.0000729%), (NEE, 0, 0.84%, 0.0002433%), (JNJ, 0, 0.82%, 0.0000838%), (CVX, 0, 0.79%, 0.0001042%), (PG, 0, 0.77%, 0.0000909%), (PLTR, 0, 0.76%, 0.0000926%), (WMT, 0, 0.75%, 0.0000422%), (COST, 0, 0.75%, 0.0000774%), (RTX, 0, 0.74%, 0.0001506%), (MCD, 0, 0.72%, 0.0001407%), (ABBV, 0, 0.72%, 0.0000839%), (HD, 0, 0.71%, 0.0000764%), (ABT, 0, 0.71%, 0.0001332%), (CAT, 0, 0.71%, 0.0001563%), (BAC, 0, 0.64%, 0.0000742%), (KO, 0, 0.61%, 0.0000893%), (BA, 0, 0.61%, 0.0001492%), (BKNG, 0, 0.59%, 0.0001427%), (PM, 0, 0.59%, 0.0000989%), (NKE, 0, 0.58%, 0.0002760%), (AMD, 0, 0.58%, 0.0000948%), (CRM, 0, 0.58%, 0.0001032%), (SO, 0, 0.57%, 0.0002453%), (DUK, 0, 0.54%, 0.0002449%), (IBM, 0, 0.53%, 0.0001017%), (UBER, 0, 0.53%, 0.0001171%), (ISRG, 0, 0.52%, 0.0001343%), (WFC, 0, 0.51%, 0.0000856%), (MET, 0, 0.51%, 0.0004108%), (HON, 0, 0.50%, 0.0001553%), (ETN, 0, 0.48%, 0.0001539%), (PEP, 0, 0.47%, 0.0000994%), (NOW, 0, 0.45%, 0.0001019%), (INTU, 0, 0.44%, 0.0001033%), (T, 0, 0.44%, 0.0004261%), (MS, 0, 0.43%, 0.0000776%), (DE, 0, 0.43%, 0.0001428%), (AXP, 0, 0.42%, 0.0000807%), (MRK, 0, 0.41%, 0.0000850%), (TXN, 0, 0.40%, 0.0000953%), (SPGI, 0, 0.40%, 0.0001050%), (VZ, 0, 0.39%, 0.0000910%), (QCOM, 0, 0.39%, 0.0000976%), (ACN, 0, 0.38%, 0.0001031%), (BLK, 0, 0.38%, 0.0000936%), (COP, 0, 0.37%, 0.0001322%), (ADBE, 0, 0.37%, 0.0001080%), (GS, 0, 0.37%, 0.0000714%), (MDT, 0, 0.37%, 0.0001335%), (TMO, 0, 0.36%, 0.0000852%), (UNP, 0, 0.36%, 0.0001185%), (DIS, 0, 0.36%, 0.0000727%), (C, 0, 0.35%, 0.0000846%), (LMT, 0, 0.33%, 0.0001383%), (SCHW, 0, 0.33%, 0.0000822%), (SBUX, 0, 0.32%, 0.0001397%), (AMGN, 0, 0.30%, 0.0000838%), (MMM, 0, 0.30%, 0.0001555%), (AMAT, 0, 0.29%, 0.0000980%), (CVS, 0, 0.28%, 0.0001324%), (GILD, 0, 0.27%, 0.0000842%), (TJX, 0, 0.27%, 0.0000775%), (PFE, 0, 0.27%, 0.0000836%), (EMR, 0, 0.26%, 0.0001537%), (MO, 0, 0.26%, 0.0001001%), (LOW, 0, 0.26%, 0.0000774%), (DHR, 0, 0.26%, 0.0000763%), (INTC, 0, 0.23%, 0.0000879%), (ELV, 0, 0.23%, 0.0001395%), (CMCSA, 0, 0.22%, 0.0000758%), (MDLZ, 0, 0.19%, 0.0001026%), (BMY, 0, 0.18%, 0.0000836%), (UPS, 0, 0.17%, 0.0001153%), (PYPL, 0, 0.16%, 0.0001070%), (USB, 0, 0.14%, 0.0000826%), (CL, 0, 0.14%, 0.0000914%), (FDX, 0, 0.14%, 0.0001106%), (TGT, 0, 0.08%, 0.0000786%), (nan, 0, -0.01%, 0.0000000%), (nan, 0, -0.02%, 0.0000000%)</t>
  </si>
  <si>
    <t>(GOOGLE, 0, 3.84%, 0.0000246%), (AVGO, 0, 3.09%, 0.0000339%), (META, 0, 2.73%, 0.0000261%), (BRK/B, 0, 2.14%, 0.0000479%), (CSCO, 0, 1.80%, 0.0001016%), (LIN, 0, 1.77%, 0.0001216%), (TSLA, 0, 1.65%, 0.0000229%), (JPM, 0, 1.63%, 0.0000304%), (AMT, 0, 1.53%, 0.0002463%), (XOM, 0, 1.50%, 0.0000475%), (V, 0, 1.43%, 0.0000367%), (MA, 0, 1.15%, 0.0000332%), (CB, 0, 1.14%, 0.0001616%), (LLY, 0, 1.12%, 0.0000252%), (GE, 0, 1.06%, 0.0000562%), (WM, 0, 1.05%, 0.0001770%), (UNH, 0, 0.89%, 0.0000490%), (NFLX, 0, 0.88%, 0.0000264%), (ORCL, 0, 0.88%, 0.0000209%), (NEE, 0, 0.86%, 0.0000879%), (JNJ, 0, 0.84%, 0.0000303%), (CVX, 0, 0.81%, 0.0000377%), (PG, 0, 0.78%, 0.0000328%), (PLTR, 0, 0.78%, 0.0000335%), (WMT, 0, 0.77%, 0.0000152%), (COST, 0, 0.76%, 0.0000280%), (RTX, 0, 0.75%, 0.0000544%), (MCD, 0, 0.74%, 0.0000509%), (ABBV, 0, 0.73%, 0.0000303%), (HD, 0, 0.73%, 0.0000276%), (CAT, 0, 0.72%, 0.0000566%), (ABT, 0, 0.72%, 0.0000481%), (BAC, 0, 0.65%, 0.0000268%), (KO, 0, 0.62%, 0.0000323%), (BA, 0, 0.62%, 0.0000538%), (BKNG, 0, 0.62%, 0.0000527%), (PM, 0, 0.61%, 0.0000358%), (NKE, 0, 0.60%, 0.0000996%), (AMD, 0, 0.59%, 0.0000343%), (SO, 0, 0.59%, 0.0000887%), (CRM, 0, 0.59%, 0.0000373%), (GS, 0, 0.55%, 0.0000380%), (DUK, 0, 0.55%, 0.0000885%), (IBM, 0, 0.54%, 0.0000367%), (UBER, 0, 0.54%, 0.0000423%), (ISRG, 0, 0.53%, 0.0000485%), (WFC, 0, 0.53%, 0.0000309%), (MET, 0, 0.52%, 0.0001483%), (HON, 0, 0.51%, 0.0000561%), (ETN, 0, 0.49%, 0.0000555%), (PEP, 0, 0.48%, 0.0000359%), (NOW, 0, 0.45%, 0.0000365%), (INTU, 0, 0.45%, 0.0000373%), (T, 0, 0.45%, 0.0001539%), (MS, 0, 0.44%, 0.0000281%), (AXP, 0, 0.43%, 0.0000292%), (DE, 0, 0.43%, 0.0000514%), (MRK, 0, 0.42%, 0.0000307%), (TXN, 0, 0.41%, 0.0000343%), (SPGI, 0, 0.41%, 0.0000380%), (VZ, 0, 0.40%, 0.0000329%), (QCOM, 0, 0.40%, 0.0000353%), (ACN, 0, 0.39%, 0.0000372%), (COP, 0, 0.38%, 0.0000478%), (BLK, 0, 0.38%, 0.0000336%), (ADBE, 0, 0.38%, 0.0000389%), (MDT, 0, 0.37%, 0.0000483%), (TMO, 0, 0.37%, 0.0000309%), (UNP, 0, 0.37%, 0.0000428%), (DIS, 0, 0.36%, 0.0000263%), (C, 0, 0.35%, 0.0000305%), (LMT, 0, 0.34%, 0.0000501%), (SCHW, 0, 0.34%, 0.0000297%), (SBUX, 0, 0.33%, 0.0000504%), (AMGN, 0, 0.31%, 0.0000303%), (MMM, 0, 0.30%, 0.0000563%), (AMAT, 0, 0.30%, 0.0000355%), (CVS, 0, 0.29%, 0.0000478%), (GILD, 0, 0.28%, 0.0000304%), (PFE, 0, 0.28%, 0.0000302%), (TJX, 0, 0.28%, 0.0000279%), (EMR, 0, 0.27%, 0.0000554%), (MO, 0, 0.27%, 0.0000362%), (LOW, 0, 0.26%, 0.0000280%), (DHR, 0, 0.26%, 0.0000276%), (INTC, 0, 0.23%, 0.0000318%), (ELV, 0, 0.23%, 0.0000504%), (CMCSA, 0, 0.22%, 0.0000274%), (MDLZ, 0, 0.19%, 0.0000370%), (BMY, 0, 0.19%, 0.0000302%), (UPS, 0, 0.17%, 0.0000416%), (PYPL, 0, 0.17%, 0.0000387%), (USB, 0, 0.15%, 0.0000298%), (CL, 0, 0.15%, 0.0000330%), (FDX, 0, 0.14%, 0.0000398%), (TGT, 0, 0.08%, 0.0000282%), (nan, 0, -0.01%, 0.0000000%), (nan, 0, -0.02%, 0.0000000%)</t>
  </si>
  <si>
    <t>(GOOGLE, 0, 4.05%, 0.0000588%), (AVGO, 0, 3.27%, 0.0000809%), (META, 0, 2.89%, 0.0000623%), (BRK/B, 0, 2.27%, 0.0001145%), (CSCO, 0, 1.90%, 0.0002426%), (LIN, 0, 1.87%, 0.0002906%), (TSLA, 0, 1.75%, 0.0000546%), (JPM, 0, 1.73%, 0.0000727%), (AMT, 0, 1.62%, 0.0005879%), (XOM, 0, 1.58%, 0.0001135%), (V, 0, 1.51%, 0.0000877%), (MA, 0, 1.21%, 0.0000792%), (CB, 0, 1.20%, 0.0003860%), (LLY, 0, 1.19%, 0.0000603%), (GE, 0, 1.11%, 0.0001343%), (WM, 0, 1.11%, 0.0004225%), (UNH, 0, 0.95%, 0.0001171%), (ORCL, 0, 0.93%, 0.0000500%), (NFLX, 0, 0.92%, 0.0000628%), (NEE, 0, 0.91%, 0.0002099%), (JNJ, 0, 0.89%, 0.0000723%), (CVX, 0, 0.85%, 0.0000899%), (PG, 0, 0.83%, 0.0000784%), (PLTR, 0, 0.82%, 0.0000799%), (WMT, 0, 0.81%, 0.0000364%), (COST, 0, 0.80%, 0.0000668%), (RTX, 0, 0.79%, 0.0001299%), (MCD, 0, 0.78%, 0.0001215%), (ABBV, 0, 0.77%, 0.0000724%), (HD, 0, 0.77%, 0.0000659%), (ABT, 0, 0.76%, 0.0001149%), (CAT, 0, 0.76%, 0.0001349%), (BAC, 0, 0.69%, 0.0000640%), (KO, 0, 0.66%, 0.0000770%), (BA, 0, 0.66%, 0.0001287%), (BKNG, 0, 0.64%, 0.0001241%), (PM, 0, 0.64%, 0.0000854%), (NKE, 0, 0.63%, 0.0002380%), (AMD, 0, 0.62%, 0.0000818%), (CRM, 0, 0.62%, 0.0000891%), (SO, 0, 0.62%, 0.0002117%), (DUK, 0, 0.58%, 0.0002113%), (IBM, 0, 0.57%, 0.0000877%), (UBER, 0, 0.57%, 0.0001010%), (ISRG, 0, 0.56%, 0.0001157%), (WFC, 0, 0.55%, 0.0000738%), (MET, 0, 0.55%, 0.0003544%), (HON, 0, 0.54%, 0.0001340%), (ETN, 0, 0.52%, 0.0001331%), (PEP, 0, 0.50%, 0.0000858%), (NOW, 0, 0.48%, 0.0000875%), (INTU, 0, 0.48%, 0.0000890%), (T, 0, 0.47%, 0.0003676%), (MS, 0, 0.46%, 0.0000670%), (DE, 0, 0.46%, 0.0001232%), (AXP, 0, 0.45%, 0.0000695%), (MRK, 0, 0.44%, 0.0000733%), (TXN, 0, 0.43%, 0.0000821%), (SPGI, 0, 0.43%, 0.0000905%), (VZ, 0, 0.42%, 0.0000785%), (QCOM, 0, 0.42%, 0.0000842%), (ACN, 0, 0.41%, 0.0000889%), (BLK, 0, 0.41%, 0.0000807%), (COP, 0, 0.40%, 0.0001141%), (ADBE, 0, 0.40%, 0.0000932%), (MDT, 0, 0.39%, 0.0001152%), (TMO, 0, 0.39%, 0.0000737%), (UNP, 0, 0.39%, 0.0001022%), (DIS, 0, 0.38%, 0.0000627%), (C, 0, 0.37%, 0.0000730%), (GS, 0, 0.36%, 0.0000567%), (LMT, 0, 0.36%, 0.0001193%), (SCHW, 0, 0.35%, 0.0000710%), (SBUX, 0, 0.35%, 0.0001205%), (AMGN, 0, 0.32%, 0.0000723%), (MMM, 0, 0.32%, 0.0001342%), (AMAT, 0, 0.31%, 0.0000846%), (CVS, 0, 0.30%, 0.0001142%), (GILD, 0, 0.29%, 0.0000726%), (PFE, 0, 0.29%, 0.0000721%), (TJX, 0, 0.29%, 0.0000669%), (EMR, 0, 0.28%, 0.0001326%), (MO, 0, 0.28%, 0.0000863%), (LOW, 0, 0.28%, 0.0000669%), (DHR, 0, 0.28%, 0.0000658%), (INTC, 0, 0.25%, 0.0000759%), (ELV, 0, 0.25%, 0.0001201%), (CMCSA, 0, 0.23%, 0.0000654%), (MDLZ, 0, 0.20%, 0.0000886%), (BMY, 0, 0.20%, 0.0000721%), (UPS, 0, 0.18%, 0.0000993%), (PYPL, 0, 0.17%, 0.0000923%), (USB, 0, 0.16%, 0.0000712%), (CL, 0, 0.15%, 0.0000789%), (FDX, 0, 0.15%, 0.0000954%), (TGT, 0, 0.09%, 0.0000678%), (nan, 0, -0.01%, 0.0000000%), (nan, 0, -0.02%, 0.0000000%)</t>
  </si>
  <si>
    <t>EBAY, BK, GOOGLE, META, MLI, JPM, MSFT, EA, BLK, RJF, BKNG, PHM</t>
  </si>
  <si>
    <t>(AXP, 0, 1.93%, 0.0004670%), (EWBC, 0, 1.87%, 0.0071520%), (HIG, 0, 1.82%, 0.0027400%), (V, 0, 1.81%, 0.0001678%), (TRV, 0, 1.78%, 0.0016264%), (ROST, 0, 1.69%, 0.0019534%), (NVDA, 0, 1.68%, 0.0000219%), (ADP, 0, 1.67%, 0.0007534%), (SNA, 0, 1.67%, 0.0054665%), (SYF, 0, 1.64%, 0.0033062%), (PCAR, 0, 1.63%, 0.0017169%), (LEN, 0, 1.62%, 0.0030075%), (UNM, 0, 1.62%, 0.0075320%), (CB, 0, 1.60%, 0.0008174%), (KLAC, 0, 1.59%, 0.0007679%), (AMAT, 0, 1.59%, 0.0006858%), (CRM, 0, 1.51%, 0.0003432%), (CTSH, 0, 1.50%, 0.0023879%), (PAYC, 0, 1.43%, 0.0060266%), (BKR, 0, 1.39%, 0.0017187%), (WSM, 0, 1.37%, 0.0033106%), (DHI, 0, 1.37%, 0.0015190%), (QCOM, 0, 1.34%, 0.0004263%), (ACN, 0, 1.28%, 0.0004362%), (ELV, 0, 1.26%, 0.0009827%), (AAPL, 0, 1.25%, 0.0000201%), (AFL, 0, 1.22%, 0.0011778%), (MPWR, 0, 1.10%, 0.0015201%), (ODFL, 0, 1.07%, 0.0018590%), (CSCO, 0, 1.06%, 0.0002158%), (LRCX, 0, 1.06%, 0.0004677%), (GE, 0, 1.02%, 0.0001952%), (STT, 0, 0.98%, 0.0016931%), (PNC, 0, 0.95%, 0.0006430%), (MTB, 0, 0.92%, 0.0016371%), (AMP, 0, 0.86%, 0.0009913%), (CF, 0, 0.85%, 0.0033370%), (XOM, 0, 0.82%, 0.0000929%), (ABT, 0, 0.82%, 0.0001958%), (COST, 0, 0.81%, 0.0001067%), (EOG, 0, 0.80%, 0.0006524%), (EG, 0, 0.74%, 0.0028524%), (CSL, 0, 0.74%, 0.0025367%), (GEV, 0, 0.53%, 0.0001776%), (NTRS, 0, 0.52%, 0.0011607%), (MA, 0, 0.49%, 0.0000514%), (CRBG, 0, 0.47%, 0.0013999%), (JNJ, 0, 0.47%, 0.0000610%), (ACM, 0, 0.47%, 0.0015682%), (LNC, 0, 0.47%, 0.0031605%), (JXN, 0, 0.44%, 0.0035577%), (WTFC, 0, 0.44%, 0.0026407%), (MTG, 0, 0.43%, 0.0038549%), (CINF, 0, 0.42%, 0.0009787%), (DOV, 0, 0.41%, 0.0009355%), (ADM, 0, 0.41%, 0.0007607%), (EQH, 0, 0.41%, 0.0014205%), (ALL, 0, 0.40%, 0.0004125%), (SLM, 0, 0.40%, 0.0034713%), (NUE, 0, 0.39%, 0.0006391%), (MCK, 0, 0.39%, 0.0002549%), (NKE, 0, 0.37%, 0.0002250%), (PGR, 0, 0.36%, 0.0001366%), (FANG, 0, 0.31%, 0.0003948%)</t>
  </si>
  <si>
    <t>(GOOGLE, 0, 3.72%, 0.0000627%), (AVGO, 0, 3.00%, 0.0000863%), (META, 0, 2.65%, 0.0000664%), (BRK/B, 0, 2.08%, 0.0001221%), (CSCO, 0, 1.74%, 0.0002586%), (LIN, 0, 1.71%, 0.0003097%), (TSLA, 0, 1.60%, 0.0000582%), (JPM, 0, 1.58%, 0.0000775%), (AMT, 0, 1.48%, 0.0006267%), (XOM, 0, 1.45%, 0.0001210%), (V, 0, 1.38%, 0.0000935%), (MA, 0, 1.11%, 0.0000845%), (CB, 0, 1.10%, 0.0004114%), (LLY, 0, 1.10%, 0.0000643%), (GE, 0, 1.02%, 0.0001431%), (WM, 0, 1.02%, 0.0004503%), (UNH, 0, 0.87%, 0.0001247%), (ORCL, 0, 0.85%, 0.0000532%), (NFLX, 0, 0.85%, 0.0000670%), (NEE, 0, 0.83%, 0.0002237%), (JNJ, 0, 0.81%, 0.0000770%), (CVX, 0, 0.78%, 0.0000958%), (PG, 0, 0.76%, 0.0000836%), (PLTR, 0, 0.75%, 0.0000851%), (WMT, 0, 0.74%, 0.0000388%), (COST, 0, 0.74%, 0.0000711%), (RTX, 0, 0.73%, 0.0001384%), (MCD, 0, 0.72%, 0.0001293%), (ABBV, 0, 0.71%, 0.0000772%), (HD, 0, 0.70%, 0.0000702%), (ABT, 0, 0.70%, 0.0001225%), (CAT, 0, 0.70%, 0.0001437%), (BAC, 0, 0.63%, 0.0000682%), (BA, 0, 0.60%, 0.0001372%), (KO, 0, 0.60%, 0.0000821%), (BKNG, 0, 0.60%, 0.0001334%), (PM, 0, 0.59%, 0.0000910%), (NKE, 0, 0.58%, 0.0002538%), (AMD, 0, 0.57%, 0.0000873%), (CRM, 0, 0.57%, 0.0000950%), (SO, 0, 0.57%, 0.0002256%), (DUK, 0, 0.53%, 0.0002252%), (IBM, 0, 0.53%, 0.0000935%), (UBER, 0, 0.52%, 0.0001077%), (ISRG, 0, 0.51%, 0.0001233%), (WFC, 0, 0.51%, 0.0000787%), (MET, 0, 0.51%, 0.0003777%), (HON, 0, 0.49%, 0.0001429%), (ETN, 0, 0.48%, 0.0001418%), (PEP, 0, 0.46%, 0.0000914%), (NOW, 0, 0.44%, 0.0000938%), (INTU, 0, 0.44%, 0.0000950%), (T, 0, 0.43%, 0.0003918%), (MS, 0, 0.42%, 0.0000714%), (DE, 0, 0.42%, 0.0001313%), (AXP, 0, 0.42%, 0.0000742%), (MRK, 0, 0.41%, 0.0000781%), (TXN, 0, 0.40%, 0.0000876%), (SPGI, 0, 0.40%, 0.0000964%), (VZ, 0, 0.39%, 0.0000837%), (QCOM, 0, 0.38%, 0.0000898%), (ACN, 0, 0.38%, 0.0000947%), (BLK, 0, 0.37%, 0.0000859%), (COP, 0, 0.37%, 0.0001215%), (ADBE, 0, 0.37%, 0.0000994%), (MDT, 0, 0.36%, 0.0001228%), (TMO, 0, 0.36%, 0.0000785%), (UNP, 0, 0.36%, 0.0001089%), (DIS, 0, 0.35%, 0.0000669%), (GS, 0, 0.35%, 0.0000630%), (C, 0, 0.34%, 0.0000778%), (LMT, 0, 0.33%, 0.0001275%), (SCHW, 0, 0.33%, 0.0000756%), (SBUX, 0, 0.32%, 0.0001284%), (AMGN, 0, 0.30%, 0.0000769%), (MMM, 0, 0.29%, 0.0001429%), (AMAT, 0, 0.29%, 0.0000903%), (CVS, 0, 0.28%, 0.0001217%), (GILD, 0, 0.27%, 0.0000774%), (PFE, 0, 0.27%, 0.0000769%), (TJX, 0, 0.27%, 0.0000713%), (EMR, 0, 0.26%, 0.0001414%), (MO, 0, 0.26%, 0.0000920%), (LOW, 0, 0.26%, 0.0000711%), (DHR, 0, 0.25%, 0.0000702%), (INTC, 0, 0.23%, 0.0000809%), (ELV, 0, 0.22%, 0.0001282%), (CMCSA, 0, 0.21%, 0.0000697%), (MDLZ, 0, 0.19%, 0.0000945%), (BMY, 0, 0.18%, 0.0000768%), (UPS, 0, 0.17%, 0.0001060%), (PYPL, 0, 0.16%, 0.0000983%), (USB, 0, 0.14%, 0.0000759%), (CL, 0, 0.14%, 0.0000841%), (FDX, 0, 0.14%, 0.0001017%), (TGT, 0, 0.08%, 0.0000722%), (nan, 0, -0.01%, 0.0000000%), (nan, 0, -0.02%, 0.0000000%)</t>
  </si>
  <si>
    <t>(GOOGLE, 0, 3.89%, 0.0001282%), (AVGO, 0, 3.14%, 0.0001763%), (META, 0, 2.77%, 0.0001358%), (BRK/B, 0, 2.18%, 0.0002496%), (CSCO, 0, 1.83%, 0.0005286%), (LIN, 0, 1.79%, 0.0006330%), (TSLA, 0, 1.68%, 0.0001190%), (JPM, 0, 1.66%, 0.0001585%), (AMT, 0, 1.55%, 0.0012812%), (XOM, 0, 1.52%, 0.0002474%), (V, 0, 1.45%, 0.0001910%), (MA, 0, 1.16%, 0.0001727%), (CB, 0, 1.16%, 0.0008411%), (LLY, 0, 1.15%, 0.0001315%), (GE, 0, 1.07%, 0.0002927%), (WM, 0, 1.07%, 0.0009202%), (UNH, 0, 0.91%, 0.0002550%), (ORCL, 0, 0.89%, 0.0001089%), (NFLX, 0, 0.89%, 0.0001369%), (NEE, 0, 0.87%, 0.0004573%), (JNJ, 0, 0.85%, 0.0001575%), (CVX, 0, 0.82%, 0.0001959%), (PG, 0, 0.80%, 0.0001709%), (PLTR, 0, 0.79%, 0.0001741%), (WMT, 0, 0.78%, 0.0000792%), (COST, 0, 0.77%, 0.0001455%), (RTX, 0, 0.76%, 0.0002830%), (MCD, 0, 0.75%, 0.0002644%), (ABBV, 0, 0.74%, 0.0001577%), (HD, 0, 0.74%, 0.0001435%), (ABT, 0, 0.73%, 0.0002504%), (CAT, 0, 0.73%, 0.0002939%), (BAC, 0, 0.66%, 0.0001395%), (KO, 0, 0.63%, 0.0001679%), (BA, 0, 0.63%, 0.0002804%), (BKNG, 0, 0.62%, 0.0002699%), (PM, 0, 0.61%, 0.0001860%), (NKE, 0, 0.61%, 0.0005187%), (AMD, 0, 0.60%, 0.0001783%), (CRM, 0, 0.60%, 0.0001940%), (SO, 0, 0.59%, 0.0004613%), (DUK, 0, 0.56%, 0.0004605%), (IBM, 0, 0.55%, 0.0001911%), (UBER, 0, 0.55%, 0.0002201%), (ISRG, 0, 0.54%, 0.0002522%), (WFC, 0, 0.53%, 0.0001609%), (MET, 0, 0.53%, 0.0007723%), (HON, 0, 0.52%, 0.0002922%), (ETN, 0, 0.50%, 0.0002895%), (PEP, 0, 0.48%, 0.0001869%), (GS, 0, 0.46%, 0.0001630%), (NOW, 0, 0.46%, 0.0001913%), (INTU, 0, 0.46%, 0.0001944%), (T, 0, 0.45%, 0.0008011%), (MS, 0, 0.44%, 0.0001459%), (DE, 0, 0.44%, 0.0002686%), (AXP, 0, 0.44%, 0.0001517%), (MRK, 0, 0.43%, 0.0001597%), (TXN, 0, 0.42%, 0.0001790%), (SPGI, 0, 0.41%, 0.0001968%), (VZ, 0, 0.40%, 0.0001711%), (QCOM, 0, 0.40%, 0.0001836%), (ACN, 0, 0.40%, 0.0001938%), (BLK, 0, 0.39%, 0.0001763%), (COP, 0, 0.39%, 0.0002485%), (ADBE, 0, 0.38%, 0.0002031%), (MDT, 0, 0.38%, 0.0002510%), (TMO, 0, 0.38%, 0.0001605%), (UNP, 0, 0.38%, 0.0002229%), (DIS, 0, 0.37%, 0.0001367%), (C, 0, 0.36%, 0.0001590%), (LMT, 0, 0.35%, 0.0002602%), (SCHW, 0, 0.34%, 0.0001546%), (SBUX, 0, 0.33%, 0.0002626%), (AMGN, 0, 0.31%, 0.0001573%), (MMM, 0, 0.31%, 0.0002923%), (AMAT, 0, 0.30%, 0.0001845%), (CVS, 0, 0.29%, 0.0002489%), (GILD, 0, 0.28%, 0.0001581%), (PFE, 0, 0.28%, 0.0001571%), (TJX, 0, 0.28%, 0.0001457%), (EMR, 0, 0.27%, 0.0002889%), (MO, 0, 0.27%, 0.0001881%), (LOW, 0, 0.27%, 0.0001455%), (DHR, 0, 0.26%, 0.0001434%), (INTC, 0, 0.24%, 0.0001653%), (ELV, 0, 0.24%, 0.0002619%), (CMCSA, 0, 0.22%, 0.0001425%), (MDLZ, 0, 0.19%, 0.0001930%), (BMY, 0, 0.19%, 0.0001570%), (UPS, 0, 0.18%, 0.0002167%), (PYPL, 0, 0.17%, 0.0002011%), (USB, 0, 0.15%, 0.0001552%), (CL, 0, 0.15%, 0.0001718%), (FDX, 0, 0.14%, 0.0002077%), (TGT, 0, 0.08%, 0.0001474%), (nan, 0, -0.01%, 0.0000000%), (nan, 0, -0.02%, 0.0000000%)</t>
  </si>
  <si>
    <t>(AVGO, 0, 2.95%, 0.0003527%), (META, 0, 2.61%, 0.0002716%), (BRK/B, 0, 2.05%, 0.0004993%), (CSCO, 0, 1.72%, 0.0010572%), (LIN, 0, 1.69%, 0.0012663%), (TSLA, 0, 1.58%, 0.0002380%), (JPM, 0, 1.56%, 0.0003170%), (AMT, 0, 1.46%, 0.0025624%), (XOM, 0, 1.43%, 0.0004949%), (V, 0, 1.36%, 0.0003820%), (MA, 0, 1.09%, 0.0003454%), (CB, 0, 1.09%, 0.0016821%), (LLY, 0, 1.08%, 0.0002628%), (GE, 0, 1.01%, 0.0005851%), (WM, 0, 1.00%, 0.0018406%), (UNH, 0, 0.85%, 0.0005101%), (ORCL, 0, 0.84%, 0.0002178%), (NFLX, 0, 0.84%, 0.0002738%), (NEE, 0, 0.82%, 0.0009147%), (JNJ, 0, 0.80%, 0.0003151%), (CVX, 0, 0.77%, 0.0003919%), (PG, 0, 0.75%, 0.0003418%), (PLTR, 0, 0.74%, 0.0003482%), (WMT, 0, 0.73%, 0.0001585%), (COST, 0, 0.73%, 0.0002911%), (RTX, 0, 0.72%, 0.0005662%), (MCD, 0, 0.71%, 0.0005289%), (ABBV, 0, 0.70%, 0.0003154%), (HD, 0, 0.69%, 0.0002869%), (ABT, 0, 0.69%, 0.0005008%), (CAT, 0, 0.69%, 0.0005879%), (BAC, 0, 0.62%, 0.0002790%), (KO, 0, 0.59%, 0.0003358%), (BA, 0, 0.59%, 0.0005610%), (BKNG, 0, 0.58%, 0.0005398%), (PM, 0, 0.58%, 0.0003721%), (NKE, 0, 0.57%, 0.0010375%), (AMD, 0, 0.56%, 0.0003566%), (CRM, 0, 0.56%, 0.0003879%), (SO, 0, 0.56%, 0.0009226%), (DUK, 0, 0.52%, 0.0009208%), (IBM, 0, 0.52%, 0.0003821%), (UBER, 0, 0.51%, 0.0004404%), (ISRG, 0, 0.50%, 0.0005044%), (WFC, 0, 0.50%, 0.0003217%), (MET, 0, 0.50%, 0.0015445%), (HON, 0, 0.49%, 0.0005840%), (ETN, 0, 0.47%, 0.0005790%), (PEP, 0, 0.45%, 0.0003738%), (NOW, 0, 0.43%, 0.0003822%), (INTU, 0, 0.43%, 0.0003884%), (T, 0, 0.43%, 0.0016021%), (MS, 0, 0.42%, 0.0002918%), (DE, 0, 0.41%, 0.0005368%), (AXP, 0, 0.41%, 0.0003034%), (MRK, 0, 0.40%, 0.0003193%), (TXN, 0, 0.39%, 0.0003580%), (GS, 0, 0.39%, 0.0002931%), (SPGI, 0, 0.39%, 0.0003940%), (VZ, 0, 0.38%, 0.0003422%), (QCOM, 0, 0.38%, 0.0003672%), (ACN, 0, 0.37%, 0.0003876%), (BLK, 0, 0.37%, 0.0003532%), (COP, 0, 0.36%, 0.0004971%), (ADBE, 0, 0.36%, 0.0004061%), (MDT, 0, 0.36%, 0.0005021%), (TMO, 0, 0.35%, 0.0003213%), (UNP, 0, 0.35%, 0.0004457%), (DIS, 0, 0.35%, 0.0002734%), (C, 0, 0.34%, 0.0003181%), (LMT, 0, 0.33%, 0.0005203%), (SCHW, 0, 0.32%, 0.0003093%), (SBUX, 0, 0.31%, 0.0005252%), (AMGN, 0, 0.29%, 0.0003148%), (MMM, 0, 0.29%, 0.0005847%), (AMAT, 0, 0.28%, 0.0003689%), (CVS, 0, 0.27%, 0.0004977%), (GILD, 0, 0.26%, 0.0003164%), (PFE, 0, 0.26%, 0.0003143%), (TJX, 0, 0.26%, 0.0002914%), (EMR, 0, 0.26%, 0.0005778%), (MO, 0, 0.25%, 0.0003761%), (LOW, 0, 0.25%, 0.0002908%), (DHR, 0, 0.25%, 0.0002870%), (INTC, 0, 0.22%, 0.0003306%), (ELV, 0, 0.22%, 0.0005238%), (CMCSA, 0, 0.21%, 0.0002850%), (MDLZ, 0, 0.18%, 0.0003861%), (BMY, 0, 0.18%, 0.0003141%), (UPS, 0, 0.17%, 0.0004334%), (PYPL, 0, 0.16%, 0.0004023%), (USB, 0, 0.14%, 0.0003104%), (CL, 0, 0.14%, 0.0003438%), (FDX, 0, 0.14%, 0.0004158%), (TGT, 0, 0.08%, 0.0002953%), (nan, 0, -0.01%, 0.0000000%), (nan, 0, -0.02%, 0.0000000%)</t>
  </si>
  <si>
    <t>MSFT, NVDA, AAPL, GOOGLE</t>
  </si>
  <si>
    <t>(AMZN, 0, 3.59%, 0.0000365%), (AVGO, 0, 2.91%, 0.0000511%), (META, 0, 2.57%, 0.0000394%), (BRK/B, 0, 2.04%, 0.0000723%), (CSCO, 0, 1.68%, 0.0001532%), (LIN, 0, 1.66%, 0.0001835%), (JPM, 0, 1.55%, 0.0000459%), (TSLA, 0, 1.54%, 0.0000345%), (XOM, 0, 1.43%, 0.0000717%), (AMT, 0, 1.42%, 0.0003713%), (V, 0, 1.35%, 0.0000554%), (CB, 0, 1.09%, 0.0002439%), (MA, 0, 1.08%, 0.0000500%), (LLY, 0, 1.08%, 0.0000381%), (GE, 0, 1.00%, 0.0000848%), (WM, 0, 0.99%, 0.0002668%), (UNH, 0, 0.84%, 0.0000740%), (NFLX, 0, 0.83%, 0.0000396%), (ORCL, 0, 0.82%, 0.0000316%), (NEE, 0, 0.82%, 0.0001326%), (JNJ, 0, 0.80%, 0.0000457%), (CVX, 0, 0.77%, 0.0000568%), (PG, 0, 0.75%, 0.0000495%), (PLTR, 0, 0.73%, 0.0000504%), (WMT, 0, 0.73%, 0.0000230%), (COST, 0, 0.72%, 0.0000422%), (RTX, 0, 0.71%, 0.0000820%), (MCD, 0, 0.70%, 0.0000768%), (ABBV, 0, 0.70%, 0.0000457%), (HD, 0, 0.69%, 0.0000416%), (ABT, 0, 0.68%, 0.0000726%), (CAT, 0, 0.68%, 0.0000852%), (BAC, 0, 0.62%, 0.0000404%), (BA, 0, 0.60%, 0.0000813%), (KO, 0, 0.59%, 0.0000487%), (BKNG, 0, 0.59%, 0.0000807%), (PM, 0, 0.57%, 0.0000539%), (AMD, 0, 0.55%, 0.0000517%), (SO, 0, 0.55%, 0.0001338%), (CRM, 0, 0.55%, 0.0000563%), (NKE, 0, 0.54%, 0.0001504%), (DUK, 0, 0.52%, 0.0001335%), (GS, 0, 0.51%, 0.0000570%), (IBM, 0, 0.51%, 0.0000554%), (UBER, 0, 0.50%, 0.0000638%), (WFC, 0, 0.50%, 0.0000466%), (ISRG, 0, 0.50%, 0.0000731%), (MET, 0, 0.49%, 0.0002238%), (HON, 0, 0.48%, 0.0000847%), (ETN, 0, 0.46%, 0.0000840%), (PEP, 0, 0.45%, 0.0000542%), (NOW, 0, 0.43%, 0.0000558%), (INTU, 0, 0.42%, 0.0000563%), (T, 0, 0.42%, 0.0002322%), (MS, 0, 0.41%, 0.0000423%), (DE, 0, 0.41%, 0.0000781%), (AXP, 0, 0.41%, 0.0000438%), (MRK, 0, 0.40%, 0.0000463%), (TXN, 0, 0.38%, 0.0000518%), (SPGI, 0, 0.38%, 0.0000571%), (VZ, 0, 0.37%, 0.0000496%), (QCOM, 0, 0.37%, 0.0000532%), (COP, 0, 0.36%, 0.0000721%), (BLK, 0, 0.36%, 0.0000510%), (MDT, 0, 0.36%, 0.0000727%), (TMO, 0, 0.35%, 0.0000466%), (UNP, 0, 0.35%, 0.0000646%), (ADBE, 0, 0.35%, 0.0000588%), (DIS, 0, 0.34%, 0.0000397%), (C, 0, 0.33%, 0.0000461%), (LMT, 0, 0.32%, 0.0000752%), (SCHW, 0, 0.32%, 0.0000448%), (SBUX, 0, 0.32%, 0.0000762%), (AMGN, 0, 0.29%, 0.0000457%), (MMM, 0, 0.28%, 0.0000847%), (CVS, 0, 0.28%, 0.0000722%), (AMAT, 0, 0.27%, 0.0000535%), (TJX, 0, 0.27%, 0.0000422%), (PFE, 0, 0.26%, 0.0000456%), (ACN, 0, 0.26%, 0.0000401%), (GILD, 0, 0.26%, 0.0000458%), (EMR, 0, 0.25%, 0.0000837%), (MO, 0, 0.25%, 0.0000545%), (LOW, 0, 0.25%, 0.0000421%), (DHR, 0, 0.24%, 0.0000416%), (ELV, 0, 0.22%, 0.0000760%), (INTC, 0, 0.22%, 0.0000479%), (CMCSA, 0, 0.21%, 0.0000413%), (MDLZ, 0, 0.18%, 0.0000560%), (BMY, 0, 0.18%, 0.0000455%), (UPS, 0, 0.16%, 0.0000629%), (PYPL, 0, 0.15%, 0.0000584%), (USB, 0, 0.14%, 0.0000450%), (CL, 0, 0.14%, 0.0000497%), (FDX, 0, 0.13%, 0.0000602%), (TGT, 0, 0.07%, 0.0000429%), (nan, 0, -0.00%, 0.0000000%), (nan, 0, -0.01%, 0.0000000%)</t>
  </si>
  <si>
    <t>(AMZN, 0, 3.91%, 0.0002179%), (AVGO, 0, 3.17%, 0.0003054%), (META, 0, 2.80%, 0.0002352%), (BRK/B, 0, 2.22%, 0.0004323%), (CSCO, 0, 1.83%, 0.0009153%), (LIN, 0, 1.81%, 0.0010963%), (JPM, 0, 1.68%, 0.0002744%), (TSLA, 0, 1.68%, 0.0002061%), (XOM, 0, 1.56%, 0.0004284%), (AMT, 0, 1.55%, 0.0022185%), (V, 0, 1.46%, 0.0003307%), (CB, 0, 1.18%, 0.0014565%), (MA, 0, 1.17%, 0.0002990%), (LLY, 0, 1.17%, 0.0002275%), (GE, 0, 1.09%, 0.0005066%), (WM, 0, 1.08%, 0.0015936%), (UNH, 0, 0.92%, 0.0004416%), (NFLX, 0, 0.91%, 0.0002372%), (ORCL, 0, 0.90%, 0.0001886%), (NEE, 0, 0.89%, 0.0007919%), (JNJ, 0, 0.87%, 0.0002728%), (CVX, 0, 0.83%, 0.0003393%), (PG, 0, 0.81%, 0.0002960%), (PLTR, 0, 0.80%, 0.0003015%), (WMT, 0, 0.79%, 0.0001372%), (COST, 0, 0.78%, 0.0002520%), (RTX, 0, 0.77%, 0.0004902%), (MCD, 0, 0.77%, 0.0004580%), (ABBV, 0, 0.76%, 0.0002731%), (HD, 0, 0.75%, 0.0002484%), (ABT, 0, 0.74%, 0.0004336%), (CAT, 0, 0.74%, 0.0005089%), (BAC, 0, 0.67%, 0.0002415%), (BA, 0, 0.65%, 0.0004857%), (KO, 0, 0.64%, 0.0002907%), (PM, 0, 0.62%, 0.0003222%), (BKNG, 0, 0.62%, 0.0004685%), (SO, 0, 0.60%, 0.0007987%), (AMD, 0, 0.60%, 0.0003087%), (CRM, 0, 0.60%, 0.0003359%), (NKE, 0, 0.59%, 0.0008982%), (DUK, 0, 0.56%, 0.0007973%), (GS, 0, 0.56%, 0.0003404%), (IBM, 0, 0.56%, 0.0003309%), (UBER, 0, 0.55%, 0.0003813%), (WFC, 0, 0.54%, 0.0002785%), (ISRG, 0, 0.54%, 0.0004367%), (MET, 0, 0.53%, 0.0013372%), (HON, 0, 0.52%, 0.0005056%), (ETN, 0, 0.50%, 0.0005012%), (PEP, 0, 0.49%, 0.0003236%), (NOW, 0, 0.47%, 0.0003313%), (INTU, 0, 0.46%, 0.0003364%), (T, 0, 0.46%, 0.0013871%), (MS, 0, 0.45%, 0.0002526%), (DE, 0, 0.45%, 0.0004646%), (AXP, 0, 0.44%, 0.0002626%), (MRK, 0, 0.44%, 0.0002765%), (TXN, 0, 0.42%, 0.0003099%), (SPGI, 0, 0.42%, 0.0003408%), (VZ, 0, 0.41%, 0.0002963%), (QCOM, 0, 0.41%, 0.0003179%), (COP, 0, 0.40%, 0.0004304%), (BLK, 0, 0.39%, 0.0003055%), (MDT, 0, 0.39%, 0.0004346%), (ADBE, 0, 0.38%, 0.0003516%), (TMO, 0, 0.38%, 0.0002779%), (UNP, 0, 0.38%, 0.0003861%), (DIS, 0, 0.37%, 0.0002367%), (C, 0, 0.36%, 0.0002754%), (LMT, 0, 0.35%, 0.0004499%), (SCHW, 0, 0.35%, 0.0002677%), (SBUX, 0, 0.34%, 0.0004547%), (AMGN, 0, 0.31%, 0.0002725%), (MMM, 0, 0.31%, 0.0005062%), (CVS, 0, 0.30%, 0.0004309%), (AMAT, 0, 0.30%, 0.0003195%), (TJX, 0, 0.29%, 0.0002522%), (PFE, 0, 0.29%, 0.0002721%), (GILD, 0, 0.28%, 0.0002739%), (ACN, 0, 0.28%, 0.0002392%), (EMR, 0, 0.28%, 0.0005004%), (MO, 0, 0.27%, 0.0003256%), (LOW, 0, 0.27%, 0.0002518%), (DHR, 0, 0.27%, 0.0002485%), (ELV, 0, 0.24%, 0.0004540%), (INTC, 0, 0.24%, 0.0002862%), (CMCSA, 0, 0.23%, 0.0002468%), (MDLZ, 0, 0.20%, 0.0003342%), (BMY, 0, 0.19%, 0.0002719%), (UPS, 0, 0.18%, 0.0003752%), (PYPL, 0, 0.17%, 0.0003484%), (USB, 0, 0.15%, 0.0002687%), (CL, 0, 0.15%, 0.0002976%), (FDX, 0, 0.14%, 0.0003598%), (TGT, 0, 0.08%, 0.0002557%), (nan, 0, -0.01%, 0.0000000%), (nan, 0, -0.01%, 0.0000000%)</t>
  </si>
  <si>
    <t>(AMZN, 0, 3.90%, 0.0001624%), (AVGO, 0, 3.16%, 0.0002275%), (META, 0, 2.79%, 0.0001753%), (BRK/B, 0, 2.22%, 0.0003222%), (CSCO, 0, 1.82%, 0.0006821%), (LIN, 0, 1.80%, 0.0008170%), (JPM, 0, 1.68%, 0.0002045%), (TSLA, 0, 1.67%, 0.0001536%), (XOM, 0, 1.55%, 0.0003193%), (AMT, 0, 1.55%, 0.0016531%), (V, 0, 1.46%, 0.0002465%), (CB, 0, 1.18%, 0.0010852%), (LLY, 0, 1.17%, 0.0001696%), (MA, 0, 1.17%, 0.0002227%), (GE, 0, 1.09%, 0.0003776%), (WM, 0, 1.08%, 0.0011875%), (UNH, 0, 0.91%, 0.0003291%), (NFLX, 0, 0.90%, 0.0001765%), (ORCL, 0, 0.90%, 0.0001405%), (NEE, 0, 0.89%, 0.0005901%), (JNJ, 0, 0.87%, 0.0002033%), (CVX, 0, 0.83%, 0.0002528%), (PG, 0, 0.81%, 0.0002206%), (PLTR, 0, 0.80%, 0.0002246%), (WMT, 0, 0.79%, 0.0001023%), (COST, 0, 0.78%, 0.0001877%), (RTX, 0, 0.77%, 0.0003652%), (MCD, 0, 0.76%, 0.0003412%), (ABBV, 0, 0.76%, 0.0002035%), (HD, 0, 0.75%, 0.0001851%), (ABT, 0, 0.74%, 0.0003231%), (CAT, 0, 0.74%, 0.0003791%), (BAC, 0, 0.67%, 0.0001800%), (BA, 0, 0.65%, 0.0003618%), (KO, 0, 0.64%, 0.0002166%), (PM, 0, 0.62%, 0.0002401%), (BKNG, 0, 0.61%, 0.0003475%), (SO, 0, 0.60%, 0.0005953%), (AMD, 0, 0.60%, 0.0002300%), (CRM, 0, 0.59%, 0.0002503%), (NKE, 0, 0.59%, 0.0006693%), (DUK, 0, 0.56%, 0.0005941%), (IBM, 0, 0.55%, 0.0002466%), (GS, 0, 0.55%, 0.0002534%), (UBER, 0, 0.55%, 0.0002841%), (WFC, 0, 0.54%, 0.0002076%), (ISRG, 0, 0.54%, 0.0003253%), (MET, 0, 0.53%, 0.0009964%), (HON, 0, 0.52%, 0.0003768%), (ETN, 0, 0.50%, 0.0003735%), (PEP, 0, 0.49%, 0.0002411%), (NOW, 0, 0.46%, 0.0002471%), (INTU, 0, 0.46%, 0.0002507%), (T, 0, 0.46%, 0.0010336%), (MS, 0, 0.45%, 0.0001883%), (AXP, 0, 0.44%, 0.0001958%), (DE, 0, 0.44%, 0.0003462%), (MRK, 0, 0.44%, 0.0002060%), (TXN, 0, 0.42%, 0.0002310%), (SPGI, 0, 0.41%, 0.0002540%), (VZ, 0, 0.41%, 0.0002208%), (QCOM, 0, 0.40%, 0.0002369%), (COP, 0, 0.39%, 0.0003208%), (BLK, 0, 0.39%, 0.0002280%), (MDT, 0, 0.39%, 0.0003239%), (ADBE, 0, 0.38%, 0.0002621%), (TMO, 0, 0.38%, 0.0002071%), (UNP, 0, 0.38%, 0.0002874%), (DIS, 0, 0.37%, 0.0001763%), (C, 0, 0.36%, 0.0002052%), (LMT, 0, 0.35%, 0.0003354%), (SCHW, 0, 0.35%, 0.0001995%), (SBUX, 0, 0.34%, 0.0003388%), (AMGN, 0, 0.31%, 0.0002030%), (MMM, 0, 0.31%, 0.0003772%), (CVS, 0, 0.30%, 0.0003211%), (AMAT, 0, 0.30%, 0.0002381%), (ACN, 0, 0.30%, 0.0001859%), (TJX, 0, 0.29%, 0.0001880%), (PFE, 0, 0.29%, 0.0002028%), (GILD, 0, 0.28%, 0.0002041%), (EMR, 0, 0.27%, 0.0003728%), (MO, 0, 0.27%, 0.0002426%), (LOW, 0, 0.27%, 0.0001876%), (DHR, 0, 0.27%, 0.0001852%), (ELV, 0, 0.24%, 0.0003379%), (INTC, 0, 0.24%, 0.0002133%), (CMCSA, 0, 0.23%, 0.0001839%), (MDLZ, 0, 0.20%, 0.0002491%), (BMY, 0, 0.19%, 0.0002027%), (UPS, 0, 0.17%, 0.0002795%), (PYPL, 0, 0.17%, 0.0002596%), (USB, 0, 0.15%, 0.0002002%), (CL, 0, 0.15%, 0.0002218%), (FDX, 0, 0.14%, 0.0002683%), (TGT, 0, 0.08%, 0.0001906%), (nan, 0, -0.00%, 0.0000000%), (nan, 0, -0.01%, 0.0000000%)</t>
  </si>
  <si>
    <t>(AMZN, 0, 3.95%, 0.0000381%), (AVGO, 0, 3.20%, 0.0000533%), (META, 0, 2.83%, 0.0000411%), (BRK/B, 0, 2.25%, 0.0000755%), (CSCO, 0, 1.85%, 0.0001599%), (LIN, 0, 1.83%, 0.0001915%), (JPM, 0, 1.70%, 0.0000479%), (TSLA, 0, 1.70%, 0.0000360%), (XOM, 0, 1.57%, 0.0000748%), (AMT, 0, 1.57%, 0.0003875%), (V, 0, 1.48%, 0.0000578%), (CB, 0, 1.20%, 0.0002544%), (LLY, 0, 1.19%, 0.0000398%), (MA, 0, 1.19%, 0.0000522%), (GE, 0, 1.10%, 0.0000885%), (WM, 0, 1.09%, 0.0002785%), (UNH, 0, 0.93%, 0.0000772%), (NFLX, 0, 0.91%, 0.0000413%), (ORCL, 0, 0.91%, 0.0000329%), (NEE, 0, 0.90%, 0.0001383%), (JNJ, 0, 0.88%, 0.0000476%), (CVX, 0, 0.84%, 0.0000592%), (PG, 0, 0.82%, 0.0000517%), (PLTR, 0, 0.81%, 0.0000527%), (WMT, 0, 0.80%, 0.0000240%), (COST, 0, 0.79%, 0.0000440%), (RTX, 0, 0.78%, 0.0000856%), (MCD, 0, 0.77%, 0.0000800%), (ABBV, 0, 0.77%, 0.0000477%), (HD, 0, 0.76%, 0.0000434%), (ABT, 0, 0.75%, 0.0000757%), (CAT, 0, 0.75%, 0.0000888%), (BAC, 0, 0.68%, 0.0000422%), (BA, 0, 0.66%, 0.0000849%), (KO, 0, 0.65%, 0.0000508%), (BKNG, 0, 0.64%, 0.0000838%), (PM, 0, 0.63%, 0.0000563%), (SO, 0, 0.61%, 0.0001395%), (AMD, 0, 0.61%, 0.0000539%), (CRM, 0, 0.60%, 0.0000587%), (NKE, 0, 0.60%, 0.0001569%), (DUK, 0, 0.57%, 0.0001392%), (IBM, 0, 0.56%, 0.0000578%), (GS, 0, 0.56%, 0.0000593%), (UBER, 0, 0.55%, 0.0000666%), (WFC, 0, 0.55%, 0.0000486%), (ISRG, 0, 0.55%, 0.0000762%), (MET, 0, 0.54%, 0.0002335%), (HON, 0, 0.53%, 0.0000884%), (ETN, 0, 0.51%, 0.0000876%), (PEP, 0, 0.50%, 0.0000565%), (NOW, 0, 0.47%, 0.0000577%), (INTU, 0, 0.47%, 0.0000588%), (T, 0, 0.47%, 0.0002423%), (MS, 0, 0.45%, 0.0000442%), (DE, 0, 0.45%, 0.0000814%), (AXP, 0, 0.45%, 0.0000459%), (MRK, 0, 0.44%, 0.0000483%), (TXN, 0, 0.42%, 0.0000541%), (SPGI, 0, 0.42%, 0.0000594%), (VZ, 0, 0.41%, 0.0000518%), (QCOM, 0, 0.41%, 0.0000555%), (COP, 0, 0.40%, 0.0000752%), (BLK, 0, 0.40%, 0.0000536%), (MDT, 0, 0.39%, 0.0000759%), (UNP, 0, 0.38%, 0.0000674%), (ADBE, 0, 0.38%, 0.0000614%), (TMO, 0, 0.38%, 0.0000484%), (DIS, 0, 0.38%, 0.0000413%), (C, 0, 0.36%, 0.0000481%), (LMT, 0, 0.35%, 0.0000787%), (SCHW, 0, 0.35%, 0.0000468%), (SBUX, 0, 0.35%, 0.0000794%), (AMGN, 0, 0.32%, 0.0000476%), (MMM, 0, 0.31%, 0.0000885%), (CVS, 0, 0.30%, 0.0000752%), (AMAT, 0, 0.30%, 0.0000559%), (ACN, 0, 0.29%, 0.0000425%), (TJX, 0, 0.29%, 0.0000441%), (PFE, 0, 0.29%, 0.0000475%), (GILD, 0, 0.29%, 0.0000478%), (EMR, 0, 0.28%, 0.0000874%), (MO, 0, 0.28%, 0.0000569%), (LOW, 0, 0.27%, 0.0000439%), (DHR, 0, 0.27%, 0.0000435%), (ELV, 0, 0.24%, 0.0000792%), (INTC, 0, 0.24%, 0.0000500%), (CMCSA, 0, 0.23%, 0.0000431%), (MDLZ, 0, 0.20%, 0.0000584%), (BMY, 0, 0.20%, 0.0000475%), (UPS, 0, 0.18%, 0.0000655%), (PYPL, 0, 0.17%, 0.0000609%), (USB, 0, 0.15%, 0.0000469%), (CL, 0, 0.15%, 0.0000520%), (FDX, 0, 0.14%, 0.0000627%), (TGT, 0, 0.08%, 0.0000447%), (nan, 0, -0.00%, 0.0000000%), (nan, 0, -0.01%, 0.0000000%)</t>
  </si>
  <si>
    <t>(AMZN, 0, 3.76%, 0.0000669%), (AVGO, 0, 3.05%, 0.0000938%), (META, 0, 2.69%, 0.0000723%), (BRK/B, 0, 2.14%, 0.0001328%), (CSCO, 0, 1.76%, 0.0002812%), (LIN, 0, 1.74%, 0.0003369%), (JPM, 0, 1.62%, 0.0000843%), (TSLA, 0, 1.61%, 0.0000633%), (XOM, 0, 1.50%, 0.0001316%), (AMT, 0, 1.49%, 0.0006814%), (V, 0, 1.41%, 0.0001016%), (CB, 0, 1.14%, 0.0004475%), (MA, 0, 1.13%, 0.0000919%), (LLY, 0, 1.13%, 0.0000699%), (GE, 0, 1.05%, 0.0001557%), (WM, 0, 1.04%, 0.0004895%), (UNH, 0, 0.88%, 0.0001357%), (NFLX, 0, 0.87%, 0.0000729%), (ORCL, 0, 0.86%, 0.0000579%), (NEE, 0, 0.85%, 0.0002433%), (JNJ, 0, 0.84%, 0.0000838%), (CVX, 0, 0.80%, 0.0001042%), (PG, 0, 0.78%, 0.0000909%), (PLTR, 0, 0.77%, 0.0000926%), (WMT, 0, 0.76%, 0.0000422%), (COST, 0, 0.75%, 0.0000774%), (RTX, 0, 0.74%, 0.0001506%), (MCD, 0, 0.74%, 0.0001407%), (ABBV, 0, 0.73%, 0.0000839%), (HD, 0, 0.72%, 0.0000764%), (ABT, 0, 0.71%, 0.0001332%), (CAT, 0, 0.71%, 0.0001563%), (BAC, 0, 0.65%, 0.0000742%), (BA, 0, 0.62%, 0.0001492%), (KO, 0, 0.62%, 0.0000893%), (PM, 0, 0.60%, 0.0000989%), (BKNG, 0, 0.59%, 0.0001427%), (AMD, 0, 0.58%, 0.0000948%), (SO, 0, 0.58%, 0.0002453%), (CRM, 0, 0.57%, 0.0001032%), (NKE, 0, 0.57%, 0.0002760%), (DUK, 0, 0.54%, 0.0002449%), (GS, 0, 0.53%, 0.0001047%), (IBM, 0, 0.53%, 0.0001017%), (UBER, 0, 0.53%, 0.0001171%), (WFC, 0, 0.52%, 0.0000856%), (ISRG, 0, 0.52%, 0.0001343%), (MET, 0, 0.51%, 0.0004108%), (HON, 0, 0.50%, 0.0001553%), (ETN, 0, 0.48%, 0.0001539%), (PEP, 0, 0.47%, 0.0000994%), (NOW, 0, 0.45%, 0.0001019%), (INTU, 0, 0.44%, 0.0001033%), (T, 0, 0.44%, 0.0004261%), (MS, 0, 0.43%, 0.0000776%), (DE, 0, 0.43%, 0.0001428%), (AXP, 0, 0.43%, 0.0000807%), (MRK, 0, 0.42%, 0.0000850%), (TXN, 0, 0.40%, 0.0000953%), (SPGI, 0, 0.40%, 0.0001050%), (VZ, 0, 0.39%, 0.0000910%), (QCOM, 0, 0.39%, 0.0000976%), (COP, 0, 0.38%, 0.0001322%), (BLK, 0, 0.38%, 0.0000936%), (MDT, 0, 0.37%, 0.0001335%), (ADBE, 0, 0.36%, 0.0001080%), (UNP, 0, 0.36%, 0.0001185%), (TMO, 0, 0.36%, 0.0000852%), (DIS, 0, 0.36%, 0.0000727%), (C, 0, 0.34%, 0.0000846%), (LMT, 0, 0.34%, 0.0001383%), (SCHW, 0, 0.33%, 0.0000822%), (SBUX, 0, 0.33%, 0.0001397%), (ACN, 0, 0.32%, 0.0000870%), (AMGN, 0, 0.30%, 0.0000838%), (MMM, 0, 0.30%, 0.0001555%), (CVS, 0, 0.29%, 0.0001324%), (AMAT, 0, 0.29%, 0.0000980%), (TJX, 0, 0.28%, 0.0000775%), (PFE, 0, 0.28%, 0.0000836%), (GILD, 0, 0.27%, 0.0000842%), (EMR, 0, 0.26%, 0.0001537%), (MO, 0, 0.26%, 0.0001001%), (LOW, 0, 0.26%, 0.0000774%), (DHR, 0, 0.26%, 0.0000763%), (ELV, 0, 0.23%, 0.0001395%), (INTC, 0, 0.23%, 0.0000879%), (CMCSA, 0, 0.22%, 0.0000758%), (MDLZ, 0, 0.19%, 0.0001026%), (BMY, 0, 0.19%, 0.0000836%), (UPS, 0, 0.17%, 0.0001153%), (PYPL, 0, 0.16%, 0.0001070%), (USB, 0, 0.15%, 0.0000826%), (CL, 0, 0.14%, 0.0000914%), (FDX, 0, 0.14%, 0.0001106%), (TGT, 0, 0.08%, 0.0000786%), (nan, 0, -0.00%, 0.0000000%), (nan, 0, -0.01%, 0.0000000%)</t>
  </si>
  <si>
    <t>(AMZN, 0, 3.84%, 0.0000242%), (AVGO, 0, 3.12%, 0.0000339%), (META, 0, 2.74%, 0.0000261%), (BRK/B, 0, 2.18%, 0.0000479%), (CSCO, 0, 1.79%, 0.0001016%), (LIN, 0, 1.77%, 0.0001216%), (JPM, 0, 1.65%, 0.0000304%), (TSLA, 0, 1.65%, 0.0000229%), (XOM, 0, 1.53%, 0.0000475%), (AMT, 0, 1.52%, 0.0002463%), (V, 0, 1.44%, 0.0000367%), (CB, 0, 1.16%, 0.0001616%), (MA, 0, 1.15%, 0.0000332%), (LLY, 0, 1.15%, 0.0000252%), (GE, 0, 1.07%, 0.0000562%), (WM, 0, 1.06%, 0.0001770%), (UNH, 0, 0.90%, 0.0000490%), (NFLX, 0, 0.90%, 0.0000264%), (ORCL, 0, 0.88%, 0.0000209%), (NEE, 0, 0.87%, 0.0000879%), (JNJ, 0, 0.85%, 0.0000303%), (CVX, 0, 0.82%, 0.0000377%), (PG, 0, 0.80%, 0.0000328%), (PLTR, 0, 0.78%, 0.0000335%), (WMT, 0, 0.78%, 0.0000152%), (COST, 0, 0.77%, 0.0000280%), (RTX, 0, 0.76%, 0.0000544%), (MCD, 0, 0.75%, 0.0000509%), (ABBV, 0, 0.74%, 0.0000303%), (HD, 0, 0.74%, 0.0000276%), (CAT, 0, 0.72%, 0.0000566%), (ABT, 0, 0.72%, 0.0000481%), (BAC, 0, 0.66%, 0.0000268%), (BA, 0, 0.64%, 0.0000538%), (KO, 0, 0.63%, 0.0000323%), (BKNG, 0, 0.62%, 0.0000527%), (PM, 0, 0.61%, 0.0000358%), (SO, 0, 0.59%, 0.0000887%), (AMD, 0, 0.59%, 0.0000343%), (CRM, 0, 0.59%, 0.0000373%), (NKE, 0, 0.58%, 0.0000996%), (DUK, 0, 0.55%, 0.0000885%), (GS, 0, 0.55%, 0.0000380%), (IBM, 0, 0.54%, 0.0000367%), (UBER, 0, 0.54%, 0.0000423%), (WFC, 0, 0.53%, 0.0000309%), (ISRG, 0, 0.53%, 0.0000485%), (MET, 0, 0.52%, 0.0001483%), (HON, 0, 0.51%, 0.0000561%), (ETN, 0, 0.49%, 0.0000555%), (PEP, 0, 0.48%, 0.0000359%), (NOW, 0, 0.46%, 0.0000365%), (INTU, 0, 0.45%, 0.0000373%), (T, 0, 0.45%, 0.0001539%), (MS, 0, 0.44%, 0.0000281%), (DE, 0, 0.44%, 0.0000514%), (AXP, 0, 0.44%, 0.0000292%), (MRK, 0, 0.43%, 0.0000307%), (TXN, 0, 0.41%, 0.0000343%), (SPGI, 0, 0.41%, 0.0000380%), (VZ, 0, 0.40%, 0.0000329%), (QCOM, 0, 0.40%, 0.0000353%), (COP, 0, 0.39%, 0.0000478%), (BLK, 0, 0.38%, 0.0000336%), (MDT, 0, 0.38%, 0.0000483%), (TMO, 0, 0.37%, 0.0000309%), (ADBE, 0, 0.37%, 0.0000389%), (UNP, 0, 0.37%, 0.0000428%), (DIS, 0, 0.37%, 0.0000263%), (C, 0, 0.35%, 0.0000305%), (LMT, 0, 0.35%, 0.0000501%), (SCHW, 0, 0.34%, 0.0000297%), (SBUX, 0, 0.34%, 0.0000504%), (AMGN, 0, 0.31%, 0.0000303%), (MMM, 0, 0.30%, 0.0000563%), (CVS, 0, 0.29%, 0.0000478%), (AMAT, 0, 0.29%, 0.0000355%), (TJX, 0, 0.28%, 0.0000279%), (PFE, 0, 0.28%, 0.0000302%), (GILD, 0, 0.28%, 0.0000304%), (EMR, 0, 0.27%, 0.0000554%), (MO, 0, 0.27%, 0.0000362%), (LOW, 0, 0.27%, 0.0000280%), (DHR, 0, 0.26%, 0.0000276%), (ELV, 0, 0.24%, 0.0000504%), (INTC, 0, 0.23%, 0.0000318%), (CMCSA, 0, 0.22%, 0.0000274%), (ACN, 0, 0.22%, 0.0000212%), (MDLZ, 0, 0.19%, 0.0000370%), (BMY, 0, 0.19%, 0.0000302%), (UPS, 0, 0.17%, 0.0000416%), (PYPL, 0, 0.16%, 0.0000387%), (USB, 0, 0.15%, 0.0000298%), (CL, 0, 0.15%, 0.0000330%), (FDX, 0, 0.14%, 0.0000398%), (TGT, 0, 0.08%, 0.0000282%), (nan, 0, -0.00%, 0.0000000%), (nan, 0, -0.01%, 0.0000000%)</t>
  </si>
  <si>
    <t>(GOOGLE, 0, 4.09%, 0.0000588%), (AMZN, 0, 4.07%, 0.0000578%), (AVGO, 0, 3.29%, 0.0000809%), (META, 0, 2.91%, 0.0000623%), (BRK/B, 0, 2.31%, 0.0001145%), (CSCO, 0, 1.90%, 0.0002426%), (LIN, 0, 1.88%, 0.0002906%), (JPM, 0, 1.75%, 0.0000727%), (TSLA, 0, 1.74%, 0.0000546%), (XOM, 0, 1.62%, 0.0001135%), (AMT, 0, 1.61%, 0.0005879%), (V, 0, 1.52%, 0.0000877%), (CB, 0, 1.23%, 0.0003860%), (MA, 0, 1.22%, 0.0000792%), (LLY, 0, 1.22%, 0.0000603%), (GE, 0, 1.14%, 0.0001343%), (WM, 0, 1.12%, 0.0004225%), (UNH, 0, 0.95%, 0.0001171%), (NFLX, 0, 0.94%, 0.0000628%), (ORCL, 0, 0.93%, 0.0000500%), (NEE, 0, 0.92%, 0.0002099%), (JNJ, 0, 0.91%, 0.0000723%), (CVX, 0, 0.87%, 0.0000899%), (PG, 0, 0.84%, 0.0000784%), (PLTR, 0, 0.83%, 0.0000799%), (WMT, 0, 0.83%, 0.0000364%), (COST, 0, 0.81%, 0.0000668%), (RTX, 0, 0.80%, 0.0001299%), (MCD, 0, 0.80%, 0.0001215%), (ABBV, 0, 0.79%, 0.0000724%), (HD, 0, 0.78%, 0.0000659%), (CAT, 0, 0.77%, 0.0001349%), (ABT, 0, 0.77%, 0.0001149%), (BAC, 0, 0.70%, 0.0000640%), (BA, 0, 0.68%, 0.0001287%), (KO, 0, 0.67%, 0.0000770%), (PM, 0, 0.65%, 0.0000854%), (BKNG, 0, 0.64%, 0.0001241%), (SO, 0, 0.63%, 0.0002117%), (AMD, 0, 0.63%, 0.0000818%), (CRM, 0, 0.62%, 0.0000891%), (NKE, 0, 0.62%, 0.0002380%), (DUK, 0, 0.59%, 0.0002113%), (IBM, 0, 0.58%, 0.0000877%), (GS, 0, 0.58%, 0.0000900%), (UBER, 0, 0.57%, 0.0001010%), (WFC, 0, 0.56%, 0.0000738%), (ISRG, 0, 0.56%, 0.0001157%), (MET, 0, 0.56%, 0.0003544%), (HON, 0, 0.54%, 0.0001340%), (ETN, 0, 0.52%, 0.0001331%), (PEP, 0, 0.51%, 0.0000858%), (NOW, 0, 0.48%, 0.0000875%), (T, 0, 0.48%, 0.0003676%), (INTU, 0, 0.48%, 0.0000890%), (MS, 0, 0.46%, 0.0000670%), (DE, 0, 0.46%, 0.0001232%), (AXP, 0, 0.46%, 0.0000695%), (MRK, 0, 0.45%, 0.0000733%), (TXN, 0, 0.44%, 0.0000821%), (SPGI, 0, 0.43%, 0.0000905%), (VZ, 0, 0.42%, 0.0000785%), (QCOM, 0, 0.42%, 0.0000842%), (ACN, 0, 0.41%, 0.0000889%), (COP, 0, 0.41%, 0.0001141%), (BLK, 0, 0.41%, 0.0000807%), (MDT, 0, 0.40%, 0.0001152%), (TMO, 0, 0.39%, 0.0000737%), (ADBE, 0, 0.39%, 0.0000932%), (UNP, 0, 0.39%, 0.0001022%), (DIS, 0, 0.39%, 0.0000627%), (C, 0, 0.37%, 0.0000730%), (LMT, 0, 0.36%, 0.0001193%), (SCHW, 0, 0.36%, 0.0000710%), (SBUX, 0, 0.36%, 0.0001205%), (AMGN, 0, 0.33%, 0.0000723%), (MMM, 0, 0.32%, 0.0001342%), (CVS, 0, 0.31%, 0.0001142%), (AMAT, 0, 0.31%, 0.0000846%), (TJX, 0, 0.30%, 0.0000669%), (PFE, 0, 0.30%, 0.0000721%), (GILD, 0, 0.30%, 0.0000726%), (EMR, 0, 0.29%, 0.0001326%), (MO, 0, 0.28%, 0.0000863%), (LOW, 0, 0.28%, 0.0000669%), (DHR, 0, 0.28%, 0.0000658%), (ELV, 0, 0.25%, 0.0001201%), (INTC, 0, 0.25%, 0.0000759%), (CMCSA, 0, 0.24%, 0.0000654%), (MDLZ, 0, 0.21%, 0.0000886%), (BMY, 0, 0.20%, 0.0000721%), (UPS, 0, 0.18%, 0.0000993%), (PYPL, 0, 0.17%, 0.0000923%), (USB, 0, 0.16%, 0.0000712%), (CL, 0, 0.16%, 0.0000789%), (FDX, 0, 0.15%, 0.0000954%), (TGT, 0, 0.08%, 0.0000678%), (nan, 0, -0.01%, 0.0000000%), (nan, 0, -0.01%, 0.0000000%)</t>
  </si>
  <si>
    <t>EBAY, BK, GOOGLE, META, MLI, JPM, MSFT, EA, RJF, PHM, BLK, AXP</t>
  </si>
  <si>
    <t>(BKNG, 0, 1.91%, 0.0005956%), (EWBC, 0, 1.88%, 0.0071520%), (HIG, 0, 1.82%, 0.0027400%), (V, 0, 1.81%, 0.0001678%), (TRV, 0, 1.79%, 0.0016264%), (ROST, 0, 1.74%, 0.0019534%), (SNA, 0, 1.66%, 0.0054665%), (ADP, 0, 1.65%, 0.0007534%), (NVDA, 0, 1.65%, 0.0000219%), (SYF, 0, 1.63%, 0.0033062%), (UNM, 0, 1.62%, 0.0075320%), (LEN, 0, 1.62%, 0.0030075%), (PCAR, 0, 1.61%, 0.0017169%), (CB, 0, 1.61%, 0.0008174%), (AMAT, 0, 1.56%, 0.0006858%), (KLAC, 0, 1.54%, 0.0007679%), (CTSH, 0, 1.50%, 0.0023879%), (CRM, 0, 1.49%, 0.0003432%), (WSM, 0, 1.40%, 0.0033106%), (BKR, 0, 1.39%, 0.0017187%), (PAYC, 0, 1.39%, 0.0060266%), (DHI, 0, 1.38%, 0.0015190%), (QCOM, 0, 1.32%, 0.0004263%), (ELV, 0, 1.27%, 0.0009827%), (ACN, 0, 1.26%, 0.0004362%), (AAPL, 0, 1.23%, 0.0000201%), (AFL, 0, 1.20%, 0.0011778%), (MPWR, 0, 1.08%, 0.0015201%), (ODFL, 0, 1.06%, 0.0018590%), (CSCO, 0, 1.05%, 0.0002158%), (LRCX, 0, 1.03%, 0.0004677%), (GE, 0, 1.03%, 0.0001952%), (STT, 0, 0.97%, 0.0016931%), (PNC, 0, 0.94%, 0.0006430%), (MTB, 0, 0.91%, 0.0016371%), (CF, 0, 0.85%, 0.0033370%), (AMP, 0, 0.85%, 0.0009913%), (XOM, 0, 0.82%, 0.0000929%), (EOG, 0, 0.81%, 0.0006524%), (ABT, 0, 0.81%, 0.0001958%), (COST, 0, 0.80%, 0.0001067%), (EG, 0, 0.75%, 0.0028524%), (CSL, 0, 0.73%, 0.0025367%), (NTRS, 0, 0.52%, 0.0011607%), (GEV, 0, 0.51%, 0.0001776%), (MA, 0, 0.49%, 0.0000514%), (JNJ, 0, 0.47%, 0.0000610%), (CRBG, 0, 0.47%, 0.0013999%), (ACM, 0, 0.47%, 0.0015682%), (LNC, 0, 0.46%, 0.0031605%), (WTFC, 0, 0.44%, 0.0026407%), (JXN, 0, 0.44%, 0.0035577%), (MTG, 0, 0.43%, 0.0038549%), (CINF, 0, 0.42%, 0.0009787%), (ADM, 0, 0.41%, 0.0007607%), (DOV, 0, 0.41%, 0.0009355%), (EQH, 0, 0.41%, 0.0014205%), (ALL, 0, 0.40%, 0.0004125%), (MCK, 0, 0.40%, 0.0002549%), (SLM, 0, 0.39%, 0.0034713%), (NUE, 0, 0.39%, 0.0006391%), (NKE, 0, 0.36%, 0.0002250%), (PGR, 0, 0.36%, 0.0001366%), (FANG, 0, 0.31%, 0.0003948%)</t>
  </si>
  <si>
    <t>(AMZN, 0, 3.71%, 0.0000616%), (AVGO, 0, 3.02%, 0.0000863%), (META, 0, 2.66%, 0.0000664%), (BRK/B, 0, 2.11%, 0.0001221%), (CSCO, 0, 1.74%, 0.0002586%), (LIN, 0, 1.72%, 0.0003097%), (JPM, 0, 1.60%, 0.0000775%), (TSLA, 0, 1.59%, 0.0000582%), (XOM, 0, 1.48%, 0.0001210%), (AMT, 0, 1.47%, 0.0006267%), (V, 0, 1.39%, 0.0000935%), (CB, 0, 1.12%, 0.0004114%), (MA, 0, 1.12%, 0.0000845%), (LLY, 0, 1.12%, 0.0000643%), (GE, 0, 1.04%, 0.0001431%), (WM, 0, 1.03%, 0.0004503%), (UNH, 0, 0.87%, 0.0001247%), (NFLX, 0, 0.86%, 0.0000670%), (ORCL, 0, 0.85%, 0.0000532%), (NEE, 0, 0.85%, 0.0002237%), (JNJ, 0, 0.83%, 0.0000770%), (CVX, 0, 0.79%, 0.0000958%), (PG, 0, 0.77%, 0.0000836%), (PLTR, 0, 0.76%, 0.0000851%), (WMT, 0, 0.76%, 0.0000388%), (COST, 0, 0.74%, 0.0000711%), (RTX, 0, 0.73%, 0.0001384%), (MCD, 0, 0.73%, 0.0001293%), (ABBV, 0, 0.72%, 0.0000772%), (HD, 0, 0.71%, 0.0000702%), (ABT, 0, 0.70%, 0.0001225%), (CAT, 0, 0.70%, 0.0001437%), (BAC, 0, 0.64%, 0.0000682%), (BA, 0, 0.62%, 0.0001372%), (KO, 0, 0.61%, 0.0000821%), (BKNG, 0, 0.59%, 0.0001334%), (PM, 0, 0.59%, 0.0000910%), (AMD, 0, 0.57%, 0.0000873%), (SO, 0, 0.57%, 0.0002256%), (CRM, 0, 0.57%, 0.0000950%), (NKE, 0, 0.56%, 0.0002538%), (DUK, 0, 0.53%, 0.0002252%), (GS, 0, 0.53%, 0.0000964%), (IBM, 0, 0.53%, 0.0000935%), (UBER, 0, 0.52%, 0.0001077%), (WFC, 0, 0.52%, 0.0000787%), (ISRG, 0, 0.51%, 0.0001233%), (MET, 0, 0.51%, 0.0003777%), (HON, 0, 0.49%, 0.0001429%), (ETN, 0, 0.48%, 0.0001418%), (PEP, 0, 0.47%, 0.0000914%), (NOW, 0, 0.44%, 0.0000938%), (INTU, 0, 0.44%, 0.0000950%), (T, 0, 0.44%, 0.0003918%), (MS, 0, 0.42%, 0.0000714%), (DE, 0, 0.42%, 0.0001313%), (AXP, 0, 0.42%, 0.0000742%), (MRK, 0, 0.42%, 0.0000781%), (TXN, 0, 0.40%, 0.0000876%), (SPGI, 0, 0.39%, 0.0000964%), (VZ, 0, 0.39%, 0.0000837%), (QCOM, 0, 0.38%, 0.0000898%), (COP, 0, 0.38%, 0.0001215%), (BLK, 0, 0.37%, 0.0000859%), (MDT, 0, 0.37%, 0.0001228%), (ADBE, 0, 0.36%, 0.0000994%), (TMO, 0, 0.36%, 0.0000785%), (UNP, 0, 0.36%, 0.0001089%), (DIS, 0, 0.36%, 0.0000669%), (C, 0, 0.34%, 0.0000778%), (LMT, 0, 0.33%, 0.0001275%), (SCHW, 0, 0.33%, 0.0000756%), (SBUX, 0, 0.33%, 0.0001284%), (ACN, 0, 0.31%, 0.0000787%), (AMGN, 0, 0.30%, 0.0000769%), (MMM, 0, 0.29%, 0.0001429%), (CVS, 0, 0.29%, 0.0001217%), (AMAT, 0, 0.28%, 0.0000903%), (TJX, 0, 0.27%, 0.0000713%), (PFE, 0, 0.27%, 0.0000769%), (GILD, 0, 0.27%, 0.0000774%), (EMR, 0, 0.26%, 0.0001414%), (MO, 0, 0.26%, 0.0000920%), (LOW, 0, 0.26%, 0.0000711%), (DHR, 0, 0.25%, 0.0000702%), (ELV, 0, 0.23%, 0.0001282%), (INTC, 0, 0.23%, 0.0000809%), (CMCSA, 0, 0.22%, 0.0000697%), (MDLZ, 0, 0.19%, 0.0000945%), (BMY, 0, 0.19%, 0.0000768%), (UPS, 0, 0.17%, 0.0001060%), (PYPL, 0, 0.16%, 0.0000983%), (USB, 0, 0.14%, 0.0000759%), (CL, 0, 0.14%, 0.0000841%), (FDX, 0, 0.13%, 0.0001017%), (TGT, 0, 0.08%, 0.0000722%), (nan, 0, -0.00%, 0.0000000%), (nan, 0, -0.01%, 0.0000000%)</t>
  </si>
  <si>
    <t>(AMZN, 0, 3.89%, 0.0001258%), (AVGO, 0, 3.16%, 0.0001763%), (META, 0, 2.79%, 0.0001358%), (BRK/B, 0, 2.21%, 0.0002496%), (CSCO, 0, 1.82%, 0.0005286%), (LIN, 0, 1.80%, 0.0006330%), (JPM, 0, 1.68%, 0.0001585%), (TSLA, 0, 1.67%, 0.0001190%), (XOM, 0, 1.55%, 0.0002474%), (AMT, 0, 1.55%, 0.0012812%), (V, 0, 1.46%, 0.0001910%), (CB, 0, 1.18%, 0.0008411%), (LLY, 0, 1.17%, 0.0001315%), (MA, 0, 1.17%, 0.0001727%), (GE, 0, 1.09%, 0.0002927%), (WM, 0, 1.08%, 0.0009202%), (UNH, 0, 0.91%, 0.0002550%), (NFLX, 0, 0.90%, 0.0001369%), (ORCL, 0, 0.90%, 0.0001089%), (NEE, 0, 0.89%, 0.0004573%), (JNJ, 0, 0.87%, 0.0001575%), (CVX, 0, 0.83%, 0.0001959%), (PG, 0, 0.81%, 0.0001709%), (PLTR, 0, 0.80%, 0.0001741%), (WMT, 0, 0.79%, 0.0000792%), (COST, 0, 0.78%, 0.0001455%), (RTX, 0, 0.77%, 0.0002830%), (MCD, 0, 0.76%, 0.0002644%), (ABBV, 0, 0.76%, 0.0001577%), (HD, 0, 0.74%, 0.0001435%), (ABT, 0, 0.74%, 0.0002504%), (CAT, 0, 0.73%, 0.0002939%), (BAC, 0, 0.67%, 0.0001395%), (BA, 0, 0.65%, 0.0002804%), (KO, 0, 0.64%, 0.0001679%), (PM, 0, 0.62%, 0.0001860%), (BKNG, 0, 0.62%, 0.0002699%), (AMD, 0, 0.60%, 0.0001783%), (SO, 0, 0.60%, 0.0004613%), (CRM, 0, 0.60%, 0.0001940%), (NKE, 0, 0.59%, 0.0005187%), (DUK, 0, 0.56%, 0.0004605%), (IBM, 0, 0.55%, 0.0001911%), (GS, 0, 0.55%, 0.0001964%), (UBER, 0, 0.55%, 0.0002201%), (WFC, 0, 0.54%, 0.0001609%), (ISRG, 0, 0.54%, 0.0002522%), (MET, 0, 0.53%, 0.0007723%), (HON, 0, 0.52%, 0.0002922%), (ETN, 0, 0.50%, 0.0002895%), (PEP, 0, 0.49%, 0.0001869%), (NOW, 0, 0.46%, 0.0001913%), (INTU, 0, 0.46%, 0.0001944%), (T, 0, 0.46%, 0.0008011%), (MS, 0, 0.44%, 0.0001459%), (DE, 0, 0.44%, 0.0002686%), (AXP, 0, 0.44%, 0.0001517%), (MRK, 0, 0.44%, 0.0001597%), (TXN, 0, 0.42%, 0.0001790%), (SPGI, 0, 0.41%, 0.0001968%), (VZ, 0, 0.41%, 0.0001711%), (QCOM, 0, 0.40%, 0.0001836%), (COP, 0, 0.39%, 0.0002485%), (BLK, 0, 0.39%, 0.0001763%), (MDT, 0, 0.39%, 0.0002510%), (ADBE, 0, 0.38%, 0.0002031%), (TMO, 0, 0.38%, 0.0001605%), (UNP, 0, 0.38%, 0.0002229%), (DIS, 0, 0.37%, 0.0001367%), (ACN, 0, 0.36%, 0.0001777%), (C, 0, 0.36%, 0.0001590%), (LMT, 0, 0.35%, 0.0002602%), (SCHW, 0, 0.35%, 0.0001546%), (SBUX, 0, 0.34%, 0.0002626%), (AMGN, 0, 0.31%, 0.0001573%), (MMM, 0, 0.31%, 0.0002923%), (CVS, 0, 0.30%, 0.0002489%), (AMAT, 0, 0.30%, 0.0001845%), (TJX, 0, 0.29%, 0.0001457%), (PFE, 0, 0.29%, 0.0001571%), (GILD, 0, 0.28%, 0.0001581%), (EMR, 0, 0.27%, 0.0002889%), (MO, 0, 0.27%, 0.0001881%), (LOW, 0, 0.27%, 0.0001455%), (DHR, 0, 0.26%, 0.0001434%), (ELV, 0, 0.24%, 0.0002619%), (INTC, 0, 0.24%, 0.0001653%), (CMCSA, 0, 0.23%, 0.0001425%), (MDLZ, 0, 0.20%, 0.0001930%), (BMY, 0, 0.19%, 0.0001570%), (UPS, 0, 0.17%, 0.0002167%), (PYPL, 0, 0.17%, 0.0002011%), (USB, 0, 0.15%, 0.0001552%), (CL, 0, 0.15%, 0.0001718%), (FDX, 0, 0.14%, 0.0002077%), (TGT, 0, 0.08%, 0.0001474%), (nan, 0, -0.00%, 0.0000000%), (nan, 0, -0.01%, 0.0000000%)</t>
  </si>
  <si>
    <t>(AMZN, 0, 3.66%, 0.0002517%), (AVGO, 0, 2.97%, 0.0003527%), (META, 0, 2.62%, 0.0002716%), (BRK/B, 0, 2.08%, 0.0004993%), (CSCO, 0, 1.71%, 0.0010572%), (LIN, 0, 1.70%, 0.0012663%), (JPM, 0, 1.58%, 0.0003170%), (TSLA, 0, 1.57%, 0.0002380%), (XOM, 0, 1.46%, 0.0004949%), (AMT, 0, 1.45%, 0.0025624%), (V, 0, 1.37%, 0.0003820%), (CB, 0, 1.11%, 0.0016821%), (MA, 0, 1.10%, 0.0003454%), (LLY, 0, 1.10%, 0.0002628%), (GE, 0, 1.02%, 0.0005851%), (WM, 0, 1.01%, 0.0018406%), (UNH, 0, 0.86%, 0.0005101%), (NFLX, 0, 0.85%, 0.0002738%), (ORCL, 0, 0.84%, 0.0002178%), (NEE, 0, 0.83%, 0.0009147%), (JNJ, 0, 0.82%, 0.0003151%), (CVX, 0, 0.78%, 0.0003919%), (PG, 0, 0.76%, 0.0003418%), (PLTR, 0, 0.75%, 0.0003482%), (WMT, 0, 0.74%, 0.0001585%), (COST, 0, 0.73%, 0.0002911%), (RTX, 0, 0.72%, 0.0005662%), (MCD, 0, 0.72%, 0.0005289%), (ABBV, 0, 0.71%, 0.0003154%), (HD, 0, 0.70%, 0.0002869%), (ABT, 0, 0.69%, 0.0005008%), (CAT, 0, 0.69%, 0.0005879%), (BAC, 0, 0.63%, 0.0002790%), (BA, 0, 0.61%, 0.0005610%), (KO, 0, 0.60%, 0.0003358%), (PM, 0, 0.58%, 0.0003721%), (BKNG, 0, 0.58%, 0.0005398%), (SO, 0, 0.57%, 0.0009226%), (AMD, 0, 0.56%, 0.0003566%), (CRM, 0, 0.56%, 0.0003879%), (NKE, 0, 0.55%, 0.0010375%), (DUK, 0, 0.53%, 0.0009208%), (IBM, 0, 0.52%, 0.0003821%), (GS, 0, 0.52%, 0.0003931%), (UBER, 0, 0.51%, 0.0004404%), (WFC, 0, 0.51%, 0.0003217%), (ISRG, 0, 0.51%, 0.0005044%), (MET, 0, 0.50%, 0.0015445%), (HON, 0, 0.49%, 0.0005840%), (ETN, 0, 0.47%, 0.0005790%), (PEP, 0, 0.46%, 0.0003738%), (NOW, 0, 0.44%, 0.0003822%), (INTU, 0, 0.43%, 0.0003884%), (T, 0, 0.43%, 0.0016021%), (MS, 0, 0.42%, 0.0002918%), (DE, 0, 0.42%, 0.0005368%), (AXP, 0, 0.42%, 0.0003034%), (MRK, 0, 0.41%, 0.0003193%), (TXN, 0, 0.39%, 0.0003580%), (SPGI, 0, 0.39%, 0.0003940%), (VZ, 0, 0.38%, 0.0003422%), (QCOM, 0, 0.38%, 0.0003672%), (COP, 0, 0.37%, 0.0004971%), (BLK, 0, 0.37%, 0.0003532%), (MDT, 0, 0.36%, 0.0005021%), (TMO, 0, 0.35%, 0.0003213%), (ADBE, 0, 0.35%, 0.0004061%), (UNP, 0, 0.35%, 0.0004457%), (DIS, 0, 0.35%, 0.0002734%), (C, 0, 0.34%, 0.0003181%), (LMT, 0, 0.33%, 0.0005203%), (SCHW, 0, 0.33%, 0.0003093%), (SBUX, 0, 0.32%, 0.0005252%), (AMGN, 0, 0.29%, 0.0003148%), (MMM, 0, 0.29%, 0.0005847%), (CVS, 0, 0.28%, 0.0004977%), (AMAT, 0, 0.28%, 0.0003689%), (TJX, 0, 0.27%, 0.0002914%), (PFE, 0, 0.27%, 0.0003143%), (GILD, 0, 0.27%, 0.0003164%), (ACN, 0, 0.26%, 0.0002752%), (EMR, 0, 0.26%, 0.0005778%), (MO, 0, 0.26%, 0.0003761%), (LOW, 0, 0.25%, 0.0002908%), (DHR, 0, 0.25%, 0.0002870%), (ELV, 0, 0.23%, 0.0005238%), (INTC, 0, 0.22%, 0.0003306%), (CMCSA, 0, 0.21%, 0.0002850%), (MDLZ, 0, 0.19%, 0.0003861%), (BMY, 0, 0.18%, 0.0003141%), (UPS, 0, 0.16%, 0.0004334%), (PYPL, 0, 0.16%, 0.0004023%), (USB, 0, 0.14%, 0.0003104%), (CL, 0, 0.14%, 0.0003438%), (FDX, 0, 0.13%, 0.0004158%), (TGT, 0, 0.07%, 0.0002953%), (nan, 0, -0.00%, 0.0000000%), (nan, 0, -0.01%, 0.0000000%)</t>
  </si>
  <si>
    <t>NVDA, MSFT, AAPL, GOOGLE</t>
  </si>
  <si>
    <t>(AMZN, 0, 3.60%, 0.0000365%), (AVGO, 0, 2.94%, 0.0000511%), (META, 0, 2.58%, 0.0000394%), (BRK/B, 0, 2.04%, 0.0000723%), (CSCO, 0, 1.67%, 0.0001532%), (LIN, 0, 1.65%, 0.0001835%), (TSLA, 0, 1.56%, 0.0000345%), (JPM, 0, 1.54%, 0.0000459%), (XOM, 0, 1.40%, 0.0000717%), (AMT, 0, 1.39%, 0.0003713%), (V, 0, 1.35%, 0.0000554%), (CB, 0, 1.09%, 0.0002439%), (LLY, 0, 1.08%, 0.0000381%), (MA, 0, 1.08%, 0.0000500%), (GE, 0, 1.00%, 0.0000848%), (WM, 0, 0.98%, 0.0002668%), (NFLX, 0, 0.84%, 0.0000396%), (UNH, 0, 0.84%, 0.0000740%), (ORCL, 0, 0.82%, 0.0000316%), (NEE, 0, 0.81%, 0.0001326%), (JNJ, 0, 0.80%, 0.0000457%), (CVX, 0, 0.75%, 0.0000568%), (PG, 0, 0.75%, 0.0000495%), (WMT, 0, 0.74%, 0.0000230%), (PLTR, 0, 0.72%, 0.0000504%), (COST, 0, 0.72%, 0.0000422%), (RTX, 0, 0.71%, 0.0000820%), (MCD, 0, 0.70%, 0.0000768%), (ABBV, 0, 0.70%, 0.0000457%), (HD, 0, 0.69%, 0.0000416%), (ABT, 0, 0.68%, 0.0000726%), (CAT, 0, 0.68%, 0.0000852%), (BAC, 0, 0.61%, 0.0000404%), (BKNG, 0, 0.59%, 0.0000807%), (KO, 0, 0.59%, 0.0000487%), (BA, 0, 0.59%, 0.0000813%), (PM, 0, 0.56%, 0.0000539%), (CRM, 0, 0.56%, 0.0000563%), (AMD, 0, 0.55%, 0.0000517%), (SO, 0, 0.55%, 0.0001338%), (NKE, 0, 0.55%, 0.0001504%), (IBM, 0, 0.52%, 0.0000554%), (DUK, 0, 0.51%, 0.0001335%), (GS, 0, 0.51%, 0.0000570%), (UBER, 0, 0.50%, 0.0000638%), (WFC, 0, 0.49%, 0.0000466%), (MET, 0, 0.49%, 0.0002238%), (HON, 0, 0.47%, 0.0000847%), (ISRG, 0, 0.47%, 0.0000731%), (ETN, 0, 0.46%, 0.0000840%), (PEP, 0, 0.45%, 0.0000542%), (NOW, 0, 0.44%, 0.0000558%), (INTU, 0, 0.43%, 0.0000563%), (T, 0, 0.42%, 0.0002322%), (MS, 0, 0.41%, 0.0000423%), (DE, 0, 0.40%, 0.0000781%), (AXP, 0, 0.40%, 0.0000438%), (MRK, 0, 0.40%, 0.0000463%), (SPGI, 0, 0.38%, 0.0000571%), (TXN, 0, 0.38%, 0.0000518%), (VZ, 0, 0.37%, 0.0000496%), (QCOM, 0, 0.37%, 0.0000532%), (ACN, 0, 0.36%, 0.0000562%), (BLK, 0, 0.35%, 0.0000510%), (MDT, 0, 0.35%, 0.0000727%), (ADBE, 0, 0.35%, 0.0000588%), (COP, 0, 0.35%, 0.0000721%), (UNP, 0, 0.35%, 0.0000646%), (TMO, 0, 0.35%, 0.0000466%), (DIS, 0, 0.34%, 0.0000397%), (C, 0, 0.33%, 0.0000461%), (LMT, 0, 0.32%, 0.0000752%), (SCHW, 0, 0.32%, 0.0000448%), (SBUX, 0, 0.31%, 0.0000762%), (AMGN, 0, 0.28%, 0.0000457%), (MMM, 0, 0.28%, 0.0000847%), (CVS, 0, 0.27%, 0.0000722%), (AMAT, 0, 0.27%, 0.0000535%), (TJX, 0, 0.27%, 0.0000422%), (GILD, 0, 0.26%, 0.0000458%), (PFE, 0, 0.26%, 0.0000456%), (LOW, 0, 0.25%, 0.0000421%), (EMR, 0, 0.25%, 0.0000837%), (MO, 0, 0.25%, 0.0000545%), (DHR, 0, 0.24%, 0.0000416%), (ELV, 0, 0.22%, 0.0000760%), (INTC, 0, 0.22%, 0.0000479%), (CMCSA, 0, 0.21%, 0.0000413%), (MDLZ, 0, 0.18%, 0.0000560%), (BMY, 0, 0.18%, 0.0000455%), (UPS, 0, 0.16%, 0.0000629%), (PYPL, 0, 0.15%, 0.0000584%), (USB, 0, 0.14%, 0.0000450%), (CL, 0, 0.14%, 0.0000497%), (FDX, 0, 0.13%, 0.0000602%), (TGT, 0, 0.07%, 0.0000429%), (nan, 0, -0.03%, 0.0000000%), (nan, 0, -0.04%, 0.0000000%)</t>
  </si>
  <si>
    <t>(AMZN, 0, 3.91%, 0.0002179%), (AVGO, 0, 3.20%, 0.0003054%), (META, 0, 2.80%, 0.0002352%), (BRK/B, 0, 2.22%, 0.0004323%), (CSCO, 0, 1.82%, 0.0009153%), (LIN, 0, 1.80%, 0.0010963%), (TSLA, 0, 1.69%, 0.0002061%), (JPM, 0, 1.68%, 0.0002744%), (XOM, 0, 1.52%, 0.0004284%), (AMT, 0, 1.52%, 0.0022185%), (V, 0, 1.47%, 0.0003307%), (CB, 0, 1.19%, 0.0014565%), (LLY, 0, 1.18%, 0.0002275%), (MA, 0, 1.17%, 0.0002990%), (GE, 0, 1.09%, 0.0005066%), (WM, 0, 1.07%, 0.0015936%), (UNH, 0, 0.91%, 0.0004416%), (NFLX, 0, 0.91%, 0.0002372%), (ORCL, 0, 0.89%, 0.0001886%), (NEE, 0, 0.88%, 0.0007919%), (JNJ, 0, 0.87%, 0.0002728%), (CVX, 0, 0.82%, 0.0003393%), (PG, 0, 0.81%, 0.0002960%), (WMT, 0, 0.80%, 0.0001372%), (PLTR, 0, 0.79%, 0.0003015%), (COST, 0, 0.79%, 0.0002520%), (RTX, 0, 0.77%, 0.0004902%), (MCD, 0, 0.77%, 0.0004580%), (ABBV, 0, 0.76%, 0.0002731%), (HD, 0, 0.75%, 0.0002484%), (ABT, 0, 0.74%, 0.0004336%), (CAT, 0, 0.74%, 0.0005089%), (BAC, 0, 0.67%, 0.0002415%), (KO, 0, 0.64%, 0.0002907%), (BA, 0, 0.64%, 0.0004857%), (BKNG, 0, 0.63%, 0.0004685%), (PM, 0, 0.61%, 0.0003222%), (CRM, 0, 0.60%, 0.0003359%), (AMD, 0, 0.60%, 0.0003087%), (SO, 0, 0.60%, 0.0007987%), (NKE, 0, 0.59%, 0.0008982%), (DUK, 0, 0.56%, 0.0007973%), (IBM, 0, 0.56%, 0.0003309%), (GS, 0, 0.55%, 0.0003404%), (UBER, 0, 0.55%, 0.0003813%), (WFC, 0, 0.53%, 0.0002785%), (MET, 0, 0.53%, 0.0013372%), (HON, 0, 0.51%, 0.0005056%), (ISRG, 0, 0.51%, 0.0004367%), (ETN, 0, 0.50%, 0.0005012%), (PEP, 0, 0.49%, 0.0003236%), (NOW, 0, 0.47%, 0.0003313%), (INTU, 0, 0.47%, 0.0003364%), (T, 0, 0.46%, 0.0013871%), (MS, 0, 0.45%, 0.0002526%), (DE, 0, 0.44%, 0.0004646%), (AXP, 0, 0.44%, 0.0002626%), (MRK, 0, 0.43%, 0.0002765%), (SPGI, 0, 0.41%, 0.0003408%), (TXN, 0, 0.41%, 0.0003099%), (VZ, 0, 0.41%, 0.0002963%), (QCOM, 0, 0.40%, 0.0003179%), (ACN, 0, 0.39%, 0.0003356%), (BLK, 0, 0.39%, 0.0003055%), (MDT, 0, 0.38%, 0.0004346%), (ADBE, 0, 0.38%, 0.0003516%), (COP, 0, 0.38%, 0.0004304%), (UNP, 0, 0.38%, 0.0003861%), (TMO, 0, 0.38%, 0.0002779%), (DIS, 0, 0.37%, 0.0002367%), (C, 0, 0.36%, 0.0002754%), (LMT, 0, 0.35%, 0.0004499%), (SCHW, 0, 0.35%, 0.0002677%), (SBUX, 0, 0.33%, 0.0004547%), (AMGN, 0, 0.31%, 0.0002725%), (MMM, 0, 0.30%, 0.0005062%), (CVS, 0, 0.30%, 0.0004309%), (AMAT, 0, 0.30%, 0.0003195%), (TJX, 0, 0.29%, 0.0002522%), (GILD, 0, 0.29%, 0.0002739%), (PFE, 0, 0.28%, 0.0002721%), (LOW, 0, 0.27%, 0.0002518%), (EMR, 0, 0.27%, 0.0005004%), (MO, 0, 0.27%, 0.0003256%), (DHR, 0, 0.26%, 0.0002485%), (ELV, 0, 0.24%, 0.0004540%), (INTC, 0, 0.24%, 0.0002862%), (CMCSA, 0, 0.23%, 0.0002468%), (MDLZ, 0, 0.20%, 0.0003342%), (BMY, 0, 0.19%, 0.0002719%), (UPS, 0, 0.18%, 0.0003752%), (PYPL, 0, 0.17%, 0.0003484%), (USB, 0, 0.15%, 0.0002687%), (CL, 0, 0.15%, 0.0002976%), (FDX, 0, 0.14%, 0.0003598%), (TGT, 0, 0.08%, 0.0002557%), (nan, 0, -0.05%, 0.0000000%), (nan, 0, -0.06%, 0.0000000%)</t>
  </si>
  <si>
    <t>(AMZN, 0, 3.90%, 0.0001624%), (AVGO, 0, 3.19%, 0.0002275%), (META, 0, 2.79%, 0.0001753%), (BRK/B, 0, 2.22%, 0.0003222%), (CSCO, 0, 1.82%, 0.0006821%), (LIN, 0, 1.79%, 0.0008170%), (TSLA, 0, 1.69%, 0.0001536%), (JPM, 0, 1.68%, 0.0002045%), (XOM, 0, 1.52%, 0.0003193%), (AMT, 0, 1.51%, 0.0016531%), (V, 0, 1.46%, 0.0002465%), (CB, 0, 1.18%, 0.0010852%), (LLY, 0, 1.17%, 0.0001696%), (MA, 0, 1.17%, 0.0002227%), (GE, 0, 1.09%, 0.0003776%), (WM, 0, 1.07%, 0.0011875%), (UNH, 0, 0.91%, 0.0003291%), (NFLX, 0, 0.91%, 0.0001765%), (ORCL, 0, 0.89%, 0.0001405%), (NEE, 0, 0.87%, 0.0005901%), (JNJ, 0, 0.87%, 0.0002033%), (CVX, 0, 0.81%, 0.0002528%), (PG, 0, 0.81%, 0.0002206%), (WMT, 0, 0.80%, 0.0001023%), (PLTR, 0, 0.79%, 0.0002246%), (COST, 0, 0.78%, 0.0001877%), (RTX, 0, 0.77%, 0.0003652%), (MCD, 0, 0.76%, 0.0003412%), (ABBV, 0, 0.76%, 0.0002035%), (HD, 0, 0.75%, 0.0001851%), (ABT, 0, 0.74%, 0.0003231%), (CAT, 0, 0.73%, 0.0003791%), (BAC, 0, 0.66%, 0.0001800%), (KO, 0, 0.64%, 0.0002166%), (BA, 0, 0.64%, 0.0003618%), (BKNG, 0, 0.62%, 0.0003475%), (PM, 0, 0.61%, 0.0002401%), (CRM, 0, 0.60%, 0.0002503%), (AMD, 0, 0.60%, 0.0002300%), (SO, 0, 0.60%, 0.0005953%), (NKE, 0, 0.59%, 0.0006693%), (DUK, 0, 0.56%, 0.0005941%), (IBM, 0, 0.56%, 0.0002466%), (GS, 0, 0.55%, 0.0002534%), (UBER, 0, 0.55%, 0.0002841%), (WFC, 0, 0.53%, 0.0002076%), (MET, 0, 0.53%, 0.0009964%), (HON, 0, 0.51%, 0.0003768%), (ISRG, 0, 0.51%, 0.0003253%), (ETN, 0, 0.50%, 0.0003735%), (PEP, 0, 0.49%, 0.0002411%), (NOW, 0, 0.47%, 0.0002471%), (INTU, 0, 0.46%, 0.0002507%), (T, 0, 0.46%, 0.0010336%), (MS, 0, 0.44%, 0.0001883%), (DE, 0, 0.44%, 0.0003462%), (AXP, 0, 0.43%, 0.0001958%), (MRK, 0, 0.43%, 0.0002060%), (SPGI, 0, 0.41%, 0.0002540%), (TXN, 0, 0.41%, 0.0002310%), (VZ, 0, 0.40%, 0.0002208%), (QCOM, 0, 0.40%, 0.0002369%), (ACN, 0, 0.39%, 0.0002501%), (BLK, 0, 0.39%, 0.0002280%), (MDT, 0, 0.38%, 0.0003239%), (ADBE, 0, 0.38%, 0.0002621%), (COP, 0, 0.38%, 0.0003208%), (UNP, 0, 0.38%, 0.0002874%), (TMO, 0, 0.37%, 0.0002071%), (DIS, 0, 0.37%, 0.0001763%), (C, 0, 0.36%, 0.0002052%), (LMT, 0, 0.35%, 0.0003354%), (SCHW, 0, 0.35%, 0.0001995%), (SBUX, 0, 0.33%, 0.0003388%), (AMGN, 0, 0.31%, 0.0002030%), (MMM, 0, 0.30%, 0.0003772%), (CVS, 0, 0.30%, 0.0003211%), (AMAT, 0, 0.29%, 0.0002381%), (TJX, 0, 0.29%, 0.0001880%), (GILD, 0, 0.28%, 0.0002041%), (PFE, 0, 0.28%, 0.0002028%), (LOW, 0, 0.27%, 0.0001876%), (EMR, 0, 0.27%, 0.0003728%), (MO, 0, 0.27%, 0.0002426%), (DHR, 0, 0.26%, 0.0001852%), (ELV, 0, 0.24%, 0.0003379%), (INTC, 0, 0.24%, 0.0002133%), (CMCSA, 0, 0.23%, 0.0001839%), (MDLZ, 0, 0.20%, 0.0002491%), (BMY, 0, 0.19%, 0.0002027%), (UPS, 0, 0.17%, 0.0002795%), (PYPL, 0, 0.17%, 0.0002596%), (USB, 0, 0.15%, 0.0002002%), (CL, 0, 0.15%, 0.0002218%), (FDX, 0, 0.14%, 0.0002683%), (TGT, 0, 0.08%, 0.0001906%), (nan, 0, -0.04%, 0.0000000%), (nan, 0, -0.06%, 0.0000000%)</t>
  </si>
  <si>
    <t>(AMZN, 0, 3.96%, 0.0000381%), (AVGO, 0, 3.24%, 0.0000533%), (META, 0, 2.83%, 0.0000411%), (BRK/B, 0, 2.25%, 0.0000755%), (CSCO, 0, 1.84%, 0.0001599%), (LIN, 0, 1.82%, 0.0001915%), (TSLA, 0, 1.71%, 0.0000360%), (JPM, 0, 1.70%, 0.0000479%), (XOM, 0, 1.54%, 0.0000748%), (AMT, 0, 1.53%, 0.0003875%), (V, 0, 1.48%, 0.0000578%), (CB, 0, 1.20%, 0.0002544%), (LLY, 0, 1.19%, 0.0000398%), (MA, 0, 1.19%, 0.0000522%), (GE, 0, 1.11%, 0.0000885%), (WM, 0, 1.08%, 0.0002785%), (UNH, 0, 0.92%, 0.0000772%), (NFLX, 0, 0.92%, 0.0000413%), (ORCL, 0, 0.90%, 0.0000329%), (NEE, 0, 0.89%, 0.0001383%), (JNJ, 0, 0.88%, 0.0000476%), (CVX, 0, 0.83%, 0.0000592%), (PG, 0, 0.82%, 0.0000517%), (WMT, 0, 0.81%, 0.0000240%), (PLTR, 0, 0.80%, 0.0000527%), (COST, 0, 0.79%, 0.0000440%), (RTX, 0, 0.78%, 0.0000856%), (MCD, 0, 0.77%, 0.0000800%), (ABBV, 0, 0.77%, 0.0000477%), (HD, 0, 0.76%, 0.0000434%), (ABT, 0, 0.75%, 0.0000757%), (CAT, 0, 0.74%, 0.0000888%), (BAC, 0, 0.67%, 0.0000422%), (BKNG, 0, 0.65%, 0.0000838%), (KO, 0, 0.65%, 0.0000508%), (BA, 0, 0.64%, 0.0000849%), (PM, 0, 0.62%, 0.0000563%), (CRM, 0, 0.61%, 0.0000587%), (AMD, 0, 0.61%, 0.0000539%), (SO, 0, 0.61%, 0.0001395%), (NKE, 0, 0.60%, 0.0001569%), (DUK, 0, 0.57%, 0.0001392%), (IBM, 0, 0.57%, 0.0000578%), (GS, 0, 0.56%, 0.0000593%), (UBER, 0, 0.55%, 0.0000666%), (WFC, 0, 0.54%, 0.0000486%), (MET, 0, 0.54%, 0.0002335%), (HON, 0, 0.52%, 0.0000884%), (ISRG, 0, 0.51%, 0.0000762%), (ETN, 0, 0.50%, 0.0000876%), (PEP, 0, 0.49%, 0.0000565%), (NOW, 0, 0.48%, 0.0000577%), (INTU, 0, 0.47%, 0.0000588%), (T, 0, 0.47%, 0.0002423%), (MS, 0, 0.45%, 0.0000442%), (DE, 0, 0.44%, 0.0000814%), (AXP, 0, 0.44%, 0.0000459%), (MRK, 0, 0.44%, 0.0000483%), (SPGI, 0, 0.42%, 0.0000594%), (TXN, 0, 0.41%, 0.0000541%), (VZ, 0, 0.41%, 0.0000518%), (QCOM, 0, 0.41%, 0.0000555%), (ACN, 0, 0.40%, 0.0000586%), (BLK, 0, 0.39%, 0.0000536%), (MDT, 0, 0.39%, 0.0000759%), (ADBE, 0, 0.38%, 0.0000614%), (COP, 0, 0.38%, 0.0000752%), (UNP, 0, 0.38%, 0.0000674%), (TMO, 0, 0.38%, 0.0000484%), (DIS, 0, 0.38%, 0.0000413%), (C, 0, 0.36%, 0.0000481%), (LMT, 0, 0.35%, 0.0000787%), (SCHW, 0, 0.35%, 0.0000468%), (SBUX, 0, 0.34%, 0.0000794%), (AMGN, 0, 0.31%, 0.0000476%), (MMM, 0, 0.31%, 0.0000885%), (CVS, 0, 0.30%, 0.0000752%), (AMAT, 0, 0.30%, 0.0000559%), (TJX, 0, 0.29%, 0.0000441%), (GILD, 0, 0.29%, 0.0000478%), (PFE, 0, 0.29%, 0.0000475%), (LOW, 0, 0.27%, 0.0000439%), (EMR, 0, 0.27%, 0.0000874%), (MO, 0, 0.27%, 0.0000569%), (DHR, 0, 0.26%, 0.0000435%), (ELV, 0, 0.24%, 0.0000792%), (INTC, 0, 0.24%, 0.0000500%), (CMCSA, 0, 0.23%, 0.0000431%), (MDLZ, 0, 0.20%, 0.0000584%), (BMY, 0, 0.20%, 0.0000475%), (UPS, 0, 0.18%, 0.0000655%), (PYPL, 0, 0.17%, 0.0000609%), (USB, 0, 0.15%, 0.0000469%), (CL, 0, 0.15%, 0.0000520%), (FDX, 0, 0.14%, 0.0000627%), (TGT, 0, 0.08%, 0.0000447%), (nan, 0, -0.04%, 0.0000000%), (nan, 0, -0.06%, 0.0000000%)</t>
  </si>
  <si>
    <t>(AMZN, 0, 3.76%, 0.0000669%), (AVGO, 0, 3.08%, 0.0000938%), (META, 0, 2.69%, 0.0000723%), (BRK/B, 0, 2.13%, 0.0001328%), (CSCO, 0, 1.75%, 0.0002812%), (LIN, 0, 1.73%, 0.0003369%), (TSLA, 0, 1.63%, 0.0000633%), (JPM, 0, 1.61%, 0.0000843%), (XOM, 0, 1.46%, 0.0001316%), (AMT, 0, 1.46%, 0.0006814%), (V, 0, 1.41%, 0.0001016%), (CB, 0, 1.14%, 0.0004475%), (LLY, 0, 1.13%, 0.0000699%), (MA, 0, 1.13%, 0.0000919%), (GE, 0, 1.05%, 0.0001557%), (WM, 0, 1.03%, 0.0004895%), (UNH, 0, 0.88%, 0.0001357%), (NFLX, 0, 0.88%, 0.0000729%), (ORCL, 0, 0.86%, 0.0000579%), (NEE, 0, 0.84%, 0.0002433%), (JNJ, 0, 0.83%, 0.0000838%), (CVX, 0, 0.78%, 0.0001042%), (PG, 0, 0.78%, 0.0000909%), (WMT, 0, 0.77%, 0.0000422%), (PLTR, 0, 0.76%, 0.0000926%), (COST, 0, 0.76%, 0.0000774%), (RTX, 0, 0.74%, 0.0001506%), (MCD, 0, 0.74%, 0.0001407%), (ABBV, 0, 0.73%, 0.0000839%), (HD, 0, 0.72%, 0.0000764%), (ABT, 0, 0.71%, 0.0001332%), (CAT, 0, 0.71%, 0.0001563%), (BAC, 0, 0.64%, 0.0000742%), (KO, 0, 0.62%, 0.0000893%), (BA, 0, 0.61%, 0.0001492%), (BKNG, 0, 0.60%, 0.0001427%), (PM, 0, 0.58%, 0.0000989%), (CRM, 0, 0.58%, 0.0001032%), (AMD, 0, 0.58%, 0.0000948%), (SO, 0, 0.58%, 0.0002453%), (NKE, 0, 0.57%, 0.0002760%), (IBM, 0, 0.54%, 0.0001017%), (DUK, 0, 0.54%, 0.0002449%), (GS, 0, 0.53%, 0.0001047%), (UBER, 0, 0.53%, 0.0001171%), (WFC, 0, 0.51%, 0.0000856%), (MET, 0, 0.51%, 0.0004108%), (HON, 0, 0.49%, 0.0001553%), (ISRG, 0, 0.49%, 0.0001343%), (ETN, 0, 0.48%, 0.0001539%), (PEP, 0, 0.47%, 0.0000994%), (NOW, 0, 0.45%, 0.0001019%), (INTU, 0, 0.45%, 0.0001033%), (T, 0, 0.44%, 0.0004261%), (MS, 0, 0.43%, 0.0000776%), (DE, 0, 0.42%, 0.0001428%), (AXP, 0, 0.42%, 0.0000807%), (MRK, 0, 0.41%, 0.0000850%), (SPGI, 0, 0.40%, 0.0001050%), (TXN, 0, 0.39%, 0.0000953%), (VZ, 0, 0.39%, 0.0000910%), (QCOM, 0, 0.38%, 0.0000976%), (ACN, 0, 0.38%, 0.0001031%), (BLK, 0, 0.37%, 0.0000936%), (MDT, 0, 0.37%, 0.0001335%), (ADBE, 0, 0.37%, 0.0001080%), (COP, 0, 0.36%, 0.0001322%), (UNP, 0, 0.36%, 0.0001185%), (TMO, 0, 0.36%, 0.0000852%), (DIS, 0, 0.36%, 0.0000727%), (C, 0, 0.34%, 0.0000846%), (LMT, 0, 0.33%, 0.0001383%), (SCHW, 0, 0.33%, 0.0000822%), (SBUX, 0, 0.32%, 0.0001397%), (AMGN, 0, 0.30%, 0.0000838%), (MMM, 0, 0.29%, 0.0001555%), (CVS, 0, 0.29%, 0.0001324%), (AMAT, 0, 0.28%, 0.0000980%), (TJX, 0, 0.28%, 0.0000775%), (GILD, 0, 0.27%, 0.0000842%), (PFE, 0, 0.27%, 0.0000836%), (LOW, 0, 0.26%, 0.0000774%), (EMR, 0, 0.26%, 0.0001537%), (MO, 0, 0.26%, 0.0001001%), (DHR, 0, 0.25%, 0.0000763%), (ELV, 0, 0.23%, 0.0001395%), (INTC, 0, 0.23%, 0.0000879%), (CMCSA, 0, 0.22%, 0.0000758%), (MDLZ, 0, 0.19%, 0.0001026%), (BMY, 0, 0.19%, 0.0000836%), (UPS, 0, 0.17%, 0.0001153%), (PYPL, 0, 0.16%, 0.0001070%), (USB, 0, 0.14%, 0.0000826%), (CL, 0, 0.14%, 0.0000914%), (FDX, 0, 0.14%, 0.0001106%), (TGT, 0, 0.08%, 0.0000786%), (nan, 0, -0.03%, 0.0000000%), (nan, 0, -0.05%, 0.0000000%)</t>
  </si>
  <si>
    <t>(AMZN, 0, 3.84%, 0.0000242%), (AVGO, 0, 3.15%, 0.0000339%), (META, 0, 2.74%, 0.0000261%), (BRK/B, 0, 2.18%, 0.0000479%), (CSCO, 0, 1.79%, 0.0001016%), (LIN, 0, 1.76%, 0.0001216%), (TSLA, 0, 1.66%, 0.0000229%), (JPM, 0, 1.65%, 0.0000304%), (XOM, 0, 1.49%, 0.0000475%), (AMT, 0, 1.49%, 0.0002463%), (V, 0, 1.44%, 0.0000367%), (CB, 0, 1.16%, 0.0001616%), (MA, 0, 1.15%, 0.0000332%), (LLY, 0, 1.15%, 0.0000252%), (GE, 0, 1.07%, 0.0000562%), (WM, 0, 1.05%, 0.0001770%), (NFLX, 0, 0.90%, 0.0000264%), (UNH, 0, 0.90%, 0.0000490%), (ORCL, 0, 0.87%, 0.0000209%), (NEE, 0, 0.86%, 0.0000879%), (JNJ, 0, 0.85%, 0.0000303%), (CVX, 0, 0.80%, 0.0000377%), (PG, 0, 0.80%, 0.0000328%), (WMT, 0, 0.79%, 0.0000152%), (COST, 0, 0.77%, 0.0000280%), (PLTR, 0, 0.77%, 0.0000335%), (RTX, 0, 0.76%, 0.0000544%), (MCD, 0, 0.75%, 0.0000509%), (ABBV, 0, 0.74%, 0.0000303%), (HD, 0, 0.74%, 0.0000276%), (ABT, 0, 0.73%, 0.0000481%), (CAT, 0, 0.72%, 0.0000566%), (BAC, 0, 0.65%, 0.0000268%), (KO, 0, 0.63%, 0.0000323%), (BA, 0, 0.62%, 0.0000538%), (BKNG, 0, 0.62%, 0.0000527%), (PM, 0, 0.60%, 0.0000358%), (CRM, 0, 0.59%, 0.0000373%), (AMD, 0, 0.59%, 0.0000343%), (SO, 0, 0.59%, 0.0000887%), (NKE, 0, 0.58%, 0.0000996%), (DUK, 0, 0.55%, 0.0000885%), (IBM, 0, 0.55%, 0.0000367%), (GS, 0, 0.55%, 0.0000380%), (UBER, 0, 0.54%, 0.0000423%), (WFC, 0, 0.52%, 0.0000309%), (MET, 0, 0.52%, 0.0001483%), (HON, 0, 0.50%, 0.0000561%), (ISRG, 0, 0.50%, 0.0000485%), (ETN, 0, 0.49%, 0.0000555%), (PEP, 0, 0.48%, 0.0000359%), (NOW, 0, 0.46%, 0.0000365%), (INTU, 0, 0.46%, 0.0000373%), (T, 0, 0.45%, 0.0001539%), (MS, 0, 0.44%, 0.0000281%), (DE, 0, 0.43%, 0.0000514%), (AXP, 0, 0.43%, 0.0000292%), (MRK, 0, 0.42%, 0.0000307%), (SPGI, 0, 0.41%, 0.0000380%), (TXN, 0, 0.40%, 0.0000343%), (VZ, 0, 0.40%, 0.0000329%), (QCOM, 0, 0.39%, 0.0000353%), (ACN, 0, 0.39%, 0.0000372%), (BLK, 0, 0.38%, 0.0000336%), (MDT, 0, 0.38%, 0.0000483%), (ADBE, 0, 0.37%, 0.0000389%), (COP, 0, 0.37%, 0.0000478%), (UNP, 0, 0.37%, 0.0000428%), (TMO, 0, 0.37%, 0.0000309%), (DIS, 0, 0.36%, 0.0000263%), (C, 0, 0.35%, 0.0000305%), (LMT, 0, 0.34%, 0.0000501%), (SCHW, 0, 0.34%, 0.0000297%), (SBUX, 0, 0.33%, 0.0000504%), (AMGN, 0, 0.30%, 0.0000303%), (MMM, 0, 0.30%, 0.0000563%), (CVS, 0, 0.29%, 0.0000478%), (AMAT, 0, 0.29%, 0.0000355%), (TJX, 0, 0.28%, 0.0000279%), (GILD, 0, 0.28%, 0.0000304%), (PFE, 0, 0.28%, 0.0000302%), (LOW, 0, 0.27%, 0.0000280%), (MO, 0, 0.27%, 0.0000362%), (EMR, 0, 0.27%, 0.0000554%), (DHR, 0, 0.26%, 0.0000276%), (ELV, 0, 0.24%, 0.0000504%), (INTC, 0, 0.23%, 0.0000318%), (CMCSA, 0, 0.22%, 0.0000274%), (MDLZ, 0, 0.19%, 0.0000370%), (BMY, 0, 0.19%, 0.0000302%), (UPS, 0, 0.17%, 0.0000416%), (PYPL, 0, 0.17%, 0.0000387%), (USB, 0, 0.15%, 0.0000298%), (CL, 0, 0.15%, 0.0000330%), (FDX, 0, 0.14%, 0.0000398%), (TGT, 0, 0.08%, 0.0000282%), (nan, 0, -0.03%, 0.0000000%), (nan, 0, -0.05%, 0.0000000%)</t>
  </si>
  <si>
    <t>(AMZN, 0, 4.07%, 0.0000578%), (AVGO, 0, 3.33%, 0.0000809%), (META, 0, 2.91%, 0.0000623%), (BRK/B, 0, 2.31%, 0.0001145%), (CSCO, 0, 1.89%, 0.0002426%), (LIN, 0, 1.87%, 0.0002906%), (TSLA, 0, 1.76%, 0.0000546%), (JPM, 0, 1.75%, 0.0000727%), (XOM, 0, 1.58%, 0.0001135%), (AMT, 0, 1.58%, 0.0005879%), (V, 0, 1.52%, 0.0000877%), (CB, 0, 1.23%, 0.0003860%), (LLY, 0, 1.22%, 0.0000603%), (MA, 0, 1.22%, 0.0000792%), (GE, 0, 1.14%, 0.0001343%), (WM, 0, 1.12%, 0.0004225%), (UNH, 0, 0.95%, 0.0001171%), (NFLX, 0, 0.95%, 0.0000628%), (ORCL, 0, 0.93%, 0.0000500%), (NEE, 0, 0.91%, 0.0002099%), (JNJ, 0, 0.90%, 0.0000723%), (CVX, 0, 0.85%, 0.0000899%), (PG, 0, 0.84%, 0.0000784%), (WMT, 0, 0.83%, 0.0000364%), (PLTR, 0, 0.82%, 0.0000799%), (COST, 0, 0.82%, 0.0000668%), (RTX, 0, 0.80%, 0.0001299%), (MCD, 0, 0.80%, 0.0001215%), (ABBV, 0, 0.79%, 0.0000724%), (HD, 0, 0.78%, 0.0000659%), (ABT, 0, 0.77%, 0.0001149%), (CAT, 0, 0.77%, 0.0001349%), (BAC, 0, 0.69%, 0.0000640%), (KO, 0, 0.67%, 0.0000770%), (BA, 0, 0.66%, 0.0001287%), (BKNG, 0, 0.65%, 0.0001241%), (PM, 0, 0.63%, 0.0000854%), (CRM, 0, 0.63%, 0.0000891%), (AMD, 0, 0.63%, 0.0000818%), (SO, 0, 0.62%, 0.0002117%), (NKE, 0, 0.62%, 0.0002380%), (DUK, 0, 0.58%, 0.0002113%), (IBM, 0, 0.58%, 0.0000877%), (GS, 0, 0.58%, 0.0000900%), (UBER, 0, 0.57%, 0.0001010%), (WFC, 0, 0.56%, 0.0000738%), (MET, 0, 0.55%, 0.0003544%), (HON, 0, 0.53%, 0.0001340%), (ISRG, 0, 0.53%, 0.0001157%), (ETN, 0, 0.52%, 0.0001331%), (PEP, 0, 0.51%, 0.0000858%), (NOW, 0, 0.48%, 0.0000875%), (INTU, 0, 0.48%, 0.0000890%), (T, 0, 0.48%, 0.0003676%), (MS, 0, 0.46%, 0.0000670%), (DE, 0, 0.46%, 0.0001232%), (AXP, 0, 0.45%, 0.0000695%), (MRK, 0, 0.45%, 0.0000733%), (SPGI, 0, 0.43%, 0.0000905%), (TXN, 0, 0.43%, 0.0000821%), (VZ, 0, 0.42%, 0.0000785%), (QCOM, 0, 0.42%, 0.0000842%), (ACN, 0, 0.41%, 0.0000889%), (BLK, 0, 0.40%, 0.0000807%), (MDT, 0, 0.40%, 0.0001152%), (ADBE, 0, 0.40%, 0.0000932%), (COP, 0, 0.39%, 0.0001141%), (UNP, 0, 0.39%, 0.0001022%), (TMO, 0, 0.39%, 0.0000737%), (DIS, 0, 0.39%, 0.0000627%), (C, 0, 0.37%, 0.0000730%), (LMT, 0, 0.36%, 0.0001193%), (SCHW, 0, 0.36%, 0.0000710%), (SBUX, 0, 0.35%, 0.0001205%), (AMGN, 0, 0.32%, 0.0000723%), (MMM, 0, 0.32%, 0.0001342%), (CVS, 0, 0.31%, 0.0001142%), (AMAT, 0, 0.31%, 0.0000846%), (TJX, 0, 0.30%, 0.0000669%), (GILD, 0, 0.30%, 0.0000726%), (PFE, 0, 0.30%, 0.0000721%), (LOW, 0, 0.28%, 0.0000669%), (EMR, 0, 0.28%, 0.0001326%), (MO, 0, 0.28%, 0.0000863%), (DHR, 0, 0.27%, 0.0000658%), (ELV, 0, 0.25%, 0.0001201%), (INTC, 0, 0.25%, 0.0000759%), (CMCSA, 0, 0.23%, 0.0000654%), (MDLZ, 0, 0.20%, 0.0000886%), (BMY, 0, 0.20%, 0.0000721%), (UPS, 0, 0.18%, 0.0000993%), (PYPL, 0, 0.18%, 0.0000923%), (USB, 0, 0.16%, 0.0000712%), (CL, 0, 0.16%, 0.0000789%), (FDX, 0, 0.15%, 0.0000954%), (TGT, 0, 0.08%, 0.0000678%), (nan, 0, -0.05%, 0.0000000%), (nan, 0, -0.06%, 0.0000000%)</t>
  </si>
  <si>
    <t>EBAY, GOOGLE, BK, META, MLI, JPM, MSFT, PHM, BKNG, EA, RJF, BLK</t>
  </si>
  <si>
    <t>(EWBC, 0, 1.90%, 0.0071520%), (AXP, 0, 1.88%, 0.0004670%), (HIG, 0, 1.84%, 0.0027400%), (TRV, 0, 1.82%, 0.0016264%), (V, 0, 1.81%, 0.0001678%), (ROST, 0, 1.73%, 0.0019534%), (UNM, 0, 1.69%, 0.0075320%), (SNA, 0, 1.66%, 0.0054665%), (ADP, 0, 1.65%, 0.0007534%), (NVDA, 0, 1.65%, 0.0000219%), (LEN, 0, 1.63%, 0.0030075%), (SYF, 0, 1.63%, 0.0033062%), (CB, 0, 1.62%, 0.0008174%), (PCAR, 0, 1.57%, 0.0017169%), (AMAT, 0, 1.54%, 0.0006858%), (KLAC, 0, 1.54%, 0.0007679%), (CRM, 0, 1.52%, 0.0003432%), (CTSH, 0, 1.50%, 0.0023879%), (WSM, 0, 1.40%, 0.0033106%), (PAYC, 0, 1.40%, 0.0060266%), (DHI, 0, 1.39%, 0.0015190%), (BKR, 0, 1.38%, 0.0017187%), (QCOM, 0, 1.31%, 0.0004263%), (AAPL, 0, 1.28%, 0.0000201%), (ELV, 0, 1.27%, 0.0009827%), (ACN, 0, 1.25%, 0.0004362%), (AFL, 0, 1.22%, 0.0011778%), (MPWR, 0, 1.09%, 0.0015201%), (ODFL, 0, 1.05%, 0.0018590%), (CSCO, 0, 1.04%, 0.0002158%), (LRCX, 0, 1.04%, 0.0004677%), (GE, 0, 1.03%, 0.0001952%), (STT, 0, 0.97%, 0.0016931%), (PNC, 0, 0.94%, 0.0006430%), (MTB, 0, 0.90%, 0.0016371%), (AMP, 0, 0.85%, 0.0009913%), (CF, 0, 0.83%, 0.0033370%), (ABT, 0, 0.81%, 0.0001958%), (COST, 0, 0.81%, 0.0001067%), (XOM, 0, 0.80%, 0.0000929%), (EOG, 0, 0.78%, 0.0006524%), (EG, 0, 0.76%, 0.0028524%), (CSL, 0, 0.72%, 0.0025367%), (NTRS, 0, 0.52%, 0.0011607%), (GEV, 0, 0.50%, 0.0001776%), (MA, 0, 0.49%, 0.0000514%), (JNJ, 0, 0.47%, 0.0000610%), (LNC, 0, 0.47%, 0.0031605%), (CRBG, 0, 0.47%, 0.0013999%), (ACM, 0, 0.47%, 0.0015682%), (MTG, 0, 0.44%, 0.0038549%), (WTFC, 0, 0.44%, 0.0026407%), (JXN, 0, 0.43%, 0.0035577%), (CINF, 0, 0.42%, 0.0009787%), (ADM, 0, 0.41%, 0.0007607%), (EQH, 0, 0.41%, 0.0014205%), (DOV, 0, 0.41%, 0.0009355%), (ALL, 0, 0.40%, 0.0004125%), (MCK, 0, 0.40%, 0.0002549%), (SLM, 0, 0.39%, 0.0034713%), (NUE, 0, 0.39%, 0.0006391%), (NKE, 0, 0.36%, 0.0002250%), (PGR, 0, 0.36%, 0.0001366%), (FANG, 0, 0.29%, 0.0003948%)</t>
  </si>
  <si>
    <t>(AMZN, 0, 3.72%, 0.0000616%), (AVGO, 0, 3.05%, 0.0000863%), (META, 0, 2.66%, 0.0000664%), (BRK/B, 0, 2.11%, 0.0001221%), (CSCO, 0, 1.73%, 0.0002586%), (LIN, 0, 1.71%, 0.0003097%), (TSLA, 0, 1.61%, 0.0000582%), (JPM, 0, 1.60%, 0.0000775%), (XOM, 0, 1.44%, 0.0001210%), (AMT, 0, 1.44%, 0.0006267%), (V, 0, 1.39%, 0.0000935%), (CB, 0, 1.13%, 0.0004114%), (LLY, 0, 1.12%, 0.0000643%), (MA, 0, 1.12%, 0.0000845%), (GE, 0, 1.04%, 0.0001431%), (WM, 0, 1.02%, 0.0004503%), (UNH, 0, 0.87%, 0.0001247%), (NFLX, 0, 0.87%, 0.0000670%), (ORCL, 0, 0.85%, 0.0000532%), (NEE, 0, 0.83%, 0.0002237%), (JNJ, 0, 0.83%, 0.0000770%), (CVX, 0, 0.78%, 0.0000958%), (PG, 0, 0.77%, 0.0000836%), (WMT, 0, 0.76%, 0.0000388%), (PLTR, 0, 0.75%, 0.0000851%), (COST, 0, 0.75%, 0.0000711%), (RTX, 0, 0.73%, 0.0001384%), (MCD, 0, 0.73%, 0.0001293%), (ABBV, 0, 0.72%, 0.0000772%), (HD, 0, 0.71%, 0.0000702%), (ABT, 0, 0.70%, 0.0001225%), (CAT, 0, 0.70%, 0.0001437%), (BAC, 0, 0.63%, 0.0000682%), (KO, 0, 0.61%, 0.0000821%), (BA, 0, 0.61%, 0.0001372%), (BKNG, 0, 0.60%, 0.0001334%), (PM, 0, 0.58%, 0.0000910%), (CRM, 0, 0.58%, 0.0000950%), (AMD, 0, 0.57%, 0.0000873%), (SO, 0, 0.57%, 0.0002256%), (NKE, 0, 0.56%, 0.0002538%), (IBM, 0, 0.53%, 0.0000935%), (DUK, 0, 0.53%, 0.0002252%), (GS, 0, 0.53%, 0.0000964%), (UBER, 0, 0.52%, 0.0001077%), (WFC, 0, 0.51%, 0.0000787%), (MET, 0, 0.51%, 0.0003777%), (HON, 0, 0.49%, 0.0001429%), (ISRG, 0, 0.48%, 0.0001233%), (ETN, 0, 0.47%, 0.0001418%), (PEP, 0, 0.46%, 0.0000914%), (NOW, 0, 0.44%, 0.0000938%), (INTU, 0, 0.44%, 0.0000950%), (T, 0, 0.44%, 0.0003918%), (MS, 0, 0.42%, 0.0000714%), (DE, 0, 0.42%, 0.0001313%), (AXP, 0, 0.41%, 0.0000742%), (MRK, 0, 0.41%, 0.0000781%), (SPGI, 0, 0.39%, 0.0000964%), (TXN, 0, 0.39%, 0.0000876%), (VZ, 0, 0.39%, 0.0000837%), (QCOM, 0, 0.38%, 0.0000898%), (ACN, 0, 0.37%, 0.0000947%), (BLK, 0, 0.37%, 0.0000859%), (MDT, 0, 0.36%, 0.0001228%), (ADBE, 0, 0.36%, 0.0000994%), (COP, 0, 0.36%, 0.0001215%), (UNP, 0, 0.36%, 0.0001089%), (TMO, 0, 0.36%, 0.0000785%), (DIS, 0, 0.35%, 0.0000669%), (C, 0, 0.34%, 0.0000778%), (LMT, 0, 0.33%, 0.0001275%), (SCHW, 0, 0.33%, 0.0000756%), (SBUX, 0, 0.32%, 0.0001284%), (AMGN, 0, 0.29%, 0.0000769%), (MMM, 0, 0.29%, 0.0001429%), (CVS, 0, 0.28%, 0.0001217%), (AMAT, 0, 0.28%, 0.0000903%), (TJX, 0, 0.28%, 0.0000713%), (GILD, 0, 0.27%, 0.0000774%), (PFE, 0, 0.27%, 0.0000769%), (LOW, 0, 0.26%, 0.0000711%), (EMR, 0, 0.26%, 0.0001414%), (MO, 0, 0.26%, 0.0000920%), (DHR, 0, 0.25%, 0.0000702%), (ELV, 0, 0.23%, 0.0001282%), (INTC, 0, 0.23%, 0.0000809%), (CMCSA, 0, 0.21%, 0.0000697%), (MDLZ, 0, 0.19%, 0.0000945%), (BMY, 0, 0.19%, 0.0000768%), (UPS, 0, 0.17%, 0.0001060%), (PYPL, 0, 0.16%, 0.0000983%), (USB, 0, 0.14%, 0.0000759%), (CL, 0, 0.14%, 0.0000841%), (FDX, 0, 0.14%, 0.0001017%), (TGT, 0, 0.08%, 0.0000722%), (nan, 0, -0.03%, 0.0000000%), (nan, 0, -0.05%, 0.0000000%)</t>
  </si>
  <si>
    <t>(AMZN, 0, 3.90%, 0.0001258%), (AVGO, 0, 3.19%, 0.0001763%), (META, 0, 2.79%, 0.0001358%), (BRK/B, 0, 2.21%, 0.0002496%), (CSCO, 0, 1.81%, 0.0005286%), (LIN, 0, 1.79%, 0.0006330%), (TSLA, 0, 1.69%, 0.0001190%), (JPM, 0, 1.67%, 0.0001585%), (XOM, 0, 1.51%, 0.0002474%), (AMT, 0, 1.51%, 0.0012812%), (V, 0, 1.46%, 0.0001910%), (CB, 0, 1.18%, 0.0008411%), (LLY, 0, 1.17%, 0.0001315%), (MA, 0, 1.17%, 0.0001727%), (GE, 0, 1.09%, 0.0002927%), (WM, 0, 1.07%, 0.0009202%), (UNH, 0, 0.91%, 0.0002550%), (NFLX, 0, 0.91%, 0.0001369%), (ORCL, 0, 0.89%, 0.0001089%), (NEE, 0, 0.87%, 0.0004573%), (JNJ, 0, 0.87%, 0.0001575%), (CVX, 0, 0.81%, 0.0001959%), (PG, 0, 0.81%, 0.0001709%), (WMT, 0, 0.80%, 0.0000792%), (PLTR, 0, 0.78%, 0.0001741%), (COST, 0, 0.78%, 0.0001455%), (RTX, 0, 0.77%, 0.0002830%), (MCD, 0, 0.76%, 0.0002644%), (ABBV, 0, 0.75%, 0.0001577%), (HD, 0, 0.75%, 0.0001435%), (ABT, 0, 0.74%, 0.0002504%), (CAT, 0, 0.73%, 0.0002939%), (BAC, 0, 0.66%, 0.0001395%), (KO, 0, 0.64%, 0.0001679%), (BA, 0, 0.63%, 0.0002804%), (BKNG, 0, 0.62%, 0.0002699%), (PM, 0, 0.61%, 0.0001860%), (CRM, 0, 0.60%, 0.0001940%), (AMD, 0, 0.60%, 0.0001783%), (SO, 0, 0.60%, 0.0004613%), (NKE, 0, 0.59%, 0.0005187%), (DUK, 0, 0.56%, 0.0004605%), (IBM, 0, 0.56%, 0.0001911%), (GS, 0, 0.55%, 0.0001964%), (UBER, 0, 0.55%, 0.0002201%), (WFC, 0, 0.53%, 0.0001609%), (MET, 0, 0.53%, 0.0007723%), (HON, 0, 0.51%, 0.0002922%), (ISRG, 0, 0.51%, 0.0002522%), (ETN, 0, 0.50%, 0.0002895%), (PEP, 0, 0.49%, 0.0001869%), (NOW, 0, 0.47%, 0.0001913%), (INTU, 0, 0.46%, 0.0001944%), (T, 0, 0.46%, 0.0008011%), (MS, 0, 0.44%, 0.0001459%), (DE, 0, 0.44%, 0.0002686%), (AXP, 0, 0.43%, 0.0001517%), (MRK, 0, 0.43%, 0.0001597%), (SPGI, 0, 0.41%, 0.0001968%), (TXN, 0, 0.41%, 0.0001790%), (VZ, 0, 0.40%, 0.0001711%), (QCOM, 0, 0.40%, 0.0001836%), (ACN, 0, 0.39%, 0.0001938%), (BLK, 0, 0.38%, 0.0001763%), (MDT, 0, 0.38%, 0.0002510%), (ADBE, 0, 0.38%, 0.0002031%), (COP, 0, 0.38%, 0.0002485%), (UNP, 0, 0.38%, 0.0002229%), (TMO, 0, 0.37%, 0.0001605%), (DIS, 0, 0.37%, 0.0001367%), (C, 0, 0.36%, 0.0001590%), (LMT, 0, 0.35%, 0.0002602%), (SCHW, 0, 0.35%, 0.0001546%), (SBUX, 0, 0.33%, 0.0002626%), (AMGN, 0, 0.31%, 0.0001573%), (MMM, 0, 0.30%, 0.0002923%), (CVS, 0, 0.30%, 0.0002489%), (AMAT, 0, 0.29%, 0.0001845%), (TJX, 0, 0.29%, 0.0001457%), (GILD, 0, 0.28%, 0.0001581%), (PFE, 0, 0.28%, 0.0001571%), (LOW, 0, 0.27%, 0.0001455%), (EMR, 0, 0.27%, 0.0002889%), (MO, 0, 0.27%, 0.0001881%), (DHR, 0, 0.26%, 0.0001434%), (ELV, 0, 0.24%, 0.0002619%), (INTC, 0, 0.24%, 0.0001653%), (CMCSA, 0, 0.22%, 0.0001425%), (MDLZ, 0, 0.20%, 0.0001930%), (BMY, 0, 0.19%, 0.0001570%), (UPS, 0, 0.17%, 0.0002167%), (PYPL, 0, 0.17%, 0.0002011%), (USB, 0, 0.15%, 0.0001552%), (CL, 0, 0.15%, 0.0001718%), (FDX, 0, 0.14%, 0.0002077%), (TGT, 0, 0.08%, 0.0001474%), (nan, 0, -0.04%, 0.0000000%), (nan, 0, -0.05%, 0.0000000%)</t>
  </si>
  <si>
    <t>(AMZN, 0, 3.67%, 0.0002517%), (AVGO, 0, 3.00%, 0.0003527%), (META, 0, 2.62%, 0.0002716%), (BRK/B, 0, 2.08%, 0.0004993%), (CSCO, 0, 1.71%, 0.0010572%), (LIN, 0, 1.68%, 0.0012663%), (TSLA, 0, 1.59%, 0.0002380%), (JPM, 0, 1.58%, 0.0003170%), (XOM, 0, 1.43%, 0.0004949%), (AMT, 0, 1.42%, 0.0025624%), (V, 0, 1.37%, 0.0003820%), (CB, 0, 1.11%, 0.0016821%), (LLY, 0, 1.10%, 0.0002628%), (MA, 0, 1.10%, 0.0003454%), (GE, 0, 1.02%, 0.0005851%), (WM, 0, 1.00%, 0.0018406%), (UNH, 0, 0.86%, 0.0005101%), (NFLX, 0, 0.85%, 0.0002738%), (ORCL, 0, 0.84%, 0.0002178%), (NEE, 0, 0.82%, 0.0009147%), (JNJ, 0, 0.81%, 0.0003151%), (CVX, 0, 0.77%, 0.0003919%), (PG, 0, 0.76%, 0.0003418%), (WMT, 0, 0.75%, 0.0001585%), (PLTR, 0, 0.74%, 0.0003482%), (COST, 0, 0.74%, 0.0002911%), (RTX, 0, 0.72%, 0.0005662%), (MCD, 0, 0.72%, 0.0005289%), (ABBV, 0, 0.71%, 0.0003154%), (HD, 0, 0.70%, 0.0002869%), (ABT, 0, 0.69%, 0.0005008%), (CAT, 0, 0.69%, 0.0005879%), (BAC, 0, 0.62%, 0.0002790%), (KO, 0, 0.60%, 0.0003358%), (BA, 0, 0.60%, 0.0005610%), (BKNG, 0, 0.59%, 0.0005398%), (PM, 0, 0.57%, 0.0003721%), (CRM, 0, 0.56%, 0.0003879%), (AMD, 0, 0.56%, 0.0003566%), (SO, 0, 0.56%, 0.0009226%), (NKE, 0, 0.56%, 0.0010375%), (DUK, 0, 0.52%, 0.0009208%), (IBM, 0, 0.52%, 0.0003821%), (GS, 0, 0.52%, 0.0003931%), (UBER, 0, 0.51%, 0.0004404%), (WFC, 0, 0.50%, 0.0003217%), (MET, 0, 0.50%, 0.0015445%), (HON, 0, 0.48%, 0.0005840%), (ISRG, 0, 0.48%, 0.0005044%), (ETN, 0, 0.47%, 0.0005790%), (PEP, 0, 0.46%, 0.0003738%), (NOW, 0, 0.44%, 0.0003822%), (INTU, 0, 0.44%, 0.0003884%), (T, 0, 0.43%, 0.0016021%), (MS, 0, 0.42%, 0.0002918%), (DE, 0, 0.41%, 0.0005368%), (AXP, 0, 0.41%, 0.0003034%), (MRK, 0, 0.40%, 0.0003193%), (SPGI, 0, 0.39%, 0.0003940%), (TXN, 0, 0.38%, 0.0003580%), (VZ, 0, 0.38%, 0.0003422%), (QCOM, 0, 0.38%, 0.0003672%), (ACN, 0, 0.37%, 0.0003876%), (BLK, 0, 0.36%, 0.0003532%), (MDT, 0, 0.36%, 0.0005021%), (ADBE, 0, 0.36%, 0.0004061%), (COP, 0, 0.35%, 0.0004971%), (UNP, 0, 0.35%, 0.0004457%), (TMO, 0, 0.35%, 0.0003213%), (DIS, 0, 0.35%, 0.0002734%), (C, 0, 0.34%, 0.0003181%), (LMT, 0, 0.33%, 0.0005203%), (SCHW, 0, 0.33%, 0.0003093%), (SBUX, 0, 0.31%, 0.0005252%), (AMGN, 0, 0.29%, 0.0003148%), (MMM, 0, 0.28%, 0.0005847%), (CVS, 0, 0.28%, 0.0004977%), (AMAT, 0, 0.28%, 0.0003689%), (TJX, 0, 0.27%, 0.0002914%), (GILD, 0, 0.27%, 0.0003164%), (PFE, 0, 0.27%, 0.0003143%), (LOW, 0, 0.26%, 0.0002908%), (EMR, 0, 0.25%, 0.0005778%), (MO, 0, 0.25%, 0.0003761%), (DHR, 0, 0.24%, 0.0002870%), (ELV, 0, 0.23%, 0.0005238%), (INTC, 0, 0.22%, 0.0003306%), (CMCSA, 0, 0.21%, 0.0002850%), (MDLZ, 0, 0.18%, 0.0003861%), (BMY, 0, 0.18%, 0.0003141%), (UPS, 0, 0.16%, 0.0004334%), (PYPL, 0, 0.16%, 0.0004023%), (USB, 0, 0.14%, 0.0003104%), (CL, 0, 0.14%, 0.0003438%), (FDX, 0, 0.13%, 0.0004158%), (TGT, 0, 0.07%, 0.0002953%), (nan, 0, -0.04%, 0.0000000%), (nan, 0, -0.06%, 0.0000000%)</t>
  </si>
  <si>
    <t>(AMZN, 0, 3.73%, 0.0000366%), (AVGO, 0, 2.98%, 0.0000513%), (META, 0, 2.61%, 0.0000395%), (BRK/B, 0, 2.06%, 0.0000726%), (CSCO, 0, 1.68%, 0.0001538%), (LIN, 0, 1.65%, 0.0001842%), (TSLA, 0, 1.58%, 0.0000346%), (JPM, 0, 1.56%, 0.0000461%), (XOM, 0, 1.40%, 0.0000720%), (AMT, 0, 1.38%, 0.0003727%), (V, 0, 1.35%, 0.0000556%), (CB, 0, 1.10%, 0.0002447%), (LLY, 0, 1.09%, 0.0000382%), (MA, 0, 1.08%, 0.0000503%), (GE, 0, 1.02%, 0.0000851%), (WM, 0, 0.99%, 0.0002678%), (NFLX, 0, 0.86%, 0.0000399%), (UNH, 0, 0.85%, 0.0000742%), (ORCL, 0, 0.82%, 0.0000317%), (JNJ, 0, 0.80%, 0.0000459%), (NEE, 0, 0.80%, 0.0001331%), (PG, 0, 0.75%, 0.0000497%), (CVX, 0, 0.75%, 0.0000570%), (WMT, 0, 0.75%, 0.0000231%), (PLTR, 0, 0.73%, 0.0000507%), (COST, 0, 0.73%, 0.0000424%), (RTX, 0, 0.71%, 0.0000824%), (MCD, 0, 0.70%, 0.0000769%), (ABBV, 0, 0.70%, 0.0000459%), (HD, 0, 0.69%, 0.0000418%), (CAT, 0, 0.68%, 0.0000856%), (ABT, 0, 0.68%, 0.0000729%), (BAC, 0, 0.62%, 0.0000406%), (KO, 0, 0.58%, 0.0000488%), (BA, 0, 0.58%, 0.0000816%), (BKNG, 0, 0.57%, 0.0000776%), (AMD, 0, 0.55%, 0.0000519%), (PM, 0, 0.55%, 0.0000542%), (SO, 0, 0.55%, 0.0001342%), (NKE, 0, 0.55%, 0.0001509%), (CRM, 0, 0.53%, 0.0000564%), (GS, 0, 0.52%, 0.0000573%), (IBM, 0, 0.52%, 0.0000556%), (DUK, 0, 0.51%, 0.0001340%), (UBER, 0, 0.50%, 0.0000641%), (WFC, 0, 0.50%, 0.0000468%), (MET, 0, 0.50%, 0.0002247%), (ISRG, 0, 0.48%, 0.0000733%), (HON, 0, 0.47%, 0.0000851%), (ETN, 0, 0.46%, 0.0000843%), (PEP, 0, 0.44%, 0.0000544%), (T, 0, 0.43%, 0.0002331%), (INTU, 0, 0.43%, 0.0000567%), (NOW, 0, 0.42%, 0.0000558%), (MS, 0, 0.41%, 0.0000425%), (AXP, 0, 0.41%, 0.0000441%), (DE, 0, 0.41%, 0.0000781%), (MRK, 0, 0.40%, 0.0000465%), (SPGI, 0, 0.38%, 0.0000571%), (VZ, 0, 0.38%, 0.0000498%), (QCOM, 0, 0.37%, 0.0000534%), (ACN, 0, 0.36%, 0.0000564%), (BLK, 0, 0.36%, 0.0000517%), (TXN, 0, 0.36%, 0.0000521%), (MDT, 0, 0.35%, 0.0000730%), (COP, 0, 0.35%, 0.0000723%), (UNP, 0, 0.35%, 0.0000649%), (TMO, 0, 0.35%, 0.0000466%), (ADBE, 0, 0.35%, 0.0000590%), (DIS, 0, 0.34%, 0.0000398%), (C, 0, 0.34%, 0.0000463%), (LMT, 0, 0.33%, 0.0000756%), (SCHW, 0, 0.32%, 0.0000450%), (SBUX, 0, 0.31%, 0.0000764%), (MMM, 0, 0.29%, 0.0000851%), (AMGN, 0, 0.28%, 0.0000459%), (AMAT, 0, 0.28%, 0.0000537%), (CVS, 0, 0.27%, 0.0000724%), (TJX, 0, 0.27%, 0.0000424%), (GILD, 0, 0.26%, 0.0000461%), (PFE, 0, 0.26%, 0.0000457%), (EMR, 0, 0.26%, 0.0000840%), (LOW, 0, 0.25%, 0.0000423%), (MO, 0, 0.25%, 0.0000547%), (DHR, 0, 0.24%, 0.0000418%), (INTC, 0, 0.22%, 0.0000481%), (ELV, 0, 0.21%, 0.0000760%), (CMCSA, 0, 0.21%, 0.0000415%), (MDLZ, 0, 0.18%, 0.0000562%), (BMY, 0, 0.18%, 0.0000457%), (UPS, 0, 0.16%, 0.0000630%), (PYPL, 0, 0.15%, 0.0000586%), (USB, 0, 0.14%, 0.0000452%), (CL, 0, 0.14%, 0.0000500%), (FDX, 0, 0.13%, 0.0000606%), (TGT, 0, 0.07%, 0.0000429%), (nan, 0, -0.04%, 0.0000000%), (nan, 0, -0.05%, 0.0000000%)</t>
  </si>
  <si>
    <t>(AMZN, 0, 4.05%, 0.0002186%), (AVGO, 0, 3.23%, 0.0003063%), (META, 0, 2.83%, 0.0002359%), (BRK/B, 0, 2.24%, 0.0004336%), (CSCO, 0, 1.83%, 0.0009181%), (LIN, 0, 1.80%, 0.0010997%), (TSLA, 0, 1.71%, 0.0002067%), (JPM, 0, 1.70%, 0.0002753%), (XOM, 0, 1.53%, 0.0004297%), (AMT, 0, 1.51%, 0.0022252%), (V, 0, 1.46%, 0.0003317%), (CB, 0, 1.19%, 0.0014608%), (LLY, 0, 1.18%, 0.0002283%), (MA, 0, 1.18%, 0.0002999%), (GE, 0, 1.11%, 0.0005082%), (WM, 0, 1.07%, 0.0015985%), (NFLX, 0, 0.93%, 0.0002377%), (UNH, 0, 0.92%, 0.0004430%), (ORCL, 0, 0.89%, 0.0001892%), (JNJ, 0, 0.87%, 0.0002736%), (NEE, 0, 0.87%, 0.0007943%), (PG, 0, 0.81%, 0.0002969%), (CVX, 0, 0.81%, 0.0003403%), (WMT, 0, 0.81%, 0.0001377%), (PLTR, 0, 0.79%, 0.0003024%), (COST, 0, 0.79%, 0.0002527%), (RTX, 0, 0.77%, 0.0004917%), (MCD, 0, 0.77%, 0.0004594%), (ABBV, 0, 0.76%, 0.0002739%), (HD, 0, 0.75%, 0.0002491%), (ABT, 0, 0.74%, 0.0004349%), (CAT, 0, 0.74%, 0.0005104%), (BAC, 0, 0.67%, 0.0002423%), (KO, 0, 0.63%, 0.0002916%), (BA, 0, 0.63%, 0.0004872%), (BKNG, 0, 0.62%, 0.0004685%), (AMD, 0, 0.60%, 0.0003096%), (PM, 0, 0.60%, 0.0003231%), (SO, 0, 0.60%, 0.0008011%), (NKE, 0, 0.60%, 0.0009009%), (CRM, 0, 0.58%, 0.0003370%), (GS, 0, 0.57%, 0.0003414%), (IBM, 0, 0.56%, 0.0003319%), (DUK, 0, 0.56%, 0.0007997%), (UBER, 0, 0.54%, 0.0003824%), (WFC, 0, 0.54%, 0.0002794%), (MET, 0, 0.54%, 0.0013413%), (ISRG, 0, 0.52%, 0.0004381%), (HON, 0, 0.51%, 0.0005073%), (ETN, 0, 0.50%, 0.0005027%), (PEP, 0, 0.48%, 0.0003246%), (T, 0, 0.47%, 0.0013913%), (INTU, 0, 0.46%, 0.0003372%), (NOW, 0, 0.46%, 0.0003322%), (MS, 0, 0.45%, 0.0002534%), (AXP, 0, 0.44%, 0.0002635%), (DE, 0, 0.44%, 0.0004661%), (MRK, 0, 0.43%, 0.0002773%), (SPGI, 0, 0.41%, 0.0003418%), (VZ, 0, 0.41%, 0.0002972%), (QCOM, 0, 0.41%, 0.0003188%), (ACN, 0, 0.39%, 0.0003367%), (TXN, 0, 0.39%, 0.0003109%), (BLK, 0, 0.39%, 0.0003067%), (MDT, 0, 0.38%, 0.0004360%), (COP, 0, 0.38%, 0.0004317%), (TMO, 0, 0.38%, 0.0002787%), (UNP, 0, 0.38%, 0.0003871%), (ADBE, 0, 0.38%, 0.0003528%), (DIS, 0, 0.37%, 0.0002374%), (C, 0, 0.36%, 0.0002762%), (LMT, 0, 0.35%, 0.0004516%), (SCHW, 0, 0.35%, 0.0002686%), (SBUX, 0, 0.33%, 0.0004561%), (MMM, 0, 0.31%, 0.0005077%), (AMGN, 0, 0.31%, 0.0002734%), (AMAT, 0, 0.30%, 0.0003205%), (CVS, 0, 0.30%, 0.0004322%), (TJX, 0, 0.29%, 0.0002530%), (GILD, 0, 0.28%, 0.0002748%), (PFE, 0, 0.28%, 0.0002729%), (EMR, 0, 0.28%, 0.0005018%), (LOW, 0, 0.28%, 0.0002525%), (MO, 0, 0.27%, 0.0003266%), (DHR, 0, 0.26%, 0.0002492%), (INTC, 0, 0.24%, 0.0002871%), (ELV, 0, 0.23%, 0.0004549%), (CMCSA, 0, 0.23%, 0.0002475%), (MDLZ, 0, 0.19%, 0.0003353%), (BMY, 0, 0.19%, 0.0002728%), (UPS, 0, 0.17%, 0.0003763%), (PYPL, 0, 0.17%, 0.0003494%), (USB, 0, 0.15%, 0.0002695%), (CL, 0, 0.15%, 0.0002986%), (FDX, 0, 0.14%, 0.0003607%), (TGT, 0, 0.08%, 0.0002564%), (nan, 0, -0.05%, 0.0000000%), (nan, 0, -0.07%, 0.0000000%)</t>
  </si>
  <si>
    <t>(AMZN, 0, 4.04%, 0.0001629%), (AVGO, 0, 3.23%, 0.0002282%), (META, 0, 2.82%, 0.0001758%), (BRK/B, 0, 2.23%, 0.0003231%), (CSCO, 0, 1.82%, 0.0006841%), (LIN, 0, 1.79%, 0.0008194%), (TSLA, 0, 1.71%, 0.0001540%), (JPM, 0, 1.70%, 0.0002051%), (XOM, 0, 1.52%, 0.0003202%), (AMT, 0, 1.50%, 0.0016580%), (V, 0, 1.46%, 0.0002472%), (CB, 0, 1.19%, 0.0010886%), (LLY, 0, 1.18%, 0.0001701%), (MA, 0, 1.18%, 0.0002235%), (GE, 0, 1.11%, 0.0003786%), (WM, 0, 1.07%, 0.0011910%), (NFLX, 0, 0.93%, 0.0001772%), (UNH, 0, 0.92%, 0.0003301%), (ORCL, 0, 0.89%, 0.0001409%), (JNJ, 0, 0.87%, 0.0002039%), (NEE, 0, 0.87%, 0.0005919%), (PG, 0, 0.81%, 0.0002212%), (CVX, 0, 0.81%, 0.0002535%), (WMT, 0, 0.81%, 0.0001026%), (PLTR, 0, 0.79%, 0.0002253%), (COST, 0, 0.79%, 0.0001884%), (RTX, 0, 0.77%, 0.0003664%), (MCD, 0, 0.76%, 0.0003422%), (ABBV, 0, 0.76%, 0.0002041%), (HD, 0, 0.75%, 0.0001857%), (ABT, 0, 0.74%, 0.0003241%), (CAT, 0, 0.74%, 0.0003804%), (BAC, 0, 0.67%, 0.0001805%), (KO, 0, 0.63%, 0.0002173%), (BA, 0, 0.63%, 0.0003630%), (BKNG, 0, 0.63%, 0.0003506%), (AMD, 0, 0.60%, 0.0002307%), (PM, 0, 0.60%, 0.0002408%), (SO, 0, 0.60%, 0.0005970%), (NKE, 0, 0.60%, 0.0006713%), (CRM, 0, 0.58%, 0.0002511%), (GS, 0, 0.56%, 0.0002544%), (IBM, 0, 0.56%, 0.0002473%), (DUK, 0, 0.56%, 0.0005959%), (UBER, 0, 0.54%, 0.0002849%), (WFC, 0, 0.54%, 0.0002082%), (MET, 0, 0.54%, 0.0009994%), (ISRG, 0, 0.52%, 0.0003264%), (HON, 0, 0.51%, 0.0003780%), (ETN, 0, 0.50%, 0.0003748%), (PEP, 0, 0.48%, 0.0002419%), (T, 0, 0.47%, 0.0010367%), (INTU, 0, 0.46%, 0.0002514%), (NOW, 0, 0.46%, 0.0002476%), (MS, 0, 0.45%, 0.0001888%), (AXP, 0, 0.44%, 0.0001963%), (DE, 0, 0.44%, 0.0003474%), (MRK, 0, 0.43%, 0.0002066%), (SPGI, 0, 0.41%, 0.0002546%), (VZ, 0, 0.41%, 0.0002214%), (QCOM, 0, 0.41%, 0.0002376%), (ACN, 0, 0.39%, 0.0002508%), (TXN, 0, 0.39%, 0.0002317%), (BLK, 0, 0.39%, 0.0002286%), (MDT, 0, 0.38%, 0.0003249%), (COP, 0, 0.38%, 0.0003217%), (UNP, 0, 0.38%, 0.0002885%), (TMO, 0, 0.38%, 0.0002076%), (ADBE, 0, 0.38%, 0.0002630%), (DIS, 0, 0.37%, 0.0001769%), (C, 0, 0.36%, 0.0002058%), (LMT, 0, 0.35%, 0.0003366%), (SCHW, 0, 0.35%, 0.0002001%), (SBUX, 0, 0.33%, 0.0003398%), (MMM, 0, 0.31%, 0.0003784%), (AMGN, 0, 0.30%, 0.0002038%), (AMAT, 0, 0.30%, 0.0002388%), (CVS, 0, 0.30%, 0.0003221%), (TJX, 0, 0.29%, 0.0001885%), (GILD, 0, 0.28%, 0.0002048%), (PFE, 0, 0.28%, 0.0002034%), (EMR, 0, 0.28%, 0.0003738%), (LOW, 0, 0.28%, 0.0001881%), (MO, 0, 0.27%, 0.0002434%), (DHR, 0, 0.26%, 0.0001857%), (INTC, 0, 0.24%, 0.0002139%), (ELV, 0, 0.23%, 0.0003393%), (CMCSA, 0, 0.23%, 0.0001844%), (MDLZ, 0, 0.19%, 0.0002498%), (BMY, 0, 0.19%, 0.0002033%), (UPS, 0, 0.17%, 0.0002804%), (PYPL, 0, 0.17%, 0.0002604%), (USB, 0, 0.15%, 0.0002008%), (CL, 0, 0.15%, 0.0002224%), (FDX, 0, 0.14%, 0.0002687%), (TGT, 0, 0.08%, 0.0001910%), (nan, 0, -0.05%, 0.0000000%), (nan, 0, -0.07%, 0.0000000%)</t>
  </si>
  <si>
    <t>(AMZN, 0, 4.10%, 0.0000382%), (AVGO, 0, 3.27%, 0.0000535%), (META, 0, 2.86%, 0.0000412%), (BRK/B, 0, 2.26%, 0.0000757%), (CSCO, 0, 1.85%, 0.0001604%), (LIN, 0, 1.82%, 0.0001921%), (TSLA, 0, 1.73%, 0.0000361%), (JPM, 0, 1.72%, 0.0000481%), (XOM, 0, 1.54%, 0.0000751%), (AMT, 0, 1.52%, 0.0003888%), (V, 0, 1.48%, 0.0000579%), (CB, 0, 1.21%, 0.0002551%), (LLY, 0, 1.20%, 0.0000399%), (MA, 0, 1.19%, 0.0000524%), (GE, 0, 1.12%, 0.0000887%), (WM, 0, 1.09%, 0.0002792%), (UNH, 0, 0.93%, 0.0000774%), (NFLX, 0, 0.93%, 0.0000415%), (ORCL, 0, 0.90%, 0.0000330%), (JNJ, 0, 0.88%, 0.0000478%), (NEE, 0, 0.88%, 0.0001388%), (PG, 0, 0.82%, 0.0000519%), (CVX, 0, 0.82%, 0.0000594%), (WMT, 0, 0.82%, 0.0000240%), (PLTR, 0, 0.80%, 0.0000528%), (COST, 0, 0.80%, 0.0000442%), (RTX, 0, 0.78%, 0.0000859%), (MCD, 0, 0.77%, 0.0000803%), (ABBV, 0, 0.77%, 0.0000478%), (HD, 0, 0.76%, 0.0000435%), (CAT, 0, 0.75%, 0.0000892%), (ABT, 0, 0.75%, 0.0000760%), (BAC, 0, 0.68%, 0.0000423%), (KO, 0, 0.64%, 0.0000509%), (BA, 0, 0.64%, 0.0000851%), (BKNG, 0, 0.62%, 0.0000807%), (AMD, 0, 0.61%, 0.0000541%), (PM, 0, 0.61%, 0.0000565%), (SO, 0, 0.61%, 0.0001400%), (NKE, 0, 0.61%, 0.0001574%), (CRM, 0, 0.59%, 0.0000588%), (GS, 0, 0.57%, 0.0000597%), (IBM, 0, 0.57%, 0.0000580%), (DUK, 0, 0.56%, 0.0001396%), (UBER, 0, 0.55%, 0.0000668%), (WFC, 0, 0.55%, 0.0000488%), (MET, 0, 0.55%, 0.0002343%), (ISRG, 0, 0.53%, 0.0000764%), (HON, 0, 0.52%, 0.0000887%), (ETN, 0, 0.51%, 0.0000878%), (PEP, 0, 0.49%, 0.0000567%), (T, 0, 0.47%, 0.0002430%), (INTU, 0, 0.47%, 0.0000588%), (NOW, 0, 0.47%, 0.0000582%), (MS, 0, 0.46%, 0.0000443%), (AXP, 0, 0.45%, 0.0000460%), (DE, 0, 0.45%, 0.0000814%), (MRK, 0, 0.44%, 0.0000484%), (SPGI, 0, 0.42%, 0.0000598%), (VZ, 0, 0.41%, 0.0000519%), (QCOM, 0, 0.41%, 0.0000557%), (ACN, 0, 0.40%, 0.0000588%), (TXN, 0, 0.40%, 0.0000543%), (BLK, 0, 0.39%, 0.0000536%), (MDT, 0, 0.39%, 0.0000762%), (COP, 0, 0.39%, 0.0000754%), (UNP, 0, 0.38%, 0.0000676%), (TMO, 0, 0.38%, 0.0000487%), (ADBE, 0, 0.38%, 0.0000616%), (DIS, 0, 0.38%, 0.0000415%), (C, 0, 0.37%, 0.0000482%), (LMT, 0, 0.36%, 0.0000791%), (SCHW, 0, 0.36%, 0.0000469%), (SBUX, 0, 0.34%, 0.0000797%), (MMM, 0, 0.31%, 0.0000887%), (AMGN, 0, 0.31%, 0.0000477%), (AMAT, 0, 0.30%, 0.0000560%), (CVS, 0, 0.30%, 0.0000755%), (TJX, 0, 0.29%, 0.0000442%), (GILD, 0, 0.29%, 0.0000480%), (PFE, 0, 0.28%, 0.0000477%), (EMR, 0, 0.28%, 0.0000876%), (LOW, 0, 0.28%, 0.0000440%), (MO, 0, 0.27%, 0.0000571%), (DHR, 0, 0.26%, 0.0000435%), (INTC, 0, 0.25%, 0.0000502%), (ELV, 0, 0.23%, 0.0000796%), (CMCSA, 0, 0.23%, 0.0000432%), (MDLZ, 0, 0.20%, 0.0000586%), (BMY, 0, 0.19%, 0.0000476%), (UPS, 0, 0.18%, 0.0000658%), (PYPL, 0, 0.17%, 0.0000610%), (USB, 0, 0.15%, 0.0000471%), (CL, 0, 0.15%, 0.0000521%), (FDX, 0, 0.14%, 0.0000631%), (TGT, 0, 0.08%, 0.0000447%), (nan, 0, -0.05%, 0.0000000%), (nan, 0, -0.07%, 0.0000000%)</t>
  </si>
  <si>
    <t>(AMZN, 0, 3.89%, 0.0000671%), (AVGO, 0, 3.11%, 0.0000940%), (META, 0, 2.72%, 0.0000724%), (BRK/B, 0, 2.15%, 0.0001331%), (CSCO, 0, 1.75%, 0.0002818%), (LIN, 0, 1.72%, 0.0003375%), (TSLA, 0, 1.64%, 0.0000635%), (JPM, 0, 1.63%, 0.0000845%), (XOM, 0, 1.46%, 0.0001319%), (AMT, 0, 1.44%, 0.0006831%), (V, 0, 1.41%, 0.0001018%), (CB, 0, 1.14%, 0.0004485%), (LLY, 0, 1.13%, 0.0000700%), (MA, 0, 1.13%, 0.0000921%), (GE, 0, 1.07%, 0.0001560%), (WM, 0, 1.03%, 0.0004907%), (NFLX, 0, 0.89%, 0.0000729%), (UNH, 0, 0.88%, 0.0001360%), (ORCL, 0, 0.85%, 0.0000581%), (JNJ, 0, 0.84%, 0.0000840%), (NEE, 0, 0.83%, 0.0002438%), (PG, 0, 0.78%, 0.0000911%), (CVX, 0, 0.78%, 0.0001045%), (WMT, 0, 0.78%, 0.0000423%), (PLTR, 0, 0.76%, 0.0000928%), (COST, 0, 0.76%, 0.0000776%), (RTX, 0, 0.74%, 0.0001510%), (MCD, 0, 0.73%, 0.0001410%), (ABBV, 0, 0.73%, 0.0000841%), (HD, 0, 0.72%, 0.0000765%), (ABT, 0, 0.71%, 0.0001335%), (CAT, 0, 0.71%, 0.0001567%), (BAC, 0, 0.65%, 0.0000744%), (KO, 0, 0.61%, 0.0000895%), (BA, 0, 0.61%, 0.0001496%), (BKNG, 0, 0.60%, 0.0001427%), (AMD, 0, 0.58%, 0.0000951%), (PM, 0, 0.58%, 0.0000992%), (SO, 0, 0.58%, 0.0002460%), (NKE, 0, 0.57%, 0.0002765%), (CRM, 0, 0.56%, 0.0001035%), (GS, 0, 0.54%, 0.0001047%), (IBM, 0, 0.54%, 0.0001018%), (DUK, 0, 0.53%, 0.0002456%), (UBER, 0, 0.52%, 0.0001174%), (WFC, 0, 0.52%, 0.0000858%), (MET, 0, 0.52%, 0.0004117%), (ISRG, 0, 0.50%, 0.0001346%), (HON, 0, 0.49%, 0.0001558%), (ETN, 0, 0.48%, 0.0001544%), (PEP, 0, 0.46%, 0.0000997%), (T, 0, 0.45%, 0.0004271%), (INTU, 0, 0.45%, 0.0001037%), (NOW, 0, 0.44%, 0.0001019%), (MS, 0, 0.43%, 0.0000778%), (DE, 0, 0.43%, 0.0001432%), (AXP, 0, 0.43%, 0.0000809%), (MRK, 0, 0.41%, 0.0000851%), (SPGI, 0, 0.40%, 0.0001050%), (VZ, 0, 0.39%, 0.0000912%), (QCOM, 0, 0.39%, 0.0000979%), (ACN, 0, 0.38%, 0.0001034%), (TXN, 0, 0.38%, 0.0000954%), (BLK, 0, 0.37%, 0.0000943%), (MDT, 0, 0.37%, 0.0001339%), (COP, 0, 0.37%, 0.0001325%), (TMO, 0, 0.36%, 0.0000857%), (UNP, 0, 0.36%, 0.0001189%), (ADBE, 0, 0.36%, 0.0001082%), (DIS, 0, 0.36%, 0.0000729%), (C, 0, 0.35%, 0.0000848%), (LMT, 0, 0.34%, 0.0001387%), (SCHW, 0, 0.34%, 0.0000825%), (SBUX, 0, 0.32%, 0.0001401%), (MMM, 0, 0.30%, 0.0001559%), (AMGN, 0, 0.29%, 0.0000840%), (AMAT, 0, 0.29%, 0.0000984%), (CVS, 0, 0.29%, 0.0001327%), (TJX, 0, 0.28%, 0.0000777%), (GILD, 0, 0.27%, 0.0000844%), (PFE, 0, 0.27%, 0.0000838%), (EMR, 0, 0.27%, 0.0001541%), (LOW, 0, 0.27%, 0.0000776%), (MO, 0, 0.26%, 0.0001003%), (DHR, 0, 0.25%, 0.0000764%), (INTC, 0, 0.23%, 0.0000881%), (ELV, 0, 0.22%, 0.0001395%), (CMCSA, 0, 0.22%, 0.0000760%), (MDLZ, 0, 0.19%, 0.0001029%), (BMY, 0, 0.18%, 0.0000838%), (UPS, 0, 0.17%, 0.0001155%), (PYPL, 0, 0.16%, 0.0001073%), (USB, 0, 0.15%, 0.0000827%), (CL, 0, 0.14%, 0.0000917%), (FDX, 0, 0.14%, 0.0001106%), (TGT, 0, 0.08%, 0.0000788%), (nan, 0, -0.04%, 0.0000000%), (nan, 0, -0.05%, 0.0000000%)</t>
  </si>
  <si>
    <t>(AMZN, 0, 3.97%, 0.0000242%), (AVGO, 0, 3.18%, 0.0000340%), (META, 0, 2.78%, 0.0000262%), (BRK/B, 0, 2.19%, 0.0000481%), (CSCO, 0, 1.79%, 0.0001018%), (LIN, 0, 1.76%, 0.0001219%), (TSLA, 0, 1.68%, 0.0000229%), (JPM, 0, 1.67%, 0.0000305%), (XOM, 0, 1.50%, 0.0000477%), (AMT, 0, 1.48%, 0.0002467%), (V, 0, 1.44%, 0.0000368%), (CB, 0, 1.17%, 0.0001621%), (LLY, 0, 1.15%, 0.0000253%), (MA, 0, 1.15%, 0.0000332%), (GE, 0, 1.09%, 0.0000564%), (WM, 0, 1.05%, 0.0001772%), (NFLX, 0, 0.92%, 0.0000264%), (UNH, 0, 0.90%, 0.0000491%), (ORCL, 0, 0.87%, 0.0000210%), (JNJ, 0, 0.85%, 0.0000303%), (NEE, 0, 0.85%, 0.0000881%), (PG, 0, 0.80%, 0.0000329%), (CVX, 0, 0.80%, 0.0000378%), (WMT, 0, 0.80%, 0.0000153%), (PLTR, 0, 0.78%, 0.0000335%), (COST, 0, 0.78%, 0.0000280%), (RTX, 0, 0.76%, 0.0000545%), (MCD, 0, 0.75%, 0.0000510%), (ABBV, 0, 0.75%, 0.0000304%), (HD, 0, 0.74%, 0.0000276%), (ABT, 0, 0.73%, 0.0000482%), (CAT, 0, 0.73%, 0.0000566%), (BAC, 0, 0.66%, 0.0000269%), (BKNG, 0, 0.62%, 0.0000527%), (KO, 0, 0.62%, 0.0000323%), (BA, 0, 0.62%, 0.0000541%), (PM, 0, 0.59%, 0.0000358%), (AMD, 0, 0.59%, 0.0000343%), (SO, 0, 0.59%, 0.0000889%), (NKE, 0, 0.59%, 0.0000999%), (CRM, 0, 0.57%, 0.0000374%), (GS, 0, 0.56%, 0.0000380%), (IBM, 0, 0.55%, 0.0000368%), (DUK, 0, 0.55%, 0.0000887%), (UBER, 0, 0.53%, 0.0000424%), (WFC, 0, 0.53%, 0.0000310%), (MET, 0, 0.53%, 0.0001487%), (ISRG, 0, 0.51%, 0.0000485%), (HON, 0, 0.50%, 0.0000562%), (ETN, 0, 0.49%, 0.0000557%), (PEP, 0, 0.47%, 0.0000360%), (T, 0, 0.46%, 0.0001543%), (INTU, 0, 0.46%, 0.0000373%), (NOW, 0, 0.45%, 0.0000370%), (MS, 0, 0.44%, 0.0000281%), (DE, 0, 0.44%, 0.0000518%), (AXP, 0, 0.43%, 0.0000292%), (MRK, 0, 0.42%, 0.0000307%), (SPGI, 0, 0.41%, 0.0000380%), (VZ, 0, 0.40%, 0.0000330%), (QCOM, 0, 0.40%, 0.0000354%), (ACN, 0, 0.39%, 0.0000374%), (BLK, 0, 0.38%, 0.0000342%), (TXN, 0, 0.38%, 0.0000344%), (MDT, 0, 0.38%, 0.0000483%), (COP, 0, 0.37%, 0.0000479%), (TMO, 0, 0.37%, 0.0000309%), (UNP, 0, 0.37%, 0.0000430%), (ADBE, 0, 0.37%, 0.0000392%), (DIS, 0, 0.37%, 0.0000263%), (C, 0, 0.36%, 0.0000306%), (LMT, 0, 0.35%, 0.0000501%), (SCHW, 0, 0.34%, 0.0000298%), (SBUX, 0, 0.33%, 0.0000506%), (MMM, 0, 0.30%, 0.0000563%), (AMGN, 0, 0.30%, 0.0000303%), (AMAT, 0, 0.29%, 0.0000355%), (CVS, 0, 0.29%, 0.0000480%), (TJX, 0, 0.29%, 0.0000280%), (GILD, 0, 0.28%, 0.0000304%), (PFE, 0, 0.28%, 0.0000303%), (EMR, 0, 0.27%, 0.0000556%), (LOW, 0, 0.27%, 0.0000280%), (MO, 0, 0.26%, 0.0000362%), (DHR, 0, 0.25%, 0.0000276%), (INTC, 0, 0.24%, 0.0000318%), (ELV, 0, 0.23%, 0.0000504%), (CMCSA, 0, 0.22%, 0.0000275%), (MDLZ, 0, 0.19%, 0.0000372%), (BMY, 0, 0.19%, 0.0000303%), (UPS, 0, 0.17%, 0.0000417%), (PYPL, 0, 0.16%, 0.0000388%), (USB, 0, 0.15%, 0.0000299%), (CL, 0, 0.15%, 0.0000331%), (FDX, 0, 0.14%, 0.0000398%), (TGT, 0, 0.08%, 0.0000284%), (nan, 0, -0.03%, 0.0000000%), (nan, 0, -0.05%, 0.0000000%)</t>
  </si>
  <si>
    <t>(AMZN, 0, 4.21%, 0.0000579%), (AVGO, 0, 3.36%, 0.0000812%), (META, 0, 2.95%, 0.0000625%), (BRK/B, 0, 2.33%, 0.0001149%), (CSCO, 0, 1.90%, 0.0002433%), (LIN, 0, 1.87%, 0.0002915%), (TSLA, 0, 1.78%, 0.0000548%), (JPM, 0, 1.77%, 0.0000730%), (XOM, 0, 1.59%, 0.0001139%), (AMT, 0, 1.57%, 0.0005898%), (V, 0, 1.52%, 0.0000880%), (CB, 0, 1.24%, 0.0003872%), (LLY, 0, 1.23%, 0.0000605%), (MA, 0, 1.22%, 0.0000794%), (GE, 0, 1.15%, 0.0001347%), (WM, 0, 1.12%, 0.0004237%), (NFLX, 0, 0.96%, 0.0000630%), (UNH, 0, 0.96%, 0.0001175%), (ORCL, 0, 0.92%, 0.0000501%), (JNJ, 0, 0.90%, 0.0000725%), (NEE, 0, 0.90%, 0.0002105%), (PG, 0, 0.85%, 0.0000787%), (CVX, 0, 0.85%, 0.0000902%), (WMT, 0, 0.84%, 0.0000365%), (PLTR, 0, 0.82%, 0.0000802%), (COST, 0, 0.82%, 0.0000670%), (RTX, 0, 0.81%, 0.0001303%), (MCD, 0, 0.80%, 0.0001218%), (ABBV, 0, 0.79%, 0.0000726%), (HD, 0, 0.78%, 0.0000660%), (ABT, 0, 0.77%, 0.0001152%), (CAT, 0, 0.77%, 0.0001353%), (BAC, 0, 0.70%, 0.0000642%), (KO, 0, 0.66%, 0.0000773%), (BA, 0, 0.66%, 0.0001291%), (BKNG, 0, 0.65%, 0.0001241%), (AMD, 0, 0.62%, 0.0000821%), (PM, 0, 0.62%, 0.0000856%), (SO, 0, 0.62%, 0.0002123%), (NKE, 0, 0.62%, 0.0002388%), (CRM, 0, 0.60%, 0.0000893%), (GS, 0, 0.59%, 0.0000904%), (IBM, 0, 0.59%, 0.0000879%), (DUK, 0, 0.58%, 0.0002120%), (UBER, 0, 0.56%, 0.0001014%), (WFC, 0, 0.56%, 0.0000740%), (MET, 0, 0.56%, 0.0003555%), (ISRG, 0, 0.54%, 0.0001162%), (HON, 0, 0.53%, 0.0001345%), (ETN, 0, 0.52%, 0.0001333%), (PEP, 0, 0.50%, 0.0000860%), (T, 0, 0.49%, 0.0003688%), (INTU, 0, 0.48%, 0.0000893%), (NOW, 0, 0.48%, 0.0000880%), (MS, 0, 0.47%, 0.0000672%), (AXP, 0, 0.46%, 0.0000698%), (DE, 0, 0.46%, 0.0001236%), (MRK, 0, 0.45%, 0.0000735%), (SPGI, 0, 0.43%, 0.0000905%), (VZ, 0, 0.43%, 0.0000788%), (QCOM, 0, 0.42%, 0.0000845%), (ACN, 0, 0.41%, 0.0000893%), (TXN, 0, 0.41%, 0.0000824%), (BLK, 0, 0.41%, 0.0000814%), (MDT, 0, 0.40%, 0.0001155%), (COP, 0, 0.40%, 0.0001144%), (TMO, 0, 0.39%, 0.0000740%), (UNP, 0, 0.39%, 0.0001027%), (ADBE, 0, 0.39%, 0.0000934%), (DIS, 0, 0.39%, 0.0000629%), (C, 0, 0.38%, 0.0000732%), (LMT, 0, 0.37%, 0.0001197%), (SCHW, 0, 0.36%, 0.0000712%), (SBUX, 0, 0.35%, 0.0001209%), (MMM, 0, 0.32%, 0.0001346%), (AMGN, 0, 0.32%, 0.0000724%), (AMAT, 0, 0.31%, 0.0000850%), (CVS, 0, 0.31%, 0.0001145%), (TJX, 0, 0.30%, 0.0000670%), (GILD, 0, 0.30%, 0.0000728%), (PFE, 0, 0.29%, 0.0000723%), (EMR, 0, 0.29%, 0.0001329%), (LOW, 0, 0.29%, 0.0000669%), (MO, 0, 0.28%, 0.0000866%), (DHR, 0, 0.27%, 0.0000661%), (INTC, 0, 0.25%, 0.0000761%), (ELV, 0, 0.24%, 0.0001206%), (CMCSA, 0, 0.23%, 0.0000656%), (MDLZ, 0, 0.20%, 0.0000889%), (BMY, 0, 0.20%, 0.0000723%), (UPS, 0, 0.18%, 0.0000997%), (PYPL, 0, 0.17%, 0.0000926%), (USB, 0, 0.16%, 0.0000715%), (CL, 0, 0.15%, 0.0000791%), (FDX, 0, 0.15%, 0.0000958%), (TGT, 0, 0.08%, 0.0000680%), (nan, 0, -0.05%, 0.0000000%), (nan, 0, -0.07%, 0.0000000%)</t>
  </si>
  <si>
    <t>EBAY, GOOGLE, BK, META, MLI, JPM, MSFT, PHM, RJF, BKNG, EWBC</t>
  </si>
  <si>
    <t>(EA, 0, 1.95%, 0.0025637%), (AXP, 0, 1.95%, 0.0004695%), (BLK, 0, 1.94%, 0.0006219%), (HIG, 0, 1.88%, 0.0027551%), (TRV, 0, 1.85%, 0.0016354%), (V, 0, 1.83%, 0.0001688%), (ROST, 0, 1.78%, 0.0019642%), (UNM, 0, 1.71%, 0.0075731%), (SNA, 0, 1.71%, 0.0054973%), (LEN, 0, 1.70%, 0.0030241%), (ADP, 0, 1.68%, 0.0007573%), (SYF, 0, 1.67%, 0.0033243%), (NVDA, 0, 1.67%, 0.0000220%), (CB, 0, 1.65%, 0.0008220%), (PCAR, 0, 1.62%, 0.0017264%), (KLAC, 0, 1.61%, 0.0007717%), (AMAT, 0, 1.58%, 0.0006895%), (CTSH, 0, 1.51%, 0.0024009%), (WSM, 0, 1.50%, 0.0033287%), (CRM, 0, 1.46%, 0.0003451%), (DHI, 0, 1.45%, 0.0015275%), (BKR, 0, 1.44%, 0.0017282%), (PAYC, 0, 1.43%, 0.0060612%), (QCOM, 0, 1.34%, 0.0004286%), (AAPL, 0, 1.30%, 0.0000202%), (ACN, 0, 1.26%, 0.0004386%), (AFL, 0, 1.25%, 0.0011843%), (ELV, 0, 1.23%, 0.0009881%), (MPWR, 0, 1.13%, 0.0015284%), (LRCX, 0, 1.08%, 0.0004703%), (ODFL, 0, 1.06%, 0.0018695%), (GE, 0, 1.06%, 0.0001962%), (CSCO, 0, 1.06%, 0.0002170%), (STT, 0, 0.99%, 0.0017024%), (PNC, 0, 0.96%, 0.0006465%), (MTB, 0, 0.93%, 0.0016462%), (AMP, 0, 0.86%, 0.0009967%), (CF, 0, 0.83%, 0.0033549%), (COST, 0, 0.83%, 0.0001074%), (ABT, 0, 0.83%, 0.0001969%), (XOM, 0, 0.81%, 0.0000934%), (EOG, 0, 0.79%, 0.0006559%), (CSL, 0, 0.76%, 0.0025511%), (EG, 0, 0.76%, 0.0028690%), (GEV, 0, 0.53%, 0.0001788%), (NTRS, 0, 0.52%, 0.0011670%), (MA, 0, 0.50%, 0.0000516%), (JNJ, 0, 0.48%, 0.0000613%), (ACM, 0, 0.48%, 0.0015765%), (LNC, 0, 0.47%, 0.0031779%), (CRBG, 0, 0.46%, 0.0014077%), (WTFC, 0, 0.45%, 0.0026556%), (MTG, 0, 0.45%, 0.0038759%), (JXN, 0, 0.44%, 0.0035764%), (CINF, 0, 0.43%, 0.0009839%), (EQH, 0, 0.42%, 0.0014285%), (DOV, 0, 0.42%, 0.0009406%), (ALL, 0, 0.41%, 0.0004148%), (ADM, 0, 0.41%, 0.0007649%), (SLM, 0, 0.41%, 0.0034900%), (MCK, 0, 0.40%, 0.0002565%), (NUE, 0, 0.39%, 0.0006430%), (NKE, 0, 0.37%, 0.0002262%), (PGR, 0, 0.36%, 0.0001373%), (FANG, 0, 0.30%, 0.0003969%)</t>
  </si>
  <si>
    <t>(AMZN, 0, 3.85%, 0.0000617%), (AVGO, 0, 3.08%, 0.0000865%), (META, 0, 2.69%, 0.0000666%), (BRK/B, 0, 2.13%, 0.0001224%), (CSCO, 0, 1.74%, 0.0002592%), (LIN, 0, 1.71%, 0.0003105%), (TSLA, 0, 1.63%, 0.0000584%), (JPM, 0, 1.61%, 0.0000777%), (XOM, 0, 1.45%, 0.0001213%), (AMT, 0, 1.43%, 0.0006282%), (V, 0, 1.39%, 0.0000937%), (CB, 0, 1.13%, 0.0004124%), (LLY, 0, 1.12%, 0.0000644%), (MA, 0, 1.12%, 0.0000847%), (GE, 0, 1.06%, 0.0001434%), (WM, 0, 1.02%, 0.0004513%), (NFLX, 0, 0.88%, 0.0000670%), (UNH, 0, 0.87%, 0.0001251%), (ORCL, 0, 0.84%, 0.0000534%), (JNJ, 0, 0.83%, 0.0000772%), (NEE, 0, 0.82%, 0.0002242%), (PG, 0, 0.77%, 0.0000838%), (CVX, 0, 0.77%, 0.0000961%), (WMT, 0, 0.77%, 0.0000389%), (PLTR, 0, 0.75%, 0.0000854%), (COST, 0, 0.75%, 0.0000713%), (RTX, 0, 0.74%, 0.0001388%), (MCD, 0, 0.73%, 0.0001296%), (ABBV, 0, 0.72%, 0.0000773%), (HD, 0, 0.72%, 0.0000703%), (ABT, 0, 0.71%, 0.0001228%), (CAT, 0, 0.70%, 0.0001441%), (BAC, 0, 0.64%, 0.0000684%), (KO, 0, 0.60%, 0.0000823%), (BA, 0, 0.60%, 0.0001375%), (BKNG, 0, 0.60%, 0.0001334%), (AMD, 0, 0.57%, 0.0000874%), (PM, 0, 0.57%, 0.0000912%), (SO, 0, 0.57%, 0.0002261%), (NKE, 0, 0.57%, 0.0002543%), (CRM, 0, 0.55%, 0.0000952%), (GS, 0, 0.54%, 0.0000964%), (IBM, 0, 0.54%, 0.0000937%), (DUK, 0, 0.53%, 0.0002257%), (UBER, 0, 0.52%, 0.0001080%), (WFC, 0, 0.51%, 0.0000789%), (MET, 0, 0.51%, 0.0003786%), (ISRG, 0, 0.50%, 0.0001236%), (HON, 0, 0.49%, 0.0001432%), (ETN, 0, 0.48%, 0.0001420%), (PEP, 0, 0.46%, 0.0000916%), (T, 0, 0.44%, 0.0003928%), (INTU, 0, 0.44%, 0.0000954%), (NOW, 0, 0.44%, 0.0000938%), (MS, 0, 0.43%, 0.0000715%), (AXP, 0, 0.42%, 0.0000743%), (DE, 0, 0.42%, 0.0001317%), (MRK, 0, 0.41%, 0.0000783%), (SPGI, 0, 0.39%, 0.0000964%), (VZ, 0, 0.39%, 0.0000839%), (QCOM, 0, 0.39%, 0.0000900%), (ACN, 0, 0.37%, 0.0000950%), (TXN, 0, 0.37%, 0.0000878%), (BLK, 0, 0.37%, 0.0000865%), (MDT, 0, 0.37%, 0.0001231%), (COP, 0, 0.36%, 0.0001219%), (TMO, 0, 0.36%, 0.0000788%), (UNP, 0, 0.36%, 0.0001092%), (ADBE, 0, 0.36%, 0.0000996%), (DIS, 0, 0.36%, 0.0000670%), (C, 0, 0.35%, 0.0000780%), (LMT, 0, 0.34%, 0.0001275%), (SCHW, 0, 0.33%, 0.0000758%), (SBUX, 0, 0.32%, 0.0001288%), (MMM, 0, 0.29%, 0.0001433%), (AMGN, 0, 0.29%, 0.0000773%), (AMAT, 0, 0.28%, 0.0000905%), (CVS, 0, 0.28%, 0.0001220%), (TJX, 0, 0.28%, 0.0000714%), (GILD, 0, 0.27%, 0.0000775%), (PFE, 0, 0.27%, 0.0000771%), (EMR, 0, 0.26%, 0.0001416%), (LOW, 0, 0.26%, 0.0000713%), (MO, 0, 0.26%, 0.0000922%), (DHR, 0, 0.25%, 0.0000704%), (INTC, 0, 0.23%, 0.0000811%), (ELV, 0, 0.22%, 0.0001287%), (CMCSA, 0, 0.21%, 0.0000699%), (MDLZ, 0, 0.19%, 0.0000946%), (BMY, 0, 0.18%, 0.0000770%), (UPS, 0, 0.16%, 0.0001062%), (PYPL, 0, 0.16%, 0.0000986%), (USB, 0, 0.14%, 0.0000761%), (CL, 0, 0.14%, 0.0000842%), (FDX, 0, 0.13%, 0.0001017%), (TGT, 0, 0.08%, 0.0000724%), (nan, 0, -0.04%, 0.0000000%), (nan, 0, -0.05%, 0.0000000%)</t>
  </si>
  <si>
    <t>(AMZN, 0, 4.03%, 0.0001262%), (AVGO, 0, 3.23%, 0.0001768%), (META, 0, 2.82%, 0.0001362%), (BRK/B, 0, 2.23%, 0.0002503%), (CSCO, 0, 1.82%, 0.0005300%), (LIN, 0, 1.79%, 0.0006348%), (TSLA, 0, 1.71%, 0.0001193%), (JPM, 0, 1.69%, 0.0001589%), (XOM, 0, 1.52%, 0.0002481%), (AMT, 0, 1.50%, 0.0012846%), (V, 0, 1.46%, 0.0001915%), (CB, 0, 1.19%, 0.0008433%), (LLY, 0, 1.18%, 0.0001318%), (MA, 0, 1.17%, 0.0001731%), (GE, 0, 1.11%, 0.0002934%), (WM, 0, 1.07%, 0.0009229%), (NFLX, 0, 0.92%, 0.0001374%), (UNH, 0, 0.92%, 0.0002558%), (ORCL, 0, 0.89%, 0.0001092%), (JNJ, 0, 0.87%, 0.0001580%), (NEE, 0, 0.86%, 0.0004586%), (PG, 0, 0.81%, 0.0001714%), (CVX, 0, 0.81%, 0.0001964%), (WMT, 0, 0.81%, 0.0000795%), (PLTR, 0, 0.79%, 0.0001746%), (COST, 0, 0.79%, 0.0001460%), (RTX, 0, 0.77%, 0.0002839%), (MCD, 0, 0.76%, 0.0002651%), (ABBV, 0, 0.76%, 0.0001582%), (HD, 0, 0.75%, 0.0001439%), (ABT, 0, 0.74%, 0.0002511%), (CAT, 0, 0.74%, 0.0002948%), (BAC, 0, 0.67%, 0.0001399%), (KO, 0, 0.63%, 0.0001683%), (BA, 0, 0.63%, 0.0002813%), (BKNG, 0, 0.62%, 0.0002699%), (AMD, 0, 0.60%, 0.0001788%), (PM, 0, 0.60%, 0.0001866%), (SO, 0, 0.60%, 0.0004626%), (NKE, 0, 0.60%, 0.0005201%), (CRM, 0, 0.58%, 0.0001945%), (GS, 0, 0.56%, 0.0001970%), (IBM, 0, 0.56%, 0.0001916%), (DUK, 0, 0.55%, 0.0004618%), (UBER, 0, 0.54%, 0.0002208%), (WFC, 0, 0.54%, 0.0001613%), (MET, 0, 0.54%, 0.0007744%), (ISRG, 0, 0.52%, 0.0002530%), (HON, 0, 0.51%, 0.0002928%), (ETN, 0, 0.50%, 0.0002903%), (PEP, 0, 0.48%, 0.0001874%), (T, 0, 0.46%, 0.0008033%), (INTU, 0, 0.46%, 0.0001948%), (NOW, 0, 0.46%, 0.0001918%), (MS, 0, 0.45%, 0.0001463%), (AXP, 0, 0.44%, 0.0001521%), (DE, 0, 0.44%, 0.0002693%), (MRK, 0, 0.43%, 0.0001601%), (SPGI, 0, 0.41%, 0.0001975%), (VZ, 0, 0.41%, 0.0001716%), (QCOM, 0, 0.40%, 0.0001841%), (ACN, 0, 0.39%, 0.0001943%), (TXN, 0, 0.39%, 0.0001795%), (BLK, 0, 0.39%, 0.0001769%), (MDT, 0, 0.38%, 0.0002517%), (COP, 0, 0.38%, 0.0002493%), (TMO, 0, 0.38%, 0.0001610%), (UNP, 0, 0.38%, 0.0002235%), (ADBE, 0, 0.37%, 0.0002038%), (DIS, 0, 0.37%, 0.0001370%), (C, 0, 0.36%, 0.0001594%), (LMT, 0, 0.35%, 0.0002606%), (SCHW, 0, 0.35%, 0.0001550%), (SBUX, 0, 0.33%, 0.0002633%), (MMM, 0, 0.31%, 0.0002931%), (AMGN, 0, 0.30%, 0.0001579%), (AMAT, 0, 0.30%, 0.0001850%), (CVS, 0, 0.30%, 0.0002496%), (TJX, 0, 0.29%, 0.0001461%), (GILD, 0, 0.28%, 0.0001586%), (PFE, 0, 0.28%, 0.0001576%), (EMR, 0, 0.28%, 0.0002896%), (LOW, 0, 0.27%, 0.0001459%), (MO, 0, 0.27%, 0.0001885%), (DHR, 0, 0.26%, 0.0001438%), (INTC, 0, 0.24%, 0.0001658%), (ELV, 0, 0.23%, 0.0002628%), (CMCSA, 0, 0.22%, 0.0001429%), (MDLZ, 0, 0.19%, 0.0001935%), (BMY, 0, 0.19%, 0.0001575%), (UPS, 0, 0.17%, 0.0002172%), (PYPL, 0, 0.16%, 0.0002017%), (USB, 0, 0.15%, 0.0001556%), (CL, 0, 0.15%, 0.0001723%), (FDX, 0, 0.14%, 0.0002081%), (TGT, 0, 0.08%, 0.0001479%), (nan, 0, -0.04%, 0.0000000%), (nan, 0, -0.05%, 0.0000000%)</t>
  </si>
  <si>
    <t>(AMZN, 0, 3.80%, 0.0002524%), (AVGO, 0, 3.03%, 0.0003537%), (META, 0, 2.66%, 0.0002725%), (BRK/B, 0, 2.10%, 0.0005007%), (CSCO, 0, 1.71%, 0.0010603%), (LIN, 0, 1.69%, 0.0012699%), (TSLA, 0, 1.61%, 0.0002387%), (JPM, 0, 1.59%, 0.0003179%), (XOM, 0, 1.43%, 0.0004963%), (AMT, 0, 1.41%, 0.0025699%), (V, 0, 1.37%, 0.0003831%), (CB, 0, 1.12%, 0.0016872%), (LLY, 0, 1.11%, 0.0002636%), (MA, 0, 1.11%, 0.0003464%), (GE, 0, 1.04%, 0.0005869%), (WM, 0, 1.01%, 0.0018460%), (NFLX, 0, 0.87%, 0.0002745%), (UNH, 0, 0.86%, 0.0005117%), (ORCL, 0, 0.83%, 0.0002185%), (JNJ, 0, 0.82%, 0.0003160%), (NEE, 0, 0.81%, 0.0009174%), (PG, 0, 0.76%, 0.0003428%), (CVX, 0, 0.76%, 0.0003930%), (WMT, 0, 0.76%, 0.0001590%), (PLTR, 0, 0.74%, 0.0003493%), (COST, 0, 0.74%, 0.0002920%), (RTX, 0, 0.73%, 0.0005679%), (MCD, 0, 0.72%, 0.0005305%), (ABBV, 0, 0.71%, 0.0003164%), (HD, 0, 0.71%, 0.0002877%), (ABT, 0, 0.70%, 0.0005023%), (CAT, 0, 0.70%, 0.0005896%), (BAC, 0, 0.63%, 0.0002798%), (KO, 0, 0.59%, 0.0003368%), (BA, 0, 0.59%, 0.0005626%), (BKNG, 0, 0.59%, 0.0005429%), (AMD, 0, 0.56%, 0.0003576%), (PM, 0, 0.56%, 0.0003732%), (SO, 0, 0.56%, 0.0009253%), (NKE, 0, 0.56%, 0.0010405%), (CRM, 0, 0.54%, 0.0003892%), (GS, 0, 0.53%, 0.0003941%), (IBM, 0, 0.53%, 0.0003833%), (DUK, 0, 0.52%, 0.0009237%), (UBER, 0, 0.51%, 0.0004417%), (WFC, 0, 0.51%, 0.0003227%), (MET, 0, 0.51%, 0.0015491%), (ISRG, 0, 0.49%, 0.0005061%), (HON, 0, 0.48%, 0.0005859%), (ETN, 0, 0.47%, 0.0005808%), (PEP, 0, 0.45%, 0.0003749%), (T, 0, 0.44%, 0.0016068%), (INTU, 0, 0.44%, 0.0003895%), (NOW, 0, 0.43%, 0.0003837%), (MS, 0, 0.42%, 0.0002927%), (AXP, 0, 0.42%, 0.0003043%), (DE, 0, 0.42%, 0.0005386%), (MRK, 0, 0.40%, 0.0003203%), (SPGI, 0, 0.39%, 0.0003950%), (VZ, 0, 0.38%, 0.0003432%), (QCOM, 0, 0.38%, 0.0003682%), (ACN, 0, 0.37%, 0.0003887%), (TXN, 0, 0.37%, 0.0003590%), (BLK, 0, 0.37%, 0.0003539%), (MDT, 0, 0.36%, 0.0005035%), (COP, 0, 0.36%, 0.0004987%), (TMO, 0, 0.36%, 0.0003221%), (UNP, 0, 0.36%, 0.0004471%), (ADBE, 0, 0.35%, 0.0004075%), (DIS, 0, 0.35%, 0.0002741%), (C, 0, 0.34%, 0.0003190%), (LMT, 0, 0.33%, 0.0005216%), (SCHW, 0, 0.33%, 0.0003102%), (SBUX, 0, 0.31%, 0.0005268%), (MMM, 0, 0.29%, 0.0005864%), (AMGN, 0, 0.29%, 0.0003158%), (AMAT, 0, 0.28%, 0.0003701%), (CVS, 0, 0.28%, 0.0004992%), (TJX, 0, 0.27%, 0.0002923%), (GILD, 0, 0.27%, 0.0003173%), (PFE, 0, 0.26%, 0.0003152%), (EMR, 0, 0.26%, 0.0005796%), (LOW, 0, 0.26%, 0.0002917%), (MO, 0, 0.25%, 0.0003772%), (DHR, 0, 0.24%, 0.0002878%), (INTC, 0, 0.23%, 0.0003316%), (ELV, 0, 0.22%, 0.0005256%), (CMCSA, 0, 0.21%, 0.0002859%), (MDLZ, 0, 0.18%, 0.0003872%), (BMY, 0, 0.18%, 0.0003151%), (UPS, 0, 0.16%, 0.0004346%), (PYPL, 0, 0.16%, 0.0004036%), (USB, 0, 0.14%, 0.0003113%), (CL, 0, 0.14%, 0.0003448%), (FDX, 0, 0.13%, 0.0004166%), (TGT, 0, 0.08%, 0.0002960%), (nan, 0, -0.05%, 0.0000000%), (nan, 0, -0.06%, 0.0000000%)</t>
  </si>
  <si>
    <t>(AMZN, 0, 3.70%, 0.0000366%), (AVGO, 0, 3.20%, 0.0000513%), (META, 0, 2.63%, 0.0000395%), (BRK/B, 0, 2.04%, 0.0000726%), (CSCO, 0, 1.66%, 0.0001538%), (LIN, 0, 1.65%, 0.0001842%), (TSLA, 0, 1.62%, 0.0000346%), (JPM, 0, 1.52%, 0.0000461%), (AMT, 0, 1.41%, 0.0003727%), (XOM, 0, 1.37%, 0.0000720%), (V, 0, 1.32%, 0.0000556%), (CB, 0, 1.09%, 0.0002447%), (LLY, 0, 1.07%, 0.0000382%), (MA, 0, 1.07%, 0.0000503%), (GE, 0, 1.02%, 0.0000851%), (WM, 0, 0.97%, 0.0002678%), (UNH, 0, 0.86%, 0.0000742%), (NFLX, 0, 0.86%, 0.0000399%), (ORCL, 0, 0.85%, 0.0000317%), (JNJ, 0, 0.80%, 0.0000459%), (NEE, 0, 0.80%, 0.0001331%), (PG, 0, 0.75%, 0.0000497%), (WMT, 0, 0.75%, 0.0000231%), (CVX, 0, 0.73%, 0.0000570%), (COST, 0, 0.73%, 0.0000424%), (PLTR, 0, 0.72%, 0.0000507%), (RTX, 0, 0.71%, 0.0000824%), (HD, 0, 0.71%, 0.0000418%), (MCD, 0, 0.70%, 0.0000769%), (ABBV, 0, 0.70%, 0.0000459%), (CAT, 0, 0.69%, 0.0000856%), (ABT, 0, 0.69%, 0.0000729%), (BAC, 0, 0.61%, 0.0000406%), (KO, 0, 0.58%, 0.0000488%), (BA, 0, 0.58%, 0.0000816%), (BKNG, 0, 0.56%, 0.0000776%), (PM, 0, 0.55%, 0.0000542%), (SO, 0, 0.55%, 0.0001342%), (CRM, 0, 0.55%, 0.0000564%), (NKE, 0, 0.54%, 0.0001509%), (IBM, 0, 0.52%, 0.0000556%), (AMD, 0, 0.52%, 0.0000519%), (GS, 0, 0.52%, 0.0000573%), (DUK, 0, 0.51%, 0.0001340%), (UBER, 0, 0.50%, 0.0000641%), (ISRG, 0, 0.49%, 0.0000733%), (MET, 0, 0.48%, 0.0002247%), (WFC, 0, 0.48%, 0.0000468%), (HON, 0, 0.47%, 0.0000851%), (ETN, 0, 0.47%, 0.0000843%), (PEP, 0, 0.44%, 0.0000544%), (INTU, 0, 0.43%, 0.0000567%), (NOW, 0, 0.43%, 0.0000558%), (T, 0, 0.43%, 0.0002331%), (MS, 0, 0.41%, 0.0000425%), (DE, 0, 0.41%, 0.0000781%), (AXP, 0, 0.40%, 0.0000441%), (MRK, 0, 0.40%, 0.0000465%), (SPGI, 0, 0.38%, 0.0000571%), (VZ, 0, 0.38%, 0.0000498%), (QCOM, 0, 0.38%, 0.0000534%), (ACN, 0, 0.36%, 0.0000564%), (TXN, 0, 0.36%, 0.0000521%), (BLK, 0, 0.36%, 0.0000517%), (MDT, 0, 0.35%, 0.0000730%), (TMO, 0, 0.35%, 0.0000466%), (ADBE, 0, 0.35%, 0.0000590%), (UNP, 0, 0.35%, 0.0000649%), (DIS, 0, 0.34%, 0.0000398%), (COP, 0, 0.34%, 0.0000723%), (C, 0, 0.33%, 0.0000463%), (LMT, 0, 0.33%, 0.0000756%), (SCHW, 0, 0.31%, 0.0000450%), (SBUX, 0, 0.30%, 0.0000764%), (MMM, 0, 0.29%, 0.0000851%), (AMGN, 0, 0.29%, 0.0000459%), (AMAT, 0, 0.28%, 0.0000537%), (CVS, 0, 0.28%, 0.0000724%), (TJX, 0, 0.27%, 0.0000424%), (GILD, 0, 0.27%, 0.0000461%), (PFE, 0, 0.26%, 0.0000457%), (LOW, 0, 0.26%, 0.0000423%), (EMR, 0, 0.26%, 0.0000840%), (MO, 0, 0.25%, 0.0000547%), (DHR, 0, 0.24%, 0.0000418%), (INTC, 0, 0.22%, 0.0000481%), (ELV, 0, 0.22%, 0.0000760%), (CMCSA, 0, 0.21%, 0.0000415%), (MDLZ, 0, 0.18%, 0.0000562%), (BMY, 0, 0.18%, 0.0000457%), (UPS, 0, 0.16%, 0.0000630%), (PYPL, 0, 0.15%, 0.0000586%), (USB, 0, 0.14%, 0.0000452%), (CL, 0, 0.14%, 0.0000500%), (FDX, 0, 0.13%, 0.0000606%), (TGT, 0, 0.07%, 0.0000429%), (nan, 0, -0.04%, 0.0000000%), (nan, 0, -0.05%, 0.0000000%)</t>
  </si>
  <si>
    <t>(AMZN, 0, 4.02%, 0.0002186%), (AVGO, 0, 3.47%, 0.0003063%), (META, 0, 2.85%, 0.0002359%), (BRK/B, 0, 2.22%, 0.0004336%), (CSCO, 0, 1.80%, 0.0009181%), (LIN, 0, 1.79%, 0.0010997%), (TSLA, 0, 1.76%, 0.0002067%), (JPM, 0, 1.66%, 0.0002753%), (AMT, 0, 1.53%, 0.0022252%), (XOM, 0, 1.49%, 0.0004297%), (V, 0, 1.44%, 0.0003317%), (CB, 0, 1.18%, 0.0014608%), (LLY, 0, 1.17%, 0.0002283%), (MA, 0, 1.16%, 0.0002999%), (GE, 0, 1.11%, 0.0005082%), (WM, 0, 1.05%, 0.0015985%), (UNH, 0, 0.93%, 0.0004430%), (NFLX, 0, 0.92%, 0.0002377%), (ORCL, 0, 0.92%, 0.0001892%), (JNJ, 0, 0.87%, 0.0002736%), (NEE, 0, 0.87%, 0.0007943%), (PG, 0, 0.82%, 0.0002969%), (WMT, 0, 0.81%, 0.0001377%), (CVX, 0, 0.80%, 0.0003403%), (COST, 0, 0.80%, 0.0002527%), (PLTR, 0, 0.78%, 0.0003024%), (RTX, 0, 0.77%, 0.0004917%), (HD, 0, 0.77%, 0.0002491%), (MCD, 0, 0.76%, 0.0004594%), (ABBV, 0, 0.76%, 0.0002739%), (CAT, 0, 0.75%, 0.0005104%), (ABT, 0, 0.75%, 0.0004349%), (BAC, 0, 0.66%, 0.0002423%), (KO, 0, 0.63%, 0.0002916%), (BA, 0, 0.63%, 0.0004872%), (BKNG, 0, 0.62%, 0.0004685%), (PM, 0, 0.60%, 0.0003231%), (SO, 0, 0.60%, 0.0008011%), (CRM, 0, 0.60%, 0.0003370%), (NKE, 0, 0.59%, 0.0009009%), (IBM, 0, 0.57%, 0.0003319%), (AMD, 0, 0.56%, 0.0003096%), (GS, 0, 0.56%, 0.0003414%), (DUK, 0, 0.56%, 0.0007997%), (UBER, 0, 0.54%, 0.0003824%), (ISRG, 0, 0.54%, 0.0004381%), (MET, 0, 0.53%, 0.0013413%), (WFC, 0, 0.53%, 0.0002794%), (HON, 0, 0.51%, 0.0005073%), (ETN, 0, 0.51%, 0.0005027%), (PEP, 0, 0.48%, 0.0003246%), (INTU, 0, 0.47%, 0.0003372%), (T, 0, 0.47%, 0.0013913%), (NOW, 0, 0.47%, 0.0003322%), (MS, 0, 0.45%, 0.0002534%), (DE, 0, 0.44%, 0.0004661%), (AXP, 0, 0.44%, 0.0002635%), (MRK, 0, 0.44%, 0.0002773%), (SPGI, 0, 0.41%, 0.0003418%), (VZ, 0, 0.41%, 0.0002972%), (QCOM, 0, 0.41%, 0.0003188%), (ACN, 0, 0.40%, 0.0003367%), (TXN, 0, 0.39%, 0.0003109%), (BLK, 0, 0.39%, 0.0003067%), (MDT, 0, 0.39%, 0.0004360%), (ADBE, 0, 0.38%, 0.0003528%), (TMO, 0, 0.38%, 0.0002787%), (UNP, 0, 0.38%, 0.0003871%), (DIS, 0, 0.37%, 0.0002374%), (COP, 0, 0.37%, 0.0004317%), (C, 0, 0.36%, 0.0002762%), (LMT, 0, 0.36%, 0.0004516%), (SCHW, 0, 0.33%, 0.0002686%), (SBUX, 0, 0.33%, 0.0004561%), (MMM, 0, 0.31%, 0.0005077%), (AMGN, 0, 0.31%, 0.0002734%), (AMAT, 0, 0.31%, 0.0003205%), (CVS, 0, 0.30%, 0.0004322%), (TJX, 0, 0.29%, 0.0002530%), (GILD, 0, 0.29%, 0.0002748%), (PFE, 0, 0.29%, 0.0002729%), (LOW, 0, 0.28%, 0.0002525%), (EMR, 0, 0.28%, 0.0005018%), (MO, 0, 0.27%, 0.0003266%), (DHR, 0, 0.26%, 0.0002492%), (INTC, 0, 0.24%, 0.0002871%), (ELV, 0, 0.24%, 0.0004549%), (CMCSA, 0, 0.23%, 0.0002475%), (MDLZ, 0, 0.20%, 0.0003353%), (BMY, 0, 0.19%, 0.0002728%), (UPS, 0, 0.17%, 0.0003763%), (PYPL, 0, 0.17%, 0.0003494%), (USB, 0, 0.15%, 0.0002695%), (CL, 0, 0.15%, 0.0002986%), (FDX, 0, 0.14%, 0.0003607%), (TGT, 0, 0.08%, 0.0002564%), (nan, 0, -0.06%, 0.0000000%), (nan, 0, -0.08%, 0.0000000%)</t>
  </si>
  <si>
    <t>(AMZN, 0, 4.01%, 0.0001629%), (AVGO, 0, 3.46%, 0.0002282%), (META, 0, 2.84%, 0.0001758%), (BRK/B, 0, 2.21%, 0.0003231%), (CSCO, 0, 1.80%, 0.0006841%), (LIN, 0, 1.79%, 0.0008194%), (TSLA, 0, 1.76%, 0.0001540%), (JPM, 0, 1.65%, 0.0002051%), (AMT, 0, 1.53%, 0.0016580%), (XOM, 0, 1.48%, 0.0003202%), (V, 0, 1.43%, 0.0002472%), (CB, 0, 1.18%, 0.0010886%), (LLY, 0, 1.16%, 0.0001701%), (MA, 0, 1.16%, 0.0002235%), (GE, 0, 1.10%, 0.0003786%), (WM, 0, 1.05%, 0.0011910%), (UNH, 0, 0.93%, 0.0003301%), (NFLX, 0, 0.92%, 0.0001772%), (ORCL, 0, 0.92%, 0.0001409%), (JNJ, 0, 0.87%, 0.0002039%), (NEE, 0, 0.87%, 0.0005919%), (PG, 0, 0.82%, 0.0002212%), (WMT, 0, 0.81%, 0.0001026%), (COST, 0, 0.79%, 0.0001884%), (CVX, 0, 0.79%, 0.0002535%), (PLTR, 0, 0.78%, 0.0002253%), (RTX, 0, 0.77%, 0.0003664%), (HD, 0, 0.76%, 0.0001857%), (MCD, 0, 0.76%, 0.0003422%), (ABBV, 0, 0.76%, 0.0002041%), (CAT, 0, 0.75%, 0.0003804%), (ABT, 0, 0.74%, 0.0003241%), (BAC, 0, 0.66%, 0.0001805%), (KO, 0, 0.63%, 0.0002173%), (BA, 0, 0.63%, 0.0003630%), (BKNG, 0, 0.62%, 0.0003506%), (PM, 0, 0.60%, 0.0002408%), (SO, 0, 0.60%, 0.0005970%), (CRM, 0, 0.60%, 0.0002511%), (NKE, 0, 0.59%, 0.0006713%), (IBM, 0, 0.57%, 0.0002473%), (AMD, 0, 0.56%, 0.0002307%), (GS, 0, 0.56%, 0.0002544%), (DUK, 0, 0.56%, 0.0005959%), (UBER, 0, 0.54%, 0.0002849%), (ISRG, 0, 0.54%, 0.0003264%), (MET, 0, 0.53%, 0.0009994%), (WFC, 0, 0.52%, 0.0002082%), (HON, 0, 0.51%, 0.0003780%), (ETN, 0, 0.51%, 0.0003748%), (PEP, 0, 0.48%, 0.0002419%), (INTU, 0, 0.47%, 0.0002514%), (T, 0, 0.47%, 0.0010367%), (NOW, 0, 0.47%, 0.0002476%), (MS, 0, 0.44%, 0.0001888%), (DE, 0, 0.44%, 0.0003474%), (AXP, 0, 0.44%, 0.0001963%), (MRK, 0, 0.43%, 0.0002066%), (SPGI, 0, 0.41%, 0.0002546%), (VZ, 0, 0.41%, 0.0002214%), (QCOM, 0, 0.41%, 0.0002376%), (ACN, 0, 0.40%, 0.0002508%), (TXN, 0, 0.39%, 0.0002317%), (BLK, 0, 0.39%, 0.0002286%), (MDT, 0, 0.38%, 0.0003249%), (ADBE, 0, 0.38%, 0.0002630%), (TMO, 0, 0.38%, 0.0002076%), (UNP, 0, 0.37%, 0.0002885%), (DIS, 0, 0.37%, 0.0001769%), (COP, 0, 0.37%, 0.0003217%), (C, 0, 0.36%, 0.0002058%), (LMT, 0, 0.36%, 0.0003366%), (SCHW, 0, 0.33%, 0.0002001%), (SBUX, 0, 0.33%, 0.0003398%), (MMM, 0, 0.31%, 0.0003784%), (AMGN, 0, 0.31%, 0.0002038%), (AMAT, 0, 0.31%, 0.0002388%), (CVS, 0, 0.30%, 0.0003221%), (GILD, 0, 0.29%, 0.0002048%), (TJX, 0, 0.29%, 0.0001885%), (PFE, 0, 0.28%, 0.0002034%), (LOW, 0, 0.28%, 0.0001881%), (EMR, 0, 0.28%, 0.0003738%), (MO, 0, 0.27%, 0.0002434%), (DHR, 0, 0.26%, 0.0001857%), (INTC, 0, 0.24%, 0.0002139%), (ELV, 0, 0.24%, 0.0003393%), (CMCSA, 0, 0.23%, 0.0001844%), (MDLZ, 0, 0.20%, 0.0002498%), (BMY, 0, 0.19%, 0.0002033%), (UPS, 0, 0.17%, 0.0002804%), (PYPL, 0, 0.17%, 0.0002604%), (USB, 0, 0.15%, 0.0002008%), (CL, 0, 0.15%, 0.0002224%), (FDX, 0, 0.14%, 0.0002687%), (TGT, 0, 0.08%, 0.0001910%), (nan, 0, -0.05%, 0.0000000%), (nan, 0, -0.08%, 0.0000000%)</t>
  </si>
  <si>
    <t>(AMZN, 0, 4.07%, 0.0000382%), (AVGO, 0, 3.51%, 0.0000535%), (META, 0, 2.88%, 0.0000412%), (BRK/B, 0, 2.24%, 0.0000757%), (CSCO, 0, 1.82%, 0.0001604%), (LIN, 0, 1.81%, 0.0001921%), (TSLA, 0, 1.78%, 0.0000361%), (JPM, 0, 1.67%, 0.0000481%), (AMT, 0, 1.55%, 0.0003888%), (XOM, 0, 1.50%, 0.0000751%), (V, 0, 1.45%, 0.0000579%), (CB, 0, 1.20%, 0.0002551%), (LLY, 0, 1.18%, 0.0000399%), (MA, 0, 1.17%, 0.0000524%), (GE, 0, 1.12%, 0.0000887%), (WM, 0, 1.07%, 0.0002792%), (UNH, 0, 0.94%, 0.0000774%), (ORCL, 0, 0.93%, 0.0000330%), (NFLX, 0, 0.93%, 0.0000415%), (JNJ, 0, 0.88%, 0.0000478%), (NEE, 0, 0.88%, 0.0001388%), (PG, 0, 0.83%, 0.0000519%), (WMT, 0, 0.82%, 0.0000240%), (CVX, 0, 0.80%, 0.0000594%), (COST, 0, 0.80%, 0.0000442%), (PLTR, 0, 0.79%, 0.0000528%), (RTX, 0, 0.78%, 0.0000859%), (HD, 0, 0.78%, 0.0000435%), (MCD, 0, 0.77%, 0.0000803%), (ABBV, 0, 0.77%, 0.0000478%), (CAT, 0, 0.76%, 0.0000892%), (ABT, 0, 0.76%, 0.0000760%), (BAC, 0, 0.67%, 0.0000423%), (KO, 0, 0.64%, 0.0000509%), (BA, 0, 0.64%, 0.0000851%), (BKNG, 0, 0.62%, 0.0000807%), (PM, 0, 0.61%, 0.0000565%), (SO, 0, 0.61%, 0.0001400%), (CRM, 0, 0.60%, 0.0000588%), (NKE, 0, 0.60%, 0.0001574%), (IBM, 0, 0.57%, 0.0000580%), (AMD, 0, 0.57%, 0.0000541%), (GS, 0, 0.57%, 0.0000597%), (DUK, 0, 0.56%, 0.0001396%), (UBER, 0, 0.55%, 0.0000668%), (ISRG, 0, 0.54%, 0.0000764%), (MET, 0, 0.53%, 0.0002343%), (WFC, 0, 0.53%, 0.0000488%), (HON, 0, 0.52%, 0.0000887%), (ETN, 0, 0.51%, 0.0000878%), (PEP, 0, 0.49%, 0.0000567%), (NOW, 0, 0.48%, 0.0000582%), (T, 0, 0.47%, 0.0002430%), (INTU, 0, 0.47%, 0.0000588%), (MS, 0, 0.45%, 0.0000443%), (DE, 0, 0.45%, 0.0000814%), (AXP, 0, 0.44%, 0.0000460%), (MRK, 0, 0.44%, 0.0000484%), (SPGI, 0, 0.42%, 0.0000598%), (VZ, 0, 0.42%, 0.0000519%), (QCOM, 0, 0.41%, 0.0000557%), (ACN, 0, 0.40%, 0.0000588%), (TXN, 0, 0.40%, 0.0000543%), (BLK, 0, 0.39%, 0.0000536%), (MDT, 0, 0.39%, 0.0000762%), (ADBE, 0, 0.39%, 0.0000616%), (TMO, 0, 0.39%, 0.0000487%), (UNP, 0, 0.38%, 0.0000676%), (DIS, 0, 0.38%, 0.0000415%), (COP, 0, 0.38%, 0.0000754%), (C, 0, 0.36%, 0.0000482%), (LMT, 0, 0.36%, 0.0000791%), (SCHW, 0, 0.34%, 0.0000469%), (SBUX, 0, 0.33%, 0.0000797%), (MMM, 0, 0.31%, 0.0000887%), (AMGN, 0, 0.31%, 0.0000477%), (AMAT, 0, 0.31%, 0.0000560%), (CVS, 0, 0.30%, 0.0000755%), (GILD, 0, 0.29%, 0.0000480%), (TJX, 0, 0.29%, 0.0000442%), (PFE, 0, 0.29%, 0.0000477%), (LOW, 0, 0.28%, 0.0000440%), (EMR, 0, 0.28%, 0.0000876%), (MO, 0, 0.27%, 0.0000571%), (DHR, 0, 0.26%, 0.0000435%), (INTC, 0, 0.25%, 0.0000502%), (ELV, 0, 0.24%, 0.0000796%), (CMCSA, 0, 0.23%, 0.0000432%), (MDLZ, 0, 0.20%, 0.0000586%), (BMY, 0, 0.20%, 0.0000476%), (UPS, 0, 0.18%, 0.0000658%), (PYPL, 0, 0.17%, 0.0000610%), (USB, 0, 0.15%, 0.0000471%), (CL, 0, 0.15%, 0.0000521%), (FDX, 0, 0.15%, 0.0000631%), (TGT, 0, 0.08%, 0.0000447%), (nan, 0, -0.05%, 0.0000000%), (nan, 0, -0.08%, 0.0000000%)</t>
  </si>
  <si>
    <t>(AMZN, 0, 3.86%, 0.0000671%), (AVGO, 0, 3.35%, 0.0000940%), (META, 0, 2.74%, 0.0000724%), (BRK/B, 0, 2.13%, 0.0001331%), (CSCO, 0, 1.73%, 0.0002818%), (LIN, 0, 1.72%, 0.0003375%), (TSLA, 0, 1.69%, 0.0000635%), (JPM, 0, 1.59%, 0.0000845%), (AMT, 0, 1.47%, 0.0006831%), (XOM, 0, 1.43%, 0.0001319%), (V, 0, 1.38%, 0.0001018%), (CB, 0, 1.14%, 0.0004485%), (LLY, 0, 1.12%, 0.0000700%), (MA, 0, 1.11%, 0.0000921%), (GE, 0, 1.06%, 0.0001560%), (WM, 0, 1.01%, 0.0004907%), (UNH, 0, 0.90%, 0.0001360%), (ORCL, 0, 0.89%, 0.0000581%), (NFLX, 0, 0.88%, 0.0000729%), (JNJ, 0, 0.84%, 0.0000840%), (NEE, 0, 0.84%, 0.0002438%), (PG, 0, 0.79%, 0.0000911%), (WMT, 0, 0.78%, 0.0000423%), (COST, 0, 0.76%, 0.0000776%), (CVX, 0, 0.76%, 0.0001045%), (PLTR, 0, 0.75%, 0.0000928%), (RTX, 0, 0.74%, 0.0001510%), (HD, 0, 0.74%, 0.0000765%), (MCD, 0, 0.73%, 0.0001410%), (ABBV, 0, 0.73%, 0.0000841%), (CAT, 0, 0.72%, 0.0001567%), (ABT, 0, 0.72%, 0.0001335%), (BAC, 0, 0.64%, 0.0000744%), (KO, 0, 0.61%, 0.0000895%), (BA, 0, 0.61%, 0.0001496%), (BKNG, 0, 0.59%, 0.0001427%), (PM, 0, 0.58%, 0.0000992%), (SO, 0, 0.58%, 0.0002460%), (CRM, 0, 0.57%, 0.0001035%), (NKE, 0, 0.56%, 0.0002765%), (IBM, 0, 0.55%, 0.0001018%), (AMD, 0, 0.54%, 0.0000951%), (GS, 0, 0.54%, 0.0001047%), (DUK, 0, 0.53%, 0.0002456%), (UBER, 0, 0.52%, 0.0001174%), (ISRG, 0, 0.52%, 0.0001346%), (MET, 0, 0.51%, 0.0004117%), (WFC, 0, 0.50%, 0.0000858%), (HON, 0, 0.49%, 0.0001558%), (ETN, 0, 0.49%, 0.0001544%), (PEP, 0, 0.46%, 0.0000997%), (INTU, 0, 0.45%, 0.0001037%), (T, 0, 0.45%, 0.0004271%), (NOW, 0, 0.45%, 0.0001019%), (MS, 0, 0.43%, 0.0000778%), (DE, 0, 0.43%, 0.0001432%), (AXP, 0, 0.42%, 0.0000809%), (MRK, 0, 0.42%, 0.0000851%), (SPGI, 0, 0.40%, 0.0001050%), (VZ, 0, 0.40%, 0.0000912%), (QCOM, 0, 0.39%, 0.0000979%), (ACN, 0, 0.38%, 0.0001034%), (TXN, 0, 0.38%, 0.0000954%), (BLK, 0, 0.37%, 0.0000943%), (MDT, 0, 0.37%, 0.0001339%), (TMO, 0, 0.37%, 0.0000857%), (ADBE, 0, 0.37%, 0.0001082%), (UNP, 0, 0.36%, 0.0001189%), (DIS, 0, 0.36%, 0.0000729%), (COP, 0, 0.36%, 0.0001325%), (C, 0, 0.35%, 0.0000848%), (LMT, 0, 0.34%, 0.0001387%), (SCHW, 0, 0.32%, 0.0000825%), (SBUX, 0, 0.32%, 0.0001401%), (MMM, 0, 0.30%, 0.0001559%), (AMGN, 0, 0.30%, 0.0000840%), (AMAT, 0, 0.29%, 0.0000984%), (CVS, 0, 0.29%, 0.0001327%), (TJX, 0, 0.28%, 0.0000777%), (GILD, 0, 0.28%, 0.0000844%), (PFE, 0, 0.27%, 0.0000838%), (LOW, 0, 0.27%, 0.0000776%), (EMR, 0, 0.27%, 0.0001541%), (MO, 0, 0.26%, 0.0001003%), (DHR, 0, 0.25%, 0.0000764%), (INTC, 0, 0.23%, 0.0000881%), (ELV, 0, 0.23%, 0.0001395%), (CMCSA, 0, 0.22%, 0.0000760%), (MDLZ, 0, 0.19%, 0.0001029%), (BMY, 0, 0.19%, 0.0000838%), (UPS, 0, 0.17%, 0.0001155%), (PYPL, 0, 0.16%, 0.0001073%), (USB, 0, 0.15%, 0.0000827%), (CL, 0, 0.15%, 0.0000917%), (FDX, 0, 0.14%, 0.0001106%), (TGT, 0, 0.08%, 0.0000788%), (nan, 0, -0.04%, 0.0000000%), (nan, 0, -0.06%, 0.0000000%)</t>
  </si>
  <si>
    <t>(AMZN, 0, 3.94%, 0.0000242%), (AVGO, 0, 3.43%, 0.0000340%), (META, 0, 2.79%, 0.0000262%), (BRK/B, 0, 2.17%, 0.0000481%), (CSCO, 0, 1.77%, 0.0001018%), (LIN, 0, 1.75%, 0.0001219%), (TSLA, 0, 1.73%, 0.0000229%), (JPM, 0, 1.62%, 0.0000305%), (AMT, 0, 1.50%, 0.0002467%), (XOM, 0, 1.46%, 0.0000477%), (V, 0, 1.41%, 0.0000368%), (CB, 0, 1.16%, 0.0001621%), (LLY, 0, 1.14%, 0.0000253%), (MA, 0, 1.13%, 0.0000332%), (GE, 0, 1.08%, 0.0000564%), (WM, 0, 1.03%, 0.0001772%), (UNH, 0, 0.92%, 0.0000491%), (NFLX, 0, 0.91%, 0.0000264%), (ORCL, 0, 0.90%, 0.0000210%), (JNJ, 0, 0.85%, 0.0000303%), (NEE, 0, 0.85%, 0.0000881%), (PG, 0, 0.80%, 0.0000329%), (WMT, 0, 0.80%, 0.0000153%), (COST, 0, 0.78%, 0.0000280%), (CVX, 0, 0.78%, 0.0000378%), (PLTR, 0, 0.77%, 0.0000335%), (RTX, 0, 0.76%, 0.0000545%), (MCD, 0, 0.75%, 0.0000510%), (HD, 0, 0.75%, 0.0000276%), (ABBV, 0, 0.75%, 0.0000304%), (CAT, 0, 0.73%, 0.0000566%), (ABT, 0, 0.73%, 0.0000482%), (BAC, 0, 0.65%, 0.0000269%), (KO, 0, 0.62%, 0.0000323%), (BA, 0, 0.62%, 0.0000541%), (BKNG, 0, 0.61%, 0.0000527%), (PM, 0, 0.59%, 0.0000358%), (SO, 0, 0.59%, 0.0000889%), (CRM, 0, 0.59%, 0.0000374%), (NKE, 0, 0.58%, 0.0000999%), (IBM, 0, 0.56%, 0.0000368%), (AMD, 0, 0.55%, 0.0000343%), (GS, 0, 0.55%, 0.0000380%), (DUK, 0, 0.55%, 0.0000887%), (UBER, 0, 0.53%, 0.0000424%), (ISRG, 0, 0.53%, 0.0000485%), (MET, 0, 0.52%, 0.0001487%), (WFC, 0, 0.51%, 0.0000310%), (HON, 0, 0.50%, 0.0000562%), (ETN, 0, 0.50%, 0.0000557%), (PEP, 0, 0.47%, 0.0000360%), (NOW, 0, 0.46%, 0.0000370%), (T, 0, 0.46%, 0.0001543%), (INTU, 0, 0.46%, 0.0000373%), (MS, 0, 0.44%, 0.0000281%), (DE, 0, 0.43%, 0.0000518%), (AXP, 0, 0.43%, 0.0000292%), (MRK, 0, 0.43%, 0.0000307%), (SPGI, 0, 0.41%, 0.0000380%), (VZ, 0, 0.40%, 0.0000330%), (QCOM, 0, 0.40%, 0.0000354%), (ACN, 0, 0.39%, 0.0000374%), (TXN, 0, 0.39%, 0.0000344%), (BLK, 0, 0.38%, 0.0000342%), (MDT, 0, 0.38%, 0.0000483%), (ADBE, 0, 0.38%, 0.0000392%), (TMO, 0, 0.38%, 0.0000309%), (UNP, 0, 0.37%, 0.0000430%), (DIS, 0, 0.37%, 0.0000263%), (COP, 0, 0.36%, 0.0000479%), (LMT, 0, 0.35%, 0.0000501%), (C, 0, 0.35%, 0.0000306%), (SCHW, 0, 0.33%, 0.0000298%), (SBUX, 0, 0.32%, 0.0000506%), (MMM, 0, 0.30%, 0.0000563%), (AMGN, 0, 0.30%, 0.0000303%), (AMAT, 0, 0.30%, 0.0000355%), (CVS, 0, 0.29%, 0.0000480%), (GILD, 0, 0.28%, 0.0000304%), (TJX, 0, 0.28%, 0.0000280%), (PFE, 0, 0.28%, 0.0000303%), (LOW, 0, 0.28%, 0.0000280%), (EMR, 0, 0.27%, 0.0000556%), (MO, 0, 0.27%, 0.0000362%), (DHR, 0, 0.26%, 0.0000276%), (INTC, 0, 0.24%, 0.0000318%), (ELV, 0, 0.23%, 0.0000504%), (CMCSA, 0, 0.22%, 0.0000275%), (MDLZ, 0, 0.19%, 0.0000372%), (BMY, 0, 0.19%, 0.0000303%), (UPS, 0, 0.17%, 0.0000417%), (PYPL, 0, 0.16%, 0.0000388%), (USB, 0, 0.15%, 0.0000299%), (CL, 0, 0.15%, 0.0000331%), (FDX, 0, 0.14%, 0.0000398%), (TGT, 0, 0.08%, 0.0000284%), (nan, 0, -0.04%, 0.0000000%), (nan, 0, -0.06%, 0.0000000%)</t>
  </si>
  <si>
    <t>(AMZN, 0, 4.18%, 0.0000579%), (AVGO, 0, 3.60%, 0.0000812%), (META, 0, 2.97%, 0.0000625%), (BRK/B, 0, 2.31%, 0.0001149%), (CSCO, 0, 1.88%, 0.0002433%), (LIN, 0, 1.86%, 0.0002915%), (TSLA, 0, 1.83%, 0.0000548%), (JPM, 0, 1.72%, 0.0000730%), (AMT, 0, 1.60%, 0.0005898%), (XOM, 0, 1.55%, 0.0001139%), (V, 0, 1.49%, 0.0000880%), (CB, 0, 1.23%, 0.0003872%), (LLY, 0, 1.21%, 0.0000605%), (MA, 0, 1.21%, 0.0000794%), (GE, 0, 1.15%, 0.0001347%), (WM, 0, 1.09%, 0.0004237%), (UNH, 0, 0.97%, 0.0001175%), (ORCL, 0, 0.96%, 0.0000501%), (NFLX, 0, 0.96%, 0.0000630%), (JNJ, 0, 0.91%, 0.0000725%), (NEE, 0, 0.91%, 0.0002105%), (PG, 0, 0.85%, 0.0000787%), (WMT, 0, 0.84%, 0.0000365%), (COST, 0, 0.83%, 0.0000670%), (CVX, 0, 0.83%, 0.0000902%), (PLTR, 0, 0.81%, 0.0000802%), (RTX, 0, 0.80%, 0.0001303%), (HD, 0, 0.80%, 0.0000660%), (MCD, 0, 0.79%, 0.0001218%), (ABBV, 0, 0.79%, 0.0000726%), (CAT, 0, 0.78%, 0.0001353%), (ABT, 0, 0.78%, 0.0001152%), (BAC, 0, 0.69%, 0.0000642%), (KO, 0, 0.66%, 0.0000773%), (BA, 0, 0.66%, 0.0001291%), (BKNG, 0, 0.64%, 0.0001241%), (PM, 0, 0.63%, 0.0000856%), (SO, 0, 0.62%, 0.0002123%), (CRM, 0, 0.62%, 0.0000893%), (NKE, 0, 0.61%, 0.0002388%), (IBM, 0, 0.59%, 0.0000879%), (AMD, 0, 0.59%, 0.0000821%), (GS, 0, 0.58%, 0.0000904%), (DUK, 0, 0.58%, 0.0002120%), (UBER, 0, 0.56%, 0.0001014%), (ISRG, 0, 0.56%, 0.0001162%), (MET, 0, 0.55%, 0.0003555%), (WFC, 0, 0.55%, 0.0000740%), (HON, 0, 0.53%, 0.0001345%), (ETN, 0, 0.53%, 0.0001333%), (PEP, 0, 0.50%, 0.0000860%), (T, 0, 0.49%, 0.0003688%), (INTU, 0, 0.49%, 0.0000893%), (NOW, 0, 0.49%, 0.0000880%), (MS, 0, 0.46%, 0.0000672%), (DE, 0, 0.46%, 0.0001236%), (AXP, 0, 0.46%, 0.0000698%), (MRK, 0, 0.45%, 0.0000735%), (SPGI, 0, 0.43%, 0.0000905%), (VZ, 0, 0.43%, 0.0000788%), (QCOM, 0, 0.42%, 0.0000845%), (ACN, 0, 0.41%, 0.0000893%), (TXN, 0, 0.41%, 0.0000824%), (BLK, 0, 0.40%, 0.0000814%), (MDT, 0, 0.40%, 0.0001155%), (TMO, 0, 0.40%, 0.0000740%), (ADBE, 0, 0.40%, 0.0000934%), (UNP, 0, 0.39%, 0.0001027%), (DIS, 0, 0.39%, 0.0000629%), (COP, 0, 0.39%, 0.0001144%), (C, 0, 0.37%, 0.0000732%), (LMT, 0, 0.37%, 0.0001197%), (SCHW, 0, 0.35%, 0.0000712%), (SBUX, 0, 0.34%, 0.0001209%), (MMM, 0, 0.32%, 0.0001346%), (AMGN, 0, 0.32%, 0.0000724%), (AMAT, 0, 0.32%, 0.0000850%), (CVS, 0, 0.31%, 0.0001145%), (TJX, 0, 0.30%, 0.0000670%), (GILD, 0, 0.30%, 0.0000728%), (PFE, 0, 0.30%, 0.0000723%), (LOW, 0, 0.29%, 0.0000669%), (EMR, 0, 0.29%, 0.0001329%), (MO, 0, 0.28%, 0.0000866%), (DHR, 0, 0.27%, 0.0000661%), (INTC, 0, 0.25%, 0.0000761%), (ELV, 0, 0.25%, 0.0001206%), (CMCSA, 0, 0.24%, 0.0000656%), (MDLZ, 0, 0.21%, 0.0000889%), (BMY, 0, 0.20%, 0.0000723%), (UPS, 0, 0.18%, 0.0000997%), (PYPL, 0, 0.17%, 0.0000926%), (USB, 0, 0.16%, 0.0000715%), (CL, 0, 0.16%, 0.0000791%), (FDX, 0, 0.15%, 0.0000958%), (TGT, 0, 0.08%, 0.0000680%), (nan, 0, -0.06%, 0.0000000%), (nan, 0, -0.08%, 0.0000000%)</t>
  </si>
  <si>
    <t>EBAY, GOOGLE, BK, META, MLI, PHM, JPM, MSFT, EA, EWBC, BKNG</t>
  </si>
  <si>
    <t>(RJF, 0, 1.93%, 0.0032134%), (BLK, 0, 1.93%, 0.0006219%), (AXP, 0, 1.92%, 0.0004695%), (HIG, 0, 1.84%, 0.0027551%), (TRV, 0, 1.83%, 0.0016354%), (V, 0, 1.79%, 0.0001688%), (ROST, 0, 1.75%, 0.0019642%), (LEN, 0, 1.75%, 0.0030241%), (UNM, 0, 1.73%, 0.0075731%), (SNA, 0, 1.71%, 0.0054973%), (KLAC, 0, 1.67%, 0.0007717%), (ADP, 0, 1.65%, 0.0007573%), (SYF, 0, 1.65%, 0.0033243%), (PCAR, 0, 1.63%, 0.0017264%), (CB, 0, 1.63%, 0.0008220%), (NVDA, 0, 1.63%, 0.0000220%), (AMAT, 0, 1.63%, 0.0006895%), (CTSH, 0, 1.51%, 0.0024009%), (CRM, 0, 1.50%, 0.0003451%), (WSM, 0, 1.49%, 0.0033287%), (DHI, 0, 1.49%, 0.0015275%), (PAYC, 0, 1.43%, 0.0060612%), (BKR, 0, 1.41%, 0.0017282%), (QCOM, 0, 1.35%, 0.0004286%), (AAPL, 0, 1.30%, 0.0000202%), (ACN, 0, 1.27%, 0.0004386%), (ELV, 0, 1.25%, 0.0009881%), (AFL, 0, 1.23%, 0.0011843%), (MPWR, 0, 1.15%, 0.0015284%), (LRCX, 0, 1.11%, 0.0004703%), (ODFL, 0, 1.08%, 0.0018695%), (GE, 0, 1.05%, 0.0001962%), (CSCO, 0, 1.04%, 0.0002170%), (STT, 0, 0.98%, 0.0017024%), (PNC, 0, 0.95%, 0.0006465%), (MTB, 0, 0.92%, 0.0016462%), (CF, 0, 0.84%, 0.0033549%), (COST, 0, 0.83%, 0.0001074%), (ABT, 0, 0.83%, 0.0001969%), (AMP, 0, 0.82%, 0.0009967%), (XOM, 0, 0.79%, 0.0000934%), (CSL, 0, 0.77%, 0.0025511%), (EOG, 0, 0.77%, 0.0006559%), (EG, 0, 0.75%, 0.0028690%), (GEV, 0, 0.51%, 0.0001788%), (NTRS, 0, 0.51%, 0.0011670%), (MA, 0, 0.49%, 0.0000516%), (ACM, 0, 0.48%, 0.0015765%), (JNJ, 0, 0.48%, 0.0000613%), (CRBG, 0, 0.46%, 0.0014077%), (LNC, 0, 0.46%, 0.0031779%), (WTFC, 0, 0.45%, 0.0026556%), (MTG, 0, 0.45%, 0.0038759%), (JXN, 0, 0.43%, 0.0035764%), (CINF, 0, 0.43%, 0.0009839%), (ADM, 0, 0.42%, 0.0007649%), (DOV, 0, 0.42%, 0.0009406%), (EQH, 0, 0.42%, 0.0014285%), (SLM, 0, 0.40%, 0.0034900%), (ALL, 0, 0.40%, 0.0004148%), (MCK, 0, 0.40%, 0.0002565%), (NUE, 0, 0.40%, 0.0006430%), (NKE, 0, 0.36%, 0.0002262%), (PGR, 0, 0.36%, 0.0001373%), (FANG, 0, 0.29%, 0.0003969%)</t>
  </si>
  <si>
    <t>(AMZN, 0, 3.82%, 0.0000617%), (AVGO, 0, 3.32%, 0.0000865%), (META, 0, 2.71%, 0.0000666%), (BRK/B, 0, 2.11%, 0.0001224%), (CSCO, 0, 1.71%, 0.0002592%), (LIN, 0, 1.70%, 0.0003105%), (TSLA, 0, 1.68%, 0.0000584%), (JPM, 0, 1.57%, 0.0000777%), (AMT, 0, 1.46%, 0.0006282%), (XOM, 0, 1.41%, 0.0001213%), (V, 0, 1.36%, 0.0000937%), (CB, 0, 1.12%, 0.0004124%), (LLY, 0, 1.11%, 0.0000644%), (MA, 0, 1.10%, 0.0000847%), (GE, 0, 1.05%, 0.0001434%), (WM, 0, 1.00%, 0.0004513%), (UNH, 0, 0.89%, 0.0001251%), (ORCL, 0, 0.88%, 0.0000534%), (NFLX, 0, 0.87%, 0.0000670%), (JNJ, 0, 0.83%, 0.0000772%), (NEE, 0, 0.83%, 0.0002242%), (PG, 0, 0.78%, 0.0000838%), (WMT, 0, 0.77%, 0.0000389%), (COST, 0, 0.76%, 0.0000713%), (CVX, 0, 0.75%, 0.0000961%), (PLTR, 0, 0.74%, 0.0000854%), (RTX, 0, 0.73%, 0.0001388%), (HD, 0, 0.73%, 0.0000703%), (MCD, 0, 0.73%, 0.0001296%), (ABBV, 0, 0.72%, 0.0000773%), (CAT, 0, 0.71%, 0.0001441%), (ABT, 0, 0.71%, 0.0001228%), (BAC, 0, 0.63%, 0.0000684%), (KO, 0, 0.60%, 0.0000823%), (BA, 0, 0.60%, 0.0001375%), (BKNG, 0, 0.59%, 0.0001334%), (PM, 0, 0.57%, 0.0000912%), (SO, 0, 0.57%, 0.0002261%), (CRM, 0, 0.57%, 0.0000952%), (NKE, 0, 0.56%, 0.0002543%), (IBM, 0, 0.54%, 0.0000937%), (AMD, 0, 0.54%, 0.0000874%), (GS, 0, 0.53%, 0.0000964%), (DUK, 0, 0.53%, 0.0002257%), (UBER, 0, 0.51%, 0.0001080%), (ISRG, 0, 0.51%, 0.0001236%), (MET, 0, 0.50%, 0.0003786%), (WFC, 0, 0.50%, 0.0000789%), (HON, 0, 0.49%, 0.0001432%), (ETN, 0, 0.48%, 0.0001420%), (PEP, 0, 0.46%, 0.0000916%), (INTU, 0, 0.45%, 0.0000954%), (T, 0, 0.45%, 0.0003928%), (NOW, 0, 0.44%, 0.0000938%), (MS, 0, 0.42%, 0.0000715%), (DE, 0, 0.42%, 0.0001317%), (AXP, 0, 0.42%, 0.0000743%), (MRK, 0, 0.41%, 0.0000783%), (SPGI, 0, 0.39%, 0.0000964%), (VZ, 0, 0.39%, 0.0000839%), (QCOM, 0, 0.39%, 0.0000900%), (ACN, 0, 0.38%, 0.0000950%), (TXN, 0, 0.37%, 0.0000878%), (BLK, 0, 0.37%, 0.0000865%), (MDT, 0, 0.37%, 0.0001231%), (TMO, 0, 0.36%, 0.0000788%), (ADBE, 0, 0.36%, 0.0000996%), (UNP, 0, 0.36%, 0.0001092%), (DIS, 0, 0.35%, 0.0000670%), (COP, 0, 0.35%, 0.0001219%), (C, 0, 0.34%, 0.0000780%), (LMT, 0, 0.34%, 0.0001275%), (SCHW, 0, 0.32%, 0.0000758%), (SBUX, 0, 0.31%, 0.0001288%), (MMM, 0, 0.30%, 0.0001433%), (AMGN, 0, 0.29%, 0.0000773%), (AMAT, 0, 0.29%, 0.0000905%), (CVS, 0, 0.28%, 0.0001220%), (TJX, 0, 0.28%, 0.0000714%), (GILD, 0, 0.28%, 0.0000775%), (PFE, 0, 0.27%, 0.0000771%), (LOW, 0, 0.27%, 0.0000713%), (EMR, 0, 0.26%, 0.0001416%), (MO, 0, 0.26%, 0.0000922%), (DHR, 0, 0.25%, 0.0000704%), (INTC, 0, 0.23%, 0.0000811%), (ELV, 0, 0.22%, 0.0001287%), (CMCSA, 0, 0.22%, 0.0000699%), (MDLZ, 0, 0.19%, 0.0000946%), (BMY, 0, 0.18%, 0.0000770%), (UPS, 0, 0.17%, 0.0001062%), (PYPL, 0, 0.16%, 0.0000986%), (USB, 0, 0.14%, 0.0000761%), (CL, 0, 0.14%, 0.0000842%), (FDX, 0, 0.14%, 0.0001017%), (TGT, 0, 0.08%, 0.0000724%), (nan, 0, -0.04%, 0.0000000%), (nan, 0, -0.06%, 0.0000000%)</t>
  </si>
  <si>
    <t>(AMZN, 0, 4.00%, 0.0001262%), (AVGO, 0, 3.48%, 0.0001768%), (META, 0, 2.84%, 0.0001362%), (BRK/B, 0, 2.21%, 0.0002503%), (CSCO, 0, 1.79%, 0.0005300%), (LIN, 0, 1.78%, 0.0006348%), (TSLA, 0, 1.76%, 0.0001193%), (JPM, 0, 1.65%, 0.0001589%), (AMT, 0, 1.53%, 0.0012846%), (XOM, 0, 1.48%, 0.0002481%), (V, 0, 1.43%, 0.0001915%), (CB, 0, 1.18%, 0.0008433%), (LLY, 0, 1.16%, 0.0001318%), (MA, 0, 1.15%, 0.0001731%), (GE, 0, 1.10%, 0.0002934%), (WM, 0, 1.05%, 0.0009229%), (UNH, 0, 0.93%, 0.0002558%), (ORCL, 0, 0.92%, 0.0001092%), (NFLX, 0, 0.92%, 0.0001374%), (JNJ, 0, 0.87%, 0.0001580%), (NEE, 0, 0.87%, 0.0004586%), (PG, 0, 0.82%, 0.0001714%), (WMT, 0, 0.81%, 0.0000795%), (COST, 0, 0.79%, 0.0001460%), (CVX, 0, 0.79%, 0.0001964%), (PLTR, 0, 0.78%, 0.0001746%), (RTX, 0, 0.77%, 0.0002839%), (HD, 0, 0.76%, 0.0001439%), (MCD, 0, 0.76%, 0.0002651%), (ABBV, 0, 0.76%, 0.0001582%), (CAT, 0, 0.75%, 0.0002948%), (ABT, 0, 0.74%, 0.0002511%), (BAC, 0, 0.66%, 0.0001399%), (KO, 0, 0.63%, 0.0001683%), (BA, 0, 0.63%, 0.0002813%), (BKNG, 0, 0.61%, 0.0002699%), (PM, 0, 0.60%, 0.0001866%), (SO, 0, 0.60%, 0.0004626%), (CRM, 0, 0.59%, 0.0001945%), (NKE, 0, 0.59%, 0.0005201%), (IBM, 0, 0.57%, 0.0001916%), (AMD, 0, 0.56%, 0.0001788%), (GS, 0, 0.56%, 0.0001970%), (DUK, 0, 0.55%, 0.0004618%), (UBER, 0, 0.54%, 0.0002208%), (ISRG, 0, 0.54%, 0.0002530%), (MET, 0, 0.52%, 0.0007744%), (WFC, 0, 0.52%, 0.0001613%), (HON, 0, 0.51%, 0.0002928%), (ETN, 0, 0.50%, 0.0002903%), (PEP, 0, 0.48%, 0.0001874%), (INTU, 0, 0.47%, 0.0001948%), (T, 0, 0.47%, 0.0008033%), (NOW, 0, 0.47%, 0.0001918%), (MS, 0, 0.44%, 0.0001463%), (DE, 0, 0.44%, 0.0002693%), (AXP, 0, 0.44%, 0.0001521%), (MRK, 0, 0.43%, 0.0001601%), (SPGI, 0, 0.41%, 0.0001975%), (VZ, 0, 0.41%, 0.0001716%), (QCOM, 0, 0.41%, 0.0001841%), (ACN, 0, 0.39%, 0.0001943%), (TXN, 0, 0.39%, 0.0001795%), (BLK, 0, 0.38%, 0.0001769%), (MDT, 0, 0.38%, 0.0002517%), (ADBE, 0, 0.38%, 0.0002038%), (TMO, 0, 0.38%, 0.0001610%), (UNP, 0, 0.37%, 0.0002235%), (DIS, 0, 0.37%, 0.0001370%), (COP, 0, 0.37%, 0.0002493%), (C, 0, 0.36%, 0.0001594%), (LMT, 0, 0.36%, 0.0002606%), (SCHW, 0, 0.33%, 0.0001550%), (SBUX, 0, 0.33%, 0.0002633%), (MMM, 0, 0.31%, 0.0002931%), (AMGN, 0, 0.31%, 0.0001579%), (AMAT, 0, 0.31%, 0.0001850%), (CVS, 0, 0.30%, 0.0002496%), (TJX, 0, 0.29%, 0.0001461%), (GILD, 0, 0.29%, 0.0001586%), (PFE, 0, 0.28%, 0.0001576%), (LOW, 0, 0.28%, 0.0001459%), (EMR, 0, 0.28%, 0.0002896%), (MO, 0, 0.27%, 0.0001885%), (DHR, 0, 0.26%, 0.0001438%), (INTC, 0, 0.24%, 0.0001658%), (ELV, 0, 0.23%, 0.0002628%), (CMCSA, 0, 0.23%, 0.0001429%), (MDLZ, 0, 0.20%, 0.0001935%), (BMY, 0, 0.19%, 0.0001575%), (UPS, 0, 0.17%, 0.0002172%), (PYPL, 0, 0.16%, 0.0002017%), (USB, 0, 0.15%, 0.0001556%), (CL, 0, 0.15%, 0.0001723%), (FDX, 0, 0.14%, 0.0002081%), (TGT, 0, 0.08%, 0.0001479%), (nan, 0, -0.04%, 0.0000000%), (nan, 0, -0.06%, 0.0000000%)</t>
  </si>
  <si>
    <t>(AMZN, 0, 3.77%, 0.0002524%), (AVGO, 0, 3.25%, 0.0003537%), (META, 0, 2.67%, 0.0002725%), (BRK/B, 0, 2.08%, 0.0005007%), (CSCO, 0, 1.69%, 0.0010603%), (LIN, 0, 1.68%, 0.0012699%), (TSLA, 0, 1.65%, 0.0002387%), (JPM, 0, 1.55%, 0.0003179%), (AMT, 0, 1.44%, 0.0025699%), (XOM, 0, 1.39%, 0.0004963%), (V, 0, 1.35%, 0.0003831%), (CB, 0, 1.11%, 0.0016872%), (LLY, 0, 1.09%, 0.0002636%), (MA, 0, 1.09%, 0.0003464%), (GE, 0, 1.04%, 0.0005869%), (WM, 0, 0.99%, 0.0018460%), (UNH, 0, 0.87%, 0.0005117%), (ORCL, 0, 0.86%, 0.0002185%), (NFLX, 0, 0.86%, 0.0002745%), (JNJ, 0, 0.82%, 0.0003160%), (NEE, 0, 0.82%, 0.0009174%), (PG, 0, 0.77%, 0.0003428%), (WMT, 0, 0.76%, 0.0001590%), (COST, 0, 0.75%, 0.0002920%), (CVX, 0, 0.75%, 0.0003930%), (PLTR, 0, 0.73%, 0.0003493%), (RTX, 0, 0.72%, 0.0005679%), (HD, 0, 0.72%, 0.0002877%), (MCD, 0, 0.72%, 0.0005305%), (ABBV, 0, 0.71%, 0.0003164%), (CAT, 0, 0.70%, 0.0005896%), (ABT, 0, 0.70%, 0.0005023%), (BAC, 0, 0.62%, 0.0002798%), (KO, 0, 0.59%, 0.0003368%), (BA, 0, 0.59%, 0.0005626%), (BKNG, 0, 0.58%, 0.0005429%), (PM, 0, 0.57%, 0.0003732%), (SO, 0, 0.56%, 0.0009253%), (CRM, 0, 0.56%, 0.0003892%), (NKE, 0, 0.55%, 0.0010405%), (IBM, 0, 0.53%, 0.0003833%), (AMD, 0, 0.53%, 0.0003576%), (GS, 0, 0.53%, 0.0003941%), (DUK, 0, 0.52%, 0.0009237%), (UBER, 0, 0.51%, 0.0004417%), (ISRG, 0, 0.51%, 0.0005061%), (MET, 0, 0.49%, 0.0015491%), (WFC, 0, 0.49%, 0.0003227%), (HON, 0, 0.48%, 0.0005859%), (ETN, 0, 0.48%, 0.0005808%), (PEP, 0, 0.45%, 0.0003749%), (INTU, 0, 0.44%, 0.0003895%), (T, 0, 0.44%, 0.0016068%), (NOW, 0, 0.44%, 0.0003837%), (MS, 0, 0.42%, 0.0002927%), (DE, 0, 0.42%, 0.0005386%), (AXP, 0, 0.41%, 0.0003043%), (MRK, 0, 0.41%, 0.0003203%), (SPGI, 0, 0.39%, 0.0003950%), (VZ, 0, 0.39%, 0.0003432%), (QCOM, 0, 0.38%, 0.0003682%), (ACN, 0, 0.37%, 0.0003887%), (TXN, 0, 0.37%, 0.0003590%), (BLK, 0, 0.36%, 0.0003539%), (MDT, 0, 0.36%, 0.0005035%), (ADBE, 0, 0.36%, 0.0004075%), (TMO, 0, 0.36%, 0.0003221%), (UNP, 0, 0.35%, 0.0004471%), (DIS, 0, 0.35%, 0.0002741%), (COP, 0, 0.35%, 0.0004987%), (C, 0, 0.34%, 0.0003190%), (LMT, 0, 0.34%, 0.0005216%), (SCHW, 0, 0.31%, 0.0003102%), (SBUX, 0, 0.31%, 0.0005268%), (MMM, 0, 0.29%, 0.0005864%), (AMGN, 0, 0.29%, 0.0003158%), (AMAT, 0, 0.29%, 0.0003701%), (CVS, 0, 0.28%, 0.0004992%), (TJX, 0, 0.27%, 0.0002923%), (GILD, 0, 0.27%, 0.0003173%), (PFE, 0, 0.27%, 0.0003152%), (LOW, 0, 0.26%, 0.0002917%), (EMR, 0, 0.26%, 0.0005796%), (MO, 0, 0.25%, 0.0003772%), (DHR, 0, 0.25%, 0.0002878%), (INTC, 0, 0.23%, 0.0003316%), (ELV, 0, 0.22%, 0.0005256%), (CMCSA, 0, 0.21%, 0.0002859%), (MDLZ, 0, 0.18%, 0.0003872%), (BMY, 0, 0.18%, 0.0003151%), (UPS, 0, 0.16%, 0.0004346%), (PYPL, 0, 0.16%, 0.0004036%), (USB, 0, 0.14%, 0.0003113%), (CL, 0, 0.14%, 0.0003448%), (FDX, 0, 0.14%, 0.0004166%), (TGT, 0, 0.08%, 0.0002960%), (nan, 0, -0.05%, 0.0000000%), (nan, 0, -0.07%, 0.0000000%)</t>
  </si>
  <si>
    <t>NVDA, MSFT, AAPL, GOOGLE, AMZN</t>
  </si>
  <si>
    <t>(AVGO, 0, 3.36%, 0.0000510%), (META, 0, 2.61%, 0.0000393%), (BRK/B, 0, 2.00%, 0.0000723%), (LIN, 0, 1.65%, 0.0001831%), (CSCO, 0, 1.64%, 0.0001529%), (TSLA, 0, 1.61%, 0.0000344%), (JPM, 0, 1.50%, 0.0000459%), (LLY, 0, 1.37%, 0.0000486%), (AMT, 0, 1.37%, 0.0003706%), (XOM, 0, 1.36%, 0.0000716%), (V, 0, 1.30%, 0.0000553%), (CB, 0, 1.08%, 0.0002434%), (MA, 0, 1.06%, 0.0000499%), (GE, 0, 1.00%, 0.0000847%), (WM, 0, 0.96%, 0.0002663%), (ABT, 0, 0.89%, 0.0000955%), (UNH, 0, 0.87%, 0.0000739%), (ORCL, 0, 0.86%, 0.0000315%), (NFLX, 0, 0.85%, 0.0000396%), (JNJ, 0, 0.79%, 0.0000456%), (NEE, 0, 0.78%, 0.0001323%), (WMT, 0, 0.76%, 0.0000229%), (PG, 0, 0.75%, 0.0000495%), (COST, 0, 0.73%, 0.0000422%), (CVX, 0, 0.73%, 0.0000567%), (PLTR, 0, 0.72%, 0.0000504%), (HD, 0, 0.70%, 0.0000415%), (MCD, 0, 0.69%, 0.0000765%), (RTX, 0, 0.69%, 0.0000819%), (ABBV, 0, 0.69%, 0.0000456%), (CAT, 0, 0.68%, 0.0000850%), (BAC, 0, 0.60%, 0.0000404%), (BA, 0, 0.58%, 0.0000812%), (KO, 0, 0.57%, 0.0000486%), (BKNG, 0, 0.57%, 0.0000776%), (PM, 0, 0.55%, 0.0000538%), (CRM, 0, 0.55%, 0.0000561%), (SO, 0, 0.54%, 0.0001334%), (NKE, 0, 0.54%, 0.0001501%), (IBM, 0, 0.53%, 0.0000553%), (GS, 0, 0.52%, 0.0000570%), (AMD, 0, 0.51%, 0.0000516%), (DUK, 0, 0.51%, 0.0001332%), (UBER, 0, 0.50%, 0.0000637%), (QCOM, 0, 0.50%, 0.0000716%), (ISRG, 0, 0.49%, 0.0000731%), (MET, 0, 0.48%, 0.0002234%), (WFC, 0, 0.48%, 0.0000465%), (HON, 0, 0.47%, 0.0000846%), (ETN, 0, 0.46%, 0.0000837%), (NOW, 0, 0.44%, 0.0000553%), (DIS, 0, 0.44%, 0.0000507%), (INTU, 0, 0.43%, 0.0000563%), (PEP, 0, 0.43%, 0.0000540%), (T, 0, 0.42%, 0.0002318%), (DE, 0, 0.41%, 0.0000777%), (MS, 0, 0.41%, 0.0000422%), (AXP, 0, 0.40%, 0.0000438%), (MRK, 0, 0.39%, 0.0000462%), (SPGI, 0, 0.38%, 0.0000568%), (VZ, 0, 0.37%, 0.0000495%), (ACN, 0, 0.36%, 0.0000560%), (TXN, 0, 0.36%, 0.0000518%), (BLK, 0, 0.36%, 0.0000510%), (MDT, 0, 0.35%, 0.0000727%), (ADBE, 0, 0.35%, 0.0000588%), (TMO, 0, 0.35%, 0.0000463%), (MMM, 0, 0.34%, 0.0001033%), (UNP, 0, 0.34%, 0.0000646%), (COP, 0, 0.33%, 0.0000719%), (C, 0, 0.33%, 0.0000460%), (LMT, 0, 0.33%, 0.0000752%), (SCHW, 0, 0.31%, 0.0000447%), (SBUX, 0, 0.30%, 0.0000760%), (AMAT, 0, 0.28%, 0.0000533%), (AMGN, 0, 0.28%, 0.0000455%), (TJX, 0, 0.27%, 0.0000421%), (GILD, 0, 0.27%, 0.0000458%), (CVS, 0, 0.26%, 0.0000720%), (LOW, 0, 0.26%, 0.0000421%), (PFE, 0, 0.26%, 0.0000455%), (EMR, 0, 0.25%, 0.0000835%), (MO, 0, 0.24%, 0.0000544%), (DHR, 0, 0.24%, 0.0000415%), (INTC, 0, 0.22%, 0.0000478%), (ELV, 0, 0.21%, 0.0000756%), (CMCSA, 0, 0.21%, 0.0000412%), (MDLZ, 0, 0.18%, 0.0000559%), (BMY, 0, 0.18%, 0.0000454%), (UPS, 0, 0.16%, 0.0000626%), (PYPL, 0, 0.15%, 0.0000582%), (USB, 0, 0.14%, 0.0000449%), (CL, 0, 0.14%, 0.0000497%), (FDX, 0, 0.13%, 0.0000602%), (TGT, 0, 0.07%, 0.0000427%), (nan, 0, -0.00%, 0.0000000%), (nan, 0, -0.01%, 0.0000000%)</t>
  </si>
  <si>
    <t>(AMZN, 0, 4.04%, 0.0002174%), (AVGO, 0, 3.65%, 0.0003046%), (META, 0, 2.84%, 0.0002346%), (BRK/B, 0, 2.18%, 0.0004312%), (LIN, 0, 1.80%, 0.0010935%), (CSCO, 0, 1.79%, 0.0009130%), (TSLA, 0, 1.75%, 0.0002056%), (JPM, 0, 1.63%, 0.0002737%), (LLY, 0, 1.55%, 0.0003010%), (AMT, 0, 1.49%, 0.0022128%), (XOM, 0, 1.48%, 0.0004273%), (V, 0, 1.42%, 0.0003299%), (CB, 0, 1.18%, 0.0014527%), (MA, 0, 1.15%, 0.0002982%), (GE, 0, 1.09%, 0.0005054%), (WM, 0, 1.04%, 0.0015896%), (ABT, 0, 0.98%, 0.0005763%), (UNH, 0, 0.94%, 0.0004405%), (ORCL, 0, 0.93%, 0.0001881%), (NFLX, 0, 0.92%, 0.0002365%), (JNJ, 0, 0.86%, 0.0002721%), (NEE, 0, 0.85%, 0.0007899%), (WMT, 0, 0.82%, 0.0001369%), (PG, 0, 0.81%, 0.0002952%), (COST, 0, 0.80%, 0.0002514%), (CVX, 0, 0.79%, 0.0003384%), (PLTR, 0, 0.79%, 0.0003007%), (HD, 0, 0.77%, 0.0002477%), (MCD, 0, 0.76%, 0.0004567%), (RTX, 0, 0.75%, 0.0004890%), (ABBV, 0, 0.75%, 0.0002724%), (CAT, 0, 0.74%, 0.0005076%), (BAC, 0, 0.65%, 0.0002409%), (BA, 0, 0.63%, 0.0004844%), (BKNG, 0, 0.62%, 0.0004685%), (KO, 0, 0.62%, 0.0002900%), (PM, 0, 0.60%, 0.0003213%), (CRM, 0, 0.59%, 0.0003351%), (SO, 0, 0.59%, 0.0007967%), (NKE, 0, 0.58%, 0.0008959%), (IBM, 0, 0.58%, 0.0003300%), (AMD, 0, 0.56%, 0.0003079%), (GS, 0, 0.56%, 0.0003394%), (DUK, 0, 0.55%, 0.0007952%), (UBER, 0, 0.55%, 0.0003803%), (QCOM, 0, 0.55%, 0.0004283%), (ISRG, 0, 0.54%, 0.0004355%), (MET, 0, 0.52%, 0.0013338%), (WFC, 0, 0.52%, 0.0002779%), (HON, 0, 0.51%, 0.0005045%), (ETN, 0, 0.50%, 0.0004999%), (DIS, 0, 0.50%, 0.0003139%), (NOW, 0, 0.47%, 0.0003303%), (INTU, 0, 0.46%, 0.0003354%), (PEP, 0, 0.46%, 0.0003228%), (T, 0, 0.46%, 0.0013835%), (DE, 0, 0.45%, 0.0004635%), (MS, 0, 0.44%, 0.0002520%), (AXP, 0, 0.43%, 0.0002620%), (MRK, 0, 0.43%, 0.0002758%), (SPGI, 0, 0.42%, 0.0003402%), (VZ, 0, 0.40%, 0.0002955%), (ACN, 0, 0.39%, 0.0003348%), (TXN, 0, 0.39%, 0.0003091%), (BLK, 0, 0.39%, 0.0003048%), (ADBE, 0, 0.38%, 0.0003509%), (MDT, 0, 0.38%, 0.0004335%), (TMO, 0, 0.38%, 0.0002773%), (UNP, 0, 0.37%, 0.0003849%), (COP, 0, 0.36%, 0.0004293%), (C, 0, 0.36%, 0.0002746%), (LMT, 0, 0.35%, 0.0004490%), (SCHW, 0, 0.33%, 0.0002671%), (SBUX, 0, 0.32%, 0.0004536%), (MMM, 0, 0.32%, 0.0005237%), (AMAT, 0, 0.30%, 0.0003187%), (AMGN, 0, 0.30%, 0.0002719%), (TJX, 0, 0.29%, 0.0002516%), (GILD, 0, 0.29%, 0.0002733%), (CVS, 0, 0.28%, 0.0004298%), (LOW, 0, 0.28%, 0.0002512%), (PFE, 0, 0.28%, 0.0002714%), (EMR, 0, 0.28%, 0.0004989%), (MO, 0, 0.27%, 0.0003248%), (DHR, 0, 0.26%, 0.0002478%), (INTC, 0, 0.24%, 0.0002855%), (ELV, 0, 0.23%, 0.0004527%), (CMCSA, 0, 0.22%, 0.0002461%), (MDLZ, 0, 0.20%, 0.0003334%), (BMY, 0, 0.19%, 0.0002713%), (UPS, 0, 0.17%, 0.0003742%), (PYPL, 0, 0.16%, 0.0003475%), (USB, 0, 0.15%, 0.0002680%), (CL, 0, 0.15%, 0.0002969%), (FDX, 0, 0.14%, 0.0003590%), (TGT, 0, 0.08%, 0.0002548%), (nan, 0, -0.01%, 0.0000000%), (nan, 0, -0.01%, 0.0000000%)</t>
  </si>
  <si>
    <t>(AMZN, 0, 4.03%, 0.0001620%), (AVGO, 0, 3.64%, 0.0002270%), (META, 0, 2.83%, 0.0001748%), (BRK/B, 0, 2.17%, 0.0003213%), (LIN, 0, 1.79%, 0.0008149%), (CSCO, 0, 1.78%, 0.0006803%), (TSLA, 0, 1.74%, 0.0001532%), (JPM, 0, 1.63%, 0.0002040%), (LLY, 0, 1.53%, 0.0002220%), (AMT, 0, 1.49%, 0.0016488%), (XOM, 0, 1.48%, 0.0003184%), (V, 0, 1.42%, 0.0002458%), (CB, 0, 1.17%, 0.0010825%), (MA, 0, 1.15%, 0.0002223%), (GE, 0, 1.09%, 0.0003766%), (WM, 0, 1.04%, 0.0011845%), (ABT, 0, 0.97%, 0.0004258%), (UNH, 0, 0.94%, 0.0003283%), (ORCL, 0, 0.93%, 0.0001402%), (NFLX, 0, 0.92%, 0.0001763%), (JNJ, 0, 0.86%, 0.0002028%), (NEE, 0, 0.85%, 0.0005886%), (WMT, 0, 0.82%, 0.0001020%), (PG, 0, 0.81%, 0.0002200%), (COST, 0, 0.80%, 0.0001873%), (CVX, 0, 0.79%, 0.0002522%), (PLTR, 0, 0.78%, 0.0002241%), (HD, 0, 0.76%, 0.0001847%), (MCD, 0, 0.75%, 0.0003404%), (RTX, 0, 0.75%, 0.0003643%), (ABBV, 0, 0.75%, 0.0002030%), (CAT, 0, 0.74%, 0.0003782%), (BAC, 0, 0.65%, 0.0001795%), (BA, 0, 0.63%, 0.0003610%), (KO, 0, 0.62%, 0.0002161%), (BKNG, 0, 0.62%, 0.0003475%), (PM, 0, 0.60%, 0.0002394%), (CRM, 0, 0.59%, 0.0002497%), (SO, 0, 0.59%, 0.0005937%), (NKE, 0, 0.58%, 0.0006676%), (IBM, 0, 0.58%, 0.0002460%), (AMD, 0, 0.56%, 0.0002295%), (GS, 0, 0.56%, 0.0002531%), (DUK, 0, 0.55%, 0.0005926%), (UBER, 0, 0.55%, 0.0002834%), (ISRG, 0, 0.53%, 0.0003247%), (QCOM, 0, 0.53%, 0.0003104%), (MET, 0, 0.52%, 0.0009939%), (WFC, 0, 0.52%, 0.0002071%), (HON, 0, 0.51%, 0.0003760%), (ETN, 0, 0.50%, 0.0003725%), (DIS, 0, 0.49%, 0.0002315%), (NOW, 0, 0.47%, 0.0002462%), (INTU, 0, 0.46%, 0.0002500%), (PEP, 0, 0.46%, 0.0002405%), (T, 0, 0.45%, 0.0010310%), (DE, 0, 0.44%, 0.0003455%), (MS, 0, 0.44%, 0.0001878%), (AXP, 0, 0.43%, 0.0001953%), (MRK, 0, 0.43%, 0.0002055%), (SPGI, 0, 0.41%, 0.0002533%), (VZ, 0, 0.40%, 0.0002202%), (ACN, 0, 0.39%, 0.0002495%), (TXN, 0, 0.39%, 0.0002303%), (BLK, 0, 0.39%, 0.0002273%), (ADBE, 0, 0.38%, 0.0002613%), (MDT, 0, 0.38%, 0.0003231%), (TMO, 0, 0.38%, 0.0002065%), (UNP, 0, 0.37%, 0.0002868%), (COP, 0, 0.36%, 0.0003200%), (C, 0, 0.36%, 0.0002047%), (LMT, 0, 0.35%, 0.0003345%), (SCHW, 0, 0.33%, 0.0001990%), (SBUX, 0, 0.32%, 0.0003380%), (MMM, 0, 0.31%, 0.0003763%), (AMAT, 0, 0.30%, 0.0002375%), (AMGN, 0, 0.30%, 0.0002027%), (TJX, 0, 0.29%, 0.0001875%), (GILD, 0, 0.29%, 0.0002036%), (CVS, 0, 0.28%, 0.0003203%), (LOW, 0, 0.28%, 0.0001872%), (PFE, 0, 0.28%, 0.0002022%), (EMR, 0, 0.28%, 0.0003719%), (MO, 0, 0.26%, 0.0002420%), (DHR, 0, 0.26%, 0.0001846%), (INTC, 0, 0.24%, 0.0002128%), (ELV, 0, 0.23%, 0.0003370%), (CMCSA, 0, 0.22%, 0.0001834%), (MDLZ, 0, 0.20%, 0.0002485%), (BMY, 0, 0.19%, 0.0002021%), (UPS, 0, 0.17%, 0.0002789%), (PYPL, 0, 0.16%, 0.0002590%), (USB, 0, 0.15%, 0.0001997%), (CL, 0, 0.15%, 0.0002212%), (FDX, 0, 0.14%, 0.0002674%), (TGT, 0, 0.08%, 0.0001899%), (nan, 0, -0.01%, 0.0000000%), (nan, 0, -0.01%, 0.0000000%)</t>
  </si>
  <si>
    <t>(AMZN, 0, 4.09%, 0.0000380%), (AVGO, 0, 3.69%, 0.0000532%), (META, 0, 2.88%, 0.0000410%), (BRK/B, 0, 2.20%, 0.0000753%), (LIN, 0, 1.82%, 0.0001910%), (CSCO, 0, 1.81%, 0.0001595%), (TSLA, 0, 1.77%, 0.0000359%), (JPM, 0, 1.65%, 0.0000478%), (AMT, 0, 1.51%, 0.0003866%), (LLY, 0, 1.50%, 0.0000502%), (XOM, 0, 1.50%, 0.0000747%), (V, 0, 1.44%, 0.0000576%), (CB, 0, 1.19%, 0.0002538%), (MA, 0, 1.17%, 0.0000521%), (GE, 0, 1.10%, 0.0000883%), (WM, 0, 1.05%, 0.0002778%), (ABT, 0, 0.97%, 0.0000986%), (UNH, 0, 0.95%, 0.0000769%), (ORCL, 0, 0.94%, 0.0000329%), (NFLX, 0, 0.93%, 0.0000413%), (JNJ, 0, 0.87%, 0.0000475%), (NEE, 0, 0.86%, 0.0001380%), (WMT, 0, 0.83%, 0.0000239%), (PG, 0, 0.82%, 0.0000516%), (COST, 0, 0.81%, 0.0000440%), (CVX, 0, 0.80%, 0.0000591%), (PLTR, 0, 0.80%, 0.0000525%), (HD, 0, 0.78%, 0.0000433%), (MCD, 0, 0.76%, 0.0000797%), (RTX, 0, 0.76%, 0.0000854%), (ABBV, 0, 0.76%, 0.0000476%), (CAT, 0, 0.75%, 0.0000886%), (BAC, 0, 0.66%, 0.0000421%), (BA, 0, 0.63%, 0.0000846%), (KO, 0, 0.63%, 0.0000507%), (BKNG, 0, 0.62%, 0.0000807%), (PM, 0, 0.61%, 0.0000561%), (CRM, 0, 0.60%, 0.0000585%), (SO, 0, 0.60%, 0.0001392%), (NKE, 0, 0.59%, 0.0001566%), (IBM, 0, 0.58%, 0.0000577%), (AMD, 0, 0.57%, 0.0000538%), (GS, 0, 0.56%, 0.0000593%), (DUK, 0, 0.56%, 0.0001390%), (UBER, 0, 0.56%, 0.0000664%), (QCOM, 0, 0.55%, 0.0000740%), (ISRG, 0, 0.54%, 0.0000762%), (MET, 0, 0.53%, 0.0002331%), (WFC, 0, 0.53%, 0.0000485%), (HON, 0, 0.52%, 0.0000882%), (ETN, 0, 0.51%, 0.0000873%), (NOW, 0, 0.48%, 0.0000577%), (DIS, 0, 0.48%, 0.0000523%), (INTU, 0, 0.47%, 0.0000585%), (PEP, 0, 0.47%, 0.0000564%), (T, 0, 0.46%, 0.0002417%), (DE, 0, 0.45%, 0.0000810%), (MS, 0, 0.45%, 0.0000440%), (MMM, 0, 0.44%, 0.0001259%), (AXP, 0, 0.44%, 0.0000457%), (MRK, 0, 0.43%, 0.0000482%), (SPGI, 0, 0.42%, 0.0000594%), (VZ, 0, 0.41%, 0.0000516%), (ACN, 0, 0.40%, 0.0000584%), (TXN, 0, 0.39%, 0.0000540%), (BLK, 0, 0.39%, 0.0000530%), (MDT, 0, 0.39%, 0.0000757%), (ADBE, 0, 0.39%, 0.0000614%), (TMO, 0, 0.38%, 0.0000484%), (UNP, 0, 0.37%, 0.0000673%), (COP, 0, 0.37%, 0.0000750%), (C, 0, 0.36%, 0.0000480%), (LMT, 0, 0.36%, 0.0000787%), (SCHW, 0, 0.34%, 0.0000467%), (SBUX, 0, 0.32%, 0.0000793%), (AMAT, 0, 0.31%, 0.0000557%), (AMGN, 0, 0.31%, 0.0000476%), (TJX, 0, 0.29%, 0.0000439%), (GILD, 0, 0.29%, 0.0000477%), (CVS, 0, 0.29%, 0.0000751%), (LOW, 0, 0.29%, 0.0000439%), (PFE, 0, 0.28%, 0.0000474%), (EMR, 0, 0.28%, 0.0000872%), (MO, 0, 0.27%, 0.0000568%), (DHR, 0, 0.26%, 0.0000433%), (INTC, 0, 0.24%, 0.0000499%), (ELV, 0, 0.23%, 0.0000792%), (CMCSA, 0, 0.23%, 0.0000430%), (MDLZ, 0, 0.20%, 0.0000583%), (BMY, 0, 0.19%, 0.0000474%), (UPS, 0, 0.17%, 0.0000653%), (PYPL, 0, 0.17%, 0.0000607%), (USB, 0, 0.15%, 0.0000468%), (CL, 0, 0.15%, 0.0000519%), (FDX, 0, 0.14%, 0.0000627%), (TGT, 0, 0.08%, 0.0000445%), (nan, 0, -0.01%, 0.0000000%), (nan, 0, -0.01%, 0.0000000%)</t>
  </si>
  <si>
    <t>(AMZN, 0, 3.89%, 0.0000668%), (AVGO, 0, 3.51%, 0.0000936%), (META, 0, 2.73%, 0.0000721%), (BRK/B, 0, 2.09%, 0.0001325%), (LIN, 0, 1.73%, 0.0003362%), (CSCO, 0, 1.72%, 0.0002806%), (TSLA, 0, 1.68%, 0.0000632%), (JPM, 0, 1.57%, 0.0000842%), (LLY, 0, 1.46%, 0.0000910%), (AMT, 0, 1.43%, 0.0006801%), (XOM, 0, 1.42%, 0.0001314%), (V, 0, 1.36%, 0.0001014%), (CB, 0, 1.13%, 0.0004464%), (MA, 0, 1.11%, 0.0000917%), (GE, 0, 1.05%, 0.0001554%), (WM, 0, 1.00%, 0.0004887%), (UNH, 0, 0.91%, 0.0001355%), (ORCL, 0, 0.90%, 0.0000578%), (ABT, 0, 0.89%, 0.0001675%), (NFLX, 0, 0.89%, 0.0000727%), (JNJ, 0, 0.83%, 0.0000836%), (NEE, 0, 0.82%, 0.0002428%), (WMT, 0, 0.79%, 0.0000421%), (PG, 0, 0.78%, 0.0000907%), (COST, 0, 0.77%, 0.0000772%), (CVX, 0, 0.76%, 0.0001040%), (PLTR, 0, 0.76%, 0.0000924%), (HD, 0, 0.74%, 0.0000762%), (MCD, 0, 0.73%, 0.0001404%), (RTX, 0, 0.72%, 0.0001503%), (ABBV, 0, 0.72%, 0.0000837%), (CAT, 0, 0.72%, 0.0001560%), (BAC, 0, 0.63%, 0.0000741%), (BA, 0, 0.60%, 0.0001489%), (KO, 0, 0.60%, 0.0000891%), (BKNG, 0, 0.59%, 0.0001427%), (PM, 0, 0.58%, 0.0000988%), (CRM, 0, 0.57%, 0.0001030%), (SO, 0, 0.57%, 0.0002449%), (NKE, 0, 0.56%, 0.0002755%), (IBM, 0, 0.56%, 0.0001014%), (AMD, 0, 0.54%, 0.0000946%), (GS, 0, 0.54%, 0.0001044%), (DUK, 0, 0.53%, 0.0002445%), (UBER, 0, 0.53%, 0.0001169%), (ISRG, 0, 0.52%, 0.0001340%), (MET, 0, 0.50%, 0.0004101%), (QCOM, 0, 0.50%, 0.0001253%), (WFC, 0, 0.50%, 0.0000854%), (HON, 0, 0.49%, 0.0001551%), (ETN, 0, 0.48%, 0.0001536%), (DIS, 0, 0.47%, 0.0000948%), (NOW, 0, 0.45%, 0.0001014%), (PEP, 0, 0.45%, 0.0000992%), (INTU, 0, 0.45%, 0.0001029%), (T, 0, 0.44%, 0.0004253%), (DE, 0, 0.43%, 0.0001424%), (MS, 0, 0.43%, 0.0000775%), (AXP, 0, 0.42%, 0.0000806%), (MRK, 0, 0.41%, 0.0000848%), (SPGI, 0, 0.40%, 0.0001044%), (VZ, 0, 0.38%, 0.0000908%), (ACN, 0, 0.38%, 0.0001029%), (BLK, 0, 0.37%, 0.0000936%), (TXN, 0, 0.37%, 0.0000951%), (ADBE, 0, 0.37%, 0.0001077%), (MDT, 0, 0.37%, 0.0001332%), (MMM, 0, 0.36%, 0.0001928%), (TMO, 0, 0.36%, 0.0000852%), (UNP, 0, 0.35%, 0.0001183%), (COP, 0, 0.35%, 0.0001320%), (C, 0, 0.34%, 0.0000844%), (LMT, 0, 0.34%, 0.0001379%), (SCHW, 0, 0.32%, 0.0000821%), (SBUX, 0, 0.31%, 0.0001394%), (AMAT, 0, 0.29%, 0.0000979%), (AMGN, 0, 0.29%, 0.0000836%), (TJX, 0, 0.28%, 0.0000774%), (GILD, 0, 0.28%, 0.0000840%), (LOW, 0, 0.27%, 0.0000772%), (CVS, 0, 0.27%, 0.0001321%), (PFE, 0, 0.27%, 0.0000834%), (EMR, 0, 0.27%, 0.0001533%), (MO, 0, 0.26%, 0.0000998%), (DHR, 0, 0.25%, 0.0000762%), (INTC, 0, 0.23%, 0.0000878%), (ELV, 0, 0.22%, 0.0001390%), (CMCSA, 0, 0.22%, 0.0000757%), (MDLZ, 0, 0.19%, 0.0001025%), (BMY, 0, 0.18%, 0.0000834%), (UPS, 0, 0.17%, 0.0001151%), (PYPL, 0, 0.16%, 0.0001068%), (USB, 0, 0.14%, 0.0000824%), (CL, 0, 0.14%, 0.0000913%), (FDX, 0, 0.14%, 0.0001102%), (TGT, 0, 0.08%, 0.0000783%), (nan, 0, -0.01%, 0.0000000%), (nan, 0, -0.01%, 0.0000000%)</t>
  </si>
  <si>
    <t>(AMZN, 0, 3.97%, 0.0000241%), (AVGO, 0, 3.59%, 0.0000338%), (META, 0, 2.78%, 0.0000260%), (BRK/B, 0, 2.13%, 0.0000479%), (LIN, 0, 1.76%, 0.0001214%), (CSCO, 0, 1.75%, 0.0001014%), (TSLA, 0, 1.72%, 0.0000228%), (LLY, 0, 1.63%, 0.0000358%), (JPM, 0, 1.60%, 0.0000304%), (AMT, 0, 1.46%, 0.0002456%), (XOM, 0, 1.45%, 0.0000475%), (V, 0, 1.39%, 0.0000366%), (CB, 0, 1.15%, 0.0001614%), (MA, 0, 1.13%, 0.0000331%), (GE, 0, 1.07%, 0.0000561%), (WM, 0, 1.02%, 0.0001765%), (UNH, 0, 0.92%, 0.0000489%), (ORCL, 0, 0.91%, 0.0000209%), (NFLX, 0, 0.91%, 0.0000262%), (ABT, 0, 0.90%, 0.0000595%), (JNJ, 0, 0.85%, 0.0000302%), (NEE, 0, 0.83%, 0.0000877%), (WMT, 0, 0.81%, 0.0000152%), (PG, 0, 0.80%, 0.0000328%), (COST, 0, 0.79%, 0.0000280%), (CVX, 0, 0.77%, 0.0000376%), (PLTR, 0, 0.77%, 0.0000334%), (HD, 0, 0.75%, 0.0000275%), (MCD, 0, 0.74%, 0.0000507%), (RTX, 0, 0.74%, 0.0000543%), (ABBV, 0, 0.73%, 0.0000302%), (CAT, 0, 0.73%, 0.0000564%), (BAC, 0, 0.64%, 0.0000268%), (BKNG, 0, 0.62%, 0.0000527%), (BA, 0, 0.62%, 0.0000538%), (KO, 0, 0.61%, 0.0000322%), (PM, 0, 0.59%, 0.0000357%), (CRM, 0, 0.58%, 0.0000372%), (SO, 0, 0.58%, 0.0000884%), (NKE, 0, 0.57%, 0.0000995%), (IBM, 0, 0.57%, 0.0000367%), (GS, 0, 0.55%, 0.0000377%), (AMD, 0, 0.55%, 0.0000342%), (DUK, 0, 0.54%, 0.0000883%), (UBER, 0, 0.54%, 0.0000422%), (ISRG, 0, 0.53%, 0.0000482%), (MET, 0, 0.51%, 0.0001481%), (WFC, 0, 0.51%, 0.0000308%), (QCOM, 0, 0.50%, 0.0000445%), (HON, 0, 0.50%, 0.0000561%), (ETN, 0, 0.49%, 0.0000555%), (NOW, 0, 0.47%, 0.0000365%), (INTU, 0, 0.46%, 0.0000373%), (PEP, 0, 0.45%, 0.0000358%), (T, 0, 0.45%, 0.0001536%), (DIS, 0, 0.44%, 0.0000318%), (DE, 0, 0.44%, 0.0000514%), (MS, 0, 0.43%, 0.0000280%), (AXP, 0, 0.42%, 0.0000290%), (MRK, 0, 0.42%, 0.0000306%), (SPGI, 0, 0.41%, 0.0000376%), (MMM, 0, 0.40%, 0.0000749%), (VZ, 0, 0.39%, 0.0000328%), (ACN, 0, 0.39%, 0.0000372%), (ADBE, 0, 0.38%, 0.0000389%), (TXN, 0, 0.38%, 0.0000343%), (BLK, 0, 0.38%, 0.0000336%), (MDT, 0, 0.38%, 0.0000481%), (TMO, 0, 0.37%, 0.0000309%), (UNP, 0, 0.36%, 0.0000428%), (COP, 0, 0.36%, 0.0000476%), (C, 0, 0.35%, 0.0000305%), (LMT, 0, 0.35%, 0.0000497%), (SCHW, 0, 0.33%, 0.0000296%), (SBUX, 0, 0.31%, 0.0000503%), (AMGN, 0, 0.30%, 0.0000303%), (AMAT, 0, 0.30%, 0.0000354%), (TJX, 0, 0.29%, 0.0000279%), (GILD, 0, 0.29%, 0.0000304%), (LOW, 0, 0.28%, 0.0000278%), (CVS, 0, 0.28%, 0.0000477%), (PFE, 0, 0.28%, 0.0000301%), (EMR, 0, 0.27%, 0.0000554%), (MO, 0, 0.26%, 0.0000360%), (DHR, 0, 0.25%, 0.0000275%), (INTC, 0, 0.24%, 0.0000317%), (ELV, 0, 0.23%, 0.0000504%), (CMCSA, 0, 0.22%, 0.0000273%), (MDLZ, 0, 0.19%, 0.0000370%), (BMY, 0, 0.19%, 0.0000301%), (UPS, 0, 0.17%, 0.0000416%), (PYPL, 0, 0.16%, 0.0000386%), (USB, 0, 0.15%, 0.0000298%), (CL, 0, 0.15%, 0.0000330%), (FDX, 0, 0.14%, 0.0000398%), (TGT, 0, 0.08%, 0.0000284%), (nan, 0, -0.00%, 0.0000000%), (nan, 0, -0.01%, 0.0000000%)</t>
  </si>
  <si>
    <t>(AMZN, 0, 4.20%, 0.0000576%), (AVGO, 0, 3.79%, 0.0000807%), (META, 0, 2.95%, 0.0000622%), (BRK/B, 0, 2.26%, 0.0001143%), (LIN, 0, 1.87%, 0.0002898%), (CSCO, 0, 1.86%, 0.0002420%), (TSLA, 0, 1.82%, 0.0000545%), (JPM, 0, 1.70%, 0.0000726%), (LLY, 0, 1.64%, 0.0000813%), (AMT, 0, 1.55%, 0.0005864%), (XOM, 0, 1.54%, 0.0001132%), (V, 0, 1.47%, 0.0000874%), (CB, 0, 1.22%, 0.0003850%), (MA, 0, 1.20%, 0.0000790%), (GE, 0, 1.13%, 0.0001340%), (WM, 0, 1.08%, 0.0004212%), (ABT, 0, 1.04%, 0.0001549%), (UNH, 0, 0.98%, 0.0001168%), (ORCL, 0, 0.97%, 0.0000498%), (NFLX, 0, 0.96%, 0.0000628%), (JNJ, 0, 0.90%, 0.0000721%), (NEE, 0, 0.88%, 0.0002094%), (WMT, 0, 0.85%, 0.0000363%), (PG, 0, 0.84%, 0.0000782%), (COST, 0, 0.83%, 0.0000666%), (CVX, 0, 0.82%, 0.0000897%), (PLTR, 0, 0.82%, 0.0000797%), (HD, 0, 0.80%, 0.0000657%), (MCD, 0, 0.79%, 0.0001211%), (RTX, 0, 0.78%, 0.0001296%), (ABBV, 0, 0.78%, 0.0000722%), (CAT, 0, 0.77%, 0.0001345%), (BAC, 0, 0.68%, 0.0000639%), (BA, 0, 0.65%, 0.0001284%), (BKNG, 0, 0.65%, 0.0001241%), (KO, 0, 0.65%, 0.0000769%), (PM, 0, 0.63%, 0.0000852%), (CRM, 0, 0.62%, 0.0000888%), (SO, 0, 0.61%, 0.0002111%), (NKE, 0, 0.61%, 0.0002374%), (IBM, 0, 0.60%, 0.0000875%), (AMD, 0, 0.58%, 0.0000816%), (GS, 0, 0.58%, 0.0000900%), (DUK, 0, 0.57%, 0.0002108%), (UBER, 0, 0.57%, 0.0001008%), (QCOM, 0, 0.56%, 0.0001119%), (ISRG, 0, 0.56%, 0.0001154%), (MET, 0, 0.54%, 0.0003535%), (WFC, 0, 0.54%, 0.0000736%), (HON, 0, 0.53%, 0.0001337%), (DIS, 0, 0.53%, 0.0000848%), (ETN, 0, 0.52%, 0.0001325%), (NOW, 0, 0.49%, 0.0000875%), (INTU, 0, 0.48%, 0.0000890%), (PEP, 0, 0.48%, 0.0000856%), (T, 0, 0.47%, 0.0003667%), (DE, 0, 0.46%, 0.0001228%), (MS, 0, 0.46%, 0.0000668%), (AXP, 0, 0.45%, 0.0000694%), (MRK, 0, 0.45%, 0.0000731%), (SPGI, 0, 0.43%, 0.0000902%), (VZ, 0, 0.42%, 0.0000783%), (ACN, 0, 0.41%, 0.0000888%), (MMM, 0, 0.41%, 0.0001715%), (BLK, 0, 0.40%, 0.0000807%), (TXN, 0, 0.40%, 0.0000819%), (ADBE, 0, 0.40%, 0.0000929%), (MDT, 0, 0.40%, 0.0001149%), (TMO, 0, 0.39%, 0.0000735%), (UNP, 0, 0.38%, 0.0001020%), (COP, 0, 0.38%, 0.0001138%), (C, 0, 0.37%, 0.0000728%), (LMT, 0, 0.37%, 0.0001188%), (SCHW, 0, 0.35%, 0.0000708%), (SBUX, 0, 0.33%, 0.0001202%), (AMAT, 0, 0.32%, 0.0000845%), (AMGN, 0, 0.32%, 0.0000721%), (TJX, 0, 0.30%, 0.0000667%), (GILD, 0, 0.30%, 0.0000724%), (CVS, 0, 0.30%, 0.0001139%), (LOW, 0, 0.30%, 0.0000665%), (PFE, 0, 0.29%, 0.0000719%), (EMR, 0, 0.29%, 0.0001322%), (MO, 0, 0.28%, 0.0000861%), (DHR, 0, 0.27%, 0.0000657%), (INTC, 0, 0.25%, 0.0000757%), (ELV, 0, 0.24%, 0.0001201%), (CMCSA, 0, 0.23%, 0.0000652%), (MDLZ, 0, 0.20%, 0.0000883%), (BMY, 0, 0.20%, 0.0000719%), (UPS, 0, 0.18%, 0.0000992%), (PYPL, 0, 0.17%, 0.0000921%), (USB, 0, 0.16%, 0.0000710%), (CL, 0, 0.16%, 0.0000787%), (FDX, 0, 0.15%, 0.0000949%), (TGT, 0, 0.08%, 0.0000676%), (nan, 0, -0.01%, 0.0000000%), (nan, 0, -0.01%, 0.0000000%)</t>
  </si>
  <si>
    <t>EBAY, GOOGLE, BK, META, MLI, PHM, MSFT, JPM, EWBC, EA, BKNG</t>
  </si>
  <si>
    <t>(BLK, 0, 1.94%, 0.0006225%), (RJF, 0, 1.94%, 0.0032174%), (AXP, 0, 1.92%, 0.0004701%), (HIG, 0, 1.83%, 0.0027587%), (TRV, 0, 1.83%, 0.0016372%), (V, 0, 1.79%, 0.0001690%), (ROST, 0, 1.77%, 0.0019663%), (LEN, 0, 1.76%, 0.0030281%), (UNM, 0, 1.73%, 0.0075825%), (SNA, 0, 1.71%, 0.0055030%), (KLAC, 0, 1.68%, 0.0007733%), (ADP, 0, 1.67%, 0.0007583%), (NVDA, 0, 1.65%, 0.0000221%), (SYF, 0, 1.64%, 0.0033284%), (CB, 0, 1.64%, 0.0008230%), (PCAR, 0, 1.63%, 0.0017285%), (AMAT, 0, 1.62%, 0.0006904%), (CRM, 0, 1.51%, 0.0003455%), (DHI, 0, 1.51%, 0.0015292%), (CTSH, 0, 1.51%, 0.0024038%), (WSM, 0, 1.50%, 0.0033328%), (PAYC, 0, 1.44%, 0.0060681%), (BKR, 0, 1.42%, 0.0017303%), (QCOM, 0, 1.35%, 0.0004292%), (AAPL, 0, 1.30%, 0.0000202%), (ACN, 0, 1.27%, 0.0004391%), (ELV, 0, 1.24%, 0.0009895%), (AFL, 0, 1.23%, 0.0011858%), (MPWR, 0, 1.15%, 0.0015305%), (LRCX, 0, 1.13%, 0.0004708%), (ODFL, 0, 1.08%, 0.0018714%), (CSCO, 0, 1.05%, 0.0002173%), (GE, 0, 1.04%, 0.0001965%), (STT, 0, 0.97%, 0.0017045%), (PNC, 0, 0.95%, 0.0006473%), (MTB, 0, 0.92%, 0.0016481%), (COST, 0, 0.84%, 0.0001074%), (CF, 0, 0.84%, 0.0033592%), (AMP, 0, 0.83%, 0.0009978%), (ABT, 0, 0.83%, 0.0001971%), (XOM, 0, 0.80%, 0.0000935%), (EOG, 0, 0.77%, 0.0006568%), (CSL, 0, 0.76%, 0.0025535%), (EG, 0, 0.75%, 0.0028714%), (GEV, 0, 0.53%, 0.0001791%), (NTRS, 0, 0.51%, 0.0011686%), (MA, 0, 0.49%, 0.0000517%), (ACM, 0, 0.48%, 0.0015788%), (JNJ, 0, 0.48%, 0.0000614%), (CRBG, 0, 0.46%, 0.0014077%), (LNC, 0, 0.46%, 0.0031821%), (WTFC, 0, 0.45%, 0.0026586%), (MTG, 0, 0.45%, 0.0038808%), (JXN, 0, 0.44%, 0.0035807%), (CINF, 0, 0.43%, 0.0009851%), (DOV, 0, 0.42%, 0.0009420%), (ADM, 0, 0.42%, 0.0007659%), (EQH, 0, 0.42%, 0.0014302%), (MCK, 0, 0.41%, 0.0002565%), (ALL, 0, 0.40%, 0.0004152%), (SLM, 0, 0.39%, 0.0034944%), (NUE, 0, 0.39%, 0.0006435%), (NKE, 0, 0.36%, 0.0002264%), (PGR, 0, 0.36%, 0.0001375%), (FANG, 0, 0.29%, 0.0003973%)</t>
  </si>
  <si>
    <t>(AMZN, 0, 3.85%, 0.0000614%), (AVGO, 0, 3.47%, 0.0000861%), (META, 0, 2.70%, 0.0000663%), (BRK/B, 0, 2.07%, 0.0001219%), (LIN, 0, 1.71%, 0.0003090%), (CSCO, 0, 1.70%, 0.0002580%), (TSLA, 0, 1.66%, 0.0000581%), (JPM, 0, 1.55%, 0.0000774%), (LLY, 0, 1.48%, 0.0000853%), (AMT, 0, 1.41%, 0.0006254%), (XOM, 0, 1.41%, 0.0001208%), (V, 0, 1.35%, 0.0000932%), (CB, 0, 1.12%, 0.0004106%), (MA, 0, 1.09%, 0.0000843%), (GE, 0, 1.04%, 0.0001429%), (WM, 0, 0.99%, 0.0004493%), (ABT, 0, 0.90%, 0.0001568%), (UNH, 0, 0.89%, 0.0001245%), (ORCL, 0, 0.89%, 0.0000532%), (NFLX, 0, 0.88%, 0.0000668%), (JNJ, 0, 0.82%, 0.0000769%), (NEE, 0, 0.81%, 0.0002233%), (WMT, 0, 0.78%, 0.0000387%), (PG, 0, 0.77%, 0.0000834%), (COST, 0, 0.76%, 0.0000711%), (CVX, 0, 0.75%, 0.0000956%), (PLTR, 0, 0.75%, 0.0000850%), (HD, 0, 0.73%, 0.0000700%), (MCD, 0, 0.72%, 0.0001291%), (RTX, 0, 0.71%, 0.0001382%), (ABBV, 0, 0.71%, 0.0000770%), (CAT, 0, 0.71%, 0.0001434%), (BAC, 0, 0.62%, 0.0000681%), (BKNG, 0, 0.60%, 0.0001334%), (BA, 0, 0.60%, 0.0001370%), (KO, 0, 0.59%, 0.0000819%), (PM, 0, 0.57%, 0.0000908%), (CRM, 0, 0.57%, 0.0000947%), (SO, 0, 0.56%, 0.0002251%), (NKE, 0, 0.56%, 0.0002533%), (IBM, 0, 0.55%, 0.0000933%), (AMD, 0, 0.53%, 0.0000870%), (GS, 0, 0.53%, 0.0000960%), (DUK, 0, 0.52%, 0.0002248%), (UBER, 0, 0.52%, 0.0001075%), (ISRG, 0, 0.51%, 0.0001233%), (QCOM, 0, 0.51%, 0.0001174%), (MET, 0, 0.50%, 0.0003770%), (WFC, 0, 0.50%, 0.0000785%), (HON, 0, 0.48%, 0.0001425%), (ETN, 0, 0.48%, 0.0001413%), (NOW, 0, 0.45%, 0.0000933%), (DIS, 0, 0.44%, 0.0000834%), (PEP, 0, 0.44%, 0.0000913%), (INTU, 0, 0.44%, 0.0000947%), (T, 0, 0.43%, 0.0003910%), (DE, 0, 0.42%, 0.0001310%), (MS, 0, 0.42%, 0.0000712%), (AXP, 0, 0.41%, 0.0000740%), (MRK, 0, 0.41%, 0.0000779%), (SPGI, 0, 0.39%, 0.0000961%), (VZ, 0, 0.38%, 0.0000835%), (ACN, 0, 0.37%, 0.0000946%), (TXN, 0, 0.37%, 0.0000874%), (BLK, 0, 0.37%, 0.0000859%), (ADBE, 0, 0.37%, 0.0000991%), (MDT, 0, 0.36%, 0.0001226%), (TMO, 0, 0.36%, 0.0000783%), (UNP, 0, 0.35%, 0.0001087%), (COP, 0, 0.35%, 0.0001214%), (C, 0, 0.34%, 0.0000776%), (LMT, 0, 0.34%, 0.0001271%), (SCHW, 0, 0.32%, 0.0000755%), (SBUX, 0, 0.31%, 0.0001282%), (MMM, 0, 0.29%, 0.0001427%), (AMAT, 0, 0.29%, 0.0000901%), (AMGN, 0, 0.29%, 0.0000769%), (TJX, 0, 0.28%, 0.0000712%), (GILD, 0, 0.28%, 0.0000772%), (CVS, 0, 0.27%, 0.0001215%), (LOW, 0, 0.27%, 0.0000710%), (PFE, 0, 0.27%, 0.0000767%), (EMR, 0, 0.26%, 0.0001411%), (MO, 0, 0.25%, 0.0000918%), (DHR, 0, 0.24%, 0.0000701%), (INTC, 0, 0.23%, 0.0000807%), (ELV, 0, 0.22%, 0.0001278%), (CMCSA, 0, 0.21%, 0.0000696%), (MDLZ, 0, 0.19%, 0.0000942%), (BMY, 0, 0.18%, 0.0000767%), (UPS, 0, 0.16%, 0.0001058%), (PYPL, 0, 0.16%, 0.0000982%), (USB, 0, 0.14%, 0.0000758%), (CL, 0, 0.14%, 0.0000839%), (FDX, 0, 0.13%, 0.0001013%), (TGT, 0, 0.07%, 0.0000720%), (nan, 0, -0.00%, 0.0000000%), (nan, 0, -0.01%, 0.0000000%)</t>
  </si>
  <si>
    <t>(AMZN, 0, 4.03%, 0.0001256%), (AVGO, 0, 3.64%, 0.0001760%), (META, 0, 2.83%, 0.0001355%), (BRK/B, 0, 2.17%, 0.0002492%), (LIN, 0, 1.79%, 0.0006318%), (CSCO, 0, 1.78%, 0.0005275%), (TSLA, 0, 1.74%, 0.0001188%), (JPM, 0, 1.63%, 0.0001582%), (AMT, 0, 1.48%, 0.0012787%), (XOM, 0, 1.47%, 0.0002469%), (LLY, 0, 1.45%, 0.0001629%), (V, 0, 1.41%, 0.0001906%), (CB, 0, 1.17%, 0.0008393%), (MA, 0, 1.15%, 0.0001723%), (GE, 0, 1.09%, 0.0002920%), (WM, 0, 1.04%, 0.0009184%), (UNH, 0, 0.94%, 0.0002546%), (ABT, 0, 0.94%, 0.0003189%), (ORCL, 0, 0.93%, 0.0001087%), (NFLX, 0, 0.92%, 0.0001366%), (JNJ, 0, 0.86%, 0.0001572%), (NEE, 0, 0.85%, 0.0004564%), (WMT, 0, 0.82%, 0.0000791%), (PG, 0, 0.81%, 0.0001706%), (COST, 0, 0.80%, 0.0001453%), (CVX, 0, 0.79%, 0.0001955%), (PLTR, 0, 0.78%, 0.0001738%), (HD, 0, 0.76%, 0.0001432%), (MCD, 0, 0.75%, 0.0002639%), (RTX, 0, 0.75%, 0.0002825%), (ABBV, 0, 0.74%, 0.0001574%), (CAT, 0, 0.74%, 0.0002933%), (BAC, 0, 0.65%, 0.0001392%), (BA, 0, 0.63%, 0.0002800%), (KO, 0, 0.62%, 0.0001675%), (BKNG, 0, 0.62%, 0.0002699%), (PM, 0, 0.60%, 0.0001857%), (CRM, 0, 0.59%, 0.0001936%), (SO, 0, 0.59%, 0.0004604%), (NKE, 0, 0.58%, 0.0005177%), (IBM, 0, 0.58%, 0.0001907%), (AMD, 0, 0.56%, 0.0001780%), (GS, 0, 0.56%, 0.0001960%), (DUK, 0, 0.55%, 0.0004596%), (UBER, 0, 0.55%, 0.0002197%), (ISRG, 0, 0.53%, 0.0002516%), (MET, 0, 0.52%, 0.0007706%), (WFC, 0, 0.52%, 0.0001605%), (HON, 0, 0.51%, 0.0002915%), (QCOM, 0, 0.51%, 0.0002296%), (ETN, 0, 0.50%, 0.0002890%), (DIS, 0, 0.48%, 0.0001753%), (NOW, 0, 0.47%, 0.0001909%), (INTU, 0, 0.46%, 0.0001937%), (PEP, 0, 0.46%, 0.0001865%), (T, 0, 0.45%, 0.0007994%), (DE, 0, 0.44%, 0.0002678%), (MS, 0, 0.44%, 0.0001456%), (AXP, 0, 0.43%, 0.0001514%), (MRK, 0, 0.43%, 0.0001593%), (SPGI, 0, 0.41%, 0.0001965%), (VZ, 0, 0.40%, 0.0001708%), (ACN, 0, 0.39%, 0.0001935%), (TXN, 0, 0.38%, 0.0001786%), (BLK, 0, 0.38%, 0.0001763%), (ADBE, 0, 0.38%, 0.0002028%), (MMM, 0, 0.38%, 0.0003671%), (MDT, 0, 0.38%, 0.0002505%), (TMO, 0, 0.37%, 0.0001602%), (UNP, 0, 0.37%, 0.0002224%), (COP, 0, 0.36%, 0.0002480%), (C, 0, 0.36%, 0.0001587%), (LMT, 0, 0.35%, 0.0002593%), (SCHW, 0, 0.33%, 0.0001543%), (SBUX, 0, 0.32%, 0.0002621%), (AMAT, 0, 0.30%, 0.0001841%), (AMGN, 0, 0.30%, 0.0001571%), (TJX, 0, 0.29%, 0.0001454%), (GILD, 0, 0.29%, 0.0001579%), (CVS, 0, 0.28%, 0.0002484%), (LOW, 0, 0.28%, 0.0001451%), (PFE, 0, 0.28%, 0.0001568%), (EMR, 0, 0.27%, 0.0002884%), (MO, 0, 0.26%, 0.0001877%), (DHR, 0, 0.26%, 0.0001431%), (INTC, 0, 0.24%, 0.0001650%), (ELV, 0, 0.23%, 0.0002614%), (CMCSA, 0, 0.22%, 0.0001422%), (MDLZ, 0, 0.20%, 0.0001927%), (BMY, 0, 0.19%, 0.0001567%), (UPS, 0, 0.17%, 0.0002163%), (PYPL, 0, 0.16%, 0.0002008%), (USB, 0, 0.15%, 0.0001549%), (CL, 0, 0.15%, 0.0001716%), (FDX, 0, 0.14%, 0.0002072%), (TGT, 0, 0.08%, 0.0001472%), (nan, 0, -0.00%, 0.0000000%), (nan, 0, -0.01%, 0.0000000%)</t>
  </si>
  <si>
    <t>(AMZN, 0, 3.79%, 0.0002511%), (AVGO, 0, 3.42%, 0.0003518%), (META, 0, 2.66%, 0.0002710%), (BRK/B, 0, 2.04%, 0.0004980%), (LIN, 0, 1.69%, 0.0012631%), (CSCO, 0, 1.68%, 0.0010545%), (TSLA, 0, 1.64%, 0.0002374%), (JPM, 0, 1.53%, 0.0003161%), (LLY, 0, 1.45%, 0.0003467%), (AMT, 0, 1.40%, 0.0025558%), (XOM, 0, 1.39%, 0.0004936%), (V, 0, 1.33%, 0.0003811%), (CB, 0, 1.10%, 0.0016778%), (MA, 0, 1.08%, 0.0003445%), (GE, 0, 1.02%, 0.0005837%), (WM, 0, 0.98%, 0.0018358%), (ABT, 0, 0.92%, 0.0006663%), (UNH, 0, 0.88%, 0.0005088%), (ORCL, 0, 0.88%, 0.0002173%), (NFLX, 0, 0.86%, 0.0002730%), (JNJ, 0, 0.81%, 0.0003143%), (NEE, 0, 0.80%, 0.0009123%), (WMT, 0, 0.77%, 0.0001581%), (PG, 0, 0.76%, 0.0003409%), (COST, 0, 0.75%, 0.0002904%), (CVX, 0, 0.74%, 0.0003908%), (PLTR, 0, 0.74%, 0.0003473%), (HD, 0, 0.72%, 0.0002862%), (MCD, 0, 0.71%, 0.0005276%), (RTX, 0, 0.70%, 0.0005647%), (ABBV, 0, 0.70%, 0.0003146%), (CAT, 0, 0.70%, 0.0005864%), (BAC, 0, 0.61%, 0.0002783%), (BA, 0, 0.59%, 0.0005595%), (KO, 0, 0.58%, 0.0003349%), (BKNG, 0, 0.58%, 0.0005398%), (PM, 0, 0.56%, 0.0003711%), (CRM, 0, 0.56%, 0.0003870%), (SO, 0, 0.55%, 0.0009202%), (NKE, 0, 0.55%, 0.0010348%), (IBM, 0, 0.54%, 0.0003812%), (AMD, 0, 0.52%, 0.0003557%), (GS, 0, 0.52%, 0.0003921%), (DUK, 0, 0.52%, 0.0009185%), (UBER, 0, 0.51%, 0.0004392%), (QCOM, 0, 0.51%, 0.0004867%), (ISRG, 0, 0.50%, 0.0005032%), (MET, 0, 0.49%, 0.0015405%), (WFC, 0, 0.49%, 0.0003209%), (HON, 0, 0.48%, 0.0005826%), (ETN, 0, 0.47%, 0.0005774%), (DIS, 0, 0.46%, 0.0003616%), (NOW, 0, 0.44%, 0.0003817%), (INTU, 0, 0.44%, 0.0003874%), (PEP, 0, 0.44%, 0.0003728%), (T, 0, 0.43%, 0.0015980%), (DE, 0, 0.42%, 0.0005353%), (MS, 0, 0.41%, 0.0002910%), (AXP, 0, 0.41%, 0.0003025%), (MRK, 0, 0.40%, 0.0003185%), (SPGI, 0, 0.39%, 0.0003927%), (MMM, 0, 0.38%, 0.0007714%), (VZ, 0, 0.38%, 0.0003413%), (ACN, 0, 0.37%, 0.0003866%), (TXN, 0, 0.36%, 0.0003570%), (BLK, 0, 0.36%, 0.0003519%), (ADBE, 0, 0.36%, 0.0004052%), (MDT, 0, 0.36%, 0.0005007%), (TMO, 0, 0.35%, 0.0003202%), (UNP, 0, 0.34%, 0.0004446%), (COP, 0, 0.34%, 0.0004959%), (C, 0, 0.34%, 0.0003172%), (LMT, 0, 0.33%, 0.0005186%), (SCHW, 0, 0.31%, 0.0003084%), (SBUX, 0, 0.30%, 0.0005239%), (AMAT, 0, 0.29%, 0.0003680%), (AMGN, 0, 0.28%, 0.0003141%), (TJX, 0, 0.27%, 0.0002907%), (GILD, 0, 0.27%, 0.0003156%), (CVS, 0, 0.27%, 0.0004964%), (LOW, 0, 0.27%, 0.0002901%), (PFE, 0, 0.26%, 0.0003135%), (EMR, 0, 0.26%, 0.0005764%), (MO, 0, 0.25%, 0.0003752%), (DHR, 0, 0.24%, 0.0002863%), (INTC, 0, 0.22%, 0.0003298%), (ELV, 0, 0.22%, 0.0005229%), (CMCSA, 0, 0.21%, 0.0002843%), (MDLZ, 0, 0.18%, 0.0003851%), (BMY, 0, 0.18%, 0.0003133%), (UPS, 0, 0.16%, 0.0004322%), (PYPL, 0, 0.15%, 0.0004013%), (USB, 0, 0.14%, 0.0003095%), (CL, 0, 0.14%, 0.0003429%), (FDX, 0, 0.13%, 0.0004145%), (TGT, 0, 0.07%, 0.0002945%), (nan, 0, -0.01%, 0.0000000%), (nan, 0, -0.01%, 0.0000000%)</t>
  </si>
  <si>
    <t>(AVGO, 0, 3.28%, 0.0000510%), (META, 0, 2.65%, 0.0000393%), (BRK/B, 0, 1.99%, 0.0000723%), (CSCO, 0, 1.65%, 0.0001529%), (LIN, 0, 1.64%, 0.0001831%), (TSLA, 0, 1.61%, 0.0000344%), (JPM, 0, 1.52%, 0.0000459%), (AMT, 0, 1.37%, 0.0003706%), (XOM, 0, 1.37%, 0.0000716%), (V, 0, 1.31%, 0.0000553%), (LLY, 0, 1.09%, 0.0000380%), (CB, 0, 1.08%, 0.0002434%), (MA, 0, 1.05%, 0.0000499%), (GE, 0, 1.00%, 0.0000847%), (WM, 0, 0.96%, 0.0002663%), (UNH, 0, 0.92%, 0.0000739%), (ORCL, 0, 0.87%, 0.0000315%), (NFLX, 0, 0.86%, 0.0000396%), (JNJ, 0, 0.79%, 0.0000456%), (NEE, 0, 0.78%, 0.0001323%), (WMT, 0, 0.75%, 0.0000229%), (PG, 0, 0.75%, 0.0000495%), (PLTR, 0, 0.75%, 0.0000504%), (COST, 0, 0.74%, 0.0000422%), (CVX, 0, 0.73%, 0.0000567%), (HD, 0, 0.70%, 0.0000415%), (MCD, 0, 0.69%, 0.0000765%), (ABBV, 0, 0.69%, 0.0000456%), (ABT, 0, 0.68%, 0.0000729%), (RTX, 0, 0.68%, 0.0000819%), (CAT, 0, 0.68%, 0.0000850%), (BAC, 0, 0.61%, 0.0000404%), (KO, 0, 0.58%, 0.0000486%), (BA, 0, 0.57%, 0.0000812%), (BKNG, 0, 0.57%, 0.0000776%), (PM, 0, 0.56%, 0.0000538%), (CRM, 0, 0.55%, 0.0000561%), (SO, 0, 0.54%, 0.0001334%), (IBM, 0, 0.54%, 0.0000553%), (NKE, 0, 0.53%, 0.0001501%), (GS, 0, 0.53%, 0.0000570%), (AMD, 0, 0.53%, 0.0000516%), (UBER, 0, 0.51%, 0.0000637%), (DUK, 0, 0.51%, 0.0001332%), (ISRG, 0, 0.49%, 0.0000731%), (WFC, 0, 0.49%, 0.0000465%), (MET, 0, 0.48%, 0.0002234%), (HON, 0, 0.47%, 0.0000846%), (ETN, 0, 0.46%, 0.0000837%), (NOW, 0, 0.44%, 0.0000553%), (PEP, 0, 0.43%, 0.0000540%), (INTU, 0, 0.43%, 0.0000563%), (T, 0, 0.42%, 0.0002318%), (MS, 0, 0.41%, 0.0000422%), (DE, 0, 0.40%, 0.0000777%), (AXP, 0, 0.40%, 0.0000438%), (MRK, 0, 0.40%, 0.0000462%), (SPGI, 0, 0.38%, 0.0000568%), (QCOM, 0, 0.37%, 0.0000534%), (VZ, 0, 0.37%, 0.0000495%), (ACN, 0, 0.36%, 0.0000560%), (MDT, 0, 0.36%, 0.0000727%), (BLK, 0, 0.35%, 0.0000510%), (TXN, 0, 0.35%, 0.0000518%), (ADBE, 0, 0.35%, 0.0000588%), (TMO, 0, 0.34%, 0.0000463%), (DIS, 0, 0.34%, 0.0000398%), (UNP, 0, 0.34%, 0.0000646%), (COP, 0, 0.33%, 0.0000719%), (C, 0, 0.33%, 0.0000460%), (LMT, 0, 0.32%, 0.0000752%), (SCHW, 0, 0.31%, 0.0000447%), (SBUX, 0, 0.29%, 0.0000760%), (AMAT, 0, 0.28%, 0.0000533%), (MMM, 0, 0.28%, 0.0000851%), (AMGN, 0, 0.28%, 0.0000455%), (GILD, 0, 0.27%, 0.0000458%), (TJX, 0, 0.27%, 0.0000421%), (CVS, 0, 0.27%, 0.0000720%), (PFE, 0, 0.26%, 0.0000455%), (LOW, 0, 0.26%, 0.0000421%), (EMR, 0, 0.25%, 0.0000835%), (MO, 0, 0.25%, 0.0000544%), (DHR, 0, 0.23%, 0.0000415%), (INTC, 0, 0.22%, 0.0000478%), (ELV, 0, 0.22%, 0.0000756%), (CMCSA, 0, 0.20%, 0.0000412%), (MDLZ, 0, 0.18%, 0.0000559%), (BMY, 0, 0.18%, 0.0000454%), (UPS, 0, 0.16%, 0.0000626%), (PYPL, 0, 0.15%, 0.0000582%), (USB, 0, 0.14%, 0.0000449%), (CL, 0, 0.14%, 0.0000497%), (FDX, 0, 0.13%, 0.0000602%), (TGT, 0, 0.07%, 0.0000427%), (nan, 0, -0.01%, 0.0000000%), (nan, 0, -0.01%, 0.0000000%)</t>
  </si>
  <si>
    <t>(AMZN, 0, 4.06%, 0.0002174%), (AVGO, 0, 3.56%, 0.0003046%), (META, 0, 2.88%, 0.0002346%), (BRK/B, 0, 2.17%, 0.0004312%), (CSCO, 0, 1.79%, 0.0009130%), (LIN, 0, 1.79%, 0.0010935%), (TSLA, 0, 1.75%, 0.0002056%), (JPM, 0, 1.65%, 0.0002737%), (AMT, 0, 1.49%, 0.0022128%), (XOM, 0, 1.48%, 0.0004273%), (V, 0, 1.42%, 0.0003299%), (LLY, 0, 1.18%, 0.0002270%), (CB, 0, 1.17%, 0.0014527%), (MA, 0, 1.15%, 0.0002982%), (GE, 0, 1.09%, 0.0005054%), (WM, 0, 1.04%, 0.0015896%), (UNH, 0, 1.00%, 0.0004405%), (ORCL, 0, 0.94%, 0.0001881%), (NFLX, 0, 0.93%, 0.0002365%), (JNJ, 0, 0.86%, 0.0002721%), (NEE, 0, 0.85%, 0.0007899%), (WMT, 0, 0.82%, 0.0001369%), (PG, 0, 0.81%, 0.0002952%), (PLTR, 0, 0.81%, 0.0003007%), (COST, 0, 0.80%, 0.0002514%), (CVX, 0, 0.79%, 0.0003384%), (HD, 0, 0.76%, 0.0002477%), (MCD, 0, 0.75%, 0.0004567%), (ABBV, 0, 0.75%, 0.0002724%), (ABT, 0, 0.74%, 0.0004349%), (RTX, 0, 0.74%, 0.0004890%), (CAT, 0, 0.74%, 0.0005076%), (BAC, 0, 0.66%, 0.0002409%), (KO, 0, 0.63%, 0.0002900%), (BA, 0, 0.62%, 0.0004844%), (BKNG, 0, 0.62%, 0.0004685%), (PM, 0, 0.61%, 0.0003213%), (CRM, 0, 0.59%, 0.0003351%), (SO, 0, 0.59%, 0.0007967%), (IBM, 0, 0.58%, 0.0003300%), (NKE, 0, 0.58%, 0.0008959%), (AMD, 0, 0.57%, 0.0003079%), (GS, 0, 0.57%, 0.0003394%), (UBER, 0, 0.55%, 0.0003803%), (DUK, 0, 0.55%, 0.0007952%), (ISRG, 0, 0.53%, 0.0004355%), (WFC, 0, 0.53%, 0.0002779%), (MET, 0, 0.52%, 0.0013338%), (HON, 0, 0.51%, 0.0005045%), (ETN, 0, 0.50%, 0.0004999%), (NOW, 0, 0.47%, 0.0003303%), (PEP, 0, 0.47%, 0.0003228%), (INTU, 0, 0.46%, 0.0003354%), (T, 0, 0.46%, 0.0013835%), (MS, 0, 0.45%, 0.0002520%), (DE, 0, 0.44%, 0.0004635%), (AXP, 0, 0.43%, 0.0002620%), (MRK, 0, 0.43%, 0.0002758%), (SPGI, 0, 0.42%, 0.0003402%), (QCOM, 0, 0.40%, 0.0003188%), (VZ, 0, 0.40%, 0.0002955%), (ACN, 0, 0.39%, 0.0003348%), (MDT, 0, 0.39%, 0.0004335%), (BLK, 0, 0.38%, 0.0003048%), (TXN, 0, 0.38%, 0.0003091%), (ADBE, 0, 0.38%, 0.0003509%), (TMO, 0, 0.37%, 0.0002773%), (DIS, 0, 0.37%, 0.0002374%), (UNP, 0, 0.36%, 0.0003849%), (COP, 0, 0.36%, 0.0004293%), (C, 0, 0.36%, 0.0002746%), (LMT, 0, 0.35%, 0.0004490%), (SCHW, 0, 0.33%, 0.0002671%), (SBUX, 0, 0.32%, 0.0004536%), (AMAT, 0, 0.31%, 0.0003187%), (MMM, 0, 0.30%, 0.0005077%), (AMGN, 0, 0.30%, 0.0002719%), (GILD, 0, 0.29%, 0.0002733%), (TJX, 0, 0.29%, 0.0002516%), (CVS, 0, 0.29%, 0.0004298%), (PFE, 0, 0.28%, 0.0002714%), (LOW, 0, 0.28%, 0.0002512%), (EMR, 0, 0.27%, 0.0004989%), (MO, 0, 0.27%, 0.0003248%), (DHR, 0, 0.25%, 0.0002478%), (INTC, 0, 0.24%, 0.0002855%), (ELV, 0, 0.23%, 0.0004527%), (CMCSA, 0, 0.22%, 0.0002461%), (MDLZ, 0, 0.20%, 0.0003334%), (BMY, 0, 0.19%, 0.0002713%), (UPS, 0, 0.17%, 0.0003742%), (PYPL, 0, 0.16%, 0.0003475%), (USB, 0, 0.15%, 0.0002680%), (CL, 0, 0.15%, 0.0002969%), (FDX, 0, 0.14%, 0.0003590%), (TGT, 0, 0.08%, 0.0002548%), (nan, 0, -0.02%, 0.0000000%), (nan, 0, -0.02%, 0.0000000%)</t>
  </si>
  <si>
    <t>(AMZN, 0, 4.05%, 0.0001620%), (AVGO, 0, 3.56%, 0.0002270%), (META, 0, 2.87%, 0.0001748%), (BRK/B, 0, 2.16%, 0.0003213%), (CSCO, 0, 1.79%, 0.0006803%), (LIN, 0, 1.79%, 0.0008149%), (TSLA, 0, 1.74%, 0.0001532%), (JPM, 0, 1.65%, 0.0002040%), (AMT, 0, 1.49%, 0.0016488%), (XOM, 0, 1.48%, 0.0003184%), (V, 0, 1.42%, 0.0002458%), (LLY, 0, 1.18%, 0.0001701%), (CB, 0, 1.17%, 0.0010825%), (MA, 0, 1.14%, 0.0002223%), (GE, 0, 1.09%, 0.0003766%), (WM, 0, 1.04%, 0.0011845%), (UNH, 0, 0.99%, 0.0003283%), (ORCL, 0, 0.94%, 0.0001402%), (NFLX, 0, 0.93%, 0.0001763%), (JNJ, 0, 0.86%, 0.0002028%), (NEE, 0, 0.85%, 0.0005886%), (WMT, 0, 0.82%, 0.0001020%), (PG, 0, 0.81%, 0.0002200%), (PLTR, 0, 0.81%, 0.0002241%), (COST, 0, 0.80%, 0.0001873%), (CVX, 0, 0.79%, 0.0002522%), (HD, 0, 0.76%, 0.0001847%), (MCD, 0, 0.75%, 0.0003404%), (ABBV, 0, 0.75%, 0.0002030%), (ABT, 0, 0.74%, 0.0003241%), (RTX, 0, 0.73%, 0.0003643%), (CAT, 0, 0.73%, 0.0003782%), (BAC, 0, 0.66%, 0.0001795%), (KO, 0, 0.62%, 0.0002161%), (BA, 0, 0.62%, 0.0003610%), (BKNG, 0, 0.62%, 0.0003475%), (PM, 0, 0.61%, 0.0002394%), (CRM, 0, 0.59%, 0.0002497%), (SO, 0, 0.59%, 0.0005937%), (IBM, 0, 0.58%, 0.0002460%), (NKE, 0, 0.58%, 0.0006676%), (GS, 0, 0.57%, 0.0002531%), (AMD, 0, 0.57%, 0.0002295%), (UBER, 0, 0.55%, 0.0002834%), (DUK, 0, 0.55%, 0.0005926%), (ISRG, 0, 0.53%, 0.0003247%), (WFC, 0, 0.53%, 0.0002071%), (MET, 0, 0.52%, 0.0009939%), (HON, 0, 0.51%, 0.0003760%), (ETN, 0, 0.50%, 0.0003725%), (NOW, 0, 0.47%, 0.0002462%), (PEP, 0, 0.47%, 0.0002405%), (INTU, 0, 0.46%, 0.0002500%), (T, 0, 0.46%, 0.0010310%), (MS, 0, 0.45%, 0.0001878%), (DE, 0, 0.44%, 0.0003455%), (AXP, 0, 0.43%, 0.0001953%), (MRK, 0, 0.43%, 0.0002055%), (SPGI, 0, 0.41%, 0.0002533%), (QCOM, 0, 0.40%, 0.0002376%), (VZ, 0, 0.40%, 0.0002202%), (ACN, 0, 0.39%, 0.0002495%), (MDT, 0, 0.38%, 0.0003231%), (BLK, 0, 0.38%, 0.0002273%), (TXN, 0, 0.38%, 0.0002303%), (ADBE, 0, 0.38%, 0.0002613%), (TMO, 0, 0.37%, 0.0002065%), (DIS, 0, 0.37%, 0.0001769%), (UNP, 0, 0.36%, 0.0002868%), (COP, 0, 0.36%, 0.0003200%), (C, 0, 0.36%, 0.0002047%), (LMT, 0, 0.35%, 0.0003345%), (SCHW, 0, 0.33%, 0.0001990%), (SBUX, 0, 0.32%, 0.0003380%), (AMAT, 0, 0.31%, 0.0002375%), (MMM, 0, 0.30%, 0.0003763%), (AMGN, 0, 0.30%, 0.0002027%), (GILD, 0, 0.29%, 0.0002036%), (TJX, 0, 0.29%, 0.0001875%), (CVS, 0, 0.29%, 0.0003203%), (PFE, 0, 0.28%, 0.0002022%), (LOW, 0, 0.28%, 0.0001872%), (EMR, 0, 0.27%, 0.0003719%), (MO, 0, 0.27%, 0.0002420%), (DHR, 0, 0.25%, 0.0001846%), (INTC, 0, 0.24%, 0.0002128%), (ELV, 0, 0.23%, 0.0003370%), (CMCSA, 0, 0.22%, 0.0001834%), (MDLZ, 0, 0.20%, 0.0002485%), (BMY, 0, 0.19%, 0.0002021%), (UPS, 0, 0.17%, 0.0002789%), (PYPL, 0, 0.16%, 0.0002590%), (USB, 0, 0.15%, 0.0001997%), (CL, 0, 0.15%, 0.0002212%), (FDX, 0, 0.14%, 0.0002674%), (TGT, 0, 0.08%, 0.0001899%), (nan, 0, -0.02%, 0.0000000%), (nan, 0, -0.02%, 0.0000000%)</t>
  </si>
  <si>
    <t>(AMZN, 0, 4.11%, 0.0000380%), (AVGO, 0, 3.61%, 0.0000532%), (META, 0, 2.91%, 0.0000410%), (BRK/B, 0, 2.19%, 0.0000753%), (CSCO, 0, 1.81%, 0.0001595%), (LIN, 0, 1.81%, 0.0001910%), (TSLA, 0, 1.77%, 0.0000359%), (JPM, 0, 1.67%, 0.0000478%), (AMT, 0, 1.51%, 0.0003866%), (XOM, 0, 1.50%, 0.0000747%), (V, 0, 1.44%, 0.0000576%), (LLY, 0, 1.20%, 0.0000397%), (CB, 0, 1.19%, 0.0002538%), (MA, 0, 1.16%, 0.0000521%), (GE, 0, 1.10%, 0.0000883%), (WM, 0, 1.05%, 0.0002778%), (UNH, 0, 1.01%, 0.0000769%), (ORCL, 0, 0.95%, 0.0000329%), (NFLX, 0, 0.94%, 0.0000413%), (JNJ, 0, 0.87%, 0.0000475%), (NEE, 0, 0.86%, 0.0001380%), (WMT, 0, 0.83%, 0.0000239%), (PG, 0, 0.82%, 0.0000516%), (PLTR, 0, 0.82%, 0.0000525%), (COST, 0, 0.81%, 0.0000440%), (CVX, 0, 0.80%, 0.0000591%), (HD, 0, 0.77%, 0.0000433%), (MCD, 0, 0.76%, 0.0000797%), (ABBV, 0, 0.76%, 0.0000476%), (ABT, 0, 0.75%, 0.0000760%), (RTX, 0, 0.74%, 0.0000854%), (CAT, 0, 0.74%, 0.0000886%), (BAC, 0, 0.67%, 0.0000421%), (KO, 0, 0.63%, 0.0000507%), (BA, 0, 0.63%, 0.0000846%), (BKNG, 0, 0.62%, 0.0000807%), (PM, 0, 0.61%, 0.0000561%), (CRM, 0, 0.60%, 0.0000585%), (SO, 0, 0.60%, 0.0001392%), (IBM, 0, 0.59%, 0.0000577%), (NKE, 0, 0.59%, 0.0001566%), (AMD, 0, 0.58%, 0.0000538%), (GS, 0, 0.57%, 0.0000593%), (UBER, 0, 0.56%, 0.0000664%), (DUK, 0, 0.56%, 0.0001390%), (ISRG, 0, 0.54%, 0.0000762%), (WFC, 0, 0.53%, 0.0000485%), (MET, 0, 0.53%, 0.0002331%), (HON, 0, 0.51%, 0.0000882%), (ETN, 0, 0.51%, 0.0000873%), (NOW, 0, 0.48%, 0.0000577%), (PEP, 0, 0.47%, 0.0000564%), (INTU, 0, 0.47%, 0.0000585%), (T, 0, 0.47%, 0.0002417%), (MS, 0, 0.46%, 0.0000440%), (DE, 0, 0.44%, 0.0000810%), (AXP, 0, 0.44%, 0.0000457%), (MRK, 0, 0.43%, 0.0000482%), (SPGI, 0, 0.42%, 0.0000594%), (QCOM, 0, 0.41%, 0.0000557%), (VZ, 0, 0.41%, 0.0000516%), (ACN, 0, 0.39%, 0.0000584%), (MDT, 0, 0.39%, 0.0000757%), (TXN, 0, 0.39%, 0.0000540%), (BLK, 0, 0.39%, 0.0000530%), (ADBE, 0, 0.38%, 0.0000614%), (DIS, 0, 0.37%, 0.0000415%), (TMO, 0, 0.37%, 0.0000484%), (UNP, 0, 0.37%, 0.0000673%), (COP, 0, 0.37%, 0.0000750%), (C, 0, 0.37%, 0.0000480%), (LMT, 0, 0.36%, 0.0000787%), (SCHW, 0, 0.34%, 0.0000467%), (SBUX, 0, 0.32%, 0.0000793%), (AMAT, 0, 0.31%, 0.0000557%), (MMM, 0, 0.31%, 0.0000887%), (AMGN, 0, 0.31%, 0.0000476%), (GILD, 0, 0.29%, 0.0000477%), (TJX, 0, 0.29%, 0.0000439%), (CVS, 0, 0.29%, 0.0000751%), (PFE, 0, 0.29%, 0.0000474%), (LOW, 0, 0.28%, 0.0000439%), (EMR, 0, 0.28%, 0.0000872%), (MO, 0, 0.27%, 0.0000568%), (DHR, 0, 0.25%, 0.0000433%), (INTC, 0, 0.24%, 0.0000499%), (ELV, 0, 0.24%, 0.0000792%), (CMCSA, 0, 0.23%, 0.0000430%), (MDLZ, 0, 0.20%, 0.0000583%), (BMY, 0, 0.19%, 0.0000474%), (UPS, 0, 0.17%, 0.0000653%), (PYPL, 0, 0.16%, 0.0000607%), (USB, 0, 0.15%, 0.0000468%), (CL, 0, 0.15%, 0.0000519%), (FDX, 0, 0.14%, 0.0000627%), (TGT, 0, 0.08%, 0.0000445%), (nan, 0, -0.02%, 0.0000000%), (nan, 0, -0.02%, 0.0000000%)</t>
  </si>
  <si>
    <t>(AMZN, 0, 3.91%, 0.0000668%), (AVGO, 0, 3.43%, 0.0000936%), (META, 0, 2.77%, 0.0000721%), (BRK/B, 0, 2.08%, 0.0001325%), (CSCO, 0, 1.72%, 0.0002806%), (LIN, 0, 1.72%, 0.0003362%), (TSLA, 0, 1.68%, 0.0000632%), (JPM, 0, 1.59%, 0.0000842%), (AMT, 0, 1.43%, 0.0006801%), (XOM, 0, 1.43%, 0.0001314%), (V, 0, 1.37%, 0.0001014%), (LLY, 0, 1.14%, 0.0000700%), (CB, 0, 1.13%, 0.0004464%), (MA, 0, 1.10%, 0.0000917%), (GE, 0, 1.05%, 0.0001554%), (WM, 0, 1.00%, 0.0004887%), (UNH, 0, 0.96%, 0.0001355%), (ORCL, 0, 0.91%, 0.0000578%), (NFLX, 0, 0.89%, 0.0000727%), (JNJ, 0, 0.82%, 0.0000836%), (NEE, 0, 0.82%, 0.0002428%), (WMT, 0, 0.79%, 0.0000421%), (PG, 0, 0.78%, 0.0000907%), (PLTR, 0, 0.78%, 0.0000924%), (COST, 0, 0.77%, 0.0000772%), (CVX, 0, 0.76%, 0.0001040%), (HD, 0, 0.73%, 0.0000762%), (MCD, 0, 0.72%, 0.0001404%), (ABBV, 0, 0.72%, 0.0000837%), (ABT, 0, 0.71%, 0.0001335%), (RTX, 0, 0.71%, 0.0001503%), (CAT, 0, 0.71%, 0.0001560%), (BAC, 0, 0.63%, 0.0000741%), (KO, 0, 0.60%, 0.0000891%), (BA, 0, 0.60%, 0.0001489%), (BKNG, 0, 0.59%, 0.0001427%), (PM, 0, 0.58%, 0.0000988%), (CRM, 0, 0.57%, 0.0001030%), (SO, 0, 0.57%, 0.0002449%), (IBM, 0, 0.56%, 0.0001014%), (NKE, 0, 0.56%, 0.0002755%), (AMD, 0, 0.55%, 0.0000946%), (GS, 0, 0.55%, 0.0001044%), (UBER, 0, 0.53%, 0.0001169%), (DUK, 0, 0.53%, 0.0002445%), (ISRG, 0, 0.51%, 0.0001340%), (WFC, 0, 0.51%, 0.0000854%), (MET, 0, 0.50%, 0.0004101%), (HON, 0, 0.49%, 0.0001551%), (ETN, 0, 0.48%, 0.0001536%), (NOW, 0, 0.45%, 0.0001014%), (PEP, 0, 0.45%, 0.0000992%), (INTU, 0, 0.44%, 0.0001029%), (T, 0, 0.44%, 0.0004253%), (MS, 0, 0.43%, 0.0000775%), (DE, 0, 0.42%, 0.0001424%), (AXP, 0, 0.42%, 0.0000806%), (MRK, 0, 0.41%, 0.0000848%), (SPGI, 0, 0.40%, 0.0001044%), (QCOM, 0, 0.39%, 0.0000979%), (VZ, 0, 0.39%, 0.0000908%), (ACN, 0, 0.37%, 0.0001029%), (BLK, 0, 0.37%, 0.0000936%), (MDT, 0, 0.37%, 0.0001332%), (TXN, 0, 0.37%, 0.0000951%), (ADBE, 0, 0.37%, 0.0001077%), (TMO, 0, 0.36%, 0.0000852%), (DIS, 0, 0.36%, 0.0000729%), (UNP, 0, 0.35%, 0.0001183%), (COP, 0, 0.35%, 0.0001320%), (C, 0, 0.35%, 0.0000844%), (LMT, 0, 0.34%, 0.0001379%), (SCHW, 0, 0.32%, 0.0000821%), (SBUX, 0, 0.31%, 0.0001394%), (AMAT, 0, 0.29%, 0.0000979%), (MMM, 0, 0.29%, 0.0001559%), (AMGN, 0, 0.29%, 0.0000836%), (GILD, 0, 0.28%, 0.0000840%), (TJX, 0, 0.28%, 0.0000774%), (CVS, 0, 0.28%, 0.0001321%), (PFE, 0, 0.27%, 0.0000834%), (LOW, 0, 0.27%, 0.0000772%), (EMR, 0, 0.26%, 0.0001533%), (MO, 0, 0.26%, 0.0000998%), (DHR, 0, 0.24%, 0.0000762%), (INTC, 0, 0.23%, 0.0000878%), (ELV, 0, 0.23%, 0.0001390%), (CMCSA, 0, 0.21%, 0.0000757%), (MDLZ, 0, 0.19%, 0.0001025%), (BMY, 0, 0.18%, 0.0000834%), (UPS, 0, 0.17%, 0.0001151%), (PYPL, 0, 0.16%, 0.0001068%), (USB, 0, 0.15%, 0.0000824%), (CL, 0, 0.14%, 0.0000913%), (FDX, 0, 0.14%, 0.0001102%), (TGT, 0, 0.07%, 0.0000783%), (nan, 0, -0.01%, 0.0000000%), (nan, 0, -0.01%, 0.0000000%)</t>
  </si>
  <si>
    <t>(AMZN, 0, 3.99%, 0.0000241%), (AVGO, 0, 3.50%, 0.0000338%), (META, 0, 2.82%, 0.0000260%), (BRK/B, 0, 2.13%, 0.0000479%), (CSCO, 0, 1.76%, 0.0001014%), (LIN, 0, 1.76%, 0.0001214%), (TSLA, 0, 1.72%, 0.0000228%), (JPM, 0, 1.62%, 0.0000304%), (AMT, 0, 1.46%, 0.0002456%), (XOM, 0, 1.46%, 0.0000475%), (V, 0, 1.39%, 0.0000366%), (LLY, 0, 1.16%, 0.0000253%), (CB, 0, 1.15%, 0.0001614%), (MA, 0, 1.12%, 0.0000331%), (GE, 0, 1.07%, 0.0000561%), (WM, 0, 1.02%, 0.0001765%), (UNH, 0, 0.99%, 0.0000489%), (ORCL, 0, 0.92%, 0.0000209%), (NFLX, 0, 0.92%, 0.0000262%), (JNJ, 0, 0.84%, 0.0000302%), (NEE, 0, 0.84%, 0.0000877%), (WMT, 0, 0.81%, 0.0000152%), (PG, 0, 0.80%, 0.0000328%), (PLTR, 0, 0.80%, 0.0000334%), (COST, 0, 0.79%, 0.0000280%), (CVX, 0, 0.78%, 0.0000376%), (HD, 0, 0.74%, 0.0000275%), (MCD, 0, 0.74%, 0.0000507%), (ABBV, 0, 0.73%, 0.0000302%), (ABT, 0, 0.72%, 0.0000482%), (RTX, 0, 0.72%, 0.0000543%), (CAT, 0, 0.72%, 0.0000564%), (BAC, 0, 0.65%, 0.0000268%), (BKNG, 0, 0.62%, 0.0000527%), (KO, 0, 0.61%, 0.0000322%), (BA, 0, 0.61%, 0.0000538%), (PM, 0, 0.60%, 0.0000357%), (CRM, 0, 0.58%, 0.0000372%), (SO, 0, 0.58%, 0.0000884%), (IBM, 0, 0.57%, 0.0000367%), (NKE, 0, 0.57%, 0.0000995%), (GS, 0, 0.56%, 0.0000377%), (AMD, 0, 0.56%, 0.0000342%), (UBER, 0, 0.54%, 0.0000422%), (DUK, 0, 0.54%, 0.0000883%), (ISRG, 0, 0.52%, 0.0000482%), (WFC, 0, 0.52%, 0.0000308%), (MET, 0, 0.51%, 0.0001481%), (HON, 0, 0.50%, 0.0000561%), (ETN, 0, 0.49%, 0.0000555%), (NOW, 0, 0.46%, 0.0000365%), (PEP, 0, 0.46%, 0.0000358%), (INTU, 0, 0.46%, 0.0000373%), (T, 0, 0.45%, 0.0001536%), (MS, 0, 0.44%, 0.0000280%), (DE, 0, 0.43%, 0.0000514%), (AXP, 0, 0.42%, 0.0000290%), (MRK, 0, 0.42%, 0.0000306%), (SPGI, 0, 0.41%, 0.0000376%), (QCOM, 0, 0.40%, 0.0000354%), (VZ, 0, 0.39%, 0.0000328%), (ACN, 0, 0.38%, 0.0000372%), (MDT, 0, 0.38%, 0.0000481%), (ADBE, 0, 0.38%, 0.0000389%), (TXN, 0, 0.38%, 0.0000343%), (BLK, 0, 0.38%, 0.0000336%), (TMO, 0, 0.37%, 0.0000309%), (DIS, 0, 0.36%, 0.0000263%), (UNP, 0, 0.36%, 0.0000428%), (COP, 0, 0.36%, 0.0000476%), (C, 0, 0.36%, 0.0000305%), (LMT, 0, 0.34%, 0.0000497%), (SCHW, 0, 0.33%, 0.0000296%), (SBUX, 0, 0.31%, 0.0000503%), (AMAT, 0, 0.30%, 0.0000354%), (MMM, 0, 0.30%, 0.0000563%), (AMGN, 0, 0.30%, 0.0000303%), (GILD, 0, 0.28%, 0.0000304%), (TJX, 0, 0.28%, 0.0000279%), (CVS, 0, 0.28%, 0.0000477%), (PFE, 0, 0.28%, 0.0000301%), (LOW, 0, 0.27%, 0.0000278%), (EMR, 0, 0.27%, 0.0000554%), (MO, 0, 0.26%, 0.0000360%), (DHR, 0, 0.25%, 0.0000275%), (INTC, 0, 0.23%, 0.0000317%), (ELV, 0, 0.23%, 0.0000504%), (CMCSA, 0, 0.22%, 0.0000273%), (MDLZ, 0, 0.19%, 0.0000370%), (BMY, 0, 0.19%, 0.0000301%), (UPS, 0, 0.17%, 0.0000416%), (PYPL, 0, 0.16%, 0.0000386%), (USB, 0, 0.15%, 0.0000298%), (CL, 0, 0.15%, 0.0000330%), (FDX, 0, 0.14%, 0.0000398%), (TGT, 0, 0.08%, 0.0000284%), (nan, 0, -0.01%, 0.0000000%), (nan, 0, -0.01%, 0.0000000%)</t>
  </si>
  <si>
    <t>(AMZN, 0, 4.22%, 0.0000576%), (AVGO, 0, 3.71%, 0.0000807%), (META, 0, 2.99%, 0.0000622%), (BRK/B, 0, 2.25%, 0.0001143%), (CSCO, 0, 1.86%, 0.0002420%), (LIN, 0, 1.86%, 0.0002898%), (TSLA, 0, 1.82%, 0.0000545%), (JPM, 0, 1.72%, 0.0000726%), (AMT, 0, 1.55%, 0.0005864%), (XOM, 0, 1.54%, 0.0001132%), (V, 0, 1.48%, 0.0000874%), (LLY, 0, 1.23%, 0.0000602%), (CB, 0, 1.22%, 0.0003850%), (MA, 0, 1.19%, 0.0000790%), (GE, 0, 1.13%, 0.0001340%), (WM, 0, 1.08%, 0.0004212%), (UNH, 0, 1.04%, 0.0001168%), (ORCL, 0, 0.98%, 0.0000498%), (NFLX, 0, 0.97%, 0.0000628%), (JNJ, 0, 0.89%, 0.0000721%), (NEE, 0, 0.89%, 0.0002094%), (WMT, 0, 0.85%, 0.0000363%), (PG, 0, 0.84%, 0.0000782%), (PLTR, 0, 0.84%, 0.0000797%), (COST, 0, 0.83%, 0.0000666%), (CVX, 0, 0.82%, 0.0000897%), (HD, 0, 0.79%, 0.0000657%), (MCD, 0, 0.78%, 0.0001211%), (ABBV, 0, 0.78%, 0.0000722%), (ABT, 0, 0.77%, 0.0001152%), (RTX, 0, 0.76%, 0.0001296%), (CAT, 0, 0.76%, 0.0001345%), (BAC, 0, 0.69%, 0.0000639%), (KO, 0, 0.65%, 0.0000769%), (BA, 0, 0.65%, 0.0001284%), (BKNG, 0, 0.65%, 0.0001241%), (PM, 0, 0.63%, 0.0000852%), (CRM, 0, 0.61%, 0.0000888%), (SO, 0, 0.61%, 0.0002111%), (IBM, 0, 0.60%, 0.0000875%), (NKE, 0, 0.60%, 0.0002374%), (AMD, 0, 0.59%, 0.0000816%), (GS, 0, 0.59%, 0.0000900%), (UBER, 0, 0.57%, 0.0001008%), (DUK, 0, 0.57%, 0.0002108%), (ISRG, 0, 0.55%, 0.0001154%), (WFC, 0, 0.55%, 0.0000736%), (MET, 0, 0.54%, 0.0003535%), (HON, 0, 0.53%, 0.0001337%), (ETN, 0, 0.52%, 0.0001325%), (NOW, 0, 0.49%, 0.0000875%), (PEP, 0, 0.49%, 0.0000856%), (INTU, 0, 0.48%, 0.0000890%), (T, 0, 0.48%, 0.0003667%), (MS, 0, 0.47%, 0.0000668%), (DE, 0, 0.46%, 0.0001228%), (AXP, 0, 0.45%, 0.0000694%), (MRK, 0, 0.45%, 0.0000731%), (SPGI, 0, 0.43%, 0.0000902%), (QCOM, 0, 0.42%, 0.0000845%), (VZ, 0, 0.42%, 0.0000783%), (ACN, 0, 0.40%, 0.0000888%), (BLK, 0, 0.40%, 0.0000807%), (MDT, 0, 0.40%, 0.0001149%), (TXN, 0, 0.40%, 0.0000819%), (ADBE, 0, 0.39%, 0.0000929%), (TMO, 0, 0.39%, 0.0000735%), (DIS, 0, 0.38%, 0.0000629%), (UNP, 0, 0.38%, 0.0001020%), (COP, 0, 0.38%, 0.0001138%), (C, 0, 0.38%, 0.0000728%), (LMT, 0, 0.36%, 0.0001188%), (SCHW, 0, 0.35%, 0.0000708%), (SBUX, 0, 0.33%, 0.0001202%), (AMAT, 0, 0.32%, 0.0000845%), (MMM, 0, 0.32%, 0.0001346%), (AMGN, 0, 0.31%, 0.0000721%), (TJX, 0, 0.30%, 0.0000667%), (GILD, 0, 0.30%, 0.0000724%), (CVS, 0, 0.30%, 0.0001139%), (PFE, 0, 0.29%, 0.0000719%), (LOW, 0, 0.29%, 0.0000665%), (EMR, 0, 0.28%, 0.0001322%), (MO, 0, 0.28%, 0.0000861%), (DHR, 0, 0.26%, 0.0000657%), (INTC, 0, 0.25%, 0.0000757%), (ELV, 0, 0.24%, 0.0001201%), (CMCSA, 0, 0.23%, 0.0000652%), (MDLZ, 0, 0.21%, 0.0000883%), (BMY, 0, 0.20%, 0.0000719%), (UPS, 0, 0.18%, 0.0000992%), (PYPL, 0, 0.17%, 0.0000921%), (USB, 0, 0.16%, 0.0000710%), (CL, 0, 0.15%, 0.0000787%), (FDX, 0, 0.15%, 0.0000949%), (TGT, 0, 0.08%, 0.0000676%), (nan, 0, -0.02%, 0.0000000%), (nan, 0, -0.02%, 0.0000000%)</t>
  </si>
  <si>
    <t>EBAY, GOOGLE, BK, META, MLI, JPM, PHM, MSFT, BKNG, EWBC, BLK</t>
  </si>
  <si>
    <t>(EA, 0, 1.95%, 0.0025669%), (RJF, 0, 1.94%, 0.0032174%), (AXP, 0, 1.92%, 0.0004701%), (HIG, 0, 1.84%, 0.0027587%), (TRV, 0, 1.83%, 0.0016372%), (V, 0, 1.81%, 0.0001690%), (ROST, 0, 1.74%, 0.0019663%), (UNM, 0, 1.73%, 0.0075825%), (KLAC, 0, 1.71%, 0.0007733%), (LEN, 0, 1.70%, 0.0030281%), (SNA, 0, 1.69%, 0.0055030%), (NVDA, 0, 1.68%, 0.0000221%), (SYF, 0, 1.67%, 0.0033284%), (ADP, 0, 1.67%, 0.0007583%), (AMAT, 0, 1.65%, 0.0006904%), (CB, 0, 1.64%, 0.0008230%), (PCAR, 0, 1.62%, 0.0017285%), (CRM, 0, 1.52%, 0.0003455%), (WSM, 0, 1.51%, 0.0033328%), (CTSH, 0, 1.50%, 0.0024038%), (DHI, 0, 1.47%, 0.0015292%), (PAYC, 0, 1.43%, 0.0060681%), (BKR, 0, 1.42%, 0.0017303%), (QCOM, 0, 1.34%, 0.0004292%), (AAPL, 0, 1.28%, 0.0000202%), (ELV, 0, 1.27%, 0.0009895%), (ACN, 0, 1.26%, 0.0004391%), (AFL, 0, 1.23%, 0.0011858%), (MPWR, 0, 1.15%, 0.0015305%), (LRCX, 0, 1.14%, 0.0004708%), (ODFL, 0, 1.07%, 0.0018714%), (CSCO, 0, 1.06%, 0.0002173%), (GE, 0, 1.05%, 0.0001965%), (STT, 0, 0.98%, 0.0017045%), (PNC, 0, 0.93%, 0.0006473%), (MTB, 0, 0.93%, 0.0016481%), (COST, 0, 0.85%, 0.0001074%), (CF, 0, 0.84%, 0.0033592%), (AMP, 0, 0.84%, 0.0009978%), (ABT, 0, 0.83%, 0.0001971%), (XOM, 0, 0.81%, 0.0000935%), (EOG, 0, 0.77%, 0.0006568%), (EG, 0, 0.75%, 0.0028714%), (CSL, 0, 0.75%, 0.0025535%), (GEV, 0, 0.54%, 0.0001791%), (NTRS, 0, 0.52%, 0.0011686%), (MA, 0, 0.49%, 0.0000517%), (JNJ, 0, 0.48%, 0.0000614%), (ACM, 0, 0.48%, 0.0015788%), (CRBG, 0, 0.46%, 0.0014077%), (LNC, 0, 0.46%, 0.0031821%), (WTFC, 0, 0.45%, 0.0026586%), (MTG, 0, 0.45%, 0.0038808%), (JXN, 0, 0.44%, 0.0035807%), (CINF, 0, 0.43%, 0.0009851%), (ADM, 0, 0.42%, 0.0007659%), (EQH, 0, 0.41%, 0.0014302%), (DOV, 0, 0.41%, 0.0009420%), (MCK, 0, 0.41%, 0.0002565%), (ALL, 0, 0.40%, 0.0004152%), (SLM, 0, 0.39%, 0.0034944%), (NUE, 0, 0.38%, 0.0006435%), (NKE, 0, 0.36%, 0.0002264%), (PGR, 0, 0.36%, 0.0001375%), (FANG, 0, 0.29%, 0.0003973%)</t>
  </si>
  <si>
    <t>(AMZN, 0, 3.87%, 0.0000614%), (AVGO, 0, 3.39%, 0.0000861%), (META, 0, 2.74%, 0.0000663%), (BRK/B, 0, 2.06%, 0.0001219%), (CSCO, 0, 1.71%, 0.0002580%), (LIN, 0, 1.70%, 0.0003090%), (TSLA, 0, 1.66%, 0.0000581%), (JPM, 0, 1.57%, 0.0000774%), (AMT, 0, 1.42%, 0.0006254%), (XOM, 0, 1.41%, 0.0001208%), (V, 0, 1.35%, 0.0000932%), (LLY, 0, 1.12%, 0.0000641%), (CB, 0, 1.11%, 0.0004106%), (MA, 0, 1.09%, 0.0000843%), (GE, 0, 1.03%, 0.0001429%), (WM, 0, 0.99%, 0.0004493%), (UNH, 0, 0.95%, 0.0001245%), (ORCL, 0, 0.90%, 0.0000532%), (NFLX, 0, 0.88%, 0.0000668%), (JNJ, 0, 0.82%, 0.0000769%), (NEE, 0, 0.81%, 0.0002233%), (WMT, 0, 0.78%, 0.0000387%), (PG, 0, 0.77%, 0.0000834%), (PLTR, 0, 0.77%, 0.0000850%), (COST, 0, 0.76%, 0.0000711%), (CVX, 0, 0.75%, 0.0000956%), (HD, 0, 0.72%, 0.0000700%), (MCD, 0, 0.72%, 0.0001291%), (ABBV, 0, 0.71%, 0.0000770%), (ABT, 0, 0.70%, 0.0001228%), (RTX, 0, 0.70%, 0.0001382%), (CAT, 0, 0.70%, 0.0001434%), (BAC, 0, 0.63%, 0.0000681%), (BKNG, 0, 0.60%, 0.0001334%), (KO, 0, 0.59%, 0.0000819%), (BA, 0, 0.59%, 0.0001370%), (PM, 0, 0.58%, 0.0000908%), (CRM, 0, 0.56%, 0.0000947%), (SO, 0, 0.56%, 0.0002251%), (IBM, 0, 0.56%, 0.0000933%), (NKE, 0, 0.55%, 0.0002533%), (AMD, 0, 0.54%, 0.0000870%), (GS, 0, 0.54%, 0.0000960%), (UBER, 0, 0.53%, 0.0001075%), (DUK, 0, 0.52%, 0.0002248%), (ISRG, 0, 0.51%, 0.0001233%), (WFC, 0, 0.50%, 0.0000785%), (MET, 0, 0.49%, 0.0003770%), (HON, 0, 0.48%, 0.0001425%), (ETN, 0, 0.48%, 0.0001413%), (NOW, 0, 0.45%, 0.0000933%), (PEP, 0, 0.44%, 0.0000913%), (INTU, 0, 0.44%, 0.0000947%), (T, 0, 0.44%, 0.0003910%), (MS, 0, 0.43%, 0.0000712%), (DE, 0, 0.42%, 0.0001310%), (AXP, 0, 0.41%, 0.0000740%), (MRK, 0, 0.41%, 0.0000779%), (SPGI, 0, 0.39%, 0.0000961%), (QCOM, 0, 0.38%, 0.0000900%), (VZ, 0, 0.38%, 0.0000835%), (ACN, 0, 0.37%, 0.0000946%), (MDT, 0, 0.37%, 0.0001226%), (BLK, 0, 0.37%, 0.0000859%), (TXN, 0, 0.37%, 0.0000874%), (ADBE, 0, 0.36%, 0.0000991%), (TMO, 0, 0.35%, 0.0000783%), (DIS, 0, 0.35%, 0.0000670%), (UNP, 0, 0.35%, 0.0001087%), (COP, 0, 0.35%, 0.0001214%), (C, 0, 0.34%, 0.0000776%), (LMT, 0, 0.33%, 0.0001271%), (SCHW, 0, 0.32%, 0.0000755%), (SBUX, 0, 0.30%, 0.0001282%), (AMAT, 0, 0.29%, 0.0000901%), (MMM, 0, 0.29%, 0.0001427%), (AMGN, 0, 0.29%, 0.0000769%), (GILD, 0, 0.28%, 0.0000772%), (TJX, 0, 0.28%, 0.0000712%), (CVS, 0, 0.27%, 0.0001215%), (PFE, 0, 0.27%, 0.0000767%), (LOW, 0, 0.27%, 0.0000710%), (EMR, 0, 0.26%, 0.0001411%), (MO, 0, 0.25%, 0.0000918%), (DHR, 0, 0.24%, 0.0000701%), (INTC, 0, 0.23%, 0.0000807%), (ELV, 0, 0.22%, 0.0001278%), (CMCSA, 0, 0.21%, 0.0000696%), (MDLZ, 0, 0.19%, 0.0000942%), (BMY, 0, 0.18%, 0.0000767%), (UPS, 0, 0.16%, 0.0001058%), (PYPL, 0, 0.15%, 0.0000982%), (USB, 0, 0.14%, 0.0000758%), (CL, 0, 0.14%, 0.0000839%), (FDX, 0, 0.13%, 0.0001013%), (TGT, 0, 0.07%, 0.0000720%), (nan, 0, -0.01%, 0.0000000%), (nan, 0, -0.01%, 0.0000000%)</t>
  </si>
  <si>
    <t>(AMZN, 0, 4.05%, 0.0001256%), (AVGO, 0, 3.55%, 0.0001760%), (META, 0, 2.87%, 0.0001355%), (BRK/B, 0, 2.16%, 0.0002492%), (CSCO, 0, 1.79%, 0.0005275%), (LIN, 0, 1.78%, 0.0006318%), (TSLA, 0, 1.74%, 0.0001188%), (JPM, 0, 1.65%, 0.0001582%), (AMT, 0, 1.49%, 0.0012787%), (XOM, 0, 1.48%, 0.0002469%), (V, 0, 1.42%, 0.0001906%), (LLY, 0, 1.18%, 0.0001312%), (CB, 0, 1.17%, 0.0008393%), (MA, 0, 1.14%, 0.0001723%), (GE, 0, 1.08%, 0.0002920%), (WM, 0, 1.03%, 0.0009184%), (UNH, 0, 1.00%, 0.0002546%), (ORCL, 0, 0.94%, 0.0001087%), (NFLX, 0, 0.93%, 0.0001366%), (JNJ, 0, 0.85%, 0.0001572%), (NEE, 0, 0.85%, 0.0004564%), (WMT, 0, 0.82%, 0.0000791%), (PG, 0, 0.81%, 0.0001706%), (PLTR, 0, 0.81%, 0.0001738%), (COST, 0, 0.80%, 0.0001453%), (CVX, 0, 0.79%, 0.0001955%), (HD, 0, 0.75%, 0.0001432%), (MCD, 0, 0.75%, 0.0002639%), (ABBV, 0, 0.75%, 0.0001574%), (ABT, 0, 0.73%, 0.0002511%), (RTX, 0, 0.73%, 0.0002825%), (CAT, 0, 0.73%, 0.0002933%), (BAC, 0, 0.66%, 0.0001392%), (KO, 0, 0.62%, 0.0001675%), (BA, 0, 0.62%, 0.0002800%), (BKNG, 0, 0.62%, 0.0002699%), (PM, 0, 0.60%, 0.0001857%), (CRM, 0, 0.59%, 0.0001936%), (SO, 0, 0.59%, 0.0004604%), (IBM, 0, 0.58%, 0.0001907%), (NKE, 0, 0.58%, 0.0005177%), (AMD, 0, 0.57%, 0.0001780%), (GS, 0, 0.57%, 0.0001960%), (UBER, 0, 0.55%, 0.0002197%), (DUK, 0, 0.55%, 0.0004596%), (ISRG, 0, 0.53%, 0.0002516%), (WFC, 0, 0.53%, 0.0001605%), (MET, 0, 0.52%, 0.0007706%), (HON, 0, 0.50%, 0.0002915%), (ETN, 0, 0.50%, 0.0002890%), (NOW, 0, 0.47%, 0.0001909%), (PEP, 0, 0.47%, 0.0001865%), (INTU, 0, 0.46%, 0.0001937%), (T, 0, 0.46%, 0.0007994%), (MS, 0, 0.45%, 0.0001456%), (DE, 0, 0.44%, 0.0002678%), (AXP, 0, 0.43%, 0.0001514%), (MRK, 0, 0.43%, 0.0001593%), (SPGI, 0, 0.41%, 0.0001965%), (QCOM, 0, 0.40%, 0.0001841%), (VZ, 0, 0.40%, 0.0001708%), (ACN, 0, 0.39%, 0.0001935%), (MDT, 0, 0.38%, 0.0002505%), (BLK, 0, 0.38%, 0.0001763%), (TXN, 0, 0.38%, 0.0001786%), (ADBE, 0, 0.38%, 0.0002028%), (TMO, 0, 0.37%, 0.0001602%), (DIS, 0, 0.37%, 0.0001370%), (UNP, 0, 0.36%, 0.0002224%), (COP, 0, 0.36%, 0.0002480%), (C, 0, 0.36%, 0.0001587%), (LMT, 0, 0.35%, 0.0002593%), (SCHW, 0, 0.33%, 0.0001543%), (SBUX, 0, 0.32%, 0.0002621%), (AMAT, 0, 0.30%, 0.0001841%), (MMM, 0, 0.30%, 0.0002931%), (AMGN, 0, 0.30%, 0.0001571%), (GILD, 0, 0.29%, 0.0001579%), (TJX, 0, 0.29%, 0.0001454%), (CVS, 0, 0.29%, 0.0002484%), (PFE, 0, 0.28%, 0.0001568%), (LOW, 0, 0.28%, 0.0001451%), (EMR, 0, 0.27%, 0.0002884%), (MO, 0, 0.27%, 0.0001877%), (DHR, 0, 0.25%, 0.0001431%), (INTC, 0, 0.24%, 0.0001650%), (ELV, 0, 0.23%, 0.0002614%), (CMCSA, 0, 0.22%, 0.0001422%), (MDLZ, 0, 0.20%, 0.0001927%), (BMY, 0, 0.19%, 0.0001567%), (UPS, 0, 0.17%, 0.0002163%), (PYPL, 0, 0.16%, 0.0002008%), (USB, 0, 0.15%, 0.0001549%), (CL, 0, 0.15%, 0.0001716%), (FDX, 0, 0.14%, 0.0002072%), (TGT, 0, 0.08%, 0.0001472%), (nan, 0, -0.01%, 0.0000000%), (nan, 0, -0.01%, 0.0000000%)</t>
  </si>
  <si>
    <t>(AMZN, 0, 3.81%, 0.0002511%), (AVGO, 0, 3.35%, 0.0003518%), (META, 0, 2.70%, 0.0002710%), (BRK/B, 0, 2.03%, 0.0004980%), (CSCO, 0, 1.68%, 0.0010545%), (LIN, 0, 1.68%, 0.0012631%), (TSLA, 0, 1.64%, 0.0002374%), (JPM, 0, 1.55%, 0.0003161%), (AMT, 0, 1.40%, 0.0025558%), (XOM, 0, 1.39%, 0.0004936%), (V, 0, 1.33%, 0.0003811%), (LLY, 0, 1.11%, 0.0002621%), (CB, 0, 1.10%, 0.0016778%), (MA, 0, 1.07%, 0.0003445%), (GE, 0, 1.02%, 0.0005837%), (WM, 0, 0.97%, 0.0018358%), (UNH, 0, 0.94%, 0.0005088%), (ORCL, 0, 0.88%, 0.0002173%), (NFLX, 0, 0.87%, 0.0002730%), (JNJ, 0, 0.80%, 0.0003143%), (NEE, 0, 0.80%, 0.0009123%), (WMT, 0, 0.77%, 0.0001581%), (PG, 0, 0.76%, 0.0003409%), (PLTR, 0, 0.76%, 0.0003473%), (COST, 0, 0.75%, 0.0002904%), (CVX, 0, 0.74%, 0.0003908%), (HD, 0, 0.71%, 0.0002862%), (MCD, 0, 0.71%, 0.0005276%), (ABBV, 0, 0.70%, 0.0003146%), (ABT, 0, 0.69%, 0.0005023%), (RTX, 0, 0.69%, 0.0005647%), (CAT, 0, 0.69%, 0.0005864%), (BAC, 0, 0.62%, 0.0002783%), (KO, 0, 0.59%, 0.0003349%), (BA, 0, 0.58%, 0.0005595%), (BKNG, 0, 0.58%, 0.0005398%), (PM, 0, 0.57%, 0.0003711%), (CRM, 0, 0.56%, 0.0003870%), (SO, 0, 0.55%, 0.0009202%), (IBM, 0, 0.55%, 0.0003812%), (NKE, 0, 0.54%, 0.0010348%), (AMD, 0, 0.54%, 0.0003557%), (GS, 0, 0.53%, 0.0003921%), (UBER, 0, 0.52%, 0.0004392%), (DUK, 0, 0.52%, 0.0009185%), (ISRG, 0, 0.50%, 0.0005032%), (WFC, 0, 0.50%, 0.0003209%), (MET, 0, 0.49%, 0.0015405%), (HON, 0, 0.48%, 0.0005826%), (ETN, 0, 0.47%, 0.0005774%), (NOW, 0, 0.44%, 0.0003817%), (PEP, 0, 0.44%, 0.0003728%), (INTU, 0, 0.43%, 0.0003874%), (T, 0, 0.43%, 0.0015980%), (MS, 0, 0.42%, 0.0002910%), (DE, 0, 0.41%, 0.0005353%), (AXP, 0, 0.41%, 0.0003025%), (MRK, 0, 0.40%, 0.0003185%), (SPGI, 0, 0.39%, 0.0003927%), (QCOM, 0, 0.38%, 0.0003682%), (VZ, 0, 0.38%, 0.0003413%), (ACN, 0, 0.36%, 0.0003866%), (MDT, 0, 0.36%, 0.0005007%), (BLK, 0, 0.36%, 0.0003519%), (TXN, 0, 0.36%, 0.0003570%), (ADBE, 0, 0.36%, 0.0004052%), (TMO, 0, 0.35%, 0.0003202%), (DIS, 0, 0.35%, 0.0002741%), (UNP, 0, 0.34%, 0.0004446%), (COP, 0, 0.34%, 0.0004959%), (C, 0, 0.34%, 0.0003172%), (LMT, 0, 0.33%, 0.0005186%), (SCHW, 0, 0.31%, 0.0003084%), (SBUX, 0, 0.30%, 0.0005239%), (AMAT, 0, 0.29%, 0.0003680%), (MMM, 0, 0.29%, 0.0005864%), (AMGN, 0, 0.28%, 0.0003141%), (GILD, 0, 0.27%, 0.0003156%), (TJX, 0, 0.27%, 0.0002907%), (CVS, 0, 0.27%, 0.0004964%), (PFE, 0, 0.26%, 0.0003135%), (LOW, 0, 0.26%, 0.0002901%), (EMR, 0, 0.26%, 0.0005764%), (MO, 0, 0.25%, 0.0003752%), (DHR, 0, 0.24%, 0.0002863%), (INTC, 0, 0.22%, 0.0003298%), (ELV, 0, 0.22%, 0.0005229%), (CMCSA, 0, 0.21%, 0.0002843%), (MDLZ, 0, 0.19%, 0.0003851%), (BMY, 0, 0.18%, 0.0003133%), (UPS, 0, 0.16%, 0.0004322%), (PYPL, 0, 0.15%, 0.0004013%), (USB, 0, 0.14%, 0.0003095%), (CL, 0, 0.14%, 0.0003429%), (FDX, 0, 0.13%, 0.0004145%), (TGT, 0, 0.07%, 0.0002945%), (nan, 0, -0.01%, 0.0000000%), (nan, 0, -0.02%, 0.0000000%)</t>
  </si>
  <si>
    <t>(AVGO, 0, 3.53%, 0.0000510%), (META, 0, 2.61%, 0.0000393%), (BRK/B, 0, 1.98%, 0.0000723%), (CSCO, 0, 1.66%, 0.0001529%), (LIN, 0, 1.64%, 0.0001831%), (TSLA, 0, 1.61%, 0.0000344%), (JPM, 0, 1.53%, 0.0000459%), (XOM, 0, 1.38%, 0.0000716%), (AMT, 0, 1.37%, 0.0003706%), (V, 0, 1.29%, 0.0000553%), (ORCL, 0, 1.12%, 0.0000315%), (LLY, 0, 1.09%, 0.0000380%), (CB, 0, 1.08%, 0.0002434%), (MA, 0, 1.05%, 0.0000499%), (GE, 0, 1.02%, 0.0000847%), (WM, 0, 0.95%, 0.0002663%), (UNH, 0, 0.92%, 0.0000739%), (NFLX, 0, 0.85%, 0.0000396%), (NEE, 0, 0.79%, 0.0001323%), (JNJ, 0, 0.78%, 0.0000456%), (PLTR, 0, 0.76%, 0.0000504%), (WMT, 0, 0.74%, 0.0000229%), (CVX, 0, 0.74%, 0.0000567%), (PG, 0, 0.74%, 0.0000495%), (COST, 0, 0.72%, 0.0000422%), (HD, 0, 0.69%, 0.0000415%), (ABBV, 0, 0.69%, 0.0000456%), (RTX, 0, 0.69%, 0.0000819%), (CAT, 0, 0.68%, 0.0000850%), (MCD, 0, 0.68%, 0.0000765%), (ABT, 0, 0.67%, 0.0000729%), (BAC, 0, 0.61%, 0.0000404%), (KO, 0, 0.57%, 0.0000486%), (BA, 0, 0.57%, 0.0000812%), (PM, 0, 0.56%, 0.0000538%), (BKNG, 0, 0.56%, 0.0000776%), (SO, 0, 0.55%, 0.0001334%), (NKE, 0, 0.54%, 0.0001501%), (AMD, 0, 0.54%, 0.0000516%), (IBM, 0, 0.54%, 0.0000553%), (GS, 0, 0.53%, 0.0000570%), (CRM, 0, 0.53%, 0.0000561%), (DUK, 0, 0.51%, 0.0001332%), (UBER, 0, 0.50%, 0.0000637%), (WFC, 0, 0.48%, 0.0000465%), (MET, 0, 0.48%, 0.0002234%), (ETN, 0, 0.47%, 0.0000837%), (ISRG, 0, 0.47%, 0.0000731%), (HON, 0, 0.46%, 0.0000846%), (NOW, 0, 0.43%, 0.0000553%), (PEP, 0, 0.43%, 0.0000540%), (T, 0, 0.42%, 0.0002318%), (INTU, 0, 0.42%, 0.0000563%), (MS, 0, 0.42%, 0.0000422%), (DE, 0, 0.40%, 0.0000777%), (AXP, 0, 0.40%, 0.0000438%), (MRK, 0, 0.39%, 0.0000462%), (SPGI, 0, 0.38%, 0.0000568%), (QCOM, 0, 0.37%, 0.0000534%), (VZ, 0, 0.37%, 0.0000495%), (BLK, 0, 0.35%, 0.0000510%), (TXN, 0, 0.35%, 0.0000518%), (MDT, 0, 0.35%, 0.0000727%), (ACN, 0, 0.34%, 0.0000560%), (COP, 0, 0.34%, 0.0000719%), (ADBE, 0, 0.34%, 0.0000588%), (TMO, 0, 0.34%, 0.0000463%), (DIS, 0, 0.34%, 0.0000398%), (UNP, 0, 0.33%, 0.0000646%), (C, 0, 0.33%, 0.0000460%), (LMT, 0, 0.33%, 0.0000752%), (SCHW, 0, 0.30%, 0.0000447%), (SBUX, 0, 0.29%, 0.0000760%), (MMM, 0, 0.28%, 0.0000851%), (AMAT, 0, 0.28%, 0.0000533%), (AMGN, 0, 0.28%, 0.0000455%), (CVS, 0, 0.27%, 0.0000720%), (TJX, 0, 0.27%, 0.0000421%), (GILD, 0, 0.27%, 0.0000458%), (PFE, 0, 0.26%, 0.0000455%), (LOW, 0, 0.25%, 0.0000421%), (EMR, 0, 0.25%, 0.0000835%), (MO, 0, 0.25%, 0.0000544%), (DHR, 0, 0.23%, 0.0000415%), (INTC, 0, 0.22%, 0.0000478%), (ELV, 0, 0.21%, 0.0000756%), (CMCSA, 0, 0.20%, 0.0000412%), (MDLZ, 0, 0.18%, 0.0000559%), (BMY, 0, 0.18%, 0.0000454%), (UPS, 0, 0.16%, 0.0000626%), (PYPL, 0, 0.15%, 0.0000582%), (USB, 0, 0.14%, 0.0000449%), (CL, 0, 0.14%, 0.0000497%), (FDX, 0, 0.13%, 0.0000602%), (TGT, 0, 0.07%, 0.0000427%), (nan, 0, -0.01%, 0.0000000%), (nan, 0, -0.01%, 0.0000000%)</t>
  </si>
  <si>
    <t>(AMZN, 0, 3.95%, 0.0002176%), (AVGO, 0, 3.82%, 0.0003048%), (META, 0, 2.84%, 0.0002348%), (BRK/B, 0, 2.16%, 0.0004316%), (CSCO, 0, 1.81%, 0.0009138%), (LIN, 0, 1.79%, 0.0010946%), (TSLA, 0, 1.75%, 0.0002058%), (JPM, 0, 1.66%, 0.0002740%), (XOM, 0, 1.50%, 0.0004277%), (AMT, 0, 1.49%, 0.0022149%), (V, 0, 1.40%, 0.0003302%), (LLY, 0, 1.18%, 0.0002272%), (ORCL, 0, 1.18%, 0.0001883%), (CB, 0, 1.17%, 0.0014542%), (MA, 0, 1.14%, 0.0002986%), (GE, 0, 1.11%, 0.0005059%), (WM, 0, 1.03%, 0.0015911%), (UNH, 0, 0.99%, 0.0004409%), (NFLX, 0, 0.92%, 0.0002367%), (NEE, 0, 0.86%, 0.0007906%), (JNJ, 0, 0.85%, 0.0002724%), (PLTR, 0, 0.83%, 0.0003010%), (WMT, 0, 0.81%, 0.0001370%), (CVX, 0, 0.80%, 0.0003387%), (PG, 0, 0.80%, 0.0002955%), (COST, 0, 0.79%, 0.0002516%), (HD, 0, 0.75%, 0.0002480%), (ABBV, 0, 0.75%, 0.0002727%), (RTX, 0, 0.75%, 0.0004894%), (CAT, 0, 0.74%, 0.0005080%), (MCD, 0, 0.74%, 0.0004573%), (ABT, 0, 0.72%, 0.0004329%), (BAC, 0, 0.66%, 0.0002412%), (KO, 0, 0.63%, 0.0002902%), (BA, 0, 0.62%, 0.0004849%), (BKNG, 0, 0.61%, 0.0004685%), (PM, 0, 0.61%, 0.0003217%), (SO, 0, 0.59%, 0.0007975%), (NKE, 0, 0.58%, 0.0008968%), (AMD, 0, 0.58%, 0.0003082%), (IBM, 0, 0.58%, 0.0003304%), (GS, 0, 0.57%, 0.0003397%), (CRM, 0, 0.57%, 0.0003354%), (DUK, 0, 0.56%, 0.0007961%), (UBER, 0, 0.55%, 0.0003806%), (WFC, 0, 0.53%, 0.0002781%), (MET, 0, 0.52%, 0.0013351%), (ETN, 0, 0.52%, 0.0005004%), (ISRG, 0, 0.51%, 0.0004361%), (HON, 0, 0.50%, 0.0005050%), (NOW, 0, 0.47%, 0.0003308%), (PEP, 0, 0.47%, 0.0003231%), (T, 0, 0.46%, 0.0013849%), (INTU, 0, 0.45%, 0.0003357%), (MS, 0, 0.45%, 0.0002523%), (DE, 0, 0.44%, 0.0004639%), (AXP, 0, 0.43%, 0.0002622%), (MRK, 0, 0.43%, 0.0002760%), (SPGI, 0, 0.41%, 0.0003405%), (QCOM, 0, 0.40%, 0.0003174%), (VZ, 0, 0.40%, 0.0002958%), (BLK, 0, 0.38%, 0.0003055%), (TXN, 0, 0.38%, 0.0003095%), (MDT, 0, 0.38%, 0.0004339%), (ACN, 0, 0.38%, 0.0003351%), (ADBE, 0, 0.37%, 0.0003512%), (COP, 0, 0.37%, 0.0004297%), (TMO, 0, 0.37%, 0.0002776%), (UNP, 0, 0.36%, 0.0003854%), (DIS, 0, 0.36%, 0.0002363%), (C, 0, 0.36%, 0.0002749%), (LMT, 0, 0.36%, 0.0004494%), (SCHW, 0, 0.33%, 0.0002673%), (SBUX, 0, 0.32%, 0.0004540%), (AMAT, 0, 0.31%, 0.0003190%), (MMM, 0, 0.30%, 0.0005054%), (AMGN, 0, 0.30%, 0.0002721%), (CVS, 0, 0.30%, 0.0004303%), (TJX, 0, 0.29%, 0.0002519%), (GILD, 0, 0.29%, 0.0002735%), (PFE, 0, 0.28%, 0.0002717%), (LOW, 0, 0.28%, 0.0002514%), (EMR, 0, 0.28%, 0.0004995%), (MO, 0, 0.27%, 0.0003251%), (DHR, 0, 0.25%, 0.0002480%), (INTC, 0, 0.24%, 0.0002858%), (ELV, 0, 0.23%, 0.0004531%), (CMCSA, 0, 0.22%, 0.0002464%), (MDLZ, 0, 0.20%, 0.0003337%), (BMY, 0, 0.19%, 0.0002715%), (UPS, 0, 0.17%, 0.0003746%), (PYPL, 0, 0.16%, 0.0003478%), (USB, 0, 0.15%, 0.0002683%), (CL, 0, 0.15%, 0.0002971%), (FDX, 0, 0.14%, 0.0003590%), (TGT, 0, 0.08%, 0.0002551%), (nan, 0, -0.01%, 0.0000000%), (nan, 0, -0.02%, 0.0000000%)</t>
  </si>
  <si>
    <t>(AMZN, 0, 3.95%, 0.0001621%), (AVGO, 0, 3.81%, 0.0002272%), (META, 0, 2.83%, 0.0001750%), (BRK/B, 0, 2.15%, 0.0003216%), (CSCO, 0, 1.81%, 0.0006809%), (LIN, 0, 1.78%, 0.0008157%), (TSLA, 0, 1.75%, 0.0001533%), (JPM, 0, 1.66%, 0.0002042%), (XOM, 0, 1.50%, 0.0003187%), (AMT, 0, 1.48%, 0.0016506%), (V, 0, 1.40%, 0.0002461%), (ORCL, 0, 1.19%, 0.0001403%), (LLY, 0, 1.18%, 0.0001692%), (CB, 0, 1.17%, 0.0010835%), (MA, 0, 1.14%, 0.0002225%), (GE, 0, 1.11%, 0.0003769%), (WM, 0, 1.03%, 0.0011855%), (UNH, 0, 0.99%, 0.0003285%), (NFLX, 0, 0.92%, 0.0001763%), (NEE, 0, 0.86%, 0.0005892%), (JNJ, 0, 0.85%, 0.0002030%), (PLTR, 0, 0.82%, 0.0002243%), (WMT, 0, 0.81%, 0.0001021%), (CVX, 0, 0.80%, 0.0002524%), (PG, 0, 0.80%, 0.0002202%), (COST, 0, 0.79%, 0.0001875%), (HD, 0, 0.75%, 0.0001849%), (ABBV, 0, 0.75%, 0.0002032%), (RTX, 0, 0.75%, 0.0003647%), (CAT, 0, 0.74%, 0.0003787%), (MCD, 0, 0.74%, 0.0003407%), (ABT, 0, 0.72%, 0.0003226%), (BAC, 0, 0.66%, 0.0001797%), (KO, 0, 0.62%, 0.0002163%), (BA, 0, 0.62%, 0.0003613%), (BKNG, 0, 0.61%, 0.0003475%), (PM, 0, 0.61%, 0.0002397%), (SO, 0, 0.59%, 0.0005943%), (NKE, 0, 0.58%, 0.0006683%), (AMD, 0, 0.58%, 0.0002297%), (IBM, 0, 0.58%, 0.0002462%), (GS, 0, 0.57%, 0.0002531%), (CRM, 0, 0.57%, 0.0002499%), (DUK, 0, 0.55%, 0.0005932%), (UBER, 0, 0.55%, 0.0002836%), (WFC, 0, 0.52%, 0.0002072%), (MET, 0, 0.52%, 0.0009948%), (ETN, 0, 0.52%, 0.0003730%), (ISRG, 0, 0.51%, 0.0003250%), (HON, 0, 0.50%, 0.0003763%), (PEP, 0, 0.47%, 0.0002408%), (NOW, 0, 0.46%, 0.0002466%), (T, 0, 0.46%, 0.0010320%), (INTU, 0, 0.45%, 0.0002504%), (MS, 0, 0.45%, 0.0001879%), (DE, 0, 0.44%, 0.0003459%), (AXP, 0, 0.43%, 0.0001954%), (MRK, 0, 0.43%, 0.0002057%), (SPGI, 0, 0.41%, 0.0002536%), (QCOM, 0, 0.40%, 0.0002365%), (VZ, 0, 0.40%, 0.0002204%), (BLK, 0, 0.38%, 0.0002273%), (TXN, 0, 0.38%, 0.0002306%), (MDT, 0, 0.38%, 0.0003234%), (ADBE, 0, 0.37%, 0.0002616%), (ACN, 0, 0.37%, 0.0002497%), (COP, 0, 0.37%, 0.0003202%), (TMO, 0, 0.37%, 0.0002068%), (UNP, 0, 0.36%, 0.0002871%), (DIS, 0, 0.36%, 0.0001761%), (C, 0, 0.36%, 0.0002048%), (LMT, 0, 0.35%, 0.0003349%), (SCHW, 0, 0.33%, 0.0001992%), (SBUX, 0, 0.32%, 0.0003383%), (AMAT, 0, 0.31%, 0.0002377%), (MMM, 0, 0.30%, 0.0003767%), (AMGN, 0, 0.30%, 0.0002028%), (CVS, 0, 0.30%, 0.0003206%), (TJX, 0, 0.29%, 0.0001877%), (GILD, 0, 0.29%, 0.0002038%), (PFE, 0, 0.28%, 0.0002024%), (LOW, 0, 0.28%, 0.0001874%), (EMR, 0, 0.28%, 0.0003722%), (MO, 0, 0.27%, 0.0002423%), (DHR, 0, 0.25%, 0.0001849%), (INTC, 0, 0.24%, 0.0002130%), (ELV, 0, 0.23%, 0.0003375%), (CMCSA, 0, 0.22%, 0.0001836%), (MDLZ, 0, 0.20%, 0.0002487%), (BMY, 0, 0.19%, 0.0002023%), (UPS, 0, 0.17%, 0.0002791%), (PYPL, 0, 0.16%, 0.0002592%), (USB, 0, 0.15%, 0.0001999%), (CL, 0, 0.15%, 0.0002214%), (FDX, 0, 0.14%, 0.0002674%), (TGT, 0, 0.08%, 0.0001901%), (nan, 0, -0.01%, 0.0000000%), (nan, 0, -0.02%, 0.0000000%)</t>
  </si>
  <si>
    <t>(AMZN, 0, 4.00%, 0.0000380%), (AVGO, 0, 3.86%, 0.0000533%), (META, 0, 2.87%, 0.0000410%), (BRK/B, 0, 2.18%, 0.0000754%), (CSCO, 0, 1.83%, 0.0001596%), (LIN, 0, 1.81%, 0.0001912%), (TSLA, 0, 1.77%, 0.0000359%), (JPM, 0, 1.68%, 0.0000479%), (XOM, 0, 1.52%, 0.0000747%), (AMT, 0, 1.50%, 0.0003868%), (V, 0, 1.42%, 0.0000577%), (LLY, 0, 1.20%, 0.0000397%), (ORCL, 0, 1.19%, 0.0000329%), (CB, 0, 1.19%, 0.0002541%), (MA, 0, 1.15%, 0.0000522%), (GE, 0, 1.13%, 0.0000884%), (WM, 0, 1.04%, 0.0002780%), (UNH, 0, 1.01%, 0.0000771%), (NFLX, 0, 0.93%, 0.0000413%), (NEE, 0, 0.87%, 0.0001381%), (JNJ, 0, 0.86%, 0.0000476%), (PLTR, 0, 0.83%, 0.0000526%), (WMT, 0, 0.82%, 0.0000239%), (CVX, 0, 0.81%, 0.0000591%), (PG, 0, 0.81%, 0.0000516%), (COST, 0, 0.80%, 0.0000440%), (HD, 0, 0.76%, 0.0000433%), (ABBV, 0, 0.76%, 0.0000476%), (RTX, 0, 0.76%, 0.0000855%), (CAT, 0, 0.75%, 0.0000888%), (MCD, 0, 0.75%, 0.0000799%), (ABT, 0, 0.73%, 0.0000756%), (BAC, 0, 0.67%, 0.0000421%), (KO, 0, 0.63%, 0.0000507%), (BA, 0, 0.63%, 0.0000847%), (PM, 0, 0.62%, 0.0000562%), (BKNG, 0, 0.61%, 0.0000807%), (SO, 0, 0.60%, 0.0001393%), (NKE, 0, 0.59%, 0.0001566%), (AMD, 0, 0.59%, 0.0000539%), (IBM, 0, 0.58%, 0.0000577%), (CRM, 0, 0.58%, 0.0000586%), (GS, 0, 0.57%, 0.0000593%), (DUK, 0, 0.56%, 0.0001391%), (UBER, 0, 0.55%, 0.0000665%), (WFC, 0, 0.53%, 0.0000486%), (MET, 0, 0.53%, 0.0002332%), (ETN, 0, 0.52%, 0.0000873%), (ISRG, 0, 0.52%, 0.0000762%), (HON, 0, 0.51%, 0.0000882%), (NOW, 0, 0.47%, 0.0000577%), (PEP, 0, 0.47%, 0.0000565%), (T, 0, 0.46%, 0.0002419%), (INTU, 0, 0.46%, 0.0000588%), (MS, 0, 0.46%, 0.0000440%), (DE, 0, 0.44%, 0.0000810%), (AXP, 0, 0.44%, 0.0000459%), (MRK, 0, 0.43%, 0.0000482%), (SPGI, 0, 0.41%, 0.0000594%), (QCOM, 0, 0.41%, 0.0000554%), (VZ, 0, 0.41%, 0.0000517%), (BLK, 0, 0.39%, 0.0000536%), (TXN, 0, 0.39%, 0.0000540%), (MDT, 0, 0.38%, 0.0000758%), (ACN, 0, 0.38%, 0.0000586%), (ADBE, 0, 0.38%, 0.0000614%), (COP, 0, 0.38%, 0.0000751%), (TMO, 0, 0.37%, 0.0000484%), (DIS, 0, 0.37%, 0.0000413%), (UNP, 0, 0.37%, 0.0000673%), (C, 0, 0.37%, 0.0000480%), (LMT, 0, 0.36%, 0.0000787%), (SCHW, 0, 0.33%, 0.0000467%), (SBUX, 0, 0.32%, 0.0000794%), (AMAT, 0, 0.31%, 0.0000557%), (MMM, 0, 0.31%, 0.0000883%), (AMGN, 0, 0.31%, 0.0000476%), (CVS, 0, 0.30%, 0.0000752%), (TJX, 0, 0.29%, 0.0000440%), (GILD, 0, 0.29%, 0.0000477%), (PFE, 0, 0.28%, 0.0000475%), (EMR, 0, 0.28%, 0.0000872%), (LOW, 0, 0.28%, 0.0000439%), (MO, 0, 0.27%, 0.0000568%), (DHR, 0, 0.25%, 0.0000433%), (INTC, 0, 0.24%, 0.0000499%), (ELV, 0, 0.23%, 0.0000792%), (CMCSA, 0, 0.22%, 0.0000430%), (MDLZ, 0, 0.20%, 0.0000583%), (BMY, 0, 0.19%, 0.0000475%), (UPS, 0, 0.17%, 0.0000655%), (PYPL, 0, 0.16%, 0.0000607%), (USB, 0, 0.15%, 0.0000468%), (CL, 0, 0.15%, 0.0000519%), (FDX, 0, 0.14%, 0.0000627%), (TGT, 0, 0.08%, 0.0000447%), (nan, 0, -0.01%, 0.0000000%), (nan, 0, -0.01%, 0.0000000%)</t>
  </si>
  <si>
    <t>(AMZN, 0, 3.80%, 0.0000668%), (AVGO, 0, 3.69%, 0.0000936%), (META, 0, 2.72%, 0.0000721%), (BRK/B, 0, 2.07%, 0.0001325%), (CSCO, 0, 1.74%, 0.0002806%), (LIN, 0, 1.71%, 0.0003362%), (TSLA, 0, 1.68%, 0.0000632%), (JPM, 0, 1.60%, 0.0000842%), (XOM, 0, 1.45%, 0.0001314%), (AMT, 0, 1.43%, 0.0006801%), (V, 0, 1.35%, 0.0001014%), (ORCL, 0, 1.16%, 0.0000578%), (LLY, 0, 1.14%, 0.0000700%), (CB, 0, 1.13%, 0.0004464%), (MA, 0, 1.09%, 0.0000917%), (GE, 0, 1.07%, 0.0001554%), (WM, 0, 0.99%, 0.0004887%), (UNH, 0, 0.96%, 0.0001355%), (NFLX, 0, 0.88%, 0.0000727%), (NEE, 0, 0.83%, 0.0002428%), (JNJ, 0, 0.82%, 0.0000836%), (PLTR, 0, 0.80%, 0.0000924%), (WMT, 0, 0.78%, 0.0000421%), (CVX, 0, 0.77%, 0.0001040%), (PG, 0, 0.77%, 0.0000907%), (COST, 0, 0.75%, 0.0000772%), (HD, 0, 0.72%, 0.0000762%), (ABBV, 0, 0.72%, 0.0000837%), (RTX, 0, 0.72%, 0.0001503%), (CAT, 0, 0.71%, 0.0001560%), (MCD, 0, 0.71%, 0.0001404%), (ABT, 0, 0.69%, 0.0001335%), (BAC, 0, 0.63%, 0.0000741%), (KO, 0, 0.60%, 0.0000891%), (BA, 0, 0.59%, 0.0001489%), (PM, 0, 0.58%, 0.0000988%), (BKNG, 0, 0.58%, 0.0001427%), (SO, 0, 0.57%, 0.0002449%), (NKE, 0, 0.56%, 0.0002755%), (AMD, 0, 0.56%, 0.0000946%), (IBM, 0, 0.56%, 0.0001014%), (GS, 0, 0.55%, 0.0001044%), (CRM, 0, 0.55%, 0.0001030%), (DUK, 0, 0.53%, 0.0002445%), (UBER, 0, 0.53%, 0.0001169%), (WFC, 0, 0.51%, 0.0000854%), (MET, 0, 0.50%, 0.0004101%), (ETN, 0, 0.50%, 0.0001536%), (ISRG, 0, 0.49%, 0.0001340%), (HON, 0, 0.48%, 0.0001551%), (PEP, 0, 0.45%, 0.0000992%), (NOW, 0, 0.44%, 0.0001014%), (T, 0, 0.44%, 0.0004253%), (MS, 0, 0.44%, 0.0000775%), (INTU, 0, 0.43%, 0.0001029%), (DE, 0, 0.42%, 0.0001424%), (AXP, 0, 0.41%, 0.0000806%), (MRK, 0, 0.41%, 0.0000848%), (SPGI, 0, 0.39%, 0.0001044%), (QCOM, 0, 0.39%, 0.0000979%), (VZ, 0, 0.38%, 0.0000908%), (BLK, 0, 0.37%, 0.0000936%), (TXN, 0, 0.37%, 0.0000951%), (MDT, 0, 0.36%, 0.0001332%), (ADBE, 0, 0.36%, 0.0001077%), (ACN, 0, 0.36%, 0.0001029%), (COP, 0, 0.36%, 0.0001320%), (TMO, 0, 0.35%, 0.0000852%), (DIS, 0, 0.35%, 0.0000729%), (UNP, 0, 0.35%, 0.0001183%), (C, 0, 0.35%, 0.0000844%), (LMT, 0, 0.34%, 0.0001379%), (SCHW, 0, 0.32%, 0.0000821%), (SBUX, 0, 0.30%, 0.0001394%), (AMAT, 0, 0.29%, 0.0000979%), (MMM, 0, 0.29%, 0.0001559%), (AMGN, 0, 0.29%, 0.0000836%), (CVS, 0, 0.29%, 0.0001321%), (TJX, 0, 0.28%, 0.0000774%), (GILD, 0, 0.28%, 0.0000840%), (PFE, 0, 0.27%, 0.0000834%), (LOW, 0, 0.27%, 0.0000772%), (EMR, 0, 0.27%, 0.0001533%), (MO, 0, 0.26%, 0.0000998%), (DHR, 0, 0.24%, 0.0000762%), (INTC, 0, 0.23%, 0.0000878%), (ELV, 0, 0.22%, 0.0001390%), (CMCSA, 0, 0.21%, 0.0000757%), (MDLZ, 0, 0.19%, 0.0001025%), (BMY, 0, 0.18%, 0.0000834%), (UPS, 0, 0.16%, 0.0001151%), (PYPL, 0, 0.15%, 0.0001068%), (USB, 0, 0.15%, 0.0000824%), (CL, 0, 0.14%, 0.0000913%), (FDX, 0, 0.14%, 0.0001102%), (TGT, 0, 0.07%, 0.0000783%), (nan, 0, -0.01%, 0.0000000%), (nan, 0, -0.01%, 0.0000000%)</t>
  </si>
  <si>
    <t>(AMZN, 0, 3.88%, 0.0000241%), (AVGO, 0, 3.77%, 0.0000338%), (META, 0, 2.78%, 0.0000260%), (BRK/B, 0, 2.11%, 0.0000479%), (CSCO, 0, 1.78%, 0.0001014%), (LIN, 0, 1.75%, 0.0001214%), (TSLA, 0, 1.72%, 0.0000228%), (JPM, 0, 1.63%, 0.0000304%), (XOM, 0, 1.48%, 0.0000475%), (AMT, 0, 1.46%, 0.0002456%), (V, 0, 1.37%, 0.0000366%), (LLY, 0, 1.16%, 0.0000253%), (CB, 0, 1.15%, 0.0001614%), (ORCL, 0, 1.15%, 0.0000209%), (MA, 0, 1.12%, 0.0000331%), (GE, 0, 1.09%, 0.0000561%), (WM, 0, 1.01%, 0.0001765%), (UNH, 0, 0.98%, 0.0000489%), (NFLX, 0, 0.91%, 0.0000262%), (NEE, 0, 0.85%, 0.0000877%), (JNJ, 0, 0.84%, 0.0000302%), (PLTR, 0, 0.81%, 0.0000334%), (WMT, 0, 0.79%, 0.0000152%), (CVX, 0, 0.79%, 0.0000376%), (PG, 0, 0.79%, 0.0000328%), (COST, 0, 0.77%, 0.0000280%), (HD, 0, 0.74%, 0.0000275%), (ABBV, 0, 0.74%, 0.0000302%), (RTX, 0, 0.74%, 0.0000543%), (CAT, 0, 0.73%, 0.0000564%), (MCD, 0, 0.72%, 0.0000507%), (ABT, 0, 0.71%, 0.0000482%), (BAC, 0, 0.65%, 0.0000268%), (KO, 0, 0.61%, 0.0000322%), (BKNG, 0, 0.61%, 0.0000527%), (BA, 0, 0.61%, 0.0000538%), (PM, 0, 0.60%, 0.0000357%), (SO, 0, 0.58%, 0.0000884%), (AMD, 0, 0.57%, 0.0000342%), (NKE, 0, 0.57%, 0.0000995%), (IBM, 0, 0.57%, 0.0000367%), (GS, 0, 0.57%, 0.0000377%), (CRM, 0, 0.56%, 0.0000372%), (DUK, 0, 0.54%, 0.0000883%), (UBER, 0, 0.54%, 0.0000422%), (WFC, 0, 0.52%, 0.0000308%), (MET, 0, 0.51%, 0.0001481%), (ISRG, 0, 0.50%, 0.0000482%), (ETN, 0, 0.50%, 0.0000555%), (HON, 0, 0.49%, 0.0000561%), (NOW, 0, 0.46%, 0.0000365%), (PEP, 0, 0.46%, 0.0000358%), (T, 0, 0.45%, 0.0001536%), (MS, 0, 0.45%, 0.0000280%), (INTU, 0, 0.45%, 0.0000373%), (DE, 0, 0.43%, 0.0000514%), (AXP, 0, 0.42%, 0.0000290%), (MRK, 0, 0.42%, 0.0000306%), (SPGI, 0, 0.40%, 0.0000376%), (QCOM, 0, 0.40%, 0.0000354%), (VZ, 0, 0.39%, 0.0000328%), (BLK, 0, 0.37%, 0.0000336%), (TXN, 0, 0.37%, 0.0000343%), (ADBE, 0, 0.37%, 0.0000389%), (MDT, 0, 0.37%, 0.0000481%), (ACN, 0, 0.37%, 0.0000372%), (COP, 0, 0.36%, 0.0000476%), (TMO, 0, 0.36%, 0.0000309%), (DIS, 0, 0.36%, 0.0000263%), (UNP, 0, 0.36%, 0.0000428%), (C, 0, 0.36%, 0.0000305%), (LMT, 0, 0.35%, 0.0000497%), (SCHW, 0, 0.32%, 0.0000296%), (SBUX, 0, 0.31%, 0.0000503%), (AMAT, 0, 0.30%, 0.0000354%), (MMM, 0, 0.30%, 0.0000563%), (AMGN, 0, 0.30%, 0.0000303%), (CVS, 0, 0.29%, 0.0000477%), (TJX, 0, 0.28%, 0.0000279%), (GILD, 0, 0.28%, 0.0000304%), (PFE, 0, 0.27%, 0.0000301%), (EMR, 0, 0.27%, 0.0000554%), (LOW, 0, 0.27%, 0.0000278%), (MO, 0, 0.26%, 0.0000360%), (DHR, 0, 0.24%, 0.0000275%), (INTC, 0, 0.24%, 0.0000317%), (ELV, 0, 0.22%, 0.0000504%), (CMCSA, 0, 0.22%, 0.0000273%), (MDLZ, 0, 0.19%, 0.0000370%), (BMY, 0, 0.19%, 0.0000301%), (UPS, 0, 0.17%, 0.0000416%), (PYPL, 0, 0.15%, 0.0000386%), (USB, 0, 0.15%, 0.0000298%), (CL, 0, 0.14%, 0.0000330%), (FDX, 0, 0.14%, 0.0000398%), (TGT, 0, 0.08%, 0.0000284%), (nan, 0, -0.01%, 0.0000000%), (nan, 0, -0.01%, 0.0000000%)</t>
  </si>
  <si>
    <t>(AMZN, 0, 4.10%, 0.0000577%), (AVGO, 0, 3.96%, 0.0000808%), (META, 0, 2.94%, 0.0000622%), (BRK/B, 0, 2.24%, 0.0001144%), (CSCO, 0, 1.88%, 0.0002422%), (LIN, 0, 1.85%, 0.0002902%), (TSLA, 0, 1.82%, 0.0000545%), (JPM, 0, 1.73%, 0.0000726%), (XOM, 0, 1.56%, 0.0001134%), (AMT, 0, 1.54%, 0.0005870%), (V, 0, 1.45%, 0.0000875%), (ORCL, 0, 1.24%, 0.0000499%), (LLY, 0, 1.23%, 0.0000602%), (CB, 0, 1.22%, 0.0003855%), (MA, 0, 1.18%, 0.0000791%), (GE, 0, 1.15%, 0.0001341%), (WM, 0, 1.07%, 0.0004217%), (UNH, 0, 1.03%, 0.0001169%), (NFLX, 0, 0.96%, 0.0000628%), (NEE, 0, 0.89%, 0.0002095%), (JNJ, 0, 0.88%, 0.0000722%), (PLTR, 0, 0.85%, 0.0000798%), (WMT, 0, 0.84%, 0.0000363%), (CVX, 0, 0.83%, 0.0000898%), (PG, 0, 0.83%, 0.0000783%), (COST, 0, 0.82%, 0.0000668%), (ABBV, 0, 0.78%, 0.0000723%), (HD, 0, 0.78%, 0.0000657%), (RTX, 0, 0.78%, 0.0001297%), (CAT, 0, 0.77%, 0.0001347%), (MCD, 0, 0.77%, 0.0001212%), (ABT, 0, 0.75%, 0.0001147%), (BAC, 0, 0.68%, 0.0000639%), (KO, 0, 0.65%, 0.0000769%), (BA, 0, 0.64%, 0.0001285%), (BKNG, 0, 0.63%, 0.0001241%), (PM, 0, 0.63%, 0.0000852%), (SO, 0, 0.62%, 0.0002113%), (NKE, 0, 0.61%, 0.0002377%), (AMD, 0, 0.60%, 0.0000817%), (IBM, 0, 0.60%, 0.0000875%), (CRM, 0, 0.59%, 0.0000889%), (GS, 0, 0.59%, 0.0000900%), (DUK, 0, 0.58%, 0.0002109%), (UBER, 0, 0.57%, 0.0001009%), (WFC, 0, 0.55%, 0.0000737%), (MET, 0, 0.54%, 0.0003538%), (ISRG, 0, 0.53%, 0.0001157%), (ETN, 0, 0.53%, 0.0001325%), (HON, 0, 0.52%, 0.0001339%), (PEP, 0, 0.48%, 0.0000856%), (NOW, 0, 0.48%, 0.0000875%), (T, 0, 0.48%, 0.0003671%), (MS, 0, 0.47%, 0.0000668%), (INTU, 0, 0.47%, 0.0000890%), (DE, 0, 0.45%, 0.0001228%), (AXP, 0, 0.45%, 0.0000695%), (MRK, 0, 0.44%, 0.0000731%), (SPGI, 0, 0.42%, 0.0000902%), (QCOM, 0, 0.42%, 0.0000842%), (VZ, 0, 0.42%, 0.0000784%), (BLK, 0, 0.40%, 0.0000807%), (TXN, 0, 0.40%, 0.0000820%), (MDT, 0, 0.39%, 0.0001150%), (ADBE, 0, 0.39%, 0.0000932%), (ACN, 0, 0.39%, 0.0000888%), (COP, 0, 0.39%, 0.0001139%), (TMO, 0, 0.38%, 0.0000735%), (UNP, 0, 0.38%, 0.0001022%), (DIS, 0, 0.38%, 0.0000626%), (C, 0, 0.38%, 0.0000728%), (LMT, 0, 0.37%, 0.0001193%), (SCHW, 0, 0.34%, 0.0000708%), (SBUX, 0, 0.33%, 0.0001203%), (AMAT, 0, 0.32%, 0.0000845%), (MMM, 0, 0.32%, 0.0001340%), (AMGN, 0, 0.31%, 0.0000721%), (CVS, 0, 0.31%, 0.0001141%), (TJX, 0, 0.30%, 0.0000668%), (GILD, 0, 0.30%, 0.0000725%), (PFE, 0, 0.29%, 0.0000720%), (LOW, 0, 0.29%, 0.0000667%), (EMR, 0, 0.29%, 0.0001324%), (MO, 0, 0.28%, 0.0000861%), (DHR, 0, 0.26%, 0.0000657%), (INTC, 0, 0.25%, 0.0000757%), (ELV, 0, 0.24%, 0.0001201%), (CMCSA, 0, 0.23%, 0.0000653%), (MDLZ, 0, 0.20%, 0.0000884%), (BMY, 0, 0.20%, 0.0000720%), (UPS, 0, 0.18%, 0.0000993%), (PYPL, 0, 0.16%, 0.0000921%), (USB, 0, 0.16%, 0.0000711%), (CL, 0, 0.15%, 0.0000788%), (FDX, 0, 0.15%, 0.0000954%), (TGT, 0, 0.08%, 0.0000676%), (nan, 0, -0.01%, 0.0000000%), (nan, 0, -0.02%, 0.0000000%)</t>
  </si>
  <si>
    <t>GOOGLE, EBAY, BK, META, MLI, JPM, MSFT, PHM, EA, EWBC, RJF</t>
  </si>
  <si>
    <t>(BLK, 0, 1.95%, 0.0006212%), (BKNG, 0, 1.94%, 0.0005988%), (AXP, 0, 1.92%, 0.0004688%), (HIG, 0, 1.85%, 0.0027511%), (TRV, 0, 1.82%, 0.0016327%), (V, 0, 1.78%, 0.0001685%), (ROST, 0, 1.75%, 0.0019611%), (UNM, 0, 1.75%, 0.0075620%), (NVDA, 0, 1.74%, 0.0000220%), (KLAC, 0, 1.74%, 0.0007710%), (SNA, 0, 1.70%, 0.0054896%), (LEN, 0, 1.70%, 0.0030196%), (AMAT, 0, 1.65%, 0.0006885%), (CB, 0, 1.65%, 0.0008207%), (ADP, 0, 1.64%, 0.0007563%), (SYF, 0, 1.64%, 0.0033195%), (PCAR, 0, 1.64%, 0.0017239%), (WSM, 0, 1.51%, 0.0033237%), (CTSH, 0, 1.47%, 0.0023974%), (BKR, 0, 1.47%, 0.0017256%), (CRM, 0, 1.46%, 0.0003445%), (DHI, 0, 1.45%, 0.0015251%), (PAYC, 0, 1.42%, 0.0060508%), (QCOM, 0, 1.35%, 0.0004280%), (AFL, 0, 1.25%, 0.0011824%), (AAPL, 0, 1.24%, 0.0000202%), (ELV, 0, 1.24%, 0.0009868%), (ACN, 0, 1.22%, 0.0004380%), (LRCX, 0, 1.16%, 0.0004696%), (MPWR, 0, 1.15%, 0.0015264%), (GE, 0, 1.08%, 0.0001960%), (CSCO, 0, 1.07%, 0.0002167%), (ODFL, 0, 1.05%, 0.0018666%), (STT, 0, 0.97%, 0.0016999%), (PNC, 0, 0.94%, 0.0006457%), (MTB, 0, 0.92%, 0.0016442%), (CF, 0, 0.87%, 0.0033499%), (AMP, 0, 0.84%, 0.0009956%), (COST, 0, 0.83%, 0.0001072%), (XOM, 0, 0.82%, 0.0000932%), (ABT, 0, 0.81%, 0.0001966%), (EOG, 0, 0.79%, 0.0006550%), (EG, 0, 0.75%, 0.0028643%), (CSL, 0, 0.74%, 0.0025487%), (GEV, 0, 0.57%, 0.0001784%), (NTRS, 0, 0.51%, 0.0011654%), (MA, 0, 0.49%, 0.0000516%), (ACM, 0, 0.48%, 0.0015742%), (JNJ, 0, 0.48%, 0.0000613%), (CRBG, 0, 0.46%, 0.0014057%), (LNC, 0, 0.46%, 0.0031731%), (MTG, 0, 0.45%, 0.0038705%), (WTFC, 0, 0.45%, 0.0026511%), (JXN, 0, 0.44%, 0.0035721%), (CINF, 0, 0.43%, 0.0009826%), (DOV, 0, 0.42%, 0.0009398%), (ADM, 0, 0.41%, 0.0007638%), (EQH, 0, 0.41%, 0.0014262%), (MCK, 0, 0.41%, 0.0002557%), (ALL, 0, 0.40%, 0.0004140%), (NUE, 0, 0.38%, 0.0006417%), (SLM, 0, 0.37%, 0.0034851%), (NKE, 0, 0.37%, 0.0002258%), (PGR, 0, 0.36%, 0.0001372%), (FANG, 0, 0.29%, 0.0003962%)</t>
  </si>
  <si>
    <t>(AMZN, 0, 3.76%, 0.0000614%), (AVGO, 0, 3.65%, 0.0000861%), (META, 0, 2.70%, 0.0000663%), (BRK/B, 0, 2.05%, 0.0001219%), (CSCO, 0, 1.72%, 0.0002580%), (LIN, 0, 1.70%, 0.0003090%), (TSLA, 0, 1.67%, 0.0000581%), (JPM, 0, 1.58%, 0.0000774%), (XOM, 0, 1.43%, 0.0001208%), (AMT, 0, 1.41%, 0.0006254%), (V, 0, 1.33%, 0.0000932%), (ORCL, 0, 1.14%, 0.0000532%), (LLY, 0, 1.12%, 0.0000641%), (CB, 0, 1.12%, 0.0004106%), (MA, 0, 1.08%, 0.0000843%), (GE, 0, 1.06%, 0.0001429%), (WM, 0, 0.98%, 0.0004493%), (UNH, 0, 0.95%, 0.0001245%), (NFLX, 0, 0.88%, 0.0000668%), (NEE, 0, 0.82%, 0.0002233%), (JNJ, 0, 0.81%, 0.0000769%), (PLTR, 0, 0.79%, 0.0000850%), (WMT, 0, 0.77%, 0.0000387%), (CVX, 0, 0.77%, 0.0000956%), (PG, 0, 0.76%, 0.0000834%), (COST, 0, 0.75%, 0.0000711%), (HD, 0, 0.72%, 0.0000700%), (ABBV, 0, 0.72%, 0.0000770%), (RTX, 0, 0.71%, 0.0001382%), (CAT, 0, 0.71%, 0.0001434%), (MCD, 0, 0.70%, 0.0001291%), (ABT, 0, 0.69%, 0.0001228%), (BAC, 0, 0.63%, 0.0000681%), (KO, 0, 0.59%, 0.0000819%), (BA, 0, 0.59%, 0.0001370%), (BKNG, 0, 0.59%, 0.0001334%), (PM, 0, 0.58%, 0.0000908%), (SO, 0, 0.56%, 0.0002251%), (NKE, 0, 0.55%, 0.0002533%), (AMD, 0, 0.55%, 0.0000870%), (IBM, 0, 0.55%, 0.0000933%), (CRM, 0, 0.54%, 0.0000947%), (GS, 0, 0.54%, 0.0000960%), (DUK, 0, 0.53%, 0.0002248%), (UBER, 0, 0.52%, 0.0001075%), (WFC, 0, 0.50%, 0.0000785%), (MET, 0, 0.49%, 0.0003770%), (ETN, 0, 0.49%, 0.0001413%), (ISRG, 0, 0.49%, 0.0001233%), (HON, 0, 0.48%, 0.0001425%), (NOW, 0, 0.45%, 0.0000933%), (PEP, 0, 0.44%, 0.0000913%), (T, 0, 0.44%, 0.0003910%), (MS, 0, 0.43%, 0.0000712%), (INTU, 0, 0.43%, 0.0000947%), (DE, 0, 0.41%, 0.0001310%), (AXP, 0, 0.41%, 0.0000740%), (MRK, 0, 0.41%, 0.0000779%), (SPGI, 0, 0.39%, 0.0000961%), (QCOM, 0, 0.38%, 0.0000900%), (VZ, 0, 0.38%, 0.0000835%), (BLK, 0, 0.36%, 0.0000859%), (TXN, 0, 0.36%, 0.0000874%), (MDT, 0, 0.36%, 0.0001226%), (ADBE, 0, 0.36%, 0.0000991%), (ACN, 0, 0.36%, 0.0000946%), (COP, 0, 0.35%, 0.0001214%), (TMO, 0, 0.35%, 0.0000783%), (DIS, 0, 0.35%, 0.0000670%), (UNP, 0, 0.35%, 0.0001087%), (C, 0, 0.34%, 0.0000776%), (LMT, 0, 0.34%, 0.0001271%), (SCHW, 0, 0.31%, 0.0000755%), (SBUX, 0, 0.30%, 0.0001282%), (AMAT, 0, 0.29%, 0.0000901%), (MMM, 0, 0.29%, 0.0001427%), (AMGN, 0, 0.29%, 0.0000769%), (CVS, 0, 0.28%, 0.0001215%), (TJX, 0, 0.27%, 0.0000712%), (GILD, 0, 0.27%, 0.0000772%), (PFE, 0, 0.27%, 0.0000767%), (LOW, 0, 0.26%, 0.0000710%), (EMR, 0, 0.26%, 0.0001411%), (MO, 0, 0.25%, 0.0000918%), (DHR, 0, 0.24%, 0.0000701%), (INTC, 0, 0.23%, 0.0000807%), (ELV, 0, 0.22%, 0.0001278%), (CMCSA, 0, 0.21%, 0.0000696%), (MDLZ, 0, 0.19%, 0.0000942%), (BMY, 0, 0.18%, 0.0000767%), (UPS, 0, 0.16%, 0.0001058%), (PYPL, 0, 0.15%, 0.0000982%), (USB, 0, 0.14%, 0.0000758%), (CL, 0, 0.14%, 0.0000839%), (FDX, 0, 0.13%, 0.0001013%), (TGT, 0, 0.07%, 0.0000720%), (nan, 0, -0.01%, 0.0000000%), (nan, 0, -0.01%, 0.0000000%)</t>
  </si>
  <si>
    <t>(AMZN, 0, 3.93%, 0.0001256%), (AVGO, 0, 3.82%, 0.0001760%), (META, 0, 2.82%, 0.0001355%), (BRK/B, 0, 2.14%, 0.0002492%), (CSCO, 0, 1.80%, 0.0005275%), (LIN, 0, 1.78%, 0.0006318%), (TSLA, 0, 1.74%, 0.0001188%), (JPM, 0, 1.66%, 0.0001582%), (XOM, 0, 1.50%, 0.0002469%), (AMT, 0, 1.48%, 0.0012787%), (V, 0, 1.39%, 0.0001906%), (ORCL, 0, 1.20%, 0.0001087%), (LLY, 0, 1.18%, 0.0001312%), (CB, 0, 1.17%, 0.0008393%), (MA, 0, 1.13%, 0.0001723%), (GE, 0, 1.11%, 0.0002920%), (WM, 0, 1.03%, 0.0009184%), (UNH, 0, 0.99%, 0.0002546%), (NFLX, 0, 0.92%, 0.0001366%), (NEE, 0, 0.86%, 0.0004564%), (JNJ, 0, 0.85%, 0.0001572%), (PLTR, 0, 0.82%, 0.0001738%), (WMT, 0, 0.80%, 0.0000791%), (CVX, 0, 0.80%, 0.0001955%), (PG, 0, 0.80%, 0.0001706%), (COST, 0, 0.78%, 0.0001453%), (HD, 0, 0.75%, 0.0001432%), (ABBV, 0, 0.75%, 0.0001574%), (RTX, 0, 0.75%, 0.0002825%), (CAT, 0, 0.74%, 0.0002933%), (MCD, 0, 0.73%, 0.0002639%), (ABT, 0, 0.72%, 0.0002511%), (BAC, 0, 0.66%, 0.0001392%), (KO, 0, 0.62%, 0.0001675%), (BA, 0, 0.62%, 0.0002800%), (BKNG, 0, 0.61%, 0.0002699%), (PM, 0, 0.61%, 0.0001857%), (SO, 0, 0.59%, 0.0004604%), (NKE, 0, 0.58%, 0.0005177%), (AMD, 0, 0.58%, 0.0001780%), (IBM, 0, 0.58%, 0.0001907%), (GS, 0, 0.57%, 0.0001960%), (CRM, 0, 0.57%, 0.0001936%), (DUK, 0, 0.55%, 0.0004596%), (UBER, 0, 0.55%, 0.0002197%), (WFC, 0, 0.52%, 0.0001605%), (MET, 0, 0.52%, 0.0007706%), (ETN, 0, 0.51%, 0.0002890%), (ISRG, 0, 0.51%, 0.0002516%), (HON, 0, 0.50%, 0.0002915%), (NOW, 0, 0.46%, 0.0001909%), (PEP, 0, 0.46%, 0.0001865%), (T, 0, 0.46%, 0.0007994%), (MS, 0, 0.45%, 0.0001456%), (INTU, 0, 0.45%, 0.0001937%), (DE, 0, 0.43%, 0.0002678%), (AXP, 0, 0.43%, 0.0001514%), (MRK, 0, 0.42%, 0.0001593%), (SPGI, 0, 0.41%, 0.0001965%), (QCOM, 0, 0.40%, 0.0001841%), (VZ, 0, 0.40%, 0.0001708%), (BLK, 0, 0.38%, 0.0001763%), (TXN, 0, 0.38%, 0.0001786%), (MDT, 0, 0.38%, 0.0002505%), (ADBE, 0, 0.37%, 0.0002028%), (ACN, 0, 0.37%, 0.0001935%), (COP, 0, 0.37%, 0.0002480%), (TMO, 0, 0.37%, 0.0001602%), (DIS, 0, 0.36%, 0.0001370%), (UNP, 0, 0.36%, 0.0002224%), (C, 0, 0.36%, 0.0001587%), (LMT, 0, 0.35%, 0.0002593%), (SCHW, 0, 0.33%, 0.0001543%), (SBUX, 0, 0.31%, 0.0002621%), (AMAT, 0, 0.30%, 0.0001841%), (MMM, 0, 0.30%, 0.0002931%), (AMGN, 0, 0.30%, 0.0001571%), (CVS, 0, 0.30%, 0.0002484%), (TJX, 0, 0.29%, 0.0001454%), (GILD, 0, 0.29%, 0.0001579%), (PFE, 0, 0.28%, 0.0001568%), (LOW, 0, 0.28%, 0.0001451%), (EMR, 0, 0.28%, 0.0002884%), (MO, 0, 0.27%, 0.0001877%), (DHR, 0, 0.25%, 0.0001431%), (INTC, 0, 0.24%, 0.0001650%), (ELV, 0, 0.23%, 0.0002614%), (CMCSA, 0, 0.22%, 0.0001422%), (MDLZ, 0, 0.20%, 0.0001927%), (BMY, 0, 0.19%, 0.0001567%), (UPS, 0, 0.17%, 0.0002163%), (PYPL, 0, 0.16%, 0.0002008%), (USB, 0, 0.15%, 0.0001549%), (CL, 0, 0.15%, 0.0001716%), (FDX, 0, 0.14%, 0.0002072%), (TGT, 0, 0.08%, 0.0001472%), (nan, 0, -0.01%, 0.0000000%), (nan, 0, -0.01%, 0.0000000%)</t>
  </si>
  <si>
    <t>(AMZN, 0, 3.71%, 0.0002513%), (AVGO, 0, 3.59%, 0.0003521%), (META, 0, 2.66%, 0.0002712%), (BRK/B, 0, 2.02%, 0.0004985%), (CSCO, 0, 1.70%, 0.0010554%), (LIN, 0, 1.68%, 0.0012642%), (TSLA, 0, 1.65%, 0.0002377%), (JPM, 0, 1.56%, 0.0003164%), (XOM, 0, 1.41%, 0.0004940%), (AMT, 0, 1.39%, 0.0025582%), (V, 0, 1.32%, 0.0003814%), (ORCL, 0, 1.11%, 0.0002174%), (LLY, 0, 1.11%, 0.0002623%), (CB, 0, 1.10%, 0.0016793%), (MA, 0, 1.07%, 0.0003448%), (GE, 0, 1.04%, 0.0005843%), (WM, 0, 0.97%, 0.0018376%), (UNH, 0, 0.93%, 0.0005093%), (NFLX, 0, 0.87%, 0.0002733%), (NEE, 0, 0.81%, 0.0009132%), (JNJ, 0, 0.80%, 0.0003146%), (PLTR, 0, 0.78%, 0.0003477%), (WMT, 0, 0.76%, 0.0001582%), (CVX, 0, 0.76%, 0.0003912%), (PG, 0, 0.75%, 0.0003413%), (COST, 0, 0.74%, 0.0002906%), (HD, 0, 0.71%, 0.0002864%), (ABBV, 0, 0.71%, 0.0003149%), (RTX, 0, 0.71%, 0.0005653%), (CAT, 0, 0.70%, 0.0005868%), (MCD, 0, 0.69%, 0.0005280%), (ABT, 0, 0.68%, 0.0005000%), (BAC, 0, 0.62%, 0.0002785%), (KO, 0, 0.59%, 0.0003352%), (BA, 0, 0.58%, 0.0005601%), (PM, 0, 0.57%, 0.0003715%), (BKNG, 0, 0.57%, 0.0005398%), (SO, 0, 0.56%, 0.0009210%), (NKE, 0, 0.55%, 0.0010358%), (AMD, 0, 0.55%, 0.0003560%), (IBM, 0, 0.54%, 0.0003816%), (CRM, 0, 0.54%, 0.0003874%), (GS, 0, 0.54%, 0.0003924%), (DUK, 0, 0.52%, 0.0009194%), (UBER, 0, 0.51%, 0.0004396%), (WFC, 0, 0.49%, 0.0003212%), (MET, 0, 0.49%, 0.0015419%), (ETN, 0, 0.48%, 0.0005780%), (ISRG, 0, 0.48%, 0.0005035%), (HON, 0, 0.47%, 0.0005833%), (NOW, 0, 0.44%, 0.0003822%), (PEP, 0, 0.44%, 0.0003732%), (T, 0, 0.43%, 0.0015995%), (INTU, 0, 0.43%, 0.0003877%), (MS, 0, 0.43%, 0.0002914%), (DE, 0, 0.41%, 0.0005360%), (AXP, 0, 0.40%, 0.0003028%), (MRK, 0, 0.40%, 0.0003188%), (SPGI, 0, 0.38%, 0.0003930%), (QCOM, 0, 0.38%, 0.0003665%), (VZ, 0, 0.38%, 0.0003416%), (BLK, 0, 0.36%, 0.0003526%), (TXN, 0, 0.36%, 0.0003574%), (MDT, 0, 0.36%, 0.0005012%), (ACN, 0, 0.35%, 0.0003869%), (ADBE, 0, 0.35%, 0.0004056%), (COP, 0, 0.35%, 0.0004963%), (TMO, 0, 0.34%, 0.0003205%), (UNP, 0, 0.34%, 0.0004451%), (DIS, 0, 0.34%, 0.0002729%), (C, 0, 0.34%, 0.0003175%), (LMT, 0, 0.33%, 0.0005190%), (SCHW, 0, 0.31%, 0.0003087%), (SBUX, 0, 0.30%, 0.0005243%), (AMAT, 0, 0.29%, 0.0003684%), (MMM, 0, 0.29%, 0.0005837%), (AMGN, 0, 0.28%, 0.0003143%), (CVS, 0, 0.28%, 0.0004969%), (TJX, 0, 0.27%, 0.0002909%), (GILD, 0, 0.27%, 0.0003159%), (PFE, 0, 0.26%, 0.0003138%), (LOW, 0, 0.26%, 0.0002903%), (EMR, 0, 0.26%, 0.0005769%), (MO, 0, 0.25%, 0.0003755%), (DHR, 0, 0.23%, 0.0002865%), (INTC, 0, 0.23%, 0.0003301%), (ELV, 0, 0.21%, 0.0005233%), (CMCSA, 0, 0.21%, 0.0002846%), (MDLZ, 0, 0.19%, 0.0003854%), (BMY, 0, 0.18%, 0.0003136%), (UPS, 0, 0.16%, 0.0004326%), (PYPL, 0, 0.15%, 0.0004016%), (USB, 0, 0.14%, 0.0003099%), (CL, 0, 0.14%, 0.0003433%), (FDX, 0, 0.13%, 0.0004149%), (TGT, 0, 0.07%, 0.0002947%), (nan, 0, -0.01%, 0.0000000%), (nan, 0, -0.01%, 0.0000000%)</t>
  </si>
  <si>
    <t>(AVGO, 0, 3.45%, 0.0000510%), (META, 0, 2.60%, 0.0000393%), (BRK/B, 0, 2.00%, 0.0000723%), (TSLA, 0, 1.68%, 0.0000344%), (LIN, 0, 1.67%, 0.0001831%), (CSCO, 0, 1.65%, 0.0001529%), (JPM, 0, 1.55%, 0.0000459%), (AMT, 0, 1.38%, 0.0003706%), (XOM, 0, 1.37%, 0.0000716%), (V, 0, 1.30%, 0.0000553%), (CB, 0, 1.10%, 0.0002434%), (LLY, 0, 1.09%, 0.0000380%), (ORCL, 0, 1.06%, 0.0000315%), (MA, 0, 1.06%, 0.0000499%), (GE, 0, 1.02%, 0.0000847%), (WM, 0, 0.96%, 0.0002663%), (UNH, 0, 0.92%, 0.0000739%), (NFLX, 0, 0.82%, 0.0000396%), (NEE, 0, 0.79%, 0.0001323%), (JNJ, 0, 0.79%, 0.0000456%), (WMT, 0, 0.75%, 0.0000229%), (PLTR, 0, 0.75%, 0.0000504%), (PG, 0, 0.74%, 0.0000495%), (CVX, 0, 0.74%, 0.0000567%), (COST, 0, 0.73%, 0.0000422%), (ABBV, 0, 0.71%, 0.0000456%), (HD, 0, 0.70%, 0.0000415%), (RTX, 0, 0.70%, 0.0000819%), (CAT, 0, 0.69%, 0.0000850%), (MCD, 0, 0.68%, 0.0000765%), (ABT, 0, 0.68%, 0.0000729%), (BAC, 0, 0.61%, 0.0000404%), (KO, 0, 0.57%, 0.0000486%), (PM, 0, 0.56%, 0.0000538%), (BKNG, 0, 0.56%, 0.0000776%), (BA, 0, 0.55%, 0.0000812%), (SO, 0, 0.55%, 0.0001334%), (GS, 0, 0.54%, 0.0000570%), (NKE, 0, 0.54%, 0.0001501%), (IBM, 0, 0.53%, 0.0000553%), (CRM, 0, 0.53%, 0.0000561%), (AMD, 0, 0.52%, 0.0000516%), (DUK, 0, 0.51%, 0.0001332%), (UBER, 0, 0.50%, 0.0000637%), (WFC, 0, 0.49%, 0.0000465%), (MET, 0, 0.48%, 0.0002234%), (ISRG, 0, 0.48%, 0.0000731%), (ETN, 0, 0.47%, 0.0000837%), (HON, 0, 0.47%, 0.0000846%), (NOW, 0, 0.44%, 0.0000553%), (PEP, 0, 0.43%, 0.0000540%), (T, 0, 0.42%, 0.0002318%), (MS, 0, 0.42%, 0.0000422%), (INTU, 0, 0.42%, 0.0000563%), (DE, 0, 0.40%, 0.0000777%), (AXP, 0, 0.40%, 0.0000438%), (MRK, 0, 0.40%, 0.0000462%), (SPGI, 0, 0.38%, 0.0000568%), (QCOM, 0, 0.37%, 0.0000534%), (VZ, 0, 0.37%, 0.0000495%), (BLK, 0, 0.36%, 0.0000510%), (MDT, 0, 0.35%, 0.0000727%), (TXN, 0, 0.35%, 0.0000518%), (TMO, 0, 0.35%, 0.0000463%), (ACN, 0, 0.34%, 0.0000560%), (COP, 0, 0.34%, 0.0000719%), (ADBE, 0, 0.34%, 0.0000588%), (DIS, 0, 0.34%, 0.0000398%), (C, 0, 0.34%, 0.0000460%), (UNP, 0, 0.33%, 0.0000646%), (LMT, 0, 0.33%, 0.0000752%), (SCHW, 0, 0.31%, 0.0000447%), (MMM, 0, 0.29%, 0.0000851%), (AMAT, 0, 0.29%, 0.0000533%), (SBUX, 0, 0.29%, 0.0000760%), (AMGN, 0, 0.28%, 0.0000455%), (CVS, 0, 0.28%, 0.0000720%), (GILD, 0, 0.27%, 0.0000458%), (TJX, 0, 0.27%, 0.0000421%), (PFE, 0, 0.26%, 0.0000455%), (EMR, 0, 0.26%, 0.0000835%), (LOW, 0, 0.26%, 0.0000421%), (MO, 0, 0.24%, 0.0000544%), (DHR, 0, 0.23%, 0.0000415%), (INTC, 0, 0.22%, 0.0000478%), (ELV, 0, 0.21%, 0.0000756%), (CMCSA, 0, 0.20%, 0.0000412%), (MDLZ, 0, 0.18%, 0.0000559%), (BMY, 0, 0.18%, 0.0000454%), (UPS, 0, 0.16%, 0.0000626%), (PYPL, 0, 0.15%, 0.0000582%), (USB, 0, 0.14%, 0.0000449%), (CL, 0, 0.14%, 0.0000497%), (FDX, 0, 0.13%, 0.0000602%), (TGT, 0, 0.07%, 0.0000427%), (nan, 0, -0.01%, 0.0000000%), (nan, 0, -0.01%, 0.0000000%)</t>
  </si>
  <si>
    <t>(AMZN, 0, 3.93%, 0.0002176%), (AVGO, 0, 3.73%, 0.0003048%), (META, 0, 2.82%, 0.0002348%), (BRK/B, 0, 2.18%, 0.0004316%), (TSLA, 0, 1.82%, 0.0002058%), (LIN, 0, 1.82%, 0.0010946%), (CSCO, 0, 1.79%, 0.0009138%), (JPM, 0, 1.68%, 0.0002740%), (AMT, 0, 1.50%, 0.0022149%), (XOM, 0, 1.49%, 0.0004277%), (V, 0, 1.42%, 0.0003302%), (CB, 0, 1.19%, 0.0014542%), (LLY, 0, 1.18%, 0.0002272%), (MA, 0, 1.15%, 0.0002986%), (ORCL, 0, 1.12%, 0.0001883%), (GE, 0, 1.10%, 0.0005059%), (WM, 0, 1.04%, 0.0015911%), (UNH, 0, 1.00%, 0.0004409%), (NFLX, 0, 0.89%, 0.0002367%), (NEE, 0, 0.86%, 0.0007906%), (JNJ, 0, 0.86%, 0.0002724%), (WMT, 0, 0.82%, 0.0001370%), (PLTR, 0, 0.81%, 0.0003010%), (PG, 0, 0.81%, 0.0002955%), (CVX, 0, 0.80%, 0.0003387%), (COST, 0, 0.79%, 0.0002516%), (ABBV, 0, 0.77%, 0.0002727%), (HD, 0, 0.77%, 0.0002480%), (RTX, 0, 0.76%, 0.0004894%), (CAT, 0, 0.75%, 0.0005080%), (MCD, 0, 0.74%, 0.0004573%), (ABT, 0, 0.73%, 0.0004329%), (BAC, 0, 0.66%, 0.0002412%), (KO, 0, 0.62%, 0.0002902%), (BKNG, 0, 0.61%, 0.0004685%), (PM, 0, 0.61%, 0.0003217%), (BA, 0, 0.60%, 0.0004849%), (SO, 0, 0.59%, 0.0007975%), (NKE, 0, 0.58%, 0.0008968%), (GS, 0, 0.58%, 0.0003397%), (CRM, 0, 0.58%, 0.0003354%), (IBM, 0, 0.58%, 0.0003304%), (AMD, 0, 0.57%, 0.0003082%), (DUK, 0, 0.56%, 0.0007961%), (UBER, 0, 0.55%, 0.0003806%), (WFC, 0, 0.53%, 0.0002781%), (MET, 0, 0.53%, 0.0013351%), (ISRG, 0, 0.52%, 0.0004361%), (ETN, 0, 0.51%, 0.0005004%), (HON, 0, 0.51%, 0.0005050%), (NOW, 0, 0.47%, 0.0003308%), (PEP, 0, 0.47%, 0.0003231%), (T, 0, 0.46%, 0.0013849%), (MS, 0, 0.46%, 0.0002523%), (INTU, 0, 0.45%, 0.0003357%), (DE, 0, 0.44%, 0.0004639%), (AXP, 0, 0.44%, 0.0002622%), (MRK, 0, 0.43%, 0.0002760%), (SPGI, 0, 0.41%, 0.0003405%), (QCOM, 0, 0.41%, 0.0003174%), (VZ, 0, 0.41%, 0.0002958%), (BLK, 0, 0.39%, 0.0003055%), (MDT, 0, 0.38%, 0.0004339%), (TXN, 0, 0.38%, 0.0003095%), (TMO, 0, 0.38%, 0.0002776%), (ACN, 0, 0.38%, 0.0003351%), (ADBE, 0, 0.37%, 0.0003512%), (COP, 0, 0.37%, 0.0004297%), (DIS, 0, 0.37%, 0.0002363%), (C, 0, 0.37%, 0.0002749%), (UNP, 0, 0.36%, 0.0003854%), (LMT, 0, 0.36%, 0.0004494%), (SCHW, 0, 0.33%, 0.0002673%), (AMAT, 0, 0.31%, 0.0003190%), (SBUX, 0, 0.31%, 0.0004540%), (MMM, 0, 0.31%, 0.0005054%), (AMGN, 0, 0.30%, 0.0002721%), (CVS, 0, 0.30%, 0.0004303%), (GILD, 0, 0.29%, 0.0002735%), (TJX, 0, 0.29%, 0.0002519%), (PFE, 0, 0.28%, 0.0002717%), (LOW, 0, 0.28%, 0.0002514%), (EMR, 0, 0.28%, 0.0004995%), (MO, 0, 0.27%, 0.0003251%), (DHR, 0, 0.25%, 0.0002480%), (INTC, 0, 0.24%, 0.0002858%), (ELV, 0, 0.23%, 0.0004531%), (CMCSA, 0, 0.22%, 0.0002464%), (MDLZ, 0, 0.20%, 0.0003337%), (BMY, 0, 0.19%, 0.0002715%), (UPS, 0, 0.17%, 0.0003746%), (PYPL, 0, 0.16%, 0.0003478%), (USB, 0, 0.15%, 0.0002683%), (CL, 0, 0.15%, 0.0002971%), (FDX, 0, 0.14%, 0.0003590%), (TGT, 0, 0.08%, 0.0002551%), (nan, 0, -0.02%, 0.0000000%), (nan, 0, -0.02%, 0.0000000%)</t>
  </si>
  <si>
    <t>(AMZN, 0, 3.93%, 0.0001621%), (AVGO, 0, 3.73%, 0.0002272%), (META, 0, 2.82%, 0.0001750%), (BRK/B, 0, 2.17%, 0.0003216%), (TSLA, 0, 1.82%, 0.0001533%), (LIN, 0, 1.82%, 0.0008157%), (CSCO, 0, 1.79%, 0.0006809%), (JPM, 0, 1.68%, 0.0002042%), (AMT, 0, 1.50%, 0.0016506%), (XOM, 0, 1.49%, 0.0003187%), (V, 0, 1.41%, 0.0002461%), (CB, 0, 1.19%, 0.0010835%), (LLY, 0, 1.18%, 0.0001692%), (MA, 0, 1.15%, 0.0002225%), (ORCL, 0, 1.13%, 0.0001403%), (GE, 0, 1.10%, 0.0003769%), (WM, 0, 1.04%, 0.0011855%), (UNH, 0, 1.00%, 0.0003285%), (NFLX, 0, 0.89%, 0.0001763%), (NEE, 0, 0.86%, 0.0005892%), (JNJ, 0, 0.86%, 0.0002030%), (WMT, 0, 0.82%, 0.0001021%), (PLTR, 0, 0.81%, 0.0002243%), (PG, 0, 0.81%, 0.0002202%), (CVX, 0, 0.80%, 0.0002524%), (COST, 0, 0.79%, 0.0001875%), (ABBV, 0, 0.77%, 0.0002032%), (HD, 0, 0.76%, 0.0001849%), (RTX, 0, 0.76%, 0.0003647%), (CAT, 0, 0.75%, 0.0003787%), (MCD, 0, 0.74%, 0.0003407%), (ABT, 0, 0.73%, 0.0003226%), (BAC, 0, 0.66%, 0.0001797%), (KO, 0, 0.62%, 0.0002163%), (PM, 0, 0.61%, 0.0002397%), (BKNG, 0, 0.61%, 0.0003475%), (BA, 0, 0.60%, 0.0003613%), (SO, 0, 0.59%, 0.0005943%), (NKE, 0, 0.58%, 0.0006683%), (GS, 0, 0.58%, 0.0002531%), (CRM, 0, 0.58%, 0.0002499%), (IBM, 0, 0.58%, 0.0002462%), (AMD, 0, 0.57%, 0.0002297%), (DUK, 0, 0.56%, 0.0005932%), (UBER, 0, 0.55%, 0.0002836%), (WFC, 0, 0.53%, 0.0002072%), (MET, 0, 0.52%, 0.0009948%), (ISRG, 0, 0.52%, 0.0003250%), (ETN, 0, 0.51%, 0.0003730%), (HON, 0, 0.51%, 0.0003763%), (NOW, 0, 0.47%, 0.0002466%), (PEP, 0, 0.47%, 0.0002408%), (T, 0, 0.46%, 0.0010320%), (MS, 0, 0.46%, 0.0001879%), (INTU, 0, 0.45%, 0.0002504%), (DE, 0, 0.44%, 0.0003459%), (AXP, 0, 0.44%, 0.0001954%), (MRK, 0, 0.43%, 0.0002057%), (SPGI, 0, 0.41%, 0.0002536%), (QCOM, 0, 0.41%, 0.0002365%), (VZ, 0, 0.40%, 0.0002204%), (BLK, 0, 0.39%, 0.0002273%), (MDT, 0, 0.38%, 0.0003234%), (TXN, 0, 0.38%, 0.0002306%), (TMO, 0, 0.38%, 0.0002068%), (ACN, 0, 0.37%, 0.0002497%), (ADBE, 0, 0.37%, 0.0002616%), (COP, 0, 0.37%, 0.0003202%), (DIS, 0, 0.37%, 0.0001761%), (C, 0, 0.36%, 0.0002048%), (UNP, 0, 0.36%, 0.0002871%), (LMT, 0, 0.36%, 0.0003349%), (SCHW, 0, 0.33%, 0.0001992%), (AMAT, 0, 0.31%, 0.0002377%), (SBUX, 0, 0.31%, 0.0003383%), (MMM, 0, 0.31%, 0.0003767%), (AMGN, 0, 0.30%, 0.0002028%), (CVS, 0, 0.30%, 0.0003206%), (GILD, 0, 0.29%, 0.0002038%), (TJX, 0, 0.29%, 0.0001877%), (PFE, 0, 0.28%, 0.0002024%), (LOW, 0, 0.28%, 0.0001874%), (EMR, 0, 0.28%, 0.0003722%), (MO, 0, 0.27%, 0.0002423%), (DHR, 0, 0.25%, 0.0001849%), (INTC, 0, 0.24%, 0.0002130%), (ELV, 0, 0.23%, 0.0003375%), (CMCSA, 0, 0.22%, 0.0001836%), (MDLZ, 0, 0.19%, 0.0002487%), (BMY, 0, 0.19%, 0.0002023%), (UPS, 0, 0.17%, 0.0002791%), (PYPL, 0, 0.16%, 0.0002592%), (USB, 0, 0.15%, 0.0001999%), (CL, 0, 0.15%, 0.0002214%), (FDX, 0, 0.14%, 0.0002674%), (TGT, 0, 0.08%, 0.0001901%), (nan, 0, -0.02%, 0.0000000%), (nan, 0, -0.02%, 0.0000000%)</t>
  </si>
  <si>
    <t>(AMZN, 0, 3.98%, 0.0000380%), (AVGO, 0, 3.77%, 0.0000533%), (META, 0, 2.86%, 0.0000410%), (BRK/B, 0, 2.20%, 0.0000754%), (TSLA, 0, 1.84%, 0.0000359%), (LIN, 0, 1.84%, 0.0001912%), (CSCO, 0, 1.82%, 0.0001596%), (JPM, 0, 1.70%, 0.0000479%), (AMT, 0, 1.52%, 0.0003868%), (XOM, 0, 1.51%, 0.0000747%), (V, 0, 1.43%, 0.0000577%), (CB, 0, 1.21%, 0.0002541%), (LLY, 0, 1.20%, 0.0000397%), (MA, 0, 1.16%, 0.0000522%), (ORCL, 0, 1.14%, 0.0000329%), (GE, 0, 1.12%, 0.0000884%), (WM, 0, 1.05%, 0.0002780%), (UNH, 0, 1.02%, 0.0000771%), (NFLX, 0, 0.90%, 0.0000413%), (NEE, 0, 0.87%, 0.0001381%), (JNJ, 0, 0.87%, 0.0000476%), (WMT, 0, 0.83%, 0.0000239%), (PLTR, 0, 0.82%, 0.0000526%), (PG, 0, 0.82%, 0.0000516%), (CVX, 0, 0.81%, 0.0000591%), (COST, 0, 0.80%, 0.0000440%), (ABBV, 0, 0.78%, 0.0000476%), (HD, 0, 0.78%, 0.0000433%), (RTX, 0, 0.77%, 0.0000855%), (CAT, 0, 0.76%, 0.0000888%), (MCD, 0, 0.75%, 0.0000799%), (ABT, 0, 0.74%, 0.0000756%), (BAC, 0, 0.67%, 0.0000421%), (KO, 0, 0.63%, 0.0000507%), (PM, 0, 0.62%, 0.0000562%), (BKNG, 0, 0.61%, 0.0000807%), (BA, 0, 0.60%, 0.0000847%), (SO, 0, 0.60%, 0.0001393%), (NKE, 0, 0.59%, 0.0001566%), (CRM, 0, 0.59%, 0.0000586%), (IBM, 0, 0.58%, 0.0000577%), (GS, 0, 0.58%, 0.0000593%), (AMD, 0, 0.58%, 0.0000539%), (DUK, 0, 0.56%, 0.0001391%), (UBER, 0, 0.55%, 0.0000665%), (WFC, 0, 0.53%, 0.0000486%), (MET, 0, 0.53%, 0.0002332%), (ISRG, 0, 0.52%, 0.0000762%), (ETN, 0, 0.52%, 0.0000873%), (HON, 0, 0.51%, 0.0000882%), (NOW, 0, 0.48%, 0.0000577%), (PEP, 0, 0.47%, 0.0000565%), (T, 0, 0.47%, 0.0002419%), (MS, 0, 0.46%, 0.0000440%), (INTU, 0, 0.46%, 0.0000588%), (DE, 0, 0.44%, 0.0000810%), (AXP, 0, 0.44%, 0.0000459%), (MRK, 0, 0.44%, 0.0000482%), (SPGI, 0, 0.42%, 0.0000594%), (QCOM, 0, 0.41%, 0.0000554%), (VZ, 0, 0.41%, 0.0000517%), (BLK, 0, 0.40%, 0.0000536%), (MDT, 0, 0.39%, 0.0000758%), (TXN, 0, 0.39%, 0.0000540%), (ACN, 0, 0.38%, 0.0000586%), (TMO, 0, 0.38%, 0.0000484%), (ADBE, 0, 0.38%, 0.0000614%), (COP, 0, 0.37%, 0.0000751%), (DIS, 0, 0.37%, 0.0000413%), (C, 0, 0.37%, 0.0000480%), (UNP, 0, 0.37%, 0.0000673%), (LMT, 0, 0.36%, 0.0000787%), (SCHW, 0, 0.34%, 0.0000467%), (AMAT, 0, 0.32%, 0.0000557%), (MMM, 0, 0.32%, 0.0000883%), (SBUX, 0, 0.32%, 0.0000794%), (AMGN, 0, 0.31%, 0.0000476%), (CVS, 0, 0.30%, 0.0000752%), (GILD, 0, 0.30%, 0.0000477%), (TJX, 0, 0.29%, 0.0000440%), (EMR, 0, 0.29%, 0.0000872%), (PFE, 0, 0.29%, 0.0000475%), (LOW, 0, 0.28%, 0.0000439%), (MO, 0, 0.27%, 0.0000568%), (DHR, 0, 0.25%, 0.0000433%), (INTC, 0, 0.24%, 0.0000499%), (ELV, 0, 0.24%, 0.0000792%), (CMCSA, 0, 0.22%, 0.0000430%), (MDLZ, 0, 0.20%, 0.0000583%), (BMY, 0, 0.19%, 0.0000475%), (UPS, 0, 0.17%, 0.0000655%), (PYPL, 0, 0.16%, 0.0000607%), (USB, 0, 0.15%, 0.0000468%), (CL, 0, 0.15%, 0.0000519%), (FDX, 0, 0.14%, 0.0000627%), (TGT, 0, 0.08%, 0.0000447%), (nan, 0, -0.02%, 0.0000000%), (nan, 0, -0.02%, 0.0000000%)</t>
  </si>
  <si>
    <t>(AMZN, 0, 3.78%, 0.0000668%), (AVGO, 0, 3.60%, 0.0000936%), (META, 0, 2.71%, 0.0000721%), (BRK/B, 0, 2.09%, 0.0001325%), (TSLA, 0, 1.76%, 0.0000632%), (LIN, 0, 1.75%, 0.0003362%), (CSCO, 0, 1.72%, 0.0002806%), (JPM, 0, 1.61%, 0.0000842%), (AMT, 0, 1.44%, 0.0006801%), (XOM, 0, 1.43%, 0.0001314%), (V, 0, 1.36%, 0.0001014%), (CB, 0, 1.14%, 0.0004464%), (LLY, 0, 1.14%, 0.0000700%), (MA, 0, 1.10%, 0.0000917%), (ORCL, 0, 1.10%, 0.0000578%), (GE, 0, 1.06%, 0.0001554%), (WM, 0, 1.00%, 0.0004887%), (UNH, 0, 0.97%, 0.0001355%), (NFLX, 0, 0.85%, 0.0000727%), (NEE, 0, 0.83%, 0.0002428%), (JNJ, 0, 0.83%, 0.0000836%), (WMT, 0, 0.79%, 0.0000421%), (PLTR, 0, 0.78%, 0.0000924%), (PG, 0, 0.77%, 0.0000907%), (CVX, 0, 0.77%, 0.0001040%), (COST, 0, 0.76%, 0.0000772%), (ABBV, 0, 0.74%, 0.0000837%), (HD, 0, 0.74%, 0.0000762%), (RTX, 0, 0.73%, 0.0001503%), (CAT, 0, 0.72%, 0.0001560%), (MCD, 0, 0.71%, 0.0001404%), (ABT, 0, 0.71%, 0.0001335%), (BAC, 0, 0.64%, 0.0000741%), (KO, 0, 0.60%, 0.0000891%), (PM, 0, 0.59%, 0.0000988%), (BKNG, 0, 0.58%, 0.0001427%), (BA, 0, 0.57%, 0.0001489%), (SO, 0, 0.57%, 0.0002449%), (NKE, 0, 0.56%, 0.0002755%), (IBM, 0, 0.56%, 0.0001014%), (CRM, 0, 0.56%, 0.0001030%), (GS, 0, 0.55%, 0.0001044%), (AMD, 0, 0.55%, 0.0000946%), (DUK, 0, 0.53%, 0.0002445%), (UBER, 0, 0.53%, 0.0001169%), (WFC, 0, 0.51%, 0.0000854%), (MET, 0, 0.50%, 0.0004101%), (ISRG, 0, 0.50%, 0.0001340%), (ETN, 0, 0.49%, 0.0001536%), (HON, 0, 0.49%, 0.0001551%), (PEP, 0, 0.45%, 0.0000992%), (NOW, 0, 0.45%, 0.0001014%), (T, 0, 0.44%, 0.0004253%), (MS, 0, 0.44%, 0.0000775%), (INTU, 0, 0.44%, 0.0001029%), (DE, 0, 0.42%, 0.0001424%), (AXP, 0, 0.42%, 0.0000806%), (MRK, 0, 0.41%, 0.0000848%), (SPGI, 0, 0.40%, 0.0001044%), (QCOM, 0, 0.39%, 0.0000979%), (VZ, 0, 0.39%, 0.0000908%), (BLK, 0, 0.38%, 0.0000936%), (MDT, 0, 0.37%, 0.0001332%), (TXN, 0, 0.37%, 0.0000951%), (TMO, 0, 0.36%, 0.0000852%), (ACN, 0, 0.36%, 0.0001029%), (ADBE, 0, 0.36%, 0.0001077%), (COP, 0, 0.36%, 0.0001320%), (DIS, 0, 0.35%, 0.0000729%), (C, 0, 0.35%, 0.0000844%), (UNP, 0, 0.35%, 0.0001183%), (LMT, 0, 0.34%, 0.0001379%), (SCHW, 0, 0.32%, 0.0000821%), (MMM, 0, 0.30%, 0.0001559%), (AMAT, 0, 0.30%, 0.0000979%), (SBUX, 0, 0.30%, 0.0001394%), (AMGN, 0, 0.29%, 0.0000836%), (CVS, 0, 0.29%, 0.0001321%), (GILD, 0, 0.28%, 0.0000840%), (TJX, 0, 0.28%, 0.0000774%), (PFE, 0, 0.27%, 0.0000834%), (EMR, 0, 0.27%, 0.0001533%), (LOW, 0, 0.27%, 0.0000772%), (MO, 0, 0.26%, 0.0000998%), (DHR, 0, 0.24%, 0.0000762%), (INTC, 0, 0.23%, 0.0000878%), (ELV, 0, 0.22%, 0.0001390%), (CMCSA, 0, 0.21%, 0.0000757%), (MDLZ, 0, 0.19%, 0.0001025%), (BMY, 0, 0.18%, 0.0000834%), (UPS, 0, 0.16%, 0.0001151%), (PYPL, 0, 0.15%, 0.0001068%), (USB, 0, 0.15%, 0.0000824%), (CL, 0, 0.14%, 0.0000913%), (FDX, 0, 0.14%, 0.0001102%), (TGT, 0, 0.07%, 0.0000783%), (nan, 0, -0.01%, 0.0000000%), (nan, 0, -0.01%, 0.0000000%)</t>
  </si>
  <si>
    <t>(AMZN, 0, 3.86%, 0.0000241%), (AVGO, 0, 3.67%, 0.0000338%), (META, 0, 2.77%, 0.0000260%), (BRK/B, 0, 2.13%, 0.0000479%), (TSLA, 0, 1.79%, 0.0000228%), (LIN, 0, 1.78%, 0.0001214%), (CSCO, 0, 1.76%, 0.0001014%), (JPM, 0, 1.65%, 0.0000304%), (AMT, 0, 1.47%, 0.0002456%), (XOM, 0, 1.46%, 0.0000475%), (V, 0, 1.39%, 0.0000366%), (CB, 0, 1.17%, 0.0001614%), (LLY, 0, 1.16%, 0.0000253%), (MA, 0, 1.13%, 0.0000331%), (ORCL, 0, 1.09%, 0.0000209%), (GE, 0, 1.08%, 0.0000561%), (WM, 0, 1.02%, 0.0001765%), (UNH, 0, 0.99%, 0.0000489%), (NFLX, 0, 0.87%, 0.0000262%), (NEE, 0, 0.85%, 0.0000877%), (JNJ, 0, 0.84%, 0.0000302%), (WMT, 0, 0.80%, 0.0000152%), (PLTR, 0, 0.80%, 0.0000334%), (PG, 0, 0.79%, 0.0000328%), (CVX, 0, 0.79%, 0.0000376%), (COST, 0, 0.78%, 0.0000280%), (ABBV, 0, 0.76%, 0.0000302%), (HD, 0, 0.75%, 0.0000275%), (RTX, 0, 0.75%, 0.0000543%), (CAT, 0, 0.74%, 0.0000564%), (MCD, 0, 0.73%, 0.0000507%), (ABT, 0, 0.72%, 0.0000482%), (BAC, 0, 0.65%, 0.0000268%), (KO, 0, 0.61%, 0.0000322%), (BKNG, 0, 0.61%, 0.0000527%), (PM, 0, 0.60%, 0.0000357%), (BA, 0, 0.59%, 0.0000538%), (SO, 0, 0.58%, 0.0000884%), (GS, 0, 0.58%, 0.0000377%), (NKE, 0, 0.57%, 0.0000995%), (IBM, 0, 0.57%, 0.0000367%), (CRM, 0, 0.57%, 0.0000372%), (AMD, 0, 0.56%, 0.0000342%), (DUK, 0, 0.55%, 0.0000883%), (UBER, 0, 0.54%, 0.0000422%), (WFC, 0, 0.52%, 0.0000308%), (MET, 0, 0.52%, 0.0001481%), (ISRG, 0, 0.51%, 0.0000482%), (ETN, 0, 0.50%, 0.0000555%), (HON, 0, 0.50%, 0.0000561%), (NOW, 0, 0.46%, 0.0000365%), (PEP, 0, 0.46%, 0.0000358%), (T, 0, 0.45%, 0.0001536%), (MS, 0, 0.45%, 0.0000280%), (INTU, 0, 0.45%, 0.0000373%), (DE, 0, 0.43%, 0.0000514%), (AXP, 0, 0.43%, 0.0000290%), (MRK, 0, 0.42%, 0.0000306%), (SPGI, 0, 0.41%, 0.0000376%), (QCOM, 0, 0.40%, 0.0000354%), (VZ, 0, 0.40%, 0.0000328%), (BLK, 0, 0.38%, 0.0000336%), (MDT, 0, 0.38%, 0.0000481%), (TXN, 0, 0.37%, 0.0000343%), (ADBE, 0, 0.37%, 0.0000389%), (TMO, 0, 0.37%, 0.0000309%), (ACN, 0, 0.37%, 0.0000372%), (COP, 0, 0.36%, 0.0000476%), (DIS, 0, 0.36%, 0.0000263%), (C, 0, 0.36%, 0.0000305%), (UNP, 0, 0.36%, 0.0000428%), (LMT, 0, 0.35%, 0.0000497%), (SCHW, 0, 0.33%, 0.0000296%), (MMM, 0, 0.31%, 0.0000563%), (AMAT, 0, 0.31%, 0.0000354%), (SBUX, 0, 0.31%, 0.0000503%), (AMGN, 0, 0.30%, 0.0000303%), (CVS, 0, 0.29%, 0.0000477%), (GILD, 0, 0.29%, 0.0000304%), (TJX, 0, 0.28%, 0.0000279%), (PFE, 0, 0.28%, 0.0000301%), (LOW, 0, 0.28%, 0.0000278%), (EMR, 0, 0.28%, 0.0000554%), (MO, 0, 0.26%, 0.0000360%), (DHR, 0, 0.25%, 0.0000275%), (INTC, 0, 0.24%, 0.0000317%), (ELV, 0, 0.23%, 0.0000504%), (CMCSA, 0, 0.22%, 0.0000273%), (MDLZ, 0, 0.19%, 0.0000370%), (BMY, 0, 0.19%, 0.0000301%), (UPS, 0, 0.17%, 0.0000416%), (PYPL, 0, 0.16%, 0.0000386%), (USB, 0, 0.15%, 0.0000298%), (CL, 0, 0.15%, 0.0000330%), (FDX, 0, 0.14%, 0.0000398%), (TGT, 0, 0.08%, 0.0000284%), (nan, 0, -0.01%, 0.0000000%), (nan, 0, -0.02%, 0.0000000%)</t>
  </si>
  <si>
    <t>(AMZN, 0, 4.09%, 0.0000577%), (AVGO, 0, 3.87%, 0.0000808%), (META, 0, 2.93%, 0.0000622%), (BRK/B, 0, 2.26%, 0.0001144%), (TSLA, 0, 1.89%, 0.0000545%), (LIN, 0, 1.89%, 0.0002902%), (CSCO, 0, 1.86%, 0.0002422%), (JPM, 0, 1.74%, 0.0000726%), (AMT, 0, 1.56%, 0.0005870%), (XOM, 0, 1.55%, 0.0001134%), (V, 0, 1.47%, 0.0000875%), (CB, 0, 1.24%, 0.0003855%), (LLY, 0, 1.22%, 0.0000602%), (MA, 0, 1.19%, 0.0000791%), (ORCL, 0, 1.18%, 0.0000499%), (GE, 0, 1.15%, 0.0001341%), (WM, 0, 1.08%, 0.0004217%), (UNH, 0, 1.05%, 0.0001169%), (NFLX, 0, 0.92%, 0.0000628%), (NEE, 0, 0.90%, 0.0002095%), (JNJ, 0, 0.89%, 0.0000722%), (WMT, 0, 0.85%, 0.0000363%), (PLTR, 0, 0.84%, 0.0000798%), (PG, 0, 0.84%, 0.0000783%), (CVX, 0, 0.83%, 0.0000898%), (COST, 0, 0.82%, 0.0000668%), (ABBV, 0, 0.80%, 0.0000723%), (HD, 0, 0.79%, 0.0000657%), (RTX, 0, 0.79%, 0.0001297%), (CAT, 0, 0.78%, 0.0001347%), (MCD, 0, 0.77%, 0.0001212%), (ABT, 0, 0.76%, 0.0001147%), (BAC, 0, 0.69%, 0.0000639%), (KO, 0, 0.65%, 0.0000769%), (PM, 0, 0.63%, 0.0000852%), (BKNG, 0, 0.63%, 0.0001241%), (BA, 0, 0.62%, 0.0001285%), (SO, 0, 0.62%, 0.0002113%), (NKE, 0, 0.60%, 0.0002377%), (CRM, 0, 0.60%, 0.0000889%), (IBM, 0, 0.60%, 0.0000875%), (GS, 0, 0.60%, 0.0000900%), (AMD, 0, 0.59%, 0.0000817%), (DUK, 0, 0.58%, 0.0002109%), (UBER, 0, 0.57%, 0.0001009%), (WFC, 0, 0.55%, 0.0000737%), (MET, 0, 0.55%, 0.0003538%), (ISRG, 0, 0.54%, 0.0001157%), (ETN, 0, 0.53%, 0.0001325%), (HON, 0, 0.53%, 0.0001339%), (PEP, 0, 0.49%, 0.0000856%), (NOW, 0, 0.48%, 0.0000875%), (T, 0, 0.48%, 0.0003671%), (MS, 0, 0.47%, 0.0000668%), (INTU, 0, 0.47%, 0.0000890%), (DE, 0, 0.46%, 0.0001228%), (AXP, 0, 0.45%, 0.0000695%), (MRK, 0, 0.45%, 0.0000731%), (SPGI, 0, 0.43%, 0.0000902%), (QCOM, 0, 0.42%, 0.0000842%), (VZ, 0, 0.42%, 0.0000784%), (BLK, 0, 0.41%, 0.0000807%), (MDT, 0, 0.40%, 0.0001150%), (TXN, 0, 0.40%, 0.0000820%), (TMO, 0, 0.39%, 0.0000735%), (ACN, 0, 0.39%, 0.0000888%), (ADBE, 0, 0.39%, 0.0000932%), (COP, 0, 0.39%, 0.0001139%), (DIS, 0, 0.38%, 0.0000626%), (C, 0, 0.38%, 0.0000728%), (UNP, 0, 0.38%, 0.0001022%), (LMT, 0, 0.37%, 0.0001193%), (SCHW, 0, 0.35%, 0.0000708%), (AMAT, 0, 0.33%, 0.0000845%), (MMM, 0, 0.33%, 0.0001340%), (SBUX, 0, 0.33%, 0.0001203%), (AMGN, 0, 0.32%, 0.0000721%), (CVS, 0, 0.31%, 0.0001141%), (GILD, 0, 0.30%, 0.0000725%), (TJX, 0, 0.30%, 0.0000668%), (PFE, 0, 0.29%, 0.0000720%), (LOW, 0, 0.29%, 0.0000667%), (EMR, 0, 0.29%, 0.0001324%), (MO, 0, 0.28%, 0.0000861%), (DHR, 0, 0.26%, 0.0000657%), (INTC, 0, 0.25%, 0.0000757%), (ELV, 0, 0.24%, 0.0001201%), (CMCSA, 0, 0.23%, 0.0000653%), (MDLZ, 0, 0.20%, 0.0000884%), (BMY, 0, 0.20%, 0.0000720%), (UPS, 0, 0.18%, 0.0000993%), (PYPL, 0, 0.17%, 0.0000921%), (USB, 0, 0.16%, 0.0000711%), (CL, 0, 0.15%, 0.0000788%), (FDX, 0, 0.15%, 0.0000954%), (TGT, 0, 0.08%, 0.0000676%), (nan, 0, -0.02%, 0.0000000%), (nan, 0, -0.02%, 0.0000000%)</t>
  </si>
  <si>
    <t>EBAY, GOOGLE, BK, MLI, META, JPM, PHM, MSFT, RJF, BLK, EA</t>
  </si>
  <si>
    <t>(EWBC, 0, 1.97%, 0.0071810%), (AXP, 0, 1.94%, 0.0004688%), (BKNG, 0, 1.93%, 0.0005988%), (HIG, 0, 1.86%, 0.0027511%), (TRV, 0, 1.86%, 0.0016327%), (V, 0, 1.79%, 0.0001685%), (KLAC, 0, 1.77%, 0.0007710%), (UNM, 0, 1.77%, 0.0075620%), (ROST, 0, 1.76%, 0.0019611%), (SNA, 0, 1.73%, 0.0054896%), (NVDA, 0, 1.73%, 0.0000220%), (LEN, 0, 1.73%, 0.0030196%), (AMAT, 0, 1.70%, 0.0006885%), (PCAR, 0, 1.68%, 0.0017239%), (CB, 0, 1.67%, 0.0008207%), (ADP, 0, 1.66%, 0.0007563%), (SYF, 0, 1.66%, 0.0033195%), (WSM, 0, 1.50%, 0.0033237%), (CTSH, 0, 1.49%, 0.0023974%), (DHI, 0, 1.48%, 0.0015251%), (CRM, 0, 1.47%, 0.0003445%), (BKR, 0, 1.46%, 0.0017256%), (PAYC, 0, 1.45%, 0.0060508%), (QCOM, 0, 1.36%, 0.0004280%), (ELV, 0, 1.26%, 0.0009868%), (AFL, 0, 1.25%, 0.0011824%), (AAPL, 0, 1.25%, 0.0000202%), (LRCX, 0, 1.24%, 0.0004696%), (ACN, 0, 1.21%, 0.0004380%), (MPWR, 0, 1.12%, 0.0015264%), (ODFL, 0, 1.07%, 0.0018666%), (GE, 0, 1.06%, 0.0001960%), (CSCO, 0, 1.06%, 0.0002167%), (STT, 0, 0.98%, 0.0016999%), (PNC, 0, 0.94%, 0.0006457%), (MTB, 0, 0.91%, 0.0016442%), (CF, 0, 0.85%, 0.0033499%), (AMP, 0, 0.84%, 0.0009956%), (COST, 0, 0.84%, 0.0001072%), (ABT, 0, 0.83%, 0.0001966%), (XOM, 0, 0.81%, 0.0000932%), (EOG, 0, 0.78%, 0.0006550%), (EG, 0, 0.76%, 0.0028643%), (CSL, 0, 0.76%, 0.0025487%), (GEV, 0, 0.56%, 0.0001784%), (NTRS, 0, 0.52%, 0.0011654%), (MA, 0, 0.49%, 0.0000516%), (ACM, 0, 0.49%, 0.0015742%), (JNJ, 0, 0.48%, 0.0000613%), (CRBG, 0, 0.47%, 0.0014057%), (LNC, 0, 0.46%, 0.0031731%), (MTG, 0, 0.46%, 0.0038705%), (JXN, 0, 0.45%, 0.0035721%), (WTFC, 0, 0.44%, 0.0026511%), (CINF, 0, 0.44%, 0.0009826%), (EQH, 0, 0.42%, 0.0014262%), (DOV, 0, 0.42%, 0.0009398%), (MCK, 0, 0.42%, 0.0002557%), (ADM, 0, 0.41%, 0.0007638%), (ALL, 0, 0.40%, 0.0004140%), (NUE, 0, 0.39%, 0.0006417%), (SLM, 0, 0.37%, 0.0034851%), (PGR, 0, 0.36%, 0.0001372%), (NKE, 0, 0.36%, 0.0002258%), (FANG, 0, 0.29%, 0.0003962%)</t>
  </si>
  <si>
    <t>(AMZN, 0, 3.74%, 0.0000614%), (AVGO, 0, 3.56%, 0.0000861%), (META, 0, 2.68%, 0.0000663%), (BRK/B, 0, 2.07%, 0.0001219%), (TSLA, 0, 1.74%, 0.0000581%), (LIN, 0, 1.73%, 0.0003090%), (CSCO, 0, 1.71%, 0.0002580%), (JPM, 0, 1.60%, 0.0000774%), (AMT, 0, 1.43%, 0.0006254%), (XOM, 0, 1.42%, 0.0001208%), (V, 0, 1.35%, 0.0000932%), (CB, 0, 1.13%, 0.0004106%), (LLY, 0, 1.12%, 0.0000641%), (MA, 0, 1.09%, 0.0000843%), (ORCL, 0, 1.08%, 0.0000532%), (GE, 0, 1.05%, 0.0001429%), (WM, 0, 0.99%, 0.0004493%), (UNH, 0, 0.96%, 0.0001245%), (NFLX, 0, 0.84%, 0.0000668%), (NEE, 0, 0.82%, 0.0002233%), (JNJ, 0, 0.82%, 0.0000769%), (WMT, 0, 0.78%, 0.0000387%), (PLTR, 0, 0.78%, 0.0000850%), (PG, 0, 0.77%, 0.0000834%), (CVX, 0, 0.76%, 0.0000956%), (COST, 0, 0.75%, 0.0000711%), (ABBV, 0, 0.74%, 0.0000770%), (HD, 0, 0.73%, 0.0000700%), (RTX, 0, 0.72%, 0.0001382%), (CAT, 0, 0.71%, 0.0001434%), (MCD, 0, 0.70%, 0.0001291%), (ABT, 0, 0.70%, 0.0001228%), (BAC, 0, 0.63%, 0.0000681%), (KO, 0, 0.59%, 0.0000819%), (BKNG, 0, 0.59%, 0.0001334%), (PM, 0, 0.58%, 0.0000908%), (BA, 0, 0.57%, 0.0001370%), (SO, 0, 0.57%, 0.0002251%), (NKE, 0, 0.55%, 0.0002533%), (IBM, 0, 0.55%, 0.0000933%), (CRM, 0, 0.55%, 0.0000947%), (GS, 0, 0.55%, 0.0000960%), (AMD, 0, 0.54%, 0.0000870%), (DUK, 0, 0.53%, 0.0002248%), (UBER, 0, 0.52%, 0.0001075%), (WFC, 0, 0.50%, 0.0000785%), (MET, 0, 0.50%, 0.0003770%), (ISRG, 0, 0.49%, 0.0001233%), (ETN, 0, 0.49%, 0.0001413%), (HON, 0, 0.48%, 0.0001425%), (NOW, 0, 0.45%, 0.0000933%), (PEP, 0, 0.45%, 0.0000913%), (T, 0, 0.44%, 0.0003910%), (MS, 0, 0.43%, 0.0000712%), (INTU, 0, 0.43%, 0.0000947%), (DE, 0, 0.42%, 0.0001310%), (AXP, 0, 0.42%, 0.0000740%), (MRK, 0, 0.41%, 0.0000779%), (SPGI, 0, 0.39%, 0.0000961%), (QCOM, 0, 0.39%, 0.0000900%), (VZ, 0, 0.39%, 0.0000835%), (BLK, 0, 0.37%, 0.0000859%), (MDT, 0, 0.37%, 0.0001226%), (TXN, 0, 0.36%, 0.0000874%), (TMO, 0, 0.36%, 0.0000783%), (ACN, 0, 0.36%, 0.0000946%), (ADBE, 0, 0.36%, 0.0000991%), (COP, 0, 0.35%, 0.0001214%), (DIS, 0, 0.35%, 0.0000670%), (C, 0, 0.35%, 0.0000776%), (UNP, 0, 0.35%, 0.0001087%), (LMT, 0, 0.34%, 0.0001271%), (SCHW, 0, 0.32%, 0.0000755%), (AMAT, 0, 0.30%, 0.0000901%), (MMM, 0, 0.30%, 0.0001427%), (SBUX, 0, 0.30%, 0.0001282%), (AMGN, 0, 0.29%, 0.0000769%), (CVS, 0, 0.28%, 0.0001215%), (GILD, 0, 0.28%, 0.0000772%), (TJX, 0, 0.28%, 0.0000712%), (PFE, 0, 0.27%, 0.0000767%), (EMR, 0, 0.27%, 0.0001411%), (LOW, 0, 0.27%, 0.0000710%), (MO, 0, 0.25%, 0.0000918%), (DHR, 0, 0.24%, 0.0000701%), (INTC, 0, 0.23%, 0.0000807%), (ELV, 0, 0.22%, 0.0001278%), (CMCSA, 0, 0.21%, 0.0000696%), (MDLZ, 0, 0.19%, 0.0000942%), (BMY, 0, 0.18%, 0.0000767%), (UPS, 0, 0.16%, 0.0001058%), (PYPL, 0, 0.15%, 0.0000982%), (USB, 0, 0.14%, 0.0000758%), (CL, 0, 0.14%, 0.0000839%), (FDX, 0, 0.14%, 0.0001013%), (TGT, 0, 0.07%, 0.0000720%), (nan, 0, -0.01%, 0.0000000%), (nan, 0, -0.01%, 0.0000000%)</t>
  </si>
  <si>
    <t>(AMZN, 0, 3.91%, 0.0001256%), (AVGO, 0, 3.72%, 0.0001760%), (META, 0, 2.81%, 0.0001355%), (BRK/B, 0, 2.16%, 0.0002492%), (TSLA, 0, 1.82%, 0.0001188%), (LIN, 0, 1.81%, 0.0006318%), (CSCO, 0, 1.78%, 0.0005275%), (JPM, 0, 1.67%, 0.0001582%), (AMT, 0, 1.49%, 0.0012787%), (XOM, 0, 1.49%, 0.0002469%), (V, 0, 1.41%, 0.0001906%), (CB, 0, 1.19%, 0.0008393%), (LLY, 0, 1.18%, 0.0001312%), (MA, 0, 1.14%, 0.0001723%), (ORCL, 0, 1.13%, 0.0001087%), (GE, 0, 1.10%, 0.0002920%), (WM, 0, 1.03%, 0.0009184%), (UNH, 0, 1.00%, 0.0002546%), (NFLX, 0, 0.88%, 0.0001366%), (NEE, 0, 0.86%, 0.0004564%), (JNJ, 0, 0.86%, 0.0001572%), (WMT, 0, 0.82%, 0.0000791%), (PLTR, 0, 0.81%, 0.0001738%), (PG, 0, 0.80%, 0.0001706%), (CVX, 0, 0.80%, 0.0001955%), (COST, 0, 0.79%, 0.0001453%), (ABBV, 0, 0.77%, 0.0001574%), (HD, 0, 0.76%, 0.0001432%), (RTX, 0, 0.76%, 0.0002825%), (CAT, 0, 0.75%, 0.0002933%), (MCD, 0, 0.74%, 0.0002639%), (ABT, 0, 0.73%, 0.0002511%), (BAC, 0, 0.66%, 0.0001392%), (KO, 0, 0.62%, 0.0001675%), (PM, 0, 0.61%, 0.0001857%), (BKNG, 0, 0.61%, 0.0002699%), (BA, 0, 0.59%, 0.0002800%), (SO, 0, 0.59%, 0.0004604%), (GS, 0, 0.58%, 0.0001960%), (NKE, 0, 0.58%, 0.0005177%), (IBM, 0, 0.58%, 0.0001907%), (CRM, 0, 0.58%, 0.0001936%), (AMD, 0, 0.57%, 0.0001780%), (DUK, 0, 0.55%, 0.0004596%), (UBER, 0, 0.55%, 0.0002197%), (WFC, 0, 0.53%, 0.0001605%), (MET, 0, 0.52%, 0.0007706%), (ISRG, 0, 0.52%, 0.0002516%), (ETN, 0, 0.51%, 0.0002890%), (HON, 0, 0.50%, 0.0002915%), (NOW, 0, 0.47%, 0.0001909%), (PEP, 0, 0.47%, 0.0001865%), (T, 0, 0.46%, 0.0007994%), (MS, 0, 0.45%, 0.0001456%), (INTU, 0, 0.45%, 0.0001937%), (DE, 0, 0.44%, 0.0002678%), (AXP, 0, 0.43%, 0.0001514%), (MRK, 0, 0.43%, 0.0001593%), (SPGI, 0, 0.41%, 0.0001965%), (QCOM, 0, 0.41%, 0.0001841%), (VZ, 0, 0.40%, 0.0001708%), (BLK, 0, 0.39%, 0.0001763%), (MDT, 0, 0.38%, 0.0002505%), (TXN, 0, 0.38%, 0.0001786%), (TMO, 0, 0.37%, 0.0001602%), (ACN, 0, 0.37%, 0.0001935%), (ADBE, 0, 0.37%, 0.0002028%), (COP, 0, 0.37%, 0.0002480%), (DIS, 0, 0.37%, 0.0001370%), (C, 0, 0.36%, 0.0001587%), (UNP, 0, 0.36%, 0.0002224%), (LMT, 0, 0.36%, 0.0002593%), (SCHW, 0, 0.33%, 0.0001543%), (MMM, 0, 0.31%, 0.0002931%), (AMAT, 0, 0.31%, 0.0001841%), (SBUX, 0, 0.31%, 0.0002621%), (AMGN, 0, 0.30%, 0.0001571%), (CVS, 0, 0.30%, 0.0002484%), (GILD, 0, 0.29%, 0.0001579%), (TJX, 0, 0.29%, 0.0001454%), (PFE, 0, 0.28%, 0.0001568%), (EMR, 0, 0.28%, 0.0002884%), (LOW, 0, 0.28%, 0.0001451%), (MO, 0, 0.26%, 0.0001877%), (DHR, 0, 0.25%, 0.0001431%), (INTC, 0, 0.24%, 0.0001650%), (ELV, 0, 0.23%, 0.0002614%), (CMCSA, 0, 0.22%, 0.0001422%), (MDLZ, 0, 0.19%, 0.0001927%), (BMY, 0, 0.19%, 0.0001567%), (UPS, 0, 0.17%, 0.0002163%), (PYPL, 0, 0.16%, 0.0002008%), (USB, 0, 0.15%, 0.0001549%), (CL, 0, 0.15%, 0.0001716%), (FDX, 0, 0.14%, 0.0002072%), (TGT, 0, 0.08%, 0.0001472%), (nan, 0, -0.01%, 0.0000000%), (nan, 0, -0.01%, 0.0000000%)</t>
  </si>
  <si>
    <t>(AMZN, 0, 3.70%, 0.0002513%), (AVGO, 0, 3.51%, 0.0003521%), (META, 0, 2.65%, 0.0002712%), (BRK/B, 0, 2.04%, 0.0004985%), (TSLA, 0, 1.72%, 0.0002377%), (LIN, 0, 1.71%, 0.0012642%), (CSCO, 0, 1.69%, 0.0010554%), (JPM, 0, 1.58%, 0.0003164%), (AMT, 0, 1.41%, 0.0025582%), (XOM, 0, 1.40%, 0.0004940%), (V, 0, 1.33%, 0.0003814%), (CB, 0, 1.12%, 0.0016793%), (LLY, 0, 1.11%, 0.0002623%), (MA, 0, 1.08%, 0.0003448%), (ORCL, 0, 1.06%, 0.0002174%), (GE, 0, 1.04%, 0.0005843%), (WM, 0, 0.98%, 0.0018376%), (UNH, 0, 0.94%, 0.0005093%), (NFLX, 0, 0.83%, 0.0002733%), (NEE, 0, 0.81%, 0.0009132%), (JNJ, 0, 0.81%, 0.0003146%), (WMT, 0, 0.77%, 0.0001582%), (PLTR, 0, 0.76%, 0.0003477%), (PG, 0, 0.76%, 0.0003413%), (CVX, 0, 0.75%, 0.0003912%), (COST, 0, 0.74%, 0.0002906%), (ABBV, 0, 0.73%, 0.0003149%), (HD, 0, 0.72%, 0.0002864%), (RTX, 0, 0.71%, 0.0005653%), (CAT, 0, 0.71%, 0.0005868%), (MCD, 0, 0.70%, 0.0005280%), (ABT, 0, 0.69%, 0.0005000%), (BAC, 0, 0.62%, 0.0002785%), (KO, 0, 0.58%, 0.0003352%), (PM, 0, 0.57%, 0.0003715%), (BKNG, 0, 0.57%, 0.0005398%), (BA, 0, 0.56%, 0.0005601%), (SO, 0, 0.56%, 0.0009210%), (NKE, 0, 0.55%, 0.0010358%), (CRM, 0, 0.54%, 0.0003874%), (IBM, 0, 0.54%, 0.0003816%), (GS, 0, 0.54%, 0.0003924%), (AMD, 0, 0.53%, 0.0003560%), (DUK, 0, 0.52%, 0.0009194%), (UBER, 0, 0.51%, 0.0004396%), (WFC, 0, 0.50%, 0.0003212%), (MET, 0, 0.49%, 0.0015419%), (ISRG, 0, 0.49%, 0.0005035%), (ETN, 0, 0.48%, 0.0005780%), (HON, 0, 0.48%, 0.0005833%), (NOW, 0, 0.44%, 0.0003822%), (PEP, 0, 0.44%, 0.0003732%), (T, 0, 0.43%, 0.0015995%), (MS, 0, 0.43%, 0.0002914%), (INTU, 0, 0.43%, 0.0003877%), (DE, 0, 0.41%, 0.0005360%), (AXP, 0, 0.41%, 0.0003028%), (MRK, 0, 0.40%, 0.0003188%), (SPGI, 0, 0.39%, 0.0003930%), (QCOM, 0, 0.38%, 0.0003665%), (VZ, 0, 0.38%, 0.0003416%), (BLK, 0, 0.37%, 0.0003526%), (MDT, 0, 0.36%, 0.0005012%), (TXN, 0, 0.36%, 0.0003574%), (TMO, 0, 0.35%, 0.0003205%), (ACN, 0, 0.35%, 0.0003869%), (ADBE, 0, 0.35%, 0.0004056%), (COP, 0, 0.35%, 0.0004963%), (DIS, 0, 0.34%, 0.0002729%), (C, 0, 0.34%, 0.0003175%), (UNP, 0, 0.34%, 0.0004451%), (LMT, 0, 0.34%, 0.0005190%), (SCHW, 0, 0.31%, 0.0003087%), (AMAT, 0, 0.29%, 0.0003684%), (SBUX, 0, 0.29%, 0.0005243%), (MMM, 0, 0.29%, 0.0005837%), (AMGN, 0, 0.29%, 0.0003143%), (CVS, 0, 0.28%, 0.0004969%), (GILD, 0, 0.27%, 0.0003159%), (TJX, 0, 0.27%, 0.0002909%), (PFE, 0, 0.27%, 0.0003138%), (LOW, 0, 0.26%, 0.0002903%), (EMR, 0, 0.26%, 0.0005769%), (MO, 0, 0.25%, 0.0003755%), (DHR, 0, 0.24%, 0.0002865%), (INTC, 0, 0.23%, 0.0003301%), (ELV, 0, 0.22%, 0.0005233%), (CMCSA, 0, 0.21%, 0.0002846%), (MDLZ, 0, 0.18%, 0.0003854%), (BMY, 0, 0.18%, 0.0003136%), (UPS, 0, 0.16%, 0.0004326%), (PYPL, 0, 0.15%, 0.0004016%), (USB, 0, 0.14%, 0.0003099%), (CL, 0, 0.14%, 0.0003433%), (FDX, 0, 0.13%, 0.0004149%), (TGT, 0, 0.07%, 0.0002947%), (nan, 0, -0.01%, 0.0000000%), (nan, 0, -0.02%, 0.0000000%)</t>
  </si>
  <si>
    <t>(AMZN, 0, 3.59%, 0.0000364%), (AVGO, 0, 3.45%, 0.0000510%), (META, 0, 2.61%, 0.0000393%), (BRK/B, 0, 1.99%, 0.0000723%), (TSLA, 0, 1.78%, 0.0000344%), (LIN, 0, 1.67%, 0.0001831%), (CSCO, 0, 1.63%, 0.0001529%), (JPM, 0, 1.55%, 0.0000459%), (XOM, 0, 1.37%, 0.0000716%), (AMT, 0, 1.37%, 0.0003706%), (V, 0, 1.29%, 0.0000553%), (LLY, 0, 1.09%, 0.0000380%), (CB, 0, 1.08%, 0.0002434%), (MA, 0, 1.04%, 0.0000499%), (GE, 0, 1.02%, 0.0000847%), (ORCL, 0, 1.02%, 0.0000315%), (WM, 0, 0.95%, 0.0002663%), (UNH, 0, 0.92%, 0.0000739%), (NFLX, 0, 0.81%, 0.0000396%), (NEE, 0, 0.80%, 0.0001323%), (JNJ, 0, 0.79%, 0.0000456%), (PLTR, 0, 0.78%, 0.0000504%), (WMT, 0, 0.76%, 0.0000229%), (PG, 0, 0.74%, 0.0000495%), (CVX, 0, 0.74%, 0.0000567%), (COST, 0, 0.73%, 0.0000422%), (ABBV, 0, 0.71%, 0.0000456%), (HD, 0, 0.70%, 0.0000415%), (RTX, 0, 0.69%, 0.0000819%), (CAT, 0, 0.69%, 0.0000850%), (ABT, 0, 0.68%, 0.0000729%), (MCD, 0, 0.67%, 0.0000765%), (BAC, 0, 0.61%, 0.0000404%), (KO, 0, 0.57%, 0.0000486%), (PM, 0, 0.56%, 0.0000538%), (BKNG, 0, 0.55%, 0.0000776%), (SO, 0, 0.55%, 0.0001334%), (GS, 0, 0.54%, 0.0000570%), (BA, 0, 0.54%, 0.0000812%), (AMD, 0, 0.53%, 0.0000516%), (IBM, 0, 0.53%, 0.0000553%), (NKE, 0, 0.53%, 0.0001501%), (CRM, 0, 0.52%, 0.0000561%), (DUK, 0, 0.51%, 0.0001332%), (UBER, 0, 0.51%, 0.0000637%), (WFC, 0, 0.49%, 0.0000465%), (MET, 0, 0.49%, 0.0002234%), (ETN, 0, 0.48%, 0.0000837%), (ISRG, 0, 0.47%, 0.0000731%), (HON, 0, 0.46%, 0.0000846%), (NOW, 0, 0.43%, 0.0000553%), (PEP, 0, 0.43%, 0.0000540%), (T, 0, 0.43%, 0.0002318%), (MS, 0, 0.42%, 0.0000422%), (INTU, 0, 0.41%, 0.0000563%), (DE, 0, 0.40%, 0.0000777%), (AXP, 0, 0.40%, 0.0000438%), (MRK, 0, 0.39%, 0.0000462%), (SPGI, 0, 0.38%, 0.0000568%), (QCOM, 0, 0.38%, 0.0000534%), (VZ, 0, 0.37%, 0.0000495%), (BLK, 0, 0.36%, 0.0000510%), (MDT, 0, 0.35%, 0.0000727%), (TXN, 0, 0.35%, 0.0000518%), (ADBE, 0, 0.35%, 0.0000588%), (C, 0, 0.34%, 0.0000460%), (TMO, 0, 0.34%, 0.0000463%), (ACN, 0, 0.34%, 0.0000560%), (COP, 0, 0.34%, 0.0000719%), (DIS, 0, 0.34%, 0.0000398%), (UNP, 0, 0.33%, 0.0000646%), (LMT, 0, 0.33%, 0.0000752%), (SCHW, 0, 0.31%, 0.0000447%), (MMM, 0, 0.29%, 0.0000851%), (AMAT, 0, 0.29%, 0.0000533%), (SBUX, 0, 0.29%, 0.0000760%), (CVS, 0, 0.28%, 0.0000720%), (AMGN, 0, 0.27%, 0.0000455%), (TJX, 0, 0.26%, 0.0000421%), (GILD, 0, 0.26%, 0.0000458%), (LOW, 0, 0.26%, 0.0000421%), (EMR, 0, 0.26%, 0.0000835%), (PFE, 0, 0.25%, 0.0000455%), (MO, 0, 0.25%, 0.0000544%), (DHR, 0, 0.23%, 0.0000415%), (INTC, 0, 0.22%, 0.0000478%), (ELV, 0, 0.21%, 0.0000756%), (CMCSA, 0, 0.20%, 0.0000412%), (MDLZ, 0, 0.18%, 0.0000559%), (BMY, 0, 0.17%, 0.0000454%), (UPS, 0, 0.16%, 0.0000626%), (PYPL, 0, 0.15%, 0.0000582%), (USB, 0, 0.14%, 0.0000449%), (CL, 0, 0.14%, 0.0000497%), (FDX, 0, 0.13%, 0.0000602%), (TGT, 0, 0.07%, 0.0000427%), (nan, 0, -0.01%, 0.0000000%), (nan, 0, -0.01%, 0.0000000%)</t>
  </si>
  <si>
    <t>(AMZN, 0, 3.91%, 0.0002176%), (AVGO, 0, 3.73%, 0.0003048%), (META, 0, 2.84%, 0.0002348%), (BRK/B, 0, 2.16%, 0.0004316%), (TSLA, 0, 1.92%, 0.0002058%), (LIN, 0, 1.81%, 0.0010946%), (CSCO, 0, 1.77%, 0.0009138%), (JPM, 0, 1.68%, 0.0002740%), (XOM, 0, 1.49%, 0.0004277%), (AMT, 0, 1.49%, 0.0022149%), (V, 0, 1.40%, 0.0003302%), (LLY, 0, 1.18%, 0.0002272%), (CB, 0, 1.17%, 0.0014542%), (MA, 0, 1.14%, 0.0002986%), (GE, 0, 1.10%, 0.0005059%), (ORCL, 0, 1.08%, 0.0001883%), (WM, 0, 1.03%, 0.0015911%), (UNH, 0, 1.00%, 0.0004409%), (NFLX, 0, 0.88%, 0.0002367%), (NEE, 0, 0.87%, 0.0007906%), (JNJ, 0, 0.86%, 0.0002724%), (PLTR, 0, 0.84%, 0.0003010%), (WMT, 0, 0.82%, 0.0001370%), (PG, 0, 0.80%, 0.0002955%), (CVX, 0, 0.80%, 0.0003387%), (COST, 0, 0.79%, 0.0002516%), (ABBV, 0, 0.77%, 0.0002727%), (HD, 0, 0.77%, 0.0002480%), (RTX, 0, 0.75%, 0.0004894%), (CAT, 0, 0.75%, 0.0005080%), (ABT, 0, 0.74%, 0.0004329%), (MCD, 0, 0.73%, 0.0004573%), (BAC, 0, 0.66%, 0.0002412%), (KO, 0, 0.62%, 0.0002902%), (PM, 0, 0.61%, 0.0003217%), (BKNG, 0, 0.61%, 0.0004685%), (SO, 0, 0.60%, 0.0007975%), (BA, 0, 0.59%, 0.0004849%), (AMD, 0, 0.58%, 0.0003082%), (GS, 0, 0.58%, 0.0003397%), (NKE, 0, 0.57%, 0.0008968%), (IBM, 0, 0.57%, 0.0003304%), (CRM, 0, 0.57%, 0.0003354%), (DUK, 0, 0.56%, 0.0007961%), (UBER, 0, 0.55%, 0.0003806%), (WFC, 0, 0.53%, 0.0002781%), (MET, 0, 0.53%, 0.0013351%), (ETN, 0, 0.52%, 0.0005004%), (ISRG, 0, 0.51%, 0.0004361%), (HON, 0, 0.50%, 0.0005050%), (NOW, 0, 0.47%, 0.0003308%), (PEP, 0, 0.47%, 0.0003231%), (T, 0, 0.46%, 0.0013849%), (MS, 0, 0.46%, 0.0002523%), (INTU, 0, 0.45%, 0.0003357%), (DE, 0, 0.43%, 0.0004639%), (AXP, 0, 0.43%, 0.0002622%), (MRK, 0, 0.42%, 0.0002760%), (SPGI, 0, 0.41%, 0.0003405%), (QCOM, 0, 0.41%, 0.0003174%), (VZ, 0, 0.40%, 0.0002958%), (BLK, 0, 0.39%, 0.0003055%), (MDT, 0, 0.38%, 0.0004339%), (TXN, 0, 0.38%, 0.0003095%), (ADBE, 0, 0.38%, 0.0003512%), (TMO, 0, 0.37%, 0.0002776%), (ACN, 0, 0.37%, 0.0003351%), (C, 0, 0.37%, 0.0002749%), (COP, 0, 0.37%, 0.0004297%), (DIS, 0, 0.36%, 0.0002363%), (UNP, 0, 0.36%, 0.0003854%), (LMT, 0, 0.36%, 0.0004494%), (SCHW, 0, 0.33%, 0.0002673%), (SBUX, 0, 0.31%, 0.0004540%), (AMAT, 0, 0.31%, 0.0003190%), (MMM, 0, 0.31%, 0.0005054%), (CVS, 0, 0.30%, 0.0004303%), (AMGN, 0, 0.30%, 0.0002721%), (TJX, 0, 0.29%, 0.0002519%), (GILD, 0, 0.29%, 0.0002735%), (LOW, 0, 0.28%, 0.0002514%), (EMR, 0, 0.28%, 0.0004995%), (PFE, 0, 0.27%, 0.0002717%), (MO, 0, 0.27%, 0.0003251%), (DHR, 0, 0.25%, 0.0002480%), (INTC, 0, 0.24%, 0.0002858%), (ELV, 0, 0.23%, 0.0004531%), (CMCSA, 0, 0.22%, 0.0002464%), (MDLZ, 0, 0.20%, 0.0003337%), (BMY, 0, 0.19%, 0.0002715%), (UPS, 0, 0.17%, 0.0003746%), (PYPL, 0, 0.16%, 0.0003478%), (USB, 0, 0.15%, 0.0002683%), (CL, 0, 0.15%, 0.0002971%), (FDX, 0, 0.14%, 0.0003590%), (TGT, 0, 0.08%, 0.0002551%), (nan, 0, -0.02%, 0.0000000%), (nan, 0, -0.02%, 0.0000000%)</t>
  </si>
  <si>
    <t>(AMZN, 0, 3.90%, 0.0001621%), (AVGO, 0, 3.72%, 0.0002272%), (META, 0, 2.84%, 0.0001750%), (BRK/B, 0, 2.16%, 0.0003216%), (TSLA, 0, 1.92%, 0.0001533%), (LIN, 0, 1.81%, 0.0008157%), (CSCO, 0, 1.77%, 0.0006809%), (JPM, 0, 1.68%, 0.0002042%), (XOM, 0, 1.49%, 0.0003187%), (AMT, 0, 1.49%, 0.0016506%), (V, 0, 1.40%, 0.0002461%), (LLY, 0, 1.18%, 0.0001692%), (CB, 0, 1.17%, 0.0010835%), (MA, 0, 1.14%, 0.0002225%), (GE, 0, 1.10%, 0.0003769%), (ORCL, 0, 1.08%, 0.0001403%), (WM, 0, 1.03%, 0.0011855%), (UNH, 0, 1.00%, 0.0003285%), (NFLX, 0, 0.88%, 0.0001763%), (NEE, 0, 0.86%, 0.0005892%), (JNJ, 0, 0.86%, 0.0002030%), (PLTR, 0, 0.84%, 0.0002243%), (WMT, 0, 0.82%, 0.0001021%), (PG, 0, 0.80%, 0.0002202%), (CVX, 0, 0.80%, 0.0002524%), (COST, 0, 0.79%, 0.0001875%), (ABBV, 0, 0.77%, 0.0002032%), (HD, 0, 0.76%, 0.0001849%), (CAT, 0, 0.75%, 0.0003787%), (RTX, 0, 0.75%, 0.0003647%), (ABT, 0, 0.74%, 0.0003226%), (MCD, 0, 0.73%, 0.0003407%), (BAC, 0, 0.66%, 0.0001797%), (KO, 0, 0.62%, 0.0002163%), (PM, 0, 0.61%, 0.0002397%), (BKNG, 0, 0.60%, 0.0003475%), (SO, 0, 0.59%, 0.0005943%), (BA, 0, 0.59%, 0.0003613%), (GS, 0, 0.58%, 0.0002531%), (AMD, 0, 0.58%, 0.0002297%), (NKE, 0, 0.57%, 0.0006683%), (IBM, 0, 0.57%, 0.0002462%), (CRM, 0, 0.57%, 0.0002499%), (DUK, 0, 0.55%, 0.0005932%), (UBER, 0, 0.55%, 0.0002836%), (WFC, 0, 0.53%, 0.0002072%), (MET, 0, 0.53%, 0.0009948%), (ETN, 0, 0.52%, 0.0003730%), (ISRG, 0, 0.51%, 0.0003250%), (HON, 0, 0.50%, 0.0003763%), (NOW, 0, 0.47%, 0.0002466%), (PEP, 0, 0.47%, 0.0002408%), (T, 0, 0.46%, 0.0010320%), (MS, 0, 0.46%, 0.0001879%), (INTU, 0, 0.44%, 0.0002504%), (DE, 0, 0.43%, 0.0003459%), (AXP, 0, 0.43%, 0.0001954%), (MRK, 0, 0.42%, 0.0002057%), (SPGI, 0, 0.41%, 0.0002536%), (QCOM, 0, 0.41%, 0.0002365%), (VZ, 0, 0.40%, 0.0002204%), (BLK, 0, 0.39%, 0.0002273%), (MDT, 0, 0.38%, 0.0003234%), (TXN, 0, 0.38%, 0.0002306%), (ADBE, 0, 0.38%, 0.0002616%), (TMO, 0, 0.37%, 0.0002068%), (ACN, 0, 0.37%, 0.0002497%), (C, 0, 0.37%, 0.0002048%), (COP, 0, 0.36%, 0.0003202%), (DIS, 0, 0.36%, 0.0001761%), (UNP, 0, 0.36%, 0.0002871%), (LMT, 0, 0.36%, 0.0003349%), (SCHW, 0, 0.33%, 0.0001992%), (SBUX, 0, 0.31%, 0.0003383%), (AMAT, 0, 0.31%, 0.0002377%), (MMM, 0, 0.31%, 0.0003767%), (CVS, 0, 0.30%, 0.0003206%), (AMGN, 0, 0.30%, 0.0002028%), (TJX, 0, 0.29%, 0.0001877%), (GILD, 0, 0.29%, 0.0002038%), (LOW, 0, 0.28%, 0.0001874%), (EMR, 0, 0.28%, 0.0003722%), (PFE, 0, 0.27%, 0.0002024%), (MO, 0, 0.27%, 0.0002423%), (DHR, 0, 0.24%, 0.0001849%), (INTC, 0, 0.24%, 0.0002130%), (ELV, 0, 0.23%, 0.0003375%), (CMCSA, 0, 0.22%, 0.0001836%), (MDLZ, 0, 0.20%, 0.0002487%), (BMY, 0, 0.19%, 0.0002023%), (UPS, 0, 0.17%, 0.0002791%), (PYPL, 0, 0.16%, 0.0002592%), (USB, 0, 0.15%, 0.0001999%), (CL, 0, 0.15%, 0.0002214%), (FDX, 0, 0.14%, 0.0002674%), (TGT, 0, 0.08%, 0.0001901%), (nan, 0, -0.02%, 0.0000000%), (nan, 0, -0.02%, 0.0000000%)</t>
  </si>
  <si>
    <t>(AMZN, 0, 3.95%, 0.0000380%), (AVGO, 0, 3.77%, 0.0000533%), (META, 0, 2.87%, 0.0000410%), (BRK/B, 0, 2.19%, 0.0000754%), (TSLA, 0, 1.94%, 0.0000359%), (LIN, 0, 1.84%, 0.0001912%), (CSCO, 0, 1.79%, 0.0001596%), (JPM, 0, 1.70%, 0.0000479%), (XOM, 0, 1.51%, 0.0000747%), (AMT, 0, 1.51%, 0.0003868%), (V, 0, 1.42%, 0.0000577%), (LLY, 0, 1.20%, 0.0000397%), (CB, 0, 1.19%, 0.0002541%), (MA, 0, 1.15%, 0.0000522%), (GE, 0, 1.12%, 0.0000884%), (ORCL, 0, 1.10%, 0.0000329%), (WM, 0, 1.04%, 0.0002780%), (UNH, 0, 1.02%, 0.0000771%), (NFLX, 0, 0.89%, 0.0000413%), (NEE, 0, 0.88%, 0.0001381%), (JNJ, 0, 0.87%, 0.0000476%), (PLTR, 0, 0.85%, 0.0000526%), (WMT, 0, 0.83%, 0.0000239%), (PG, 0, 0.81%, 0.0000516%), (CVX, 0, 0.81%, 0.0000591%), (COST, 0, 0.80%, 0.0000440%), (HD, 0, 0.77%, 0.0000433%), (ABBV, 0, 0.77%, 0.0000476%), (CAT, 0, 0.76%, 0.0000888%), (RTX, 0, 0.76%, 0.0000855%), (ABT, 0, 0.75%, 0.0000756%), (MCD, 0, 0.74%, 0.0000799%), (BAC, 0, 0.67%, 0.0000421%), (KO, 0, 0.62%, 0.0000507%), (PM, 0, 0.62%, 0.0000562%), (BKNG, 0, 0.61%, 0.0000807%), (SO, 0, 0.60%, 0.0001393%), (BA, 0, 0.59%, 0.0000847%), (AMD, 0, 0.58%, 0.0000539%), (NKE, 0, 0.58%, 0.0001566%), (IBM, 0, 0.58%, 0.0000577%), (CRM, 0, 0.58%, 0.0000586%), (GS, 0, 0.57%, 0.0000593%), (DUK, 0, 0.56%, 0.0001391%), (UBER, 0, 0.56%, 0.0000665%), (WFC, 0, 0.54%, 0.0000486%), (MET, 0, 0.53%, 0.0002332%), (ETN, 0, 0.52%, 0.0000873%), (ISRG, 0, 0.52%, 0.0000762%), (HON, 0, 0.50%, 0.0000882%), (NOW, 0, 0.48%, 0.0000577%), (PEP, 0, 0.47%, 0.0000565%), (T, 0, 0.47%, 0.0002419%), (MS, 0, 0.46%, 0.0000440%), (INTU, 0, 0.45%, 0.0000588%), (DE, 0, 0.44%, 0.0000810%), (AXP, 0, 0.44%, 0.0000459%), (MRK, 0, 0.43%, 0.0000482%), (SPGI, 0, 0.41%, 0.0000594%), (QCOM, 0, 0.41%, 0.0000554%), (VZ, 0, 0.41%, 0.0000517%), (BLK, 0, 0.40%, 0.0000536%), (MDT, 0, 0.39%, 0.0000758%), (TXN, 0, 0.38%, 0.0000540%), (ADBE, 0, 0.38%, 0.0000614%), (TMO, 0, 0.37%, 0.0000484%), (ACN, 0, 0.37%, 0.0000586%), (C, 0, 0.37%, 0.0000480%), (COP, 0, 0.37%, 0.0000751%), (DIS, 0, 0.37%, 0.0000413%), (UNP, 0, 0.37%, 0.0000673%), (LMT, 0, 0.36%, 0.0000787%), (SCHW, 0, 0.34%, 0.0000467%), (AMAT, 0, 0.32%, 0.0000557%), (SBUX, 0, 0.32%, 0.0000794%), (MMM, 0, 0.31%, 0.0000883%), (CVS, 0, 0.30%, 0.0000752%), (AMGN, 0, 0.30%, 0.0000476%), (TJX, 0, 0.29%, 0.0000440%), (GILD, 0, 0.29%, 0.0000477%), (LOW, 0, 0.28%, 0.0000439%), (EMR, 0, 0.28%, 0.0000872%), (PFE, 0, 0.27%, 0.0000475%), (MO, 0, 0.27%, 0.0000568%), (DHR, 0, 0.25%, 0.0000433%), (INTC, 0, 0.24%, 0.0000499%), (ELV, 0, 0.23%, 0.0000792%), (CMCSA, 0, 0.22%, 0.0000430%), (MDLZ, 0, 0.20%, 0.0000583%), (BMY, 0, 0.19%, 0.0000475%), (UPS, 0, 0.17%, 0.0000655%), (PYPL, 0, 0.16%, 0.0000607%), (USB, 0, 0.15%, 0.0000468%), (CL, 0, 0.15%, 0.0000519%), (FDX, 0, 0.14%, 0.0000627%), (TGT, 0, 0.08%, 0.0000447%), (nan, 0, -0.02%, 0.0000000%), (nan, 0, -0.02%, 0.0000000%)</t>
  </si>
  <si>
    <t>(AMZN, 0, 3.75%, 0.0000668%), (AVGO, 0, 3.60%, 0.0000936%), (META, 0, 2.73%, 0.0000721%), (BRK/B, 0, 2.08%, 0.0001325%), (TSLA, 0, 1.86%, 0.0000632%), (LIN, 0, 1.74%, 0.0003362%), (CSCO, 0, 1.70%, 0.0002806%), (JPM, 0, 1.62%, 0.0000842%), (XOM, 0, 1.43%, 0.0001314%), (AMT, 0, 1.43%, 0.0006801%), (V, 0, 1.35%, 0.0001014%), (LLY, 0, 1.14%, 0.0000700%), (CB, 0, 1.12%, 0.0004464%), (MA, 0, 1.09%, 0.0000917%), (GE, 0, 1.06%, 0.0001554%), (ORCL, 0, 1.05%, 0.0000578%), (WM, 0, 0.99%, 0.0004887%), (UNH, 0, 0.97%, 0.0001355%), (NFLX, 0, 0.84%, 0.0000727%), (NEE, 0, 0.83%, 0.0002428%), (JNJ, 0, 0.82%, 0.0000836%), (PLTR, 0, 0.81%, 0.0000924%), (WMT, 0, 0.79%, 0.0000421%), (PG, 0, 0.77%, 0.0000907%), (CVX, 0, 0.77%, 0.0001040%), (COST, 0, 0.76%, 0.0000772%), (ABBV, 0, 0.74%, 0.0000837%), (HD, 0, 0.73%, 0.0000762%), (CAT, 0, 0.72%, 0.0001560%), (RTX, 0, 0.72%, 0.0001503%), (ABT, 0, 0.71%, 0.0001335%), (MCD, 0, 0.70%, 0.0001404%), (BAC, 0, 0.63%, 0.0000741%), (KO, 0, 0.59%, 0.0000891%), (PM, 0, 0.58%, 0.0000988%), (BKNG, 0, 0.58%, 0.0001427%), (SO, 0, 0.57%, 0.0002449%), (BA, 0, 0.56%, 0.0001489%), (AMD, 0, 0.55%, 0.0000946%), (GS, 0, 0.55%, 0.0001044%), (IBM, 0, 0.55%, 0.0001014%), (NKE, 0, 0.55%, 0.0002755%), (CRM, 0, 0.55%, 0.0001030%), (DUK, 0, 0.53%, 0.0002445%), (UBER, 0, 0.53%, 0.0001169%), (WFC, 0, 0.51%, 0.0000854%), (MET, 0, 0.51%, 0.0004101%), (ETN, 0, 0.50%, 0.0001536%), (ISRG, 0, 0.49%, 0.0001340%), (HON, 0, 0.48%, 0.0001551%), (PEP, 0, 0.45%, 0.0000992%), (NOW, 0, 0.45%, 0.0001014%), (T, 0, 0.44%, 0.0004253%), (MS, 0, 0.44%, 0.0000775%), (INTU, 0, 0.43%, 0.0001029%), (DE, 0, 0.42%, 0.0001424%), (AXP, 0, 0.42%, 0.0000806%), (MRK, 0, 0.40%, 0.0000848%), (SPGI, 0, 0.39%, 0.0001044%), (QCOM, 0, 0.39%, 0.0000979%), (VZ, 0, 0.39%, 0.0000908%), (BLK, 0, 0.37%, 0.0000936%), (MDT, 0, 0.37%, 0.0001332%), (TXN, 0, 0.36%, 0.0000951%), (ADBE, 0, 0.36%, 0.0001077%), (TMO, 0, 0.35%, 0.0000852%), (C, 0, 0.35%, 0.0000844%), (ACN, 0, 0.35%, 0.0001029%), (COP, 0, 0.35%, 0.0001320%), (DIS, 0, 0.35%, 0.0000729%), (UNP, 0, 0.35%, 0.0001183%), (LMT, 0, 0.34%, 0.0001379%), (SCHW, 0, 0.32%, 0.0000821%), (MMM, 0, 0.30%, 0.0001559%), (SBUX, 0, 0.30%, 0.0001394%), (AMAT, 0, 0.30%, 0.0000979%), (CVS, 0, 0.29%, 0.0001321%), (AMGN, 0, 0.29%, 0.0000836%), (TJX, 0, 0.28%, 0.0000774%), (GILD, 0, 0.27%, 0.0000840%), (LOW, 0, 0.27%, 0.0000772%), (EMR, 0, 0.27%, 0.0001533%), (PFE, 0, 0.26%, 0.0000834%), (MO, 0, 0.26%, 0.0000998%), (DHR, 0, 0.24%, 0.0000762%), (INTC, 0, 0.23%, 0.0000878%), (ELV, 0, 0.22%, 0.0001390%), (CMCSA, 0, 0.21%, 0.0000757%), (MDLZ, 0, 0.19%, 0.0001025%), (BMY, 0, 0.18%, 0.0000834%), (UPS, 0, 0.16%, 0.0001151%), (PYPL, 0, 0.15%, 0.0001068%), (USB, 0, 0.14%, 0.0000824%), (CL, 0, 0.14%, 0.0000913%), (FDX, 0, 0.14%, 0.0001102%), (TGT, 0, 0.07%, 0.0000783%), (nan, 0, -0.01%, 0.0000000%), (nan, 0, -0.01%, 0.0000000%)</t>
  </si>
  <si>
    <t>(AMZN, 0, 3.83%, 0.0000241%), (AVGO, 0, 3.67%, 0.0000338%), (META, 0, 2.78%, 0.0000260%), (BRK/B, 0, 2.12%, 0.0000479%), (TSLA, 0, 1.89%, 0.0000228%), (LIN, 0, 1.78%, 0.0001214%), (CSCO, 0, 1.74%, 0.0001014%), (JPM, 0, 1.65%, 0.0000304%), (XOM, 0, 1.47%, 0.0000475%), (AMT, 0, 1.46%, 0.0002456%), (V, 0, 1.37%, 0.0000366%), (LLY, 0, 1.16%, 0.0000253%), (CB, 0, 1.15%, 0.0001614%), (MA, 0, 1.11%, 0.0000331%), (GE, 0, 1.08%, 0.0000561%), (ORCL, 0, 1.06%, 0.0000209%), (WM, 0, 1.01%, 0.0001765%), (UNH, 0, 0.99%, 0.0000489%), (NFLX, 0, 0.86%, 0.0000262%), (NEE, 0, 0.85%, 0.0000877%), (JNJ, 0, 0.84%, 0.0000302%), (PLTR, 0, 0.83%, 0.0000334%), (WMT, 0, 0.81%, 0.0000152%), (PG, 0, 0.79%, 0.0000328%), (CVX, 0, 0.78%, 0.0000376%), (COST, 0, 0.78%, 0.0000280%), (ABBV, 0, 0.75%, 0.0000302%), (HD, 0, 0.75%, 0.0000275%), (RTX, 0, 0.74%, 0.0000543%), (CAT, 0, 0.74%, 0.0000564%), (ABT, 0, 0.73%, 0.0000482%), (MCD, 0, 0.72%, 0.0000507%), (BAC, 0, 0.65%, 0.0000268%), (KO, 0, 0.60%, 0.0000322%), (BKNG, 0, 0.60%, 0.0000527%), (PM, 0, 0.60%, 0.0000357%), (SO, 0, 0.58%, 0.0000884%), (BA, 0, 0.57%, 0.0000538%), (GS, 0, 0.57%, 0.0000377%), (AMD, 0, 0.57%, 0.0000342%), (IBM, 0, 0.56%, 0.0000367%), (NKE, 0, 0.56%, 0.0000995%), (CRM, 0, 0.56%, 0.0000372%), (DUK, 0, 0.54%, 0.0000883%), (UBER, 0, 0.54%, 0.0000422%), (WFC, 0, 0.52%, 0.0000308%), (MET, 0, 0.52%, 0.0001481%), (ETN, 0, 0.50%, 0.0000555%), (ISRG, 0, 0.50%, 0.0000482%), (HON, 0, 0.49%, 0.0000561%), (NOW, 0, 0.46%, 0.0000365%), (PEP, 0, 0.46%, 0.0000358%), (T, 0, 0.45%, 0.0001536%), (MS, 0, 0.45%, 0.0000280%), (INTU, 0, 0.44%, 0.0000373%), (DE, 0, 0.43%, 0.0000514%), (AXP, 0, 0.42%, 0.0000290%), (MRK, 0, 0.41%, 0.0000306%), (SPGI, 0, 0.40%, 0.0000376%), (QCOM, 0, 0.40%, 0.0000354%), (VZ, 0, 0.40%, 0.0000328%), (BLK, 0, 0.38%, 0.0000336%), (MDT, 0, 0.38%, 0.0000481%), (TXN, 0, 0.37%, 0.0000343%), (ADBE, 0, 0.37%, 0.0000389%), (TMO, 0, 0.36%, 0.0000309%), (C, 0, 0.36%, 0.0000305%), (ACN, 0, 0.36%, 0.0000372%), (COP, 0, 0.36%, 0.0000476%), (DIS, 0, 0.36%, 0.0000263%), (UNP, 0, 0.36%, 0.0000428%), (LMT, 0, 0.35%, 0.0000497%), (SCHW, 0, 0.33%, 0.0000296%), (MMM, 0, 0.31%, 0.0000563%), (SBUX, 0, 0.30%, 0.0000503%), (AMAT, 0, 0.30%, 0.0000354%), (CVS, 0, 0.29%, 0.0000477%), (AMGN, 0, 0.29%, 0.0000303%), (TJX, 0, 0.28%, 0.0000279%), (GILD, 0, 0.28%, 0.0000304%), (LOW, 0, 0.28%, 0.0000278%), (EMR, 0, 0.27%, 0.0000554%), (PFE, 0, 0.27%, 0.0000301%), (MO, 0, 0.26%, 0.0000360%), (DHR, 0, 0.24%, 0.0000275%), (INTC, 0, 0.23%, 0.0000317%), (ELV, 0, 0.23%, 0.0000504%), (CMCSA, 0, 0.21%, 0.0000273%), (MDLZ, 0, 0.19%, 0.0000370%), (BMY, 0, 0.18%, 0.0000301%), (UPS, 0, 0.17%, 0.0000416%), (PYPL, 0, 0.16%, 0.0000386%), (USB, 0, 0.15%, 0.0000298%), (CL, 0, 0.14%, 0.0000330%), (FDX, 0, 0.14%, 0.0000398%), (TGT, 0, 0.08%, 0.0000284%), (nan, 0, -0.01%, 0.0000000%), (nan, 0, -0.02%, 0.0000000%)</t>
  </si>
  <si>
    <t>(AMZN, 0, 4.06%, 0.0000577%), (AVGO, 0, 3.87%, 0.0000808%), (META, 0, 2.95%, 0.0000622%), (BRK/B, 0, 2.25%, 0.0001144%), (TSLA, 0, 1.99%, 0.0000545%), (LIN, 0, 1.88%, 0.0002902%), (CSCO, 0, 1.84%, 0.0002422%), (JPM, 0, 1.75%, 0.0000726%), (XOM, 0, 1.55%, 0.0001134%), (AMT, 0, 1.55%, 0.0005870%), (V, 0, 1.46%, 0.0000875%), (LLY, 0, 1.22%, 0.0000602%), (CB, 0, 1.22%, 0.0003855%), (MA, 0, 1.18%, 0.0000791%), (GE, 0, 1.15%, 0.0001341%), (ORCL, 0, 1.13%, 0.0000499%), (WM, 0, 1.07%, 0.0004217%), (UNH, 0, 1.04%, 0.0001169%), (NFLX, 0, 0.91%, 0.0000628%), (NEE, 0, 0.90%, 0.0002095%), (JNJ, 0, 0.89%, 0.0000722%), (PLTR, 0, 0.87%, 0.0000798%), (WMT, 0, 0.86%, 0.0000363%), (PG, 0, 0.83%, 0.0000783%), (CVX, 0, 0.83%, 0.0000898%), (COST, 0, 0.83%, 0.0000668%), (ABBV, 0, 0.80%, 0.0000723%), (HD, 0, 0.79%, 0.0000657%), (RTX, 0, 0.78%, 0.0001297%), (CAT, 0, 0.78%, 0.0001347%), (ABT, 0, 0.77%, 0.0001147%), (MCD, 0, 0.76%, 0.0001212%), (BAC, 0, 0.69%, 0.0000639%), (KO, 0, 0.64%, 0.0000769%), (PM, 0, 0.63%, 0.0000852%), (BKNG, 0, 0.63%, 0.0001241%), (SO, 0, 0.62%, 0.0002113%), (BA, 0, 0.61%, 0.0001285%), (AMD, 0, 0.60%, 0.0000817%), (GS, 0, 0.60%, 0.0000900%), (NKE, 0, 0.60%, 0.0002377%), (IBM, 0, 0.59%, 0.0000875%), (CRM, 0, 0.59%, 0.0000889%), (DUK, 0, 0.58%, 0.0002109%), (UBER, 0, 0.57%, 0.0001009%), (WFC, 0, 0.55%, 0.0000737%), (MET, 0, 0.55%, 0.0003538%), (ETN, 0, 0.54%, 0.0001325%), (ISRG, 0, 0.53%, 0.0001157%), (HON, 0, 0.52%, 0.0001339%), (PEP, 0, 0.48%, 0.0000856%), (NOW, 0, 0.48%, 0.0000875%), (T, 0, 0.48%, 0.0003671%), (MS, 0, 0.47%, 0.0000668%), (INTU, 0, 0.46%, 0.0000890%), (DE, 0, 0.45%, 0.0001228%), (AXP, 0, 0.45%, 0.0000695%), (MRK, 0, 0.44%, 0.0000731%), (SPGI, 0, 0.43%, 0.0000902%), (QCOM, 0, 0.42%, 0.0000842%), (VZ, 0, 0.42%, 0.0000784%), (BLK, 0, 0.41%, 0.0000807%), (MDT, 0, 0.40%, 0.0001150%), (ADBE, 0, 0.39%, 0.0000932%), (TXN, 0, 0.39%, 0.0000820%), (TMO, 0, 0.38%, 0.0000735%), (C, 0, 0.38%, 0.0000728%), (ACN, 0, 0.38%, 0.0000888%), (COP, 0, 0.38%, 0.0001139%), (DIS, 0, 0.38%, 0.0000626%), (UNP, 0, 0.38%, 0.0001022%), (LMT, 0, 0.37%, 0.0001193%), (SCHW, 0, 0.35%, 0.0000708%), (SBUX, 0, 0.32%, 0.0001203%), (AMAT, 0, 0.32%, 0.0000845%), (MMM, 0, 0.32%, 0.0001340%), (CVS, 0, 0.31%, 0.0001141%), (AMGN, 0, 0.31%, 0.0000721%), (TJX, 0, 0.30%, 0.0000668%), (GILD, 0, 0.30%, 0.0000725%), (LOW, 0, 0.29%, 0.0000667%), (EMR, 0, 0.29%, 0.0001324%), (PFE, 0, 0.28%, 0.0000720%), (MO, 0, 0.28%, 0.0000861%), (DHR, 0, 0.25%, 0.0000657%), (INTC, 0, 0.24%, 0.0000757%), (ELV, 0, 0.24%, 0.0001201%), (CMCSA, 0, 0.23%, 0.0000653%), (MDLZ, 0, 0.20%, 0.0000884%), (BMY, 0, 0.20%, 0.0000720%), (UPS, 0, 0.18%, 0.0000993%), (PYPL, 0, 0.17%, 0.0000921%), (USB, 0, 0.16%, 0.0000711%), (CL, 0, 0.15%, 0.0000788%), (FDX, 0, 0.15%, 0.0000954%), (TGT, 0, 0.08%, 0.0000676%), (nan, 0, -0.02%, 0.0000000%), (nan, 0, -0.02%, 0.0000000%)</t>
  </si>
  <si>
    <t>GOOGLE, EBAY, BK, MLI, META, JPM, MSFT, PHM, EA, RJF, EWBC</t>
  </si>
  <si>
    <t>(BLK, 0, 1.98%, 0.0006212%), (BKNG, 0, 1.93%, 0.0005988%), (AXP, 0, 1.92%, 0.0004688%), (HIG, 0, 1.86%, 0.0027511%), (TRV, 0, 1.86%, 0.0016327%), (KLAC, 0, 1.79%, 0.0007710%), (V, 0, 1.78%, 0.0001685%), (UNM, 0, 1.77%, 0.0075620%), (SNA, 0, 1.74%, 0.0054896%), (NVDA, 0, 1.74%, 0.0000220%), (ROST, 0, 1.73%, 0.0019611%), (PCAR, 0, 1.70%, 0.0017239%), (LEN, 0, 1.70%, 0.0030196%), (AMAT, 0, 1.69%, 0.0006885%), (SYF, 0, 1.65%, 0.0033195%), (CB, 0, 1.65%, 0.0008207%), (ADP, 0, 1.64%, 0.0007563%), (CTSH, 0, 1.47%, 0.0023974%), (DHI, 0, 1.46%, 0.0015251%), (WSM, 0, 1.46%, 0.0033237%), (CRM, 0, 1.46%, 0.0003445%), (BKR, 0, 1.45%, 0.0017256%), (PAYC, 0, 1.43%, 0.0060508%), (QCOM, 0, 1.37%, 0.0004280%), (AAPL, 0, 1.28%, 0.0000202%), (AFL, 0, 1.26%, 0.0011824%), (LRCX, 0, 1.26%, 0.0004696%), (ELV, 0, 1.25%, 0.0009868%), (ACN, 0, 1.19%, 0.0004380%), (MPWR, 0, 1.12%, 0.0015264%), (GE, 0, 1.07%, 0.0001960%), (CSCO, 0, 1.04%, 0.0002167%), (ODFL, 0, 1.04%, 0.0018666%), (STT, 0, 0.98%, 0.0016999%), (PNC, 0, 0.94%, 0.0006457%), (MTB, 0, 0.92%, 0.0016442%), (CF, 0, 0.85%, 0.0033499%), (AMP, 0, 0.84%, 0.0009956%), (COST, 0, 0.84%, 0.0001072%), (ABT, 0, 0.84%, 0.0001966%), (XOM, 0, 0.82%, 0.0000932%), (EOG, 0, 0.77%, 0.0006550%), (EG, 0, 0.77%, 0.0028643%), (CSL, 0, 0.71%, 0.0025487%), (GEV, 0, 0.55%, 0.0001784%), (NTRS, 0, 0.52%, 0.0011654%), (MA, 0, 0.49%, 0.0000516%), (ACM, 0, 0.48%, 0.0015742%), (JNJ, 0, 0.48%, 0.0000613%), (LNC, 0, 0.47%, 0.0031731%), (CRBG, 0, 0.46%, 0.0014057%), (MTG, 0, 0.45%, 0.0038705%), (JXN, 0, 0.45%, 0.0035721%), (WTFC, 0, 0.44%, 0.0026511%), (CINF, 0, 0.44%, 0.0009826%), (EQH, 0, 0.42%, 0.0014262%), (MCK, 0, 0.41%, 0.0002557%), (ADM, 0, 0.41%, 0.0007638%), (DOV, 0, 0.41%, 0.0009398%), (ALL, 0, 0.40%, 0.0004140%), (NUE, 0, 0.38%, 0.0006417%), (PGR, 0, 0.37%, 0.0001372%), (SLM, 0, 0.36%, 0.0034851%), (NKE, 0, 0.36%, 0.0002258%), (FANG, 0, 0.29%, 0.0003962%)</t>
  </si>
  <si>
    <t>(AMZN, 0, 3.71%, 0.0000614%), (AVGO, 0, 3.56%, 0.0000861%), (META, 0, 2.70%, 0.0000663%), (BRK/B, 0, 2.06%, 0.0001219%), (TSLA, 0, 1.84%, 0.0000581%), (LIN, 0, 1.72%, 0.0003090%), (CSCO, 0, 1.68%, 0.0002580%), (JPM, 0, 1.60%, 0.0000774%), (XOM, 0, 1.42%, 0.0001208%), (AMT, 0, 1.42%, 0.0006254%), (V, 0, 1.33%, 0.0000932%), (LLY, 0, 1.12%, 0.0000641%), (CB, 0, 1.11%, 0.0004106%), (MA, 0, 1.08%, 0.0000843%), (GE, 0, 1.05%, 0.0001429%), (ORCL, 0, 1.04%, 0.0000532%), (WM, 0, 0.98%, 0.0004493%), (UNH, 0, 0.96%, 0.0001245%), (NFLX, 0, 0.83%, 0.0000668%), (NEE, 0, 0.82%, 0.0002233%), (JNJ, 0, 0.82%, 0.0000769%), (PLTR, 0, 0.80%, 0.0000850%), (WMT, 0, 0.78%, 0.0000387%), (PG, 0, 0.76%, 0.0000834%), (CVX, 0, 0.76%, 0.0000956%), (COST, 0, 0.75%, 0.0000711%), (ABBV, 0, 0.73%, 0.0000770%), (HD, 0, 0.73%, 0.0000700%), (RTX, 0, 0.72%, 0.0001382%), (CAT, 0, 0.72%, 0.0001434%), (ABT, 0, 0.71%, 0.0001228%), (MCD, 0, 0.70%, 0.0001291%), (BAC, 0, 0.63%, 0.0000681%), (KO, 0, 0.59%, 0.0000819%), (BKNG, 0, 0.58%, 0.0001334%), (PM, 0, 0.58%, 0.0000908%), (SO, 0, 0.57%, 0.0002251%), (BA, 0, 0.56%, 0.0001370%), (AMD, 0, 0.55%, 0.0000870%), (GS, 0, 0.55%, 0.0000960%), (IBM, 0, 0.55%, 0.0000933%), (NKE, 0, 0.54%, 0.0002533%), (CRM, 0, 0.54%, 0.0000947%), (DUK, 0, 0.53%, 0.0002248%), (UBER, 0, 0.53%, 0.0001075%), (WFC, 0, 0.50%, 0.0000785%), (MET, 0, 0.50%, 0.0003770%), (ETN, 0, 0.49%, 0.0001413%), (ISRG, 0, 0.49%, 0.0001233%), (HON, 0, 0.47%, 0.0001425%), (NOW, 0, 0.45%, 0.0000933%), (PEP, 0, 0.44%, 0.0000913%), (T, 0, 0.44%, 0.0003910%), (MS, 0, 0.43%, 0.0000712%), (INTU, 0, 0.42%, 0.0000947%), (DE, 0, 0.41%, 0.0001310%), (AXP, 0, 0.41%, 0.0000740%), (MRK, 0, 0.40%, 0.0000779%), (SPGI, 0, 0.39%, 0.0000961%), (QCOM, 0, 0.39%, 0.0000900%), (VZ, 0, 0.38%, 0.0000835%), (BLK, 0, 0.37%, 0.0000859%), (MDT, 0, 0.37%, 0.0001226%), (TXN, 0, 0.36%, 0.0000874%), (ADBE, 0, 0.36%, 0.0000991%), (TMO, 0, 0.35%, 0.0000783%), (C, 0, 0.35%, 0.0000776%), (ACN, 0, 0.35%, 0.0000946%), (COP, 0, 0.35%, 0.0001214%), (DIS, 0, 0.35%, 0.0000670%), (UNP, 0, 0.34%, 0.0001087%), (LMT, 0, 0.34%, 0.0001271%), (SCHW, 0, 0.32%, 0.0000755%), (AMAT, 0, 0.30%, 0.0000901%), (SBUX, 0, 0.30%, 0.0001282%), (MMM, 0, 0.29%, 0.0001427%), (CVS, 0, 0.29%, 0.0001215%), (AMGN, 0, 0.28%, 0.0000769%), (TJX, 0, 0.27%, 0.0000712%), (GILD, 0, 0.27%, 0.0000772%), (LOW, 0, 0.27%, 0.0000710%), (EMR, 0, 0.26%, 0.0001411%), (PFE, 0, 0.26%, 0.0000767%), (MO, 0, 0.25%, 0.0000918%), (DHR, 0, 0.23%, 0.0000701%), (INTC, 0, 0.22%, 0.0000807%), (ELV, 0, 0.22%, 0.0001278%), (CMCSA, 0, 0.21%, 0.0000696%), (MDLZ, 0, 0.19%, 0.0000942%), (BMY, 0, 0.18%, 0.0000767%), (UPS, 0, 0.16%, 0.0001058%), (PYPL, 0, 0.15%, 0.0000982%), (USB, 0, 0.14%, 0.0000758%), (CL, 0, 0.14%, 0.0000839%), (FDX, 0, 0.14%, 0.0001013%), (TGT, 0, 0.07%, 0.0000720%), (nan, 0, -0.01%, 0.0000000%), (nan, 0, -0.01%, 0.0000000%)</t>
  </si>
  <si>
    <t>(AMZN, 0, 3.88%, 0.0001256%), (AVGO, 0, 3.72%, 0.0001760%), (META, 0, 2.83%, 0.0001355%), (BRK/B, 0, 2.15%, 0.0002492%), (TSLA, 0, 1.92%, 0.0001188%), (LIN, 0, 1.80%, 0.0006318%), (CSCO, 0, 1.76%, 0.0005275%), (JPM, 0, 1.68%, 0.0001582%), (XOM, 0, 1.49%, 0.0002469%), (AMT, 0, 1.48%, 0.0012787%), (V, 0, 1.39%, 0.0001906%), (LLY, 0, 1.18%, 0.0001312%), (CB, 0, 1.16%, 0.0008393%), (MA, 0, 1.13%, 0.0001723%), (GE, 0, 1.10%, 0.0002920%), (ORCL, 0, 1.09%, 0.0001087%), (WM, 0, 1.02%, 0.0009184%), (UNH, 0, 1.00%, 0.0002546%), (NFLX, 0, 0.87%, 0.0001366%), (NEE, 0, 0.86%, 0.0004564%), (JNJ, 0, 0.85%, 0.0001572%), (PLTR, 0, 0.84%, 0.0001738%), (WMT, 0, 0.82%, 0.0000791%), (PG, 0, 0.80%, 0.0001706%), (CVX, 0, 0.79%, 0.0001955%), (COST, 0, 0.79%, 0.0001453%), (ABBV, 0, 0.76%, 0.0001574%), (HD, 0, 0.76%, 0.0001432%), (CAT, 0, 0.75%, 0.0002933%), (RTX, 0, 0.75%, 0.0002825%), (ABT, 0, 0.74%, 0.0002511%), (MCD, 0, 0.73%, 0.0002639%), (BAC, 0, 0.66%, 0.0001392%), (KO, 0, 0.61%, 0.0001675%), (PM, 0, 0.61%, 0.0001857%), (BKNG, 0, 0.60%, 0.0002699%), (SO, 0, 0.59%, 0.0004604%), (BA, 0, 0.58%, 0.0002800%), (GS, 0, 0.58%, 0.0001960%), (AMD, 0, 0.58%, 0.0001780%), (IBM, 0, 0.57%, 0.0001907%), (NKE, 0, 0.57%, 0.0005177%), (CRM, 0, 0.57%, 0.0001936%), (DUK, 0, 0.55%, 0.0004596%), (UBER, 0, 0.55%, 0.0002197%), (WFC, 0, 0.53%, 0.0001605%), (MET, 0, 0.53%, 0.0007706%), (ETN, 0, 0.52%, 0.0002890%), (ISRG, 0, 0.51%, 0.0002516%), (HON, 0, 0.50%, 0.0002915%), (NOW, 0, 0.47%, 0.0001909%), (PEP, 0, 0.46%, 0.0001865%), (T, 0, 0.46%, 0.0007994%), (MS, 0, 0.45%, 0.0001456%), (INTU, 0, 0.44%, 0.0001937%), (DE, 0, 0.43%, 0.0002678%), (AXP, 0, 0.43%, 0.0001514%), (MRK, 0, 0.42%, 0.0001593%), (SPGI, 0, 0.41%, 0.0001965%), (QCOM, 0, 0.41%, 0.0001841%), (VZ, 0, 0.40%, 0.0001708%), (BLK, 0, 0.39%, 0.0001763%), (MDT, 0, 0.38%, 0.0002505%), (TXN, 0, 0.38%, 0.0001786%), (ADBE, 0, 0.38%, 0.0002028%), (TMO, 0, 0.37%, 0.0001602%), (C, 0, 0.37%, 0.0001587%), (ACN, 0, 0.36%, 0.0001935%), (COP, 0, 0.36%, 0.0002480%), (DIS, 0, 0.36%, 0.0001370%), (UNP, 0, 0.36%, 0.0002224%), (LMT, 0, 0.36%, 0.0002593%), (SCHW, 0, 0.33%, 0.0001543%), (MMM, 0, 0.31%, 0.0002931%), (SBUX, 0, 0.31%, 0.0002621%), (AMAT, 0, 0.31%, 0.0001841%), (CVS, 0, 0.30%, 0.0002484%), (AMGN, 0, 0.30%, 0.0001571%), (TJX, 0, 0.29%, 0.0001454%), (GILD, 0, 0.28%, 0.0001579%), (LOW, 0, 0.28%, 0.0001451%), (EMR, 0, 0.28%, 0.0002884%), (PFE, 0, 0.27%, 0.0001568%), (MO, 0, 0.27%, 0.0001877%), (DHR, 0, 0.24%, 0.0001431%), (INTC, 0, 0.23%, 0.0001650%), (ELV, 0, 0.23%, 0.0002614%), (CMCSA, 0, 0.22%, 0.0001422%), (MDLZ, 0, 0.19%, 0.0001927%), (BMY, 0, 0.19%, 0.0001567%), (UPS, 0, 0.17%, 0.0002163%), (PYPL, 0, 0.16%, 0.0002008%), (USB, 0, 0.15%, 0.0001549%), (CL, 0, 0.15%, 0.0001716%), (FDX, 0, 0.14%, 0.0002072%), (TGT, 0, 0.08%, 0.0001472%), (nan, 0, -0.01%, 0.0000000%), (nan, 0, -0.01%, 0.0000000%)</t>
  </si>
  <si>
    <t>(AMZN, 0, 3.67%, 0.0002513%), (AVGO, 0, 3.51%, 0.0003521%), (META, 0, 2.67%, 0.0002712%), (BRK/B, 0, 2.03%, 0.0004985%), (TSLA, 0, 1.80%, 0.0002377%), (LIN, 0, 1.70%, 0.0012642%), (CSCO, 0, 1.66%, 0.0010554%), (JPM, 0, 1.58%, 0.0003164%), (XOM, 0, 1.40%, 0.0004940%), (AMT, 0, 1.40%, 0.0025582%), (V, 0, 1.32%, 0.0003814%), (LLY, 0, 1.11%, 0.0002623%), (CB, 0, 1.10%, 0.0016793%), (MA, 0, 1.07%, 0.0003448%), (GE, 0, 1.04%, 0.0005843%), (ORCL, 0, 1.02%, 0.0002174%), (WM, 0, 0.97%, 0.0018376%), (UNH, 0, 0.94%, 0.0005093%), (NFLX, 0, 0.82%, 0.0002733%), (NEE, 0, 0.81%, 0.0009132%), (JNJ, 0, 0.81%, 0.0003146%), (PLTR, 0, 0.79%, 0.0003477%), (WMT, 0, 0.77%, 0.0001582%), (PG, 0, 0.75%, 0.0003413%), (CVX, 0, 0.75%, 0.0003912%), (COST, 0, 0.75%, 0.0002906%), (ABBV, 0, 0.72%, 0.0003149%), (HD, 0, 0.72%, 0.0002864%), (RTX, 0, 0.71%, 0.0005653%), (CAT, 0, 0.71%, 0.0005868%), (ABT, 0, 0.69%, 0.0005000%), (MCD, 0, 0.69%, 0.0005280%), (BAC, 0, 0.62%, 0.0002785%), (KO, 0, 0.58%, 0.0003352%), (PM, 0, 0.57%, 0.0003715%), (BKNG, 0, 0.57%, 0.0005398%), (SO, 0, 0.56%, 0.0009210%), (BA, 0, 0.55%, 0.0005601%), (AMD, 0, 0.54%, 0.0003560%), (GS, 0, 0.54%, 0.0003924%), (NKE, 0, 0.54%, 0.0010358%), (IBM, 0, 0.54%, 0.0003816%), (CRM, 0, 0.54%, 0.0003874%), (DUK, 0, 0.52%, 0.0009194%), (UBER, 0, 0.52%, 0.0004396%), (WFC, 0, 0.50%, 0.0003212%), (MET, 0, 0.50%, 0.0015419%), (ETN, 0, 0.49%, 0.0005780%), (ISRG, 0, 0.48%, 0.0005035%), (HON, 0, 0.47%, 0.0005833%), (NOW, 0, 0.44%, 0.0003822%), (PEP, 0, 0.44%, 0.0003732%), (T, 0, 0.43%, 0.0015995%), (MS, 0, 0.43%, 0.0002914%), (INTU, 0, 0.42%, 0.0003877%), (DE, 0, 0.41%, 0.0005360%), (AXP, 0, 0.41%, 0.0003028%), (MRK, 0, 0.39%, 0.0003188%), (SPGI, 0, 0.39%, 0.0003930%), (QCOM, 0, 0.38%, 0.0003665%), (VZ, 0, 0.38%, 0.0003416%), (BLK, 0, 0.36%, 0.0003526%), (MDT, 0, 0.36%, 0.0005012%), (TXN, 0, 0.36%, 0.0003574%), (ADBE, 0, 0.35%, 0.0004056%), (TMO, 0, 0.35%, 0.0003205%), (C, 0, 0.34%, 0.0003175%), (ACN, 0, 0.34%, 0.0003869%), (COP, 0, 0.34%, 0.0004963%), (DIS, 0, 0.34%, 0.0002729%), (UNP, 0, 0.34%, 0.0004451%), (LMT, 0, 0.34%, 0.0005190%), (SCHW, 0, 0.31%, 0.0003087%), (SBUX, 0, 0.29%, 0.0005243%), (AMAT, 0, 0.29%, 0.0003684%), (MMM, 0, 0.29%, 0.0005837%), (CVS, 0, 0.28%, 0.0004969%), (AMGN, 0, 0.28%, 0.0003143%), (TJX, 0, 0.27%, 0.0002909%), (GILD, 0, 0.27%, 0.0003159%), (LOW, 0, 0.26%, 0.0002903%), (EMR, 0, 0.26%, 0.0005769%), (PFE, 0, 0.26%, 0.0003138%), (MO, 0, 0.25%, 0.0003755%), (DHR, 0, 0.23%, 0.0002865%), (INTC, 0, 0.22%, 0.0003301%), (ELV, 0, 0.22%, 0.0005233%), (CMCSA, 0, 0.20%, 0.0002846%), (MDLZ, 0, 0.18%, 0.0003854%), (BMY, 0, 0.18%, 0.0003136%), (UPS, 0, 0.16%, 0.0004326%), (PYPL, 0, 0.15%, 0.0004016%), (USB, 0, 0.14%, 0.0003099%), (CL, 0, 0.14%, 0.0003433%), (FDX, 0, 0.13%, 0.0004149%), (TGT, 0, 0.07%, 0.0002947%), (nan, 0, -0.02%, 0.0000000%), (nan, 0, -0.02%, 0.0000000%)</t>
  </si>
  <si>
    <t>(AMZN, 0, 3.59%, 0.0000362%), (AVGO, 0, 3.50%, 0.0000507%), (META, 0, 2.61%, 0.0000391%), (BRK/B, 0, 1.96%, 0.0000718%), (TSLA, 0, 1.86%, 0.0000342%), (LIN, 0, 1.63%, 0.0001822%), (CSCO, 0, 1.62%, 0.0001521%), (JPM, 0, 1.56%, 0.0000456%), (XOM, 0, 1.37%, 0.0000712%), (AMT, 0, 1.34%, 0.0003687%), (V, 0, 1.28%, 0.0000550%), (MA, 0, 1.27%, 0.0000609%), (ORCL, 0, 1.08%, 0.0000313%), (LLY, 0, 1.07%, 0.0000378%), (CB, 0, 1.05%, 0.0002419%), (GE, 0, 1.02%, 0.0000842%), (UNH, 0, 0.93%, 0.0000734%), (WM, 0, 0.93%, 0.0002649%), (NFLX, 0, 0.81%, 0.0000394%), (NEE, 0, 0.79%, 0.0001316%), (PLTR, 0, 0.78%, 0.0000501%), (JNJ, 0, 0.78%, 0.0000453%), (WMT, 0, 0.76%, 0.0000228%), (CVX, 0, 0.73%, 0.0000564%), (PG, 0, 0.73%, 0.0000492%), (COST, 0, 0.72%, 0.0000420%), (ABBV, 0, 0.70%, 0.0000454%), (HD, 0, 0.70%, 0.0000413%), (RTX, 0, 0.70%, 0.0000814%), (CAT, 0, 0.69%, 0.0000845%), (ABT, 0, 0.66%, 0.0000721%), (MCD, 0, 0.66%, 0.0000761%), (BAC, 0, 0.60%, 0.0000401%), (BKNG, 0, 0.56%, 0.0000776%), (KO, 0, 0.55%, 0.0000483%), (PM, 0, 0.54%, 0.0000535%), (SO, 0, 0.54%, 0.0001327%), (GS, 0, 0.54%, 0.0000567%), (AMD, 0, 0.54%, 0.0000513%), (BA, 0, 0.53%, 0.0000806%), (IBM, 0, 0.53%, 0.0000550%), (UBER, 0, 0.52%, 0.0000633%), (NKE, 0, 0.52%, 0.0001492%), (CRM, 0, 0.52%, 0.0000558%), (DUK, 0, 0.51%, 0.0001324%), (ETN, 0, 0.49%, 0.0000832%), (WFC, 0, 0.49%, 0.0000463%), (MET, 0, 0.48%, 0.0002222%), (HON, 0, 0.46%, 0.0000841%), (ISRG, 0, 0.45%, 0.0000725%), (NOW, 0, 0.44%, 0.0000553%), (T, 0, 0.42%, 0.0002305%), (MS, 0, 0.42%, 0.0000420%), (PEP, 0, 0.42%, 0.0000538%), (INTU, 0, 0.41%, 0.0000560%), (COP, 0, 0.41%, 0.0000875%), (DE, 0, 0.40%, 0.0000773%), (AXP, 0, 0.40%, 0.0000437%), (SPGI, 0, 0.38%, 0.0000568%), (MRK, 0, 0.37%, 0.0000459%), (QCOM, 0, 0.37%, 0.0000528%), (VZ, 0, 0.37%, 0.0000492%), (BLK, 0, 0.36%, 0.0000510%), (MDT, 0, 0.35%, 0.0000722%), (ADBE, 0, 0.34%, 0.0000585%), (C, 0, 0.34%, 0.0000457%), (TXN, 0, 0.34%, 0.0000515%), (TMO, 0, 0.33%, 0.0000463%), (ACN, 0, 0.33%, 0.0000557%), (UNP, 0, 0.33%, 0.0000641%), (LMT, 0, 0.33%, 0.0000748%), (DIS, 0, 0.33%, 0.0000393%), (SCHW, 0, 0.30%, 0.0000445%), (AMAT, 0, 0.29%, 0.0000531%), (SBUX, 0, 0.29%, 0.0000756%), (MMM, 0, 0.28%, 0.0000841%), (AMGN, 0, 0.27%, 0.0000453%), (CVS, 0, 0.27%, 0.0000716%), (TJX, 0, 0.27%, 0.0000420%), (LOW, 0, 0.26%, 0.0000419%), (GILD, 0, 0.26%, 0.0000455%), (EMR, 0, 0.26%, 0.0000832%), (PFE, 0, 0.25%, 0.0000452%), (MO, 0, 0.24%, 0.0000541%), (DHR, 0, 0.22%, 0.0000413%), (INTC, 0, 0.22%, 0.0000476%), (ELV, 0, 0.21%, 0.0000756%), (CMCSA, 0, 0.20%, 0.0000410%), (MDLZ, 0, 0.18%, 0.0000556%), (BMY, 0, 0.17%, 0.0000452%), (UPS, 0, 0.16%, 0.0000624%), (PYPL, 0, 0.15%, 0.0000579%), (USB, 0, 0.14%, 0.0000447%), (CL, 0, 0.13%, 0.0000495%), (FDX, 0, 0.13%, 0.0000598%), (TGT, 0, 0.07%, 0.0000425%), (nan, 0, -0.02%, 0.0000000%), (nan, 0, -0.03%, 0.0000000%)</t>
  </si>
  <si>
    <t>(AMZN, 0, 3.89%, 0.0002160%), (AVGO, 0, 3.80%, 0.0003026%), (META, 0, 2.83%, 0.0002331%), (BRK/B, 0, 2.13%, 0.0004284%), (TSLA, 0, 2.01%, 0.0002043%), (LIN, 0, 1.77%, 0.0010866%), (CSCO, 0, 1.75%, 0.0009072%), (JPM, 0, 1.69%, 0.0002720%), (XOM, 0, 1.49%, 0.0004247%), (MA, 0, 1.47%, 0.0003861%), (AMT, 0, 1.45%, 0.0021989%), (V, 0, 1.38%, 0.0003278%), (ORCL, 0, 1.17%, 0.0001869%), (LLY, 0, 1.17%, 0.0002255%), (CB, 0, 1.14%, 0.0014435%), (GE, 0, 1.11%, 0.0005022%), (UNH, 0, 1.01%, 0.0004377%), (WM, 0, 1.01%, 0.0015794%), (NFLX, 0, 0.87%, 0.0002348%), (NEE, 0, 0.85%, 0.0007849%), (PLTR, 0, 0.85%, 0.0002988%), (JNJ, 0, 0.85%, 0.0002704%), (WMT, 0, 0.82%, 0.0001360%), (CVX, 0, 0.79%, 0.0003362%), (PG, 0, 0.79%, 0.0002934%), (COST, 0, 0.78%, 0.0002498%), (ABBV, 0, 0.76%, 0.0002707%), (HD, 0, 0.76%, 0.0002462%), (RTX, 0, 0.75%, 0.0004858%), (CAT, 0, 0.75%, 0.0005044%), (ABT, 0, 0.72%, 0.0004298%), (MCD, 0, 0.72%, 0.0004539%), (BAC, 0, 0.66%, 0.0002394%), (BKNG, 0, 0.61%, 0.0004653%), (KO, 0, 0.60%, 0.0002881%), (PM, 0, 0.59%, 0.0003193%), (SO, 0, 0.59%, 0.0007917%), (AMD, 0, 0.58%, 0.0003060%), (GS, 0, 0.58%, 0.0003374%), (BA, 0, 0.58%, 0.0004814%), (IBM, 0, 0.57%, 0.0003280%), (UBER, 0, 0.57%, 0.0003779%), (NKE, 0, 0.56%, 0.0008903%), (CRM, 0, 0.56%, 0.0003330%), (DUK, 0, 0.55%, 0.0007903%), (ETN, 0, 0.53%, 0.0004968%), (WFC, 0, 0.53%, 0.0002761%), (MET, 0, 0.52%, 0.0013254%), (HON, 0, 0.49%, 0.0005013%), (ISRG, 0, 0.49%, 0.0004330%), (COP, 0, 0.47%, 0.0005627%), (NOW, 0, 0.47%, 0.0003284%), (T, 0, 0.46%, 0.0013748%), (MS, 0, 0.46%, 0.0002504%), (PEP, 0, 0.45%, 0.0003208%), (INTU, 0, 0.44%, 0.0003332%), (AXP, 0, 0.43%, 0.0002603%), (DE, 0, 0.43%, 0.0004605%), (SPGI, 0, 0.41%, 0.0003378%), (MRK, 0, 0.41%, 0.0002740%), (QCOM, 0, 0.40%, 0.0003151%), (VZ, 0, 0.40%, 0.0002937%), (BLK, 0, 0.38%, 0.0003029%), (MDT, 0, 0.38%, 0.0004308%), (ADBE, 0, 0.37%, 0.0003485%), (GILD, 0, 0.37%, 0.0003601%), (C, 0, 0.37%, 0.0002729%), (TXN, 0, 0.36%, 0.0003072%), (ACN, 0, 0.36%, 0.0003327%), (TMO, 0, 0.36%, 0.0002755%), (UNP, 0, 0.36%, 0.0003825%), (LMT, 0, 0.36%, 0.0004464%), (DIS, 0, 0.36%, 0.0002345%), (SCHW, 0, 0.32%, 0.0002654%), (AMAT, 0, 0.31%, 0.0003167%), (SBUX, 0, 0.31%, 0.0004507%), (MMM, 0, 0.31%, 0.0005017%), (AMGN, 0, 0.29%, 0.0002701%), (CVS, 0, 0.29%, 0.0004271%), (TJX, 0, 0.29%, 0.0002501%), (LOW, 0, 0.28%, 0.0002496%), (EMR, 0, 0.28%, 0.0004959%), (PFE, 0, 0.27%, 0.0002697%), (MO, 0, 0.26%, 0.0003228%), (DHR, 0, 0.24%, 0.0002462%), (INTC, 0, 0.24%, 0.0002837%), (ELV, 0, 0.22%, 0.0004495%), (CMCSA, 0, 0.21%, 0.0002446%), (MDLZ, 0, 0.19%, 0.0003313%), (BMY, 0, 0.19%, 0.0002696%), (UPS, 0, 0.17%, 0.0003719%), (PYPL, 0, 0.16%, 0.0003453%), (USB, 0, 0.15%, 0.0002663%), (CL, 0, 0.14%, 0.0002950%), (FDX, 0, 0.14%, 0.0003564%), (TGT, 0, 0.07%, 0.0002533%), (nan, 0, -0.02%, 0.0000000%), (nan, 0, -0.03%, 0.0000000%)</t>
  </si>
  <si>
    <t>(AMZN, 0, 3.89%, 0.0001610%), (AVGO, 0, 3.79%, 0.0002255%), (META, 0, 2.83%, 0.0001737%), (BRK/B, 0, 2.13%, 0.0003193%), (TSLA, 0, 2.01%, 0.0001522%), (LIN, 0, 1.77%, 0.0008097%), (CSCO, 0, 1.75%, 0.0006761%), (JPM, 0, 1.69%, 0.0002027%), (XOM, 0, 1.49%, 0.0003164%), (MA, 0, 1.47%, 0.0002881%), (AMT, 0, 1.45%, 0.0016386%), (V, 0, 1.38%, 0.0002443%), (LLY, 0, 1.17%, 0.0001681%), (ORCL, 0, 1.17%, 0.0001393%), (CB, 0, 1.14%, 0.0010758%), (GE, 0, 1.11%, 0.0003742%), (UNH, 0, 1.01%, 0.0003262%), (WM, 0, 1.01%, 0.0011771%), (NFLX, 0, 0.87%, 0.0001751%), (NEE, 0, 0.85%, 0.0005849%), (PLTR, 0, 0.85%, 0.0002227%), (JNJ, 0, 0.85%, 0.0002015%), (WMT, 0, 0.82%, 0.0001014%), (CVX, 0, 0.79%, 0.0002506%), (PG, 0, 0.79%, 0.0002186%), (COST, 0, 0.78%, 0.0001862%), (ABBV, 0, 0.76%, 0.0002017%), (HD, 0, 0.76%, 0.0001834%), (RTX, 0, 0.75%, 0.0003621%), (CAT, 0, 0.75%, 0.0003759%), (ABT, 0, 0.72%, 0.0003203%), (MCD, 0, 0.72%, 0.0003383%), (BAC, 0, 0.66%, 0.0001784%), (BKNG, 0, 0.61%, 0.0003444%), (KO, 0, 0.60%, 0.0002147%), (PM, 0, 0.59%, 0.0002379%), (SO, 0, 0.59%, 0.0005900%), (AMD, 0, 0.58%, 0.0002281%), (GS, 0, 0.58%, 0.0002514%), (BA, 0, 0.58%, 0.0003588%), (IBM, 0, 0.57%, 0.0002445%), (UBER, 0, 0.57%, 0.0002816%), (NKE, 0, 0.56%, 0.0006635%), (CRM, 0, 0.56%, 0.0002481%), (DUK, 0, 0.55%, 0.0005889%), (ETN, 0, 0.53%, 0.0003702%), (WFC, 0, 0.53%, 0.0002058%), (MET, 0, 0.52%, 0.0009878%), (HON, 0, 0.49%, 0.0003736%), (ISRG, 0, 0.49%, 0.0003227%), (NOW, 0, 0.47%, 0.0002447%), (COP, 0, 0.47%, 0.0004140%), (MS, 0, 0.46%, 0.0001866%), (T, 0, 0.46%, 0.0010245%), (PEP, 0, 0.45%, 0.0002391%), (INTU, 0, 0.44%, 0.0002486%), (AXP, 0, 0.43%, 0.0001939%), (DE, 0, 0.43%, 0.0003433%), (SPGI, 0, 0.41%, 0.0002517%), (MRK, 0, 0.41%, 0.0002042%), (QCOM, 0, 0.40%, 0.0002348%), (VZ, 0, 0.40%, 0.0002188%), (BLK, 0, 0.38%, 0.0002260%), (MDT, 0, 0.38%, 0.0003210%), (ADBE, 0, 0.37%, 0.0002599%), (GILD, 0, 0.37%, 0.0002667%), (C, 0, 0.37%, 0.0002034%), (TXN, 0, 0.36%, 0.0002289%), (ACN, 0, 0.36%, 0.0002479%), (TMO, 0, 0.36%, 0.0002052%), (UNP, 0, 0.36%, 0.0002851%), (LMT, 0, 0.36%, 0.0003323%), (DIS, 0, 0.36%, 0.0001748%), (SCHW, 0, 0.32%, 0.0001978%), (AMAT, 0, 0.31%, 0.0002360%), (SBUX, 0, 0.31%, 0.0003359%), (MMM, 0, 0.31%, 0.0003739%), (AMGN, 0, 0.29%, 0.0002014%), (CVS, 0, 0.29%, 0.0003183%), (TJX, 0, 0.29%, 0.0001864%), (LOW, 0, 0.28%, 0.0001860%), (EMR, 0, 0.28%, 0.0003696%), (PFE, 0, 0.27%, 0.0002010%), (MO, 0, 0.26%, 0.0002405%), (DHR, 0, 0.24%, 0.0001835%), (INTC, 0, 0.24%, 0.0002114%), (ELV, 0, 0.22%, 0.0003352%), (CMCSA, 0, 0.21%, 0.0001823%), (MDLZ, 0, 0.19%, 0.0002469%), (BMY, 0, 0.19%, 0.0002009%), (UPS, 0, 0.17%, 0.0002772%), (PYPL, 0, 0.16%, 0.0002573%), (USB, 0, 0.15%, 0.0001984%), (CL, 0, 0.14%, 0.0002198%), (FDX, 0, 0.14%, 0.0002657%), (TGT, 0, 0.07%, 0.0001888%), (nan, 0, -0.02%, 0.0000000%), (nan, 0, -0.03%, 0.0000000%)</t>
  </si>
  <si>
    <t>(AMZN, 0, 3.94%, 0.0000377%), (AVGO, 0, 3.84%, 0.0000529%), (META, 0, 2.87%, 0.0000407%), (BRK/B, 0, 2.15%, 0.0000749%), (TSLA, 0, 2.04%, 0.0000357%), (LIN, 0, 1.79%, 0.0001897%), (CSCO, 0, 1.77%, 0.0001585%), (JPM, 0, 1.71%, 0.0000475%), (XOM, 0, 1.50%, 0.0000742%), (AMT, 0, 1.47%, 0.0003841%), (V, 0, 1.40%, 0.0000573%), (MA, 0, 1.39%, 0.0000629%), (LLY, 0, 1.18%, 0.0000393%), (ORCL, 0, 1.18%, 0.0000327%), (CB, 0, 1.16%, 0.0002521%), (GE, 0, 1.12%, 0.0000877%), (UNH, 0, 1.02%, 0.0000765%), (WM, 0, 1.02%, 0.0002760%), (NFLX, 0, 0.89%, 0.0000411%), (NEE, 0, 0.87%, 0.0001371%), (PLTR, 0, 0.86%, 0.0000522%), (JNJ, 0, 0.86%, 0.0000472%), (WMT, 0, 0.83%, 0.0000238%), (CVX, 0, 0.80%, 0.0000588%), (PG, 0, 0.80%, 0.0000512%), (COST, 0, 0.78%, 0.0000435%), (ABBV, 0, 0.77%, 0.0000473%), (HD, 0, 0.77%, 0.0000430%), (RTX, 0, 0.76%, 0.0000849%), (CAT, 0, 0.76%, 0.0000882%), (ABT, 0, 0.73%, 0.0000751%), (MCD, 0, 0.73%, 0.0000793%), (BAC, 0, 0.66%, 0.0000418%), (BKNG, 0, 0.61%, 0.0000807%), (KO, 0, 0.61%, 0.0000503%), (PM, 0, 0.60%, 0.0000558%), (SO, 0, 0.60%, 0.0001383%), (GS, 0, 0.59%, 0.0000590%), (AMD, 0, 0.59%, 0.0000534%), (BA, 0, 0.58%, 0.0000841%), (IBM, 0, 0.58%, 0.0000573%), (UBER, 0, 0.57%, 0.0000660%), (NKE, 0, 0.57%, 0.0001556%), (CRM, 0, 0.57%, 0.0000582%), (DUK, 0, 0.55%, 0.0001381%), (ETN, 0, 0.54%, 0.0000868%), (WFC, 0, 0.53%, 0.0000482%), (MET, 0, 0.52%, 0.0002316%), (HON, 0, 0.50%, 0.0000876%), (ISRG, 0, 0.49%, 0.0000756%), (COP, 0, 0.48%, 0.0000986%), (NOW, 0, 0.48%, 0.0000572%), (T, 0, 0.46%, 0.0002402%), (MS, 0, 0.46%, 0.0000437%), (PEP, 0, 0.46%, 0.0000560%), (INTU, 0, 0.45%, 0.0000581%), (AXP, 0, 0.43%, 0.0000454%), (DE, 0, 0.43%, 0.0000806%), (SPGI, 0, 0.41%, 0.0000591%), (MRK, 0, 0.41%, 0.0000479%), (QCOM, 0, 0.41%, 0.0000551%), (VZ, 0, 0.40%, 0.0000513%), (BLK, 0, 0.39%, 0.0000530%), (MDT, 0, 0.38%, 0.0000752%), (ADBE, 0, 0.37%, 0.0000609%), (C, 0, 0.37%, 0.0000477%), (TXN, 0, 0.37%, 0.0000537%), (ACN, 0, 0.36%, 0.0000581%), (TMO, 0, 0.36%, 0.0000482%), (UNP, 0, 0.36%, 0.0000668%), (DIS, 0, 0.36%, 0.0000410%), (LMT, 0, 0.36%, 0.0000778%), (GILD, 0, 0.33%, 0.0000555%), (SCHW, 0, 0.33%, 0.0000464%), (AMAT, 0, 0.32%, 0.0000554%), (SBUX, 0, 0.31%, 0.0000787%), (MMM, 0, 0.31%, 0.0000877%), (AMGN, 0, 0.30%, 0.0000472%), (CVS, 0, 0.30%, 0.0000746%), (TJX, 0, 0.29%, 0.0000437%), (LOW, 0, 0.28%, 0.0000437%), (EMR, 0, 0.28%, 0.0000867%), (PFE, 0, 0.27%, 0.0000471%), (MO, 0, 0.26%, 0.0000564%), (DHR, 0, 0.24%, 0.0000430%), (INTC, 0, 0.24%, 0.0000496%), (ELV, 0, 0.23%, 0.0000787%), (CMCSA, 0, 0.21%, 0.0000427%), (MDLZ, 0, 0.20%, 0.0000579%), (BMY, 0, 0.19%, 0.0000471%), (UPS, 0, 0.17%, 0.0000649%), (PYPL, 0, 0.16%, 0.0000603%), (USB, 0, 0.15%, 0.0000465%), (CL, 0, 0.14%, 0.0000515%), (FDX, 0, 0.14%, 0.0000623%), (TGT, 0, 0.08%, 0.0000442%), (nan, 0, -0.02%, 0.0000000%), (nan, 0, -0.04%, 0.0000000%)</t>
  </si>
  <si>
    <t>(AMZN, 0, 3.75%, 0.0000665%), (AVGO, 0, 3.65%, 0.0000931%), (META, 0, 2.73%, 0.0000717%), (BRK/B, 0, 2.05%, 0.0001318%), (TSLA, 0, 1.94%, 0.0000628%), (LIN, 0, 1.70%, 0.0003343%), (CSCO, 0, 1.69%, 0.0002791%), (JPM, 0, 1.62%, 0.0000837%), (XOM, 0, 1.43%, 0.0001307%), (AMT, 0, 1.40%, 0.0006765%), (MA, 0, 1.35%, 0.0001137%), (V, 0, 1.33%, 0.0001008%), (ORCL, 0, 1.12%, 0.0000575%), (LLY, 0, 1.12%, 0.0000694%), (CB, 0, 1.10%, 0.0004442%), (GE, 0, 1.07%, 0.0001545%), (UNH, 0, 0.97%, 0.0001347%), (WM, 0, 0.97%, 0.0004860%), (NFLX, 0, 0.84%, 0.0000722%), (NEE, 0, 0.82%, 0.0002415%), (PLTR, 0, 0.82%, 0.0000919%), (JNJ, 0, 0.81%, 0.0000832%), (WMT, 0, 0.79%, 0.0000419%), (CVX, 0, 0.76%, 0.0001034%), (PG, 0, 0.76%, 0.0000903%), (COST, 0, 0.75%, 0.0000769%), (ABBV, 0, 0.73%, 0.0000833%), (HD, 0, 0.73%, 0.0000757%), (RTX, 0, 0.73%, 0.0001495%), (CAT, 0, 0.72%, 0.0001552%), (ABT, 0, 0.69%, 0.0001322%), (MCD, 0, 0.69%, 0.0001397%), (BAC, 0, 0.63%, 0.0000737%), (BKNG, 0, 0.59%, 0.0001427%), (KO, 0, 0.58%, 0.0000886%), (PM, 0, 0.57%, 0.0000982%), (SO, 0, 0.57%, 0.0002436%), (AMD, 0, 0.56%, 0.0000942%), (GS, 0, 0.56%, 0.0001037%), (BA, 0, 0.56%, 0.0001481%), (IBM, 0, 0.55%, 0.0001009%), (UBER, 0, 0.55%, 0.0001163%), (NKE, 0, 0.54%, 0.0002739%), (CRM, 0, 0.54%, 0.0001024%), (DUK, 0, 0.53%, 0.0002431%), (ETN, 0, 0.51%, 0.0001528%), (WFC, 0, 0.51%, 0.0000849%), (MET, 0, 0.50%, 0.0004078%), (HON, 0, 0.47%, 0.0001542%), (ISRG, 0, 0.47%, 0.0001331%), (NOW, 0, 0.46%, 0.0001010%), (T, 0, 0.44%, 0.0004230%), (MS, 0, 0.44%, 0.0000771%), (PEP, 0, 0.43%, 0.0000987%), (COP, 0, 0.43%, 0.0001633%), (INTU, 0, 0.42%, 0.0001026%), (AXP, 0, 0.41%, 0.0000801%), (DE, 0, 0.41%, 0.0001417%), (SPGI, 0, 0.39%, 0.0001040%), (MRK, 0, 0.39%, 0.0000843%), (QCOM, 0, 0.39%, 0.0000969%), (VZ, 0, 0.38%, 0.0000904%), (BLK, 0, 0.37%, 0.0000930%), (MDT, 0, 0.36%, 0.0001325%), (ADBE, 0, 0.36%, 0.0001073%), (C, 0, 0.35%, 0.0000840%), (TXN, 0, 0.35%, 0.0000945%), (ACN, 0, 0.35%, 0.0001023%), (UNP, 0, 0.35%, 0.0001177%), (TMO, 0, 0.35%, 0.0000846%), (GILD, 0, 0.35%, 0.0001077%), (LMT, 0, 0.34%, 0.0001374%), (DIS, 0, 0.34%, 0.0000722%), (SCHW, 0, 0.31%, 0.0000816%), (AMAT, 0, 0.30%, 0.0000974%), (SBUX, 0, 0.30%, 0.0001386%), (MMM, 0, 0.29%, 0.0001544%), (AMGN, 0, 0.28%, 0.0000832%), (CVS, 0, 0.28%, 0.0001314%), (TJX, 0, 0.28%, 0.0000769%), (LOW, 0, 0.27%, 0.0000769%), (EMR, 0, 0.27%, 0.0001526%), (PFE, 0, 0.26%, 0.0000830%), (MO, 0, 0.25%, 0.0000993%), (DHR, 0, 0.23%, 0.0000757%), (INTC, 0, 0.23%, 0.0000873%), (ELV, 0, 0.22%, 0.0001381%), (CMCSA, 0, 0.20%, 0.0000753%), (MDLZ, 0, 0.19%, 0.0001019%), (BMY, 0, 0.18%, 0.0000830%), (UPS, 0, 0.16%, 0.0001144%), (PYPL, 0, 0.15%, 0.0001062%), (USB, 0, 0.14%, 0.0000819%), (CL, 0, 0.14%, 0.0000908%), (FDX, 0, 0.13%, 0.0001098%), (TGT, 0, 0.07%, 0.0000779%), (nan, 0, -0.02%, 0.0000000%), (nan, 0, -0.03%, 0.0000000%)</t>
  </si>
  <si>
    <t>(AMZN, 0, 3.83%, 0.0000240%), (AVGO, 0, 3.73%, 0.0000336%), (META, 0, 2.78%, 0.0000259%), (BRK/B, 0, 2.09%, 0.0000476%), (TSLA, 0, 1.98%, 0.0000227%), (LIN, 0, 1.74%, 0.0001208%), (CSCO, 0, 1.72%, 0.0001008%), (JPM, 0, 1.66%, 0.0000302%), (MA, 0, 1.48%, 0.0000441%), (XOM, 0, 1.46%, 0.0000472%), (AMT, 0, 1.43%, 0.0002444%), (V, 0, 1.36%, 0.0000364%), (ORCL, 0, 1.15%, 0.0000208%), (LLY, 0, 1.14%, 0.0000251%), (CB, 0, 1.12%, 0.0001603%), (GE, 0, 1.09%, 0.0000558%), (UNH, 0, 0.99%, 0.0000487%), (WM, 0, 0.99%, 0.0001755%), (NFLX, 0, 0.87%, 0.0000262%), (NEE, 0, 0.84%, 0.0000872%), (PLTR, 0, 0.83%, 0.0000332%), (JNJ, 0, 0.83%, 0.0000301%), (WMT, 0, 0.81%, 0.0000151%), (CVX, 0, 0.78%, 0.0000374%), (PG, 0, 0.77%, 0.0000326%), (COST, 0, 0.77%, 0.0000278%), (ABBV, 0, 0.75%, 0.0000301%), (HD, 0, 0.74%, 0.0000273%), (RTX, 0, 0.74%, 0.0000540%), (CAT, 0, 0.74%, 0.0000561%), (ABT, 0, 0.71%, 0.0000477%), (MCD, 0, 0.70%, 0.0000504%), (BAC, 0, 0.64%, 0.0000266%), (BKNG, 0, 0.61%, 0.0000527%), (KO, 0, 0.59%, 0.0000320%), (SO, 0, 0.58%, 0.0000880%), (PM, 0, 0.58%, 0.0000355%), (AMD, 0, 0.57%, 0.0000340%), (GS, 0, 0.57%, 0.0000373%), (BA, 0, 0.57%, 0.0000535%), (IBM, 0, 0.56%, 0.0000365%), (UBER, 0, 0.56%, 0.0000420%), (NKE, 0, 0.56%, 0.0000990%), (CRM, 0, 0.55%, 0.0000370%), (DUK, 0, 0.54%, 0.0000878%), (ETN, 0, 0.52%, 0.0000552%), (WFC, 0, 0.52%, 0.0000307%), (MET, 0, 0.51%, 0.0001472%), (HON, 0, 0.49%, 0.0000558%), (ISRG, 0, 0.48%, 0.0000482%), (COP, 0, 0.47%, 0.0000634%), (NOW, 0, 0.47%, 0.0000365%), (T, 0, 0.45%, 0.0001528%), (MS, 0, 0.45%, 0.0000278%), (PEP, 0, 0.44%, 0.0000356%), (INTU, 0, 0.44%, 0.0000369%), (AXP, 0, 0.42%, 0.0000289%), (DE, 0, 0.42%, 0.0000510%), (SPGI, 0, 0.40%, 0.0000376%), (MRK, 0, 0.40%, 0.0000305%), (QCOM, 0, 0.39%, 0.0000350%), (VZ, 0, 0.39%, 0.0000326%), (BLK, 0, 0.38%, 0.0000336%), (MDT, 0, 0.37%, 0.0000479%), (ADBE, 0, 0.36%, 0.0000387%), (C, 0, 0.36%, 0.0000303%), (TXN, 0, 0.36%, 0.0000341%), (TMO, 0, 0.35%, 0.0000306%), (ACN, 0, 0.35%, 0.0000369%), (LMT, 0, 0.35%, 0.0000497%), (UNP, 0, 0.35%, 0.0000425%), (DIS, 0, 0.35%, 0.0000261%), (SCHW, 0, 0.32%, 0.0000295%), (AMAT, 0, 0.31%, 0.0000351%), (SBUX, 0, 0.30%, 0.0000501%), (MMM, 0, 0.30%, 0.0000557%), (AMGN, 0, 0.29%, 0.0000301%), (CVS, 0, 0.29%, 0.0000474%), (TJX, 0, 0.28%, 0.0000278%), (LOW, 0, 0.28%, 0.0000278%), (GILD, 0, 0.27%, 0.0000302%), (EMR, 0, 0.27%, 0.0000551%), (PFE, 0, 0.26%, 0.0000300%), (MO, 0, 0.25%, 0.0000359%), (DHR, 0, 0.24%, 0.0000273%), (INTC, 0, 0.23%, 0.0000315%), (ELV, 0, 0.22%, 0.0000499%), (CMCSA, 0, 0.21%, 0.0000272%), (MDLZ, 0, 0.19%, 0.0000368%), (BMY, 0, 0.18%, 0.0000300%), (UPS, 0, 0.16%, 0.0000413%), (PYPL, 0, 0.16%, 0.0000384%), (USB, 0, 0.15%, 0.0000296%), (CL, 0, 0.14%, 0.0000328%), (FDX, 0, 0.14%, 0.0000394%), (TGT, 0, 0.07%, 0.0000282%), (nan, 0, -0.02%, 0.0000000%), (nan, 0, -0.02%, 0.0000000%)</t>
  </si>
  <si>
    <t>(AMZN, 0, 4.05%, 0.0000572%), (AVGO, 0, 3.94%, 0.0000802%), (META, 0, 2.94%, 0.0000618%), (BRK/B, 0, 2.21%, 0.0001135%), (TSLA, 0, 2.09%, 0.0000542%), (LIN, 0, 1.84%, 0.0002880%), (CSCO, 0, 1.82%, 0.0002404%), (JPM, 0, 1.75%, 0.0000721%), (XOM, 0, 1.54%, 0.0001125%), (AMT, 0, 1.51%, 0.0005827%), (MA, 0, 1.50%, 0.0001010%), (V, 0, 1.44%, 0.0000869%), (LLY, 0, 1.21%, 0.0000598%), (ORCL, 0, 1.21%, 0.0000495%), (CB, 0, 1.19%, 0.0003827%), (GE, 0, 1.15%, 0.0001331%), (UNH, 0, 1.05%, 0.0001160%), (WM, 0, 1.05%, 0.0004187%), (NFLX, 0, 0.91%, 0.0000623%), (NEE, 0, 0.89%, 0.0002080%), (PLTR, 0, 0.88%, 0.0000792%), (JNJ, 0, 0.88%, 0.0000717%), (WMT, 0, 0.85%, 0.0000360%), (CVX, 0, 0.82%, 0.0000891%), (PG, 0, 0.82%, 0.0000778%), (COST, 0, 0.81%, 0.0000661%), (ABBV, 0, 0.79%, 0.0000717%), (HD, 0, 0.79%, 0.0000653%), (RTX, 0, 0.78%, 0.0001288%), (CAT, 0, 0.78%, 0.0001336%), (ABT, 0, 0.75%, 0.0001139%), (MCD, 0, 0.74%, 0.0001202%), (BAC, 0, 0.68%, 0.0000635%), (BKNG, 0, 0.64%, 0.0001241%), (KO, 0, 0.62%, 0.0000764%), (PM, 0, 0.61%, 0.0000846%), (SO, 0, 0.61%, 0.0002098%), (AMD, 0, 0.60%, 0.0000811%), (GS, 0, 0.60%, 0.0000894%), (BA, 0, 0.60%, 0.0001276%), (IBM, 0, 0.60%, 0.0000870%), (UBER, 0, 0.59%, 0.0001002%), (NKE, 0, 0.59%, 0.0002359%), (CRM, 0, 0.58%, 0.0000882%), (DUK, 0, 0.57%, 0.0002094%), (ETN, 0, 0.55%, 0.0001318%), (WFC, 0, 0.55%, 0.0000732%), (MET, 0, 0.54%, 0.0003513%), (HON, 0, 0.51%, 0.0001328%), (ISRG, 0, 0.51%, 0.0001148%), (NOW, 0, 0.49%, 0.0000870%), (COP, 0, 0.48%, 0.0001451%), (T, 0, 0.47%, 0.0003644%), (MS, 0, 0.47%, 0.0000663%), (PEP, 0, 0.47%, 0.0000850%), (INTU, 0, 0.46%, 0.0000882%), (AXP, 0, 0.45%, 0.0000690%), (DE, 0, 0.44%, 0.0001221%), (SPGI, 0, 0.42%, 0.0000895%), (MRK, 0, 0.42%, 0.0000726%), (QCOM, 0, 0.42%, 0.0000835%), (VZ, 0, 0.41%, 0.0000778%), (BLK, 0, 0.40%, 0.0000801%), (MDT, 0, 0.39%, 0.0001142%), (ADBE, 0, 0.38%, 0.0000925%), (C, 0, 0.38%, 0.0000724%), (TXN, 0, 0.38%, 0.0000814%), (ACN, 0, 0.37%, 0.0000881%), (TMO, 0, 0.37%, 0.0000729%), (UNP, 0, 0.37%, 0.0001013%), (LMT, 0, 0.37%, 0.0001184%), (DIS, 0, 0.37%, 0.0000622%), (SCHW, 0, 0.34%, 0.0000703%), (AMAT, 0, 0.33%, 0.0000840%), (SBUX, 0, 0.32%, 0.0001195%), (MMM, 0, 0.32%, 0.0001329%), (AMGN, 0, 0.30%, 0.0000715%), (CVS, 0, 0.30%, 0.0001132%), (TJX, 0, 0.30%, 0.0000663%), (LOW, 0, 0.29%, 0.0000662%), (GILD, 0, 0.29%, 0.0000720%), (EMR, 0, 0.29%, 0.0001315%), (PFE, 0, 0.28%, 0.0000715%), (MO, 0, 0.27%, 0.0000855%), (DHR, 0, 0.25%, 0.0000653%), (INTC, 0, 0.25%, 0.0000752%), (ELV, 0, 0.23%, 0.0001192%), (CMCSA, 0, 0.22%, 0.0000648%), (MDLZ, 0, 0.20%, 0.0000878%), (BMY, 0, 0.19%, 0.0000714%), (UPS, 0, 0.17%, 0.0000985%), (PYPL, 0, 0.16%, 0.0000915%), (USB, 0, 0.15%, 0.0000706%), (CL, 0, 0.15%, 0.0000782%), (FDX, 0, 0.14%, 0.0000945%), (TGT, 0, 0.08%, 0.0000671%), (nan, 0, -0.02%, 0.0000000%), (nan, 0, -0.04%, 0.0000000%)</t>
  </si>
  <si>
    <t>GOOGLE, EBAY, BK, META, MLI, JPM, MSFT, EA, PHM, RJF, BLK</t>
  </si>
  <si>
    <t>(BKNG, 0, 1.95%, 0.0005925%), (EWBC, 0, 1.95%, 0.0071295%), (AXP, 0, 1.93%, 0.0004654%), (HIG, 0, 1.84%, 0.0027317%), (TRV, 0, 1.84%, 0.0016215%), (KLAC, 0, 1.83%, 0.0007656%), (V, 0, 1.77%, 0.0001673%), (SNA, 0, 1.77%, 0.0054492%), (UNM, 0, 1.76%, 0.0075085%), (NVDA, 0, 1.73%, 0.0000219%), (ROST, 0, 1.71%, 0.0019473%), (AMAT, 0, 1.71%, 0.0006836%), (PCAR, 0, 1.69%, 0.0017115%), (SYF, 0, 1.66%, 0.0032959%), (LEN, 0, 1.65%, 0.0029982%), (ADP, 0, 1.62%, 0.0007509%), (CB, 0, 1.62%, 0.0008149%), (WSM, 0, 1.49%, 0.0032999%), (CRM, 0, 1.45%, 0.0003420%), (CTSH, 0, 1.45%, 0.0023802%), (BKR, 0, 1.44%, 0.0017134%), (DHI, 0, 1.41%, 0.0015142%), (PAYC, 0, 1.39%, 0.0060093%), (QCOM, 0, 1.36%, 0.0004250%), (AAPL, 0, 1.29%, 0.0000200%), (LRCX, 0, 1.28%, 0.0004662%), (AFL, 0, 1.25%, 0.0011742%), (ELV, 0, 1.23%, 0.0009796%), (ACN, 0, 1.18%, 0.0004349%), (MPWR, 0, 1.13%, 0.0015159%), (GE, 0, 1.08%, 0.0001945%), (CSCO, 0, 1.05%, 0.0002151%), (ODFL, 0, 1.04%, 0.0018533%), (STT, 0, 0.97%, 0.0016877%), (PNC, 0, 0.94%, 0.0006412%), (MTB, 0, 0.91%, 0.0016325%), (CF, 0, 0.85%, 0.0033265%), (COST, 0, 0.83%, 0.0001065%), (AMP, 0, 0.82%, 0.0009881%), (ABT, 0, 0.82%, 0.0001952%), (XOM, 0, 0.81%, 0.0000926%), (EOG, 0, 0.77%, 0.0006504%), (EG, 0, 0.75%, 0.0028429%), (CSL, 0, 0.69%, 0.0025296%), (GEV, 0, 0.56%, 0.0001773%), (NTRS, 0, 0.52%, 0.0011570%), (MA, 0, 0.49%, 0.0000512%), (ACM, 0, 0.49%, 0.0015629%), (JNJ, 0, 0.48%, 0.0000608%), (LNC, 0, 0.45%, 0.0031505%), (CRBG, 0, 0.45%, 0.0013956%), (MTG, 0, 0.44%, 0.0038428%), (JXN, 0, 0.44%, 0.0035462%), (CINF, 0, 0.43%, 0.0009755%), (WTFC, 0, 0.43%, 0.0026332%), (EQH, 0, 0.42%, 0.0014162%), (MCK, 0, 0.41%, 0.0002541%), (ADM, 0, 0.41%, 0.0007584%), (DOV, 0, 0.40%, 0.0009325%), (ALL, 0, 0.39%, 0.0004114%), (NUE, 0, 0.38%, 0.0006374%), (PGR, 0, 0.36%, 0.0001361%), (SLM, 0, 0.36%, 0.0034604%), (NKE, 0, 0.36%, 0.0002242%), (FANG, 0, 0.28%, 0.0003935%)</t>
  </si>
  <si>
    <t>(AMZN, 0, 3.71%, 0.0000611%), (AVGO, 0, 3.62%, 0.0000856%), (META, 0, 2.70%, 0.0000659%), (BRK/B, 0, 2.03%, 0.0001212%), (TSLA, 0, 1.93%, 0.0000578%), (LIN, 0, 1.69%, 0.0003073%), (CSCO, 0, 1.67%, 0.0002566%), (JPM, 0, 1.61%, 0.0000770%), (XOM, 0, 1.42%, 0.0001201%), (AMT, 0, 1.38%, 0.0006220%), (MA, 0, 1.36%, 0.0001063%), (V, 0, 1.32%, 0.0000927%), (ORCL, 0, 1.12%, 0.0000529%), (LLY, 0, 1.11%, 0.0000638%), (CB, 0, 1.09%, 0.0004083%), (GE, 0, 1.06%, 0.0001420%), (UNH, 0, 0.96%, 0.0001239%), (WM, 0, 0.96%, 0.0004468%), (NFLX, 0, 0.83%, 0.0000666%), (NEE, 0, 0.81%, 0.0002220%), (PLTR, 0, 0.81%, 0.0000845%), (JNJ, 0, 0.81%, 0.0000765%), (WMT, 0, 0.78%, 0.0000385%), (CVX, 0, 0.76%, 0.0000951%), (PG, 0, 0.75%, 0.0000830%), (COST, 0, 0.74%, 0.0000706%), (ABBV, 0, 0.73%, 0.0000766%), (HD, 0, 0.72%, 0.0000696%), (RTX, 0, 0.72%, 0.0001375%), (CAT, 0, 0.72%, 0.0001426%), (ABT, 0, 0.69%, 0.0001216%), (MCD, 0, 0.68%, 0.0001284%), (BAC, 0, 0.63%, 0.0000677%), (BKNG, 0, 0.58%, 0.0001303%), (KO, 0, 0.57%, 0.0000815%), (PM, 0, 0.56%, 0.0000903%), (SO, 0, 0.56%, 0.0002240%), (AMD, 0, 0.56%, 0.0000866%), (GS, 0, 0.55%, 0.0000954%), (BA, 0, 0.55%, 0.0001362%), (IBM, 0, 0.55%, 0.0000928%), (UBER, 0, 0.54%, 0.0001069%), (NKE, 0, 0.54%, 0.0002518%), (CRM, 0, 0.54%, 0.0000942%), (DUK, 0, 0.52%, 0.0002235%), (ETN, 0, 0.51%, 0.0001405%), (WFC, 0, 0.50%, 0.0000781%), (MET, 0, 0.49%, 0.0003749%), (HON, 0, 0.47%, 0.0001418%), (ISRG, 0, 0.46%, 0.0001224%), (NOW, 0, 0.45%, 0.0000928%), (MS, 0, 0.44%, 0.0000708%), (T, 0, 0.44%, 0.0003889%), (COP, 0, 0.43%, 0.0001527%), (PEP, 0, 0.43%, 0.0000908%), (INTU, 0, 0.42%, 0.0000943%), (AXP, 0, 0.41%, 0.0000736%), (DE, 0, 0.41%, 0.0001302%), (SPGI, 0, 0.39%, 0.0000954%), (MRK, 0, 0.39%, 0.0000775%), (QCOM, 0, 0.38%, 0.0000892%), (VZ, 0, 0.38%, 0.0000831%), (BLK, 0, 0.37%, 0.0000859%), (MDT, 0, 0.36%, 0.0001219%), (ADBE, 0, 0.35%, 0.0000987%), (C, 0, 0.35%, 0.0000772%), (TXN, 0, 0.35%, 0.0000869%), (ACN, 0, 0.34%, 0.0000941%), (TMO, 0, 0.34%, 0.0000780%), (UNP, 0, 0.34%, 0.0001082%), (LMT, 0, 0.34%, 0.0001262%), (DIS, 0, 0.34%, 0.0000664%), (GILD, 0, 0.32%, 0.0000929%), (SCHW, 0, 0.31%, 0.0000751%), (AMAT, 0, 0.30%, 0.0000896%), (SBUX, 0, 0.29%, 0.0001275%), (MMM, 0, 0.29%, 0.0001419%), (AMGN, 0, 0.28%, 0.0000763%), (CVS, 0, 0.28%, 0.0001208%), (TJX, 0, 0.27%, 0.0000707%), (LOW, 0, 0.27%, 0.0000706%), (EMR, 0, 0.26%, 0.0001402%), (PFE, 0, 0.26%, 0.0000763%), (MO, 0, 0.25%, 0.0000913%), (DHR, 0, 0.23%, 0.0000697%), (INTC, 0, 0.23%, 0.0000803%), (ELV, 0, 0.21%, 0.0001273%), (CMCSA, 0, 0.20%, 0.0000692%), (MDLZ, 0, 0.18%, 0.0000937%), (BMY, 0, 0.18%, 0.0000762%), (UPS, 0, 0.16%, 0.0001052%), (PYPL, 0, 0.15%, 0.0000977%), (USB, 0, 0.14%, 0.0000753%), (CL, 0, 0.14%, 0.0000835%), (FDX, 0, 0.13%, 0.0001009%), (TGT, 0, 0.07%, 0.0000717%), (nan, 0, -0.02%, 0.0000000%), (nan, 0, -0.02%, 0.0000000%)</t>
  </si>
  <si>
    <t>(AMZN, 0, 3.88%, 0.0001249%), (AVGO, 0, 3.78%, 0.0001750%), (META, 0, 2.82%, 0.0001348%), (BRK/B, 0, 2.12%, 0.0002478%), (TSLA, 0, 2.01%, 0.0001181%), (LIN, 0, 1.76%, 0.0006283%), (CSCO, 0, 1.75%, 0.0005247%), (JPM, 0, 1.68%, 0.0001573%), (XOM, 0, 1.48%, 0.0002456%), (AMT, 0, 1.45%, 0.0012716%), (MA, 0, 1.42%, 0.0002163%), (V, 0, 1.38%, 0.0001896%), (ORCL, 0, 1.16%, 0.0001081%), (LLY, 0, 1.16%, 0.0001304%), (CB, 0, 1.14%, 0.0008347%), (GE, 0, 1.10%, 0.0002904%), (UNH, 0, 1.01%, 0.0002531%), (WM, 0, 1.00%, 0.0009135%), (NFLX, 0, 0.87%, 0.0001359%), (NEE, 0, 0.85%, 0.0004539%), (PLTR, 0, 0.85%, 0.0001728%), (JNJ, 0, 0.84%, 0.0001564%), (WMT, 0, 0.82%, 0.0000787%), (CVX, 0, 0.79%, 0.0001944%), (PG, 0, 0.78%, 0.0001696%), (COST, 0, 0.78%, 0.0001444%), (ABBV, 0, 0.76%, 0.0001565%), (HD, 0, 0.75%, 0.0001424%), (RTX, 0, 0.75%, 0.0002810%), (CAT, 0, 0.75%, 0.0002918%), (ABT, 0, 0.72%, 0.0002486%), (MCD, 0, 0.71%, 0.0002625%), (BAC, 0, 0.65%, 0.0001385%), (BKNG, 0, 0.61%, 0.0002699%), (KO, 0, 0.60%, 0.0001666%), (PM, 0, 0.59%, 0.0001847%), (SO, 0, 0.59%, 0.0004578%), (AMD, 0, 0.58%, 0.0001770%), (GS, 0, 0.58%, 0.0001950%), (BA, 0, 0.58%, 0.0002784%), (IBM, 0, 0.57%, 0.0001897%), (UBER, 0, 0.56%, 0.0002185%), (NKE, 0, 0.56%, 0.0005148%), (CRM, 0, 0.56%, 0.0001925%), (DUK, 0, 0.55%, 0.0004570%), (ETN, 0, 0.53%, 0.0002874%), (WFC, 0, 0.52%, 0.0001597%), (MET, 0, 0.52%, 0.0007664%), (HON, 0, 0.49%, 0.0002900%), (ISRG, 0, 0.49%, 0.0002505%), (NOW, 0, 0.47%, 0.0001899%), (MS, 0, 0.46%, 0.0001448%), (T, 0, 0.46%, 0.0007951%), (COP, 0, 0.45%, 0.0003107%), (PEP, 0, 0.45%, 0.0001855%), (INTU, 0, 0.44%, 0.0001926%), (AXP, 0, 0.43%, 0.0001505%), (DE, 0, 0.43%, 0.0002663%), (SPGI, 0, 0.41%, 0.0001955%), (MRK, 0, 0.40%, 0.0001585%), (QCOM, 0, 0.40%, 0.0001822%), (VZ, 0, 0.40%, 0.0001698%), (BLK, 0, 0.38%, 0.0001750%), (MDT, 0, 0.38%, 0.0002492%), (ADBE, 0, 0.37%, 0.0002016%), (C, 0, 0.36%, 0.0001579%), (TXN, 0, 0.36%, 0.0001776%), (ACN, 0, 0.36%, 0.0001923%), (TMO, 0, 0.36%, 0.0001594%), (UNP, 0, 0.36%, 0.0002212%), (LMT, 0, 0.36%, 0.0002580%), (DIS, 0, 0.36%, 0.0001357%), (SCHW, 0, 0.32%, 0.0001535%), (AMAT, 0, 0.31%, 0.0001831%), (SBUX, 0, 0.31%, 0.0002607%), (MMM, 0, 0.30%, 0.0002901%), (AMGN, 0, 0.29%, 0.0001562%), (CVS, 0, 0.29%, 0.0002470%), (TJX, 0, 0.29%, 0.0001446%), (LOW, 0, 0.28%, 0.0001443%), (GILD, 0, 0.28%, 0.0001570%), (EMR, 0, 0.28%, 0.0002868%), (PFE, 0, 0.27%, 0.0001560%), (MO, 0, 0.26%, 0.0001866%), (DHR, 0, 0.24%, 0.0001424%), (INTC, 0, 0.24%, 0.0001641%), (ELV, 0, 0.22%, 0.0002601%), (CMCSA, 0, 0.21%, 0.0001415%), (MDLZ, 0, 0.19%, 0.0001916%), (BMY, 0, 0.19%, 0.0001559%), (UPS, 0, 0.17%, 0.0002151%), (PYPL, 0, 0.16%, 0.0001996%), (USB, 0, 0.15%, 0.0001540%), (CL, 0, 0.14%, 0.0001706%), (FDX, 0, 0.14%, 0.0002060%), (TGT, 0, 0.07%, 0.0001466%), (nan, 0, -0.02%, 0.0000000%), (nan, 0, -0.03%, 0.0000000%)</t>
  </si>
  <si>
    <t>(AMZN, 0, 3.66%, 0.0002495%), (AVGO, 0, 3.57%, 0.0003496%), (META, 0, 2.66%, 0.0002693%), (BRK/B, 0, 2.00%, 0.0004949%), (TSLA, 0, 1.89%, 0.0002359%), (LIN, 0, 1.67%, 0.0012552%), (CSCO, 0, 1.65%, 0.0010479%), (JPM, 0, 1.59%, 0.0003142%), (XOM, 0, 1.40%, 0.0004905%), (MA, 0, 1.37%, 0.0004433%), (AMT, 0, 1.37%, 0.0025400%), (V, 0, 1.30%, 0.0003786%), (ORCL, 0, 1.10%, 0.0002159%), (LLY, 0, 1.10%, 0.0002605%), (CB, 0, 1.07%, 0.0016674%), (GE, 0, 1.04%, 0.0005801%), (UNH, 0, 0.95%, 0.0005056%), (WM, 0, 0.95%, 0.0018244%), (NFLX, 0, 0.82%, 0.0002714%), (NEE, 0, 0.80%, 0.0009067%), (PLTR, 0, 0.80%, 0.0003452%), (JNJ, 0, 0.80%, 0.0003123%), (WMT, 0, 0.77%, 0.0001571%), (CVX, 0, 0.75%, 0.0003884%), (PG, 0, 0.74%, 0.0003388%), (COST, 0, 0.73%, 0.0002886%), (ABBV, 0, 0.72%, 0.0003126%), (HD, 0, 0.71%, 0.0002844%), (RTX, 0, 0.71%, 0.0005612%), (CAT, 0, 0.71%, 0.0005825%), (ABT, 0, 0.68%, 0.0004964%), (MCD, 0, 0.67%, 0.0005242%), (BAC, 0, 0.62%, 0.0002766%), (BKNG, 0, 0.57%, 0.0005367%), (KO, 0, 0.57%, 0.0003328%), (PM, 0, 0.55%, 0.0003688%), (SO, 0, 0.55%, 0.0009145%), (AMD, 0, 0.55%, 0.0003535%), (GS, 0, 0.55%, 0.0003894%), (BA, 0, 0.54%, 0.0005560%), (IBM, 0, 0.54%, 0.0003788%), (UBER, 0, 0.53%, 0.0004365%), (NKE, 0, 0.53%, 0.0010284%), (CRM, 0, 0.53%, 0.0003846%), (DUK, 0, 0.52%, 0.0009128%), (ETN, 0, 0.50%, 0.0005739%), (WFC, 0, 0.49%, 0.0003189%), (MET, 0, 0.49%, 0.0015309%), (HON, 0, 0.46%, 0.0005790%), (ISRG, 0, 0.46%, 0.0005001%), (COP, 0, 0.44%, 0.0006449%), (NOW, 0, 0.44%, 0.0003793%), (MS, 0, 0.43%, 0.0002892%), (T, 0, 0.43%, 0.0015881%), (PEP, 0, 0.43%, 0.0003705%), (INTU, 0, 0.42%, 0.0003849%), (AXP, 0, 0.40%, 0.0003006%), (DE, 0, 0.40%, 0.0005323%), (SPGI, 0, 0.38%, 0.0003904%), (MRK, 0, 0.38%, 0.0003165%), (QCOM, 0, 0.38%, 0.0003639%), (VZ, 0, 0.37%, 0.0003392%), (BLK, 0, 0.36%, 0.0003500%), (MDT, 0, 0.36%, 0.0004976%), (ADBE, 0, 0.35%, 0.0004028%), (C, 0, 0.34%, 0.0003153%), (TXN, 0, 0.34%, 0.0003548%), (ACN, 0, 0.34%, 0.0003842%), (TMO, 0, 0.34%, 0.0003183%), (UNP, 0, 0.34%, 0.0004419%), (LMT, 0, 0.34%, 0.0005156%), (DIS, 0, 0.34%, 0.0002710%), (SCHW, 0, 0.31%, 0.0003065%), (AMAT, 0, 0.30%, 0.0003658%), (SBUX, 0, 0.29%, 0.0005206%), (MMM, 0, 0.29%, 0.0005796%), (AMGN, 0, 0.27%, 0.0003121%), (CVS, 0, 0.27%, 0.0004934%), (TJX, 0, 0.27%, 0.0002888%), (LOW, 0, 0.26%, 0.0002883%), (GILD, 0, 0.26%, 0.0003136%), (EMR, 0, 0.26%, 0.0005729%), (PFE, 0, 0.25%, 0.0003115%), (MO, 0, 0.24%, 0.0003728%), (DHR, 0, 0.23%, 0.0002844%), (INTC, 0, 0.22%, 0.0003277%), (ELV, 0, 0.21%, 0.0005193%), (CMCSA, 0, 0.20%, 0.0002825%), (MDLZ, 0, 0.18%, 0.0003827%), (BMY, 0, 0.17%, 0.0003114%), (UPS, 0, 0.16%, 0.0004296%), (PYPL, 0, 0.15%, 0.0003989%), (USB, 0, 0.14%, 0.0003076%), (CL, 0, 0.13%, 0.0003408%), (FDX, 0, 0.13%, 0.0004119%), (TGT, 0, 0.07%, 0.0002925%), (nan, 0, -0.02%, 0.0000000%), (nan, 0, -0.03%, 0.0000000%)</t>
  </si>
  <si>
    <t>(AMZN, 0, 3.63%, 0.0000362%), (AVGO, 0, 3.47%, 0.0000507%), (META, 0, 2.65%, 0.0000391%), (BRK/B, 0, 1.96%, 0.0000718%), (TSLA, 0, 1.90%, 0.0000342%), (LIN, 0, 1.62%, 0.0001822%), (CSCO, 0, 1.61%, 0.0001521%), (JPM, 0, 1.56%, 0.0000456%), (XOM, 0, 1.39%, 0.0000712%), (AMT, 0, 1.35%, 0.0003687%), (V, 0, 1.28%, 0.0000550%), (LLY, 0, 1.09%, 0.0000378%), (ORCL, 0, 1.09%, 0.0000313%), (MA, 0, 1.04%, 0.0000497%), (CB, 0, 1.04%, 0.0002419%), (GE, 0, 1.04%, 0.0000842%), (WM, 0, 0.92%, 0.0002649%), (UNH, 0, 0.91%, 0.0000734%), (NFLX, 0, 0.81%, 0.0000394%), (PLTR, 0, 0.78%, 0.0000501%), (JNJ, 0, 0.78%, 0.0000453%), (NEE, 0, 0.77%, 0.0001316%), (WMT, 0, 0.76%, 0.0000228%), (CVX, 0, 0.74%, 0.0000564%), (PG, 0, 0.73%, 0.0000492%), (COST, 0, 0.71%, 0.0000420%), (ABBV, 0, 0.70%, 0.0000454%), (CAT, 0, 0.70%, 0.0000845%), (HD, 0, 0.70%, 0.0000413%), (RTX, 0, 0.70%, 0.0000814%), (ABT, 0, 0.67%, 0.0000721%), (MCD, 0, 0.66%, 0.0000761%), (BAC, 0, 0.61%, 0.0000401%), (KO, 0, 0.55%, 0.0000483%), (BKNG, 0, 0.55%, 0.0000776%), (PM, 0, 0.55%, 0.0000535%), (GS, 0, 0.54%, 0.0000567%), (SO, 0, 0.54%, 0.0001327%), (AMD, 0, 0.53%, 0.0000513%), (IBM, 0, 0.53%, 0.0000550%), (BA, 0, 0.53%, 0.0000806%), (NKE, 0, 0.52%, 0.0001492%), (UBER, 0, 0.52%, 0.0000633%), (CRM, 0, 0.51%, 0.0000558%), (DUK, 0, 0.50%, 0.0001324%), (WFC, 0, 0.49%, 0.0000463%), (ETN, 0, 0.48%, 0.0000832%), (MET, 0, 0.47%, 0.0002222%), (HON, 0, 0.45%, 0.0000841%), (ISRG, 0, 0.45%, 0.0000725%), (NOW, 0, 0.43%, 0.0000553%), (MS, 0, 0.42%, 0.0000420%), (T, 0, 0.42%, 0.0002305%), (PEP, 0, 0.41%, 0.0000538%), (INTU, 0, 0.41%, 0.0000560%), (DE, 0, 0.40%, 0.0000773%), (AXP, 0, 0.39%, 0.0000437%), (QCOM, 0, 0.38%, 0.0000528%), (SPGI, 0, 0.38%, 0.0000568%), (MRK, 0, 0.37%, 0.0000459%), (VZ, 0, 0.37%, 0.0000492%), (BLK, 0, 0.36%, 0.0000510%), (MDT, 0, 0.35%, 0.0000722%), (ADBE, 0, 0.35%, 0.0000585%), (C, 0, 0.34%, 0.0000457%), (COP, 0, 0.34%, 0.0000715%), (TMO, 0, 0.34%, 0.0000463%), (TXN, 0, 0.34%, 0.0000515%), (LMT, 0, 0.33%, 0.0000748%), (ACN, 0, 0.33%, 0.0000557%), (UNP, 0, 0.33%, 0.0000641%), (DIS, 0, 0.33%, 0.0000393%), (SCHW, 0, 0.30%, 0.0000445%), (AMAT, 0, 0.29%, 0.0000531%), (SBUX, 0, 0.29%, 0.0000756%), (MMM, 0, 0.28%, 0.0000841%), (CVS, 0, 0.27%, 0.0000716%), (AMGN, 0, 0.27%, 0.0000453%), (TJX, 0, 0.26%, 0.0000420%), (LOW, 0, 0.26%, 0.0000419%), (GILD, 0, 0.25%, 0.0000455%), (PFE, 0, 0.25%, 0.0000452%), (EMR, 0, 0.24%, 0.0000832%), (MO, 0, 0.24%, 0.0000541%), (DHR, 0, 0.22%, 0.0000413%), (INTC, 0, 0.22%, 0.0000476%), (ELV, 0, 0.21%, 0.0000756%), (CMCSA, 0, 0.19%, 0.0000410%), (MDLZ, 0, 0.18%, 0.0000556%), (BMY, 0, 0.17%, 0.0000452%), (UPS, 0, 0.16%, 0.0000624%), (PYPL, 0, 0.15%, 0.0000579%), (USB, 0, 0.14%, 0.0000447%), (CL, 0, 0.13%, 0.0000495%), (FDX, 0, 0.13%, 0.0000598%), (TGT, 0, 0.07%, 0.0000425%), (nan, 0, -0.02%, 0.0000000%), (nan, 0, -0.02%, 0.0000000%)</t>
  </si>
  <si>
    <t>(AMZN, 0, 3.93%, 0.0002160%), (AVGO, 0, 3.76%, 0.0003026%), (META, 0, 2.87%, 0.0002331%), (BRK/B, 0, 2.12%, 0.0004284%), (TSLA, 0, 2.06%, 0.0002043%), (LIN, 0, 1.75%, 0.0010866%), (CSCO, 0, 1.75%, 0.0009072%), (JPM, 0, 1.69%, 0.0002720%), (XOM, 0, 1.51%, 0.0004247%), (AMT, 0, 1.47%, 0.0021989%), (V, 0, 1.39%, 0.0003278%), (LLY, 0, 1.19%, 0.0002255%), (ORCL, 0, 1.18%, 0.0001869%), (CB, 0, 1.13%, 0.0014435%), (MA, 0, 1.13%, 0.0002963%), (GE, 0, 1.13%, 0.0005022%), (WM, 0, 1.00%, 0.0015794%), (UNH, 0, 0.99%, 0.0004377%), (NFLX, 0, 0.87%, 0.0002348%), (PLTR, 0, 0.85%, 0.0002988%), (JNJ, 0, 0.84%, 0.0002704%), (NEE, 0, 0.84%, 0.0007849%), (WMT, 0, 0.82%, 0.0001360%), (CVX, 0, 0.80%, 0.0003362%), (PG, 0, 0.79%, 0.0002934%), (COST, 0, 0.77%, 0.0002498%), (CAT, 0, 0.76%, 0.0005044%), (ABBV, 0, 0.76%, 0.0002707%), (HD, 0, 0.76%, 0.0002462%), (RTX, 0, 0.75%, 0.0004858%), (ABT, 0, 0.73%, 0.0004298%), (MCD, 0, 0.72%, 0.0004539%), (BAC, 0, 0.66%, 0.0002394%), (BKNG, 0, 0.60%, 0.0004653%), (KO, 0, 0.60%, 0.0002881%), (PM, 0, 0.59%, 0.0003193%), (SO, 0, 0.58%, 0.0007917%), (AMD, 0, 0.58%, 0.0003060%), (GS, 0, 0.58%, 0.0003374%), (BA, 0, 0.58%, 0.0004814%), (IBM, 0, 0.58%, 0.0003280%), (NKE, 0, 0.56%, 0.0008903%), (UBER, 0, 0.56%, 0.0003779%), (CRM, 0, 0.56%, 0.0003330%), (DUK, 0, 0.54%, 0.0007903%), (WFC, 0, 0.53%, 0.0002761%), (ETN, 0, 0.52%, 0.0004968%), (MET, 0, 0.51%, 0.0013254%), (HON, 0, 0.49%, 0.0005013%), (ISRG, 0, 0.49%, 0.0004330%), (NOW, 0, 0.46%, 0.0003284%), (MS, 0, 0.45%, 0.0002504%), (T, 0, 0.45%, 0.0013748%), (PEP, 0, 0.45%, 0.0003208%), (INTU, 0, 0.44%, 0.0003332%), (AXP, 0, 0.43%, 0.0002603%), (DE, 0, 0.43%, 0.0004605%), (QCOM, 0, 0.41%, 0.0003151%), (MRK, 0, 0.41%, 0.0002740%), (SPGI, 0, 0.40%, 0.0003378%), (VZ, 0, 0.40%, 0.0002937%), (BLK, 0, 0.38%, 0.0003029%), (MDT, 0, 0.38%, 0.0004308%), (ADBE, 0, 0.38%, 0.0003485%), (C, 0, 0.37%, 0.0002729%), (COP, 0, 0.37%, 0.0004266%), (TMO, 0, 0.36%, 0.0002755%), (TXN, 0, 0.36%, 0.0003072%), (ACN, 0, 0.36%, 0.0003327%), (UNP, 0, 0.36%, 0.0003825%), (LMT, 0, 0.36%, 0.0004464%), (DIS, 0, 0.36%, 0.0002345%), (SCHW, 0, 0.32%, 0.0002654%), (AMAT, 0, 0.32%, 0.0003167%), (SBUX, 0, 0.31%, 0.0004507%), (MMM, 0, 0.31%, 0.0005017%), (CVS, 0, 0.29%, 0.0004271%), (AMGN, 0, 0.29%, 0.0002701%), (TJX, 0, 0.28%, 0.0002501%), (LOW, 0, 0.28%, 0.0002496%), (GILD, 0, 0.27%, 0.0002715%), (PFE, 0, 0.27%, 0.0002697%), (EMR, 0, 0.26%, 0.0004959%), (MO, 0, 0.26%, 0.0003228%), (DHR, 0, 0.24%, 0.0002462%), (INTC, 0, 0.24%, 0.0002837%), (ELV, 0, 0.23%, 0.0004495%), (CMCSA, 0, 0.21%, 0.0002446%), (MDLZ, 0, 0.20%, 0.0003313%), (BMY, 0, 0.19%, 0.0002696%), (UPS, 0, 0.17%, 0.0003719%), (PYPL, 0, 0.16%, 0.0003453%), (USB, 0, 0.15%, 0.0002663%), (CL, 0, 0.14%, 0.0002950%), (FDX, 0, 0.14%, 0.0003564%), (TGT, 0, 0.08%, 0.0002533%), (nan, 0, -0.02%, 0.0000000%), (nan, 0, -0.03%, 0.0000000%)</t>
  </si>
  <si>
    <t>(AMZN, 0, 3.93%, 0.0001610%), (AVGO, 0, 3.76%, 0.0002255%), (META, 0, 2.87%, 0.0001737%), (BRK/B, 0, 2.12%, 0.0003193%), (TSLA, 0, 2.06%, 0.0001522%), (LIN, 0, 1.75%, 0.0008097%), (CSCO, 0, 1.75%, 0.0006761%), (JPM, 0, 1.69%, 0.0002027%), (XOM, 0, 1.51%, 0.0003164%), (AMT, 0, 1.46%, 0.0016386%), (V, 0, 1.38%, 0.0002443%), (LLY, 0, 1.19%, 0.0001681%), (ORCL, 0, 1.18%, 0.0001393%), (CB, 0, 1.13%, 0.0010758%), (MA, 0, 1.13%, 0.0002208%), (GE, 0, 1.13%, 0.0003742%), (WM, 0, 1.00%, 0.0011771%), (UNH, 0, 0.99%, 0.0003262%), (NFLX, 0, 0.87%, 0.0001751%), (PLTR, 0, 0.84%, 0.0002227%), (JNJ, 0, 0.84%, 0.0002015%), (NEE, 0, 0.84%, 0.0005849%), (WMT, 0, 0.82%, 0.0001014%), (CVX, 0, 0.80%, 0.0002506%), (PG, 0, 0.79%, 0.0002186%), (COST, 0, 0.77%, 0.0001862%), (ABBV, 0, 0.76%, 0.0002017%), (CAT, 0, 0.76%, 0.0003759%), (HD, 0, 0.75%, 0.0001834%), (RTX, 0, 0.75%, 0.0003621%), (ABT, 0, 0.73%, 0.0003203%), (MCD, 0, 0.72%, 0.0003383%), (BAC, 0, 0.66%, 0.0001784%), (KO, 0, 0.60%, 0.0002147%), (BKNG, 0, 0.60%, 0.0003444%), (PM, 0, 0.59%, 0.0002379%), (SO, 0, 0.58%, 0.0005900%), (GS, 0, 0.58%, 0.0002514%), (AMD, 0, 0.58%, 0.0002281%), (BA, 0, 0.58%, 0.0003588%), (IBM, 0, 0.58%, 0.0002445%), (NKE, 0, 0.56%, 0.0006635%), (UBER, 0, 0.56%, 0.0002816%), (CRM, 0, 0.55%, 0.0002481%), (DUK, 0, 0.54%, 0.0005889%), (WFC, 0, 0.53%, 0.0002058%), (ETN, 0, 0.52%, 0.0003702%), (MET, 0, 0.51%, 0.0009878%), (HON, 0, 0.49%, 0.0003736%), (ISRG, 0, 0.49%, 0.0003227%), (NOW, 0, 0.46%, 0.0002447%), (MS, 0, 0.45%, 0.0001866%), (T, 0, 0.45%, 0.0010245%), (PEP, 0, 0.45%, 0.0002391%), (INTU, 0, 0.44%, 0.0002486%), (AXP, 0, 0.43%, 0.0001939%), (DE, 0, 0.43%, 0.0003433%), (QCOM, 0, 0.41%, 0.0002348%), (MRK, 0, 0.41%, 0.0002042%), (SPGI, 0, 0.40%, 0.0002517%), (VZ, 0, 0.40%, 0.0002188%), (BLK, 0, 0.38%, 0.0002260%), (MDT, 0, 0.38%, 0.0003210%), (ADBE, 0, 0.38%, 0.0002599%), (C, 0, 0.37%, 0.0002034%), (COP, 0, 0.37%, 0.0003179%), (TMO, 0, 0.36%, 0.0002052%), (TXN, 0, 0.36%, 0.0002289%), (ACN, 0, 0.36%, 0.0002479%), (UNP, 0, 0.36%, 0.0002851%), (LMT, 0, 0.36%, 0.0003323%), (DIS, 0, 0.36%, 0.0001748%), (SCHW, 0, 0.32%, 0.0001978%), (AMAT, 0, 0.32%, 0.0002360%), (SBUX, 0, 0.31%, 0.0003359%), (MMM, 0, 0.31%, 0.0003739%), (CVS, 0, 0.29%, 0.0003183%), (AMGN, 0, 0.29%, 0.0002014%), (TJX, 0, 0.28%, 0.0001864%), (LOW, 0, 0.28%, 0.0001860%), (GILD, 0, 0.27%, 0.0002023%), (PFE, 0, 0.27%, 0.0002010%), (EMR, 0, 0.26%, 0.0003696%), (MO, 0, 0.26%, 0.0002405%), (DHR, 0, 0.24%, 0.0001835%), (INTC, 0, 0.24%, 0.0002114%), (ELV, 0, 0.23%, 0.0003352%), (CMCSA, 0, 0.21%, 0.0001823%), (MDLZ, 0, 0.20%, 0.0002469%), (BMY, 0, 0.19%, 0.0002009%), (UPS, 0, 0.17%, 0.0002772%), (PYPL, 0, 0.16%, 0.0002573%), (USB, 0, 0.15%, 0.0001984%), (CL, 0, 0.14%, 0.0002198%), (FDX, 0, 0.14%, 0.0002657%), (TGT, 0, 0.08%, 0.0001888%), (nan, 0, -0.02%, 0.0000000%), (nan, 0, -0.03%, 0.0000000%)</t>
  </si>
  <si>
    <t>(AMZN, 0, 3.98%, 0.0000377%), (AVGO, 0, 3.81%, 0.0000529%), (META, 0, 2.91%, 0.0000407%), (BRK/B, 0, 2.15%, 0.0000749%), (TSLA, 0, 2.09%, 0.0000357%), (LIN, 0, 1.77%, 0.0001897%), (CSCO, 0, 1.77%, 0.0001585%), (JPM, 0, 1.71%, 0.0000475%), (XOM, 0, 1.53%, 0.0000742%), (AMT, 0, 1.48%, 0.0003841%), (V, 0, 1.40%, 0.0000573%), (LLY, 0, 1.20%, 0.0000393%), (ORCL, 0, 1.19%, 0.0000327%), (CB, 0, 1.15%, 0.0002521%), (MA, 0, 1.15%, 0.0000517%), (GE, 0, 1.14%, 0.0000877%), (WM, 0, 1.01%, 0.0002760%), (UNH, 0, 1.00%, 0.0000765%), (NFLX, 0, 0.89%, 0.0000411%), (PLTR, 0, 0.86%, 0.0000522%), (JNJ, 0, 0.85%, 0.0000472%), (NEE, 0, 0.85%, 0.0001371%), (WMT, 0, 0.83%, 0.0000238%), (CVX, 0, 0.81%, 0.0000588%), (PG, 0, 0.80%, 0.0000512%), (COST, 0, 0.78%, 0.0000435%), (CAT, 0, 0.77%, 0.0000882%), (ABBV, 0, 0.77%, 0.0000473%), (HD, 0, 0.76%, 0.0000430%), (RTX, 0, 0.76%, 0.0000849%), (ABT, 0, 0.74%, 0.0000751%), (MCD, 0, 0.73%, 0.0000793%), (BAC, 0, 0.66%, 0.0000418%), (KO, 0, 0.61%, 0.0000503%), (BKNG, 0, 0.60%, 0.0000807%), (PM, 0, 0.60%, 0.0000558%), (GS, 0, 0.59%, 0.0000590%), (SO, 0, 0.59%, 0.0001383%), (AMD, 0, 0.59%, 0.0000534%), (IBM, 0, 0.58%, 0.0000573%), (BA, 0, 0.58%, 0.0000841%), (NKE, 0, 0.57%, 0.0001556%), (UBER, 0, 0.57%, 0.0000660%), (CRM, 0, 0.56%, 0.0000582%), (DUK, 0, 0.55%, 0.0001381%), (WFC, 0, 0.53%, 0.0000482%), (ETN, 0, 0.53%, 0.0000868%), (MET, 0, 0.51%, 0.0002316%), (HON, 0, 0.50%, 0.0000876%), (ISRG, 0, 0.49%, 0.0000756%), (NOW, 0, 0.47%, 0.0000572%), (MS, 0, 0.46%, 0.0000437%), (T, 0, 0.46%, 0.0002402%), (PEP, 0, 0.46%, 0.0000560%), (INTU, 0, 0.45%, 0.0000581%), (AXP, 0, 0.43%, 0.0000454%), (DE, 0, 0.43%, 0.0000806%), (SPGI, 0, 0.41%, 0.0000591%), (QCOM, 0, 0.41%, 0.0000551%), (MRK, 0, 0.41%, 0.0000479%), (VZ, 0, 0.40%, 0.0000513%), (BLK, 0, 0.39%, 0.0000530%), (MDT, 0, 0.38%, 0.0000752%), (ADBE, 0, 0.38%, 0.0000609%), (C, 0, 0.37%, 0.0000477%), (COP, 0, 0.37%, 0.0000745%), (TXN, 0, 0.37%, 0.0000537%), (TMO, 0, 0.37%, 0.0000482%), (ACN, 0, 0.36%, 0.0000581%), (UNP, 0, 0.36%, 0.0000668%), (LMT, 0, 0.36%, 0.0000778%), (DIS, 0, 0.36%, 0.0000410%), (SCHW, 0, 0.33%, 0.0000464%), (AMAT, 0, 0.32%, 0.0000554%), (SBUX, 0, 0.32%, 0.0000787%), (MMM, 0, 0.31%, 0.0000877%), (CVS, 0, 0.30%, 0.0000746%), (AMGN, 0, 0.29%, 0.0000472%), (TJX, 0, 0.29%, 0.0000437%), (LOW, 0, 0.28%, 0.0000437%), (GILD, 0, 0.28%, 0.0000474%), (PFE, 0, 0.27%, 0.0000471%), (EMR, 0, 0.27%, 0.0000867%), (MO, 0, 0.26%, 0.0000564%), (DHR, 0, 0.24%, 0.0000430%), (INTC, 0, 0.24%, 0.0000496%), (ELV, 0, 0.23%, 0.0000787%), (CMCSA, 0, 0.21%, 0.0000427%), (MDLZ, 0, 0.20%, 0.0000579%), (BMY, 0, 0.19%, 0.0000471%), (UPS, 0, 0.17%, 0.0000649%), (PYPL, 0, 0.16%, 0.0000603%), (USB, 0, 0.15%, 0.0000465%), (CL, 0, 0.14%, 0.0000515%), (FDX, 0, 0.14%, 0.0000623%), (TGT, 0, 0.08%, 0.0000442%), (nan, 0, -0.02%, 0.0000000%), (nan, 0, -0.03%, 0.0000000%)</t>
  </si>
  <si>
    <t>(AMZN, 0, 3.79%, 0.0000665%), (AVGO, 0, 3.62%, 0.0000931%), (META, 0, 2.77%, 0.0000717%), (BRK/B, 0, 2.04%, 0.0001318%), (TSLA, 0, 1.99%, 0.0000628%), (LIN, 0, 1.69%, 0.0003343%), (CSCO, 0, 1.69%, 0.0002791%), (JPM, 0, 1.63%, 0.0000837%), (XOM, 0, 1.46%, 0.0001307%), (AMT, 0, 1.41%, 0.0006765%), (V, 0, 1.33%, 0.0001008%), (LLY, 0, 1.15%, 0.0000694%), (ORCL, 0, 1.14%, 0.0000575%), (CB, 0, 1.09%, 0.0004442%), (MA, 0, 1.09%, 0.0000912%), (GE, 0, 1.08%, 0.0001545%), (WM, 0, 0.96%, 0.0004860%), (UNH, 0, 0.95%, 0.0001347%), (NFLX, 0, 0.84%, 0.0000722%), (PLTR, 0, 0.81%, 0.0000919%), (JNJ, 0, 0.81%, 0.0000832%), (NEE, 0, 0.80%, 0.0002415%), (WMT, 0, 0.79%, 0.0000419%), (CVX, 0, 0.77%, 0.0001034%), (PG, 0, 0.76%, 0.0000903%), (COST, 0, 0.74%, 0.0000769%), (ABBV, 0, 0.73%, 0.0000833%), (CAT, 0, 0.73%, 0.0001552%), (RTX, 0, 0.73%, 0.0001495%), (HD, 0, 0.73%, 0.0000757%), (ABT, 0, 0.70%, 0.0001322%), (MCD, 0, 0.69%, 0.0001397%), (BAC, 0, 0.63%, 0.0000737%), (KO, 0, 0.58%, 0.0000886%), (BKNG, 0, 0.58%, 0.0001427%), (PM, 0, 0.57%, 0.0000982%), (SO, 0, 0.56%, 0.0002436%), (AMD, 0, 0.56%, 0.0000942%), (GS, 0, 0.56%, 0.0001037%), (BA, 0, 0.55%, 0.0001481%), (IBM, 0, 0.55%, 0.0001009%), (NKE, 0, 0.54%, 0.0002739%), (UBER, 0, 0.54%, 0.0001163%), (CRM, 0, 0.53%, 0.0001024%), (DUK, 0, 0.52%, 0.0002431%), (WFC, 0, 0.51%, 0.0000849%), (ETN, 0, 0.50%, 0.0001528%), (MET, 0, 0.49%, 0.0004078%), (HON, 0, 0.47%, 0.0001542%), (ISRG, 0, 0.47%, 0.0001331%), (NOW, 0, 0.45%, 0.0001010%), (MS, 0, 0.44%, 0.0000771%), (T, 0, 0.44%, 0.0004230%), (PEP, 0, 0.43%, 0.0000987%), (INTU, 0, 0.42%, 0.0001026%), (AXP, 0, 0.41%, 0.0000801%), (DE, 0, 0.41%, 0.0001417%), (QCOM, 0, 0.39%, 0.0000969%), (MRK, 0, 0.39%, 0.0000843%), (SPGI, 0, 0.39%, 0.0001040%), (VZ, 0, 0.38%, 0.0000904%), (BLK, 0, 0.37%, 0.0000930%), (MDT, 0, 0.37%, 0.0001325%), (ADBE, 0, 0.36%, 0.0001073%), (C, 0, 0.36%, 0.0000840%), (COP, 0, 0.35%, 0.0001312%), (TXN, 0, 0.35%, 0.0000945%), (TMO, 0, 0.35%, 0.0000846%), (ACN, 0, 0.35%, 0.0001023%), (UNP, 0, 0.35%, 0.0001177%), (LMT, 0, 0.34%, 0.0001374%), (DIS, 0, 0.34%, 0.0000722%), (SCHW, 0, 0.31%, 0.0000816%), (AMAT, 0, 0.31%, 0.0000974%), (SBUX, 0, 0.30%, 0.0001386%), (MMM, 0, 0.29%, 0.0001544%), (CVS, 0, 0.28%, 0.0001314%), (AMGN, 0, 0.28%, 0.0000832%), (TJX, 0, 0.27%, 0.0000769%), (LOW, 0, 0.27%, 0.0000769%), (GILD, 0, 0.26%, 0.0000836%), (PFE, 0, 0.26%, 0.0000830%), (EMR, 0, 0.25%, 0.0001526%), (MO, 0, 0.25%, 0.0000993%), (DHR, 0, 0.23%, 0.0000757%), (INTC, 0, 0.23%, 0.0000873%), (ELV, 0, 0.22%, 0.0001381%), (CMCSA, 0, 0.20%, 0.0000753%), (MDLZ, 0, 0.19%, 0.0001019%), (BMY, 0, 0.18%, 0.0000830%), (UPS, 0, 0.16%, 0.0001144%), (PYPL, 0, 0.15%, 0.0001062%), (USB, 0, 0.14%, 0.0000819%), (CL, 0, 0.14%, 0.0000908%), (FDX, 0, 0.13%, 0.0001098%), (TGT, 0, 0.07%, 0.0000779%), (nan, 0, -0.02%, 0.0000000%), (nan, 0, -0.02%, 0.0000000%)</t>
  </si>
  <si>
    <t>(AMZN, 0, 3.86%, 0.0000240%), (AVGO, 0, 3.69%, 0.0000336%), (META, 0, 2.83%, 0.0000259%), (BRK/B, 0, 2.09%, 0.0000476%), (TSLA, 0, 2.02%, 0.0000227%), (LIN, 0, 1.72%, 0.0001208%), (CSCO, 0, 1.72%, 0.0001008%), (JPM, 0, 1.66%, 0.0000302%), (XOM, 0, 1.49%, 0.0000472%), (AMT, 0, 1.44%, 0.0002444%), (V, 0, 1.36%, 0.0000364%), (ORCL, 0, 1.17%, 0.0000208%), (LLY, 0, 1.16%, 0.0000251%), (CB, 0, 1.11%, 0.0001603%), (GE, 0, 1.11%, 0.0000558%), (MA, 0, 1.11%, 0.0000329%), (WM, 0, 0.98%, 0.0001755%), (UNH, 0, 0.97%, 0.0000487%), (NFLX, 0, 0.86%, 0.0000262%), (PLTR, 0, 0.83%, 0.0000332%), (JNJ, 0, 0.83%, 0.0000301%), (NEE, 0, 0.82%, 0.0000872%), (WMT, 0, 0.81%, 0.0000151%), (CVX, 0, 0.79%, 0.0000374%), (PG, 0, 0.78%, 0.0000326%), (COST, 0, 0.76%, 0.0000278%), (ABBV, 0, 0.74%, 0.0000301%), (CAT, 0, 0.74%, 0.0000561%), (RTX, 0, 0.74%, 0.0000540%), (HD, 0, 0.74%, 0.0000273%), (ABT, 0, 0.71%, 0.0000477%), (MCD, 0, 0.71%, 0.0000504%), (BAC, 0, 0.65%, 0.0000266%), (BKNG, 0, 0.60%, 0.0000527%), (KO, 0, 0.59%, 0.0000320%), (PM, 0, 0.58%, 0.0000355%), (SO, 0, 0.57%, 0.0000880%), (AMD, 0, 0.57%, 0.0000340%), (GS, 0, 0.57%, 0.0000373%), (BA, 0, 0.57%, 0.0000535%), (IBM, 0, 0.57%, 0.0000365%), (NKE, 0, 0.55%, 0.0000990%), (UBER, 0, 0.55%, 0.0000420%), (CRM, 0, 0.55%, 0.0000370%), (DUK, 0, 0.53%, 0.0000878%), (ETN, 0, 0.52%, 0.0000552%), (WFC, 0, 0.52%, 0.0000307%), (MET, 0, 0.50%, 0.0001472%), (HON, 0, 0.48%, 0.0000558%), (ISRG, 0, 0.48%, 0.0000482%), (NOW, 0, 0.46%, 0.0000365%), (MS, 0, 0.45%, 0.0000278%), (T, 0, 0.45%, 0.0001528%), (PEP, 0, 0.44%, 0.0000356%), (INTU, 0, 0.43%, 0.0000369%), (AXP, 0, 0.42%, 0.0000289%), (DE, 0, 0.42%, 0.0000510%), (QCOM, 0, 0.40%, 0.0000350%), (SPGI, 0, 0.40%, 0.0000376%), (MRK, 0, 0.40%, 0.0000305%), (VZ, 0, 0.39%, 0.0000326%), (BLK, 0, 0.38%, 0.0000336%), (MDT, 0, 0.37%, 0.0000479%), (ADBE, 0, 0.37%, 0.0000387%), (C, 0, 0.36%, 0.0000303%), (COP, 0, 0.36%, 0.0000474%), (TMO, 0, 0.36%, 0.0000306%), (TXN, 0, 0.36%, 0.0000341%), (LMT, 0, 0.35%, 0.0000497%), (ACN, 0, 0.35%, 0.0000369%), (UNP, 0, 0.35%, 0.0000425%), (DIS, 0, 0.35%, 0.0000261%), (SCHW, 0, 0.32%, 0.0000295%), (AMAT, 0, 0.31%, 0.0000351%), (SBUX, 0, 0.31%, 0.0000501%), (MMM, 0, 0.30%, 0.0000557%), (AMGN, 0, 0.29%, 0.0000301%), (CVS, 0, 0.29%, 0.0000474%), (TJX, 0, 0.28%, 0.0000278%), (LOW, 0, 0.27%, 0.0000278%), (GILD, 0, 0.27%, 0.0000302%), (PFE, 0, 0.26%, 0.0000300%), (EMR, 0, 0.26%, 0.0000551%), (MO, 0, 0.25%, 0.0000359%), (DHR, 0, 0.24%, 0.0000273%), (INTC, 0, 0.24%, 0.0000315%), (ELV, 0, 0.22%, 0.0000499%), (CMCSA, 0, 0.21%, 0.0000272%), (MDLZ, 0, 0.19%, 0.0000368%), (BMY, 0, 0.18%, 0.0000300%), (UPS, 0, 0.17%, 0.0000413%), (PYPL, 0, 0.16%, 0.0000384%), (USB, 0, 0.14%, 0.0000296%), (CL, 0, 0.14%, 0.0000328%), (FDX, 0, 0.14%, 0.0000394%), (TGT, 0, 0.07%, 0.0000282%), (nan, 0, -0.02%, 0.0000000%), (nan, 0, -0.02%, 0.0000000%)</t>
  </si>
  <si>
    <t>(AMZN, 0, 4.08%, 0.0000572%), (AVGO, 0, 3.91%, 0.0000802%), (META, 0, 2.98%, 0.0000618%), (BRK/B, 0, 2.21%, 0.0001135%), (TSLA, 0, 2.14%, 0.0000542%), (LIN, 0, 1.82%, 0.0002880%), (CSCO, 0, 1.82%, 0.0002404%), (JPM, 0, 1.76%, 0.0000721%), (XOM, 0, 1.57%, 0.0001125%), (AMT, 0, 1.52%, 0.0005827%), (V, 0, 1.44%, 0.0000869%), (LLY, 0, 1.24%, 0.0000598%), (ORCL, 0, 1.23%, 0.0000495%), (CB, 0, 1.18%, 0.0003827%), (MA, 0, 1.18%, 0.0000785%), (GE, 0, 1.17%, 0.0001331%), (WM, 0, 1.04%, 0.0004187%), (UNH, 0, 1.03%, 0.0001160%), (NFLX, 0, 0.90%, 0.0000623%), (PLTR, 0, 0.88%, 0.0000792%), (JNJ, 0, 0.87%, 0.0000717%), (NEE, 0, 0.87%, 0.0002080%), (WMT, 0, 0.85%, 0.0000360%), (CVX, 0, 0.83%, 0.0000891%), (PG, 0, 0.82%, 0.0000778%), (COST, 0, 0.80%, 0.0000661%), (ABBV, 0, 0.79%, 0.0000717%), (CAT, 0, 0.79%, 0.0001336%), (HD, 0, 0.78%, 0.0000653%), (RTX, 0, 0.78%, 0.0001288%), (ABT, 0, 0.75%, 0.0001139%), (MCD, 0, 0.75%, 0.0001202%), (BAC, 0, 0.68%, 0.0000635%), (BKNG, 0, 0.63%, 0.0001241%), (KO, 0, 0.62%, 0.0000764%), (PM, 0, 0.62%, 0.0000846%), (SO, 0, 0.61%, 0.0002098%), (AMD, 0, 0.60%, 0.0000811%), (GS, 0, 0.60%, 0.0000894%), (IBM, 0, 0.60%, 0.0000870%), (BA, 0, 0.60%, 0.0001276%), (NKE, 0, 0.58%, 0.0002359%), (UBER, 0, 0.58%, 0.0001002%), (CRM, 0, 0.58%, 0.0000882%), (DUK, 0, 0.56%, 0.0002094%), (WFC, 0, 0.55%, 0.0000732%), (ETN, 0, 0.55%, 0.0001318%), (MET, 0, 0.53%, 0.0003513%), (HON, 0, 0.51%, 0.0001328%), (ISRG, 0, 0.51%, 0.0001148%), (NOW, 0, 0.48%, 0.0000870%), (MS, 0, 0.47%, 0.0000663%), (T, 0, 0.47%, 0.0003644%), (PEP, 0, 0.47%, 0.0000850%), (INTU, 0, 0.46%, 0.0000882%), (AXP, 0, 0.45%, 0.0000690%), (DE, 0, 0.44%, 0.0001221%), (QCOM, 0, 0.42%, 0.0000835%), (MRK, 0, 0.42%, 0.0000726%), (SPGI, 0, 0.42%, 0.0000895%), (VZ, 0, 0.41%, 0.0000778%), (BLK, 0, 0.40%, 0.0000801%), (MDT, 0, 0.40%, 0.0001142%), (ADBE, 0, 0.39%, 0.0000925%), (C, 0, 0.38%, 0.0000724%), (COP, 0, 0.38%, 0.0001131%), (TXN, 0, 0.38%, 0.0000814%), (TMO, 0, 0.38%, 0.0000729%), (ACN, 0, 0.37%, 0.0000881%), (LMT, 0, 0.37%, 0.0001184%), (UNP, 0, 0.37%, 0.0001013%), (DIS, 0, 0.37%, 0.0000622%), (SCHW, 0, 0.33%, 0.0000703%), (AMAT, 0, 0.33%, 0.0000840%), (SBUX, 0, 0.33%, 0.0001195%), (MMM, 0, 0.32%, 0.0001329%), (CVS, 0, 0.30%, 0.0001132%), (AMGN, 0, 0.30%, 0.0000715%), (TJX, 0, 0.30%, 0.0000663%), (LOW, 0, 0.29%, 0.0000662%), (GILD, 0, 0.28%, 0.0000720%), (PFE, 0, 0.28%, 0.0000715%), (EMR, 0, 0.27%, 0.0001315%), (MO, 0, 0.27%, 0.0000855%), (DHR, 0, 0.25%, 0.0000653%), (INTC, 0, 0.25%, 0.0000752%), (ELV, 0, 0.23%, 0.0001192%), (CMCSA, 0, 0.22%, 0.0000648%), (MDLZ, 0, 0.20%, 0.0000878%), (BMY, 0, 0.19%, 0.0000714%), (UPS, 0, 0.18%, 0.0000985%), (PYPL, 0, 0.16%, 0.0000915%), (USB, 0, 0.15%, 0.0000706%), (CL, 0, 0.15%, 0.0000782%), (FDX, 0, 0.14%, 0.0000945%), (TGT, 0, 0.08%, 0.0000671%), (nan, 0, -0.02%, 0.0000000%), (nan, 0, -0.03%, 0.0000000%)</t>
  </si>
  <si>
    <t>GOOGLE, EBAY, META, BK, MLI, JPM, MSFT, EA, PHM, RJF, BLK</t>
  </si>
  <si>
    <t>(EWBC, 0, 1.93%, 0.0071295%), (AXP, 0, 1.93%, 0.0004654%), (BKNG, 0, 1.92%, 0.0005925%), (KLAC, 0, 1.83%, 0.0007656%), (HIG, 0, 1.82%, 0.0027317%), (TRV, 0, 1.81%, 0.0016215%), (V, 0, 1.78%, 0.0001673%), (UNM, 0, 1.75%, 0.0075085%), (SNA, 0, 1.74%, 0.0054492%), (AMAT, 0, 1.74%, 0.0006836%), (NVDA, 0, 1.71%, 0.0000219%), (ROST, 0, 1.71%, 0.0019473%), (PCAR, 0, 1.70%, 0.0017115%), (LEN, 0, 1.65%, 0.0029982%), (SYF, 0, 1.63%, 0.0032959%), (ADP, 0, 1.61%, 0.0007509%), (CB, 0, 1.61%, 0.0008149%), (BKR, 0, 1.47%, 0.0017134%), (CTSH, 0, 1.46%, 0.0023802%), (WSM, 0, 1.45%, 0.0032999%), (CRM, 0, 1.43%, 0.0003420%), (DHI, 0, 1.41%, 0.0015142%), (QCOM, 0, 1.39%, 0.0004250%), (PAYC, 0, 1.37%, 0.0060093%), (LRCX, 0, 1.30%, 0.0004662%), (AAPL, 0, 1.30%, 0.0000200%), (AFL, 0, 1.24%, 0.0011742%), (ELV, 0, 1.24%, 0.0009796%), (ACN, 0, 1.18%, 0.0004349%), (MPWR, 0, 1.15%, 0.0015159%), (GE, 0, 1.11%, 0.0001945%), (ODFL, 0, 1.05%, 0.0018533%), (CSCO, 0, 1.05%, 0.0002151%), (STT, 0, 0.96%, 0.0016877%), (PNC, 0, 0.93%, 0.0006412%), (MTB, 0, 0.90%, 0.0016325%), (CF, 0, 0.84%, 0.0033265%), (XOM, 0, 0.83%, 0.0000926%), (ABT, 0, 0.83%, 0.0001952%), (COST, 0, 0.83%, 0.0001065%), (AMP, 0, 0.82%, 0.0009881%), (EOG, 0, 0.79%, 0.0006504%), (EG, 0, 0.73%, 0.0028429%), (CSL, 0, 0.66%, 0.0025296%), (GEV, 0, 0.55%, 0.0001773%), (NTRS, 0, 0.52%, 0.0011570%), (MA, 0, 0.49%, 0.0000512%), (ACM, 0, 0.49%, 0.0015629%), (JNJ, 0, 0.48%, 0.0000608%), (MTG, 0, 0.44%, 0.0038428%), (LNC, 0, 0.43%, 0.0031505%), (CRBG, 0, 0.43%, 0.0013956%), (WTFC, 0, 0.43%, 0.0026332%), (CINF, 0, 0.43%, 0.0009755%), (JXN, 0, 0.43%, 0.0035462%), (ADM, 0, 0.42%, 0.0007584%), (EQH, 0, 0.41%, 0.0014162%), (DOV, 0, 0.41%, 0.0009325%), (MCK, 0, 0.40%, 0.0002541%), (ALL, 0, 0.39%, 0.0004114%), (NUE, 0, 0.38%, 0.0006374%), (SLM, 0, 0.36%, 0.0034604%), (PGR, 0, 0.36%, 0.0001361%), (NKE, 0, 0.36%, 0.0002242%), (FANG, 0, 0.29%, 0.0003935%)</t>
  </si>
  <si>
    <t>(AMZN, 0, 3.75%, 0.0000611%), (AVGO, 0, 3.58%, 0.0000856%), (META, 0, 2.74%, 0.0000659%), (BRK/B, 0, 2.02%, 0.0001212%), (TSLA, 0, 1.97%, 0.0000578%), (LIN, 0, 1.67%, 0.0003073%), (CSCO, 0, 1.67%, 0.0002566%), (JPM, 0, 1.61%, 0.0000770%), (XOM, 0, 1.44%, 0.0001201%), (AMT, 0, 1.40%, 0.0006220%), (V, 0, 1.32%, 0.0000927%), (LLY, 0, 1.14%, 0.0000638%), (ORCL, 0, 1.13%, 0.0000529%), (CB, 0, 1.08%, 0.0004083%), (MA, 0, 1.08%, 0.0000838%), (GE, 0, 1.08%, 0.0001420%), (WM, 0, 0.95%, 0.0004468%), (UNH, 0, 0.94%, 0.0001239%), (NFLX, 0, 0.83%, 0.0000666%), (PLTR, 0, 0.81%, 0.0000845%), (JNJ, 0, 0.80%, 0.0000765%), (NEE, 0, 0.80%, 0.0002220%), (WMT, 0, 0.78%, 0.0000385%), (CVX, 0, 0.76%, 0.0000951%), (PG, 0, 0.76%, 0.0000830%), (COST, 0, 0.74%, 0.0000706%), (CAT, 0, 0.72%, 0.0001426%), (ABBV, 0, 0.72%, 0.0000766%), (HD, 0, 0.72%, 0.0000696%), (RTX, 0, 0.72%, 0.0001375%), (ABT, 0, 0.69%, 0.0001216%), (MCD, 0, 0.69%, 0.0001284%), (BAC, 0, 0.63%, 0.0000677%), (KO, 0, 0.57%, 0.0000815%), (BKNG, 0, 0.57%, 0.0001303%), (PM, 0, 0.57%, 0.0000903%), (SO, 0, 0.56%, 0.0002240%), (AMD, 0, 0.55%, 0.0000866%), (GS, 0, 0.55%, 0.0000954%), (BA, 0, 0.55%, 0.0001362%), (IBM, 0, 0.55%, 0.0000928%), (NKE, 0, 0.54%, 0.0002518%), (UBER, 0, 0.54%, 0.0001069%), (CRM, 0, 0.53%, 0.0000942%), (DUK, 0, 0.51%, 0.0002235%), (WFC, 0, 0.50%, 0.0000781%), (ETN, 0, 0.50%, 0.0001405%), (MET, 0, 0.48%, 0.0003749%), (HON, 0, 0.47%, 0.0001418%), (ISRG, 0, 0.47%, 0.0001224%), (NOW, 0, 0.44%, 0.0000928%), (MS, 0, 0.43%, 0.0000708%), (T, 0, 0.43%, 0.0003889%), (PEP, 0, 0.43%, 0.0000908%), (INTU, 0, 0.42%, 0.0000943%), (AXP, 0, 0.41%, 0.0000736%), (DE, 0, 0.41%, 0.0001302%), (QCOM, 0, 0.39%, 0.0000892%), (MRK, 0, 0.39%, 0.0000775%), (SPGI, 0, 0.39%, 0.0000954%), (VZ, 0, 0.38%, 0.0000831%), (BLK, 0, 0.37%, 0.0000859%), (MDT, 0, 0.36%, 0.0001219%), (ADBE, 0, 0.36%, 0.0000987%), (C, 0, 0.35%, 0.0000772%), (COP, 0, 0.35%, 0.0001207%), (TMO, 0, 0.35%, 0.0000780%), (TXN, 0, 0.35%, 0.0000869%), (ACN, 0, 0.34%, 0.0000941%), (UNP, 0, 0.34%, 0.0001082%), (LMT, 0, 0.34%, 0.0001262%), (DIS, 0, 0.34%, 0.0000664%), (SCHW, 0, 0.31%, 0.0000751%), (AMAT, 0, 0.30%, 0.0000896%), (SBUX, 0, 0.30%, 0.0001275%), (MMM, 0, 0.29%, 0.0001419%), (CVS, 0, 0.28%, 0.0001208%), (AMGN, 0, 0.28%, 0.0000763%), (TJX, 0, 0.27%, 0.0000707%), (LOW, 0, 0.26%, 0.0000706%), (GILD, 0, 0.26%, 0.0000768%), (PFE, 0, 0.26%, 0.0000763%), (EMR, 0, 0.25%, 0.0001402%), (MO, 0, 0.25%, 0.0000913%), (DHR, 0, 0.23%, 0.0000697%), (INTC, 0, 0.23%, 0.0000803%), (ELV, 0, 0.22%, 0.0001273%), (CMCSA, 0, 0.20%, 0.0000692%), (MDLZ, 0, 0.19%, 0.0000937%), (BMY, 0, 0.18%, 0.0000762%), (UPS, 0, 0.16%, 0.0001052%), (PYPL, 0, 0.15%, 0.0000977%), (USB, 0, 0.14%, 0.0000753%), (CL, 0, 0.14%, 0.0000835%), (FDX, 0, 0.13%, 0.0001009%), (TGT, 0, 0.07%, 0.0000717%), (nan, 0, -0.02%, 0.0000000%), (nan, 0, -0.02%, 0.0000000%)</t>
  </si>
  <si>
    <t>(AMZN, 0, 3.92%, 0.0001249%), (AVGO, 0, 3.75%, 0.0001750%), (META, 0, 2.87%, 0.0001348%), (BRK/B, 0, 2.12%, 0.0002478%), (TSLA, 0, 2.06%, 0.0001181%), (LIN, 0, 1.75%, 0.0006283%), (CSCO, 0, 1.75%, 0.0005247%), (JPM, 0, 1.68%, 0.0001573%), (XOM, 0, 1.51%, 0.0002456%), (AMT, 0, 1.46%, 0.0012716%), (V, 0, 1.38%, 0.0001896%), (LLY, 0, 1.18%, 0.0001304%), (ORCL, 0, 1.18%, 0.0001081%), (MA, 0, 1.13%, 0.0001714%), (CB, 0, 1.13%, 0.0008347%), (GE, 0, 1.12%, 0.0002904%), (WM, 0, 0.99%, 0.0009135%), (UNH, 0, 0.98%, 0.0002531%), (NFLX, 0, 0.87%, 0.0001359%), (PLTR, 0, 0.84%, 0.0001728%), (JNJ, 0, 0.84%, 0.0001564%), (NEE, 0, 0.83%, 0.0004539%), (WMT, 0, 0.82%, 0.0000787%), (CVX, 0, 0.80%, 0.0001944%), (PG, 0, 0.79%, 0.0001696%), (COST, 0, 0.77%, 0.0001444%), (CAT, 0, 0.76%, 0.0002918%), (ABBV, 0, 0.75%, 0.0001565%), (HD, 0, 0.75%, 0.0001424%), (RTX, 0, 0.75%, 0.0002810%), (ABT, 0, 0.72%, 0.0002486%), (MCD, 0, 0.72%, 0.0002625%), (BAC, 0, 0.65%, 0.0001385%), (BKNG, 0, 0.60%, 0.0002699%), (KO, 0, 0.60%, 0.0001666%), (PM, 0, 0.59%, 0.0001847%), (SO, 0, 0.58%, 0.0004578%), (GS, 0, 0.58%, 0.0001950%), (AMD, 0, 0.58%, 0.0001770%), (IBM, 0, 0.57%, 0.0001897%), (BA, 0, 0.57%, 0.0002784%), (NKE, 0, 0.56%, 0.0005148%), (UBER, 0, 0.56%, 0.0002185%), (CRM, 0, 0.55%, 0.0001925%), (DUK, 0, 0.54%, 0.0004570%), (WFC, 0, 0.52%, 0.0001597%), (ETN, 0, 0.52%, 0.0002874%), (MET, 0, 0.51%, 0.0007664%), (HON, 0, 0.49%, 0.0002900%), (ISRG, 0, 0.49%, 0.0002505%), (NOW, 0, 0.46%, 0.0001899%), (MS, 0, 0.45%, 0.0001448%), (T, 0, 0.45%, 0.0007951%), (PEP, 0, 0.45%, 0.0001855%), (INTU, 0, 0.44%, 0.0001926%), (AXP, 0, 0.43%, 0.0001505%), (DE, 0, 0.43%, 0.0002663%), (QCOM, 0, 0.41%, 0.0001822%), (MRK, 0, 0.40%, 0.0001585%), (SPGI, 0, 0.40%, 0.0001955%), (VZ, 0, 0.40%, 0.0001698%), (BLK, 0, 0.38%, 0.0001750%), (MDT, 0, 0.38%, 0.0002492%), (ADBE, 0, 0.37%, 0.0002016%), (C, 0, 0.37%, 0.0001579%), (COP, 0, 0.37%, 0.0002467%), (TMO, 0, 0.36%, 0.0001594%), (TXN, 0, 0.36%, 0.0001776%), (ACN, 0, 0.36%, 0.0001923%), (UNP, 0, 0.36%, 0.0002212%), (LMT, 0, 0.36%, 0.0002580%), (DIS, 0, 0.35%, 0.0001357%), (SCHW, 0, 0.32%, 0.0001535%), (AMAT, 0, 0.32%, 0.0001831%), (SBUX, 0, 0.31%, 0.0002607%), (MMM, 0, 0.30%, 0.0002901%), (CVS, 0, 0.29%, 0.0002470%), (AMGN, 0, 0.29%, 0.0001562%), (TJX, 0, 0.28%, 0.0001446%), (LOW, 0, 0.28%, 0.0001443%), (GILD, 0, 0.27%, 0.0001570%), (PFE, 0, 0.27%, 0.0001560%), (EMR, 0, 0.26%, 0.0002868%), (MO, 0, 0.26%, 0.0001866%), (DHR, 0, 0.24%, 0.0001424%), (INTC, 0, 0.24%, 0.0001641%), (ELV, 0, 0.23%, 0.0002601%), (CMCSA, 0, 0.21%, 0.0001415%), (MDLZ, 0, 0.20%, 0.0001916%), (BMY, 0, 0.19%, 0.0001559%), (UPS, 0, 0.17%, 0.0002151%), (PYPL, 0, 0.16%, 0.0001996%), (USB, 0, 0.15%, 0.0001540%), (CL, 0, 0.14%, 0.0001706%), (FDX, 0, 0.14%, 0.0002060%), (TGT, 0, 0.08%, 0.0001466%), (nan, 0, -0.02%, 0.0000000%), (nan, 0, -0.03%, 0.0000000%)</t>
  </si>
  <si>
    <t>(AMZN, 0, 3.69%, 0.0002495%), (AVGO, 0, 3.54%, 0.0003496%), (META, 0, 2.70%, 0.0002693%), (BRK/B, 0, 2.00%, 0.0004949%), (TSLA, 0, 1.94%, 0.0002359%), (LIN, 0, 1.65%, 0.0012552%), (CSCO, 0, 1.65%, 0.0010479%), (JPM, 0, 1.59%, 0.0003142%), (XOM, 0, 1.42%, 0.0004905%), (AMT, 0, 1.38%, 0.0025400%), (V, 0, 1.30%, 0.0003786%), (LLY, 0, 1.12%, 0.0002605%), (ORCL, 0, 1.11%, 0.0002159%), (CB, 0, 1.07%, 0.0016674%), (MA, 0, 1.06%, 0.0003423%), (GE, 0, 1.06%, 0.0005801%), (WM, 0, 0.94%, 0.0018244%), (UNH, 0, 0.93%, 0.0005056%), (NFLX, 0, 0.82%, 0.0002714%), (PLTR, 0, 0.79%, 0.0003452%), (JNJ, 0, 0.79%, 0.0003123%), (NEE, 0, 0.79%, 0.0009067%), (WMT, 0, 0.77%, 0.0001571%), (CVX, 0, 0.75%, 0.0003884%), (PG, 0, 0.75%, 0.0003388%), (COST, 0, 0.73%, 0.0002886%), (CAT, 0, 0.71%, 0.0005825%), (ABBV, 0, 0.71%, 0.0003126%), (HD, 0, 0.71%, 0.0002844%), (RTX, 0, 0.71%, 0.0005612%), (ABT, 0, 0.68%, 0.0004964%), (MCD, 0, 0.68%, 0.0005242%), (BAC, 0, 0.62%, 0.0002766%), (KO, 0, 0.57%, 0.0003328%), (BKNG, 0, 0.57%, 0.0005367%), (PM, 0, 0.56%, 0.0003688%), (SO, 0, 0.55%, 0.0009145%), (AMD, 0, 0.55%, 0.0003535%), (GS, 0, 0.55%, 0.0003894%), (BA, 0, 0.54%, 0.0005560%), (IBM, 0, 0.54%, 0.0003788%), (NKE, 0, 0.53%, 0.0010284%), (UBER, 0, 0.53%, 0.0004365%), (CRM, 0, 0.52%, 0.0003846%), (DUK, 0, 0.51%, 0.0009128%), (WFC, 0, 0.49%, 0.0003189%), (ETN, 0, 0.49%, 0.0005739%), (MET, 0, 0.48%, 0.0015309%), (HON, 0, 0.46%, 0.0005790%), (ISRG, 0, 0.46%, 0.0005001%), (NOW, 0, 0.44%, 0.0003793%), (MS, 0, 0.43%, 0.0002892%), (T, 0, 0.43%, 0.0015881%), (PEP, 0, 0.42%, 0.0003705%), (INTU, 0, 0.42%, 0.0003849%), (AXP, 0, 0.40%, 0.0003006%), (DE, 0, 0.40%, 0.0005323%), (QCOM, 0, 0.38%, 0.0003639%), (MRK, 0, 0.38%, 0.0003165%), (SPGI, 0, 0.38%, 0.0003904%), (VZ, 0, 0.37%, 0.0003392%), (BLK, 0, 0.36%, 0.0003500%), (MDT, 0, 0.36%, 0.0004976%), (ADBE, 0, 0.35%, 0.0004028%), (C, 0, 0.35%, 0.0003153%), (COP, 0, 0.35%, 0.0004928%), (TMO, 0, 0.34%, 0.0003183%), (TXN, 0, 0.34%, 0.0003548%), (ACN, 0, 0.34%, 0.0003842%), (UNP, 0, 0.34%, 0.0004419%), (LMT, 0, 0.34%, 0.0005156%), (DIS, 0, 0.33%, 0.0002710%), (SCHW, 0, 0.30%, 0.0003065%), (AMAT, 0, 0.30%, 0.0003658%), (SBUX, 0, 0.30%, 0.0005206%), (MMM, 0, 0.29%, 0.0005796%), (CVS, 0, 0.27%, 0.0004934%), (AMGN, 0, 0.27%, 0.0003121%), (TJX, 0, 0.27%, 0.0002888%), (LOW, 0, 0.26%, 0.0002883%), (GILD, 0, 0.26%, 0.0003136%), (PFE, 0, 0.25%, 0.0003115%), (EMR, 0, 0.25%, 0.0005729%), (MO, 0, 0.24%, 0.0003728%), (DHR, 0, 0.23%, 0.0002844%), (INTC, 0, 0.23%, 0.0003277%), (ELV, 0, 0.21%, 0.0005193%), (CMCSA, 0, 0.20%, 0.0002825%), (MDLZ, 0, 0.18%, 0.0003827%), (BMY, 0, 0.17%, 0.0003114%), (UPS, 0, 0.16%, 0.0004296%), (PYPL, 0, 0.15%, 0.0003989%), (USB, 0, 0.14%, 0.0003076%), (CL, 0, 0.13%, 0.0003408%), (FDX, 0, 0.13%, 0.0004119%), (TGT, 0, 0.07%, 0.0002925%), (nan, 0, -0.02%, 0.0000000%), (nan, 0, -0.03%, 0.0000000%)</t>
  </si>
  <si>
    <t>(AMZN, 0, 3.61%, 0.0000363%), (AVGO, 0, 3.35%, 0.0000509%), (META, 0, 2.65%, 0.0000392%), (BRK/B, 0, 1.97%, 0.0000720%), (TSLA, 0, 1.92%, 0.0000343%), (LIN, 0, 1.65%, 0.0001827%), (CSCO, 0, 1.64%, 0.0001525%), (JPM, 0, 1.57%, 0.0000457%), (XOM, 0, 1.41%, 0.0000714%), (AMT, 0, 1.37%, 0.0003695%), (V, 0, 1.30%, 0.0000551%), (LLY, 0, 1.09%, 0.0000379%), (ORCL, 0, 1.08%, 0.0000314%), (MA, 0, 1.07%, 0.0000498%), (CB, 0, 1.05%, 0.0002427%), (GE, 0, 1.03%, 0.0000844%), (WM, 0, 0.93%, 0.0002656%), (UNH, 0, 0.92%, 0.0000736%), (NFLX, 0, 0.83%, 0.0000394%), (JNJ, 0, 0.78%, 0.0000454%), (NEE, 0, 0.78%, 0.0001319%), (PLTR, 0, 0.77%, 0.0000502%), (WMT, 0, 0.77%, 0.0000229%), (CVX, 0, 0.74%, 0.0000565%), (PG, 0, 0.74%, 0.0000493%), (COST, 0, 0.72%, 0.0000420%), (ABBV, 0, 0.71%, 0.0000455%), (CAT, 0, 0.71%, 0.0000847%), (RTX, 0, 0.70%, 0.0000817%), (HD, 0, 0.69%, 0.0000414%), (ABT, 0, 0.68%, 0.0000722%), (MCD, 0, 0.67%, 0.0000762%), (BAC, 0, 0.62%, 0.0000402%), (KO, 0, 0.56%, 0.0000484%), (PM, 0, 0.56%, 0.0000537%), (BKNG, 0, 0.56%, 0.0000776%), (GS, 0, 0.54%, 0.0000567%), (SO, 0, 0.54%, 0.0001331%), (IBM, 0, 0.54%, 0.0000551%), (AMD, 0, 0.53%, 0.0000515%), (BA, 0, 0.53%, 0.0000809%), (CRM, 0, 0.52%, 0.0000560%), (NKE, 0, 0.52%, 0.0001497%), (DUK, 0, 0.50%, 0.0001328%), (UBER, 0, 0.50%, 0.0000635%), (WFC, 0, 0.49%, 0.0000464%), (ETN, 0, 0.48%, 0.0000835%), (MET, 0, 0.47%, 0.0002228%), (HON, 0, 0.46%, 0.0000843%), (ISRG, 0, 0.45%, 0.0000728%), (NOW, 0, 0.44%, 0.0000553%), (MS, 0, 0.42%, 0.0000421%), (T, 0, 0.42%, 0.0002311%), (PEP, 0, 0.42%, 0.0000539%), (INTU, 0, 0.42%, 0.0000560%), (AXP, 0, 0.40%, 0.0000437%), (DE, 0, 0.40%, 0.0000773%), (QCOM, 0, 0.38%, 0.0000529%), (SPGI, 0, 0.38%, 0.0000568%), (MRK, 0, 0.38%, 0.0000461%), (VZ, 0, 0.37%, 0.0000494%), (BLK, 0, 0.36%, 0.0000510%), (MDT, 0, 0.35%, 0.0000724%), (ADBE, 0, 0.35%, 0.0000585%), (C, 0, 0.34%, 0.0000459%), (TXN, 0, 0.34%, 0.0000516%), (COP, 0, 0.34%, 0.0000717%), (ACN, 0, 0.34%, 0.0000559%), (UNP, 0, 0.33%, 0.0000642%), (LMT, 0, 0.33%, 0.0000752%), (TMO, 0, 0.33%, 0.0000463%), (DIS, 0, 0.33%, 0.0000394%), (SCHW, 0, 0.30%, 0.0000446%), (AMAT, 0, 0.30%, 0.0000532%), (SBUX, 0, 0.29%, 0.0000757%), (MMM, 0, 0.28%, 0.0000843%), (CVS, 0, 0.27%, 0.0000718%), (AMGN, 0, 0.27%, 0.0000453%), (TJX, 0, 0.26%, 0.0000421%), (GILD, 0, 0.26%, 0.0000457%), (LOW, 0, 0.25%, 0.0000419%), (PFE, 0, 0.25%, 0.0000453%), (EMR, 0, 0.25%, 0.0000833%), (MO, 0, 0.24%, 0.0000543%), (DHR, 0, 0.23%, 0.0000413%), (INTC, 0, 0.22%, 0.0000477%), (ELV, 0, 0.21%, 0.0000756%), (CMCSA, 0, 0.20%, 0.0000411%), (MDLZ, 0, 0.18%, 0.0000557%), (BMY, 0, 0.17%, 0.0000453%), (UPS, 0, 0.16%, 0.0000625%), (PYPL, 0, 0.15%, 0.0000580%), (USB, 0, 0.14%, 0.0000448%), (CL, 0, 0.13%, 0.0000496%), (FDX, 0, 0.13%, 0.0000598%), (TGT, 0, 0.07%, 0.0000425%), (nan, 0, -0.01%, 0.0000000%), (nan, 0, -0.02%, 0.0000000%)</t>
  </si>
  <si>
    <t>(AMZN, 0, 3.91%, 0.0002167%), (AVGO, 0, 3.64%, 0.0003037%), (META, 0, 2.87%, 0.0002339%), (BRK/B, 0, 2.14%, 0.0004299%), (TSLA, 0, 2.09%, 0.0002050%), (LIN, 0, 1.79%, 0.0010903%), (CSCO, 0, 1.77%, 0.0009103%), (JPM, 0, 1.71%, 0.0002729%), (XOM, 0, 1.52%, 0.0004261%), (AMT, 0, 1.49%, 0.0022064%), (V, 0, 1.41%, 0.0003290%), (LLY, 0, 1.19%, 0.0002263%), (ORCL, 0, 1.17%, 0.0001876%), (MA, 0, 1.16%, 0.0002973%), (CB, 0, 1.14%, 0.0014484%), (GE, 0, 1.12%, 0.0005039%), (WM, 0, 1.01%, 0.0015849%), (UNH, 0, 1.00%, 0.0004393%), (NFLX, 0, 0.89%, 0.0002358%), (JNJ, 0, 0.85%, 0.0002713%), (NEE, 0, 0.85%, 0.0007876%), (PLTR, 0, 0.84%, 0.0002998%), (WMT, 0, 0.83%, 0.0001365%), (CVX, 0, 0.81%, 0.0003374%), (PG, 0, 0.80%, 0.0002943%), (COST, 0, 0.78%, 0.0002507%), (ABBV, 0, 0.78%, 0.0002716%), (CAT, 0, 0.77%, 0.0005061%), (RTX, 0, 0.76%, 0.0004876%), (HD, 0, 0.75%, 0.0002470%), (ABT, 0, 0.74%, 0.0004313%), (MCD, 0, 0.73%, 0.0004554%), (BAC, 0, 0.67%, 0.0002402%), (BKNG, 0, 0.61%, 0.0004653%), (KO, 0, 0.61%, 0.0002891%), (PM, 0, 0.61%, 0.0003204%), (GS, 0, 0.59%, 0.0003384%), (SO, 0, 0.59%, 0.0007944%), (IBM, 0, 0.58%, 0.0003291%), (AMD, 0, 0.58%, 0.0003071%), (BA, 0, 0.58%, 0.0004830%), (CRM, 0, 0.56%, 0.0003341%), (NKE, 0, 0.56%, 0.0008934%), (DUK, 0, 0.55%, 0.0007930%), (UBER, 0, 0.54%, 0.0003792%), (WFC, 0, 0.53%, 0.0002770%), (ETN, 0, 0.52%, 0.0004986%), (MET, 0, 0.51%, 0.0013299%), (HON, 0, 0.50%, 0.0005029%), (ISRG, 0, 0.49%, 0.0004344%), (NOW, 0, 0.47%, 0.0003293%), (MS, 0, 0.46%, 0.0002513%), (T, 0, 0.46%, 0.0013796%), (PEP, 0, 0.46%, 0.0003219%), (INTU, 0, 0.45%, 0.0003343%), (AXP, 0, 0.44%, 0.0002612%), (DE, 0, 0.43%, 0.0004624%), (QCOM, 0, 0.41%, 0.0003161%), (SPGI, 0, 0.41%, 0.0003392%), (MRK, 0, 0.41%, 0.0002750%), (VZ, 0, 0.40%, 0.0002947%), (BLK, 0, 0.39%, 0.0003042%), (ADBE, 0, 0.39%, 0.0003497%), (MDT, 0, 0.38%, 0.0004323%), (C, 0, 0.37%, 0.0002739%), (TXN, 0, 0.37%, 0.0003083%), (ACN, 0, 0.37%, 0.0003338%), (COP, 0, 0.37%, 0.0004281%), (UNP, 0, 0.36%, 0.0003839%), (DIS, 0, 0.36%, 0.0002354%), (TMO, 0, 0.36%, 0.0002765%), (LMT, 0, 0.36%, 0.0004477%), (SCHW, 0, 0.33%, 0.0002663%), (AMAT, 0, 0.32%, 0.0003177%), (SBUX, 0, 0.31%, 0.0004523%), (MMM, 0, 0.30%, 0.0005034%), (CVS, 0, 0.30%, 0.0004286%), (AMGN, 0, 0.29%, 0.0002710%), (TJX, 0, 0.29%, 0.0002509%), (GILD, 0, 0.28%, 0.0002725%), (LOW, 0, 0.28%, 0.0002503%), (PFE, 0, 0.27%, 0.0002706%), (EMR, 0, 0.27%, 0.0004975%), (MO, 0, 0.26%, 0.0003239%), (DHR, 0, 0.25%, 0.0002470%), (INTC, 0, 0.24%, 0.0002847%), (ELV, 0, 0.23%, 0.0004513%), (CMCSA, 0, 0.21%, 0.0002454%), (MDLZ, 0, 0.20%, 0.0003324%), (BMY, 0, 0.19%, 0.0002705%), (UPS, 0, 0.17%, 0.0003732%), (PYPL, 0, 0.16%, 0.0003465%), (USB, 0, 0.15%, 0.0002673%), (CL, 0, 0.14%, 0.0002960%), (FDX, 0, 0.14%, 0.0003577%), (TGT, 0, 0.08%, 0.0002542%), (nan, 0, -0.02%, 0.0000000%), (nan, 0, -0.03%, 0.0000000%)</t>
  </si>
  <si>
    <t>(AMZN, 0, 3.91%, 0.0001615%), (AVGO, 0, 3.64%, 0.0002263%), (META, 0, 2.87%, 0.0001743%), (BRK/B, 0, 2.14%, 0.0003203%), (TSLA, 0, 2.08%, 0.0001527%), (LIN, 0, 1.79%, 0.0008125%), (CSCO, 0, 1.77%, 0.0006783%), (JPM, 0, 1.71%, 0.0002034%), (XOM, 0, 1.52%, 0.0003175%), (AMT, 0, 1.49%, 0.0016441%), (V, 0, 1.41%, 0.0002451%), (LLY, 0, 1.19%, 0.0001686%), (ORCL, 0, 1.17%, 0.0001398%), (MA, 0, 1.15%, 0.0002216%), (CB, 0, 1.14%, 0.0010794%), (GE, 0, 1.12%, 0.0003755%), (WM, 0, 1.01%, 0.0011810%), (UNH, 0, 1.00%, 0.0003273%), (NFLX, 0, 0.89%, 0.0001756%), (JNJ, 0, 0.85%, 0.0002022%), (NEE, 0, 0.84%, 0.0005869%), (PLTR, 0, 0.84%, 0.0002235%), (WMT, 0, 0.83%, 0.0001017%), (CVX, 0, 0.81%, 0.0002514%), (PG, 0, 0.80%, 0.0002193%), (COST, 0, 0.78%, 0.0001868%), (ABBV, 0, 0.77%, 0.0002024%), (CAT, 0, 0.77%, 0.0003772%), (RTX, 0, 0.76%, 0.0003633%), (HD, 0, 0.75%, 0.0001841%), (ABT, 0, 0.74%, 0.0003214%), (MCD, 0, 0.73%, 0.0003394%), (BAC, 0, 0.67%, 0.0001790%), (BKNG, 0, 0.61%, 0.0003475%), (KO, 0, 0.61%, 0.0002154%), (PM, 0, 0.61%, 0.0002388%), (GS, 0, 0.59%, 0.0002521%), (SO, 0, 0.59%, 0.0005920%), (IBM, 0, 0.58%, 0.0002452%), (AMD, 0, 0.58%, 0.0002288%), (BA, 0, 0.58%, 0.0003600%), (CRM, 0, 0.56%, 0.0002489%), (NKE, 0, 0.56%, 0.0006657%), (DUK, 0, 0.54%, 0.0005908%), (UBER, 0, 0.54%, 0.0002826%), (WFC, 0, 0.53%, 0.0002065%), (ETN, 0, 0.52%, 0.0003714%), (MET, 0, 0.51%, 0.0009911%), (HON, 0, 0.49%, 0.0003749%), (ISRG, 0, 0.49%, 0.0003238%), (NOW, 0, 0.48%, 0.0002457%), (MS, 0, 0.46%, 0.0001872%), (T, 0, 0.46%, 0.0010280%), (PEP, 0, 0.46%, 0.0002399%), (INTU, 0, 0.45%, 0.0002493%), (AXP, 0, 0.44%, 0.0001947%), (DE, 0, 0.43%, 0.0003444%), (QCOM, 0, 0.41%, 0.0002356%), (SPGI, 0, 0.41%, 0.0002526%), (MRK, 0, 0.41%, 0.0002049%), (VZ, 0, 0.40%, 0.0002196%), (BLK, 0, 0.39%, 0.0002267%), (ADBE, 0, 0.38%, 0.0002606%), (MDT, 0, 0.38%, 0.0003221%), (C, 0, 0.37%, 0.0002041%), (TXN, 0, 0.37%, 0.0002297%), (ACN, 0, 0.37%, 0.0002487%), (COP, 0, 0.37%, 0.0003190%), (UNP, 0, 0.36%, 0.0002861%), (DIS, 0, 0.36%, 0.0001754%), (TMO, 0, 0.36%, 0.0002060%), (LMT, 0, 0.36%, 0.0003336%), (SCHW, 0, 0.33%, 0.0001984%), (AMAT, 0, 0.32%, 0.0002367%), (SBUX, 0, 0.31%, 0.0003370%), (MMM, 0, 0.30%, 0.0003752%), (CVS, 0, 0.29%, 0.0003194%), (AMGN, 0, 0.29%, 0.0002021%), (TJX, 0, 0.29%, 0.0001870%), (GILD, 0, 0.28%, 0.0002030%), (LOW, 0, 0.28%, 0.0001867%), (PFE, 0, 0.27%, 0.0002017%), (EMR, 0, 0.27%, 0.0003708%), (MO, 0, 0.26%, 0.0002413%), (DHR, 0, 0.25%, 0.0001842%), (INTC, 0, 0.24%, 0.0002121%), (ELV, 0, 0.23%, 0.0003361%), (CMCSA, 0, 0.21%, 0.0001829%), (MDLZ, 0, 0.20%, 0.0002477%), (BMY, 0, 0.19%, 0.0002015%), (UPS, 0, 0.17%, 0.0002781%), (PYPL, 0, 0.16%, 0.0002582%), (USB, 0, 0.15%, 0.0001991%), (CL, 0, 0.14%, 0.0002206%), (FDX, 0, 0.14%, 0.0002666%), (TGT, 0, 0.08%, 0.0001895%), (nan, 0, -0.02%, 0.0000000%), (nan, 0, -0.03%, 0.0000000%)</t>
  </si>
  <si>
    <t>(AMZN, 0, 3.96%, 0.0000379%), (AVGO, 0, 3.68%, 0.0000530%), (META, 0, 2.91%, 0.0000409%), (BRK/B, 0, 2.16%, 0.0000751%), (TSLA, 0, 2.11%, 0.0000358%), (LIN, 0, 1.81%, 0.0001904%), (CSCO, 0, 1.80%, 0.0001590%), (JPM, 0, 1.73%, 0.0000477%), (XOM, 0, 1.54%, 0.0000744%), (AMT, 0, 1.51%, 0.0003853%), (V, 0, 1.43%, 0.0000575%), (LLY, 0, 1.20%, 0.0000396%), (ORCL, 0, 1.18%, 0.0000328%), (MA, 0, 1.17%, 0.0000519%), (CB, 0, 1.15%, 0.0002531%), (GE, 0, 1.13%, 0.0000880%), (WM, 0, 1.02%, 0.0002768%), (UNH, 0, 1.01%, 0.0000767%), (NFLX, 0, 0.91%, 0.0000411%), (JNJ, 0, 0.86%, 0.0000474%), (NEE, 0, 0.86%, 0.0001376%), (PLTR, 0, 0.85%, 0.0000524%), (WMT, 0, 0.84%, 0.0000238%), (CVX, 0, 0.82%, 0.0000590%), (PG, 0, 0.81%, 0.0000514%), (COST, 0, 0.79%, 0.0000438%), (ABBV, 0, 0.78%, 0.0000474%), (CAT, 0, 0.78%, 0.0000884%), (RTX, 0, 0.77%, 0.0000852%), (HD, 0, 0.76%, 0.0000432%), (ABT, 0, 0.75%, 0.0000753%), (MCD, 0, 0.74%, 0.0000796%), (BAC, 0, 0.67%, 0.0000420%), (KO, 0, 0.62%, 0.0000505%), (PM, 0, 0.61%, 0.0000560%), (BKNG, 0, 0.61%, 0.0000807%), (GS, 0, 0.60%, 0.0000590%), (SO, 0, 0.59%, 0.0001388%), (IBM, 0, 0.59%, 0.0000574%), (AMD, 0, 0.59%, 0.0000536%), (BA, 0, 0.58%, 0.0000843%), (CRM, 0, 0.57%, 0.0000584%), (NKE, 0, 0.57%, 0.0001561%), (DUK, 0, 0.55%, 0.0001385%), (UBER, 0, 0.54%, 0.0000662%), (WFC, 0, 0.54%, 0.0000484%), (ETN, 0, 0.52%, 0.0000871%), (MET, 0, 0.52%, 0.0002323%), (HON, 0, 0.50%, 0.0000879%), (ISRG, 0, 0.50%, 0.0000759%), (NOW, 0, 0.48%, 0.0000577%), (MS, 0, 0.47%, 0.0000439%), (T, 0, 0.46%, 0.0002410%), (PEP, 0, 0.46%, 0.0000562%), (INTU, 0, 0.46%, 0.0000585%), (AXP, 0, 0.44%, 0.0000456%), (DE, 0, 0.43%, 0.0000806%), (QCOM, 0, 0.42%, 0.0000552%), (SPGI, 0, 0.41%, 0.0000591%), (MRK, 0, 0.41%, 0.0000480%), (VZ, 0, 0.41%, 0.0000515%), (BLK, 0, 0.39%, 0.0000530%), (ADBE, 0, 0.39%, 0.0000612%), (MDT, 0, 0.39%, 0.0000755%), (C, 0, 0.38%, 0.0000479%), (TXN, 0, 0.37%, 0.0000538%), (ACN, 0, 0.37%, 0.0000583%), (COP, 0, 0.37%, 0.0000748%), (UNP, 0, 0.37%, 0.0000671%), (DIS, 0, 0.36%, 0.0000411%), (LMT, 0, 0.36%, 0.0000782%), (TMO, 0, 0.36%, 0.0000482%), (SCHW, 0, 0.33%, 0.0000465%), (AMAT, 0, 0.33%, 0.0000555%), (SBUX, 0, 0.32%, 0.0000790%), (MMM, 0, 0.31%, 0.0000879%), (CVS, 0, 0.30%, 0.0000748%), (AMGN, 0, 0.30%, 0.0000474%), (TJX, 0, 0.29%, 0.0000438%), (GILD, 0, 0.28%, 0.0000476%), (LOW, 0, 0.28%, 0.0000437%), (PFE, 0, 0.27%, 0.0000473%), (EMR, 0, 0.27%, 0.0000869%), (MO, 0, 0.26%, 0.0000566%), (DHR, 0, 0.25%, 0.0000432%), (INTC, 0, 0.24%, 0.0000497%), (ELV, 0, 0.23%, 0.0000787%), (CMCSA, 0, 0.21%, 0.0000429%), (MDLZ, 0, 0.20%, 0.0000580%), (BMY, 0, 0.19%, 0.0000473%), (UPS, 0, 0.17%, 0.0000652%), (PYPL, 0, 0.16%, 0.0000605%), (USB, 0, 0.15%, 0.0000467%), (CL, 0, 0.15%, 0.0000517%), (FDX, 0, 0.14%, 0.0000623%), (TGT, 0, 0.08%, 0.0000445%), (nan, 0, -0.02%, 0.0000000%), (nan, 0, -0.03%, 0.0000000%)</t>
  </si>
  <si>
    <t>(AMZN, 0, 3.77%, 0.0000666%), (AVGO, 0, 3.50%, 0.0000934%), (META, 0, 2.77%, 0.0000719%), (BRK/B, 0, 2.06%, 0.0001322%), (TSLA, 0, 2.02%, 0.0000630%), (LIN, 0, 1.72%, 0.0003352%), (CSCO, 0, 1.71%, 0.0002799%), (JPM, 0, 1.64%, 0.0000839%), (XOM, 0, 1.47%, 0.0001310%), (AMT, 0, 1.43%, 0.0006784%), (V, 0, 1.36%, 0.0001011%), (LLY, 0, 1.14%, 0.0000696%), (ORCL, 0, 1.13%, 0.0000577%), (MA, 0, 1.11%, 0.0000914%), (CB, 0, 1.09%, 0.0004454%), (GE, 0, 1.08%, 0.0001549%), (WM, 0, 0.97%, 0.0004873%), (UNH, 0, 0.96%, 0.0001350%), (NFLX, 0, 0.85%, 0.0000725%), (JNJ, 0, 0.82%, 0.0000834%), (NEE, 0, 0.81%, 0.0002421%), (PLTR, 0, 0.81%, 0.0000922%), (WMT, 0, 0.80%, 0.0000420%), (CVX, 0, 0.78%, 0.0001037%), (PG, 0, 0.77%, 0.0000905%), (COST, 0, 0.75%, 0.0000772%), (ABBV, 0, 0.75%, 0.0000835%), (CAT, 0, 0.74%, 0.0001556%), (RTX, 0, 0.73%, 0.0001499%), (HD, 0, 0.72%, 0.0000760%), (ABT, 0, 0.71%, 0.0001326%), (MCD, 0, 0.70%, 0.0001400%), (BAC, 0, 0.64%, 0.0000739%), (KO, 0, 0.59%, 0.0000889%), (BKNG, 0, 0.59%, 0.0001427%), (PM, 0, 0.58%, 0.0000985%), (GS, 0, 0.56%, 0.0001040%), (SO, 0, 0.56%, 0.0002442%), (IBM, 0, 0.56%, 0.0001012%), (AMD, 0, 0.56%, 0.0000944%), (BA, 0, 0.56%, 0.0001485%), (CRM, 0, 0.54%, 0.0001027%), (NKE, 0, 0.54%, 0.0002747%), (DUK, 0, 0.52%, 0.0002439%), (UBER, 0, 0.52%, 0.0001166%), (WFC, 0, 0.51%, 0.0000852%), (ETN, 0, 0.50%, 0.0001534%), (MET, 0, 0.49%, 0.0004089%), (HON, 0, 0.48%, 0.0001547%), (ISRG, 0, 0.47%, 0.0001334%), (NOW, 0, 0.46%, 0.0001014%), (MS, 0, 0.44%, 0.0000772%), (T, 0, 0.44%, 0.0004242%), (PEP, 0, 0.44%, 0.0000990%), (INTU, 0, 0.43%, 0.0001029%), (AXP, 0, 0.42%, 0.0000803%), (DE, 0, 0.41%, 0.0001420%), (QCOM, 0, 0.40%, 0.0000972%), (SPGI, 0, 0.39%, 0.0001044%), (MRK, 0, 0.39%, 0.0000846%), (VZ, 0, 0.39%, 0.0000906%), (BLK, 0, 0.38%, 0.0000936%), (ADBE, 0, 0.37%, 0.0001075%), (MDT, 0, 0.37%, 0.0001329%), (C, 0, 0.36%, 0.0000842%), (TXN, 0, 0.36%, 0.0000948%), (ACN, 0, 0.35%, 0.0001026%), (COP, 0, 0.35%, 0.0001316%), (UNP, 0, 0.35%, 0.0001180%), (DIS, 0, 0.35%, 0.0000724%), (LMT, 0, 0.35%, 0.0001379%), (TMO, 0, 0.34%, 0.0000849%), (SCHW, 0, 0.31%, 0.0000819%), (AMAT, 0, 0.31%, 0.0000977%), (SBUX, 0, 0.30%, 0.0001391%), (MMM, 0, 0.29%, 0.0001547%), (CVS, 0, 0.28%, 0.0001318%), (AMGN, 0, 0.28%, 0.0000834%), (TJX, 0, 0.28%, 0.0000772%), (GILD, 0, 0.27%, 0.0000837%), (LOW, 0, 0.27%, 0.0000770%), (PFE, 0, 0.26%, 0.0000832%), (EMR, 0, 0.26%, 0.0001530%), (MO, 0, 0.25%, 0.0000996%), (DHR, 0, 0.24%, 0.0000760%), (INTC, 0, 0.23%, 0.0000875%), (ELV, 0, 0.22%, 0.0001386%), (CMCSA, 0, 0.20%, 0.0000755%), (MDLZ, 0, 0.19%, 0.0001022%), (BMY, 0, 0.18%, 0.0000832%), (UPS, 0, 0.16%, 0.0001147%), (PYPL, 0, 0.16%, 0.0001066%), (USB, 0, 0.14%, 0.0000822%), (CL, 0, 0.14%, 0.0000911%), (FDX, 0, 0.13%, 0.0001102%), (TGT, 0, 0.07%, 0.0000781%), (nan, 0, -0.01%, 0.0000000%), (nan, 0, -0.02%, 0.0000000%)</t>
  </si>
  <si>
    <t>(AMZN, 0, 3.85%, 0.0000241%), (AVGO, 0, 3.57%, 0.0000337%), (META, 0, 2.83%, 0.0000260%), (BRK/B, 0, 2.10%, 0.0000477%), (TSLA, 0, 2.05%, 0.0000228%), (LIN, 0, 1.76%, 0.0001210%), (CSCO, 0, 1.74%, 0.0001011%), (JPM, 0, 1.68%, 0.0000303%), (XOM, 0, 1.50%, 0.0000473%), (AMT, 0, 1.46%, 0.0002450%), (V, 0, 1.39%, 0.0000365%), (LLY, 0, 1.17%, 0.0000252%), (ORCL, 0, 1.15%, 0.0000208%), (MA, 0, 1.13%, 0.0000330%), (CB, 0, 1.12%, 0.0001608%), (GE, 0, 1.10%, 0.0000559%), (WM, 0, 0.99%, 0.0001760%), (UNH, 0, 0.98%, 0.0000488%), (NFLX, 0, 0.88%, 0.0000262%), (JNJ, 0, 0.83%, 0.0000301%), (NEE, 0, 0.83%, 0.0000874%), (PLTR, 0, 0.82%, 0.0000333%), (WMT, 0, 0.82%, 0.0000152%), (CVX, 0, 0.79%, 0.0000375%), (PG, 0, 0.79%, 0.0000327%), (COST, 0, 0.77%, 0.0000278%), (ABBV, 0, 0.76%, 0.0000302%), (CAT, 0, 0.76%, 0.0000561%), (RTX, 0, 0.74%, 0.0000541%), (HD, 0, 0.74%, 0.0000274%), (ABT, 0, 0.72%, 0.0000479%), (MCD, 0, 0.71%, 0.0000506%), (BAC, 0, 0.66%, 0.0000267%), (BKNG, 0, 0.61%, 0.0000527%), (KO, 0, 0.60%, 0.0000321%), (PM, 0, 0.60%, 0.0000356%), (GS, 0, 0.58%, 0.0000377%), (SO, 0, 0.58%, 0.0000882%), (IBM, 0, 0.57%, 0.0000366%), (AMD, 0, 0.57%, 0.0000341%), (BA, 0, 0.57%, 0.0000537%), (CRM, 0, 0.55%, 0.0000371%), (NKE, 0, 0.55%, 0.0000992%), (DUK, 0, 0.54%, 0.0000880%), (UBER, 0, 0.53%, 0.0000421%), (WFC, 0, 0.53%, 0.0000308%), (ETN, 0, 0.51%, 0.0000555%), (MET, 0, 0.50%, 0.0001477%), (HON, 0, 0.49%, 0.0000559%), (ISRG, 0, 0.48%, 0.0000482%), (NOW, 0, 0.47%, 0.0000365%), (MS, 0, 0.45%, 0.0000279%), (T, 0, 0.45%, 0.0001532%), (PEP, 0, 0.45%, 0.0000358%), (INTU, 0, 0.45%, 0.0000373%), (AXP, 0, 0.44%, 0.0000290%), (DE, 0, 0.42%, 0.0000514%), (QCOM, 0, 0.40%, 0.0000351%), (SPGI, 0, 0.40%, 0.0000376%), (MRK, 0, 0.40%, 0.0000305%), (VZ, 0, 0.39%, 0.0000327%), (ADBE, 0, 0.38%, 0.0000389%), (BLK, 0, 0.38%, 0.0000336%), (MDT, 0, 0.38%, 0.0000480%), (C, 0, 0.37%, 0.0000304%), (TXN, 0, 0.36%, 0.0000342%), (COP, 0, 0.36%, 0.0000476%), (ACN, 0, 0.36%, 0.0000371%), (UNP, 0, 0.35%, 0.0000427%), (DIS, 0, 0.35%, 0.0000261%), (LMT, 0, 0.35%, 0.0000497%), (TMO, 0, 0.35%, 0.0000306%), (SCHW, 0, 0.32%, 0.0000296%), (AMAT, 0, 0.32%, 0.0000353%), (SBUX, 0, 0.31%, 0.0000502%), (MMM, 0, 0.30%, 0.0000559%), (CVS, 0, 0.29%, 0.0000476%), (AMGN, 0, 0.29%, 0.0000301%), (TJX, 0, 0.28%, 0.0000279%), (GILD, 0, 0.27%, 0.0000303%), (LOW, 0, 0.27%, 0.0000278%), (PFE, 0, 0.27%, 0.0000301%), (EMR, 0, 0.26%, 0.0000553%), (MO, 0, 0.26%, 0.0000360%), (DHR, 0, 0.24%, 0.0000275%), (INTC, 0, 0.24%, 0.0000316%), (ELV, 0, 0.22%, 0.0000499%), (CMCSA, 0, 0.21%, 0.0000272%), (MDLZ, 0, 0.19%, 0.0000369%), (BMY, 0, 0.18%, 0.0000300%), (UPS, 0, 0.17%, 0.0000414%), (PYPL, 0, 0.16%, 0.0000385%), (USB, 0, 0.15%, 0.0000297%), (CL, 0, 0.14%, 0.0000329%), (FDX, 0, 0.14%, 0.0000398%), (TGT, 0, 0.07%, 0.0000282%), (nan, 0, -0.02%, 0.0000000%), (nan, 0, -0.02%, 0.0000000%)</t>
  </si>
  <si>
    <t>(AMZN, 0, 4.07%, 0.0000574%), (AVGO, 0, 3.78%, 0.0000805%), (META, 0, 2.98%, 0.0000620%), (BRK/B, 0, 2.22%, 0.0001140%), (TSLA, 0, 2.16%, 0.0000543%), (LIN, 0, 1.86%, 0.0002889%), (CSCO, 0, 1.84%, 0.0002413%), (JPM, 0, 1.78%, 0.0000723%), (XOM, 0, 1.58%, 0.0001129%), (AMT, 0, 1.55%, 0.0005849%), (V, 0, 1.47%, 0.0000872%), (LLY, 0, 1.24%, 0.0000600%), (ORCL, 0, 1.22%, 0.0000497%), (MA, 0, 1.20%, 0.0000788%), (CB, 0, 1.18%, 0.0003839%), (GE, 0, 1.16%, 0.0001336%), (WM, 0, 1.05%, 0.0004200%), (UNH, 0, 1.04%, 0.0001165%), (NFLX, 0, 0.92%, 0.0000625%), (JNJ, 0, 0.88%, 0.0000719%), (NEE, 0, 0.88%, 0.0002087%), (PLTR, 0, 0.87%, 0.0000795%), (WMT, 0, 0.86%, 0.0000362%), (CVX, 0, 0.84%, 0.0000894%), (PG, 0, 0.84%, 0.0000780%), (COST, 0, 0.81%, 0.0000663%), (ABBV, 0, 0.81%, 0.0000720%), (CAT, 0, 0.80%, 0.0001341%), (RTX, 0, 0.79%, 0.0001292%), (HD, 0, 0.78%, 0.0000655%), (ABT, 0, 0.77%, 0.0001143%), (MCD, 0, 0.75%, 0.0001207%), (BAC, 0, 0.69%, 0.0000637%), (BKNG, 0, 0.64%, 0.0001241%), (KO, 0, 0.63%, 0.0000766%), (PM, 0, 0.63%, 0.0000849%), (SO, 0, 0.61%, 0.0002105%), (GS, 0, 0.61%, 0.0000897%), (IBM, 0, 0.60%, 0.0000872%), (AMD, 0, 0.60%, 0.0000814%), (BA, 0, 0.60%, 0.0001280%), (CRM, 0, 0.59%, 0.0000886%), (NKE, 0, 0.58%, 0.0002368%), (DUK, 0, 0.57%, 0.0002102%), (UBER, 0, 0.56%, 0.0001005%), (WFC, 0, 0.56%, 0.0000734%), (ETN, 0, 0.54%, 0.0001320%), (MET, 0, 0.53%, 0.0003525%), (HON, 0, 0.51%, 0.0001333%), (ISRG, 0, 0.51%, 0.0001151%), (NOW, 0, 0.50%, 0.0000875%), (MS, 0, 0.48%, 0.0000666%), (T, 0, 0.48%, 0.0003656%), (PEP, 0, 0.47%, 0.0000853%), (INTU, 0, 0.47%, 0.0000886%), (AXP, 0, 0.46%, 0.0000692%), (DE, 0, 0.45%, 0.0001224%), (QCOM, 0, 0.43%, 0.0000838%), (SPGI, 0, 0.42%, 0.0000898%), (MRK, 0, 0.42%, 0.0000729%), (VZ, 0, 0.42%, 0.0000781%), (BLK, 0, 0.41%, 0.0000807%), (ADBE, 0, 0.40%, 0.0000927%), (MDT, 0, 0.40%, 0.0001146%), (C, 0, 0.39%, 0.0000726%), (TXN, 0, 0.38%, 0.0000817%), (ACN, 0, 0.38%, 0.0000885%), (COP, 0, 0.38%, 0.0001135%), (UNP, 0, 0.37%, 0.0001017%), (DIS, 0, 0.37%, 0.0000624%), (LMT, 0, 0.37%, 0.0001188%), (TMO, 0, 0.37%, 0.0000732%), (SCHW, 0, 0.34%, 0.0000706%), (AMAT, 0, 0.34%, 0.0000842%), (SBUX, 0, 0.32%, 0.0001198%), (MMM, 0, 0.32%, 0.0001335%), (CVS, 0, 0.31%, 0.0001136%), (AMGN, 0, 0.31%, 0.0000719%), (TJX, 0, 0.30%, 0.0000665%), (GILD, 0, 0.29%, 0.0000722%), (LOW, 0, 0.29%, 0.0000663%), (PFE, 0, 0.28%, 0.0000717%), (EMR, 0, 0.28%, 0.0001318%), (MO, 0, 0.27%, 0.0000858%), (DHR, 0, 0.26%, 0.0000655%), (INTC, 0, 0.25%, 0.0000755%), (ELV, 0, 0.24%, 0.0001197%), (CMCSA, 0, 0.22%, 0.0000650%), (MDLZ, 0, 0.20%, 0.0000881%), (BMY, 0, 0.19%, 0.0000717%), (UPS, 0, 0.18%, 0.0000989%), (PYPL, 0, 0.17%, 0.0000918%), (USB, 0, 0.16%, 0.0000708%), (CL, 0, 0.15%, 0.0000784%), (FDX, 0, 0.14%, 0.0000949%), (TGT, 0, 0.08%, 0.0000673%), (nan, 0, -0.02%, 0.0000000%), (nan, 0, -0.03%, 0.0000000%)</t>
  </si>
  <si>
    <t>GOOGLE, EBAY, BK, META, MLI, JPM, MSFT, EA, PHM, BLK, RJF</t>
  </si>
  <si>
    <t>(AXP, 0, 1.98%, 0.0004658%), (BKNG, 0, 1.94%, 0.0005925%), (EWBC, 0, 1.94%, 0.0071353%), (KLAC, 0, 1.82%, 0.0007656%), (TRV, 0, 1.82%, 0.0016224%), (HIG, 0, 1.82%, 0.0027335%), (V, 0, 1.80%, 0.0001675%), (AMAT, 0, 1.78%, 0.0006841%), (UNM, 0, 1.76%, 0.0075144%), (SNA, 0, 1.72%, 0.0054550%), (ROST, 0, 1.70%, 0.0019488%), (PCAR, 0, 1.66%, 0.0017129%), (NVDA, 0, 1.66%, 0.0000219%), (LEN, 0, 1.64%, 0.0030008%), (SYF, 0, 1.63%, 0.0032984%), (ADP, 0, 1.61%, 0.0007514%), (CB, 0, 1.60%, 0.0008157%), (CTSH, 0, 1.47%, 0.0023821%), (WSM, 0, 1.45%, 0.0033032%), (CRM, 0, 1.45%, 0.0003423%), (BKR, 0, 1.44%, 0.0017147%), (DHI, 0, 1.39%, 0.0015156%), (QCOM, 0, 1.39%, 0.0004253%), (PAYC, 0, 1.37%, 0.0060128%), (LRCX, 0, 1.31%, 0.0004666%), (AAPL, 0, 1.30%, 0.0000201%), (AFL, 0, 1.26%, 0.0011749%), (ELV, 0, 1.23%, 0.0009805%), (ACN, 0, 1.20%, 0.0004353%), (MPWR, 0, 1.17%, 0.0015159%), (GE, 0, 1.09%, 0.0001947%), (CSCO, 0, 1.06%, 0.0002153%), (ODFL, 0, 1.01%, 0.0018547%), (STT, 0, 0.97%, 0.0016891%), (PNC, 0, 0.94%, 0.0006414%), (MTB, 0, 0.91%, 0.0016338%), (ABT, 0, 0.83%, 0.0001953%), (XOM, 0, 0.83%, 0.0000927%), (COST, 0, 0.83%, 0.0001065%), (CF, 0, 0.83%, 0.0033289%), (AMP, 0, 0.82%, 0.0009892%), (EOG, 0, 0.78%, 0.0006507%), (EG, 0, 0.73%, 0.0028452%), (CSL, 0, 0.65%, 0.0025320%), (GEV, 0, 0.54%, 0.0001773%), (NTRS, 0, 0.52%, 0.0011580%), (MA, 0, 0.50%, 0.0000513%), (ACM, 0, 0.48%, 0.0015644%), (JNJ, 0, 0.48%, 0.0000608%), (MTG, 0, 0.44%, 0.0038460%), (JXN, 0, 0.44%, 0.0035491%), (CRBG, 0, 0.44%, 0.0013967%), (WTFC, 0, 0.43%, 0.0026347%), (LNC, 0, 0.43%, 0.0031531%), (CINF, 0, 0.43%, 0.0009762%), (EQH, 0, 0.42%, 0.0014172%), (ADM, 0, 0.41%, 0.0007591%), (DOV, 0, 0.40%, 0.0009333%), (MCK, 0, 0.40%, 0.0002541%), (ALL, 0, 0.39%, 0.0004114%), (NUE, 0, 0.38%, 0.0006378%), (SLM, 0, 0.36%, 0.0034629%), (PGR, 0, 0.36%, 0.0001363%), (NKE, 0, 0.35%, 0.0002244%), (FANG, 0, 0.29%, 0.0003938%)</t>
  </si>
  <si>
    <t>(AMZN, 0, 3.73%, 0.0000613%), (AVGO, 0, 3.47%, 0.0000858%), (META, 0, 2.74%, 0.0000661%), (BRK/B, 0, 2.04%, 0.0001215%), (TSLA, 0, 1.99%, 0.0000579%), (LIN, 0, 1.70%, 0.0003082%), (CSCO, 0, 1.69%, 0.0002573%), (JPM, 0, 1.63%, 0.0000771%), (XOM, 0, 1.45%, 0.0001204%), (AMT, 0, 1.42%, 0.0006237%), (V, 0, 1.35%, 0.0000930%), (LLY, 0, 1.13%, 0.0000640%), (ORCL, 0, 1.12%, 0.0000530%), (MA, 0, 1.10%, 0.0000840%), (CB, 0, 1.08%, 0.0004093%), (GE, 0, 1.07%, 0.0001425%), (WM, 0, 0.96%, 0.0004480%), (UNH, 0, 0.95%, 0.0001242%), (NFLX, 0, 0.85%, 0.0000666%), (JNJ, 0, 0.81%, 0.0000767%), (NEE, 0, 0.81%, 0.0002227%), (PLTR, 0, 0.80%, 0.0000848%), (WMT, 0, 0.79%, 0.0000386%), (CVX, 0, 0.77%, 0.0000954%), (PG, 0, 0.77%, 0.0000832%), (COST, 0, 0.75%, 0.0000709%), (CAT, 0, 0.74%, 0.0001430%), (ABBV, 0, 0.74%, 0.0000768%), (RTX, 0, 0.72%, 0.0001378%), (HD, 0, 0.72%, 0.0000698%), (ABT, 0, 0.70%, 0.0001219%), (MCD, 0, 0.69%, 0.0001288%), (BAC, 0, 0.64%, 0.0000679%), (KO, 0, 0.58%, 0.0000817%), (PM, 0, 0.58%, 0.0000906%), (BKNG, 0, 0.58%, 0.0001303%), (SO, 0, 0.56%, 0.0002246%), (GS, 0, 0.56%, 0.0000957%), (IBM, 0, 0.55%, 0.0000931%), (AMD, 0, 0.55%, 0.0000868%), (BA, 0, 0.55%, 0.0001366%), (CRM, 0, 0.54%, 0.0000944%), (NKE, 0, 0.54%, 0.0002525%), (DUK, 0, 0.52%, 0.0002242%), (UBER, 0, 0.51%, 0.0001072%), (WFC, 0, 0.51%, 0.0000783%), (ETN, 0, 0.49%, 0.0001410%), (MET, 0, 0.49%, 0.0003759%), (HON, 0, 0.47%, 0.0001422%), (ISRG, 0, 0.47%, 0.0001227%), (NOW, 0, 0.46%, 0.0000933%), (MS, 0, 0.44%, 0.0000710%), (T, 0, 0.44%, 0.0003900%), (PEP, 0, 0.43%, 0.0000910%), (INTU, 0, 0.43%, 0.0000947%), (AXP, 0, 0.42%, 0.0000739%), (DE, 0, 0.41%, 0.0001306%), (QCOM, 0, 0.39%, 0.0000893%), (MRK, 0, 0.39%, 0.0000777%), (SPGI, 0, 0.39%, 0.0000958%), (VZ, 0, 0.38%, 0.0000833%), (BLK, 0, 0.37%, 0.0000859%), (ADBE, 0, 0.37%, 0.0000989%), (MDT, 0, 0.37%, 0.0001222%), (C, 0, 0.36%, 0.0000774%), (TXN, 0, 0.35%, 0.0000872%), (ACN, 0, 0.35%, 0.0000944%), (COP, 0, 0.35%, 0.0001210%), (UNP, 0, 0.34%, 0.0001086%), (DIS, 0, 0.34%, 0.0000665%), (TMO, 0, 0.34%, 0.0000783%), (LMT, 0, 0.34%, 0.0001266%), (SCHW, 0, 0.31%, 0.0000753%), (AMAT, 0, 0.31%, 0.0000899%), (SBUX, 0, 0.30%, 0.0001278%), (MMM, 0, 0.29%, 0.0001423%), (CVS, 0, 0.28%, 0.0001212%), (AMGN, 0, 0.28%, 0.0000767%), (TJX, 0, 0.27%, 0.0000709%), (GILD, 0, 0.27%, 0.0000771%), (LOW, 0, 0.26%, 0.0000708%), (PFE, 0, 0.26%, 0.0000765%), (EMR, 0, 0.26%, 0.0001407%), (MO, 0, 0.25%, 0.0000916%), (DHR, 0, 0.23%, 0.0000698%), (INTC, 0, 0.23%, 0.0000805%), (ELV, 0, 0.22%, 0.0001273%), (CMCSA, 0, 0.20%, 0.0000694%), (MDLZ, 0, 0.19%, 0.0000940%), (BMY, 0, 0.18%, 0.0000765%), (UPS, 0, 0.16%, 0.0001054%), (PYPL, 0, 0.15%, 0.0000979%), (USB, 0, 0.14%, 0.0000756%), (CL, 0, 0.14%, 0.0000837%), (FDX, 0, 0.13%, 0.0001013%), (TGT, 0, 0.07%, 0.0000717%), (nan, 0, -0.01%, 0.0000000%), (nan, 0, -0.02%, 0.0000000%)</t>
  </si>
  <si>
    <t>(AMZN, 0, 3.90%, 0.0001253%), (AVGO, 0, 3.62%, 0.0001755%), (META, 0, 2.87%, 0.0001352%), (BRK/B, 0, 2.13%, 0.0002485%), (TSLA, 0, 2.09%, 0.0001185%), (LIN, 0, 1.78%, 0.0006303%), (CSCO, 0, 1.77%, 0.0005261%), (JPM, 0, 1.70%, 0.0001577%), (XOM, 0, 1.52%, 0.0002463%), (AMT, 0, 1.48%, 0.0012752%), (V, 0, 1.41%, 0.0001901%), (LLY, 0, 1.18%, 0.0001307%), (ORCL, 0, 1.17%, 0.0001084%), (MA, 0, 1.15%, 0.0001719%), (CB, 0, 1.13%, 0.0008372%), (GE, 0, 1.12%, 0.0002912%), (WM, 0, 1.01%, 0.0009159%), (UNH, 0, 0.99%, 0.0002539%), (NFLX, 0, 0.89%, 0.0001362%), (JNJ, 0, 0.85%, 0.0001568%), (NEE, 0, 0.84%, 0.0004552%), (PLTR, 0, 0.84%, 0.0001733%), (WMT, 0, 0.83%, 0.0000789%), (CVX, 0, 0.80%, 0.0001950%), (PG, 0, 0.80%, 0.0001701%), (COST, 0, 0.78%, 0.0001449%), (CAT, 0, 0.77%, 0.0002924%), (ABBV, 0, 0.77%, 0.0001570%), (RTX, 0, 0.75%, 0.0002818%), (HD, 0, 0.75%, 0.0001428%), (ABT, 0, 0.73%, 0.0002492%), (MCD, 0, 0.72%, 0.0002632%), (BAC, 0, 0.66%, 0.0001388%), (BKNG, 0, 0.61%, 0.0002699%), (KO, 0, 0.61%, 0.0001671%), (PM, 0, 0.61%, 0.0001852%), (GS, 0, 0.59%, 0.0001957%), (SO, 0, 0.58%, 0.0004591%), (IBM, 0, 0.58%, 0.0001902%), (AMD, 0, 0.58%, 0.0001775%), (BA, 0, 0.57%, 0.0002792%), (CRM, 0, 0.56%, 0.0001931%), (NKE, 0, 0.56%, 0.0005163%), (DUK, 0, 0.54%, 0.0004583%), (UBER, 0, 0.54%, 0.0002191%), (WFC, 0, 0.53%, 0.0001601%), (ETN, 0, 0.51%, 0.0002882%), (MET, 0, 0.51%, 0.0007687%), (HON, 0, 0.49%, 0.0002908%), (ISRG, 0, 0.49%, 0.0002511%), (NOW, 0, 0.47%, 0.0001904%), (MS, 0, 0.46%, 0.0001452%), (T, 0, 0.46%, 0.0007973%), (PEP, 0, 0.45%, 0.0001861%), (INTU, 0, 0.45%, 0.0001933%), (AXP, 0, 0.44%, 0.0001510%), (DE, 0, 0.43%, 0.0002671%), (QCOM, 0, 0.41%, 0.0001828%), (SPGI, 0, 0.41%, 0.0001958%), (MRK, 0, 0.41%, 0.0001589%), (VZ, 0, 0.40%, 0.0001703%), (BLK, 0, 0.39%, 0.0001757%), (ADBE, 0, 0.38%, 0.0002021%), (MDT, 0, 0.38%, 0.0002499%), (C, 0, 0.37%, 0.0001583%), (TXN, 0, 0.37%, 0.0001782%), (ACN, 0, 0.36%, 0.0001928%), (COP, 0, 0.36%, 0.0002474%), (UNP, 0, 0.36%, 0.0002219%), (DIS, 0, 0.36%, 0.0001360%), (TMO, 0, 0.36%, 0.0001597%), (LMT, 0, 0.36%, 0.0002589%), (AMAT, 0, 0.32%, 0.0001836%), (SCHW, 0, 0.32%, 0.0001539%), (SBUX, 0, 0.31%, 0.0002614%), (MMM, 0, 0.30%, 0.0002910%), (CVS, 0, 0.29%, 0.0002477%), (AMGN, 0, 0.29%, 0.0001566%), (TJX, 0, 0.29%, 0.0001450%), (GILD, 0, 0.28%, 0.0001575%), (LOW, 0, 0.27%, 0.0001448%), (PFE, 0, 0.27%, 0.0001564%), (EMR, 0, 0.27%, 0.0002875%), (MO, 0, 0.26%, 0.0001872%), (DHR, 0, 0.25%, 0.0001428%), (INTC, 0, 0.24%, 0.0001645%), (ELV, 0, 0.23%, 0.0002610%), (CMCSA, 0, 0.21%, 0.0001418%), (MDLZ, 0, 0.20%, 0.0001921%), (BMY, 0, 0.19%, 0.0001564%), (UPS, 0, 0.17%, 0.0002156%), (PYPL, 0, 0.16%, 0.0002002%), (USB, 0, 0.15%, 0.0001544%), (CL, 0, 0.14%, 0.0001711%), (FDX, 0, 0.14%, 0.0002068%), (TGT, 0, 0.07%, 0.0001468%), (nan, 0, -0.01%, 0.0000000%), (nan, 0, -0.02%, 0.0000000%)</t>
  </si>
  <si>
    <t>(AMZN, 0, 3.68%, 0.0002504%), (AVGO, 0, 3.42%, 0.0003508%), (META, 0, 2.70%, 0.0002702%), (BRK/B, 0, 2.01%, 0.0004966%), (TSLA, 0, 1.96%, 0.0002368%), (LIN, 0, 1.68%, 0.0012595%), (CSCO, 0, 1.67%, 0.0010515%), (JPM, 0, 1.61%, 0.0003153%), (XOM, 0, 1.43%, 0.0004922%), (AMT, 0, 1.40%, 0.0025486%), (V, 0, 1.33%, 0.0003799%), (LLY, 0, 1.12%, 0.0002614%), (ORCL, 0, 1.10%, 0.0002166%), (MA, 0, 1.09%, 0.0003434%), (CB, 0, 1.07%, 0.0016732%), (GE, 0, 1.05%, 0.0005821%), (WM, 0, 0.95%, 0.0018309%), (UNH, 0, 0.94%, 0.0005074%), (NFLX, 0, 0.84%, 0.0002723%), (JNJ, 0, 0.80%, 0.0003134%), (NEE, 0, 0.80%, 0.0009098%), (PLTR, 0, 0.79%, 0.0003464%), (WMT, 0, 0.78%, 0.0001576%), (CVX, 0, 0.76%, 0.0003897%), (PG, 0, 0.76%, 0.0003400%), (COST, 0, 0.74%, 0.0002895%), (ABBV, 0, 0.73%, 0.0003137%), (CAT, 0, 0.73%, 0.0005847%), (RTX, 0, 0.71%, 0.0005632%), (HD, 0, 0.71%, 0.0002854%), (ABT, 0, 0.69%, 0.0004981%), (MCD, 0, 0.68%, 0.0005261%), (BAC, 0, 0.63%, 0.0002775%), (KO, 0, 0.57%, 0.0003339%), (BKNG, 0, 0.57%, 0.0005367%), (PM, 0, 0.57%, 0.0003701%), (GS, 0, 0.55%, 0.0003908%), (SO, 0, 0.55%, 0.0009176%), (IBM, 0, 0.55%, 0.0003801%), (AMD, 0, 0.54%, 0.0003547%), (BA, 0, 0.54%, 0.0005580%), (CRM, 0, 0.53%, 0.0003859%), (NKE, 0, 0.53%, 0.0010319%), (DUK, 0, 0.51%, 0.0009159%), (UBER, 0, 0.51%, 0.0004380%), (WFC, 0, 0.50%, 0.0003200%), (ETN, 0, 0.49%, 0.0005759%), (MET, 0, 0.48%, 0.0015362%), (HON, 0, 0.47%, 0.0005810%), (ISRG, 0, 0.46%, 0.0005018%), (NOW, 0, 0.45%, 0.0003808%), (MS, 0, 0.43%, 0.0002902%), (T, 0, 0.43%, 0.0015935%), (PEP, 0, 0.43%, 0.0003718%), (INTU, 0, 0.42%, 0.0003863%), (AXP, 0, 0.41%, 0.0003018%), (DE, 0, 0.40%, 0.0005338%), (QCOM, 0, 0.39%, 0.0003652%), (SPGI, 0, 0.38%, 0.0003917%), (MRK, 0, 0.38%, 0.0003176%), (VZ, 0, 0.38%, 0.0003404%), (BLK, 0, 0.37%, 0.0003513%), (ADBE, 0, 0.36%, 0.0004042%), (MDT, 0, 0.36%, 0.0004993%), (C, 0, 0.35%, 0.0003163%), (TXN, 0, 0.35%, 0.0003560%), (ACN, 0, 0.34%, 0.0003855%), (COP, 0, 0.34%, 0.0004945%), (UNP, 0, 0.34%, 0.0004434%), (DIS, 0, 0.34%, 0.0002719%), (TMO, 0, 0.34%, 0.0003194%), (LMT, 0, 0.34%, 0.0005173%), (SCHW, 0, 0.31%, 0.0003076%), (AMAT, 0, 0.31%, 0.0003670%), (SBUX, 0, 0.29%, 0.0005224%), (MMM, 0, 0.29%, 0.0005815%), (CVS, 0, 0.28%, 0.0004951%), (AMGN, 0, 0.28%, 0.0003132%), (TJX, 0, 0.27%, 0.0002898%), (GILD, 0, 0.26%, 0.0003147%), (LOW, 0, 0.26%, 0.0002892%), (PFE, 0, 0.25%, 0.0003126%), (EMR, 0, 0.25%, 0.0005748%), (MO, 0, 0.25%, 0.0003741%), (DHR, 0, 0.23%, 0.0002854%), (INTC, 0, 0.23%, 0.0003289%), (ELV, 0, 0.21%, 0.0005211%), (CMCSA, 0, 0.20%, 0.0002835%), (MDLZ, 0, 0.18%, 0.0003840%), (BMY, 0, 0.18%, 0.0003125%), (UPS, 0, 0.16%, 0.0004310%), (PYPL, 0, 0.15%, 0.0004001%), (USB, 0, 0.14%, 0.0003086%), (CL, 0, 0.14%, 0.0003419%), (FDX, 0, 0.13%, 0.0004132%), (TGT, 0, 0.07%, 0.0002936%), (nan, 0, -0.02%, 0.0000000%), (nan, 0, -0.03%, 0.0000000%)</t>
  </si>
  <si>
    <t>(AMZN, 0, 3.60%, 0.0000363%), (AVGO, 0, 3.34%, 0.0000509%), (META, 0, 2.66%, 0.0000392%), (BRK/B, 0, 1.96%, 0.0000720%), (TSLA, 0, 1.89%, 0.0000343%), (CSCO, 0, 1.65%, 0.0001525%), (LIN, 0, 1.64%, 0.0001827%), (JPM, 0, 1.58%, 0.0000457%), (XOM, 0, 1.39%, 0.0000714%), (AMT, 0, 1.35%, 0.0003695%), (V, 0, 1.27%, 0.0000551%), (LLY, 0, 1.10%, 0.0000379%), (ORCL, 0, 1.07%, 0.0000314%), (CB, 0, 1.06%, 0.0002427%), (GE, 0, 1.05%, 0.0000844%), (MA, 0, 1.05%, 0.0000498%), (WM, 0, 0.93%, 0.0002656%), (UNH, 0, 0.90%, 0.0000736%), (NFLX, 0, 0.81%, 0.0000394%), (PLTR, 0, 0.81%, 0.0000502%), (NEE, 0, 0.78%, 0.0001319%), (JNJ, 0, 0.77%, 0.0000454%), (WMT, 0, 0.76%, 0.0000229%), (CVX, 0, 0.74%, 0.0000565%), (CAT, 0, 0.73%, 0.0000847%), (PG, 0, 0.73%, 0.0000493%), (ABBV, 0, 0.72%, 0.0000455%), (COST, 0, 0.71%, 0.0000420%), (RTX, 0, 0.70%, 0.0000817%), (HD, 0, 0.69%, 0.0000414%), (ABT, 0, 0.68%, 0.0000722%), (MCD, 0, 0.66%, 0.0000762%), (BAC, 0, 0.62%, 0.0000402%), (KO, 0, 0.56%, 0.0000484%), (GS, 0, 0.55%, 0.0000567%), (BKNG, 0, 0.55%, 0.0000776%), (IBM, 0, 0.55%, 0.0000551%), (PM, 0, 0.54%, 0.0000537%), (SO, 0, 0.54%, 0.0001331%), (BA, 0, 0.53%, 0.0000809%), (AMD, 0, 0.53%, 0.0000515%), (CRM, 0, 0.52%, 0.0000560%), (NKE, 0, 0.52%, 0.0001497%), (UBER, 0, 0.51%, 0.0000635%), (DUK, 0, 0.50%, 0.0001328%), (WFC, 0, 0.50%, 0.0000464%), (ETN, 0, 0.48%, 0.0000835%), (MET, 0, 0.47%, 0.0002228%), (HON, 0, 0.45%, 0.0000843%), (ISRG, 0, 0.45%, 0.0000728%), (NOW, 0, 0.44%, 0.0000553%), (MS, 0, 0.43%, 0.0000421%), (INTU, 0, 0.42%, 0.0000560%), (PEP, 0, 0.42%, 0.0000539%), (T, 0, 0.42%, 0.0002311%), (AXP, 0, 0.41%, 0.0000437%), (DE, 0, 0.40%, 0.0000773%), (QCOM, 0, 0.38%, 0.0000529%), (MRK, 0, 0.38%, 0.0000461%), (VZ, 0, 0.37%, 0.0000494%), (BLK, 0, 0.36%, 0.0000510%), (MDT, 0, 0.36%, 0.0000724%), (ADBE, 0, 0.36%, 0.0000585%), (SPGI, 0, 0.35%, 0.0000568%), (C, 0, 0.35%, 0.0000459%), (TXN, 0, 0.34%, 0.0000516%), (TMO, 0, 0.34%, 0.0000463%), (COP, 0, 0.34%, 0.0000717%), (UNP, 0, 0.34%, 0.0000642%), (ACN, 0, 0.34%, 0.0000559%), (LMT, 0, 0.33%, 0.0000752%), (DIS, 0, 0.33%, 0.0000394%), (AMAT, 0, 0.32%, 0.0000532%), (SCHW, 0, 0.30%, 0.0000446%), (SBUX, 0, 0.29%, 0.0000757%), (MMM, 0, 0.28%, 0.0000843%), (CVS, 0, 0.27%, 0.0000718%), (AMGN, 0, 0.27%, 0.0000453%), (TJX, 0, 0.26%, 0.0000421%), (INTC, 0, 0.26%, 0.0000477%), (GILD, 0, 0.26%, 0.0000457%), (LOW, 0, 0.25%, 0.0000419%), (PFE, 0, 0.25%, 0.0000453%), (EMR, 0, 0.25%, 0.0000833%), (MO, 0, 0.23%, 0.0000543%), (DHR, 0, 0.23%, 0.0000413%), (ELV, 0, 0.21%, 0.0000756%), (CMCSA, 0, 0.19%, 0.0000411%), (MDLZ, 0, 0.18%, 0.0000557%), (BMY, 0, 0.17%, 0.0000453%), (UPS, 0, 0.16%, 0.0000625%), (PYPL, 0, 0.15%, 0.0000580%), (USB, 0, 0.14%, 0.0000448%), (CL, 0, 0.13%, 0.0000496%), (FDX, 0, 0.13%, 0.0000598%), (TGT, 0, 0.07%, 0.0000425%), (nan, 0, -0.02%, 0.0000000%), (nan, 0, -0.02%, 0.0000000%)</t>
  </si>
  <si>
    <t>(AMZN, 0, 3.90%, 0.0002167%), (AVGO, 0, 3.63%, 0.0003037%), (META, 0, 2.88%, 0.0002339%), (BRK/B, 0, 2.13%, 0.0004299%), (TSLA, 0, 2.05%, 0.0002050%), (CSCO, 0, 1.79%, 0.0009103%), (LIN, 0, 1.77%, 0.0010903%), (JPM, 0, 1.71%, 0.0002729%), (XOM, 0, 1.51%, 0.0004261%), (AMT, 0, 1.46%, 0.0022064%), (V, 0, 1.38%, 0.0003290%), (LLY, 0, 1.19%, 0.0002263%), (ORCL, 0, 1.15%, 0.0001876%), (CB, 0, 1.14%, 0.0014484%), (GE, 0, 1.14%, 0.0005039%), (MA, 0, 1.13%, 0.0002973%), (WM, 0, 1.01%, 0.0015849%), (UNH, 0, 0.98%, 0.0004393%), (NFLX, 0, 0.88%, 0.0002358%), (PLTR, 0, 0.88%, 0.0002998%), (NEE, 0, 0.85%, 0.0007876%), (JNJ, 0, 0.83%, 0.0002713%), (WMT, 0, 0.82%, 0.0001365%), (CVX, 0, 0.80%, 0.0003374%), (CAT, 0, 0.79%, 0.0005061%), (PG, 0, 0.79%, 0.0002943%), (ABBV, 0, 0.78%, 0.0002716%), (COST, 0, 0.77%, 0.0002507%), (RTX, 0, 0.76%, 0.0004876%), (HD, 0, 0.75%, 0.0002470%), (ABT, 0, 0.74%, 0.0004313%), (MCD, 0, 0.72%, 0.0004554%), (BAC, 0, 0.67%, 0.0002402%), (KO, 0, 0.61%, 0.0002891%), (BKNG, 0, 0.60%, 0.0004653%), (GS, 0, 0.59%, 0.0003384%), (PM, 0, 0.59%, 0.0003204%), (IBM, 0, 0.59%, 0.0003291%), (SO, 0, 0.59%, 0.0007944%), (BA, 0, 0.58%, 0.0004830%), (AMD, 0, 0.57%, 0.0003071%), (CRM, 0, 0.57%, 0.0003341%), (NKE, 0, 0.56%, 0.0008934%), (UBER, 0, 0.55%, 0.0003792%), (DUK, 0, 0.54%, 0.0007930%), (WFC, 0, 0.54%, 0.0002770%), (ETN, 0, 0.53%, 0.0004986%), (MET, 0, 0.51%, 0.0013299%), (ISRG, 0, 0.49%, 0.0004344%), (HON, 0, 0.49%, 0.0005029%), (NOW, 0, 0.47%, 0.0003293%), (MS, 0, 0.46%, 0.0002513%), (INTU, 0, 0.46%, 0.0003343%), (PEP, 0, 0.45%, 0.0003219%), (T, 0, 0.45%, 0.0013796%), (AXP, 0, 0.44%, 0.0002612%), (DE, 0, 0.43%, 0.0004624%), (QCOM, 0, 0.42%, 0.0003161%), (MRK, 0, 0.41%, 0.0002750%), (VZ, 0, 0.40%, 0.0002947%), (BLK, 0, 0.39%, 0.0003042%), (ADBE, 0, 0.39%, 0.0003497%), (MDT, 0, 0.39%, 0.0004323%), (SPGI, 0, 0.38%, 0.0003392%), (C, 0, 0.37%, 0.0002739%), (TXN, 0, 0.37%, 0.0003083%), (TMO, 0, 0.37%, 0.0002765%), (UNP, 0, 0.37%, 0.0003839%), (COP, 0, 0.37%, 0.0004281%), (ACN, 0, 0.36%, 0.0003338%), (LMT, 0, 0.36%, 0.0004477%), (DIS, 0, 0.36%, 0.0002354%), (AMAT, 0, 0.34%, 0.0003177%), (SCHW, 0, 0.33%, 0.0002663%), (SBUX, 0, 0.31%, 0.0004523%), (MMM, 0, 0.30%, 0.0005034%), (CVS, 0, 0.30%, 0.0004286%), (AMGN, 0, 0.29%, 0.0002710%), (TJX, 0, 0.29%, 0.0002509%), (GILD, 0, 0.28%, 0.0002725%), (INTC, 0, 0.28%, 0.0002847%), (LOW, 0, 0.27%, 0.0002503%), (PFE, 0, 0.27%, 0.0002706%), (EMR, 0, 0.27%, 0.0004975%), (MO, 0, 0.25%, 0.0003239%), (DHR, 0, 0.25%, 0.0002470%), (ELV, 0, 0.23%, 0.0004513%), (CMCSA, 0, 0.21%, 0.0002454%), (MDLZ, 0, 0.20%, 0.0003324%), (BMY, 0, 0.18%, 0.0002705%), (UPS, 0, 0.17%, 0.0003732%), (PYPL, 0, 0.16%, 0.0003465%), (USB, 0, 0.15%, 0.0002673%), (CL, 0, 0.14%, 0.0002960%), (FDX, 0, 0.14%, 0.0003577%), (TGT, 0, 0.08%, 0.0002542%), (nan, 0, -0.02%, 0.0000000%), (nan, 0, -0.03%, 0.0000000%)</t>
  </si>
  <si>
    <t>(AMZN, 0, 3.90%, 0.0001615%), (AVGO, 0, 3.62%, 0.0002263%), (META, 0, 2.88%, 0.0001743%), (BRK/B, 0, 2.13%, 0.0003203%), (TSLA, 0, 2.05%, 0.0001527%), (CSCO, 0, 1.79%, 0.0006783%), (LIN, 0, 1.77%, 0.0008125%), (JPM, 0, 1.71%, 0.0002034%), (XOM, 0, 1.51%, 0.0003175%), (AMT, 0, 1.46%, 0.0016441%), (V, 0, 1.38%, 0.0002451%), (LLY, 0, 1.19%, 0.0001686%), (ORCL, 0, 1.15%, 0.0001398%), (CB, 0, 1.14%, 0.0010794%), (GE, 0, 1.14%, 0.0003755%), (MA, 0, 1.13%, 0.0002216%), (WM, 0, 1.01%, 0.0011810%), (UNH, 0, 0.97%, 0.0003273%), (NFLX, 0, 0.88%, 0.0001756%), (PLTR, 0, 0.88%, 0.0002235%), (NEE, 0, 0.85%, 0.0005869%), (JNJ, 0, 0.83%, 0.0002022%), (WMT, 0, 0.82%, 0.0001017%), (CVX, 0, 0.80%, 0.0002514%), (CAT, 0, 0.79%, 0.0003772%), (PG, 0, 0.79%, 0.0002193%), (ABBV, 0, 0.78%, 0.0002024%), (COST, 0, 0.77%, 0.0001868%), (RTX, 0, 0.76%, 0.0003633%), (HD, 0, 0.75%, 0.0001841%), (ABT, 0, 0.74%, 0.0003214%), (MCD, 0, 0.72%, 0.0003394%), (BAC, 0, 0.67%, 0.0001790%), (KO, 0, 0.60%, 0.0002154%), (BKNG, 0, 0.60%, 0.0003475%), (GS, 0, 0.59%, 0.0002521%), (PM, 0, 0.59%, 0.0002388%), (IBM, 0, 0.59%, 0.0002452%), (SO, 0, 0.58%, 0.0005920%), (BA, 0, 0.58%, 0.0003600%), (AMD, 0, 0.57%, 0.0002288%), (CRM, 0, 0.57%, 0.0002489%), (NKE, 0, 0.56%, 0.0006657%), (UBER, 0, 0.55%, 0.0002826%), (DUK, 0, 0.54%, 0.0005908%), (WFC, 0, 0.54%, 0.0002065%), (ETN, 0, 0.52%, 0.0003714%), (MET, 0, 0.51%, 0.0009911%), (ISRG, 0, 0.49%, 0.0003238%), (HON, 0, 0.49%, 0.0003749%), (NOW, 0, 0.47%, 0.0002457%), (MS, 0, 0.46%, 0.0001872%), (INTU, 0, 0.46%, 0.0002493%), (PEP, 0, 0.45%, 0.0002399%), (T, 0, 0.45%, 0.0010280%), (AXP, 0, 0.44%, 0.0001947%), (DE, 0, 0.43%, 0.0003444%), (QCOM, 0, 0.42%, 0.0002356%), (MRK, 0, 0.41%, 0.0002049%), (VZ, 0, 0.40%, 0.0002196%), (BLK, 0, 0.39%, 0.0002267%), (ADBE, 0, 0.39%, 0.0002606%), (MDT, 0, 0.39%, 0.0003221%), (SPGI, 0, 0.38%, 0.0002526%), (C, 0, 0.37%, 0.0002041%), (TXN, 0, 0.37%, 0.0002297%), (TMO, 0, 0.37%, 0.0002060%), (UNP, 0, 0.37%, 0.0002861%), (COP, 0, 0.36%, 0.0003190%), (ACN, 0, 0.36%, 0.0002487%), (LMT, 0, 0.36%, 0.0003336%), (DIS, 0, 0.36%, 0.0001754%), (AMAT, 0, 0.34%, 0.0002367%), (SCHW, 0, 0.33%, 0.0001984%), (SBUX, 0, 0.31%, 0.0003370%), (MMM, 0, 0.30%, 0.0003752%), (CVS, 0, 0.30%, 0.0003194%), (AMGN, 0, 0.29%, 0.0002021%), (TJX, 0, 0.29%, 0.0001870%), (GILD, 0, 0.28%, 0.0002030%), (INTC, 0, 0.28%, 0.0002121%), (LOW, 0, 0.27%, 0.0001867%), (PFE, 0, 0.27%, 0.0002017%), (EMR, 0, 0.27%, 0.0003708%), (MO, 0, 0.25%, 0.0002413%), (DHR, 0, 0.25%, 0.0001842%), (ELV, 0, 0.23%, 0.0003361%), (CMCSA, 0, 0.21%, 0.0001829%), (MDLZ, 0, 0.20%, 0.0002477%), (BMY, 0, 0.18%, 0.0002015%), (UPS, 0, 0.17%, 0.0002781%), (PYPL, 0, 0.16%, 0.0002582%), (USB, 0, 0.15%, 0.0001991%), (CL, 0, 0.14%, 0.0002206%), (FDX, 0, 0.14%, 0.0002666%), (TGT, 0, 0.08%, 0.0001895%), (nan, 0, -0.02%, 0.0000000%), (nan, 0, -0.03%, 0.0000000%)</t>
  </si>
  <si>
    <t>(AMZN, 0, 3.95%, 0.0000379%), (AVGO, 0, 3.67%, 0.0000530%), (META, 0, 2.92%, 0.0000409%), (BRK/B, 0, 2.15%, 0.0000751%), (TSLA, 0, 2.07%, 0.0000358%), (CSCO, 0, 1.81%, 0.0001590%), (LIN, 0, 1.79%, 0.0001904%), (JPM, 0, 1.73%, 0.0000477%), (XOM, 0, 1.53%, 0.0000744%), (AMT, 0, 1.48%, 0.0003853%), (V, 0, 1.40%, 0.0000575%), (LLY, 0, 1.21%, 0.0000396%), (ORCL, 0, 1.17%, 0.0000328%), (CB, 0, 1.16%, 0.0002531%), (GE, 0, 1.15%, 0.0000880%), (MA, 0, 1.15%, 0.0000519%), (WM, 0, 1.02%, 0.0002768%), (UNH, 0, 0.99%, 0.0000767%), (NFLX, 0, 0.89%, 0.0000411%), (PLTR, 0, 0.89%, 0.0000524%), (NEE, 0, 0.86%, 0.0001376%), (JNJ, 0, 0.84%, 0.0000474%), (WMT, 0, 0.83%, 0.0000238%), (CVX, 0, 0.81%, 0.0000590%), (CAT, 0, 0.80%, 0.0000884%), (PG, 0, 0.80%, 0.0000514%), (ABBV, 0, 0.79%, 0.0000474%), (COST, 0, 0.78%, 0.0000438%), (RTX, 0, 0.77%, 0.0000852%), (HD, 0, 0.76%, 0.0000432%), (ABT, 0, 0.75%, 0.0000753%), (MCD, 0, 0.73%, 0.0000796%), (BAC, 0, 0.68%, 0.0000420%), (KO, 0, 0.61%, 0.0000505%), (GS, 0, 0.60%, 0.0000590%), (BKNG, 0, 0.60%, 0.0000807%), (IBM, 0, 0.60%, 0.0000574%), (PM, 0, 0.60%, 0.0000560%), (SO, 0, 0.59%, 0.0001388%), (BA, 0, 0.59%, 0.0000843%), (AMD, 0, 0.58%, 0.0000536%), (CRM, 0, 0.57%, 0.0000584%), (NKE, 0, 0.57%, 0.0001561%), (UBER, 0, 0.55%, 0.0000662%), (DUK, 0, 0.55%, 0.0001385%), (WFC, 0, 0.54%, 0.0000484%), (ETN, 0, 0.53%, 0.0000871%), (MET, 0, 0.52%, 0.0002323%), (HON, 0, 0.50%, 0.0000879%), (ISRG, 0, 0.50%, 0.0000759%), (NOW, 0, 0.48%, 0.0000577%), (MS, 0, 0.47%, 0.0000439%), (INTU, 0, 0.47%, 0.0000585%), (PEP, 0, 0.46%, 0.0000562%), (T, 0, 0.46%, 0.0002410%), (AXP, 0, 0.45%, 0.0000456%), (DE, 0, 0.44%, 0.0000806%), (QCOM, 0, 0.42%, 0.0000552%), (MRK, 0, 0.41%, 0.0000480%), (VZ, 0, 0.40%, 0.0000515%), (BLK, 0, 0.40%, 0.0000530%), (ADBE, 0, 0.39%, 0.0000612%), (MDT, 0, 0.39%, 0.0000755%), (SPGI, 0, 0.39%, 0.0000591%), (C, 0, 0.38%, 0.0000479%), (TXN, 0, 0.38%, 0.0000538%), (UNP, 0, 0.37%, 0.0000671%), (COP, 0, 0.37%, 0.0000748%), (TMO, 0, 0.37%, 0.0000482%), (ACN, 0, 0.37%, 0.0000583%), (LMT, 0, 0.36%, 0.0000782%), (DIS, 0, 0.36%, 0.0000411%), (AMAT, 0, 0.35%, 0.0000555%), (SCHW, 0, 0.33%, 0.0000465%), (SBUX, 0, 0.32%, 0.0000790%), (MMM, 0, 0.31%, 0.0000879%), (CVS, 0, 0.30%, 0.0000748%), (AMGN, 0, 0.30%, 0.0000474%), (TJX, 0, 0.29%, 0.0000438%), (GILD, 0, 0.28%, 0.0000476%), (INTC, 0, 0.28%, 0.0000497%), (LOW, 0, 0.28%, 0.0000437%), (PFE, 0, 0.27%, 0.0000473%), (EMR, 0, 0.27%, 0.0000869%), (MO, 0, 0.26%, 0.0000566%), (DHR, 0, 0.25%, 0.0000432%), (ELV, 0, 0.23%, 0.0000787%), (CMCSA, 0, 0.21%, 0.0000429%), (MDLZ, 0, 0.20%, 0.0000580%), (BMY, 0, 0.19%, 0.0000473%), (UPS, 0, 0.17%, 0.0000652%), (PYPL, 0, 0.16%, 0.0000605%), (USB, 0, 0.15%, 0.0000467%), (CL, 0, 0.14%, 0.0000517%), (FDX, 0, 0.14%, 0.0000623%), (TGT, 0, 0.08%, 0.0000445%), (nan, 0, -0.02%, 0.0000000%), (nan, 0, -0.04%, 0.0000000%)</t>
  </si>
  <si>
    <t>(AMZN, 0, 3.76%, 0.0000666%), (AVGO, 0, 3.49%, 0.0000934%), (META, 0, 2.78%, 0.0000719%), (BRK/B, 0, 2.05%, 0.0001322%), (TSLA, 0, 1.98%, 0.0000630%), (CSCO, 0, 1.72%, 0.0002799%), (LIN, 0, 1.70%, 0.0003352%), (JPM, 0, 1.65%, 0.0000839%), (XOM, 0, 1.45%, 0.0001310%), (AMT, 0, 1.40%, 0.0006784%), (V, 0, 1.33%, 0.0001011%), (LLY, 0, 1.15%, 0.0000696%), (ORCL, 0, 1.11%, 0.0000577%), (CB, 0, 1.10%, 0.0004454%), (GE, 0, 1.10%, 0.0001549%), (MA, 0, 1.09%, 0.0000914%), (WM, 0, 0.97%, 0.0004873%), (UNH, 0, 0.94%, 0.0001350%), (PLTR, 0, 0.84%, 0.0000922%), (NFLX, 0, 0.84%, 0.0000725%), (NEE, 0, 0.82%, 0.0002421%), (JNJ, 0, 0.80%, 0.0000834%), (WMT, 0, 0.79%, 0.0000420%), (CVX, 0, 0.77%, 0.0001037%), (CAT, 0, 0.76%, 0.0001556%), (PG, 0, 0.76%, 0.0000905%), (ABBV, 0, 0.75%, 0.0000835%), (COST, 0, 0.75%, 0.0000772%), (RTX, 0, 0.73%, 0.0001499%), (HD, 0, 0.72%, 0.0000760%), (ABT, 0, 0.71%, 0.0001326%), (MCD, 0, 0.69%, 0.0001400%), (BAC, 0, 0.65%, 0.0000739%), (KO, 0, 0.58%, 0.0000889%), (BKNG, 0, 0.57%, 0.0001427%), (GS, 0, 0.57%, 0.0001040%), (IBM, 0, 0.57%, 0.0001012%), (PM, 0, 0.57%, 0.0000985%), (SO, 0, 0.56%, 0.0002442%), (BA, 0, 0.56%, 0.0001485%), (AMD, 0, 0.55%, 0.0000944%), (CRM, 0, 0.55%, 0.0001027%), (NKE, 0, 0.54%, 0.0002747%), (UBER, 0, 0.53%, 0.0001166%), (DUK, 0, 0.52%, 0.0002439%), (WFC, 0, 0.52%, 0.0000852%), (ETN, 0, 0.51%, 0.0001534%), (MET, 0, 0.49%, 0.0004089%), (HON, 0, 0.47%, 0.0001547%), (ISRG, 0, 0.47%, 0.0001334%), (NOW, 0, 0.46%, 0.0001014%), (MS, 0, 0.45%, 0.0000772%), (INTU, 0, 0.44%, 0.0001029%), (PEP, 0, 0.44%, 0.0000990%), (T, 0, 0.44%, 0.0004242%), (AXP, 0, 0.43%, 0.0000803%), (DE, 0, 0.42%, 0.0001420%), (QCOM, 0, 0.40%, 0.0000972%), (MRK, 0, 0.39%, 0.0000846%), (VZ, 0, 0.38%, 0.0000906%), (BLK, 0, 0.38%, 0.0000936%), (ADBE, 0, 0.37%, 0.0001075%), (MDT, 0, 0.37%, 0.0001329%), (SPGI, 0, 0.37%, 0.0001044%), (C, 0, 0.36%, 0.0000842%), (TXN, 0, 0.36%, 0.0000948%), (UNP, 0, 0.35%, 0.0001180%), (COP, 0, 0.35%, 0.0001316%), (TMO, 0, 0.35%, 0.0000849%), (ACN, 0, 0.35%, 0.0001026%), (LMT, 0, 0.35%, 0.0001379%), (DIS, 0, 0.34%, 0.0000724%), (AMAT, 0, 0.33%, 0.0000977%), (SCHW, 0, 0.32%, 0.0000819%), (SBUX, 0, 0.30%, 0.0001391%), (MMM, 0, 0.29%, 0.0001547%), (CVS, 0, 0.28%, 0.0001318%), (AMGN, 0, 0.28%, 0.0000834%), (TJX, 0, 0.27%, 0.0000772%), (INTC, 0, 0.27%, 0.0000875%), (GILD, 0, 0.27%, 0.0000837%), (LOW, 0, 0.26%, 0.0000770%), (PFE, 0, 0.26%, 0.0000832%), (EMR, 0, 0.26%, 0.0001530%), (MO, 0, 0.24%, 0.0000996%), (DHR, 0, 0.24%, 0.0000760%), (ELV, 0, 0.22%, 0.0001386%), (CMCSA, 0, 0.20%, 0.0000755%), (MDLZ, 0, 0.19%, 0.0001022%), (BMY, 0, 0.18%, 0.0000832%), (UPS, 0, 0.16%, 0.0001147%), (PYPL, 0, 0.16%, 0.0001066%), (USB, 0, 0.15%, 0.0000822%), (CL, 0, 0.14%, 0.0000911%), (FDX, 0, 0.13%, 0.0001102%), (TGT, 0, 0.07%, 0.0000781%), (nan, 0, -0.02%, 0.0000000%), (nan, 0, -0.03%, 0.0000000%)</t>
  </si>
  <si>
    <t>(AMZN, 0, 3.84%, 0.0000241%), (AVGO, 0, 3.56%, 0.0000337%), (META, 0, 2.84%, 0.0000260%), (BRK/B, 0, 2.09%, 0.0000477%), (TSLA, 0, 2.01%, 0.0000228%), (CSCO, 0, 1.76%, 0.0001011%), (LIN, 0, 1.74%, 0.0001210%), (JPM, 0, 1.68%, 0.0000303%), (XOM, 0, 1.48%, 0.0000473%), (AMT, 0, 1.43%, 0.0002450%), (V, 0, 1.36%, 0.0000365%), (LLY, 0, 1.17%, 0.0000252%), (ORCL, 0, 1.14%, 0.0000208%), (GE, 0, 1.12%, 0.0000559%), (CB, 0, 1.12%, 0.0001608%), (MA, 0, 1.11%, 0.0000330%), (WM, 0, 0.99%, 0.0001760%), (UNH, 0, 0.96%, 0.0000488%), (NFLX, 0, 0.87%, 0.0000262%), (PLTR, 0, 0.86%, 0.0000333%), (NEE, 0, 0.83%, 0.0000874%), (JNJ, 0, 0.82%, 0.0000301%), (WMT, 0, 0.81%, 0.0000152%), (CVX, 0, 0.79%, 0.0000375%), (PG, 0, 0.78%, 0.0000327%), (CAT, 0, 0.77%, 0.0000561%), (ABBV, 0, 0.76%, 0.0000302%), (COST, 0, 0.76%, 0.0000278%), (RTX, 0, 0.74%, 0.0000541%), (HD, 0, 0.74%, 0.0000274%), (ABT, 0, 0.72%, 0.0000479%), (MCD, 0, 0.70%, 0.0000506%), (BAC, 0, 0.66%, 0.0000267%), (BKNG, 0, 0.60%, 0.0000527%), (KO, 0, 0.59%, 0.0000321%), (GS, 0, 0.59%, 0.0000377%), (PM, 0, 0.58%, 0.0000356%), (IBM, 0, 0.58%, 0.0000366%), (SO, 0, 0.57%, 0.0000882%), (BA, 0, 0.57%, 0.0000537%), (AMD, 0, 0.56%, 0.0000341%), (CRM, 0, 0.56%, 0.0000371%), (NKE, 0, 0.55%, 0.0000992%), (UBER, 0, 0.54%, 0.0000421%), (DUK, 0, 0.53%, 0.0000880%), (WFC, 0, 0.53%, 0.0000308%), (ETN, 0, 0.52%, 0.0000555%), (MET, 0, 0.50%, 0.0001477%), (HON, 0, 0.48%, 0.0000559%), (ISRG, 0, 0.48%, 0.0000482%), (NOW, 0, 0.47%, 0.0000365%), (MS, 0, 0.46%, 0.0000279%), (INTU, 0, 0.45%, 0.0000373%), (PEP, 0, 0.45%, 0.0000358%), (T, 0, 0.44%, 0.0001532%), (AXP, 0, 0.44%, 0.0000290%), (DE, 0, 0.43%, 0.0000514%), (QCOM, 0, 0.41%, 0.0000351%), (MRK, 0, 0.40%, 0.0000305%), (VZ, 0, 0.39%, 0.0000327%), (ADBE, 0, 0.39%, 0.0000389%), (BLK, 0, 0.38%, 0.0000336%), (MDT, 0, 0.38%, 0.0000480%), (SPGI, 0, 0.37%, 0.0000376%), (C, 0, 0.37%, 0.0000304%), (TXN, 0, 0.37%, 0.0000342%), (COP, 0, 0.36%, 0.0000476%), (TMO, 0, 0.36%, 0.0000306%), (UNP, 0, 0.36%, 0.0000427%), (ACN, 0, 0.36%, 0.0000371%), (LMT, 0, 0.35%, 0.0000497%), (DIS, 0, 0.35%, 0.0000261%), (AMAT, 0, 0.33%, 0.0000353%), (SCHW, 0, 0.32%, 0.0000296%), (SBUX, 0, 0.31%, 0.0000502%), (MMM, 0, 0.30%, 0.0000559%), (CVS, 0, 0.29%, 0.0000476%), (AMGN, 0, 0.29%, 0.0000301%), (TJX, 0, 0.28%, 0.0000279%), (INTC, 0, 0.28%, 0.0000316%), (GILD, 0, 0.28%, 0.0000303%), (LOW, 0, 0.27%, 0.0000278%), (PFE, 0, 0.27%, 0.0000301%), (EMR, 0, 0.27%, 0.0000553%), (MO, 0, 0.25%, 0.0000360%), (DHR, 0, 0.25%, 0.0000275%), (ELV, 0, 0.23%, 0.0000499%), (CMCSA, 0, 0.20%, 0.0000272%), (MDLZ, 0, 0.19%, 0.0000369%), (BMY, 0, 0.18%, 0.0000300%), (UPS, 0, 0.17%, 0.0000414%), (PYPL, 0, 0.16%, 0.0000385%), (USB, 0, 0.15%, 0.0000297%), (CL, 0, 0.14%, 0.0000329%), (FDX, 0, 0.14%, 0.0000398%), (TGT, 0, 0.07%, 0.0000282%), (nan, 0, -0.02%, 0.0000000%), (nan, 0, -0.02%, 0.0000000%)</t>
  </si>
  <si>
    <t>(AMZN, 0, 4.06%, 0.0000574%), (AVGO, 0, 3.77%, 0.0000805%), (META, 0, 2.99%, 0.0000620%), (BRK/B, 0, 2.21%, 0.0001140%), (TSLA, 0, 2.13%, 0.0000543%), (CSCO, 0, 1.86%, 0.0002413%), (LIN, 0, 1.84%, 0.0002889%), (JPM, 0, 1.78%, 0.0000723%), (XOM, 0, 1.57%, 0.0001129%), (AMT, 0, 1.52%, 0.0005849%), (V, 0, 1.44%, 0.0000872%), (LLY, 0, 1.24%, 0.0000600%), (ORCL, 0, 1.20%, 0.0000497%), (CB, 0, 1.19%, 0.0003839%), (GE, 0, 1.18%, 0.0001336%), (MA, 0, 1.18%, 0.0000788%), (WM, 0, 1.05%, 0.0004200%), (UNH, 0, 1.01%, 0.0001165%), (NFLX, 0, 0.91%, 0.0000625%), (PLTR, 0, 0.91%, 0.0000795%), (NEE, 0, 0.88%, 0.0002087%), (JNJ, 0, 0.87%, 0.0000719%), (WMT, 0, 0.86%, 0.0000362%), (CVX, 0, 0.83%, 0.0000894%), (PG, 0, 0.82%, 0.0000780%), (CAT, 0, 0.82%, 0.0001341%), (ABBV, 0, 0.81%, 0.0000720%), (COST, 0, 0.80%, 0.0000663%), (RTX, 0, 0.79%, 0.0001292%), (HD, 0, 0.78%, 0.0000655%), (ABT, 0, 0.77%, 0.0001143%), (MCD, 0, 0.74%, 0.0001207%), (BAC, 0, 0.70%, 0.0000637%), (KO, 0, 0.63%, 0.0000766%), (BKNG, 0, 0.62%, 0.0001241%), (GS, 0, 0.61%, 0.0000897%), (PM, 0, 0.61%, 0.0000849%), (IBM, 0, 0.61%, 0.0000872%), (SO, 0, 0.61%, 0.0002105%), (BA, 0, 0.60%, 0.0001280%), (AMD, 0, 0.60%, 0.0000814%), (CRM, 0, 0.59%, 0.0000886%), (NKE, 0, 0.58%, 0.0002368%), (UBER, 0, 0.57%, 0.0001005%), (DUK, 0, 0.56%, 0.0002102%), (WFC, 0, 0.56%, 0.0000734%), (ETN, 0, 0.55%, 0.0001320%), (MET, 0, 0.53%, 0.0003525%), (HON, 0, 0.51%, 0.0001333%), (ISRG, 0, 0.51%, 0.0001151%), (NOW, 0, 0.50%, 0.0000875%), (MS, 0, 0.48%, 0.0000666%), (PEP, 0, 0.47%, 0.0000853%), (INTU, 0, 0.47%, 0.0000886%), (T, 0, 0.47%, 0.0003656%), (AXP, 0, 0.46%, 0.0000692%), (DE, 0, 0.45%, 0.0001224%), (QCOM, 0, 0.43%, 0.0000838%), (MRK, 0, 0.43%, 0.0000729%), (VZ, 0, 0.41%, 0.0000781%), (BLK, 0, 0.41%, 0.0000807%), (ADBE, 0, 0.40%, 0.0000927%), (MDT, 0, 0.40%, 0.0001146%), (SPGI, 0, 0.40%, 0.0000898%), (C, 0, 0.39%, 0.0000726%), (TXN, 0, 0.39%, 0.0000817%), (COP, 0, 0.38%, 0.0001135%), (TMO, 0, 0.38%, 0.0000732%), (UNP, 0, 0.38%, 0.0001017%), (ACN, 0, 0.38%, 0.0000885%), (LMT, 0, 0.37%, 0.0001188%), (DIS, 0, 0.37%, 0.0000624%), (AMAT, 0, 0.35%, 0.0000842%), (SCHW, 0, 0.34%, 0.0000706%), (SBUX, 0, 0.32%, 0.0001198%), (MMM, 0, 0.32%, 0.0001335%), (CVS, 0, 0.31%, 0.0001136%), (AMGN, 0, 0.31%, 0.0000719%), (TJX, 0, 0.30%, 0.0000665%), (GILD, 0, 0.29%, 0.0000722%), (INTC, 0, 0.29%, 0.0000755%), (LOW, 0, 0.29%, 0.0000663%), (PFE, 0, 0.28%, 0.0000717%), (EMR, 0, 0.28%, 0.0001318%), (MO, 0, 0.26%, 0.0000858%), (DHR, 0, 0.26%, 0.0000655%), (ELV, 0, 0.24%, 0.0001197%), (CMCSA, 0, 0.21%, 0.0000650%), (MDLZ, 0, 0.21%, 0.0000881%), (BMY, 0, 0.19%, 0.0000717%), (UPS, 0, 0.18%, 0.0000989%), (PYPL, 0, 0.17%, 0.0000918%), (USB, 0, 0.16%, 0.0000708%), (CL, 0, 0.15%, 0.0000784%), (FDX, 0, 0.14%, 0.0000949%), (TGT, 0, 0.08%, 0.0000673%), (nan, 0, -0.02%, 0.0000000%), (nan, 0, -0.04%, 0.0000000%)</t>
  </si>
  <si>
    <t>GOOGLE, EBAY, BK, META, MLI, JPM, MSFT, RJF, EA, AXP, BLK</t>
  </si>
  <si>
    <t>(PHM, 0, 1.97%, 0.0041413%), (EWBC, 0, 1.96%, 0.0071353%), (KLAC, 0, 1.92%, 0.0007656%), (BKNG, 0, 1.89%, 0.0005925%), (AMAT, 0, 1.88%, 0.0006841%), (TRV, 0, 1.83%, 0.0016224%), (HIG, 0, 1.82%, 0.0027335%), (UNM, 0, 1.78%, 0.0075144%), (SNA, 0, 1.75%, 0.0054550%), (V, 0, 1.75%, 0.0001675%), (NVDA, 0, 1.70%, 0.0000219%), (ROST, 0, 1.68%, 0.0019488%), (PCAR, 0, 1.66%, 0.0017129%), (SYF, 0, 1.65%, 0.0032984%), (LEN, 0, 1.62%, 0.0030008%), (ADP, 0, 1.61%, 0.0007514%), (CB, 0, 1.60%, 0.0008157%), (CTSH, 0, 1.47%, 0.0023821%), (WSM, 0, 1.46%, 0.0033032%), (BKR, 0, 1.46%, 0.0017147%), (CRM, 0, 1.45%, 0.0003423%), (QCOM, 0, 1.40%, 0.0004253%), (DHI, 0, 1.38%, 0.0015156%), (PAYC, 0, 1.37%, 0.0060128%), (LRCX, 0, 1.35%, 0.0004666%), (AAPL, 0, 1.28%, 0.0000201%), (ELV, 0, 1.25%, 0.0009805%), (AFL, 0, 1.23%, 0.0011749%), (MPWR, 0, 1.21%, 0.0015159%), (ACN, 0, 1.18%, 0.0004353%), (GE, 0, 1.11%, 0.0001947%), (CSCO, 0, 1.06%, 0.0002153%), (ODFL, 0, 1.01%, 0.0018547%), (STT, 0, 0.97%, 0.0016891%), (PNC, 0, 0.95%, 0.0006414%), (MTB, 0, 0.92%, 0.0016338%), (ABT, 0, 0.83%, 0.0001953%), (CF, 0, 0.82%, 0.0033289%), (AMP, 0, 0.82%, 0.0009892%), (XOM, 0, 0.82%, 0.0000927%), (COST, 0, 0.82%, 0.0001065%), (EOG, 0, 0.76%, 0.0006507%), (EG, 0, 0.73%, 0.0028452%), (CSL, 0, 0.64%, 0.0025320%), (GEV, 0, 0.53%, 0.0001773%), (NTRS, 0, 0.53%, 0.0011580%), (ACM, 0, 0.50%, 0.0015644%), (MA, 0, 0.49%, 0.0000513%), (JNJ, 0, 0.46%, 0.0000608%), (JXN, 0, 0.45%, 0.0035491%), (MTG, 0, 0.45%, 0.0038460%), (CRBG, 0, 0.45%, 0.0013967%), (WTFC, 0, 0.44%, 0.0026347%), (LNC, 0, 0.43%, 0.0031531%), (CINF, 0, 0.43%, 0.0009762%), (EQH, 0, 0.42%, 0.0014172%), (ALL, 0, 0.41%, 0.0004114%), (ADM, 0, 0.40%, 0.0007591%), (DOV, 0, 0.40%, 0.0009333%), (MCK, 0, 0.40%, 0.0002541%), (SLM, 0, 0.36%, 0.0034629%), (NUE, 0, 0.36%, 0.0006378%), (PGR, 0, 0.35%, 0.0001363%), (NKE, 0, 0.35%, 0.0002244%), (FANG, 0, 0.29%, 0.0003938%)</t>
  </si>
  <si>
    <t>(AMZN, 0, 3.72%, 0.0000613%), (AVGO, 0, 3.45%, 0.0000858%), (META, 0, 2.75%, 0.0000661%), (BRK/B, 0, 2.03%, 0.0001215%), (TSLA, 0, 1.96%, 0.0000579%), (CSCO, 0, 1.71%, 0.0002573%), (LIN, 0, 1.69%, 0.0003082%), (JPM, 0, 1.63%, 0.0000771%), (XOM, 0, 1.44%, 0.0001204%), (AMT, 0, 1.39%, 0.0006237%), (V, 0, 1.32%, 0.0000930%), (LLY, 0, 1.14%, 0.0000640%), (ORCL, 0, 1.10%, 0.0000530%), (GE, 0, 1.09%, 0.0001425%), (CB, 0, 1.09%, 0.0004093%), (MA, 0, 1.08%, 0.0000840%), (WM, 0, 0.96%, 0.0004480%), (UNH, 0, 0.93%, 0.0001242%), (PLTR, 0, 0.84%, 0.0000848%), (NFLX, 0, 0.83%, 0.0000666%), (NEE, 0, 0.81%, 0.0002227%), (JNJ, 0, 0.79%, 0.0000767%), (WMT, 0, 0.79%, 0.0000386%), (CVX, 0, 0.76%, 0.0000954%), (CAT, 0, 0.76%, 0.0001430%), (PG, 0, 0.75%, 0.0000832%), (ABBV, 0, 0.74%, 0.0000768%), (COST, 0, 0.74%, 0.0000709%), (RTX, 0, 0.72%, 0.0001378%), (HD, 0, 0.72%, 0.0000698%), (ABT, 0, 0.70%, 0.0001219%), (MCD, 0, 0.68%, 0.0001288%), (BAC, 0, 0.64%, 0.0000679%), (KO, 0, 0.58%, 0.0000817%), (BKNG, 0, 0.56%, 0.0001303%), (GS, 0, 0.56%, 0.0000957%), (IBM, 0, 0.56%, 0.0000931%), (PM, 0, 0.56%, 0.0000906%), (SO, 0, 0.56%, 0.0002246%), (BA, 0, 0.55%, 0.0001366%), (AMD, 0, 0.55%, 0.0000868%), (CRM, 0, 0.54%, 0.0000944%), (NKE, 0, 0.53%, 0.0002525%), (UBER, 0, 0.52%, 0.0001072%), (DUK, 0, 0.52%, 0.0002242%), (WFC, 0, 0.51%, 0.0000783%), (ETN, 0, 0.50%, 0.0001410%), (MET, 0, 0.49%, 0.0003759%), (HON, 0, 0.47%, 0.0001422%), (ISRG, 0, 0.47%, 0.0001227%), (NOW, 0, 0.45%, 0.0000933%), (MS, 0, 0.44%, 0.0000710%), (INTU, 0, 0.43%, 0.0000947%), (PEP, 0, 0.43%, 0.0000910%), (T, 0, 0.43%, 0.0003900%), (AXP, 0, 0.43%, 0.0000739%), (DE, 0, 0.41%, 0.0001306%), (QCOM, 0, 0.40%, 0.0000893%), (MRK, 0, 0.39%, 0.0000777%), (VZ, 0, 0.38%, 0.0000833%), (BLK, 0, 0.37%, 0.0000859%), (ADBE, 0, 0.37%, 0.0000989%), (MDT, 0, 0.37%, 0.0001222%), (SPGI, 0, 0.36%, 0.0000958%), (C, 0, 0.36%, 0.0000774%), (TXN, 0, 0.35%, 0.0000872%), (UNP, 0, 0.35%, 0.0001086%), (TMO, 0, 0.35%, 0.0000783%), (COP, 0, 0.35%, 0.0001210%), (ACN, 0, 0.35%, 0.0000944%), (LMT, 0, 0.34%, 0.0001266%), (DIS, 0, 0.34%, 0.0000665%), (AMAT, 0, 0.32%, 0.0000899%), (SCHW, 0, 0.31%, 0.0000753%), (SBUX, 0, 0.30%, 0.0001278%), (MMM, 0, 0.29%, 0.0001423%), (CVS, 0, 0.28%, 0.0001212%), (AMGN, 0, 0.28%, 0.0000767%), (TJX, 0, 0.27%, 0.0000709%), (INTC, 0, 0.27%, 0.0000805%), (GILD, 0, 0.27%, 0.0000771%), (LOW, 0, 0.26%, 0.0000708%), (PFE, 0, 0.26%, 0.0000765%), (EMR, 0, 0.26%, 0.0001407%), (MO, 0, 0.24%, 0.0000916%), (DHR, 0, 0.24%, 0.0000698%), (ELV, 0, 0.22%, 0.0001273%), (CMCSA, 0, 0.20%, 0.0000694%), (MDLZ, 0, 0.19%, 0.0000940%), (BMY, 0, 0.18%, 0.0000765%), (UPS, 0, 0.16%, 0.0001054%), (PYPL, 0, 0.15%, 0.0000979%), (USB, 0, 0.15%, 0.0000756%), (CL, 0, 0.14%, 0.0000837%), (FDX, 0, 0.13%, 0.0001013%), (TGT, 0, 0.07%, 0.0000717%), (nan, 0, -0.02%, 0.0000000%), (nan, 0, -0.02%, 0.0000000%)</t>
  </si>
  <si>
    <t>(AMZN, 0, 3.89%, 0.0001253%), (AVGO, 0, 3.61%, 0.0001755%), (META, 0, 2.88%, 0.0001352%), (BRK/B, 0, 2.12%, 0.0002485%), (TSLA, 0, 2.05%, 0.0001185%), (CSCO, 0, 1.79%, 0.0005261%), (LIN, 0, 1.77%, 0.0006303%), (JPM, 0, 1.71%, 0.0001577%), (XOM, 0, 1.50%, 0.0002463%), (AMT, 0, 1.45%, 0.0012752%), (V, 0, 1.38%, 0.0001901%), (LLY, 0, 1.19%, 0.0001307%), (ORCL, 0, 1.15%, 0.0001084%), (CB, 0, 1.14%, 0.0008372%), (GE, 0, 1.14%, 0.0002912%), (MA, 0, 1.13%, 0.0001719%), (WM, 0, 1.00%, 0.0009159%), (UNH, 0, 0.97%, 0.0002539%), (NFLX, 0, 0.88%, 0.0001362%), (PLTR, 0, 0.87%, 0.0001733%), (NEE, 0, 0.85%, 0.0004552%), (JNJ, 0, 0.83%, 0.0001568%), (WMT, 0, 0.82%, 0.0000789%), (CVX, 0, 0.80%, 0.0001950%), (CAT, 0, 0.79%, 0.0002924%), (PG, 0, 0.79%, 0.0001701%), (ABBV, 0, 0.77%, 0.0001570%), (COST, 0, 0.77%, 0.0001449%), (RTX, 0, 0.75%, 0.0002818%), (HD, 0, 0.75%, 0.0001428%), (ABT, 0, 0.73%, 0.0002492%), (MCD, 0, 0.71%, 0.0002632%), (BAC, 0, 0.67%, 0.0001388%), (KO, 0, 0.60%, 0.0001671%), (BKNG, 0, 0.60%, 0.0002699%), (GS, 0, 0.59%, 0.0001957%), (IBM, 0, 0.59%, 0.0001902%), (PM, 0, 0.59%, 0.0001852%), (SO, 0, 0.58%, 0.0004591%), (BA, 0, 0.58%, 0.0002792%), (AMD, 0, 0.57%, 0.0001775%), (CRM, 0, 0.56%, 0.0001931%), (NKE, 0, 0.56%, 0.0005163%), (UBER, 0, 0.55%, 0.0002191%), (DUK, 0, 0.54%, 0.0004583%), (WFC, 0, 0.54%, 0.0001601%), (ETN, 0, 0.52%, 0.0002882%), (MET, 0, 0.51%, 0.0007687%), (HON, 0, 0.49%, 0.0002908%), (ISRG, 0, 0.49%, 0.0002511%), (NOW, 0, 0.47%, 0.0001904%), (MS, 0, 0.46%, 0.0001452%), (INTU, 0, 0.46%, 0.0001933%), (PEP, 0, 0.45%, 0.0001861%), (T, 0, 0.45%, 0.0007973%), (AXP, 0, 0.44%, 0.0001510%), (DE, 0, 0.43%, 0.0002671%), (QCOM, 0, 0.42%, 0.0001828%), (MRK, 0, 0.41%, 0.0001589%), (VZ, 0, 0.40%, 0.0001703%), (ADBE, 0, 0.39%, 0.0002021%), (BLK, 0, 0.39%, 0.0001757%), (MDT, 0, 0.39%, 0.0002499%), (SPGI, 0, 0.38%, 0.0001958%), (C, 0, 0.37%, 0.0001583%), (TXN, 0, 0.37%, 0.0001782%), (TMO, 0, 0.36%, 0.0001597%), (UNP, 0, 0.36%, 0.0002219%), (COP, 0, 0.36%, 0.0002474%), (ACN, 0, 0.36%, 0.0001928%), (LMT, 0, 0.36%, 0.0002589%), (DIS, 0, 0.35%, 0.0001360%), (AMAT, 0, 0.34%, 0.0001836%), (SCHW, 0, 0.33%, 0.0001539%), (SBUX, 0, 0.31%, 0.0002614%), (MMM, 0, 0.30%, 0.0002910%), (CVS, 0, 0.29%, 0.0002477%), (AMGN, 0, 0.29%, 0.0001566%), (TJX, 0, 0.28%, 0.0001450%), (INTC, 0, 0.28%, 0.0001645%), (GILD, 0, 0.28%, 0.0001575%), (LOW, 0, 0.27%, 0.0001448%), (PFE, 0, 0.27%, 0.0001564%), (EMR, 0, 0.27%, 0.0002875%), (MO, 0, 0.25%, 0.0001872%), (DHR, 0, 0.25%, 0.0001428%), (ELV, 0, 0.23%, 0.0002610%), (CMCSA, 0, 0.21%, 0.0001418%), (MDLZ, 0, 0.20%, 0.0001921%), (BMY, 0, 0.18%, 0.0001564%), (UPS, 0, 0.17%, 0.0002156%), (PYPL, 0, 0.16%, 0.0002002%), (USB, 0, 0.15%, 0.0001544%), (CL, 0, 0.14%, 0.0001711%), (FDX, 0, 0.14%, 0.0002068%), (TGT, 0, 0.08%, 0.0001468%), (nan, 0, -0.02%, 0.0000000%), (nan, 0, -0.03%, 0.0000000%)</t>
  </si>
  <si>
    <t>(AMZN, 0, 3.67%, 0.0002504%), (AVGO, 0, 3.41%, 0.0003508%), (META, 0, 2.71%, 0.0002702%), (BRK/B, 0, 2.00%, 0.0004966%), (TSLA, 0, 1.93%, 0.0002368%), (CSCO, 0, 1.68%, 0.0010515%), (LIN, 0, 1.67%, 0.0012595%), (JPM, 0, 1.61%, 0.0003153%), (XOM, 0, 1.42%, 0.0004922%), (AMT, 0, 1.37%, 0.0025486%), (V, 0, 1.30%, 0.0003799%), (LLY, 0, 1.12%, 0.0002614%), (ORCL, 0, 1.09%, 0.0002166%), (CB, 0, 1.08%, 0.0016732%), (GE, 0, 1.07%, 0.0005821%), (MA, 0, 1.07%, 0.0003434%), (WM, 0, 0.95%, 0.0018309%), (UNH, 0, 0.92%, 0.0005074%), (NFLX, 0, 0.83%, 0.0002723%), (PLTR, 0, 0.82%, 0.0003464%), (NEE, 0, 0.80%, 0.0009098%), (JNJ, 0, 0.78%, 0.0003134%), (WMT, 0, 0.78%, 0.0001576%), (CVX, 0, 0.75%, 0.0003897%), (CAT, 0, 0.75%, 0.0005847%), (PG, 0, 0.74%, 0.0003400%), (ABBV, 0, 0.73%, 0.0003137%), (COST, 0, 0.73%, 0.0002895%), (RTX, 0, 0.71%, 0.0005632%), (HD, 0, 0.71%, 0.0002854%), (ABT, 0, 0.69%, 0.0004981%), (MCD, 0, 0.67%, 0.0005261%), (BAC, 0, 0.63%, 0.0002775%), (KO, 0, 0.57%, 0.0003339%), (BKNG, 0, 0.56%, 0.0005367%), (GS, 0, 0.56%, 0.0003908%), (PM, 0, 0.56%, 0.0003701%), (IBM, 0, 0.55%, 0.0003801%), (SO, 0, 0.55%, 0.0009176%), (BA, 0, 0.54%, 0.0005580%), (AMD, 0, 0.54%, 0.0003547%), (CRM, 0, 0.53%, 0.0003859%), (NKE, 0, 0.53%, 0.0010319%), (UBER, 0, 0.52%, 0.0004380%), (DUK, 0, 0.51%, 0.0009159%), (WFC, 0, 0.51%, 0.0003200%), (ETN, 0, 0.49%, 0.0005759%), (MET, 0, 0.48%, 0.0015362%), (HON, 0, 0.46%, 0.0005810%), (ISRG, 0, 0.46%, 0.0005018%), (NOW, 0, 0.45%, 0.0003808%), (MS, 0, 0.44%, 0.0002902%), (INTU, 0, 0.43%, 0.0003863%), (PEP, 0, 0.43%, 0.0003718%), (T, 0, 0.43%, 0.0015935%), (AXP, 0, 0.42%, 0.0003018%), (DE, 0, 0.41%, 0.0005338%), (QCOM, 0, 0.39%, 0.0003652%), (MRK, 0, 0.39%, 0.0003176%), (VZ, 0, 0.37%, 0.0003404%), (BLK, 0, 0.37%, 0.0003513%), (ADBE, 0, 0.37%, 0.0004042%), (MDT, 0, 0.36%, 0.0004993%), (SPGI, 0, 0.36%, 0.0003917%), (C, 0, 0.35%, 0.0003163%), (TXN, 0, 0.35%, 0.0003560%), (TMO, 0, 0.34%, 0.0003194%), (UNP, 0, 0.34%, 0.0004434%), (COP, 0, 0.34%, 0.0004945%), (ACN, 0, 0.34%, 0.0003855%), (LMT, 0, 0.34%, 0.0005173%), (DIS, 0, 0.33%, 0.0002719%), (AMAT, 0, 0.32%, 0.0003670%), (SCHW, 0, 0.31%, 0.0003076%), (SBUX, 0, 0.29%, 0.0005224%), (MMM, 0, 0.29%, 0.0005815%), (CVS, 0, 0.28%, 0.0004951%), (AMGN, 0, 0.28%, 0.0003132%), (TJX, 0, 0.27%, 0.0002898%), (GILD, 0, 0.26%, 0.0003147%), (INTC, 0, 0.26%, 0.0003289%), (LOW, 0, 0.26%, 0.0002892%), (PFE, 0, 0.26%, 0.0003126%), (EMR, 0, 0.25%, 0.0005748%), (MO, 0, 0.24%, 0.0003741%), (DHR, 0, 0.23%, 0.0002854%), (ELV, 0, 0.22%, 0.0005211%), (CMCSA, 0, 0.19%, 0.0002835%), (MDLZ, 0, 0.19%, 0.0003840%), (BMY, 0, 0.17%, 0.0003125%), (UPS, 0, 0.16%, 0.0004310%), (PYPL, 0, 0.15%, 0.0004001%), (USB, 0, 0.14%, 0.0003086%), (CL, 0, 0.13%, 0.0003419%), (FDX, 0, 0.13%, 0.0004132%), (TGT, 0, 0.07%, 0.0002936%), (nan, 0, -0.02%, 0.0000000%), (nan, 0, -0.03%, 0.0000000%)</t>
  </si>
  <si>
    <t>(AMZN, 0, 3.59%, 0.0000363%), (AVGO, 0, 3.33%, 0.0000509%), (META, 0, 2.64%, 0.0000392%), (BRK/B, 0, 1.96%, 0.0000720%), (TSLA, 0, 1.91%, 0.0000343%), (LIN, 0, 1.64%, 0.0001827%), (CSCO, 0, 1.64%, 0.0001525%), (JPM, 0, 1.58%, 0.0000457%), (XOM, 0, 1.38%, 0.0000714%), (AMT, 0, 1.34%, 0.0003695%), (V, 0, 1.28%, 0.0000551%), (ORCL, 0, 1.10%, 0.0000314%), (LLY, 0, 1.08%, 0.0000379%), (GE, 0, 1.06%, 0.0000844%), (CB, 0, 1.05%, 0.0002427%), (MA, 0, 1.04%, 0.0000498%), (WM, 0, 0.93%, 0.0002656%), (UNH, 0, 0.90%, 0.0000736%), (PLTR, 0, 0.82%, 0.0000502%), (NFLX, 0, 0.82%, 0.0000394%), (NEE, 0, 0.78%, 0.0001319%), (JNJ, 0, 0.77%, 0.0000454%), (WMT, 0, 0.75%, 0.0000229%), (CAT, 0, 0.73%, 0.0000847%), (CVX, 0, 0.73%, 0.0000565%), (PG, 0, 0.72%, 0.0000493%), (ABBV, 0, 0.72%, 0.0000455%), (COST, 0, 0.71%, 0.0000420%), (RTX, 0, 0.69%, 0.0000817%), (HD, 0, 0.69%, 0.0000414%), (ABT, 0, 0.68%, 0.0000722%), (MCD, 0, 0.66%, 0.0000762%), (BAC, 0, 0.62%, 0.0000402%), (KO, 0, 0.56%, 0.0000484%), (GS, 0, 0.55%, 0.0000567%), (PM, 0, 0.55%, 0.0000537%), (BKNG, 0, 0.55%, 0.0000776%), (IBM, 0, 0.55%, 0.0000551%), (SO, 0, 0.54%, 0.0001331%), (BA, 0, 0.53%, 0.0000809%), (AMD, 0, 0.53%, 0.0000515%), (CRM, 0, 0.53%, 0.0000560%), (UBER, 0, 0.52%, 0.0000635%), (NKE, 0, 0.51%, 0.0001497%), (DUK, 0, 0.50%, 0.0001328%), (WFC, 0, 0.50%, 0.0000464%), (ETN, 0, 0.49%, 0.0000835%), (MET, 0, 0.47%, 0.0002228%), (ISRG, 0, 0.45%, 0.0000728%), (HON, 0, 0.45%, 0.0000843%), (NOW, 0, 0.44%, 0.0000553%), (INTU, 0, 0.43%, 0.0000560%), (MS, 0, 0.43%, 0.0000421%), (PEP, 0, 0.42%, 0.0000539%), (T, 0, 0.41%, 0.0002311%), (AXP, 0, 0.41%, 0.0000437%), (DE, 0, 0.39%, 0.0000773%), (QCOM, 0, 0.38%, 0.0000529%), (MRK, 0, 0.38%, 0.0000461%), (VZ, 0, 0.36%, 0.0000494%), (BLK, 0, 0.36%, 0.0000510%), (MDT, 0, 0.35%, 0.0000724%), (ADBE, 0, 0.35%, 0.0000585%), (SPGI, 0, 0.35%, 0.0000568%), (C, 0, 0.35%, 0.0000459%), (TXN, 0, 0.34%, 0.0000516%), (UNP, 0, 0.34%, 0.0000642%), (TMO, 0, 0.33%, 0.0000463%), (ACN, 0, 0.33%, 0.0000559%), (COP, 0, 0.33%, 0.0000717%), (LMT, 0, 0.33%, 0.0000752%), (DIS, 0, 0.32%, 0.0000394%), (AMAT, 0, 0.31%, 0.0000532%), (SCHW, 0, 0.31%, 0.0000446%), (SBUX, 0, 0.29%, 0.0000757%), (MMM, 0, 0.28%, 0.0000843%), (AMGN, 0, 0.28%, 0.0000453%), (CVS, 0, 0.27%, 0.0000718%), (TJX, 0, 0.26%, 0.0000421%), (GILD, 0, 0.26%, 0.0000457%), (INTC, 0, 0.25%, 0.0000477%), (LOW, 0, 0.25%, 0.0000419%), (EMR, 0, 0.25%, 0.0000833%), (PFE, 0, 0.25%, 0.0000453%), (MO, 0, 0.24%, 0.0000543%), (DHR, 0, 0.22%, 0.0000413%), (ELV, 0, 0.21%, 0.0000756%), (CMCSA, 0, 0.19%, 0.0000411%), (MDLZ, 0, 0.18%, 0.0000557%), (BMY, 0, 0.17%, 0.0000453%), (UPS, 0, 0.16%, 0.0000625%), (PYPL, 0, 0.15%, 0.0000580%), (USB, 0, 0.14%, 0.0000448%), (FDX, 0, 0.13%, 0.0000598%), (CL, 0, 0.13%, 0.0000496%), (TGT, 0, 0.07%, 0.0000425%), (nan, 0, -0.02%, 0.0000000%), (nan, 0, -0.03%, 0.0000000%)</t>
  </si>
  <si>
    <t>(AMZN, 0, 3.89%, 0.0002167%), (AVGO, 0, 3.61%, 0.0003037%), (META, 0, 2.86%, 0.0002339%), (BRK/B, 0, 2.13%, 0.0004299%), (TSLA, 0, 2.07%, 0.0002050%), (LIN, 0, 1.78%, 0.0010903%), (CSCO, 0, 1.77%, 0.0009103%), (JPM, 0, 1.71%, 0.0002729%), (XOM, 0, 1.49%, 0.0004261%), (AMT, 0, 1.46%, 0.0022064%), (V, 0, 1.39%, 0.0003290%), (ORCL, 0, 1.19%, 0.0001876%), (LLY, 0, 1.17%, 0.0002263%), (GE, 0, 1.15%, 0.0005039%), (CB, 0, 1.14%, 0.0014484%), (MA, 0, 1.13%, 0.0002973%), (WM, 0, 1.01%, 0.0015849%), (UNH, 0, 0.98%, 0.0004393%), (PLTR, 0, 0.89%, 0.0002998%), (NFLX, 0, 0.89%, 0.0002358%), (NEE, 0, 0.85%, 0.0007876%), (JNJ, 0, 0.84%, 0.0002713%), (WMT, 0, 0.81%, 0.0001365%), (CAT, 0, 0.79%, 0.0005061%), (CVX, 0, 0.79%, 0.0003374%), (PG, 0, 0.78%, 0.0002943%), (ABBV, 0, 0.78%, 0.0002716%), (COST, 0, 0.77%, 0.0002507%), (RTX, 0, 0.75%, 0.0004876%), (HD, 0, 0.75%, 0.0002470%), (ABT, 0, 0.74%, 0.0004313%), (MCD, 0, 0.72%, 0.0004554%), (BAC, 0, 0.67%, 0.0002402%), (KO, 0, 0.60%, 0.0002891%), (BKNG, 0, 0.60%, 0.0004653%), (PM, 0, 0.59%, 0.0003204%), (GS, 0, 0.59%, 0.0003384%), (IBM, 0, 0.59%, 0.0003291%), (SO, 0, 0.58%, 0.0007944%), (BA, 0, 0.58%, 0.0004830%), (AMD, 0, 0.57%, 0.0003071%), (CRM, 0, 0.57%, 0.0003341%), (UBER, 0, 0.56%, 0.0003792%), (NKE, 0, 0.55%, 0.0008934%), (DUK, 0, 0.54%, 0.0007930%), (WFC, 0, 0.54%, 0.0002770%), (ETN, 0, 0.53%, 0.0004986%), (MET, 0, 0.51%, 0.0013299%), (ISRG, 0, 0.49%, 0.0004344%), (HON, 0, 0.49%, 0.0005029%), (NOW, 0, 0.47%, 0.0003293%), (MS, 0, 0.46%, 0.0002513%), (INTU, 0, 0.46%, 0.0003343%), (PEP, 0, 0.45%, 0.0003219%), (T, 0, 0.45%, 0.0013796%), (AXP, 0, 0.44%, 0.0002612%), (DE, 0, 0.43%, 0.0004624%), (QCOM, 0, 0.41%, 0.0003161%), (MRK, 0, 0.41%, 0.0002750%), (VZ, 0, 0.39%, 0.0002947%), (BLK, 0, 0.39%, 0.0003042%), (ADBE, 0, 0.39%, 0.0003497%), (MDT, 0, 0.38%, 0.0004323%), (SPGI, 0, 0.38%, 0.0003392%), (C, 0, 0.37%, 0.0002739%), (TXN, 0, 0.37%, 0.0003083%), (UNP, 0, 0.36%, 0.0003839%), (TMO, 0, 0.36%, 0.0002765%), (ACN, 0, 0.36%, 0.0003338%), (COP, 0, 0.36%, 0.0004281%), (LMT, 0, 0.36%, 0.0004477%), (DIS, 0, 0.35%, 0.0002354%), (AMAT, 0, 0.34%, 0.0003177%), (SCHW, 0, 0.33%, 0.0002663%), (SBUX, 0, 0.31%, 0.0004523%), (MMM, 0, 0.31%, 0.0005034%), (AMGN, 0, 0.30%, 0.0002710%), (CVS, 0, 0.30%, 0.0004286%), (TJX, 0, 0.28%, 0.0002509%), (GILD, 0, 0.28%, 0.0002725%), (LOW, 0, 0.27%, 0.0002503%), (INTC, 0, 0.27%, 0.0002847%), (EMR, 0, 0.27%, 0.0004975%), (PFE, 0, 0.27%, 0.0002706%), (MO, 0, 0.26%, 0.0003239%), (DHR, 0, 0.24%, 0.0002470%), (ELV, 0, 0.23%, 0.0004513%), (CMCSA, 0, 0.21%, 0.0002454%), (MDLZ, 0, 0.20%, 0.0003324%), (BMY, 0, 0.18%, 0.0002705%), (UPS, 0, 0.17%, 0.0003732%), (PYPL, 0, 0.16%, 0.0003465%), (USB, 0, 0.15%, 0.0002673%), (FDX, 0, 0.14%, 0.0003577%), (CL, 0, 0.14%, 0.0002960%), (TGT, 0, 0.07%, 0.0002542%), (nan, 0, -0.03%, 0.0000000%), (nan, 0, -0.04%, 0.0000000%)</t>
  </si>
  <si>
    <t>(AMZN, 0, 3.89%, 0.0001615%), (AVGO, 0, 3.60%, 0.0002263%), (META, 0, 2.86%, 0.0001743%), (BRK/B, 0, 2.13%, 0.0003203%), (TSLA, 0, 2.07%, 0.0001527%), (LIN, 0, 1.78%, 0.0008125%), (CSCO, 0, 1.77%, 0.0006783%), (JPM, 0, 1.71%, 0.0002034%), (XOM, 0, 1.49%, 0.0003175%), (AMT, 0, 1.46%, 0.0016441%), (V, 0, 1.39%, 0.0002451%), (ORCL, 0, 1.18%, 0.0001398%), (LLY, 0, 1.17%, 0.0001686%), (GE, 0, 1.15%, 0.0003755%), (CB, 0, 1.14%, 0.0010794%), (MA, 0, 1.13%, 0.0002216%), (WM, 0, 1.01%, 0.0011810%), (UNH, 0, 0.98%, 0.0003273%), (PLTR, 0, 0.89%, 0.0002235%), (NFLX, 0, 0.89%, 0.0001756%), (NEE, 0, 0.85%, 0.0005869%), (JNJ, 0, 0.84%, 0.0002022%), (WMT, 0, 0.81%, 0.0001017%), (CAT, 0, 0.79%, 0.0003772%), (CVX, 0, 0.79%, 0.0002514%), (PG, 0, 0.78%, 0.0002193%), (ABBV, 0, 0.78%, 0.0002024%), (COST, 0, 0.77%, 0.0001868%), (RTX, 0, 0.75%, 0.0003633%), (HD, 0, 0.75%, 0.0001841%), (ABT, 0, 0.74%, 0.0003214%), (MCD, 0, 0.72%, 0.0003394%), (BAC, 0, 0.67%, 0.0001790%), (KO, 0, 0.60%, 0.0002154%), (BKNG, 0, 0.60%, 0.0003475%), (PM, 0, 0.59%, 0.0002388%), (GS, 0, 0.59%, 0.0002521%), (IBM, 0, 0.59%, 0.0002452%), (SO, 0, 0.58%, 0.0005920%), (BA, 0, 0.58%, 0.0003600%), (AMD, 0, 0.57%, 0.0002288%), (CRM, 0, 0.57%, 0.0002489%), (UBER, 0, 0.56%, 0.0002826%), (NKE, 0, 0.55%, 0.0006657%), (DUK, 0, 0.54%, 0.0005908%), (WFC, 0, 0.54%, 0.0002065%), (ETN, 0, 0.53%, 0.0003714%), (MET, 0, 0.51%, 0.0009911%), (ISRG, 0, 0.49%, 0.0003238%), (HON, 0, 0.49%, 0.0003749%), (NOW, 0, 0.48%, 0.0002457%), (MS, 0, 0.46%, 0.0001872%), (INTU, 0, 0.46%, 0.0002493%), (PEP, 0, 0.45%, 0.0002399%), (T, 0, 0.45%, 0.0010280%), (AXP, 0, 0.44%, 0.0001947%), (DE, 0, 0.43%, 0.0003444%), (QCOM, 0, 0.41%, 0.0002356%), (MRK, 0, 0.41%, 0.0002049%), (VZ, 0, 0.39%, 0.0002196%), (BLK, 0, 0.39%, 0.0002267%), (ADBE, 0, 0.39%, 0.0002606%), (MDT, 0, 0.38%, 0.0003221%), (SPGI, 0, 0.38%, 0.0002526%), (C, 0, 0.37%, 0.0002041%), (TXN, 0, 0.37%, 0.0002297%), (UNP, 0, 0.36%, 0.0002861%), (TMO, 0, 0.36%, 0.0002060%), (ACN, 0, 0.36%, 0.0002487%), (COP, 0, 0.36%, 0.0003190%), (LMT, 0, 0.36%, 0.0003336%), (DIS, 0, 0.35%, 0.0001754%), (AMAT, 0, 0.34%, 0.0002367%), (SCHW, 0, 0.33%, 0.0001984%), (SBUX, 0, 0.31%, 0.0003370%), (MMM, 0, 0.31%, 0.0003752%), (AMGN, 0, 0.30%, 0.0002021%), (CVS, 0, 0.30%, 0.0003194%), (TJX, 0, 0.28%, 0.0001870%), (GILD, 0, 0.28%, 0.0002030%), (LOW, 0, 0.27%, 0.0001867%), (INTC, 0, 0.27%, 0.0002121%), (EMR, 0, 0.27%, 0.0003708%), (PFE, 0, 0.27%, 0.0002017%), (MO, 0, 0.26%, 0.0002413%), (DHR, 0, 0.24%, 0.0001842%), (ELV, 0, 0.23%, 0.0003361%), (CMCSA, 0, 0.21%, 0.0001829%), (MDLZ, 0, 0.20%, 0.0002477%), (BMY, 0, 0.18%, 0.0002015%), (UPS, 0, 0.17%, 0.0002781%), (PYPL, 0, 0.16%, 0.0002582%), (USB, 0, 0.15%, 0.0001991%), (FDX, 0, 0.14%, 0.0002666%), (CL, 0, 0.14%, 0.0002206%), (TGT, 0, 0.07%, 0.0001895%), (nan, 0, -0.03%, 0.0000000%), (nan, 0, -0.04%, 0.0000000%)</t>
  </si>
  <si>
    <t>(AMZN, 0, 3.94%, 0.0000379%), (AVGO, 0, 3.65%, 0.0000530%), (META, 0, 2.90%, 0.0000409%), (BRK/B, 0, 2.15%, 0.0000751%), (TSLA, 0, 2.10%, 0.0000358%), (LIN, 0, 1.80%, 0.0001904%), (CSCO, 0, 1.79%, 0.0001590%), (JPM, 0, 1.73%, 0.0000477%), (XOM, 0, 1.51%, 0.0000744%), (AMT, 0, 1.47%, 0.0003853%), (V, 0, 1.41%, 0.0000575%), (ORCL, 0, 1.20%, 0.0000328%), (LLY, 0, 1.19%, 0.0000396%), (GE, 0, 1.16%, 0.0000880%), (CB, 0, 1.15%, 0.0002531%), (MA, 0, 1.14%, 0.0000519%), (WM, 0, 1.02%, 0.0002768%), (UNH, 0, 0.99%, 0.0000767%), (PLTR, 0, 0.91%, 0.0000524%), (NFLX, 0, 0.90%, 0.0000411%), (NEE, 0, 0.86%, 0.0001376%), (JNJ, 0, 0.85%, 0.0000474%), (WMT, 0, 0.82%, 0.0000238%), (CAT, 0, 0.80%, 0.0000884%), (CVX, 0, 0.80%, 0.0000590%), (PG, 0, 0.79%, 0.0000514%), (ABBV, 0, 0.79%, 0.0000474%), (COST, 0, 0.78%, 0.0000438%), (RTX, 0, 0.76%, 0.0000852%), (HD, 0, 0.76%, 0.0000432%), (ABT, 0, 0.75%, 0.0000753%), (MCD, 0, 0.73%, 0.0000796%), (BAC, 0, 0.68%, 0.0000420%), (KO, 0, 0.61%, 0.0000505%), (GS, 0, 0.60%, 0.0000590%), (PM, 0, 0.60%, 0.0000560%), (IBM, 0, 0.60%, 0.0000574%), (BKNG, 0, 0.60%, 0.0000807%), (SO, 0, 0.59%, 0.0001388%), (BA, 0, 0.58%, 0.0000843%), (AMD, 0, 0.58%, 0.0000536%), (CRM, 0, 0.58%, 0.0000584%), (UBER, 0, 0.57%, 0.0000662%), (NKE, 0, 0.56%, 0.0001561%), (DUK, 0, 0.55%, 0.0001385%), (WFC, 0, 0.55%, 0.0000484%), (ETN, 0, 0.53%, 0.0000871%), (MET, 0, 0.52%, 0.0002323%), (ISRG, 0, 0.50%, 0.0000759%), (HON, 0, 0.49%, 0.0000879%), (NOW, 0, 0.49%, 0.0000577%), (INTU, 0, 0.47%, 0.0000585%), (MS, 0, 0.47%, 0.0000439%), (PEP, 0, 0.46%, 0.0000562%), (T, 0, 0.45%, 0.0002410%), (AXP, 0, 0.45%, 0.0000456%), (DE, 0, 0.43%, 0.0000806%), (QCOM, 0, 0.42%, 0.0000552%), (MRK, 0, 0.41%, 0.0000480%), (VZ, 0, 0.40%, 0.0000515%), (BLK, 0, 0.40%, 0.0000530%), (ADBE, 0, 0.39%, 0.0000612%), (MDT, 0, 0.39%, 0.0000755%), (SPGI, 0, 0.38%, 0.0000591%), (C, 0, 0.38%, 0.0000479%), (TXN, 0, 0.37%, 0.0000538%), (UNP, 0, 0.37%, 0.0000671%), (ACN, 0, 0.37%, 0.0000583%), (TMO, 0, 0.37%, 0.0000482%), (COP, 0, 0.36%, 0.0000748%), (LMT, 0, 0.36%, 0.0000782%), (DIS, 0, 0.36%, 0.0000411%), (AMAT, 0, 0.35%, 0.0000555%), (SCHW, 0, 0.34%, 0.0000465%), (SBUX, 0, 0.32%, 0.0000790%), (MMM, 0, 0.31%, 0.0000879%), (AMGN, 0, 0.30%, 0.0000474%), (CVS, 0, 0.30%, 0.0000748%), (TJX, 0, 0.29%, 0.0000438%), (GILD, 0, 0.28%, 0.0000476%), (INTC, 0, 0.27%, 0.0000497%), (LOW, 0, 0.27%, 0.0000437%), (EMR, 0, 0.27%, 0.0000869%), (PFE, 0, 0.27%, 0.0000473%), (MO, 0, 0.26%, 0.0000566%), (DHR, 0, 0.25%, 0.0000432%), (ELV, 0, 0.23%, 0.0000787%), (CMCSA, 0, 0.21%, 0.0000429%), (MDLZ, 0, 0.20%, 0.0000580%), (BMY, 0, 0.18%, 0.0000473%), (UPS, 0, 0.17%, 0.0000652%), (PYPL, 0, 0.16%, 0.0000605%), (USB, 0, 0.15%, 0.0000467%), (FDX, 0, 0.14%, 0.0000623%), (CL, 0, 0.14%, 0.0000517%), (TGT, 0, 0.08%, 0.0000445%), (nan, 0, -0.03%, 0.0000000%), (nan, 0, -0.04%, 0.0000000%)</t>
  </si>
  <si>
    <t>(AMZN, 0, 3.74%, 0.0000666%), (AVGO, 0, 3.47%, 0.0000934%), (META, 0, 2.76%, 0.0000719%), (BRK/B, 0, 2.05%, 0.0001322%), (TSLA, 0, 2.00%, 0.0000630%), (LIN, 0, 1.71%, 0.0003352%), (CSCO, 0, 1.71%, 0.0002799%), (JPM, 0, 1.65%, 0.0000839%), (XOM, 0, 1.43%, 0.0001310%), (AMT, 0, 1.40%, 0.0006784%), (V, 0, 1.34%, 0.0001011%), (ORCL, 0, 1.14%, 0.0000577%), (LLY, 0, 1.13%, 0.0000696%), (GE, 0, 1.10%, 0.0001549%), (CB, 0, 1.09%, 0.0004454%), (MA, 0, 1.08%, 0.0000914%), (WM, 0, 0.97%, 0.0004873%), (UNH, 0, 0.94%, 0.0001350%), (PLTR, 0, 0.86%, 0.0000922%), (NFLX, 0, 0.85%, 0.0000725%), (NEE, 0, 0.82%, 0.0002421%), (JNJ, 0, 0.81%, 0.0000834%), (WMT, 0, 0.78%, 0.0000420%), (CAT, 0, 0.76%, 0.0001556%), (CVX, 0, 0.76%, 0.0001037%), (PG, 0, 0.75%, 0.0000905%), (ABBV, 0, 0.75%, 0.0000835%), (COST, 0, 0.74%, 0.0000772%), (RTX, 0, 0.72%, 0.0001499%), (HD, 0, 0.72%, 0.0000760%), (ABT, 0, 0.71%, 0.0001326%), (MCD, 0, 0.69%, 0.0001400%), (BAC, 0, 0.65%, 0.0000739%), (KO, 0, 0.58%, 0.0000889%), (BKNG, 0, 0.57%, 0.0001427%), (PM, 0, 0.57%, 0.0000985%), (IBM, 0, 0.57%, 0.0001012%), (GS, 0, 0.57%, 0.0001040%), (SO, 0, 0.56%, 0.0002442%), (BA, 0, 0.55%, 0.0001485%), (AMD, 0, 0.55%, 0.0000944%), (CRM, 0, 0.55%, 0.0001027%), (UBER, 0, 0.54%, 0.0001166%), (NKE, 0, 0.53%, 0.0002747%), (DUK, 0, 0.52%, 0.0002439%), (WFC, 0, 0.52%, 0.0000852%), (ETN, 0, 0.51%, 0.0001534%), (MET, 0, 0.49%, 0.0004089%), (ISRG, 0, 0.47%, 0.0001334%), (HON, 0, 0.47%, 0.0001547%), (NOW, 0, 0.46%, 0.0001014%), (MS, 0, 0.45%, 0.0000772%), (INTU, 0, 0.44%, 0.0001029%), (PEP, 0, 0.44%, 0.0000990%), (T, 0, 0.43%, 0.0004242%), (AXP, 0, 0.43%, 0.0000803%), (DE, 0, 0.41%, 0.0001420%), (QCOM, 0, 0.40%, 0.0000972%), (MRK, 0, 0.39%, 0.0000846%), (VZ, 0, 0.38%, 0.0000906%), (BLK, 0, 0.38%, 0.0000936%), (ADBE, 0, 0.37%, 0.0001075%), (MDT, 0, 0.37%, 0.0001329%), (SPGI, 0, 0.36%, 0.0001044%), (C, 0, 0.36%, 0.0000842%), (TXN, 0, 0.35%, 0.0000948%), (UNP, 0, 0.35%, 0.0001180%), (ACN, 0, 0.35%, 0.0001026%), (TMO, 0, 0.35%, 0.0000849%), (COP, 0, 0.34%, 0.0001316%), (LMT, 0, 0.34%, 0.0001379%), (DIS, 0, 0.34%, 0.0000724%), (AMAT, 0, 0.33%, 0.0000977%), (SCHW, 0, 0.32%, 0.0000819%), (SBUX, 0, 0.30%, 0.0001391%), (MMM, 0, 0.29%, 0.0001547%), (AMGN, 0, 0.29%, 0.0000834%), (CVS, 0, 0.29%, 0.0001318%), (TJX, 0, 0.27%, 0.0000772%), (GILD, 0, 0.27%, 0.0000837%), (INTC, 0, 0.26%, 0.0000875%), (LOW, 0, 0.26%, 0.0000770%), (EMR, 0, 0.26%, 0.0001530%), (PFE, 0, 0.26%, 0.0000832%), (MO, 0, 0.25%, 0.0000996%), (DHR, 0, 0.24%, 0.0000760%), (ELV, 0, 0.22%, 0.0001386%), (CMCSA, 0, 0.20%, 0.0000755%), (MDLZ, 0, 0.19%, 0.0001022%), (BMY, 0, 0.17%, 0.0000832%), (UPS, 0, 0.16%, 0.0001147%), (PYPL, 0, 0.15%, 0.0001066%), (USB, 0, 0.15%, 0.0000822%), (FDX, 0, 0.14%, 0.0001102%), (CL, 0, 0.14%, 0.0000911%), (TGT, 0, 0.07%, 0.0000781%), (nan, 0, -0.02%, 0.0000000%), (nan, 0, -0.03%, 0.0000000%)</t>
  </si>
  <si>
    <t>(AMZN, 0, 3.82%, 0.0000241%), (AVGO, 0, 3.54%, 0.0000337%), (META, 0, 2.82%, 0.0000260%), (BRK/B, 0, 2.09%, 0.0000477%), (TSLA, 0, 2.04%, 0.0000228%), (LIN, 0, 1.74%, 0.0001210%), (CSCO, 0, 1.74%, 0.0001011%), (JPM, 0, 1.68%, 0.0000303%), (XOM, 0, 1.46%, 0.0000473%), (AMT, 0, 1.43%, 0.0002450%), (V, 0, 1.36%, 0.0000365%), (ORCL, 0, 1.17%, 0.0000208%), (LLY, 0, 1.15%, 0.0000252%), (GE, 0, 1.13%, 0.0000559%), (CB, 0, 1.12%, 0.0001608%), (MA, 0, 1.11%, 0.0000330%), (WM, 0, 0.99%, 0.0001760%), (UNH, 0, 0.96%, 0.0000488%), (NFLX, 0, 0.88%, 0.0000262%), (PLTR, 0, 0.88%, 0.0000333%), (NEE, 0, 0.83%, 0.0000874%), (JNJ, 0, 0.82%, 0.0000301%), (WMT, 0, 0.80%, 0.0000152%), (CVX, 0, 0.77%, 0.0000375%), (PG, 0, 0.77%, 0.0000327%), (CAT, 0, 0.77%, 0.0000561%), (ABBV, 0, 0.76%, 0.0000302%), (COST, 0, 0.75%, 0.0000278%), (RTX, 0, 0.74%, 0.0000541%), (HD, 0, 0.73%, 0.0000274%), (ABT, 0, 0.73%, 0.0000479%), (MCD, 0, 0.70%, 0.0000506%), (BAC, 0, 0.66%, 0.0000267%), (BKNG, 0, 0.60%, 0.0000527%), (KO, 0, 0.59%, 0.0000321%), (GS, 0, 0.59%, 0.0000377%), (PM, 0, 0.58%, 0.0000356%), (IBM, 0, 0.58%, 0.0000366%), (SO, 0, 0.57%, 0.0000882%), (BA, 0, 0.57%, 0.0000537%), (AMD, 0, 0.56%, 0.0000341%), (CRM, 0, 0.56%, 0.0000371%), (UBER, 0, 0.55%, 0.0000421%), (NKE, 0, 0.54%, 0.0000992%), (WFC, 0, 0.53%, 0.0000308%), (DUK, 0, 0.53%, 0.0000880%), (ETN, 0, 0.52%, 0.0000555%), (MET, 0, 0.50%, 0.0001477%), (ISRG, 0, 0.48%, 0.0000482%), (HON, 0, 0.48%, 0.0000559%), (NOW, 0, 0.47%, 0.0000365%), (INTU, 0, 0.46%, 0.0000373%), (MS, 0, 0.46%, 0.0000279%), (PEP, 0, 0.45%, 0.0000358%), (T, 0, 0.44%, 0.0001532%), (AXP, 0, 0.44%, 0.0000290%), (DE, 0, 0.42%, 0.0000514%), (QCOM, 0, 0.40%, 0.0000351%), (MRK, 0, 0.40%, 0.0000305%), (VZ, 0, 0.39%, 0.0000327%), (ADBE, 0, 0.38%, 0.0000389%), (BLK, 0, 0.38%, 0.0000336%), (MDT, 0, 0.38%, 0.0000480%), (SPGI, 0, 0.37%, 0.0000376%), (C, 0, 0.37%, 0.0000304%), (TXN, 0, 0.36%, 0.0000342%), (ACN, 0, 0.36%, 0.0000371%), (UNP, 0, 0.36%, 0.0000427%), (TMO, 0, 0.36%, 0.0000306%), (COP, 0, 0.35%, 0.0000476%), (LMT, 0, 0.35%, 0.0000497%), (DIS, 0, 0.34%, 0.0000261%), (AMAT, 0, 0.33%, 0.0000353%), (SCHW, 0, 0.33%, 0.0000296%), (SBUX, 0, 0.31%, 0.0000502%), (MMM, 0, 0.30%, 0.0000559%), (AMGN, 0, 0.30%, 0.0000301%), (CVS, 0, 0.29%, 0.0000476%), (TJX, 0, 0.28%, 0.0000279%), (GILD, 0, 0.28%, 0.0000303%), (INTC, 0, 0.27%, 0.0000316%), (LOW, 0, 0.27%, 0.0000278%), (EMR, 0, 0.27%, 0.0000553%), (PFE, 0, 0.26%, 0.0000301%), (MO, 0, 0.25%, 0.0000360%), (DHR, 0, 0.24%, 0.0000275%), (ELV, 0, 0.22%, 0.0000499%), (CMCSA, 0, 0.20%, 0.0000272%), (MDLZ, 0, 0.19%, 0.0000369%), (BMY, 0, 0.18%, 0.0000300%), (UPS, 0, 0.17%, 0.0000414%), (PYPL, 0, 0.16%, 0.0000385%), (USB, 0, 0.15%, 0.0000297%), (FDX, 0, 0.14%, 0.0000398%), (CL, 0, 0.14%, 0.0000329%), (TGT, 0, 0.07%, 0.0000282%), (nan, 0, -0.03%, 0.0000000%), (nan, 0, -0.03%, 0.0000000%)</t>
  </si>
  <si>
    <t>(AMZN, 0, 4.04%, 0.0000574%), (AVGO, 0, 3.75%, 0.0000805%), (META, 0, 2.97%, 0.0000620%), (BRK/B, 0, 2.21%, 0.0001140%), (TSLA, 0, 2.15%, 0.0000543%), (LIN, 0, 1.85%, 0.0002889%), (CSCO, 0, 1.84%, 0.0002413%), (JPM, 0, 1.78%, 0.0000723%), (XOM, 0, 1.55%, 0.0001129%), (AMT, 0, 1.51%, 0.0005849%), (V, 0, 1.44%, 0.0000872%), (ORCL, 0, 1.23%, 0.0000497%), (LLY, 0, 1.22%, 0.0000600%), (GE, 0, 1.19%, 0.0001336%), (CB, 0, 1.18%, 0.0003839%), (MA, 0, 1.17%, 0.0000788%), (WM, 0, 1.05%, 0.0004200%), (UNH, 0, 1.01%, 0.0001165%), (PLTR, 0, 0.93%, 0.0000795%), (NFLX, 0, 0.92%, 0.0000625%), (NEE, 0, 0.88%, 0.0002087%), (JNJ, 0, 0.87%, 0.0000719%), (WMT, 0, 0.84%, 0.0000362%), (CVX, 0, 0.82%, 0.0000894%), (CAT, 0, 0.82%, 0.0001341%), (PG, 0, 0.81%, 0.0000780%), (ABBV, 0, 0.81%, 0.0000720%), (COST, 0, 0.80%, 0.0000663%), (RTX, 0, 0.78%, 0.0001292%), (HD, 0, 0.77%, 0.0000655%), (ABT, 0, 0.77%, 0.0001143%), (MCD, 0, 0.74%, 0.0001207%), (BAC, 0, 0.70%, 0.0000637%), (KO, 0, 0.63%, 0.0000766%), (BKNG, 0, 0.62%, 0.0001241%), (PM, 0, 0.62%, 0.0000849%), (IBM, 0, 0.61%, 0.0000872%), (GS, 0, 0.61%, 0.0000897%), (SO, 0, 0.61%, 0.0002105%), (BA, 0, 0.60%, 0.0001280%), (AMD, 0, 0.59%, 0.0000814%), (CRM, 0, 0.59%, 0.0000886%), (UBER, 0, 0.59%, 0.0001005%), (NKE, 0, 0.57%, 0.0002368%), (DUK, 0, 0.56%, 0.0002102%), (WFC, 0, 0.56%, 0.0000734%), (ETN, 0, 0.55%, 0.0001320%), (MET, 0, 0.53%, 0.0003525%), (ISRG, 0, 0.51%, 0.0001151%), (HON, 0, 0.51%, 0.0001333%), (NOW, 0, 0.50%, 0.0000875%), (MS, 0, 0.48%, 0.0000666%), (INTU, 0, 0.47%, 0.0000886%), (PEP, 0, 0.47%, 0.0000853%), (T, 0, 0.47%, 0.0003656%), (AXP, 0, 0.46%, 0.0000692%), (DE, 0, 0.44%, 0.0001224%), (QCOM, 0, 0.43%, 0.0000838%), (MRK, 0, 0.42%, 0.0000729%), (VZ, 0, 0.41%, 0.0000781%), (BLK, 0, 0.41%, 0.0000807%), (ADBE, 0, 0.40%, 0.0000927%), (MDT, 0, 0.40%, 0.0001146%), (SPGI, 0, 0.39%, 0.0000898%), (C, 0, 0.39%, 0.0000726%), (TXN, 0, 0.38%, 0.0000817%), (ACN, 0, 0.38%, 0.0000885%), (UNP, 0, 0.38%, 0.0001017%), (TMO, 0, 0.38%, 0.0000732%), (COP, 0, 0.37%, 0.0001135%), (LMT, 0, 0.37%, 0.0001188%), (DIS, 0, 0.36%, 0.0000624%), (AMAT, 0, 0.35%, 0.0000842%), (SCHW, 0, 0.34%, 0.0000706%), (SBUX, 0, 0.33%, 0.0001198%), (MMM, 0, 0.32%, 0.0001335%), (AMGN, 0, 0.31%, 0.0000719%), (CVS, 0, 0.31%, 0.0001136%), (TJX, 0, 0.30%, 0.0000665%), (GILD, 0, 0.29%, 0.0000722%), (INTC, 0, 0.28%, 0.0000755%), (LOW, 0, 0.28%, 0.0000663%), (EMR, 0, 0.28%, 0.0001318%), (PFE, 0, 0.28%, 0.0000717%), (MO, 0, 0.27%, 0.0000858%), (DHR, 0, 0.25%, 0.0000655%), (ELV, 0, 0.24%, 0.0001197%), (CMCSA, 0, 0.21%, 0.0000650%), (MDLZ, 0, 0.21%, 0.0000881%), (BMY, 0, 0.19%, 0.0000717%), (UPS, 0, 0.17%, 0.0000989%), (PYPL, 0, 0.17%, 0.0000918%), (USB, 0, 0.16%, 0.0000708%), (FDX, 0, 0.15%, 0.0000949%), (CL, 0, 0.15%, 0.0000784%), (TGT, 0, 0.08%, 0.0000673%), (nan, 0, -0.03%, 0.0000000%), (nan, 0, -0.04%, 0.0000000%)</t>
  </si>
  <si>
    <t>(EWBC, 0, 1.95%, 0.0071353%), (PHM, 0, 1.94%, 0.0041413%), (KLAC, 0, 1.92%, 0.0007656%), (BKNG, 0, 1.90%, 0.0005925%), (AMAT, 0, 1.89%, 0.0006841%), (TRV, 0, 1.83%, 0.0016224%), (HIG, 0, 1.82%, 0.0027335%), (UNM, 0, 1.78%, 0.0075144%), (V, 0, 1.77%, 0.0001675%), (SNA, 0, 1.75%, 0.0054550%), (NVDA, 0, 1.71%, 0.0000219%), (ROST, 0, 1.69%, 0.0019488%), (SYF, 0, 1.66%, 0.0032984%), (PCAR, 0, 1.63%, 0.0017129%), (ADP, 0, 1.62%, 0.0007514%), (CB, 0, 1.60%, 0.0008157%), (LEN, 0, 1.56%, 0.0030008%), (CRM, 0, 1.47%, 0.0003423%), (BKR, 0, 1.46%, 0.0017147%), (WSM, 0, 1.46%, 0.0033032%), (CTSH, 0, 1.40%, 0.0023821%), (QCOM, 0, 1.40%, 0.0004253%), (PAYC, 0, 1.38%, 0.0060128%), (DHI, 0, 1.37%, 0.0015156%), (LRCX, 0, 1.36%, 0.0004666%), (AAPL, 0, 1.33%, 0.0000201%), (ELV, 0, 1.25%, 0.0009805%), (AFL, 0, 1.24%, 0.0011749%), (MPWR, 0, 1.21%, 0.0015159%), (ACN, 0, 1.19%, 0.0004353%), (GE, 0, 1.13%, 0.0001947%), (CSCO, 0, 1.06%, 0.0002153%), (ODFL, 0, 1.00%, 0.0018547%), (STT, 0, 0.98%, 0.0016891%), (PNC, 0, 0.95%, 0.0006414%), (MTB, 0, 0.93%, 0.0016338%), (ABT, 0, 0.84%, 0.0001953%), (CF, 0, 0.84%, 0.0033289%), (AMP, 0, 0.82%, 0.0009892%), (COST, 0, 0.82%, 0.0001065%), (XOM, 0, 0.81%, 0.0000927%), (EOG, 0, 0.75%, 0.0006507%), (EG, 0, 0.73%, 0.0028452%), (CSL, 0, 0.65%, 0.0025320%), (GEV, 0, 0.55%, 0.0001773%), (NTRS, 0, 0.53%, 0.0011580%), (ACM, 0, 0.50%, 0.0015644%), (MA, 0, 0.49%, 0.0000513%), (JNJ, 0, 0.47%, 0.0000608%), (JXN, 0, 0.45%, 0.0035491%), (LNC, 0, 0.45%, 0.0031531%), (CRBG, 0, 0.45%, 0.0013967%), (MTG, 0, 0.44%, 0.0038460%), (WTFC, 0, 0.43%, 0.0026347%), (CINF, 0, 0.43%, 0.0009762%), (EQH, 0, 0.42%, 0.0014172%), (ADM, 0, 0.41%, 0.0007591%), (ALL, 0, 0.41%, 0.0004114%), (MCK, 0, 0.40%, 0.0002541%), (DOV, 0, 0.40%, 0.0009333%), (SLM, 0, 0.36%, 0.0034629%), (NUE, 0, 0.36%, 0.0006378%), (PGR, 0, 0.35%, 0.0001363%), (NKE, 0, 0.35%, 0.0002244%), (FANG, 0, 0.29%, 0.0003938%), (COKE, 0, 0.00%, 0.0000000%), (RMD, 0, 0.00%, 0.0000000%), (BAC, 0, 0.00%, 0.0000000%), (VLTO, 0, 0.00%, 0.0000000%), (FOXA, 0, 0.00%, 0.0000000%), (MET, 0, 0.00%, 0.0000000%)</t>
  </si>
  <si>
    <t>(AMZN, 0, 3.71%, 0.0000613%), (AVGO, 0, 3.44%, 0.0000858%), (META, 0, 2.74%, 0.0000661%), (BRK/B, 0, 2.03%, 0.0001215%), (TSLA, 0, 1.98%, 0.0000579%), (LIN, 0, 1.69%, 0.0003082%), (CSCO, 0, 1.69%, 0.0002573%), (JPM, 0, 1.63%, 0.0000771%), (XOM, 0, 1.42%, 0.0001204%), (AMT, 0, 1.39%, 0.0006237%), (V, 0, 1.32%, 0.0000930%), (ORCL, 0, 1.13%, 0.0000530%), (LLY, 0, 1.12%, 0.0000640%), (GE, 0, 1.10%, 0.0001425%), (CB, 0, 1.08%, 0.0004093%), (MA, 0, 1.07%, 0.0000840%), (WM, 0, 0.96%, 0.0004480%), (UNH, 0, 0.93%, 0.0001242%), (PLTR, 0, 0.85%, 0.0000848%), (NFLX, 0, 0.84%, 0.0000666%), (NEE, 0, 0.81%, 0.0002227%), (JNJ, 0, 0.80%, 0.0000767%), (WMT, 0, 0.77%, 0.0000386%), (CAT, 0, 0.76%, 0.0001430%), (CVX, 0, 0.75%, 0.0000954%), (PG, 0, 0.75%, 0.0000832%), (ABBV, 0, 0.74%, 0.0000768%), (COST, 0, 0.73%, 0.0000709%), (RTX, 0, 0.72%, 0.0001378%), (HD, 0, 0.71%, 0.0000698%), (ABT, 0, 0.71%, 0.0001219%), (MCD, 0, 0.68%, 0.0001288%), (BAC, 0, 0.64%, 0.0000679%), (KO, 0, 0.57%, 0.0000817%), (PM, 0, 0.56%, 0.0000906%), (IBM, 0, 0.56%, 0.0000931%), (BKNG, 0, 0.56%, 0.0001303%), (GS, 0, 0.56%, 0.0000957%), (SO, 0, 0.56%, 0.0002246%), (BA, 0, 0.55%, 0.0001366%), (AMD, 0, 0.54%, 0.0000868%), (CRM, 0, 0.54%, 0.0000944%), (UBER, 0, 0.54%, 0.0001072%), (NKE, 0, 0.52%, 0.0002525%), (WFC, 0, 0.52%, 0.0000783%), (DUK, 0, 0.52%, 0.0002242%), (ETN, 0, 0.50%, 0.0001410%), (MET, 0, 0.49%, 0.0003759%), (ISRG, 0, 0.47%, 0.0001227%), (HON, 0, 0.46%, 0.0001422%), (NOW, 0, 0.46%, 0.0000933%), (MS, 0, 0.44%, 0.0000710%), (INTU, 0, 0.44%, 0.0000947%), (PEP, 0, 0.43%, 0.0000910%), (T, 0, 0.43%, 0.0003900%), (AXP, 0, 0.42%, 0.0000739%), (DE, 0, 0.41%, 0.0001306%), (QCOM, 0, 0.39%, 0.0000893%), (MRK, 0, 0.39%, 0.0000777%), (VZ, 0, 0.38%, 0.0000833%), (BLK, 0, 0.37%, 0.0000859%), (ADBE, 0, 0.37%, 0.0000989%), (MDT, 0, 0.37%, 0.0001222%), (SPGI, 0, 0.36%, 0.0000958%), (C, 0, 0.36%, 0.0000774%), (TXN, 0, 0.35%, 0.0000872%), (UNP, 0, 0.35%, 0.0001086%), (TMO, 0, 0.35%, 0.0000783%), (ACN, 0, 0.35%, 0.0000944%), (COP, 0, 0.34%, 0.0001210%), (LMT, 0, 0.34%, 0.0001266%), (DIS, 0, 0.33%, 0.0000665%), (AMAT, 0, 0.32%, 0.0000899%), (SCHW, 0, 0.32%, 0.0000753%), (SBUX, 0, 0.30%, 0.0001278%), (MMM, 0, 0.29%, 0.0001423%), (AMGN, 0, 0.29%, 0.0000767%), (CVS, 0, 0.28%, 0.0001212%), (TJX, 0, 0.27%, 0.0000709%), (GILD, 0, 0.27%, 0.0000771%), (INTC, 0, 0.26%, 0.0000805%), (LOW, 0, 0.26%, 0.0000708%), (EMR, 0, 0.26%, 0.0001407%), (PFE, 0, 0.26%, 0.0000765%), (MO, 0, 0.25%, 0.0000916%), (DHR, 0, 0.23%, 0.0000698%), (ELV, 0, 0.22%, 0.0001273%), (CMCSA, 0, 0.20%, 0.0000694%), (MDLZ, 0, 0.19%, 0.0000940%), (BMY, 0, 0.17%, 0.0000765%), (UPS, 0, 0.16%, 0.0001054%), (PYPL, 0, 0.15%, 0.0000979%), (USB, 0, 0.15%, 0.0000756%), (FDX, 0, 0.14%, 0.0001013%), (CL, 0, 0.13%, 0.0000837%), (TGT, 0, 0.07%, 0.0000717%), (nan, 0, -0.02%, 0.0000000%), (nan, 0, -0.03%, 0.0000000%)</t>
  </si>
  <si>
    <t>(AMZN, 0, 3.88%, 0.0001253%), (AVGO, 0, 3.59%, 0.0001755%), (META, 0, 2.86%, 0.0001352%), (BRK/B, 0, 2.12%, 0.0002485%), (TSLA, 0, 2.07%, 0.0001185%), (LIN, 0, 1.77%, 0.0006303%), (CSCO, 0, 1.77%, 0.0005261%), (JPM, 0, 1.70%, 0.0001577%), (XOM, 0, 1.48%, 0.0002463%), (AMT, 0, 1.45%, 0.0012752%), (V, 0, 1.38%, 0.0001901%), (ORCL, 0, 1.18%, 0.0001084%), (LLY, 0, 1.17%, 0.0001307%), (GE, 0, 1.14%, 0.0002912%), (CB, 0, 1.13%, 0.0008372%), (MA, 0, 1.12%, 0.0001719%), (WM, 0, 1.00%, 0.0009159%), (UNH, 0, 0.97%, 0.0002539%), (PLTR, 0, 0.89%, 0.0001733%), (NFLX, 0, 0.88%, 0.0001362%), (NEE, 0, 0.85%, 0.0004552%), (JNJ, 0, 0.84%, 0.0001568%), (WMT, 0, 0.81%, 0.0000789%), (CAT, 0, 0.79%, 0.0002924%), (CVX, 0, 0.78%, 0.0001950%), (PG, 0, 0.78%, 0.0001701%), (ABBV, 0, 0.77%, 0.0001570%), (COST, 0, 0.77%, 0.0001449%), (RTX, 0, 0.75%, 0.0002818%), (HD, 0, 0.74%, 0.0001428%), (ABT, 0, 0.74%, 0.0002492%), (MCD, 0, 0.71%, 0.0002632%), (BAC, 0, 0.67%, 0.0001388%), (KO, 0, 0.60%, 0.0001671%), (BKNG, 0, 0.59%, 0.0002699%), (GS, 0, 0.59%, 0.0001957%), (PM, 0, 0.59%, 0.0001852%), (IBM, 0, 0.59%, 0.0001902%), (SO, 0, 0.58%, 0.0004591%), (BA, 0, 0.57%, 0.0002792%), (AMD, 0, 0.57%, 0.0001775%), (CRM, 0, 0.57%, 0.0001931%), (UBER, 0, 0.56%, 0.0002191%), (NKE, 0, 0.55%, 0.0005163%), (DUK, 0, 0.54%, 0.0004583%), (WFC, 0, 0.54%, 0.0001601%), (ETN, 0, 0.53%, 0.0002882%), (MET, 0, 0.51%, 0.0007687%), (ISRG, 0, 0.49%, 0.0002511%), (HON, 0, 0.49%, 0.0002908%), (NOW, 0, 0.47%, 0.0001904%), (MS, 0, 0.46%, 0.0001452%), (INTU, 0, 0.46%, 0.0001933%), (PEP, 0, 0.45%, 0.0001861%), (T, 0, 0.45%, 0.0007973%), (AXP, 0, 0.44%, 0.0001510%), (DE, 0, 0.43%, 0.0002671%), (QCOM, 0, 0.41%, 0.0001828%), (MRK, 0, 0.41%, 0.0001589%), (VZ, 0, 0.39%, 0.0001703%), (BLK, 0, 0.39%, 0.0001757%), (ADBE, 0, 0.38%, 0.0002021%), (MDT, 0, 0.38%, 0.0002499%), (SPGI, 0, 0.38%, 0.0001958%), (C, 0, 0.37%, 0.0001583%), (TXN, 0, 0.36%, 0.0001782%), (UNP, 0, 0.36%, 0.0002219%), (TMO, 0, 0.36%, 0.0001597%), (ACN, 0, 0.36%, 0.0001928%), (COP, 0, 0.36%, 0.0002474%), (LMT, 0, 0.36%, 0.0002589%), (DIS, 0, 0.35%, 0.0001360%), (AMAT, 0, 0.34%, 0.0001836%), (SCHW, 0, 0.33%, 0.0001539%), (SBUX, 0, 0.31%, 0.0002614%), (MMM, 0, 0.30%, 0.0002910%), (AMGN, 0, 0.30%, 0.0001566%), (CVS, 0, 0.30%, 0.0002477%), (TJX, 0, 0.28%, 0.0001450%), (GILD, 0, 0.28%, 0.0001575%), (INTC, 0, 0.27%, 0.0001645%), (LOW, 0, 0.27%, 0.0001448%), (EMR, 0, 0.27%, 0.0002875%), (PFE, 0, 0.27%, 0.0001564%), (MO, 0, 0.26%, 0.0001872%), (DHR, 0, 0.24%, 0.0001428%), (ELV, 0, 0.23%, 0.0002610%), (CMCSA, 0, 0.20%, 0.0001418%), (MDLZ, 0, 0.20%, 0.0001921%), (BMY, 0, 0.18%, 0.0001564%), (UPS, 0, 0.17%, 0.0002156%), (PYPL, 0, 0.16%, 0.0002002%), (USB, 0, 0.15%, 0.0001544%), (FDX, 0, 0.14%, 0.0002068%), (CL, 0, 0.14%, 0.0001711%), (TGT, 0, 0.07%, 0.0001468%), (nan, 0, -0.02%, 0.0000000%), (nan, 0, -0.03%, 0.0000000%)</t>
  </si>
  <si>
    <t>(AMZN, 0, 3.66%, 0.0002504%), (AVGO, 0, 3.39%, 0.0003508%), (META, 0, 2.70%, 0.0002702%), (BRK/B, 0, 2.00%, 0.0004966%), (TSLA, 0, 1.95%, 0.0002368%), (LIN, 0, 1.67%, 0.0012595%), (CSCO, 0, 1.67%, 0.0010515%), (JPM, 0, 1.61%, 0.0003153%), (XOM, 0, 1.40%, 0.0004922%), (AMT, 0, 1.37%, 0.0025486%), (V, 0, 1.31%, 0.0003799%), (ORCL, 0, 1.12%, 0.0002166%), (LLY, 0, 1.10%, 0.0002614%), (GE, 0, 1.08%, 0.0005821%), (CB, 0, 1.07%, 0.0016732%), (MA, 0, 1.06%, 0.0003434%), (WM, 0, 0.95%, 0.0018309%), (UNH, 0, 0.92%, 0.0005074%), (PLTR, 0, 0.84%, 0.0003464%), (NFLX, 0, 0.83%, 0.0002723%), (NEE, 0, 0.80%, 0.0009098%), (JNJ, 0, 0.79%, 0.0003134%), (WMT, 0, 0.76%, 0.0001576%), (CAT, 0, 0.74%, 0.0005847%), (CVX, 0, 0.74%, 0.0003897%), (PG, 0, 0.74%, 0.0003400%), (ABBV, 0, 0.73%, 0.0003137%), (COST, 0, 0.72%, 0.0002895%), (RTX, 0, 0.71%, 0.0005632%), (HD, 0, 0.70%, 0.0002854%), (ABT, 0, 0.70%, 0.0004981%), (MCD, 0, 0.67%, 0.0005261%), (BAC, 0, 0.63%, 0.0002775%), (KO, 0, 0.57%, 0.0003339%), (BKNG, 0, 0.56%, 0.0005367%), (PM, 0, 0.56%, 0.0003701%), (GS, 0, 0.56%, 0.0003908%), (IBM, 0, 0.55%, 0.0003801%), (SO, 0, 0.55%, 0.0009176%), (BA, 0, 0.54%, 0.0005580%), (AMD, 0, 0.54%, 0.0003547%), (CRM, 0, 0.54%, 0.0003859%), (UBER, 0, 0.53%, 0.0004380%), (NKE, 0, 0.52%, 0.0010319%), (DUK, 0, 0.51%, 0.0009159%), (WFC, 0, 0.51%, 0.0003200%), (ETN, 0, 0.50%, 0.0005759%), (MET, 0, 0.48%, 0.0015362%), (ISRG, 0, 0.46%, 0.0005018%), (HON, 0, 0.46%, 0.0005810%), (NOW, 0, 0.45%, 0.0003808%), (MS, 0, 0.44%, 0.0002902%), (INTU, 0, 0.43%, 0.0003863%), (PEP, 0, 0.43%, 0.0003718%), (T, 0, 0.42%, 0.0015935%), (AXP, 0, 0.42%, 0.0003018%), (DE, 0, 0.40%, 0.0005338%), (QCOM, 0, 0.39%, 0.0003652%), (MRK, 0, 0.38%, 0.0003176%), (VZ, 0, 0.37%, 0.0003404%), (BLK, 0, 0.37%, 0.0003513%), (ADBE, 0, 0.36%, 0.0004042%), (MDT, 0, 0.36%, 0.0004993%), (SPGI, 0, 0.36%, 0.0003917%), (C, 0, 0.35%, 0.0003163%), (TXN, 0, 0.34%, 0.0003560%), (UNP, 0, 0.34%, 0.0004434%), (TMO, 0, 0.34%, 0.0003194%), (ACN, 0, 0.34%, 0.0003855%), (COP, 0, 0.34%, 0.0004945%), (LMT, 0, 0.34%, 0.0005173%), (DIS, 0, 0.33%, 0.0002719%), (AMAT, 0, 0.32%, 0.0003670%), (SCHW, 0, 0.31%, 0.0003076%), (SBUX, 0, 0.30%, 0.0005224%), (MMM, 0, 0.29%, 0.0005815%), (AMGN, 0, 0.28%, 0.0003132%), (CVS, 0, 0.28%, 0.0004951%), (TJX, 0, 0.27%, 0.0002898%), (GILD, 0, 0.26%, 0.0003147%), (INTC, 0, 0.26%, 0.0003289%), (LOW, 0, 0.26%, 0.0002892%), (EMR, 0, 0.25%, 0.0005748%), (PFE, 0, 0.25%, 0.0003126%), (MO, 0, 0.24%, 0.0003741%), (DHR, 0, 0.23%, 0.0002854%), (ELV, 0, 0.22%, 0.0005211%), (CMCSA, 0, 0.19%, 0.0002835%), (MDLZ, 0, 0.19%, 0.0003840%), (BMY, 0, 0.17%, 0.0003125%), (UPS, 0, 0.16%, 0.0004310%), (PYPL, 0, 0.15%, 0.0004001%), (USB, 0, 0.14%, 0.0003086%), (FDX, 0, 0.13%, 0.0004132%), (CL, 0, 0.13%, 0.0003419%), (TGT, 0, 0.07%, 0.0002936%), (nan, 0, -0.03%, 0.0000000%), (nan, 0, -0.04%, 0.0000000%)</t>
  </si>
  <si>
    <t>NVDA, AAPL, MSFT, GOOGLE</t>
  </si>
  <si>
    <t>(AMZN, 0, 3.45%, 0.0000362%), (AVGO, 0, 3.28%, 0.0000507%), (META, 0, 2.60%, 0.0000390%), (BRK/B, 0, 1.97%, 0.0000717%), (TSLA, 0, 1.96%, 0.0000342%), (LIN, 0, 1.64%, 0.0001818%), (CSCO, 0, 1.62%, 0.0001519%), (JPM, 0, 1.58%, 0.0000455%), (XOM, 0, 1.38%, 0.0000711%), (AMT, 0, 1.34%, 0.0003680%), (V, 0, 1.28%, 0.0000549%), (ORCL, 0, 1.10%, 0.0000313%), (GE, 0, 1.08%, 0.0000841%), (LLY, 0, 1.06%, 0.0000378%), (CB, 0, 1.05%, 0.0002416%), (MA, 0, 1.03%, 0.0000496%), (WM, 0, 0.92%, 0.0002644%), (UNH, 0, 0.92%, 0.0000733%), (PLTR, 0, 0.82%, 0.0000500%), (NFLX, 0, 0.81%, 0.0000394%), (NEE, 0, 0.79%, 0.0001314%), (JNJ, 0, 0.77%, 0.0000453%), (CAT, 0, 0.77%, 0.0000845%), (WMT, 0, 0.74%, 0.0000228%), (CVX, 0, 0.73%, 0.0000563%), (ABBV, 0, 0.71%, 0.0000453%), (RTX, 0, 0.70%, 0.0000813%), (PG, 0, 0.69%, 0.0000491%), (COST, 0, 0.69%, 0.0000417%), (ABT, 0, 0.68%, 0.0000719%), (HD, 0, 0.67%, 0.0000412%), (MCD, 0, 0.65%, 0.0000760%), (BAC, 0, 0.62%, 0.0000401%), (GS, 0, 0.56%, 0.0000563%), (IBM, 0, 0.56%, 0.0000549%), (KO, 0, 0.55%, 0.0000482%), (BKNG, 0, 0.55%, 0.0000776%), (PM, 0, 0.54%, 0.0000534%), (SO, 0, 0.54%, 0.0001325%), (BA, 0, 0.54%, 0.0000805%), (AMD, 0, 0.53%, 0.0000512%), (CRM, 0, 0.52%, 0.0000558%), (UBER, 0, 0.52%, 0.0000632%), (WFC, 0, 0.51%, 0.0000462%), (NKE, 0, 0.51%, 0.0001490%), (DUK, 0, 0.50%, 0.0001323%), (ETN, 0, 0.49%, 0.0000832%), (MET, 0, 0.48%, 0.0002218%), (ISRG, 0, 0.46%, 0.0000725%), (HON, 0, 0.45%, 0.0000840%), (MS, 0, 0.44%, 0.0000419%), (INTU, 0, 0.44%, 0.0000560%), (NOW, 0, 0.43%, 0.0000548%), (AXP, 0, 0.42%, 0.0000436%), (PEP, 0, 0.41%, 0.0000537%), (T, 0, 0.40%, 0.0002301%), (DE, 0, 0.39%, 0.0000769%), (QCOM, 0, 0.39%, 0.0000527%), (MRK, 0, 0.37%, 0.0000459%), (BLK, 0, 0.36%, 0.0000510%), (VZ, 0, 0.36%, 0.0000492%), (ADBE, 0, 0.35%, 0.0000583%), (C, 0, 0.35%, 0.0000457%), (MDT, 0, 0.35%, 0.0000721%), (UNP, 0, 0.34%, 0.0000641%), (SPGI, 0, 0.34%, 0.0000565%), (AMAT, 0, 0.34%, 0.0000530%), (TXN, 0, 0.34%, 0.0000514%), (CVS, 0, 0.34%, 0.0000873%), (COP, 0, 0.34%, 0.0000714%), (LMT, 0, 0.33%, 0.0000748%), (TMO, 0, 0.33%, 0.0000460%), (ACN, 0, 0.33%, 0.0000557%), (DIS, 0, 0.32%, 0.0000393%), (SCHW, 0, 0.31%, 0.0000444%), (SBUX, 0, 0.29%, 0.0000755%), (MMM, 0, 0.28%, 0.0000840%), (AMGN, 0, 0.28%, 0.0000451%), (INTC, 0, 0.26%, 0.0000475%), (TJX, 0, 0.26%, 0.0000419%), (GILD, 0, 0.25%, 0.0000454%), (EMR, 0, 0.25%, 0.0000830%), (LOW, 0, 0.24%, 0.0000417%), (MO, 0, 0.23%, 0.0000540%), (DHR, 0, 0.22%, 0.0000412%), (ELV, 0, 0.22%, 0.0000751%), (CMCSA, 0, 0.19%, 0.0000409%), (PFE, 0, 0.19%, 0.0000346%), (MDLZ, 0, 0.18%, 0.0000555%), (BMY, 0, 0.17%, 0.0000451%), (UPS, 0, 0.16%, 0.0000622%), (PYPL, 0, 0.15%, 0.0000578%), (USB, 0, 0.14%, 0.0000446%), (FDX, 0, 0.13%, 0.0000598%), (CL, 0, 0.13%, 0.0000494%), (TGT, 0, 0.07%, 0.0000425%), (nan, 0, -0.01%, 0.0000000%), (nan, 0, -0.01%, 0.0000000%)</t>
  </si>
  <si>
    <t>(AMZN, 0, 3.73%, 0.0002157%), (AVGO, 0, 3.55%, 0.0003022%), (META, 0, 2.81%, 0.0002327%), (BRK/B, 0, 2.13%, 0.0004278%), (TSLA, 0, 2.12%, 0.0002039%), (LIN, 0, 1.77%, 0.0010849%), (CSCO, 0, 1.76%, 0.0009058%), (JPM, 0, 1.71%, 0.0002716%), (XOM, 0, 1.50%, 0.0004240%), (AMT, 0, 1.45%, 0.0021955%), (V, 0, 1.38%, 0.0003273%), (ORCL, 0, 1.19%, 0.0001866%), (GE, 0, 1.17%, 0.0005014%), (LLY, 0, 1.15%, 0.0002252%), (CB, 0, 1.13%, 0.0014412%), (MA, 0, 1.11%, 0.0002959%), (WM, 0, 1.00%, 0.0015769%), (UNH, 0, 1.00%, 0.0004371%), (PLTR, 0, 0.89%, 0.0002983%), (NFLX, 0, 0.88%, 0.0002346%), (NEE, 0, 0.85%, 0.0007837%), (JNJ, 0, 0.83%, 0.0002700%), (CAT, 0, 0.83%, 0.0005035%), (WMT, 0, 0.80%, 0.0001358%), (CVX, 0, 0.79%, 0.0003357%), (ABBV, 0, 0.77%, 0.0002702%), (RTX, 0, 0.76%, 0.0004851%), (PG, 0, 0.75%, 0.0002929%), (COST, 0, 0.75%, 0.0002493%), (ABT, 0, 0.73%, 0.0004291%), (HD, 0, 0.73%, 0.0002458%), (MCD, 0, 0.71%, 0.0004532%), (BAC, 0, 0.68%, 0.0002390%), (GS, 0, 0.60%, 0.0003367%), (IBM, 0, 0.60%, 0.0003275%), (KO, 0, 0.59%, 0.0002877%), (BKNG, 0, 0.59%, 0.0004622%), (SO, 0, 0.58%, 0.0007904%), (PM, 0, 0.58%, 0.0003188%), (BA, 0, 0.58%, 0.0004806%), (AMD, 0, 0.58%, 0.0003055%), (CRM, 0, 0.56%, 0.0003325%), (UBER, 0, 0.56%, 0.0003773%), (WFC, 0, 0.55%, 0.0002757%), (NKE, 0, 0.55%, 0.0008889%), (DUK, 0, 0.54%, 0.0007890%), (ETN, 0, 0.53%, 0.0004960%), (MET, 0, 0.52%, 0.0013233%), (ISRG, 0, 0.49%, 0.0004322%), (HON, 0, 0.48%, 0.0005004%), (MS, 0, 0.47%, 0.0002500%), (INTU, 0, 0.47%, 0.0003328%), (NOW, 0, 0.46%, 0.0003279%), (TMO, 0, 0.46%, 0.0003548%), (AXP, 0, 0.45%, 0.0002599%), (PEP, 0, 0.44%, 0.0003203%), (T, 0, 0.44%, 0.0013727%), (DE, 0, 0.43%, 0.0004598%), (QCOM, 0, 0.42%, 0.0003146%), (MRK, 0, 0.40%, 0.0002736%), (BLK, 0, 0.39%, 0.0003022%), (VZ, 0, 0.39%, 0.0002932%), (ADBE, 0, 0.38%, 0.0003481%), (CVS, 0, 0.38%, 0.0005447%), (C, 0, 0.38%, 0.0002725%), (MDT, 0, 0.38%, 0.0004301%), (UNP, 0, 0.37%, 0.0003819%), (SPGI, 0, 0.37%, 0.0003372%), (TXN, 0, 0.37%, 0.0003067%), (AMAT, 0, 0.37%, 0.0003162%), (COP, 0, 0.37%, 0.0004260%), (LMT, 0, 0.36%, 0.0004456%), (ACN, 0, 0.35%, 0.0003320%), (DIS, 0, 0.35%, 0.0002342%), (SCHW, 0, 0.33%, 0.0002650%), (SBUX, 0, 0.32%, 0.0004500%), (MMM, 0, 0.30%, 0.0005009%), (AMGN, 0, 0.30%, 0.0002697%), (INTC, 0, 0.28%, 0.0002833%), (TJX, 0, 0.28%, 0.0002496%), (GILD, 0, 0.27%, 0.0002711%), (EMR, 0, 0.27%, 0.0004950%), (LOW, 0, 0.26%, 0.0002491%), (MO, 0, 0.25%, 0.0003222%), (DHR, 0, 0.24%, 0.0002459%), (ELV, 0, 0.23%, 0.0004491%), (CMCSA, 0, 0.21%, 0.0002442%), (MDLZ, 0, 0.20%, 0.0003308%), (PFE, 0, 0.20%, 0.0001972%), (BMY, 0, 0.18%, 0.0002691%), (UPS, 0, 0.17%, 0.0003713%), (PYPL, 0, 0.16%, 0.0003447%), (USB, 0, 0.15%, 0.0002659%), (FDX, 0, 0.14%, 0.0003560%), (CL, 0, 0.14%, 0.0002945%), (TGT, 0, 0.07%, 0.0002529%), (nan, 0, -0.01%, 0.0000000%), (nan, 0, -0.01%, 0.0000000%)</t>
  </si>
  <si>
    <t>(AMZN, 0, 3.73%, 0.0001607%), (AVGO, 0, 3.55%, 0.0002252%), (META, 0, 2.81%, 0.0001734%), (BRK/B, 0, 2.13%, 0.0003187%), (TSLA, 0, 2.12%, 0.0001520%), (LIN, 0, 1.77%, 0.0008084%), (CSCO, 0, 1.76%, 0.0006750%), (JPM, 0, 1.71%, 0.0002024%), (XOM, 0, 1.50%, 0.0003159%), (AMT, 0, 1.45%, 0.0016360%), (V, 0, 1.38%, 0.0002439%), (ORCL, 0, 1.19%, 0.0001391%), (GE, 0, 1.17%, 0.0003736%), (LLY, 0, 1.15%, 0.0001678%), (CB, 0, 1.13%, 0.0010741%), (MA, 0, 1.11%, 0.0002205%), (WM, 0, 1.00%, 0.0011751%), (UNH, 0, 1.00%, 0.0003257%), (PLTR, 0, 0.89%, 0.0002223%), (NFLX, 0, 0.88%, 0.0001749%), (NEE, 0, 0.85%, 0.0005840%), (JNJ, 0, 0.83%, 0.0002012%), (CAT, 0, 0.83%, 0.0003753%), (WMT, 0, 0.80%, 0.0001012%), (CVX, 0, 0.79%, 0.0002502%), (ABBV, 0, 0.77%, 0.0002014%), (RTX, 0, 0.76%, 0.0003615%), (PG, 0, 0.75%, 0.0002183%), (COST, 0, 0.75%, 0.0001859%), (ABT, 0, 0.73%, 0.0003197%), (HD, 0, 0.73%, 0.0001831%), (MCD, 0, 0.71%, 0.0003377%), (BAC, 0, 0.68%, 0.0001781%), (GS, 0, 0.60%, 0.0002511%), (IBM, 0, 0.60%, 0.0002440%), (KO, 0, 0.59%, 0.0002144%), (BKNG, 0, 0.59%, 0.0003444%), (SO, 0, 0.58%, 0.0005890%), (PM, 0, 0.58%, 0.0002376%), (BA, 0, 0.58%, 0.0003581%), (AMD, 0, 0.58%, 0.0002277%), (CRM, 0, 0.56%, 0.0002477%), (UBER, 0, 0.56%, 0.0002811%), (WFC, 0, 0.55%, 0.0002054%), (NKE, 0, 0.55%, 0.0006624%), (DUK, 0, 0.54%, 0.0005880%), (ETN, 0, 0.53%, 0.0003696%), (MET, 0, 0.52%, 0.0009861%), (ISRG, 0, 0.50%, 0.0003221%), (HON, 0, 0.48%, 0.0003730%), (MS, 0, 0.47%, 0.0001863%), (INTU, 0, 0.47%, 0.0002478%), (NOW, 0, 0.46%, 0.0002442%), (AXP, 0, 0.45%, 0.0001937%), (TMO, 0, 0.45%, 0.0002582%), (PEP, 0, 0.44%, 0.0002386%), (T, 0, 0.44%, 0.0010228%), (DE, 0, 0.43%, 0.0003429%), (QCOM, 0, 0.42%, 0.0002344%), (MRK, 0, 0.40%, 0.0002039%), (BLK, 0, 0.39%, 0.0002254%), (VZ, 0, 0.39%, 0.0002185%), (ADBE, 0, 0.38%, 0.0002594%), (CVS, 0, 0.38%, 0.0004044%), (C, 0, 0.38%, 0.0002031%), (MDT, 0, 0.38%, 0.0003205%), (UNP, 0, 0.37%, 0.0002846%), (SPGI, 0, 0.37%, 0.0002513%), (TXN, 0, 0.37%, 0.0002286%), (AMAT, 0, 0.37%, 0.0002356%), (COP, 0, 0.37%, 0.0003174%), (LMT, 0, 0.36%, 0.0003319%), (ACN, 0, 0.35%, 0.0002474%), (DIS, 0, 0.35%, 0.0001745%), (SCHW, 0, 0.33%, 0.0001974%), (SBUX, 0, 0.32%, 0.0003354%), (MMM, 0, 0.30%, 0.0003733%), (AMGN, 0, 0.30%, 0.0002010%), (INTC, 0, 0.28%, 0.0002111%), (TJX, 0, 0.28%, 0.0001860%), (GILD, 0, 0.27%, 0.0002020%), (EMR, 0, 0.27%, 0.0003689%), (LOW, 0, 0.26%, 0.0001856%), (MO, 0, 0.25%, 0.0002401%), (DHR, 0, 0.24%, 0.0001832%), (ELV, 0, 0.23%, 0.0003343%), (CMCSA, 0, 0.21%, 0.0001820%), (PFE, 0, 0.20%, 0.0001479%), (MDLZ, 0, 0.20%, 0.0002464%), (BMY, 0, 0.18%, 0.0002006%), (UPS, 0, 0.17%, 0.0002766%), (PYPL, 0, 0.16%, 0.0002569%), (USB, 0, 0.15%, 0.0001981%), (FDX, 0, 0.14%, 0.0002653%), (CL, 0, 0.14%, 0.0002195%), (TGT, 0, 0.07%, 0.0001884%), (nan, 0, -0.01%, 0.0000000%), (nan, 0, -0.01%, 0.0000000%)</t>
  </si>
  <si>
    <t>(AMZN, 0, 3.78%, 0.0000377%), (AVGO, 0, 3.59%, 0.0000528%), (META, 0, 2.85%, 0.0000407%), (BRK/B, 0, 2.15%, 0.0000747%), (TSLA, 0, 2.15%, 0.0000356%), (LIN, 0, 1.80%, 0.0001895%), (CSCO, 0, 1.78%, 0.0001583%), (JPM, 0, 1.73%, 0.0000475%), (XOM, 0, 1.51%, 0.0000741%), (AMT, 0, 1.46%, 0.0003836%), (V, 0, 1.39%, 0.0000572%), (ORCL, 0, 1.20%, 0.0000326%), (GE, 0, 1.18%, 0.0000876%), (LLY, 0, 1.16%, 0.0000393%), (CB, 0, 1.15%, 0.0002518%), (MA, 0, 1.13%, 0.0000517%), (WM, 0, 1.01%, 0.0002755%), (UNH, 0, 1.01%, 0.0000764%), (PLTR, 0, 0.90%, 0.0000521%), (NFLX, 0, 0.89%, 0.0000411%), (NEE, 0, 0.86%, 0.0001369%), (JNJ, 0, 0.84%, 0.0000472%), (CAT, 0, 0.84%, 0.0000879%), (WMT, 0, 0.81%, 0.0000237%), (CVX, 0, 0.80%, 0.0000587%), (ABBV, 0, 0.78%, 0.0000472%), (RTX, 0, 0.77%, 0.0000847%), (PG, 0, 0.76%, 0.0000512%), (COST, 0, 0.75%, 0.0000435%), (ABT, 0, 0.74%, 0.0000750%), (HD, 0, 0.74%, 0.0000430%), (MCD, 0, 0.72%, 0.0000792%), (BAC, 0, 0.68%, 0.0000418%), (GS, 0, 0.61%, 0.0000587%), (IBM, 0, 0.61%, 0.0000572%), (KO, 0, 0.60%, 0.0000503%), (BKNG, 0, 0.60%, 0.0000807%), (SO, 0, 0.59%, 0.0001381%), (PM, 0, 0.59%, 0.0000557%), (BA, 0, 0.59%, 0.0000839%), (AMD, 0, 0.58%, 0.0000534%), (CRM, 0, 0.57%, 0.0000581%), (UBER, 0, 0.57%, 0.0000659%), (WFC, 0, 0.56%, 0.0000482%), (NKE, 0, 0.56%, 0.0001553%), (TMO, 0, 0.56%, 0.0000748%), (DUK, 0, 0.55%, 0.0001378%), (ETN, 0, 0.53%, 0.0000866%), (MET, 0, 0.53%, 0.0002313%), (ISRG, 0, 0.50%, 0.0000756%), (HON, 0, 0.49%, 0.0000874%), (MS, 0, 0.48%, 0.0000437%), (INTU, 0, 0.48%, 0.0000581%), (NOW, 0, 0.47%, 0.0000572%), (AXP, 0, 0.46%, 0.0000454%), (PEP, 0, 0.45%, 0.0000559%), (T, 0, 0.44%, 0.0002399%), (DE, 0, 0.43%, 0.0000803%), (QCOM, 0, 0.42%, 0.0000550%), (MRK, 0, 0.40%, 0.0000478%), (CVS, 0, 0.40%, 0.0000982%), (BLK, 0, 0.39%, 0.0000530%), (VZ, 0, 0.39%, 0.0000512%), (ADBE, 0, 0.39%, 0.0000609%), (C, 0, 0.39%, 0.0000476%), (MDT, 0, 0.38%, 0.0000752%), (UNP, 0, 0.38%, 0.0000668%), (SPGI, 0, 0.37%, 0.0000588%), (AMAT, 0, 0.37%, 0.0000552%), (TXN, 0, 0.37%, 0.0000536%), (COP, 0, 0.37%, 0.0000744%), (LMT, 0, 0.36%, 0.0000778%), (ACN, 0, 0.36%, 0.0000580%), (DIS, 0, 0.35%, 0.0000409%), (SCHW, 0, 0.33%, 0.0000463%), (SBUX, 0, 0.32%, 0.0000786%), (MMM, 0, 0.31%, 0.0000875%), (AMGN, 0, 0.30%, 0.0000472%), (INTC, 0, 0.29%, 0.0000495%), (TJX, 0, 0.28%, 0.0000436%), (GILD, 0, 0.28%, 0.0000473%), (EMR, 0, 0.27%, 0.0000865%), (LOW, 0, 0.27%, 0.0000435%), (MO, 0, 0.26%, 0.0000563%), (DHR, 0, 0.24%, 0.0000429%), (ELV, 0, 0.24%, 0.0000783%), (CMCSA, 0, 0.21%, 0.0000427%), (PFE, 0, 0.20%, 0.0000347%), (MDLZ, 0, 0.20%, 0.0000578%), (BMY, 0, 0.18%, 0.0000470%), (UPS, 0, 0.17%, 0.0000648%), (PYPL, 0, 0.16%, 0.0000603%), (USB, 0, 0.15%, 0.0000465%), (FDX, 0, 0.15%, 0.0000623%), (CL, 0, 0.14%, 0.0000515%), (TGT, 0, 0.07%, 0.0000442%), (nan, 0, -0.01%, 0.0000000%), (nan, 0, -0.01%, 0.0000000%)</t>
  </si>
  <si>
    <t>(AMZN, 0, 3.59%, 0.0000664%), (AVGO, 0, 3.42%, 0.0000930%), (META, 0, 2.71%, 0.0000716%), (BRK/B, 0, 2.05%, 0.0001317%), (TSLA, 0, 2.05%, 0.0000628%), (LIN, 0, 1.71%, 0.0003339%), (CSCO, 0, 1.69%, 0.0002788%), (JPM, 0, 1.64%, 0.0000836%), (XOM, 0, 1.44%, 0.0001305%), (AMT, 0, 1.39%, 0.0006756%), (V, 0, 1.33%, 0.0001007%), (ORCL, 0, 1.15%, 0.0000574%), (GE, 0, 1.13%, 0.0001543%), (LLY, 0, 1.11%, 0.0000693%), (CB, 0, 1.09%, 0.0004437%), (MA, 0, 1.07%, 0.0000911%), (WM, 0, 0.96%, 0.0004853%), (UNH, 0, 0.96%, 0.0001345%), (PLTR, 0, 0.86%, 0.0000918%), (NFLX, 0, 0.84%, 0.0000722%), (NEE, 0, 0.82%, 0.0002412%), (JNJ, 0, 0.80%, 0.0000831%), (CAT, 0, 0.80%, 0.0001550%), (WMT, 0, 0.77%, 0.0000418%), (CVX, 0, 0.76%, 0.0001033%), (ABBV, 0, 0.74%, 0.0000832%), (RTX, 0, 0.73%, 0.0001493%), (PG, 0, 0.72%, 0.0000901%), (COST, 0, 0.72%, 0.0000767%), (ABT, 0, 0.71%, 0.0001320%), (HD, 0, 0.70%, 0.0000756%), (MCD, 0, 0.68%, 0.0001394%), (BAC, 0, 0.65%, 0.0000736%), (GS, 0, 0.58%, 0.0001037%), (IBM, 0, 0.58%, 0.0001008%), (BKNG, 0, 0.57%, 0.0001427%), (KO, 0, 0.57%, 0.0000885%), (SO, 0, 0.56%, 0.0002432%), (PM, 0, 0.56%, 0.0000981%), (BA, 0, 0.56%, 0.0001479%), (AMD, 0, 0.55%, 0.0000940%), (CRM, 0, 0.54%, 0.0001023%), (UBER, 0, 0.54%, 0.0001161%), (WFC, 0, 0.53%, 0.0000848%), (NKE, 0, 0.53%, 0.0002736%), (DUK, 0, 0.52%, 0.0002429%), (ETN, 0, 0.51%, 0.0001526%), (MET, 0, 0.50%, 0.0004072%), (ISRG, 0, 0.48%, 0.0001331%), (HON, 0, 0.47%, 0.0001540%), (MS, 0, 0.46%, 0.0000769%), (INTU, 0, 0.45%, 0.0001026%), (TMO, 0, 0.45%, 0.0001113%), (NOW, 0, 0.44%, 0.0001010%), (AXP, 0, 0.44%, 0.0000800%), (PEP, 0, 0.43%, 0.0000986%), (T, 0, 0.42%, 0.0004224%), (DE, 0, 0.41%, 0.0001417%), (QCOM, 0, 0.40%, 0.0000968%), (MRK, 0, 0.38%, 0.0000842%), (BLK, 0, 0.37%, 0.0000930%), (VZ, 0, 0.37%, 0.0000902%), (ADBE, 0, 0.37%, 0.0001070%), (C, 0, 0.37%, 0.0000839%), (MDT, 0, 0.37%, 0.0001324%), (CVS, 0, 0.36%, 0.0001627%), (UNP, 0, 0.36%, 0.0001175%), (SPGI, 0, 0.36%, 0.0001037%), (TXN, 0, 0.35%, 0.0000944%), (AMAT, 0, 0.35%, 0.0000973%), (COP, 0, 0.35%, 0.0001311%), (LMT, 0, 0.35%, 0.0001370%), (ACN, 0, 0.34%, 0.0001023%), (DIS, 0, 0.33%, 0.0000721%), (SCHW, 0, 0.32%, 0.0000815%), (SBUX, 0, 0.30%, 0.0001385%), (MMM, 0, 0.29%, 0.0001542%), (AMGN, 0, 0.29%, 0.0000830%), (INTC, 0, 0.27%, 0.0000872%), (TJX, 0, 0.27%, 0.0000768%), (GILD, 0, 0.26%, 0.0000834%), (EMR, 0, 0.26%, 0.0001525%), (LOW, 0, 0.25%, 0.0000767%), (MO, 0, 0.24%, 0.0000992%), (DHR, 0, 0.23%, 0.0000756%), (ELV, 0, 0.23%, 0.0001381%), (PFE, 0, 0.20%, 0.0000653%), (CMCSA, 0, 0.20%, 0.0000752%), (MDLZ, 0, 0.19%, 0.0001018%), (BMY, 0, 0.17%, 0.0000828%), (UPS, 0, 0.16%, 0.0001143%), (PYPL, 0, 0.15%, 0.0001061%), (USB, 0, 0.14%, 0.0000818%), (FDX, 0, 0.14%, 0.0001093%), (CL, 0, 0.13%, 0.0000907%), (TGT, 0, 0.07%, 0.0000779%), (nan, 0, -0.00%, 0.0000000%), (nan, 0, -0.01%, 0.0000000%)</t>
  </si>
  <si>
    <t>(AMZN, 0, 3.67%, 0.0000240%), (AVGO, 0, 3.49%, 0.0000336%), (META, 0, 2.76%, 0.0000259%), (BRK/B, 0, 2.09%, 0.0000475%), (TSLA, 0, 2.09%, 0.0000227%), (LIN, 0, 1.74%, 0.0001206%), (CSCO, 0, 1.73%, 0.0001007%), (JPM, 0, 1.68%, 0.0000302%), (XOM, 0, 1.47%, 0.0000471%), (AMT, 0, 1.42%, 0.0002439%), (V, 0, 1.35%, 0.0000364%), (ORCL, 0, 1.18%, 0.0000207%), (GE, 0, 1.15%, 0.0000557%), (LLY, 0, 1.13%, 0.0000251%), (CB, 0, 1.11%, 0.0001601%), (MA, 0, 1.09%, 0.0000329%), (WM, 0, 0.98%, 0.0001752%), (UNH, 0, 0.98%, 0.0000486%), (PLTR, 0, 0.88%, 0.0000332%), (NFLX, 0, 0.86%, 0.0000260%), (NEE, 0, 0.84%, 0.0000871%), (JNJ, 0, 0.82%, 0.0000300%), (CAT, 0, 0.81%, 0.0000559%), (WMT, 0, 0.78%, 0.0000151%), (CVX, 0, 0.78%, 0.0000373%), (ABBV, 0, 0.76%, 0.0000301%), (RTX, 0, 0.74%, 0.0000539%), (PG, 0, 0.74%, 0.0000326%), (COST, 0, 0.74%, 0.0000278%), (ABT, 0, 0.72%, 0.0000477%), (HD, 0, 0.72%, 0.0000273%), (MCD, 0, 0.69%, 0.0000503%), (BAC, 0, 0.66%, 0.0000266%), (BKNG, 0, 0.60%, 0.0000527%), (GS, 0, 0.59%, 0.0000373%), (IBM, 0, 0.59%, 0.0000364%), (KO, 0, 0.58%, 0.0000320%), (PM, 0, 0.57%, 0.0000355%), (SO, 0, 0.57%, 0.0000879%), (BA, 0, 0.57%, 0.0000534%), (AMD, 0, 0.57%, 0.0000340%), (CRM, 0, 0.56%, 0.0000370%), (UBER, 0, 0.55%, 0.0000420%), (WFC, 0, 0.54%, 0.0000307%), (NKE, 0, 0.54%, 0.0000988%), (DUK, 0, 0.53%, 0.0000876%), (ETN, 0, 0.52%, 0.0000552%), (MET, 0, 0.51%, 0.0001471%), (ISRG, 0, 0.49%, 0.0000480%), (HON, 0, 0.47%, 0.0000556%), (MS, 0, 0.47%, 0.0000278%), (INTU, 0, 0.46%, 0.0000369%), (NOW, 0, 0.46%, 0.0000365%), (AXP, 0, 0.44%, 0.0000289%), (PEP, 0, 0.44%, 0.0000356%), (T, 0, 0.43%, 0.0001526%), (DE, 0, 0.42%, 0.0000510%), (QCOM, 0, 0.41%, 0.0000349%), (MRK, 0, 0.39%, 0.0000304%), (BLK, 0, 0.38%, 0.0000336%), (VZ, 0, 0.38%, 0.0000326%), (ADBE, 0, 0.38%, 0.0000387%), (C, 0, 0.38%, 0.0000303%), (MDT, 0, 0.37%, 0.0000478%), (SPGI, 0, 0.37%, 0.0000376%), (UNP, 0, 0.37%, 0.0000425%), (TXN, 0, 0.36%, 0.0000341%), (COP, 0, 0.36%, 0.0000473%), (AMAT, 0, 0.36%, 0.0000351%), (LMT, 0, 0.36%, 0.0000497%), (TMO, 0, 0.35%, 0.0000306%), (ACN, 0, 0.34%, 0.0000369%), (CVS, 0, 0.34%, 0.0000553%), (DIS, 0, 0.34%, 0.0000260%), (SCHW, 0, 0.33%, 0.0000295%), (SBUX, 0, 0.31%, 0.0000501%), (MMM, 0, 0.30%, 0.0000557%), (AMGN, 0, 0.29%, 0.0000299%), (INTC, 0, 0.28%, 0.0000315%), (TJX, 0, 0.28%, 0.0000278%), (GILD, 0, 0.27%, 0.0000301%), (EMR, 0, 0.26%, 0.0000551%), (LOW, 0, 0.26%, 0.0000276%), (MO, 0, 0.25%, 0.0000358%), (DHR, 0, 0.24%, 0.0000273%), (ELV, 0, 0.23%, 0.0000499%), (CMCSA, 0, 0.20%, 0.0000271%), (PFE, 0, 0.20%, 0.0000229%), (MDLZ, 0, 0.19%, 0.0000367%), (BMY, 0, 0.18%, 0.0000299%), (UPS, 0, 0.17%, 0.0000413%), (PYPL, 0, 0.16%, 0.0000384%), (USB, 0, 0.15%, 0.0000296%), (FDX, 0, 0.14%, 0.0000394%), (CL, 0, 0.13%, 0.0000328%), (TGT, 0, 0.07%, 0.0000282%), (nan, 0, -0.00%, 0.0000000%), (nan, 0, -0.01%, 0.0000000%)</t>
  </si>
  <si>
    <t>(AMZN, 0, 3.87%, 0.0000571%), (AVGO, 0, 3.68%, 0.0000801%), (META, 0, 2.92%, 0.0000617%), (BRK/B, 0, 2.21%, 0.0001134%), (TSLA, 0, 2.20%, 0.0000540%), (LIN, 0, 1.84%, 0.0002874%), (CSCO, 0, 1.82%, 0.0002400%), (JPM, 0, 1.77%, 0.0000720%), (XOM, 0, 1.55%, 0.0001124%), (AMT, 0, 1.50%, 0.0005819%), (V, 0, 1.43%, 0.0000867%), (ORCL, 0, 1.23%, 0.0000495%), (GE, 0, 1.22%, 0.0001328%), (LLY, 0, 1.19%, 0.0000597%), (CB, 0, 1.17%, 0.0003819%), (MA, 0, 1.16%, 0.0000784%), (WM, 0, 1.04%, 0.0004180%), (UNH, 0, 1.03%, 0.0001158%), (PLTR, 0, 0.93%, 0.0000791%), (NFLX, 0, 0.91%, 0.0000621%), (NEE, 0, 0.88%, 0.0002077%), (JNJ, 0, 0.86%, 0.0000716%), (CAT, 0, 0.86%, 0.0001334%), (WMT, 0, 0.83%, 0.0000360%), (CVX, 0, 0.82%, 0.0000889%), (ABBV, 0, 0.80%, 0.0000716%), (RTX, 0, 0.79%, 0.0001286%), (PG, 0, 0.78%, 0.0000776%), (COST, 0, 0.78%, 0.0000661%), (ABT, 0, 0.76%, 0.0001137%), (HD, 0, 0.76%, 0.0000651%), (MCD, 0, 0.73%, 0.0001201%), (BAC, 0, 0.70%, 0.0000633%), (GS, 0, 0.63%, 0.0000894%), (IBM, 0, 0.62%, 0.0000868%), (BKNG, 0, 0.62%, 0.0001241%), (KO, 0, 0.62%, 0.0000762%), (SO, 0, 0.60%, 0.0002094%), (PM, 0, 0.60%, 0.0000845%), (BA, 0, 0.60%, 0.0001274%), (AMD, 0, 0.60%, 0.0000810%), (CRM, 0, 0.59%, 0.0000881%), (UBER, 0, 0.58%, 0.0001000%), (WFC, 0, 0.57%, 0.0000730%), (NKE, 0, 0.57%, 0.0002355%), (DUK, 0, 0.56%, 0.0002091%), (ETN, 0, 0.55%, 0.0001315%), (MET, 0, 0.54%, 0.0003507%), (ISRG, 0, 0.51%, 0.0001145%), (TMO, 0, 0.50%, 0.0000995%), (HON, 0, 0.50%, 0.0001326%), (MS, 0, 0.49%, 0.0000663%), (INTU, 0, 0.48%, 0.0000882%), (NOW, 0, 0.48%, 0.0000870%), (AXP, 0, 0.47%, 0.0000688%), (PEP, 0, 0.46%, 0.0000848%), (T, 0, 0.45%, 0.0003637%), (DE, 0, 0.44%, 0.0001217%), (QCOM, 0, 0.43%, 0.0000833%), (MRK, 0, 0.41%, 0.0000725%), (BLK, 0, 0.40%, 0.0000801%), (VZ, 0, 0.40%, 0.0000777%), (CVS, 0, 0.40%, 0.0001446%), (ADBE, 0, 0.40%, 0.0000922%), (C, 0, 0.40%, 0.0000722%), (MDT, 0, 0.39%, 0.0001140%), (UNP, 0, 0.39%, 0.0001012%), (SPGI, 0, 0.38%, 0.0000895%), (TXN, 0, 0.38%, 0.0000813%), (AMAT, 0, 0.38%, 0.0000837%), (COP, 0, 0.38%, 0.0001129%), (LMT, 0, 0.37%, 0.0001180%), (ACN, 0, 0.36%, 0.0000880%), (DIS, 0, 0.36%, 0.0000621%), (SCHW, 0, 0.34%, 0.0000702%), (SBUX, 0, 0.33%, 0.0001192%), (MMM, 0, 0.32%, 0.0001327%), (AMGN, 0, 0.31%, 0.0000715%), (INTC, 0, 0.30%, 0.0000751%), (TJX, 0, 0.29%, 0.0000661%), (GILD, 0, 0.28%, 0.0000718%), (EMR, 0, 0.28%, 0.0001311%), (LOW, 0, 0.27%, 0.0000660%), (MO, 0, 0.26%, 0.0000854%), (DHR, 0, 0.25%, 0.0000651%), (ELV, 0, 0.24%, 0.0001188%), (CMCSA, 0, 0.21%, 0.0000647%), (MDLZ, 0, 0.20%, 0.0000877%), (PFE, 0, 0.20%, 0.0000520%), (BMY, 0, 0.19%, 0.0000713%), (UPS, 0, 0.17%, 0.0000984%), (PYPL, 0, 0.17%, 0.0000914%), (USB, 0, 0.16%, 0.0000705%), (FDX, 0, 0.15%, 0.0000945%), (CL, 0, 0.14%, 0.0000780%), (TGT, 0, 0.08%, 0.0000671%), (nan, 0, -0.01%, 0.0000000%), (nan, 0, -0.01%, 0.0000000%)</t>
  </si>
  <si>
    <t>KLAC, GOOGLE, NVDA, EBAY, AMAT, MLI, BK, META, JPM, LRCX, MSFT</t>
  </si>
  <si>
    <t>(BKR, 0, 1.99%, 0.0022636%), (AXP, 0, 1.96%, 0.0004487%), (WSM, 0, 1.95%, 0.0043764%), (PHM, 0, 1.95%, 0.0042274%), (RJF, 0, 1.93%, 0.0029837%), (EWBC, 0, 1.89%, 0.0069140%), (HIG, 0, 1.81%, 0.0027138%), (TRV, 0, 1.80%, 0.0015924%), (BKNG, 0, 1.79%, 0.0005553%), (SNA, 0, 1.75%, 0.0054069%), (UNM, 0, 1.73%, 0.0072402%), (ROST, 0, 1.73%, 0.0020097%), (MPWR, 0, 1.72%, 0.0021340%), (V, 0, 1.71%, 0.0001613%), (CB, 0, 1.66%, 0.0008449%), (GE, 0, 1.64%, 0.0002801%), (PCAR, 0, 1.64%, 0.0017428%), (ADP, 0, 1.61%, 0.0007529%), (EA, 0, 1.54%, 0.0019378%), (CRM, 0, 1.51%, 0.0003514%), (SYF, 0, 1.49%, 0.0029711%), (CTSH, 0, 1.49%, 0.0024987%), (BLK, 0, 1.46%, 0.0004533%), (STT, 0, 1.44%, 0.0024614%), (AAPL, 0, 1.43%, 0.0000207%), (QCOM, 0, 1.41%, 0.0004213%), (PNC, 0, 1.40%, 0.0009454%), (ACN, 0, 1.31%, 0.0004841%), (ABT, 0, 1.30%, 0.0003032%), (LEN, 0, 1.22%, 0.0024316%), (GEV, 0, 1.04%, 0.0003280%), (ELV, 0, 1.04%, 0.0007933%), (ACM, 0, 0.98%, 0.0030805%), (DHI, 0, 0.98%, 0.0011047%), (MA, 0, 0.93%, 0.0000985%), (ALL, 0, 0.88%, 0.0008801%), (AFL, 0, 0.84%, 0.0007907%), (COST, 0, 0.83%, 0.0001103%), (PAYC, 0, 0.83%, 0.0036180%), (AMP, 0, 0.83%, 0.0009816%), (PGR, 0, 0.79%, 0.0003098%), (ODFL, 0, 0.70%, 0.0012933%), (NTRS, 0, 0.53%, 0.0011469%), (CSCO, 0, 0.50%, 0.0001030%), (FOXA, 0, 0.48%, 0.0020359%), (BAC, 0, 0.48%, 0.0000674%), (JNJ, 0, 0.46%, 0.0000603%), (RMD, 0, 0.46%, 0.0006317%), (MET, 0, 0.46%, 0.0004680%), (VLTO, 0, 0.46%, 0.0009605%), (LNC, 0, 0.45%, 0.0031231%), (COKE, 0, 0.45%, 0.0028646%), (MTB, 0, 0.45%, 0.0007853%), (WTFC, 0, 0.43%, 0.0026093%), (CINF, 0, 0.43%, 0.0009672%), (XOM, 0, 0.43%, 0.0000479%), (CF, 0, 0.42%, 0.0016602%), (MCK, 0, 0.42%, 0.0002516%), (EQH, 0, 0.42%, 0.0014038%), (DOV, 0, 0.40%, 0.0009245%), (EOG, 0, 0.39%, 0.0003313%), (EG, 0, 0.38%, 0.0014810%), (CSL, 0, 0.33%, 0.0012636%), (CRBG, 0, 0.00%, 0.0000000%), (SLM, 0, 0.00%, 0.0000000%), (NUE, 0, 0.00%, 0.0000000%), (FANG, 0, 0.00%, 0.0000000%), (JXN, 0, 0.00%, 0.0000000%), (ADM, 0, 0.00%, 0.0000000%), (MTG, 0, 0.00%, 0.0000000%), (NKE, 0, 0.00%, 0.0000000%)</t>
  </si>
  <si>
    <t>(AMZN, 0, 3.56%, 0.0000610%), (AVGO, 0, 3.39%, 0.0000855%), (META, 0, 2.68%, 0.0000658%), (BRK/B, 0, 2.03%, 0.0001211%), (TSLA, 0, 2.03%, 0.0000577%), (LIN, 0, 1.69%, 0.0003071%), (CSCO, 0, 1.68%, 0.0002563%), (JPM, 0, 1.63%, 0.0000768%), (XOM, 0, 1.43%, 0.0001200%), (AMT, 0, 1.38%, 0.0006212%), (V, 0, 1.32%, 0.0000926%), (ORCL, 0, 1.14%, 0.0000528%), (GE, 0, 1.12%, 0.0001419%), (LLY, 0, 1.10%, 0.0000637%), (CB, 0, 1.08%, 0.0004078%), (MA, 0, 1.06%, 0.0000837%), (WM, 0, 0.95%, 0.0004463%), (UNH, 0, 0.95%, 0.0001236%), (PLTR, 0, 0.85%, 0.0000844%), (NFLX, 0, 0.83%, 0.0000663%), (NEE, 0, 0.81%, 0.0002217%), (JNJ, 0, 0.79%, 0.0000764%), (CAT, 0, 0.79%, 0.0001426%), (WMT, 0, 0.76%, 0.0000384%), (CVX, 0, 0.76%, 0.0000950%), (ABBV, 0, 0.74%, 0.0000765%), (RTX, 0, 0.72%, 0.0001373%), (PG, 0, 0.72%, 0.0000829%), (COST, 0, 0.71%, 0.0000706%), (ABT, 0, 0.70%, 0.0001214%), (HD, 0, 0.69%, 0.0000695%), (MCD, 0, 0.68%, 0.0001282%), (BAC, 0, 0.65%, 0.0000676%), (GS, 0, 0.58%, 0.0000954%), (IBM, 0, 0.57%, 0.0000926%), (KO, 0, 0.57%, 0.0000814%), (BKNG, 0, 0.56%, 0.0001303%), (PM, 0, 0.56%, 0.0000902%), (SO, 0, 0.56%, 0.0002237%), (BA, 0, 0.55%, 0.0001360%), (AMD, 0, 0.55%, 0.0000865%), (CRM, 0, 0.54%, 0.0000941%), (UBER, 0, 0.54%, 0.0001067%), (WFC, 0, 0.53%, 0.0000780%), (NKE, 0, 0.53%, 0.0002516%), (DUK, 0, 0.52%, 0.0002233%), (ETN, 0, 0.50%, 0.0001403%), (MET, 0, 0.50%, 0.0003744%), (ISRG, 0, 0.47%, 0.0001224%), (HON, 0, 0.46%, 0.0001416%), (TMO, 0, 0.45%, 0.0001043%), (MS, 0, 0.45%, 0.0000707%), (INTU, 0, 0.45%, 0.0000943%), (NOW, 0, 0.44%, 0.0000928%), (AXP, 0, 0.43%, 0.0000736%), (PEP, 0, 0.42%, 0.0000906%), (T, 0, 0.42%, 0.0003884%), (DE, 0, 0.41%, 0.0001302%), (QCOM, 0, 0.40%, 0.0000890%), (MRK, 0, 0.38%, 0.0000774%), (BLK, 0, 0.37%, 0.0000859%), (VZ, 0, 0.37%, 0.0000830%), (ADBE, 0, 0.37%, 0.0000984%), (C, 0, 0.36%, 0.0000771%), (MDT, 0, 0.36%, 0.0001217%), (UNP, 0, 0.35%, 0.0001081%), (SPGI, 0, 0.35%, 0.0000954%), (TXN, 0, 0.35%, 0.0000868%), (AMAT, 0, 0.35%, 0.0000895%), (COP, 0, 0.35%, 0.0001205%), (LMT, 0, 0.34%, 0.0001262%), (CVS, 0, 0.34%, 0.0001443%), (ACN, 0, 0.34%, 0.0000939%), (DIS, 0, 0.33%, 0.0000663%), (SCHW, 0, 0.32%, 0.0000750%), (SBUX, 0, 0.30%, 0.0001273%), (MMM, 0, 0.29%, 0.0001417%), (AMGN, 0, 0.29%, 0.0000763%), (INTC, 0, 0.27%, 0.0000802%), (TJX, 0, 0.27%, 0.0000706%), (GILD, 0, 0.26%, 0.0000767%), (EMR, 0, 0.25%, 0.0001400%), (LOW, 0, 0.25%, 0.0000704%), (MO, 0, 0.24%, 0.0000912%), (DHR, 0, 0.23%, 0.0000695%), (ELV, 0, 0.22%, 0.0001269%), (PFE, 0, 0.20%, 0.0000604%), (CMCSA, 0, 0.20%, 0.0000691%), (MDLZ, 0, 0.19%, 0.0000936%), (BMY, 0, 0.17%, 0.0000761%), (UPS, 0, 0.16%, 0.0001050%), (PYPL, 0, 0.15%, 0.0000976%), (USB, 0, 0.14%, 0.0000752%), (FDX, 0, 0.14%, 0.0001009%), (CL, 0, 0.13%, 0.0000834%), (TGT, 0, 0.07%, 0.0000715%), (nan, 0, -0.00%, 0.0000000%), (nan, 0, -0.01%, 0.0000000%)</t>
  </si>
  <si>
    <t>(AMZN, 0, 3.72%, 0.0001248%), (AVGO, 0, 3.53%, 0.0001748%), (META, 0, 2.80%, 0.0001346%), (BRK/B, 0, 2.12%, 0.0002475%), (TSLA, 0, 2.12%, 0.0001180%), (LIN, 0, 1.77%, 0.0006277%), (CSCO, 0, 1.75%, 0.0005240%), (JPM, 0, 1.70%, 0.0001571%), (XOM, 0, 1.49%, 0.0002453%), (AMT, 0, 1.44%, 0.0012701%), (V, 0, 1.37%, 0.0001893%), (ORCL, 0, 1.19%, 0.0001080%), (GE, 0, 1.17%, 0.0002901%), (LLY, 0, 1.15%, 0.0001302%), (CB, 0, 1.13%, 0.0008337%), (MA, 0, 1.11%, 0.0001712%), (WM, 0, 1.00%, 0.0009125%), (UNH, 0, 0.99%, 0.0002528%), (PLTR, 0, 0.89%, 0.0001726%), (NFLX, 0, 0.87%, 0.0001357%), (NEE, 0, 0.85%, 0.0004534%), (JNJ, 0, 0.83%, 0.0001562%), (CAT, 0, 0.82%, 0.0002914%), (WMT, 0, 0.79%, 0.0000786%), (CVX, 0, 0.79%, 0.0001942%), (ABBV, 0, 0.77%, 0.0001563%), (RTX, 0, 0.75%, 0.0002807%), (PG, 0, 0.75%, 0.0001694%), (COST, 0, 0.74%, 0.0001442%), (ABT, 0, 0.73%, 0.0002483%), (HD, 0, 0.73%, 0.0001423%), (MCD, 0, 0.71%, 0.0002622%), (BAC, 0, 0.67%, 0.0001383%), (GS, 0, 0.60%, 0.0001947%), (IBM, 0, 0.60%, 0.0001895%), (KO, 0, 0.59%, 0.0001664%), (BKNG, 0, 0.59%, 0.0002668%), (SO, 0, 0.58%, 0.0004573%), (PM, 0, 0.58%, 0.0001844%), (BA, 0, 0.58%, 0.0002780%), (AMD, 0, 0.57%, 0.0001767%), (CRM, 0, 0.56%, 0.0001923%), (UBER, 0, 0.56%, 0.0002183%), (WFC, 0, 0.55%, 0.0001595%), (NKE, 0, 0.55%, 0.0005142%), (DUK, 0, 0.54%, 0.0004565%), (ETN, 0, 0.53%, 0.0002869%), (MET, 0, 0.52%, 0.0007655%), (ISRG, 0, 0.49%, 0.0002499%), (HON, 0, 0.48%, 0.0002895%), (MS, 0, 0.47%, 0.0001446%), (INTU, 0, 0.47%, 0.0001926%), (NOW, 0, 0.46%, 0.0001899%), (AXP, 0, 0.45%, 0.0001504%), (PEP, 0, 0.44%, 0.0001853%), (T, 0, 0.44%, 0.0007941%), (DE, 0, 0.43%, 0.0002660%), (QCOM, 0, 0.42%, 0.0001820%), (TMO, 0, 0.41%, 0.0001858%), (MRK, 0, 0.40%, 0.0001583%), (BLK, 0, 0.39%, 0.0001750%), (VZ, 0, 0.38%, 0.0001696%), (ADBE, 0, 0.38%, 0.0002014%), (C, 0, 0.38%, 0.0001576%), (MDT, 0, 0.38%, 0.0002489%), (UNP, 0, 0.37%, 0.0002210%), (SPGI, 0, 0.37%, 0.0001952%), (AMAT, 0, 0.37%, 0.0001829%), (CVS, 0, 0.37%, 0.0003019%), (TXN, 0, 0.37%, 0.0001774%), (COP, 0, 0.36%, 0.0002464%), (LMT, 0, 0.36%, 0.0002576%), (ACN, 0, 0.35%, 0.0001922%), (DIS, 0, 0.34%, 0.0001355%), (SCHW, 0, 0.33%, 0.0001533%), (SBUX, 0, 0.32%, 0.0002603%), (MMM, 0, 0.30%, 0.0002897%), (AMGN, 0, 0.30%, 0.0001560%), (INTC, 0, 0.28%, 0.0001639%), (TJX, 0, 0.28%, 0.0001444%), (GILD, 0, 0.27%, 0.0001568%), (EMR, 0, 0.27%, 0.0002864%), (LOW, 0, 0.26%, 0.0001441%), (MO, 0, 0.25%, 0.0001865%), (DHR, 0, 0.24%, 0.0001423%), (ELV, 0, 0.23%, 0.0002596%), (PFE, 0, 0.21%, 0.0001224%), (CMCSA, 0, 0.21%, 0.0001413%), (MDLZ, 0, 0.20%, 0.0001913%), (BMY, 0, 0.18%, 0.0001557%), (UPS, 0, 0.17%, 0.0002148%), (PYPL, 0, 0.16%, 0.0001994%), (USB, 0, 0.15%, 0.0001538%), (FDX, 0, 0.14%, 0.0002060%), (CL, 0, 0.14%, 0.0001705%), (TGT, 0, 0.07%, 0.0001463%), (nan, 0, -0.00%, 0.0000000%), (nan, 0, -0.01%, 0.0000000%)</t>
  </si>
  <si>
    <t>(AMZN, 0, 3.51%, 0.0002491%), (AVGO, 0, 3.34%, 0.0003490%), (META, 0, 2.65%, 0.0002688%), (BRK/B, 0, 2.00%, 0.0004941%), (TSLA, 0, 2.00%, 0.0002356%), (LIN, 0, 1.67%, 0.0012532%), (CSCO, 0, 1.65%, 0.0010463%), (JPM, 0, 1.61%, 0.0003137%), (XOM, 0, 1.41%, 0.0004898%), (AMT, 0, 1.36%, 0.0025360%), (V, 0, 1.30%, 0.0003781%), (ORCL, 0, 1.12%, 0.0002156%), (GE, 0, 1.10%, 0.0005792%), (LLY, 0, 1.08%, 0.0002601%), (CB, 0, 1.07%, 0.0016648%), (MA, 0, 1.05%, 0.0003418%), (WM, 0, 0.94%, 0.0018217%), (UNH, 0, 0.94%, 0.0005048%), (PLTR, 0, 0.84%, 0.0003446%), (NFLX, 0, 0.83%, 0.0002709%), (NEE, 0, 0.80%, 0.0009053%), (JNJ, 0, 0.78%, 0.0003118%), (CAT, 0, 0.78%, 0.0005817%), (WMT, 0, 0.75%, 0.0001569%), (CVX, 0, 0.75%, 0.0003878%), (ABBV, 0, 0.73%, 0.0003122%), (RTX, 0, 0.71%, 0.0005603%), (PG, 0, 0.71%, 0.0003383%), (COST, 0, 0.70%, 0.0002881%), (ABT, 0, 0.69%, 0.0004957%), (HD, 0, 0.69%, 0.0002840%), (MCD, 0, 0.67%, 0.0005235%), (BAC, 0, 0.64%, 0.0002761%), (GS, 0, 0.57%, 0.0003891%), (IBM, 0, 0.57%, 0.0003783%), (KO, 0, 0.56%, 0.0003323%), (BKNG, 0, 0.56%, 0.0005367%), (SO, 0, 0.55%, 0.0009130%), (PM, 0, 0.55%, 0.0003683%), (BA, 0, 0.55%, 0.0005552%), (AMD, 0, 0.54%, 0.0003529%), (CRM, 0, 0.53%, 0.0003840%), (UBER, 0, 0.53%, 0.0004358%), (WFC, 0, 0.52%, 0.0003184%), (NKE, 0, 0.52%, 0.0010268%), (DUK, 0, 0.51%, 0.0009114%), (ETN, 0, 0.50%, 0.0005731%), (MET, 0, 0.49%, 0.0015287%), (ISRG, 0, 0.47%, 0.0004993%), (HON, 0, 0.45%, 0.0005781%), (MS, 0, 0.45%, 0.0002888%), (INTU, 0, 0.44%, 0.0003845%), (NOW, 0, 0.44%, 0.0003788%), (AXP, 0, 0.43%, 0.0003002%), (PEP, 0, 0.42%, 0.0003699%), (TMO, 0, 0.42%, 0.0003976%), (T, 0, 0.41%, 0.0015856%), (DE, 0, 0.40%, 0.0005312%), (QCOM, 0, 0.39%, 0.0003634%), (MRK, 0, 0.37%, 0.0003160%), (BLK, 0, 0.36%, 0.0003494%), (VZ, 0, 0.36%, 0.0003387%), (ADBE, 0, 0.36%, 0.0004021%), (CVS, 0, 0.36%, 0.0006266%), (C, 0, 0.36%, 0.0003148%), (MDT, 0, 0.36%, 0.0004968%), (UNP, 0, 0.35%, 0.0004412%), (SPGI, 0, 0.35%, 0.0003897%), (TXN, 0, 0.35%, 0.0003543%), (AMAT, 0, 0.34%, 0.0003652%), (COP, 0, 0.34%, 0.0004920%), (LMT, 0, 0.34%, 0.0005147%), (ACN, 0, 0.33%, 0.0003836%), (DIS, 0, 0.33%, 0.0002705%), (SCHW, 0, 0.31%, 0.0003061%), (SBUX, 0, 0.30%, 0.0005198%), (MMM, 0, 0.29%, 0.0005787%), (AMGN, 0, 0.28%, 0.0003115%), (INTC, 0, 0.27%, 0.0003272%), (TJX, 0, 0.26%, 0.0002884%), (GILD, 0, 0.26%, 0.0003131%), (EMR, 0, 0.25%, 0.0005720%), (LOW, 0, 0.25%, 0.0002878%), (MO, 0, 0.24%, 0.0003723%), (DHR, 0, 0.22%, 0.0002840%), (ELV, 0, 0.22%, 0.0005188%), (CMCSA, 0, 0.19%, 0.0002821%), (PFE, 0, 0.19%, 0.0002337%), (MDLZ, 0, 0.18%, 0.0003821%), (BMY, 0, 0.17%, 0.0003109%), (UPS, 0, 0.16%, 0.0004289%), (PYPL, 0, 0.15%, 0.0003982%), (USB, 0, 0.14%, 0.0003072%), (FDX, 0, 0.13%, 0.0004111%), (CL, 0, 0.13%, 0.0003403%), (TGT, 0, 0.07%, 0.0002920%), (nan, 0, -0.01%, 0.0000000%), (nan, 0, -0.01%, 0.0000000%)</t>
  </si>
  <si>
    <t>(AMZN, 0, 3.46%, 0.0000362%), (AVGO, 0, 3.29%, 0.0000507%), (META, 0, 2.61%, 0.0000390%), (TSLA, 0, 1.97%, 0.0000342%), (BRK/B, 0, 1.97%, 0.0000717%), (LIN, 0, 1.64%, 0.0001818%), (CSCO, 0, 1.63%, 0.0001519%), (JPM, 0, 1.58%, 0.0000455%), (XOM, 0, 1.38%, 0.0000711%), (AMT, 0, 1.34%, 0.0003680%), (V, 0, 1.28%, 0.0000549%), (ORCL, 0, 1.12%, 0.0000313%), (GE, 0, 1.08%, 0.0000841%), (LLY, 0, 1.07%, 0.0000378%), (CB, 0, 1.05%, 0.0002416%), (MA, 0, 1.03%, 0.0000496%), (WM, 0, 0.93%, 0.0002644%), (UNH, 0, 0.92%, 0.0000733%), (PLTR, 0, 0.82%, 0.0000500%), (NFLX, 0, 0.82%, 0.0000394%), (NEE, 0, 0.79%, 0.0001314%), (JNJ, 0, 0.77%, 0.0000453%), (CAT, 0, 0.77%, 0.0000845%), (WMT, 0, 0.74%, 0.0000228%), (CVX, 0, 0.73%, 0.0000563%), (ABBV, 0, 0.72%, 0.0000453%), (RTX, 0, 0.70%, 0.0000813%), (PG, 0, 0.70%, 0.0000491%), (COST, 0, 0.69%, 0.0000417%), (ABT, 0, 0.68%, 0.0000719%), (HD, 0, 0.67%, 0.0000412%), (MCD, 0, 0.66%, 0.0000760%), (BAC, 0, 0.63%, 0.0000401%), (GS, 0, 0.56%, 0.0000563%), (IBM, 0, 0.56%, 0.0000549%), (KO, 0, 0.55%, 0.0000482%), (BKNG, 0, 0.55%, 0.0000776%), (PM, 0, 0.54%, 0.0000534%), (SO, 0, 0.54%, 0.0001325%), (BA, 0, 0.53%, 0.0000805%), (AMD, 0, 0.53%, 0.0000512%), (CRM, 0, 0.53%, 0.0000558%), (UBER, 0, 0.52%, 0.0000632%), (WFC, 0, 0.51%, 0.0000462%), (NKE, 0, 0.51%, 0.0001490%), (DUK, 0, 0.50%, 0.0001323%), (ETN, 0, 0.49%, 0.0000832%), (MET, 0, 0.48%, 0.0002218%), (ISRG, 0, 0.46%, 0.0000725%), (HON, 0, 0.45%, 0.0000840%), (MS, 0, 0.44%, 0.0000419%), (INTU, 0, 0.44%, 0.0000560%), (NOW, 0, 0.43%, 0.0000548%), (AXP, 0, 0.42%, 0.0000436%), (PEP, 0, 0.41%, 0.0000537%), (T, 0, 0.41%, 0.0002301%), (DE, 0, 0.39%, 0.0000769%), (QCOM, 0, 0.39%, 0.0000527%), (MRK, 0, 0.37%, 0.0000459%), (BLK, 0, 0.36%, 0.0000510%), (VZ, 0, 0.36%, 0.0000492%), (ADBE, 0, 0.36%, 0.0000583%), (C, 0, 0.35%, 0.0000457%), (MDT, 0, 0.35%, 0.0000721%), (UNP, 0, 0.34%, 0.0000641%), (SPGI, 0, 0.34%, 0.0000565%), (AMAT, 0, 0.34%, 0.0000530%), (TXN, 0, 0.34%, 0.0000514%), (COP, 0, 0.34%, 0.0000714%), (LMT, 0, 0.34%, 0.0000748%), (ACN, 0, 0.33%, 0.0000557%), (TMO, 0, 0.33%, 0.0000460%), (DIS, 0, 0.32%, 0.0000393%), (SCHW, 0, 0.31%, 0.0000444%), (SBUX, 0, 0.29%, 0.0000755%), (MMM, 0, 0.28%, 0.0000840%), (CVS, 0, 0.28%, 0.0000718%), (AMGN, 0, 0.28%, 0.0000451%), (INTC, 0, 0.26%, 0.0000475%), (TJX, 0, 0.26%, 0.0000419%), (GILD, 0, 0.25%, 0.0000454%), (PFE, 0, 0.25%, 0.0000453%), (EMR, 0, 0.25%, 0.0000830%), (LOW, 0, 0.24%, 0.0000417%), (MO, 0, 0.23%, 0.0000540%), (DHR, 0, 0.22%, 0.0000412%), (ELV, 0, 0.22%, 0.0000751%), (CMCSA, 0, 0.19%, 0.0000409%), (MDLZ, 0, 0.18%, 0.0000555%), (BMY, 0, 0.17%, 0.0000451%), (UPS, 0, 0.16%, 0.0000622%), (PYPL, 0, 0.15%, 0.0000578%), (USB, 0, 0.14%, 0.0000446%), (FDX, 0, 0.13%, 0.0000598%), (CL, 0, 0.13%, 0.0000494%), (TGT, 0, 0.07%, 0.0000425%), (nan, 0, -0.00%, 0.0000000%), (nan, 0, -0.00%, 0.0000000%)</t>
  </si>
  <si>
    <t>(AMZN, 0, 3.74%, 0.0002157%), (AVGO, 0, 3.56%, 0.0003022%), (META, 0, 2.82%, 0.0002327%), (TSLA, 0, 2.14%, 0.0002039%), (BRK/B, 0, 2.13%, 0.0004278%), (LIN, 0, 1.78%, 0.0010849%), (CSCO, 0, 1.77%, 0.0009103%), (JPM, 0, 1.71%, 0.0002716%), (XOM, 0, 1.50%, 0.0004261%), (AMT, 0, 1.45%, 0.0021955%), (V, 0, 1.39%, 0.0003273%), (ORCL, 0, 1.20%, 0.0001866%), (GE, 0, 1.17%, 0.0005014%), (LLY, 0, 1.16%, 0.0002252%), (CB, 0, 1.13%, 0.0014412%), (MA, 0, 1.12%, 0.0002959%), (WM, 0, 1.00%, 0.0015769%), (UNH, 0, 0.99%, 0.0004371%), (PLTR, 0, 0.89%, 0.0002983%), (NFLX, 0, 0.88%, 0.0002346%), (NEE, 0, 0.86%, 0.0007876%), (JNJ, 0, 0.83%, 0.0002700%), (CAT, 0, 0.83%, 0.0005035%), (WMT, 0, 0.80%, 0.0001358%), (CVX, 0, 0.79%, 0.0003357%), (ABBV, 0, 0.78%, 0.0002702%), (RTX, 0, 0.76%, 0.0004851%), (PG, 0, 0.75%, 0.0002929%), (COST, 0, 0.75%, 0.0002493%), (ABT, 0, 0.74%, 0.0004291%), (HD, 0, 0.73%, 0.0002458%), (MCD, 0, 0.71%, 0.0004532%), (BAC, 0, 0.68%, 0.0002402%), (GS, 0, 0.61%, 0.0003367%), (IBM, 0, 0.60%, 0.0003275%), (KO, 0, 0.59%, 0.0002877%), (BKNG, 0, 0.59%, 0.0004622%), (PM, 0, 0.58%, 0.0003188%), (SO, 0, 0.58%, 0.0007904%), (BA, 0, 0.58%, 0.0004806%), (AMD, 0, 0.58%, 0.0003055%), (CRM, 0, 0.57%, 0.0003325%), (UBER, 0, 0.56%, 0.0003773%), (WFC, 0, 0.56%, 0.0002757%), (NKE, 0, 0.55%, 0.0008889%), (DUK, 0, 0.54%, 0.0007890%), (ETN, 0, 0.53%, 0.0004960%), (MET, 0, 0.52%, 0.0013233%), (ISRG, 0, 0.49%, 0.0004322%), (HON, 0, 0.48%, 0.0005004%), (MS, 0, 0.47%, 0.0002500%), (INTU, 0, 0.47%, 0.0003328%), (NOW, 0, 0.46%, 0.0003279%), (AXP, 0, 0.45%, 0.0002599%), (PEP, 0, 0.45%, 0.0003203%), (T, 0, 0.44%, 0.0013796%), (DE, 0, 0.43%, 0.0004598%), (QCOM, 0, 0.42%, 0.0003146%), (MRK, 0, 0.40%, 0.0002736%), (BLK, 0, 0.39%, 0.0003022%), (VZ, 0, 0.39%, 0.0002932%), (ADBE, 0, 0.39%, 0.0003481%), (C, 0, 0.38%, 0.0002725%), (MDT, 0, 0.38%, 0.0004301%), (UNP, 0, 0.37%, 0.0003819%), (SPGI, 0, 0.37%, 0.0003372%), (TXN, 0, 0.37%, 0.0003067%), (AMAT, 0, 0.37%, 0.0003162%), (COP, 0, 0.37%, 0.0004260%), (LMT, 0, 0.36%, 0.0004456%), (TMO, 0, 0.36%, 0.0002765%), (ACN, 0, 0.35%, 0.0003320%), (DIS, 0, 0.35%, 0.0002342%), (SCHW, 0, 0.33%, 0.0002650%), (SBUX, 0, 0.32%, 0.0004500%), (MMM, 0, 0.30%, 0.0005009%), (CVS, 0, 0.30%, 0.0004286%), (AMGN, 0, 0.30%, 0.0002697%), (INTC, 0, 0.28%, 0.0002833%), (TJX, 0, 0.28%, 0.0002496%), (GILD, 0, 0.27%, 0.0002711%), (PFE, 0, 0.27%, 0.0002706%), (EMR, 0, 0.27%, 0.0004950%), (LOW, 0, 0.26%, 0.0002491%), (MO, 0, 0.25%, 0.0003222%), (DHR, 0, 0.24%, 0.0002459%), (ELV, 0, 0.24%, 0.0004491%), (CMCSA, 0, 0.21%, 0.0002442%), (MDLZ, 0, 0.20%, 0.0003308%), (BMY, 0, 0.18%, 0.0002691%), (UPS, 0, 0.17%, 0.0003713%), (PYPL, 0, 0.16%, 0.0003447%), (USB, 0, 0.15%, 0.0002659%), (FDX, 0, 0.14%, 0.0003560%), (CL, 0, 0.14%, 0.0002945%), (TGT, 0, 0.07%, 0.0002529%), (nan, 0, -0.00%, 0.0000000%), (nan, 0, -0.00%, 0.0000000%)</t>
  </si>
  <si>
    <t>(AMZN, 0, 3.74%, 0.0001607%), (AVGO, 0, 3.56%, 0.0002252%), (META, 0, 2.82%, 0.0001734%), (TSLA, 0, 2.13%, 0.0001520%), (BRK/B, 0, 2.13%, 0.0003187%), (LIN, 0, 1.78%, 0.0008084%), (CSCO, 0, 1.77%, 0.0006783%), (JPM, 0, 1.71%, 0.0002024%), (XOM, 0, 1.49%, 0.0003159%), (AMT, 0, 1.45%, 0.0016360%), (V, 0, 1.39%, 0.0002439%), (ORCL, 0, 1.20%, 0.0001391%), (GE, 0, 1.17%, 0.0003736%), (LLY, 0, 1.15%, 0.0001678%), (CB, 0, 1.13%, 0.0010741%), (MA, 0, 1.12%, 0.0002205%), (WM, 0, 1.00%, 0.0011751%), (UNH, 0, 0.99%, 0.0003257%), (PLTR, 0, 0.89%, 0.0002223%), (NFLX, 0, 0.88%, 0.0001749%), (NEE, 0, 0.85%, 0.0005840%), (JNJ, 0, 0.83%, 0.0002012%), (CAT, 0, 0.83%, 0.0003753%), (WMT, 0, 0.80%, 0.0001012%), (CVX, 0, 0.79%, 0.0002502%), (ABBV, 0, 0.78%, 0.0002014%), (RTX, 0, 0.76%, 0.0003615%), (PG, 0, 0.75%, 0.0002183%), (COST, 0, 0.75%, 0.0001859%), (ABT, 0, 0.74%, 0.0003197%), (HD, 0, 0.73%, 0.0001831%), (MCD, 0, 0.71%, 0.0003377%), (BAC, 0, 0.68%, 0.0001781%), (GS, 0, 0.61%, 0.0002511%), (IBM, 0, 0.60%, 0.0002440%), (KO, 0, 0.59%, 0.0002144%), (BKNG, 0, 0.59%, 0.0003444%), (PM, 0, 0.58%, 0.0002376%), (SO, 0, 0.58%, 0.0005890%), (BA, 0, 0.58%, 0.0003581%), (AMD, 0, 0.58%, 0.0002277%), (CRM, 0, 0.57%, 0.0002477%), (UBER, 0, 0.56%, 0.0002811%), (WFC, 0, 0.55%, 0.0002054%), (NKE, 0, 0.55%, 0.0006624%), (DUK, 0, 0.54%, 0.0005880%), (ETN, 0, 0.53%, 0.0003696%), (MET, 0, 0.52%, 0.0009861%), (ISRG, 0, 0.50%, 0.0003221%), (HON, 0, 0.48%, 0.0003730%), (MS, 0, 0.47%, 0.0001863%), (INTU, 0, 0.47%, 0.0002478%), (NOW, 0, 0.46%, 0.0002442%), (AXP, 0, 0.45%, 0.0001937%), (PEP, 0, 0.45%, 0.0002386%), (T, 0, 0.44%, 0.0010228%), (DE, 0, 0.43%, 0.0003429%), (QCOM, 0, 0.42%, 0.0002344%), (MRK, 0, 0.40%, 0.0002039%), (BLK, 0, 0.39%, 0.0002254%), (VZ, 0, 0.39%, 0.0002185%), (ADBE, 0, 0.39%, 0.0002594%), (C, 0, 0.38%, 0.0002031%), (MDT, 0, 0.38%, 0.0003205%), (UNP, 0, 0.37%, 0.0002846%), (SPGI, 0, 0.37%, 0.0002513%), (TXN, 0, 0.37%, 0.0002286%), (AMAT, 0, 0.37%, 0.0002356%), (COP, 0, 0.37%, 0.0003174%), (LMT, 0, 0.36%, 0.0003319%), (TMO, 0, 0.36%, 0.0002060%), (ACN, 0, 0.35%, 0.0002474%), (DIS, 0, 0.35%, 0.0001745%), (SCHW, 0, 0.33%, 0.0001974%), (SBUX, 0, 0.32%, 0.0003354%), (MMM, 0, 0.30%, 0.0003733%), (CVS, 0, 0.30%, 0.0003194%), (AMGN, 0, 0.30%, 0.0002010%), (INTC, 0, 0.28%, 0.0002111%), (TJX, 0, 0.28%, 0.0001860%), (GILD, 0, 0.27%, 0.0002020%), (PFE, 0, 0.27%, 0.0002017%), (EMR, 0, 0.27%, 0.0003689%), (LOW, 0, 0.26%, 0.0001856%), (MO, 0, 0.25%, 0.0002401%), (DHR, 0, 0.24%, 0.0001832%), (ELV, 0, 0.23%, 0.0003343%), (CMCSA, 0, 0.21%, 0.0001820%), (MDLZ, 0, 0.20%, 0.0002464%), (BMY, 0, 0.18%, 0.0002006%), (UPS, 0, 0.17%, 0.0002766%), (PYPL, 0, 0.16%, 0.0002569%), (USB, 0, 0.15%, 0.0001981%), (FDX, 0, 0.14%, 0.0002653%), (CL, 0, 0.14%, 0.0002195%), (TGT, 0, 0.07%, 0.0001884%), (nan, 0, -0.00%, 0.0000000%), (nan, 0, -0.00%, 0.0000000%)</t>
  </si>
  <si>
    <t>(AMZN, 0, 3.79%, 0.0000377%), (AVGO, 0, 3.60%, 0.0000528%), (META, 0, 2.86%, 0.0000407%), (TSLA, 0, 2.16%, 0.0000356%), (BRK/B, 0, 2.16%, 0.0000747%), (LIN, 0, 1.80%, 0.0001895%), (CSCO, 0, 1.78%, 0.0001583%), (JPM, 0, 1.73%, 0.0000475%), (XOM, 0, 1.51%, 0.0000741%), (AMT, 0, 1.47%, 0.0003836%), (V, 0, 1.40%, 0.0000572%), (ORCL, 0, 1.22%, 0.0000326%), (GE, 0, 1.19%, 0.0000876%), (LLY, 0, 1.17%, 0.0000393%), (CB, 0, 1.15%, 0.0002518%), (MA, 0, 1.13%, 0.0000517%), (WM, 0, 1.01%, 0.0002755%), (UNH, 0, 1.01%, 0.0000764%), (PLTR, 0, 0.90%, 0.0000521%), (NFLX, 0, 0.89%, 0.0000411%), (NEE, 0, 0.86%, 0.0001369%), (JNJ, 0, 0.84%, 0.0000472%), (CAT, 0, 0.84%, 0.0000879%), (WMT, 0, 0.81%, 0.0000237%), (CVX, 0, 0.80%, 0.0000587%), (ABBV, 0, 0.79%, 0.0000472%), (RTX, 0, 0.77%, 0.0000847%), (PG, 0, 0.76%, 0.0000512%), (COST, 0, 0.76%, 0.0000435%), (ABT, 0, 0.75%, 0.0000750%), (HD, 0, 0.74%, 0.0000430%), (MCD, 0, 0.72%, 0.0000792%), (BAC, 0, 0.69%, 0.0000418%), (GS, 0, 0.61%, 0.0000587%), (IBM, 0, 0.61%, 0.0000572%), (KO, 0, 0.60%, 0.0000503%), (BKNG, 0, 0.60%, 0.0000807%), (PM, 0, 0.59%, 0.0000557%), (SO, 0, 0.59%, 0.0001381%), (BA, 0, 0.59%, 0.0000839%), (AMD, 0, 0.58%, 0.0000534%), (CRM, 0, 0.57%, 0.0000581%), (UBER, 0, 0.57%, 0.0000659%), (WFC, 0, 0.56%, 0.0000482%), (NKE, 0, 0.56%, 0.0001553%), (DUK, 0, 0.55%, 0.0001378%), (ETN, 0, 0.54%, 0.0000866%), (MET, 0, 0.53%, 0.0002313%), (ISRG, 0, 0.50%, 0.0000756%), (HON, 0, 0.49%, 0.0000874%), (MS, 0, 0.48%, 0.0000437%), (INTU, 0, 0.48%, 0.0000581%), (NOW, 0, 0.47%, 0.0000572%), (AXP, 0, 0.46%, 0.0000454%), (PEP, 0, 0.45%, 0.0000559%), (T, 0, 0.44%, 0.0002399%), (DE, 0, 0.43%, 0.0000803%), (QCOM, 0, 0.42%, 0.0000550%), (MRK, 0, 0.40%, 0.0000478%), (BLK, 0, 0.39%, 0.0000530%), (VZ, 0, 0.39%, 0.0000512%), (ADBE, 0, 0.39%, 0.0000609%), (C, 0, 0.39%, 0.0000476%), (MDT, 0, 0.39%, 0.0000752%), (UNP, 0, 0.38%, 0.0000668%), (SPGI, 0, 0.37%, 0.0000588%), (AMAT, 0, 0.37%, 0.0000552%), (TXN, 0, 0.37%, 0.0000536%), (COP, 0, 0.37%, 0.0000744%), (LMT, 0, 0.36%, 0.0000778%), (TMO, 0, 0.36%, 0.0000482%), (ACN, 0, 0.36%, 0.0000580%), (DIS, 0, 0.35%, 0.0000409%), (SCHW, 0, 0.34%, 0.0000463%), (SBUX, 0, 0.32%, 0.0000786%), (MMM, 0, 0.31%, 0.0000875%), (CVS, 0, 0.31%, 0.0000748%), (AMGN, 0, 0.30%, 0.0000472%), (INTC, 0, 0.29%, 0.0000495%), (TJX, 0, 0.28%, 0.0000436%), (GILD, 0, 0.28%, 0.0000473%), (PFE, 0, 0.27%, 0.0000473%), (EMR, 0, 0.27%, 0.0000865%), (LOW, 0, 0.27%, 0.0000435%), (MO, 0, 0.26%, 0.0000563%), (DHR, 0, 0.24%, 0.0000429%), (ELV, 0, 0.24%, 0.0000783%), (CMCSA, 0, 0.21%, 0.0000427%), (MDLZ, 0, 0.20%, 0.0000578%), (BMY, 0, 0.18%, 0.0000470%), (UPS, 0, 0.17%, 0.0000648%), (PYPL, 0, 0.16%, 0.0000603%), (USB, 0, 0.15%, 0.0000465%), (FDX, 0, 0.15%, 0.0000623%), (CL, 0, 0.14%, 0.0000515%), (TGT, 0, 0.07%, 0.0000442%), (nan, 0, -0.00%, 0.0000000%), (nan, 0, -0.00%, 0.0000000%)</t>
  </si>
  <si>
    <t>(AMZN, 0, 3.60%, 0.0000664%), (AVGO, 0, 3.43%, 0.0000930%), (META, 0, 2.72%, 0.0000716%), (TSLA, 0, 2.06%, 0.0000628%), (BRK/B, 0, 2.05%, 0.0001317%), (LIN, 0, 1.71%, 0.0003339%), (CSCO, 0, 1.70%, 0.0002788%), (JPM, 0, 1.65%, 0.0000836%), (XOM, 0, 1.44%, 0.0001305%), (AMT, 0, 1.39%, 0.0006756%), (V, 0, 1.33%, 0.0001007%), (ORCL, 0, 1.16%, 0.0000574%), (GE, 0, 1.13%, 0.0001543%), (LLY, 0, 1.11%, 0.0000693%), (CB, 0, 1.09%, 0.0004437%), (MA, 0, 1.08%, 0.0000911%), (WM, 0, 0.96%, 0.0004853%), (UNH, 0, 0.96%, 0.0001345%), (PLTR, 0, 0.86%, 0.0000918%), (NFLX, 0, 0.85%, 0.0000722%), (NEE, 0, 0.82%, 0.0002412%), (JNJ, 0, 0.80%, 0.0000831%), (CAT, 0, 0.80%, 0.0001550%), (WMT, 0, 0.77%, 0.0000418%), (CVX, 0, 0.76%, 0.0001033%), (ABBV, 0, 0.75%, 0.0000832%), (RTX, 0, 0.73%, 0.0001493%), (PG, 0, 0.73%, 0.0000901%), (COST, 0, 0.72%, 0.0000767%), (ABT, 0, 0.71%, 0.0001320%), (HD, 0, 0.70%, 0.0000756%), (MCD, 0, 0.68%, 0.0001394%), (BAC, 0, 0.65%, 0.0000736%), (GS, 0, 0.58%, 0.0001037%), (IBM, 0, 0.58%, 0.0001008%), (BKNG, 0, 0.57%, 0.0001427%), (KO, 0, 0.57%, 0.0000885%), (PM, 0, 0.56%, 0.0000981%), (SO, 0, 0.56%, 0.0002432%), (BA, 0, 0.56%, 0.0001479%), (AMD, 0, 0.56%, 0.0000940%), (CRM, 0, 0.55%, 0.0001023%), (UBER, 0, 0.54%, 0.0001161%), (WFC, 0, 0.53%, 0.0000848%), (NKE, 0, 0.53%, 0.0002736%), (DUK, 0, 0.52%, 0.0002429%), (ETN, 0, 0.51%, 0.0001526%), (MET, 0, 0.50%, 0.0004072%), (ISRG, 0, 0.48%, 0.0001331%), (HON, 0, 0.47%, 0.0001540%), (MS, 0, 0.46%, 0.0000769%), (INTU, 0, 0.45%, 0.0001026%), (NOW, 0, 0.45%, 0.0001010%), (AXP, 0, 0.44%, 0.0000800%), (PEP, 0, 0.43%, 0.0000986%), (T, 0, 0.42%, 0.0004224%), (DE, 0, 0.41%, 0.0001417%), (QCOM, 0, 0.40%, 0.0000968%), (MRK, 0, 0.38%, 0.0000842%), (BLK, 0, 0.37%, 0.0000930%), (VZ, 0, 0.37%, 0.0000902%), (ADBE, 0, 0.37%, 0.0001070%), (C, 0, 0.37%, 0.0000839%), (MDT, 0, 0.37%, 0.0001324%), (UNP, 0, 0.36%, 0.0001175%), (SPGI, 0, 0.36%, 0.0001037%), (TXN, 0, 0.35%, 0.0000944%), (AMAT, 0, 0.35%, 0.0000973%), (COP, 0, 0.35%, 0.0001311%), (LMT, 0, 0.35%, 0.0001370%), (TMO, 0, 0.34%, 0.0000849%), (ACN, 0, 0.34%, 0.0001023%), (DIS, 0, 0.33%, 0.0000721%), (SCHW, 0, 0.32%, 0.0000815%), (SBUX, 0, 0.31%, 0.0001385%), (MMM, 0, 0.29%, 0.0001542%), (CVS, 0, 0.29%, 0.0001318%), (AMGN, 0, 0.29%, 0.0000830%), (INTC, 0, 0.27%, 0.0000872%), (TJX, 0, 0.27%, 0.0000768%), (GILD, 0, 0.26%, 0.0000834%), (PFE, 0, 0.26%, 0.0000832%), (EMR, 0, 0.26%, 0.0001525%), (LOW, 0, 0.25%, 0.0000767%), (MO, 0, 0.24%, 0.0000992%), (DHR, 0, 0.23%, 0.0000756%), (ELV, 0, 0.23%, 0.0001381%), (CMCSA, 0, 0.20%, 0.0000752%), (MDLZ, 0, 0.19%, 0.0001018%), (BMY, 0, 0.17%, 0.0000828%), (UPS, 0, 0.16%, 0.0001143%), (PYPL, 0, 0.15%, 0.0001061%), (USB, 0, 0.14%, 0.0000818%), (FDX, 0, 0.14%, 0.0001093%), (CL, 0, 0.13%, 0.0000907%), (TGT, 0, 0.07%, 0.0000779%), (nan, 0, -0.00%, 0.0000000%), (nan, 0, -0.00%, 0.0000000%)</t>
  </si>
  <si>
    <t>(AMZN, 0, 3.68%, 0.0000240%), (AVGO, 0, 3.50%, 0.0000336%), (META, 0, 2.77%, 0.0000259%), (TSLA, 0, 2.10%, 0.0000227%), (BRK/B, 0, 2.10%, 0.0000475%), (LIN, 0, 1.75%, 0.0001206%), (CSCO, 0, 1.73%, 0.0001007%), (JPM, 0, 1.68%, 0.0000302%), (XOM, 0, 1.47%, 0.0000471%), (AMT, 0, 1.42%, 0.0002439%), (V, 0, 1.36%, 0.0000364%), (ORCL, 0, 1.19%, 0.0000207%), (GE, 0, 1.15%, 0.0000557%), (LLY, 0, 1.14%, 0.0000251%), (CB, 0, 1.11%, 0.0001601%), (MA, 0, 1.10%, 0.0000329%), (WM, 0, 0.99%, 0.0001752%), (UNH, 0, 0.98%, 0.0000486%), (PLTR, 0, 0.88%, 0.0000332%), (NFLX, 0, 0.86%, 0.0000260%), (NEE, 0, 0.84%, 0.0000871%), (JNJ, 0, 0.82%, 0.0000300%), (CAT, 0, 0.81%, 0.0000559%), (WMT, 0, 0.79%, 0.0000151%), (CVX, 0, 0.78%, 0.0000373%), (ABBV, 0, 0.76%, 0.0000301%), (RTX, 0, 0.75%, 0.0000539%), (PG, 0, 0.74%, 0.0000326%), (COST, 0, 0.74%, 0.0000278%), (ABT, 0, 0.72%, 0.0000477%), (HD, 0, 0.72%, 0.0000273%), (MCD, 0, 0.70%, 0.0000503%), (BAC, 0, 0.67%, 0.0000266%), (BKNG, 0, 0.60%, 0.0000527%), (GS, 0, 0.60%, 0.0000373%), (IBM, 0, 0.59%, 0.0000364%), (KO, 0, 0.58%, 0.0000320%), (PM, 0, 0.57%, 0.0000355%), (SO, 0, 0.57%, 0.0000879%), (BA, 0, 0.57%, 0.0000534%), (AMD, 0, 0.57%, 0.0000340%), (CRM, 0, 0.56%, 0.0000370%), (UBER, 0, 0.56%, 0.0000420%), (WFC, 0, 0.55%, 0.0000307%), (NKE, 0, 0.54%, 0.0000988%), (DUK, 0, 0.53%, 0.0000876%), (ETN, 0, 0.52%, 0.0000552%), (MET, 0, 0.51%, 0.0001471%), (ISRG, 0, 0.49%, 0.0000480%), (HON, 0, 0.48%, 0.0000556%), (MS, 0, 0.47%, 0.0000278%), (INTU, 0, 0.46%, 0.0000369%), (NOW, 0, 0.46%, 0.0000365%), (AXP, 0, 0.44%, 0.0000289%), (PEP, 0, 0.44%, 0.0000356%), (T, 0, 0.43%, 0.0001526%), (DE, 0, 0.42%, 0.0000510%), (QCOM, 0, 0.41%, 0.0000349%), (MRK, 0, 0.39%, 0.0000304%), (BLK, 0, 0.38%, 0.0000336%), (VZ, 0, 0.38%, 0.0000326%), (ADBE, 0, 0.38%, 0.0000387%), (C, 0, 0.38%, 0.0000303%), (MDT, 0, 0.37%, 0.0000478%), (SPGI, 0, 0.37%, 0.0000376%), (UNP, 0, 0.37%, 0.0000425%), (TXN, 0, 0.36%, 0.0000341%), (COP, 0, 0.36%, 0.0000473%), (AMAT, 0, 0.36%, 0.0000351%), (LMT, 0, 0.36%, 0.0000497%), (TMO, 0, 0.35%, 0.0000306%), (ACN, 0, 0.35%, 0.0000369%), (DIS, 0, 0.34%, 0.0000260%), (SCHW, 0, 0.33%, 0.0000295%), (SBUX, 0, 0.31%, 0.0000501%), (MMM, 0, 0.30%, 0.0000557%), (CVS, 0, 0.30%, 0.0000476%), (AMGN, 0, 0.30%, 0.0000299%), (INTC, 0, 0.28%, 0.0000315%), (TJX, 0, 0.28%, 0.0000278%), (GILD, 0, 0.27%, 0.0000301%), (PFE, 0, 0.26%, 0.0000301%), (EMR, 0, 0.26%, 0.0000551%), (LOW, 0, 0.26%, 0.0000276%), (MO, 0, 0.25%, 0.0000358%), (DHR, 0, 0.24%, 0.0000273%), (ELV, 0, 0.23%, 0.0000499%), (CMCSA, 0, 0.20%, 0.0000271%), (MDLZ, 0, 0.19%, 0.0000367%), (BMY, 0, 0.18%, 0.0000299%), (UPS, 0, 0.17%, 0.0000413%), (PYPL, 0, 0.16%, 0.0000384%), (USB, 0, 0.15%, 0.0000296%), (FDX, 0, 0.14%, 0.0000394%), (CL, 0, 0.13%, 0.0000328%), (TGT, 0, 0.07%, 0.0000282%), (nan, 0, -0.00%, 0.0000000%), (nan, 0, -0.00%, 0.0000000%)</t>
  </si>
  <si>
    <t>(AMZN, 0, 3.89%, 0.0000571%), (AVGO, 0, 3.69%, 0.0000801%), (META, 0, 2.93%, 0.0000617%), (TSLA, 0, 2.22%, 0.0000540%), (BRK/B, 0, 2.22%, 0.0001134%), (LIN, 0, 1.85%, 0.0002874%), (CSCO, 0, 1.83%, 0.0002400%), (JPM, 0, 1.78%, 0.0000720%), (XOM, 0, 1.55%, 0.0001124%), (AMT, 0, 1.50%, 0.0005819%), (V, 0, 1.44%, 0.0000867%), (ORCL, 0, 1.25%, 0.0000495%), (GE, 0, 1.22%, 0.0001328%), (LLY, 0, 1.20%, 0.0000597%), (CB, 0, 1.18%, 0.0003819%), (MA, 0, 1.16%, 0.0000784%), (WM, 0, 1.04%, 0.0004180%), (UNH, 0, 1.03%, 0.0001158%), (PLTR, 0, 0.93%, 0.0000791%), (NFLX, 0, 0.91%, 0.0000621%), (NEE, 0, 0.89%, 0.0002077%), (JNJ, 0, 0.86%, 0.0000716%), (CAT, 0, 0.86%, 0.0001334%), (WMT, 0, 0.83%, 0.0000360%), (CVX, 0, 0.82%, 0.0000889%), (ABBV, 0, 0.81%, 0.0000716%), (RTX, 0, 0.79%, 0.0001286%), (PG, 0, 0.78%, 0.0000776%), (COST, 0, 0.78%, 0.0000661%), (ABT, 0, 0.76%, 0.0001137%), (HD, 0, 0.76%, 0.0000651%), (MCD, 0, 0.74%, 0.0001201%), (BAC, 0, 0.70%, 0.0000633%), (GS, 0, 0.63%, 0.0000894%), (IBM, 0, 0.63%, 0.0000868%), (BKNG, 0, 0.62%, 0.0001241%), (KO, 0, 0.62%, 0.0000762%), (PM, 0, 0.61%, 0.0000845%), (SO, 0, 0.60%, 0.0002094%), (BA, 0, 0.60%, 0.0001274%), (AMD, 0, 0.60%, 0.0000810%), (CRM, 0, 0.59%, 0.0000881%), (UBER, 0, 0.59%, 0.0001000%), (WFC, 0, 0.58%, 0.0000730%), (NKE, 0, 0.57%, 0.0002355%), (DUK, 0, 0.56%, 0.0002091%), (ETN, 0, 0.55%, 0.0001315%), (MET, 0, 0.54%, 0.0003507%), (ISRG, 0, 0.51%, 0.0001145%), (HON, 0, 0.50%, 0.0001326%), (MS, 0, 0.49%, 0.0000663%), (INTU, 0, 0.49%, 0.0000882%), (NOW, 0, 0.48%, 0.0000870%), (AXP, 0, 0.47%, 0.0000688%), (PEP, 0, 0.46%, 0.0000848%), (T, 0, 0.46%, 0.0003637%), (DE, 0, 0.44%, 0.0001217%), (QCOM, 0, 0.43%, 0.0000833%), (MRK, 0, 0.42%, 0.0000725%), (BLK, 0, 0.40%, 0.0000801%), (VZ, 0, 0.40%, 0.0000777%), (ADBE, 0, 0.40%, 0.0000922%), (C, 0, 0.40%, 0.0000722%), (MDT, 0, 0.40%, 0.0001140%), (UNP, 0, 0.39%, 0.0001012%), (SPGI, 0, 0.39%, 0.0000895%), (TXN, 0, 0.38%, 0.0000813%), (AMAT, 0, 0.38%, 0.0000837%), (COP, 0, 0.38%, 0.0001129%), (LMT, 0, 0.37%, 0.0001180%), (TMO, 0, 0.37%, 0.0000732%), (ACN, 0, 0.37%, 0.0000880%), (DIS, 0, 0.36%, 0.0000621%), (SCHW, 0, 0.34%, 0.0000702%), (SBUX, 0, 0.33%, 0.0001192%), (MMM, 0, 0.32%, 0.0001327%), (CVS, 0, 0.31%, 0.0001136%), (AMGN, 0, 0.31%, 0.0000715%), (INTC, 0, 0.30%, 0.0000751%), (TJX, 0, 0.29%, 0.0000661%), (GILD, 0, 0.28%, 0.0000718%), (PFE, 0, 0.28%, 0.0000717%), (EMR, 0, 0.28%, 0.0001311%), (LOW, 0, 0.27%, 0.0000660%), (MO, 0, 0.26%, 0.0000854%), (DHR, 0, 0.25%, 0.0000651%), (ELV, 0, 0.24%, 0.0001188%), (CMCSA, 0, 0.21%, 0.0000647%), (MDLZ, 0, 0.20%, 0.0000877%), (BMY, 0, 0.19%, 0.0000713%), (UPS, 0, 0.18%, 0.0000984%), (PYPL, 0, 0.17%, 0.0000914%), (USB, 0, 0.16%, 0.0000705%), (FDX, 0, 0.15%, 0.0000945%), (CL, 0, 0.14%, 0.0000780%), (TGT, 0, 0.08%, 0.0000671%), (nan, 0, -0.00%, 0.0000000%), (nan, 0, -0.01%, 0.0000000%)</t>
  </si>
  <si>
    <t>(BKR, 0, 1.99%, 0.0022636%), (AXP, 0, 1.96%, 0.0004487%), (PHM, 0, 1.95%, 0.0042274%), (WSM, 0, 1.94%, 0.0043764%), (RJF, 0, 1.90%, 0.0029837%), (EWBC, 0, 1.84%, 0.0069140%), (HIG, 0, 1.81%, 0.0027138%), (TRV, 0, 1.78%, 0.0015924%), (BKNG, 0, 1.78%, 0.0005553%), (SNA, 0, 1.74%, 0.0054069%), (ROST, 0, 1.73%, 0.0020097%), (UNM, 0, 1.72%, 0.0072402%), (V, 0, 1.71%, 0.0001613%), (MPWR, 0, 1.70%, 0.0021340%), (CB, 0, 1.66%, 0.0008449%), (GE, 0, 1.64%, 0.0002801%), (PCAR, 0, 1.63%, 0.0017428%), (ADP, 0, 1.60%, 0.0007529%), (EA, 0, 1.53%, 0.0019378%), (CRM, 0, 1.50%, 0.0003514%), (CTSH, 0, 1.48%, 0.0024987%), (BLK, 0, 1.46%, 0.0004533%), (SYF, 0, 1.45%, 0.0029711%), (AAPL, 0, 1.43%, 0.0000207%), (STT, 0, 1.41%, 0.0024614%), (QCOM, 0, 1.40%, 0.0004213%), (PNC, 0, 1.38%, 0.0009454%), (ACN, 0, 1.30%, 0.0004841%), (ABT, 0, 1.30%, 0.0003032%), (LEN, 0, 1.22%, 0.0024316%), (ELV, 0, 1.04%, 0.0007933%), (GEV, 0, 1.02%, 0.0003280%), (DHI, 0, 0.98%, 0.0011047%), (ACM, 0, 0.96%, 0.0030805%), (MA, 0, 0.93%, 0.0000985%), (ALL, 0, 0.88%, 0.0008801%), (PAYC, 0, 0.84%, 0.0036180%), (AFL, 0, 0.83%, 0.0007907%), (COST, 0, 0.83%, 0.0001103%), (AMP, 0, 0.82%, 0.0009816%), (PGR, 0, 0.79%, 0.0003098%), (ODFL, 0, 0.69%, 0.0012933%), (NTRS, 0, 0.51%, 0.0011469%), (CSCO, 0, 0.50%, 0.0001030%), (BAC, 0, 0.48%, 0.0000674%), (FOXA, 0, 0.47%, 0.0020359%), (JNJ, 0, 0.46%, 0.0000603%), (RMD, 0, 0.46%, 0.0006317%), (MET, 0, 0.46%, 0.0004680%), (VLTO, 0, 0.46%, 0.0009605%), (COKE, 0, 0.45%, 0.0028646%), (MTB, 0, 0.44%, 0.0007853%), (LNC, 0, 0.44%, 0.0031231%), (CF, 0, 0.43%, 0.0016602%), (XOM, 0, 0.42%, 0.0000479%), (CINF, 0, 0.42%, 0.0009672%), (WTFC, 0, 0.42%, 0.0026093%), (MCK, 0, 0.42%, 0.0002516%), (EQH, 0, 0.41%, 0.0014038%), (DOV, 0, 0.39%, 0.0009245%), (EG, 0, 0.38%, 0.0014810%), (EOG, 0, 0.38%, 0.0003313%), (CSL, 0, 0.32%, 0.0012636%), (SLM, 0, 0.00%, 0.0000000%), (CRBG, 0, 0.00%, 0.0000000%), (NUE, 0, 0.00%, 0.0000000%), (FANG, 0, 0.00%, 0.0000000%), (JXN, 0, 0.00%, 0.0000000%), (ADM, 0, 0.00%, 0.0000000%), (MTG, 0, 0.00%, 0.0000000%), (NKE, 0, 0.00%, 0.0000000%)</t>
  </si>
  <si>
    <t>(AMZN, 0, 3.57%, 0.0000610%), (AVGO, 0, 3.40%, 0.0000855%), (META, 0, 2.69%, 0.0000658%), (TSLA, 0, 2.04%, 0.0000577%), (BRK/B, 0, 2.04%, 0.0001211%), (LIN, 0, 1.70%, 0.0003071%), (CSCO, 0, 1.68%, 0.0002563%), (JPM, 0, 1.63%, 0.0000768%), (XOM, 0, 1.43%, 0.0001200%), (AMT, 0, 1.38%, 0.0006212%), (V, 0, 1.32%, 0.0000926%), (ORCL, 0, 1.15%, 0.0000528%), (GE, 0, 1.12%, 0.0001419%), (LLY, 0, 1.10%, 0.0000637%), (CB, 0, 1.08%, 0.0004078%), (MA, 0, 1.07%, 0.0000837%), (WM, 0, 0.96%, 0.0004463%), (UNH, 0, 0.95%, 0.0001236%), (PLTR, 0, 0.85%, 0.0000844%), (NFLX, 0, 0.84%, 0.0000663%), (NEE, 0, 0.81%, 0.0002217%), (JNJ, 0, 0.79%, 0.0000764%), (CAT, 0, 0.79%, 0.0001426%), (WMT, 0, 0.76%, 0.0000384%), (CVX, 0, 0.76%, 0.0000950%), (ABBV, 0, 0.74%, 0.0000765%), (RTX, 0, 0.72%, 0.0001373%), (PG, 0, 0.72%, 0.0000829%), (COST, 0, 0.72%, 0.0000706%), (ABT, 0, 0.70%, 0.0001214%), (HD, 0, 0.70%, 0.0000695%), (MCD, 0, 0.68%, 0.0001282%), (BAC, 0, 0.65%, 0.0000676%), (GS, 0, 0.58%, 0.0000954%), (IBM, 0, 0.58%, 0.0000926%), (KO, 0, 0.57%, 0.0000814%), (BKNG, 0, 0.56%, 0.0001303%), (PM, 0, 0.56%, 0.0000902%), (SO, 0, 0.56%, 0.0002237%), (BA, 0, 0.55%, 0.0001360%), (AMD, 0, 0.55%, 0.0000865%), (CRM, 0, 0.54%, 0.0000941%), (UBER, 0, 0.54%, 0.0001067%), (WFC, 0, 0.53%, 0.0000780%), (NKE, 0, 0.53%, 0.0002516%), (DUK, 0, 0.52%, 0.0002233%), (ETN, 0, 0.51%, 0.0001403%), (MET, 0, 0.50%, 0.0003744%), (ISRG, 0, 0.47%, 0.0001224%), (HON, 0, 0.46%, 0.0001416%), (MS, 0, 0.45%, 0.0000707%), (INTU, 0, 0.45%, 0.0000943%), (NOW, 0, 0.44%, 0.0000928%), (AXP, 0, 0.43%, 0.0000736%), (PEP, 0, 0.43%, 0.0000906%), (T, 0, 0.42%, 0.0003884%), (DE, 0, 0.41%, 0.0001302%), (QCOM, 0, 0.40%, 0.0000890%), (MRK, 0, 0.38%, 0.0000774%), (BLK, 0, 0.37%, 0.0000859%), (VZ, 0, 0.37%, 0.0000830%), (ADBE, 0, 0.37%, 0.0000984%), (C, 0, 0.37%, 0.0000771%), (MDT, 0, 0.36%, 0.0001217%), (UNP, 0, 0.36%, 0.0001081%), (SPGI, 0, 0.35%, 0.0000954%), (TXN, 0, 0.35%, 0.0000868%), (AMAT, 0, 0.35%, 0.0000895%), (COP, 0, 0.35%, 0.0001205%), (LMT, 0, 0.34%, 0.0001262%), (TMO, 0, 0.34%, 0.0000783%), (ACN, 0, 0.34%, 0.0000939%), (DIS, 0, 0.33%, 0.0000663%), (SCHW, 0, 0.32%, 0.0000750%), (SBUX, 0, 0.30%, 0.0001273%), (MMM, 0, 0.29%, 0.0001417%), (CVS, 0, 0.29%, 0.0001212%), (AMGN, 0, 0.29%, 0.0000763%), (INTC, 0, 0.27%, 0.0000802%), (TJX, 0, 0.27%, 0.0000706%), (GILD, 0, 0.26%, 0.0000767%), (PFE, 0, 0.26%, 0.0000765%), (EMR, 0, 0.26%, 0.0001400%), (LOW, 0, 0.25%, 0.0000704%), (MO, 0, 0.24%, 0.0000912%), (DHR, 0, 0.23%, 0.0000695%), (ELV, 0, 0.22%, 0.0001269%), (CMCSA, 0, 0.20%, 0.0000691%), (MDLZ, 0, 0.19%, 0.0000936%), (BMY, 0, 0.17%, 0.0000761%), (UPS, 0, 0.16%, 0.0001050%), (PYPL, 0, 0.15%, 0.0000976%), (USB, 0, 0.14%, 0.0000752%), (FDX, 0, 0.14%, 0.0001009%), (CL, 0, 0.13%, 0.0000834%), (TGT, 0, 0.07%, 0.0000715%), (nan, 0, -0.00%, 0.0000000%), (nan, 0, -0.00%, 0.0000000%)</t>
  </si>
  <si>
    <t>(AMZN, 0, 3.73%, 0.0001248%), (AVGO, 0, 3.55%, 0.0001748%), (META, 0, 2.81%, 0.0001346%), (TSLA, 0, 2.13%, 0.0001180%), (BRK/B, 0, 2.13%, 0.0002475%), (LIN, 0, 1.77%, 0.0006277%), (CSCO, 0, 1.76%, 0.0005261%), (JPM, 0, 1.71%, 0.0001571%), (XOM, 0, 1.49%, 0.0002453%), (AMT, 0, 1.44%, 0.0012701%), (V, 0, 1.38%, 0.0001893%), (ORCL, 0, 1.20%, 0.0001080%), (GE, 0, 1.17%, 0.0002901%), (LLY, 0, 1.15%, 0.0001302%), (CB, 0, 1.13%, 0.0008337%), (MA, 0, 1.12%, 0.0001712%), (WM, 0, 1.00%, 0.0009125%), (UNH, 0, 0.99%, 0.0002528%), (PLTR, 0, 0.89%, 0.0001726%), (NFLX, 0, 0.88%, 0.0001357%), (NEE, 0, 0.85%, 0.0004534%), (JNJ, 0, 0.83%, 0.0001562%), (CAT, 0, 0.83%, 0.0002914%), (WMT, 0, 0.80%, 0.0000786%), (CVX, 0, 0.79%, 0.0001942%), (ABBV, 0, 0.77%, 0.0001563%), (RTX, 0, 0.76%, 0.0002807%), (PG, 0, 0.75%, 0.0001694%), (COST, 0, 0.75%, 0.0001442%), (ABT, 0, 0.73%, 0.0002483%), (HD, 0, 0.73%, 0.0001423%), (MCD, 0, 0.71%, 0.0002622%), (BAC, 0, 0.68%, 0.0001383%), (GS, 0, 0.60%, 0.0001947%), (IBM, 0, 0.60%, 0.0001895%), (KO, 0, 0.59%, 0.0001664%), (BKNG, 0, 0.59%, 0.0002668%), (PM, 0, 0.58%, 0.0001844%), (SO, 0, 0.58%, 0.0004573%), (BA, 0, 0.58%, 0.0002780%), (AMD, 0, 0.58%, 0.0001767%), (CRM, 0, 0.57%, 0.0001923%), (UBER, 0, 0.56%, 0.0002183%), (WFC, 0, 0.55%, 0.0001595%), (NKE, 0, 0.55%, 0.0005142%), (DUK, 0, 0.54%, 0.0004565%), (ETN, 0, 0.53%, 0.0002869%), (MET, 0, 0.52%, 0.0007655%), (ISRG, 0, 0.49%, 0.0002499%), (HON, 0, 0.48%, 0.0002895%), (MS, 0, 0.47%, 0.0001446%), (INTU, 0, 0.47%, 0.0001926%), (NOW, 0, 0.46%, 0.0001899%), (AXP, 0, 0.45%, 0.0001504%), (PEP, 0, 0.44%, 0.0001853%), (T, 0, 0.44%, 0.0007941%), (DE, 0, 0.43%, 0.0002660%), (QCOM, 0, 0.42%, 0.0001820%), (MRK, 0, 0.40%, 0.0001583%), (BLK, 0, 0.39%, 0.0001750%), (VZ, 0, 0.39%, 0.0001696%), (ADBE, 0, 0.38%, 0.0002014%), (C, 0, 0.38%, 0.0001576%), (MDT, 0, 0.38%, 0.0002489%), (UNP, 0, 0.37%, 0.0002210%), (SPGI, 0, 0.37%, 0.0001952%), (AMAT, 0, 0.37%, 0.0001829%), (TXN, 0, 0.37%, 0.0001774%), (COP, 0, 0.37%, 0.0002464%), (LMT, 0, 0.36%, 0.0002576%), (TMO, 0, 0.36%, 0.0001597%), (ACN, 0, 0.35%, 0.0001922%), (DIS, 0, 0.35%, 0.0001355%), (SCHW, 0, 0.33%, 0.0001533%), (SBUX, 0, 0.32%, 0.0002603%), (MMM, 0, 0.30%, 0.0002897%), (CVS, 0, 0.30%, 0.0002477%), (AMGN, 0, 0.30%, 0.0001560%), (INTC, 0, 0.28%, 0.0001639%), (TJX, 0, 0.28%, 0.0001444%), (GILD, 0, 0.27%, 0.0001568%), (PFE, 0, 0.27%, 0.0001564%), (EMR, 0, 0.27%, 0.0002864%), (LOW, 0, 0.26%, 0.0001441%), (MO, 0, 0.25%, 0.0001865%), (DHR, 0, 0.24%, 0.0001423%), (ELV, 0, 0.23%, 0.0002596%), (CMCSA, 0, 0.21%, 0.0001413%), (MDLZ, 0, 0.20%, 0.0001913%), (BMY, 0, 0.18%, 0.0001557%), (UPS, 0, 0.17%, 0.0002148%), (PYPL, 0, 0.16%, 0.0001994%), (USB, 0, 0.15%, 0.0001538%), (FDX, 0, 0.14%, 0.0002060%), (CL, 0, 0.14%, 0.0001705%), (TGT, 0, 0.07%, 0.0001463%), (nan, 0, -0.00%, 0.0000000%), (nan, 0, -0.00%, 0.0000000%)</t>
  </si>
  <si>
    <t>(AMZN, 0, 3.52%, 0.0002491%), (AVGO, 0, 3.35%, 0.0003490%), (META, 0, 2.66%, 0.0002688%), (TSLA, 0, 2.01%, 0.0002356%), (BRK/B, 0, 2.01%, 0.0004941%), (LIN, 0, 1.67%, 0.0012532%), (CSCO, 0, 1.67%, 0.0010515%), (JPM, 0, 1.61%, 0.0003137%), (XOM, 0, 1.41%, 0.0004922%), (AMT, 0, 1.36%, 0.0025360%), (V, 0, 1.30%, 0.0003781%), (ORCL, 0, 1.13%, 0.0002156%), (GE, 0, 1.10%, 0.0005792%), (LLY, 0, 1.09%, 0.0002601%), (CB, 0, 1.07%, 0.0016648%), (MA, 0, 1.05%, 0.0003418%), (WM, 0, 0.94%, 0.0018217%), (UNH, 0, 0.94%, 0.0005048%), (PLTR, 0, 0.84%, 0.0003446%), (NFLX, 0, 0.83%, 0.0002709%), (NEE, 0, 0.81%, 0.0009098%), (JNJ, 0, 0.78%, 0.0003118%), (CAT, 0, 0.78%, 0.0005817%), (WMT, 0, 0.75%, 0.0001569%), (CVX, 0, 0.75%, 0.0003878%), (ABBV, 0, 0.73%, 0.0003122%), (RTX, 0, 0.71%, 0.0005603%), (PG, 0, 0.71%, 0.0003383%), (COST, 0, 0.71%, 0.0002881%), (ABT, 0, 0.69%, 0.0004957%), (HD, 0, 0.69%, 0.0002840%), (MCD, 0, 0.67%, 0.0005235%), (BAC, 0, 0.64%, 0.0002775%), (GS, 0, 0.57%, 0.0003891%), (IBM, 0, 0.57%, 0.0003783%), (KO, 0, 0.56%, 0.0003323%), (BKNG, 0, 0.56%, 0.0005367%), (PM, 0, 0.55%, 0.0003683%), (SO, 0, 0.55%, 0.0009130%), (BA, 0, 0.55%, 0.0005552%), (AMD, 0, 0.54%, 0.0003529%), (CRM, 0, 0.53%, 0.0003840%), (UBER, 0, 0.53%, 0.0004358%), (WFC, 0, 0.52%, 0.0003184%), (NKE, 0, 0.52%, 0.0010268%), (DUK, 0, 0.51%, 0.0009114%), (ETN, 0, 0.50%, 0.0005731%), (MET, 0, 0.49%, 0.0015287%), (ISRG, 0, 0.47%, 0.0004993%), (HON, 0, 0.46%, 0.0005781%), (MS, 0, 0.45%, 0.0002888%), (INTU, 0, 0.44%, 0.0003845%), (NOW, 0, 0.44%, 0.0003788%), (AXP, 0, 0.43%, 0.0003002%), (PEP, 0, 0.42%, 0.0003699%), (T, 0, 0.41%, 0.0015935%), (DE, 0, 0.40%, 0.0005312%), (QCOM, 0, 0.39%, 0.0003634%), (MRK, 0, 0.38%, 0.0003160%), (BLK, 0, 0.37%, 0.0003494%), (VZ, 0, 0.36%, 0.0003387%), (ADBE, 0, 0.36%, 0.0004021%), (C, 0, 0.36%, 0.0003148%), (MDT, 0, 0.36%, 0.0004968%), (UNP, 0, 0.35%, 0.0004412%), (SPGI, 0, 0.35%, 0.0003897%), (TXN, 0, 0.35%, 0.0003543%), (AMAT, 0, 0.34%, 0.0003652%), (COP, 0, 0.34%, 0.0004920%), (LMT, 0, 0.34%, 0.0005147%), (TMO, 0, 0.34%, 0.0003194%), (ACN, 0, 0.33%, 0.0003836%), (DIS, 0, 0.33%, 0.0002705%), (SCHW, 0, 0.31%, 0.0003061%), (SBUX, 0, 0.30%, 0.0005198%), (MMM, 0, 0.29%, 0.0005787%), (CVS, 0, 0.28%, 0.0004951%), (AMGN, 0, 0.28%, 0.0003115%), (INTC, 0, 0.27%, 0.0003272%), (TJX, 0, 0.26%, 0.0002884%), (GILD, 0, 0.26%, 0.0003131%), (PFE, 0, 0.25%, 0.0003126%), (EMR, 0, 0.25%, 0.0005720%), (LOW, 0, 0.25%, 0.0002878%), (MO, 0, 0.24%, 0.0003723%), (DHR, 0, 0.23%, 0.0002840%), (ELV, 0, 0.22%, 0.0005188%), (CMCSA, 0, 0.19%, 0.0002821%), (MDLZ, 0, 0.19%, 0.0003821%), (BMY, 0, 0.17%, 0.0003109%), (UPS, 0, 0.16%, 0.0004289%), (PYPL, 0, 0.15%, 0.0003982%), (USB, 0, 0.14%, 0.0003072%), (FDX, 0, 0.13%, 0.0004111%), (CL, 0, 0.13%, 0.0003403%), (TGT, 0, 0.07%, 0.0002920%), (nan, 0, -0.00%, 0.0000000%), (nan, 0, -0.00%, 0.0000000%)</t>
  </si>
  <si>
    <t>(AMZN, 0, 3.42%, 0.0000362%), (AVGO, 0, 3.25%, 0.0000507%), (META, 0, 2.59%, 0.0000390%), (TSLA, 0, 2.00%, 0.0000342%), (BRK/B, 0, 1.97%, 0.0000717%), (CSCO, 0, 1.62%, 0.0001519%), (LIN, 0, 1.62%, 0.0001818%), (JPM, 0, 1.57%, 0.0000455%), (XOM, 0, 1.38%, 0.0000711%), (AMT, 0, 1.33%, 0.0003680%), (V, 0, 1.27%, 0.0000549%), (ORCL, 0, 1.10%, 0.0000313%), (GE, 0, 1.07%, 0.0000841%), (CB, 0, 1.06%, 0.0002416%), (LLY, 0, 1.06%, 0.0000378%), (MA, 0, 1.01%, 0.0000496%), (WM, 0, 0.94%, 0.0002644%), (UNH, 0, 0.93%, 0.0000733%), (PLTR, 0, 0.82%, 0.0000500%), (NFLX, 0, 0.81%, 0.0000394%), (NEE, 0, 0.80%, 0.0001314%), (JNJ, 0, 0.77%, 0.0000453%), (WMT, 0, 0.75%, 0.0000228%), (CAT, 0, 0.74%, 0.0000845%), (CVX, 0, 0.73%, 0.0000563%), (ABBV, 0, 0.71%, 0.0000453%), (COST, 0, 0.70%, 0.0000417%), (PG, 0, 0.70%, 0.0000491%), (RTX, 0, 0.70%, 0.0000813%), (HD, 0, 0.67%, 0.0000412%), (ABT, 0, 0.67%, 0.0000719%), (MCD, 0, 0.66%, 0.0000760%), (BAC, 0, 0.62%, 0.0000401%), (BKNG, 0, 0.55%, 0.0000776%), (KO, 0, 0.55%, 0.0000482%), (IBM, 0, 0.55%, 0.0000549%), (SO, 0, 0.55%, 0.0001325%), (PM, 0, 0.54%, 0.0000534%), (GS, 0, 0.54%, 0.0000563%), (AMD, 0, 0.53%, 0.0000512%), (BA, 0, 0.53%, 0.0000805%), (CRM, 0, 0.52%, 0.0000558%), (UBER, 0, 0.52%, 0.0000632%), (DUK, 0, 0.51%, 0.0001323%), (NKE, 0, 0.51%, 0.0001490%), (WFC, 0, 0.50%, 0.0000462%), (ETN, 0, 0.48%, 0.0000832%), (MET, 0, 0.48%, 0.0002218%), (ISRG, 0, 0.45%, 0.0000725%), (HON, 0, 0.45%, 0.0000840%), (INTU, 0, 0.44%, 0.0000560%), (NOW, 0, 0.43%, 0.0000548%), (MS, 0, 0.42%, 0.0000419%), (PEP, 0, 0.42%, 0.0000537%), (AXP, 0, 0.41%, 0.0000436%), (T, 0, 0.40%, 0.0002301%), (QCOM, 0, 0.39%, 0.0000527%), (DE, 0, 0.39%, 0.0000769%), (MRK, 0, 0.37%, 0.0000459%), (VZ, 0, 0.36%, 0.0000492%), (BLK, 0, 0.36%, 0.0000510%), (MDT, 0, 0.35%, 0.0000721%), (UNP, 0, 0.35%, 0.0000641%), (ADBE, 0, 0.35%, 0.0000583%), (TXN, 0, 0.34%, 0.0000514%), (C, 0, 0.34%, 0.0000457%), (COP, 0, 0.34%, 0.0000714%), (LMT, 0, 0.34%, 0.0000748%), (SPGI, 0, 0.34%, 0.0000565%), (AMAT, 0, 0.34%, 0.0000530%), (ACN, 0, 0.33%, 0.0000557%), (TMO, 0, 0.32%, 0.0000460%), (DIS, 0, 0.32%, 0.0000393%), (SCHW, 0, 0.30%, 0.0000444%), (SBUX, 0, 0.29%, 0.0000755%), (CVS, 0, 0.28%, 0.0000718%), (MMM, 0, 0.28%, 0.0000840%), (INTC, 0, 0.27%, 0.0000475%), (AMGN, 0, 0.27%, 0.0000451%), (TJX, 0, 0.26%, 0.0000419%), (GILD, 0, 0.26%, 0.0000454%), (PFE, 0, 0.25%, 0.0000453%), (EMR, 0, 0.25%, 0.0000830%), (LOW, 0, 0.24%, 0.0000417%), (MO, 0, 0.24%, 0.0000540%), (ELV, 0, 0.22%, 0.0000751%), (DHR, 0, 0.22%, 0.0000412%), (CMCSA, 0, 0.19%, 0.0000409%), (MDLZ, 0, 0.18%, 0.0000555%), (BMY, 0, 0.16%, 0.0000451%), (UPS, 0, 0.15%, 0.0000622%), (PYPL, 0, 0.15%, 0.0000578%), (USB, 0, 0.14%, 0.0000446%), (FDX, 0, 0.13%, 0.0000598%), (CL, 0, 0.13%, 0.0000494%), (TGT, 0, 0.07%, 0.0000425%), (nan, 0, -0.00%, 0.0000000%), (nan, 0, -0.00%, 0.0000000%)</t>
  </si>
  <si>
    <t>(AMZN, 0, 3.70%, 0.0002157%), (AVGO, 0, 3.52%, 0.0003022%), (META, 0, 2.81%, 0.0002327%), (TSLA, 0, 2.16%, 0.0002039%), (BRK/B, 0, 2.13%, 0.0004278%), (CSCO, 0, 1.76%, 0.0009103%), (LIN, 0, 1.75%, 0.0010849%), (JPM, 0, 1.70%, 0.0002716%), (XOM, 0, 1.51%, 0.0004261%), (AMT, 0, 1.45%, 0.0021955%), (V, 0, 1.37%, 0.0003273%), (ORCL, 0, 1.19%, 0.0001866%), (GE, 0, 1.16%, 0.0005014%), (CB, 0, 1.15%, 0.0014412%), (LLY, 0, 1.15%, 0.0002252%), (MA, 0, 1.09%, 0.0002959%), (WM, 0, 1.02%, 0.0015769%), (UNH, 0, 1.00%, 0.0004371%), (PLTR, 0, 0.89%, 0.0002983%), (NEE, 0, 0.87%, 0.0007876%), (NFLX, 0, 0.87%, 0.0002346%), (JNJ, 0, 0.84%, 0.0002700%), (WMT, 0, 0.81%, 0.0001358%), (CAT, 0, 0.80%, 0.0005035%), (CVX, 0, 0.79%, 0.0003357%), (ABBV, 0, 0.76%, 0.0002702%), (PG, 0, 0.76%, 0.0002929%), (COST, 0, 0.76%, 0.0002493%), (RTX, 0, 0.76%, 0.0004851%), (HD, 0, 0.73%, 0.0002458%), (ABT, 0, 0.73%, 0.0004291%), (MCD, 0, 0.71%, 0.0004532%), (BAC, 0, 0.67%, 0.0002402%), (BKNG, 0, 0.60%, 0.0004622%), (KO, 0, 0.60%, 0.0002877%), (SO, 0, 0.60%, 0.0007904%), (IBM, 0, 0.59%, 0.0003275%), (PM, 0, 0.59%, 0.0003188%), (GS, 0, 0.58%, 0.0003367%), (AMD, 0, 0.58%, 0.0003055%), (BA, 0, 0.57%, 0.0004806%), (CRM, 0, 0.57%, 0.0003325%), (UBER, 0, 0.56%, 0.0003773%), (DUK, 0, 0.55%, 0.0007890%), (NKE, 0, 0.55%, 0.0008889%), (WFC, 0, 0.54%, 0.0002757%), (ETN, 0, 0.52%, 0.0004960%), (MET, 0, 0.52%, 0.0013233%), (ISRG, 0, 0.49%, 0.0004322%), (HON, 0, 0.48%, 0.0005004%), (INTU, 0, 0.47%, 0.0003328%), (NOW, 0, 0.46%, 0.0003279%), (MS, 0, 0.46%, 0.0002500%), (PEP, 0, 0.45%, 0.0003203%), (AXP, 0, 0.44%, 0.0002599%), (T, 0, 0.44%, 0.0013796%), (QCOM, 0, 0.43%, 0.0003146%), (DE, 0, 0.42%, 0.0004598%), (MRK, 0, 0.40%, 0.0002736%), (VZ, 0, 0.39%, 0.0002932%), (BLK, 0, 0.38%, 0.0003022%), (MDT, 0, 0.38%, 0.0004301%), (UNP, 0, 0.38%, 0.0003819%), (ADBE, 0, 0.38%, 0.0003481%), (TXN, 0, 0.37%, 0.0003067%), (C, 0, 0.37%, 0.0002725%), (COP, 0, 0.37%, 0.0004260%), (SPGI, 0, 0.36%, 0.0003372%), (AMAT, 0, 0.36%, 0.0003162%), (LMT, 0, 0.36%, 0.0004456%), (ACN, 0, 0.36%, 0.0003320%), (TMO, 0, 0.35%, 0.0002765%), (DIS, 0, 0.35%, 0.0002342%), (SCHW, 0, 0.32%, 0.0002650%), (SBUX, 0, 0.31%, 0.0004500%), (CVS, 0, 0.30%, 0.0004286%), (MMM, 0, 0.30%, 0.0005009%), (AMGN, 0, 0.30%, 0.0002697%), (INTC, 0, 0.30%, 0.0002833%), (TJX, 0, 0.28%, 0.0002496%), (GILD, 0, 0.28%, 0.0002711%), (PFE, 0, 0.27%, 0.0002706%), (EMR, 0, 0.27%, 0.0004950%), (LOW, 0, 0.26%, 0.0002491%), (MO, 0, 0.26%, 0.0003222%), (ELV, 0, 0.24%, 0.0004491%), (DHR, 0, 0.24%, 0.0002459%), (CMCSA, 0, 0.20%, 0.0002442%), (MDLZ, 0, 0.20%, 0.0003308%), (BMY, 0, 0.18%, 0.0002691%), (UPS, 0, 0.17%, 0.0003713%), (PYPL, 0, 0.16%, 0.0003447%), (USB, 0, 0.15%, 0.0002659%), (FDX, 0, 0.14%, 0.0003560%), (CL, 0, 0.14%, 0.0002945%), (TGT, 0, 0.07%, 0.0002529%), (nan, 0, -0.00%, 0.0000000%), (nan, 0, -0.00%, 0.0000000%)</t>
  </si>
  <si>
    <t>(AMZN, 0, 3.70%, 0.0001607%), (AVGO, 0, 3.52%, 0.0002252%), (META, 0, 2.81%, 0.0001734%), (TSLA, 0, 2.16%, 0.0001520%), (BRK/B, 0, 2.13%, 0.0003187%), (CSCO, 0, 1.76%, 0.0006783%), (LIN, 0, 1.75%, 0.0008084%), (JPM, 0, 1.70%, 0.0002024%), (XOM, 0, 1.50%, 0.0003159%), (AMT, 0, 1.44%, 0.0016360%), (V, 0, 1.37%, 0.0002439%), (ORCL, 0, 1.19%, 0.0001391%), (GE, 0, 1.16%, 0.0003736%), (CB, 0, 1.15%, 0.0010741%), (LLY, 0, 1.15%, 0.0001678%), (MA, 0, 1.09%, 0.0002205%), (WM, 0, 1.02%, 0.0011751%), (UNH, 0, 1.00%, 0.0003257%), (PLTR, 0, 0.89%, 0.0002223%), (NFLX, 0, 0.87%, 0.0001749%), (NEE, 0, 0.87%, 0.0005840%), (JNJ, 0, 0.84%, 0.0002012%), (WMT, 0, 0.81%, 0.0001012%), (CAT, 0, 0.80%, 0.0003753%), (CVX, 0, 0.79%, 0.0002502%), (ABBV, 0, 0.76%, 0.0002014%), (PG, 0, 0.76%, 0.0002183%), (COST, 0, 0.76%, 0.0001859%), (RTX, 0, 0.76%, 0.0003615%), (HD, 0, 0.73%, 0.0001831%), (ABT, 0, 0.73%, 0.0003197%), (MCD, 0, 0.71%, 0.0003377%), (BAC, 0, 0.67%, 0.0001781%), (BKNG, 0, 0.60%, 0.0003444%), (KO, 0, 0.60%, 0.0002144%), (SO, 0, 0.59%, 0.0005890%), (IBM, 0, 0.59%, 0.0002440%), (PM, 0, 0.59%, 0.0002376%), (GS, 0, 0.58%, 0.0002511%), (AMD, 0, 0.58%, 0.0002277%), (BA, 0, 0.57%, 0.0003581%), (CRM, 0, 0.57%, 0.0002477%), (UBER, 0, 0.56%, 0.0002811%), (DUK, 0, 0.55%, 0.0005880%), (NKE, 0, 0.55%, 0.0006624%), (WFC, 0, 0.54%, 0.0002054%), (ETN, 0, 0.52%, 0.0003696%), (MET, 0, 0.52%, 0.0009861%), (ISRG, 0, 0.49%, 0.0003221%), (HON, 0, 0.48%, 0.0003730%), (INTU, 0, 0.47%, 0.0002478%), (NOW, 0, 0.46%, 0.0002442%), (MS, 0, 0.46%, 0.0001863%), (PEP, 0, 0.45%, 0.0002386%), (AXP, 0, 0.44%, 0.0001937%), (T, 0, 0.43%, 0.0010228%), (QCOM, 0, 0.43%, 0.0002344%), (DE, 0, 0.42%, 0.0003429%), (MRK, 0, 0.40%, 0.0002039%), (VZ, 0, 0.39%, 0.0002185%), (BLK, 0, 0.38%, 0.0002254%), (MDT, 0, 0.38%, 0.0003205%), (UNP, 0, 0.38%, 0.0002846%), (ADBE, 0, 0.37%, 0.0002594%), (TXN, 0, 0.37%, 0.0002286%), (C, 0, 0.37%, 0.0002031%), (COP, 0, 0.37%, 0.0003174%), (SPGI, 0, 0.36%, 0.0002513%), (AMAT, 0, 0.36%, 0.0002356%), (LMT, 0, 0.36%, 0.0003319%), (ACN, 0, 0.36%, 0.0002474%), (TMO, 0, 0.35%, 0.0002060%), (DIS, 0, 0.35%, 0.0001745%), (SCHW, 0, 0.32%, 0.0001974%), (SBUX, 0, 0.31%, 0.0003354%), (CVS, 0, 0.30%, 0.0003194%), (MMM, 0, 0.30%, 0.0003733%), (INTC, 0, 0.30%, 0.0002111%), (AMGN, 0, 0.30%, 0.0002010%), (TJX, 0, 0.28%, 0.0001860%), (GILD, 0, 0.28%, 0.0002020%), (PFE, 0, 0.27%, 0.0002017%), (EMR, 0, 0.27%, 0.0003689%), (LOW, 0, 0.26%, 0.0001856%), (MO, 0, 0.26%, 0.0002401%), (ELV, 0, 0.24%, 0.0003343%), (DHR, 0, 0.24%, 0.0001832%), (CMCSA, 0, 0.20%, 0.0001820%), (MDLZ, 0, 0.20%, 0.0002464%), (BMY, 0, 0.18%, 0.0002006%), (UPS, 0, 0.17%, 0.0002766%), (PYPL, 0, 0.16%, 0.0002569%), (USB, 0, 0.15%, 0.0001981%), (FDX, 0, 0.14%, 0.0002653%), (CL, 0, 0.14%, 0.0002195%), (TGT, 0, 0.07%, 0.0001884%), (nan, 0, -0.00%, 0.0000000%), (nan, 0, -0.00%, 0.0000000%)</t>
  </si>
  <si>
    <t>(AMZN, 0, 3.75%, 0.0000377%), (AVGO, 0, 3.57%, 0.0000528%), (META, 0, 2.84%, 0.0000407%), (TSLA, 0, 2.19%, 0.0000356%), (BRK/B, 0, 2.16%, 0.0000747%), (CSCO, 0, 1.78%, 0.0001583%), (LIN, 0, 1.77%, 0.0001895%), (JPM, 0, 1.72%, 0.0000475%), (XOM, 0, 1.52%, 0.0000741%), (AMT, 0, 1.46%, 0.0003836%), (V, 0, 1.39%, 0.0000572%), (ORCL, 0, 1.21%, 0.0000326%), (GE, 0, 1.17%, 0.0000876%), (CB, 0, 1.16%, 0.0002518%), (LLY, 0, 1.16%, 0.0000393%), (MA, 0, 1.11%, 0.0000517%), (WM, 0, 1.03%, 0.0002755%), (UNH, 0, 1.02%, 0.0000764%), (PLTR, 0, 0.90%, 0.0000521%), (NFLX, 0, 0.88%, 0.0000411%), (NEE, 0, 0.88%, 0.0001369%), (JNJ, 0, 0.85%, 0.0000472%), (WMT, 0, 0.82%, 0.0000237%), (CAT, 0, 0.81%, 0.0000879%), (CVX, 0, 0.80%, 0.0000587%), (ABBV, 0, 0.77%, 0.0000472%), (PG, 0, 0.77%, 0.0000512%), (RTX, 0, 0.77%, 0.0000847%), (COST, 0, 0.76%, 0.0000435%), (HD, 0, 0.74%, 0.0000430%), (ABT, 0, 0.74%, 0.0000750%), (MCD, 0, 0.72%, 0.0000792%), (BAC, 0, 0.67%, 0.0000418%), (BKNG, 0, 0.61%, 0.0000807%), (KO, 0, 0.61%, 0.0000503%), (SO, 0, 0.60%, 0.0001381%), (IBM, 0, 0.60%, 0.0000572%), (PM, 0, 0.59%, 0.0000557%), (GS, 0, 0.59%, 0.0000587%), (AMD, 0, 0.58%, 0.0000534%), (BA, 0, 0.58%, 0.0000839%), (CRM, 0, 0.57%, 0.0000581%), (UBER, 0, 0.57%, 0.0000659%), (DUK, 0, 0.56%, 0.0001378%), (NKE, 0, 0.55%, 0.0001553%), (WFC, 0, 0.55%, 0.0000482%), (ETN, 0, 0.53%, 0.0000866%), (MET, 0, 0.52%, 0.0002313%), (ISRG, 0, 0.50%, 0.0000756%), (HON, 0, 0.49%, 0.0000874%), (INTU, 0, 0.48%, 0.0000581%), (NOW, 0, 0.47%, 0.0000572%), (MS, 0, 0.46%, 0.0000437%), (PEP, 0, 0.46%, 0.0000559%), (AXP, 0, 0.45%, 0.0000454%), (T, 0, 0.44%, 0.0002399%), (QCOM, 0, 0.43%, 0.0000550%), (DE, 0, 0.43%, 0.0000803%), (MRK, 0, 0.40%, 0.0000478%), (VZ, 0, 0.39%, 0.0000512%), (BLK, 0, 0.39%, 0.0000530%), (MDT, 0, 0.39%, 0.0000752%), (UNP, 0, 0.38%, 0.0000668%), (ADBE, 0, 0.38%, 0.0000609%), (TXN, 0, 0.38%, 0.0000536%), (C, 0, 0.38%, 0.0000476%), (COP, 0, 0.37%, 0.0000744%), (AMAT, 0, 0.37%, 0.0000552%), (SPGI, 0, 0.37%, 0.0000588%), (LMT, 0, 0.36%, 0.0000778%), (ACN, 0, 0.36%, 0.0000580%), (TMO, 0, 0.36%, 0.0000482%), (DIS, 0, 0.35%, 0.0000409%), (SCHW, 0, 0.33%, 0.0000463%), (SBUX, 0, 0.32%, 0.0000786%), (CVS, 0, 0.30%, 0.0000748%), (MMM, 0, 0.30%, 0.0000875%), (AMGN, 0, 0.30%, 0.0000472%), (INTC, 0, 0.30%, 0.0000495%), (TJX, 0, 0.29%, 0.0000436%), (GILD, 0, 0.28%, 0.0000473%), (PFE, 0, 0.27%, 0.0000473%), (EMR, 0, 0.27%, 0.0000865%), (LOW, 0, 0.27%, 0.0000435%), (MO, 0, 0.26%, 0.0000563%), (ELV, 0, 0.24%, 0.0000783%), (DHR, 0, 0.24%, 0.0000429%), (CMCSA, 0, 0.21%, 0.0000427%), (MDLZ, 0, 0.20%, 0.0000578%), (BMY, 0, 0.18%, 0.0000470%), (UPS, 0, 0.17%, 0.0000648%), (PYPL, 0, 0.16%, 0.0000603%), (USB, 0, 0.15%, 0.0000465%), (FDX, 0, 0.15%, 0.0000623%), (CL, 0, 0.14%, 0.0000515%), (TGT, 0, 0.07%, 0.0000442%), (nan, 0, -0.00%, 0.0000000%), (nan, 0, -0.00%, 0.0000000%)</t>
  </si>
  <si>
    <t>(AMZN, 0, 3.56%, 0.0000664%), (AVGO, 0, 3.39%, 0.0000930%), (META, 0, 2.70%, 0.0000716%), (TSLA, 0, 2.09%, 0.0000628%), (BRK/B, 0, 2.05%, 0.0001317%), (CSCO, 0, 1.69%, 0.0002788%), (LIN, 0, 1.69%, 0.0003339%), (JPM, 0, 1.64%, 0.0000836%), (XOM, 0, 1.45%, 0.0001305%), (AMT, 0, 1.39%, 0.0006756%), (V, 0, 1.32%, 0.0001007%), (ORCL, 0, 1.15%, 0.0000574%), (GE, 0, 1.11%, 0.0001543%), (CB, 0, 1.11%, 0.0004437%), (LLY, 0, 1.11%, 0.0000693%), (MA, 0, 1.05%, 0.0000911%), (WM, 0, 0.98%, 0.0004853%), (UNH, 0, 0.97%, 0.0001345%), (PLTR, 0, 0.85%, 0.0000918%), (NFLX, 0, 0.84%, 0.0000722%), (NEE, 0, 0.84%, 0.0002412%), (JNJ, 0, 0.81%, 0.0000831%), (WMT, 0, 0.78%, 0.0000418%), (CAT, 0, 0.77%, 0.0001550%), (CVX, 0, 0.76%, 0.0001033%), (ABBV, 0, 0.74%, 0.0000832%), (PG, 0, 0.73%, 0.0000901%), (RTX, 0, 0.73%, 0.0001493%), (COST, 0, 0.73%, 0.0000767%), (HD, 0, 0.70%, 0.0000756%), (ABT, 0, 0.70%, 0.0001320%), (MCD, 0, 0.69%, 0.0001394%), (BAC, 0, 0.64%, 0.0000736%), (BKNG, 0, 0.58%, 0.0001427%), (KO, 0, 0.58%, 0.0000885%), (SO, 0, 0.57%, 0.0002432%), (IBM, 0, 0.57%, 0.0001008%), (PM, 0, 0.57%, 0.0000981%), (GS, 0, 0.56%, 0.0001037%), (AMD, 0, 0.56%, 0.0000940%), (BA, 0, 0.55%, 0.0001479%), (CRM, 0, 0.54%, 0.0001023%), (UBER, 0, 0.54%, 0.0001161%), (DUK, 0, 0.53%, 0.0002429%), (NKE, 0, 0.53%, 0.0002736%), (WFC, 0, 0.52%, 0.0000848%), (ETN, 0, 0.50%, 0.0001526%), (MET, 0, 0.50%, 0.0004072%), (ISRG, 0, 0.48%, 0.0001331%), (HON, 0, 0.46%, 0.0001540%), (INTU, 0, 0.45%, 0.0001026%), (NOW, 0, 0.45%, 0.0001010%), (MS, 0, 0.44%, 0.0000769%), (PEP, 0, 0.44%, 0.0000986%), (AXP, 0, 0.43%, 0.0000800%), (T, 0, 0.42%, 0.0004224%), (QCOM, 0, 0.41%, 0.0000968%), (DE, 0, 0.41%, 0.0001417%), (MRK, 0, 0.38%, 0.0000842%), (VZ, 0, 0.37%, 0.0000902%), (BLK, 0, 0.37%, 0.0000930%), (MDT, 0, 0.37%, 0.0001324%), (UNP, 0, 0.36%, 0.0001175%), (ADBE, 0, 0.36%, 0.0001070%), (TXN, 0, 0.36%, 0.0000944%), (C, 0, 0.36%, 0.0000839%), (COP, 0, 0.35%, 0.0001311%), (SPGI, 0, 0.35%, 0.0001037%), (AMAT, 0, 0.35%, 0.0000973%), (LMT, 0, 0.35%, 0.0001370%), (ACN, 0, 0.34%, 0.0001023%), (TMO, 0, 0.34%, 0.0000849%), (DIS, 0, 0.33%, 0.0000721%), (SCHW, 0, 0.31%, 0.0000815%), (SBUX, 0, 0.30%, 0.0001385%), (CVS, 0, 0.29%, 0.0001318%), (MMM, 0, 0.29%, 0.0001542%), (INTC, 0, 0.29%, 0.0000872%), (AMGN, 0, 0.28%, 0.0000830%), (TJX, 0, 0.27%, 0.0000768%), (GILD, 0, 0.27%, 0.0000834%), (PFE, 0, 0.26%, 0.0000832%), (EMR, 0, 0.26%, 0.0001525%), (LOW, 0, 0.25%, 0.0000767%), (MO, 0, 0.25%, 0.0000992%), (ELV, 0, 0.23%, 0.0001381%), (DHR, 0, 0.23%, 0.0000756%), (CMCSA, 0, 0.20%, 0.0000752%), (MDLZ, 0, 0.19%, 0.0001018%), (BMY, 0, 0.17%, 0.0000828%), (UPS, 0, 0.16%, 0.0001143%), (PYPL, 0, 0.15%, 0.0001061%), (USB, 0, 0.14%, 0.0000818%), (FDX, 0, 0.14%, 0.0001093%), (CL, 0, 0.14%, 0.0000907%), (TGT, 0, 0.07%, 0.0000779%), (nan, 0, -0.00%, 0.0000000%), (nan, 0, -0.00%, 0.0000000%)</t>
  </si>
  <si>
    <t>(AMZN, 0, 3.64%, 0.0000240%), (AVGO, 0, 3.46%, 0.0000336%), (META, 0, 2.76%, 0.0000259%), (TSLA, 0, 2.13%, 0.0000227%), (BRK/B, 0, 2.09%, 0.0000475%), (CSCO, 0, 1.73%, 0.0001007%), (LIN, 0, 1.72%, 0.0001206%), (JPM, 0, 1.67%, 0.0000302%), (XOM, 0, 1.48%, 0.0000471%), (AMT, 0, 1.42%, 0.0002439%), (V, 0, 1.35%, 0.0000364%), (ORCL, 0, 1.17%, 0.0000207%), (GE, 0, 1.14%, 0.0000557%), (LLY, 0, 1.13%, 0.0000251%), (CB, 0, 1.13%, 0.0001601%), (MA, 0, 1.07%, 0.0000329%), (WM, 0, 1.00%, 0.0001752%), (UNH, 0, 0.99%, 0.0000486%), (PLTR, 0, 0.87%, 0.0000332%), (NEE, 0, 0.85%, 0.0000871%), (NFLX, 0, 0.85%, 0.0000260%), (JNJ, 0, 0.82%, 0.0000300%), (WMT, 0, 0.80%, 0.0000151%), (CAT, 0, 0.79%, 0.0000559%), (CVX, 0, 0.78%, 0.0000373%), (ABBV, 0, 0.75%, 0.0000301%), (COST, 0, 0.75%, 0.0000278%), (PG, 0, 0.75%, 0.0000326%), (RTX, 0, 0.75%, 0.0000539%), (HD, 0, 0.72%, 0.0000273%), (ABT, 0, 0.71%, 0.0000477%), (MCD, 0, 0.70%, 0.0000503%), (BAC, 0, 0.66%, 0.0000266%), (BKNG, 0, 0.61%, 0.0000527%), (KO, 0, 0.59%, 0.0000320%), (SO, 0, 0.59%, 0.0000879%), (IBM, 0, 0.58%, 0.0000364%), (PM, 0, 0.58%, 0.0000355%), (GS, 0, 0.57%, 0.0000373%), (AMD, 0, 0.57%, 0.0000340%), (BA, 0, 0.56%, 0.0000534%), (CRM, 0, 0.56%, 0.0000370%), (UBER, 0, 0.55%, 0.0000420%), (DUK, 0, 0.54%, 0.0000876%), (NKE, 0, 0.54%, 0.0000988%), (WFC, 0, 0.53%, 0.0000307%), (ETN, 0, 0.51%, 0.0000552%), (MET, 0, 0.51%, 0.0001471%), (ISRG, 0, 0.49%, 0.0000480%), (HON, 0, 0.47%, 0.0000556%), (INTU, 0, 0.46%, 0.0000369%), (NOW, 0, 0.46%, 0.0000365%), (MS, 0, 0.45%, 0.0000278%), (PEP, 0, 0.45%, 0.0000356%), (AXP, 0, 0.44%, 0.0000289%), (T, 0, 0.43%, 0.0001526%), (QCOM, 0, 0.42%, 0.0000349%), (DE, 0, 0.42%, 0.0000510%), (MRK, 0, 0.39%, 0.0000304%), (VZ, 0, 0.38%, 0.0000326%), (BLK, 0, 0.38%, 0.0000336%), (MDT, 0, 0.38%, 0.0000478%), (ADBE, 0, 0.37%, 0.0000387%), (UNP, 0, 0.37%, 0.0000425%), (TXN, 0, 0.37%, 0.0000341%), (C, 0, 0.37%, 0.0000303%), (COP, 0, 0.36%, 0.0000473%), (SPGI, 0, 0.36%, 0.0000376%), (LMT, 0, 0.36%, 0.0000497%), (AMAT, 0, 0.36%, 0.0000351%), (ACN, 0, 0.35%, 0.0000369%), (TMO, 0, 0.35%, 0.0000306%), (DIS, 0, 0.34%, 0.0000260%), (SCHW, 0, 0.32%, 0.0000295%), (SBUX, 0, 0.31%, 0.0000501%), (CVS, 0, 0.30%, 0.0000476%), (MMM, 0, 0.29%, 0.0000557%), (INTC, 0, 0.29%, 0.0000315%), (AMGN, 0, 0.29%, 0.0000299%), (TJX, 0, 0.28%, 0.0000278%), (GILD, 0, 0.27%, 0.0000301%), (PFE, 0, 0.26%, 0.0000301%), (EMR, 0, 0.26%, 0.0000551%), (LOW, 0, 0.26%, 0.0000276%), (MO, 0, 0.25%, 0.0000358%), (ELV, 0, 0.23%, 0.0000499%), (DHR, 0, 0.23%, 0.0000273%), (CMCSA, 0, 0.20%, 0.0000271%), (MDLZ, 0, 0.20%, 0.0000367%), (BMY, 0, 0.17%, 0.0000299%), (UPS, 0, 0.16%, 0.0000413%), (PYPL, 0, 0.16%, 0.0000384%), (USB, 0, 0.15%, 0.0000296%), (FDX, 0, 0.14%, 0.0000394%), (CL, 0, 0.14%, 0.0000328%), (TGT, 0, 0.07%, 0.0000282%), (nan, 0, -0.00%, 0.0000000%), (nan, 0, -0.00%, 0.0000000%)</t>
  </si>
  <si>
    <t>(AMZN, 0, 3.84%, 0.0000571%), (AVGO, 0, 3.66%, 0.0000801%), (META, 0, 2.92%, 0.0000617%), (TSLA, 0, 2.25%, 0.0000540%), (BRK/B, 0, 2.22%, 0.0001134%), (CSCO, 0, 1.82%, 0.0002400%), (LIN, 0, 1.82%, 0.0002874%), (JPM, 0, 1.77%, 0.0000720%), (XOM, 0, 1.56%, 0.0001124%), (AMT, 0, 1.50%, 0.0005819%), (V, 0, 1.42%, 0.0000867%), (ORCL, 0, 1.24%, 0.0000495%), (GE, 0, 1.20%, 0.0001328%), (CB, 0, 1.20%, 0.0003819%), (LLY, 0, 1.19%, 0.0000597%), (MA, 0, 1.14%, 0.0000784%), (WM, 0, 1.06%, 0.0004180%), (UNH, 0, 1.04%, 0.0001158%), (PLTR, 0, 0.92%, 0.0000791%), (NFLX, 0, 0.90%, 0.0000621%), (NEE, 0, 0.90%, 0.0002077%), (JNJ, 0, 0.87%, 0.0000716%), (WMT, 0, 0.84%, 0.0000360%), (CAT, 0, 0.84%, 0.0001334%), (CVX, 0, 0.82%, 0.0000889%), (ABBV, 0, 0.79%, 0.0000716%), (PG, 0, 0.79%, 0.0000776%), (RTX, 0, 0.79%, 0.0001286%), (COST, 0, 0.79%, 0.0000661%), (HD, 0, 0.76%, 0.0000651%), (ABT, 0, 0.76%, 0.0001137%), (MCD, 0, 0.74%, 0.0001201%), (BAC, 0, 0.69%, 0.0000633%), (BKNG, 0, 0.63%, 0.0001241%), (KO, 0, 0.62%, 0.0000762%), (IBM, 0, 0.62%, 0.0000868%), (SO, 0, 0.62%, 0.0002094%), (PM, 0, 0.61%, 0.0000845%), (GS, 0, 0.61%, 0.0000894%), (AMD, 0, 0.60%, 0.0000810%), (BA, 0, 0.59%, 0.0001274%), (CRM, 0, 0.59%, 0.0000881%), (UBER, 0, 0.58%, 0.0001000%), (DUK, 0, 0.57%, 0.0002091%), (NKE, 0, 0.57%, 0.0002355%), (WFC, 0, 0.56%, 0.0000730%), (ETN, 0, 0.54%, 0.0001315%), (MET, 0, 0.54%, 0.0003507%), (ISRG, 0, 0.51%, 0.0001145%), (HON, 0, 0.50%, 0.0001326%), (INTU, 0, 0.48%, 0.0000882%), (NOW, 0, 0.48%, 0.0000870%), (MS, 0, 0.48%, 0.0000663%), (PEP, 0, 0.47%, 0.0000848%), (AXP, 0, 0.46%, 0.0000688%), (T, 0, 0.45%, 0.0003637%), (QCOM, 0, 0.44%, 0.0000833%), (DE, 0, 0.44%, 0.0001217%), (MRK, 0, 0.41%, 0.0000725%), (VZ, 0, 0.40%, 0.0000777%), (BLK, 0, 0.40%, 0.0000801%), (MDT, 0, 0.40%, 0.0001140%), (ADBE, 0, 0.39%, 0.0000922%), (UNP, 0, 0.39%, 0.0001012%), (TXN, 0, 0.39%, 0.0000813%), (C, 0, 0.39%, 0.0000722%), (COP, 0, 0.38%, 0.0001129%), (SPGI, 0, 0.38%, 0.0000895%), (AMAT, 0, 0.38%, 0.0000837%), (LMT, 0, 0.38%, 0.0001180%), (ACN, 0, 0.37%, 0.0000880%), (TMO, 0, 0.37%, 0.0000732%), (DIS, 0, 0.36%, 0.0000621%), (SCHW, 0, 0.34%, 0.0000702%), (SBUX, 0, 0.33%, 0.0001192%), (CVS, 0, 0.31%, 0.0001136%), (MMM, 0, 0.31%, 0.0001327%), (INTC, 0, 0.31%, 0.0000751%), (AMGN, 0, 0.31%, 0.0000715%), (TJX, 0, 0.29%, 0.0000661%), (GILD, 0, 0.29%, 0.0000718%), (PFE, 0, 0.28%, 0.0000717%), (EMR, 0, 0.28%, 0.0001311%), (LOW, 0, 0.27%, 0.0000660%), (MO, 0, 0.27%, 0.0000854%), (ELV, 0, 0.25%, 0.0001188%), (DHR, 0, 0.24%, 0.0000651%), (CMCSA, 0, 0.21%, 0.0000647%), (MDLZ, 0, 0.21%, 0.0000877%), (BMY, 0, 0.18%, 0.0000713%), (UPS, 0, 0.17%, 0.0000984%), (PYPL, 0, 0.17%, 0.0000914%), (USB, 0, 0.15%, 0.0000705%), (FDX, 0, 0.15%, 0.0000945%), (CL, 0, 0.15%, 0.0000780%), (TGT, 0, 0.08%, 0.0000671%), (nan, 0, -0.00%, 0.0000000%), (nan, 0, -0.00%, 0.0000000%)</t>
  </si>
  <si>
    <t>KLAC, GOOGLE, EBAY, NVDA, AMAT, MLI, BK, BKR, META, JPM, MSFT</t>
  </si>
  <si>
    <t>(PHM, 0, 1.96%, 0.0042274%), (LRCX, 0, 1.94%, 0.0006635%), (WSM, 0, 1.94%, 0.0043764%), (AXP, 0, 1.91%, 0.0004487%), (RJF, 0, 1.86%, 0.0029837%), (EWBC, 0, 1.83%, 0.0069140%), (HIG, 0, 1.81%, 0.0027138%), (BKNG, 0, 1.79%, 0.0005553%), (TRV, 0, 1.78%, 0.0015924%), (ROST, 0, 1.77%, 0.0020097%), (SNA, 0, 1.73%, 0.0054069%), (UNM, 0, 1.72%, 0.0072402%), (MPWR, 0, 1.68%, 0.0021340%), (V, 0, 1.68%, 0.0001613%), (CB, 0, 1.68%, 0.0008449%), (ADP, 0, 1.61%, 0.0007529%), (GE, 0, 1.61%, 0.0002801%), (PCAR, 0, 1.61%, 0.0017428%), (CTSH, 0, 1.50%, 0.0024987%), (CRM, 0, 1.49%, 0.0003514%), (EA, 0, 1.47%, 0.0019378%), (SYF, 0, 1.45%, 0.0029711%), (BLK, 0, 1.44%, 0.0004533%), (QCOM, 0, 1.43%, 0.0004213%), (STT, 0, 1.41%, 0.0024614%), (AAPL, 0, 1.40%, 0.0000207%), (PNC, 0, 1.38%, 0.0009454%), (ACN, 0, 1.31%, 0.0004841%), (ABT, 0, 1.28%, 0.0003032%), (LEN, 0, 1.24%, 0.0024316%), (ELV, 0, 1.04%, 0.0007933%), (GEV, 0, 1.02%, 0.0003280%), (DHI, 0, 0.99%, 0.0011047%), (ACM, 0, 0.96%, 0.0030805%), (MA, 0, 0.91%, 0.0000985%), (ALL, 0, 0.88%, 0.0008801%), (AFL, 0, 0.84%, 0.0007907%), (COST, 0, 0.84%, 0.0001103%), (PAYC, 0, 0.83%, 0.0036180%), (AMP, 0, 0.81%, 0.0009816%), (PGR, 0, 0.79%, 0.0003098%), (ODFL, 0, 0.70%, 0.0012933%), (NTRS, 0, 0.51%, 0.0011469%), (CSCO, 0, 0.50%, 0.0001030%), (BAC, 0, 0.47%, 0.0000674%), (JNJ, 0, 0.47%, 0.0000603%), (FOXA, 0, 0.46%, 0.0020359%), (RMD, 0, 0.46%, 0.0006317%), (VLTO, 0, 0.46%, 0.0009605%), (MET, 0, 0.46%, 0.0004680%), (COKE, 0, 0.45%, 0.0028646%), (CF, 0, 0.45%, 0.0016602%), (LNC, 0, 0.44%, 0.0031231%), (MTB, 0, 0.44%, 0.0007853%), (MCK, 0, 0.43%, 0.0002516%), (XOM, 0, 0.42%, 0.0000479%), (CINF, 0, 0.42%, 0.0009672%), (WTFC, 0, 0.42%, 0.0026093%), (EQH, 0, 0.40%, 0.0014038%), (EG, 0, 0.39%, 0.0014810%), (DOV, 0, 0.38%, 0.0009245%), (EOG, 0, 0.38%, 0.0003313%), (CSL, 0, 0.32%, 0.0012636%), (MTG, 0, 0.00%, 0.0000000%), (SLM, 0, 0.00%, 0.0000000%), (CRBG, 0, 0.00%, 0.0000000%), (FANG, 0, 0.00%, 0.0000000%), (JXN, 0, 0.00%, 0.0000000%), (NUE, 0, 0.00%, 0.0000000%), (ADM, 0, 0.00%, 0.0000000%), (NKE, 0, 0.00%, 0.0000000%)</t>
  </si>
  <si>
    <t>(AMZN, 0, 3.53%, 0.0000610%), (AVGO, 0, 3.36%, 0.0000855%), (META, 0, 2.68%, 0.0000658%), (TSLA, 0, 2.07%, 0.0000577%), (BRK/B, 0, 2.04%, 0.0001211%), (CSCO, 0, 1.67%, 0.0002563%), (LIN, 0, 1.67%, 0.0003071%), (JPM, 0, 1.62%, 0.0000768%), (XOM, 0, 1.43%, 0.0001200%), (AMT, 0, 1.38%, 0.0006212%), (V, 0, 1.31%, 0.0000926%), (ORCL, 0, 1.14%, 0.0000528%), (GE, 0, 1.10%, 0.0001419%), (CB, 0, 1.10%, 0.0004078%), (LLY, 0, 1.10%, 0.0000637%), (MA, 0, 1.04%, 0.0000837%), (WM, 0, 0.97%, 0.0004463%), (UNH, 0, 0.96%, 0.0001236%), (PLTR, 0, 0.84%, 0.0000844%), (NEE, 0, 0.83%, 0.0002217%), (NFLX, 0, 0.83%, 0.0000663%), (JNJ, 0, 0.80%, 0.0000764%), (WMT, 0, 0.77%, 0.0000384%), (CAT, 0, 0.77%, 0.0001426%), (CVX, 0, 0.75%, 0.0000950%), (ABBV, 0, 0.73%, 0.0000765%), (PG, 0, 0.73%, 0.0000829%), (RTX, 0, 0.73%, 0.0001373%), (COST, 0, 0.72%, 0.0000706%), (HD, 0, 0.70%, 0.0000695%), (ABT, 0, 0.69%, 0.0001214%), (MCD, 0, 0.68%, 0.0001282%), (BAC, 0, 0.64%, 0.0000676%), (KO, 0, 0.57%, 0.0000814%), (BKNG, 0, 0.57%, 0.0001303%), (SO, 0, 0.57%, 0.0002237%), (IBM, 0, 0.57%, 0.0000926%), (PM, 0, 0.56%, 0.0000902%), (GS, 0, 0.56%, 0.0000954%), (AMD, 0, 0.55%, 0.0000865%), (BA, 0, 0.54%, 0.0001360%), (CRM, 0, 0.54%, 0.0000941%), (UBER, 0, 0.53%, 0.0001067%), (DUK, 0, 0.53%, 0.0002233%), (NKE, 0, 0.52%, 0.0002516%), (WFC, 0, 0.52%, 0.0000780%), (ETN, 0, 0.50%, 0.0001403%), (MET, 0, 0.49%, 0.0003744%), (ISRG, 0, 0.47%, 0.0001224%), (HON, 0, 0.46%, 0.0001416%), (INTU, 0, 0.45%, 0.0000943%), (NOW, 0, 0.44%, 0.0000928%), (MS, 0, 0.44%, 0.0000707%), (PEP, 0, 0.43%, 0.0000906%), (AXP, 0, 0.42%, 0.0000736%), (T, 0, 0.41%, 0.0003884%), (QCOM, 0, 0.41%, 0.0000890%), (DE, 0, 0.40%, 0.0001302%), (MRK, 0, 0.38%, 0.0000774%), (VZ, 0, 0.37%, 0.0000830%), (BLK, 0, 0.37%, 0.0000859%), (MDT, 0, 0.37%, 0.0001217%), (UNP, 0, 0.36%, 0.0001081%), (ADBE, 0, 0.36%, 0.0000984%), (TXN, 0, 0.36%, 0.0000868%), (C, 0, 0.35%, 0.0000771%), (COP, 0, 0.35%, 0.0001205%), (SPGI, 0, 0.35%, 0.0000954%), (AMAT, 0, 0.35%, 0.0000895%), (LMT, 0, 0.35%, 0.0001262%), (ACN, 0, 0.34%, 0.0000939%), (TMO, 0, 0.34%, 0.0000783%), (DIS, 0, 0.33%, 0.0000663%), (SCHW, 0, 0.31%, 0.0000750%), (SBUX, 0, 0.30%, 0.0001273%), (CVS, 0, 0.29%, 0.0001212%), (MMM, 0, 0.29%, 0.0001417%), (INTC, 0, 0.28%, 0.0000802%), (AMGN, 0, 0.28%, 0.0000763%), (TJX, 0, 0.27%, 0.0000706%), (GILD, 0, 0.27%, 0.0000767%), (PFE, 0, 0.26%, 0.0000765%), (EMR, 0, 0.26%, 0.0001400%), (LOW, 0, 0.25%, 0.0000704%), (MO, 0, 0.24%, 0.0000912%), (ELV, 0, 0.23%, 0.0001269%), (DHR, 0, 0.22%, 0.0000695%), (CMCSA, 0, 0.19%, 0.0000691%), (MDLZ, 0, 0.19%, 0.0000936%), (BMY, 0, 0.17%, 0.0000761%), (UPS, 0, 0.16%, 0.0001050%), (PYPL, 0, 0.15%, 0.0000976%), (USB, 0, 0.14%, 0.0000752%), (FDX, 0, 0.14%, 0.0001009%), (CL, 0, 0.13%, 0.0000834%), (TGT, 0, 0.07%, 0.0000715%), (nan, 0, -0.00%, 0.0000000%), (nan, 0, -0.00%, 0.0000000%)</t>
  </si>
  <si>
    <t>(AMZN, 0, 3.69%, 0.0001248%), (AVGO, 0, 3.51%, 0.0001748%), (META, 0, 2.80%, 0.0001346%), (TSLA, 0, 2.16%, 0.0001180%), (BRK/B, 0, 2.13%, 0.0002475%), (CSCO, 0, 1.76%, 0.0005261%), (LIN, 0, 1.74%, 0.0006277%), (JPM, 0, 1.70%, 0.0001571%), (XOM, 0, 1.50%, 0.0002453%), (AMT, 0, 1.44%, 0.0012701%), (V, 0, 1.37%, 0.0001893%), (ORCL, 0, 1.19%, 0.0001080%), (GE, 0, 1.15%, 0.0002901%), (CB, 0, 1.15%, 0.0008337%), (LLY, 0, 1.15%, 0.0001302%), (MA, 0, 1.09%, 0.0001712%), (WM, 0, 1.01%, 0.0009125%), (UNH, 0, 1.00%, 0.0002528%), (PLTR, 0, 0.88%, 0.0001726%), (NFLX, 0, 0.87%, 0.0001357%), (NEE, 0, 0.87%, 0.0004534%), (JNJ, 0, 0.83%, 0.0001562%), (WMT, 0, 0.81%, 0.0000786%), (CAT, 0, 0.80%, 0.0002914%), (CVX, 0, 0.79%, 0.0001942%), (ABBV, 0, 0.76%, 0.0001563%), (PG, 0, 0.76%, 0.0001694%), (RTX, 0, 0.76%, 0.0002807%), (COST, 0, 0.76%, 0.0001442%), (HD, 0, 0.73%, 0.0001423%), (ABT, 0, 0.73%, 0.0002483%), (MCD, 0, 0.71%, 0.0002622%), (BAC, 0, 0.66%, 0.0001383%), (KO, 0, 0.60%, 0.0001664%), (BKNG, 0, 0.60%, 0.0002668%), (SO, 0, 0.59%, 0.0004573%), (IBM, 0, 0.59%, 0.0001895%), (PM, 0, 0.59%, 0.0001844%), (GS, 0, 0.58%, 0.0001947%), (AMD, 0, 0.57%, 0.0001767%), (BA, 0, 0.57%, 0.0002780%), (CRM, 0, 0.56%, 0.0001923%), (UBER, 0, 0.56%, 0.0002183%), (DUK, 0, 0.55%, 0.0004565%), (NKE, 0, 0.55%, 0.0005142%), (WFC, 0, 0.54%, 0.0001595%), (ETN, 0, 0.52%, 0.0002869%), (MET, 0, 0.52%, 0.0007655%), (ISRG, 0, 0.49%, 0.0002499%), (HON, 0, 0.48%, 0.0002895%), (INTU, 0, 0.47%, 0.0001926%), (NOW, 0, 0.46%, 0.0001899%), (MS, 0, 0.46%, 0.0001446%), (PEP, 0, 0.45%, 0.0001853%), (AXP, 0, 0.44%, 0.0001504%), (T, 0, 0.43%, 0.0007941%), (QCOM, 0, 0.42%, 0.0001820%), (DE, 0, 0.42%, 0.0002660%), (MRK, 0, 0.40%, 0.0001583%), (VZ, 0, 0.39%, 0.0001696%), (BLK, 0, 0.38%, 0.0001750%), (MDT, 0, 0.38%, 0.0002489%), (UNP, 0, 0.38%, 0.0002210%), (ADBE, 0, 0.37%, 0.0002014%), (TXN, 0, 0.37%, 0.0001774%), (C, 0, 0.37%, 0.0001576%), (COP, 0, 0.37%, 0.0002464%), (AMAT, 0, 0.36%, 0.0001829%), (SPGI, 0, 0.36%, 0.0001952%), (LMT, 0, 0.36%, 0.0002576%), (ACN, 0, 0.36%, 0.0001922%), (TMO, 0, 0.35%, 0.0001597%), (DIS, 0, 0.35%, 0.0001355%), (SCHW, 0, 0.32%, 0.0001533%), (SBUX, 0, 0.31%, 0.0002603%), (CVS, 0, 0.30%, 0.0002477%), (MMM, 0, 0.30%, 0.0002897%), (INTC, 0, 0.30%, 0.0001639%), (AMGN, 0, 0.29%, 0.0001560%), (TJX, 0, 0.28%, 0.0001444%), (GILD, 0, 0.28%, 0.0001568%), (PFE, 0, 0.27%, 0.0001564%), (EMR, 0, 0.27%, 0.0002864%), (LOW, 0, 0.26%, 0.0001441%), (MO, 0, 0.26%, 0.0001865%), (ELV, 0, 0.24%, 0.0002596%), (DHR, 0, 0.23%, 0.0001423%), (CMCSA, 0, 0.20%, 0.0001413%), (MDLZ, 0, 0.20%, 0.0001913%), (BMY, 0, 0.18%, 0.0001557%), (UPS, 0, 0.17%, 0.0002148%), (PYPL, 0, 0.16%, 0.0001994%), (USB, 0, 0.15%, 0.0001538%), (FDX, 0, 0.14%, 0.0002060%), (CL, 0, 0.14%, 0.0001705%), (TGT, 0, 0.07%, 0.0001463%), (nan, 0, -0.00%, 0.0000000%), (nan, 0, -0.00%, 0.0000000%)</t>
  </si>
  <si>
    <t>(AMZN, 0, 3.48%, 0.0002491%), (AVGO, 0, 3.31%, 0.0003490%), (META, 0, 2.64%, 0.0002688%), (TSLA, 0, 2.04%, 0.0002356%), (BRK/B, 0, 2.01%, 0.0004941%), (CSCO, 0, 1.66%, 0.0010515%), (LIN, 0, 1.65%, 0.0012532%), (JPM, 0, 1.60%, 0.0003137%), (XOM, 0, 1.42%, 0.0004922%), (AMT, 0, 1.36%, 0.0025360%), (V, 0, 1.29%, 0.0003781%), (ORCL, 0, 1.12%, 0.0002156%), (GE, 0, 1.09%, 0.0005792%), (CB, 0, 1.08%, 0.0016648%), (LLY, 0, 1.08%, 0.0002601%), (MA, 0, 1.03%, 0.0003418%), (WM, 0, 0.96%, 0.0018217%), (UNH, 0, 0.94%, 0.0005048%), (PLTR, 0, 0.83%, 0.0003446%), (NEE, 0, 0.82%, 0.0009098%), (NFLX, 0, 0.82%, 0.0002709%), (JNJ, 0, 0.79%, 0.0003118%), (WMT, 0, 0.76%, 0.0001569%), (CAT, 0, 0.76%, 0.0005817%), (CVX, 0, 0.74%, 0.0003878%), (ABBV, 0, 0.72%, 0.0003122%), (PG, 0, 0.72%, 0.0003383%), (RTX, 0, 0.71%, 0.0005603%), (COST, 0, 0.71%, 0.0002881%), (HD, 0, 0.69%, 0.0002840%), (ABT, 0, 0.68%, 0.0004957%), (MCD, 0, 0.67%, 0.0005235%), (BAC, 0, 0.63%, 0.0002775%), (KO, 0, 0.56%, 0.0003323%), (BKNG, 0, 0.56%, 0.0005367%), (SO, 0, 0.56%, 0.0009130%), (IBM, 0, 0.56%, 0.0003783%), (PM, 0, 0.55%, 0.0003683%), (GS, 0, 0.55%, 0.0003891%), (AMD, 0, 0.54%, 0.0003529%), (BA, 0, 0.54%, 0.0005552%), (CRM, 0, 0.53%, 0.0003840%), (UBER, 0, 0.53%, 0.0004358%), (DUK, 0, 0.52%, 0.0009114%), (NKE, 0, 0.51%, 0.0010268%), (WFC, 0, 0.51%, 0.0003184%), (ETN, 0, 0.49%, 0.0005731%), (MET, 0, 0.49%, 0.0015287%), (ISRG, 0, 0.46%, 0.0004993%), (HON, 0, 0.45%, 0.0005781%), (INTU, 0, 0.44%, 0.0003845%), (NOW, 0, 0.44%, 0.0003788%), (MS, 0, 0.43%, 0.0002888%), (PEP, 0, 0.43%, 0.0003699%), (AXP, 0, 0.42%, 0.0003002%), (T, 0, 0.41%, 0.0015935%), (QCOM, 0, 0.40%, 0.0003634%), (DE, 0, 0.40%, 0.0005312%), (MRK, 0, 0.37%, 0.0003160%), (VZ, 0, 0.37%, 0.0003387%), (BLK, 0, 0.36%, 0.0003494%), (MDT, 0, 0.36%, 0.0004968%), (UNP, 0, 0.35%, 0.0004412%), (ADBE, 0, 0.35%, 0.0004021%), (TXN, 0, 0.35%, 0.0003543%), (C, 0, 0.35%, 0.0003148%), (COP, 0, 0.34%, 0.0004920%), (SPGI, 0, 0.34%, 0.0003897%), (AMAT, 0, 0.34%, 0.0003652%), (LMT, 0, 0.34%, 0.0005147%), (ACN, 0, 0.33%, 0.0003836%), (TMO, 0, 0.33%, 0.0003194%), (DIS, 0, 0.33%, 0.0002705%), (SCHW, 0, 0.30%, 0.0003061%), (SBUX, 0, 0.29%, 0.0005198%), (CVS, 0, 0.28%, 0.0004951%), (MMM, 0, 0.28%, 0.0005787%), (INTC, 0, 0.28%, 0.0003272%), (AMGN, 0, 0.28%, 0.0003115%), (TJX, 0, 0.27%, 0.0002884%), (GILD, 0, 0.26%, 0.0003131%), (PFE, 0, 0.25%, 0.0003126%), (EMR, 0, 0.25%, 0.0005720%), (LOW, 0, 0.25%, 0.0002878%), (MO, 0, 0.24%, 0.0003723%), (ELV, 0, 0.22%, 0.0005188%), (DHR, 0, 0.22%, 0.0002840%), (CMCSA, 0, 0.19%, 0.0002821%), (MDLZ, 0, 0.19%, 0.0003821%), (BMY, 0, 0.17%, 0.0003109%), (UPS, 0, 0.16%, 0.0004289%), (PYPL, 0, 0.15%, 0.0003982%), (USB, 0, 0.14%, 0.0003072%), (FDX, 0, 0.13%, 0.0004111%), (CL, 0, 0.13%, 0.0003403%), (TGT, 0, 0.07%, 0.0002920%), (nan, 0, -0.00%, 0.0000000%), (nan, 0, -0.00%, 0.0000000%)</t>
  </si>
  <si>
    <t>(AMZN, 0, 3.39%, 0.0000362%), (AVGO, 0, 3.24%, 0.0000507%), (META, 0, 2.56%, 0.0000390%), (BRK/B, 0, 1.97%, 0.0000717%), (TSLA, 0, 1.93%, 0.0000342%), (CSCO, 0, 1.64%, 0.0001519%), (LIN, 0, 1.62%, 0.0001818%), (JPM, 0, 1.58%, 0.0000455%), (XOM, 0, 1.40%, 0.0000711%), (AMT, 0, 1.34%, 0.0003680%), (V, 0, 1.26%, 0.0000549%), (CB, 0, 1.07%, 0.0002416%), (GE, 0, 1.06%, 0.0000841%), (ORCL, 0, 1.05%, 0.0000313%), (LLY, 0, 1.03%, 0.0000378%), (MA, 0, 1.01%, 0.0000496%), (WM, 0, 0.93%, 0.0002644%), (UNH, 0, 0.92%, 0.0000733%), (PLTR, 0, 0.82%, 0.0000500%), (NFLX, 0, 0.81%, 0.0000394%), (NEE, 0, 0.81%, 0.0001314%), (JNJ, 0, 0.78%, 0.0000453%), (WMT, 0, 0.75%, 0.0000228%), (CAT, 0, 0.74%, 0.0000845%), (CVX, 0, 0.74%, 0.0000563%), (ABBV, 0, 0.70%, 0.0000453%), (COST, 0, 0.70%, 0.0000417%), (PG, 0, 0.70%, 0.0000491%), (RTX, 0, 0.70%, 0.0000813%), (HD, 0, 0.67%, 0.0000412%), (ABT, 0, 0.67%, 0.0000719%), (MCD, 0, 0.66%, 0.0000760%), (BAC, 0, 0.62%, 0.0000401%), (IBM, 0, 0.58%, 0.0000549%), (BKNG, 0, 0.56%, 0.0000776%), (KO, 0, 0.55%, 0.0000482%), (PM, 0, 0.55%, 0.0000534%), (SO, 0, 0.55%, 0.0001325%), (GS, 0, 0.54%, 0.0000563%), (AMD, 0, 0.54%, 0.0000512%), (BA, 0, 0.53%, 0.0000805%), (UBER, 0, 0.52%, 0.0000632%), (CRM, 0, 0.51%, 0.0000558%), (DUK, 0, 0.51%, 0.0001323%), (WFC, 0, 0.50%, 0.0000462%), (NKE, 0, 0.49%, 0.0001490%), (MET, 0, 0.48%, 0.0002218%), (ETN, 0, 0.48%, 0.0000832%), (ISRG, 0, 0.45%, 0.0000725%), (HON, 0, 0.45%, 0.0000840%), (INTU, 0, 0.44%, 0.0000560%), (MS, 0, 0.43%, 0.0000419%), (NOW, 0, 0.42%, 0.0000548%), (PEP, 0, 0.41%, 0.0000537%), (AXP, 0, 0.41%, 0.0000436%), (T, 0, 0.40%, 0.0002301%), (DE, 0, 0.39%, 0.0000769%), (QCOM, 0, 0.39%, 0.0000527%), (BLK, 0, 0.36%, 0.0000510%), (VZ, 0, 0.36%, 0.0000492%), (MRK, 0, 0.36%, 0.0000459%), (MDT, 0, 0.35%, 0.0000721%), (UNP, 0, 0.35%, 0.0000641%), (ADBE, 0, 0.35%, 0.0000583%), (C, 0, 0.35%, 0.0000457%), (COP, 0, 0.34%, 0.0000714%), (TXN, 0, 0.34%, 0.0000514%), (LMT, 0, 0.34%, 0.0000748%), (AMAT, 0, 0.34%, 0.0000530%), (SPGI, 0, 0.33%, 0.0000565%), (ACN, 0, 0.32%, 0.0000557%), (DIS, 0, 0.32%, 0.0000393%), (TMO, 0, 0.32%, 0.0000460%), (SCHW, 0, 0.31%, 0.0000444%), (INTC, 0, 0.29%, 0.0000475%), (SBUX, 0, 0.29%, 0.0000755%), (MMM, 0, 0.27%, 0.0000840%), (CVS, 0, 0.27%, 0.0000718%), (AMGN, 0, 0.27%, 0.0000451%), (TJX, 0, 0.26%, 0.0000419%), (GILD, 0, 0.25%, 0.0000454%), (PFE, 0, 0.24%, 0.0000453%), (EMR, 0, 0.24%, 0.0000830%), (LOW, 0, 0.24%, 0.0000417%), (MO, 0, 0.24%, 0.0000540%), (ELV, 0, 0.21%, 0.0000751%), (DHR, 0, 0.21%, 0.0000412%), (CMCSA, 0, 0.19%, 0.0000409%), (MDLZ, 0, 0.18%, 0.0000555%), (BMY, 0, 0.16%, 0.0000451%), (UPS, 0, 0.15%, 0.0000622%), (PYPL, 0, 0.15%, 0.0000578%), (USB, 0, 0.14%, 0.0000446%), (FDX, 0, 0.13%, 0.0000598%), (CL, 0, 0.13%, 0.0000494%), (TGT, 0, 0.07%, 0.0000425%), (nan, 0, -0.00%, 0.0000000%), (nan, 0, -0.00%, 0.0000000%)</t>
  </si>
  <si>
    <t>(AMZN, 0, 3.68%, 0.0002157%), (AVGO, 0, 3.51%, 0.0003022%), (META, 0, 2.78%, 0.0002327%), (BRK/B, 0, 2.13%, 0.0004278%), (TSLA, 0, 2.09%, 0.0002039%), (CSCO, 0, 1.78%, 0.0009103%), (LIN, 0, 1.76%, 0.0010849%), (JPM, 0, 1.71%, 0.0002716%), (XOM, 0, 1.53%, 0.0004261%), (AMT, 0, 1.46%, 0.0021955%), (V, 0, 1.36%, 0.0003273%), (CB, 0, 1.15%, 0.0014412%), (GE, 0, 1.15%, 0.0005014%), (ORCL, 0, 1.13%, 0.0001866%), (LLY, 0, 1.11%, 0.0002252%), (MA, 0, 1.09%, 0.0002959%), (WM, 0, 1.01%, 0.0015769%), (UNH, 0, 0.99%, 0.0004371%), (PLTR, 0, 0.89%, 0.0002983%), (NEE, 0, 0.88%, 0.0007876%), (NFLX, 0, 0.88%, 0.0002346%), (JNJ, 0, 0.84%, 0.0002700%), (WMT, 0, 0.81%, 0.0001358%), (CAT, 0, 0.80%, 0.0005035%), (CVX, 0, 0.80%, 0.0003357%), (ABBV, 0, 0.76%, 0.0002702%), (PG, 0, 0.76%, 0.0002929%), (COST, 0, 0.76%, 0.0002493%), (RTX, 0, 0.76%, 0.0004851%), (HD, 0, 0.73%, 0.0002458%), (ABT, 0, 0.73%, 0.0004291%), (MCD, 0, 0.71%, 0.0004532%), (BAC, 0, 0.67%, 0.0002402%), (IBM, 0, 0.62%, 0.0003275%), (BKNG, 0, 0.61%, 0.0004622%), (KO, 0, 0.60%, 0.0002877%), (PM, 0, 0.59%, 0.0003188%), (SO, 0, 0.59%, 0.0007904%), (GS, 0, 0.59%, 0.0003367%), (AMD, 0, 0.58%, 0.0003055%), (BA, 0, 0.57%, 0.0004806%), (UBER, 0, 0.56%, 0.0003773%), (CRM, 0, 0.56%, 0.0003325%), (DUK, 0, 0.55%, 0.0007890%), (WFC, 0, 0.54%, 0.0002757%), (NKE, 0, 0.54%, 0.0008889%), (MET, 0, 0.52%, 0.0013233%), (ETN, 0, 0.52%, 0.0004960%), (ISRG, 0, 0.49%, 0.0004322%), (HON, 0, 0.48%, 0.0005004%), (INTU, 0, 0.47%, 0.0003328%), (MS, 0, 0.46%, 0.0002500%), (NOW, 0, 0.46%, 0.0003279%), (PEP, 0, 0.45%, 0.0003203%), (AXP, 0, 0.45%, 0.0002599%), (T, 0, 0.44%, 0.0013796%), (DE, 0, 0.42%, 0.0004598%), (QCOM, 0, 0.42%, 0.0003146%), (BLK, 0, 0.39%, 0.0003022%), (VZ, 0, 0.39%, 0.0002932%), (MRK, 0, 0.39%, 0.0002736%), (MDT, 0, 0.38%, 0.0004301%), (UNP, 0, 0.38%, 0.0003819%), (ADBE, 0, 0.38%, 0.0003481%), (C, 0, 0.37%, 0.0002725%), (COP, 0, 0.37%, 0.0004260%), (TXN, 0, 0.37%, 0.0003067%), (LMT, 0, 0.36%, 0.0004456%), (SPGI, 0, 0.36%, 0.0003372%), (AMAT, 0, 0.36%, 0.0003162%), (ACN, 0, 0.35%, 0.0003320%), (TMO, 0, 0.35%, 0.0002765%), (DIS, 0, 0.35%, 0.0002342%), (SCHW, 0, 0.33%, 0.0002650%), (INTC, 0, 0.31%, 0.0002833%), (SBUX, 0, 0.31%, 0.0004500%), (MMM, 0, 0.30%, 0.0005009%), (CVS, 0, 0.30%, 0.0004286%), (AMGN, 0, 0.29%, 0.0002697%), (TJX, 0, 0.29%, 0.0002496%), (GILD, 0, 0.27%, 0.0002711%), (PFE, 0, 0.27%, 0.0002706%), (EMR, 0, 0.26%, 0.0004950%), (LOW, 0, 0.26%, 0.0002491%), (MO, 0, 0.26%, 0.0003222%), (ELV, 0, 0.23%, 0.0004491%), (DHR, 0, 0.23%, 0.0002459%), (CMCSA, 0, 0.20%, 0.0002442%), (MDLZ, 0, 0.20%, 0.0003308%), (BMY, 0, 0.17%, 0.0002691%), (UPS, 0, 0.17%, 0.0003713%), (PYPL, 0, 0.16%, 0.0003447%), (USB, 0, 0.15%, 0.0002659%), (FDX, 0, 0.14%, 0.0003560%), (CL, 0, 0.14%, 0.0002945%), (TGT, 0, 0.07%, 0.0002529%), (nan, 0, -0.00%, 0.0000000%), (nan, 0, -0.00%, 0.0000000%)</t>
  </si>
  <si>
    <t>(AMZN, 0, 3.67%, 0.0001607%), (AVGO, 0, 3.50%, 0.0002252%), (META, 0, 2.77%, 0.0001734%), (BRK/B, 0, 2.13%, 0.0003187%), (TSLA, 0, 2.09%, 0.0001520%), (CSCO, 0, 1.78%, 0.0006783%), (LIN, 0, 1.75%, 0.0008084%), (JPM, 0, 1.71%, 0.0002024%), (XOM, 0, 1.52%, 0.0003159%), (AMT, 0, 1.45%, 0.0016360%), (V, 0, 1.36%, 0.0002439%), (CB, 0, 1.15%, 0.0010741%), (GE, 0, 1.15%, 0.0003736%), (ORCL, 0, 1.13%, 0.0001391%), (LLY, 0, 1.11%, 0.0001678%), (MA, 0, 1.09%, 0.0002205%), (WM, 0, 1.01%, 0.0011751%), (UNH, 0, 0.99%, 0.0003257%), (PLTR, 0, 0.89%, 0.0002223%), (NFLX, 0, 0.88%, 0.0001749%), (NEE, 0, 0.88%, 0.0005840%), (JNJ, 0, 0.84%, 0.0002012%), (WMT, 0, 0.81%, 0.0001012%), (CVX, 0, 0.80%, 0.0002502%), (CAT, 0, 0.80%, 0.0003753%), (ABBV, 0, 0.76%, 0.0002014%), (PG, 0, 0.76%, 0.0002183%), (COST, 0, 0.76%, 0.0001859%), (RTX, 0, 0.76%, 0.0003615%), (HD, 0, 0.73%, 0.0001831%), (ABT, 0, 0.73%, 0.0003197%), (MCD, 0, 0.71%, 0.0003377%), (BAC, 0, 0.67%, 0.0001781%), (IBM, 0, 0.62%, 0.0002440%), (BKNG, 0, 0.61%, 0.0003444%), (KO, 0, 0.60%, 0.0002144%), (PM, 0, 0.59%, 0.0002376%), (SO, 0, 0.59%, 0.0005890%), (GS, 0, 0.59%, 0.0002511%), (AMD, 0, 0.58%, 0.0002277%), (BA, 0, 0.57%, 0.0003581%), (UBER, 0, 0.56%, 0.0002811%), (CRM, 0, 0.56%, 0.0002477%), (DUK, 0, 0.55%, 0.0005880%), (WFC, 0, 0.54%, 0.0002054%), (NKE, 0, 0.53%, 0.0006624%), (MET, 0, 0.52%, 0.0009861%), (ETN, 0, 0.51%, 0.0003696%), (ISRG, 0, 0.49%, 0.0003221%), (HON, 0, 0.48%, 0.0003730%), (INTU, 0, 0.47%, 0.0002478%), (MS, 0, 0.46%, 0.0001863%), (NOW, 0, 0.46%, 0.0002442%), (PEP, 0, 0.45%, 0.0002386%), (AXP, 0, 0.44%, 0.0001937%), (T, 0, 0.44%, 0.0010228%), (DE, 0, 0.42%, 0.0003429%), (QCOM, 0, 0.42%, 0.0002344%), (BLK, 0, 0.39%, 0.0002254%), (VZ, 0, 0.39%, 0.0002185%), (MRK, 0, 0.39%, 0.0002039%), (MDT, 0, 0.38%, 0.0003205%), (UNP, 0, 0.38%, 0.0002846%), (ADBE, 0, 0.38%, 0.0002594%), (C, 0, 0.37%, 0.0002031%), (COP, 0, 0.37%, 0.0003174%), (TXN, 0, 0.37%, 0.0002286%), (LMT, 0, 0.36%, 0.0003319%), (SPGI, 0, 0.36%, 0.0002513%), (AMAT, 0, 0.36%, 0.0002356%), (ACN, 0, 0.35%, 0.0002474%), (TMO, 0, 0.35%, 0.0002060%), (DIS, 0, 0.35%, 0.0001745%), (SCHW, 0, 0.33%, 0.0001974%), (INTC, 0, 0.31%, 0.0002111%), (SBUX, 0, 0.31%, 0.0003354%), (MMM, 0, 0.30%, 0.0003733%), (CVS, 0, 0.30%, 0.0003194%), (AMGN, 0, 0.29%, 0.0002010%), (TJX, 0, 0.29%, 0.0001860%), (GILD, 0, 0.27%, 0.0002020%), (PFE, 0, 0.27%, 0.0002017%), (EMR, 0, 0.26%, 0.0003689%), (LOW, 0, 0.26%, 0.0001856%), (MO, 0, 0.26%, 0.0002401%), (ELV, 0, 0.23%, 0.0003343%), (DHR, 0, 0.23%, 0.0001832%), (CMCSA, 0, 0.20%, 0.0001820%), (MDLZ, 0, 0.20%, 0.0002464%), (BMY, 0, 0.17%, 0.0002006%), (UPS, 0, 0.16%, 0.0002766%), (PYPL, 0, 0.16%, 0.0002569%), (USB, 0, 0.15%, 0.0001981%), (FDX, 0, 0.14%, 0.0002653%), (CL, 0, 0.14%, 0.0002195%), (TGT, 0, 0.07%, 0.0001884%), (nan, 0, -0.00%, 0.0000000%), (nan, 0, -0.00%, 0.0000000%)</t>
  </si>
  <si>
    <t>(AMZN, 0, 3.72%, 0.0000377%), (AVGO, 0, 3.55%, 0.0000528%), (META, 0, 2.81%, 0.0000407%), (BRK/B, 0, 2.16%, 0.0000747%), (TSLA, 0, 2.12%, 0.0000356%), (CSCO, 0, 1.80%, 0.0001583%), (LIN, 0, 1.78%, 0.0001895%), (JPM, 0, 1.73%, 0.0000475%), (XOM, 0, 1.54%, 0.0000741%), (AMT, 0, 1.47%, 0.0003836%), (V, 0, 1.38%, 0.0000572%), (CB, 0, 1.17%, 0.0002518%), (GE, 0, 1.16%, 0.0000876%), (ORCL, 0, 1.15%, 0.0000326%), (LLY, 0, 1.13%, 0.0000393%), (MA, 0, 1.11%, 0.0000517%), (WM, 0, 1.02%, 0.0002755%), (UNH, 0, 1.01%, 0.0000764%), (PLTR, 0, 0.90%, 0.0000521%), (NFLX, 0, 0.89%, 0.0000411%), (NEE, 0, 0.89%, 0.0001369%), (JNJ, 0, 0.85%, 0.0000472%), (WMT, 0, 0.82%, 0.0000237%), (CAT, 0, 0.81%, 0.0000879%), (CVX, 0, 0.81%, 0.0000587%), (ABBV, 0, 0.77%, 0.0000472%), (PG, 0, 0.77%, 0.0000512%), (RTX, 0, 0.77%, 0.0000847%), (COST, 0, 0.77%, 0.0000435%), (HD, 0, 0.74%, 0.0000430%), (ABT, 0, 0.74%, 0.0000750%), (MCD, 0, 0.72%, 0.0000792%), (BAC, 0, 0.68%, 0.0000418%), (IBM, 0, 0.63%, 0.0000572%), (BKNG, 0, 0.61%, 0.0000807%), (KO, 0, 0.60%, 0.0000503%), (SO, 0, 0.60%, 0.0001381%), (PM, 0, 0.60%, 0.0000557%), (GS, 0, 0.59%, 0.0000587%), (AMD, 0, 0.59%, 0.0000534%), (BA, 0, 0.58%, 0.0000839%), (UBER, 0, 0.57%, 0.0000659%), (CRM, 0, 0.56%, 0.0000581%), (DUK, 0, 0.56%, 0.0001378%), (WFC, 0, 0.55%, 0.0000482%), (NKE, 0, 0.54%, 0.0001553%), (MET, 0, 0.52%, 0.0002313%), (ETN, 0, 0.52%, 0.0000866%), (ISRG, 0, 0.50%, 0.0000756%), (HON, 0, 0.49%, 0.0000874%), (INTU, 0, 0.48%, 0.0000581%), (MS, 0, 0.47%, 0.0000437%), (NOW, 0, 0.46%, 0.0000572%), (PEP, 0, 0.45%, 0.0000559%), (AXP, 0, 0.45%, 0.0000454%), (T, 0, 0.44%, 0.0002399%), (DE, 0, 0.43%, 0.0000803%), (QCOM, 0, 0.42%, 0.0000550%), (BLK, 0, 0.40%, 0.0000530%), (VZ, 0, 0.40%, 0.0000512%), (MRK, 0, 0.39%, 0.0000478%), (MDT, 0, 0.39%, 0.0000752%), (UNP, 0, 0.38%, 0.0000668%), (ADBE, 0, 0.38%, 0.0000609%), (C, 0, 0.38%, 0.0000476%), (COP, 0, 0.38%, 0.0000744%), (TXN, 0, 0.37%, 0.0000536%), (AMAT, 0, 0.37%, 0.0000552%), (SPGI, 0, 0.37%, 0.0000588%), (LMT, 0, 0.36%, 0.0000778%), (ACN, 0, 0.36%, 0.0000580%), (TMO, 0, 0.35%, 0.0000482%), (DIS, 0, 0.35%, 0.0000409%), (SCHW, 0, 0.34%, 0.0000463%), (INTC, 0, 0.32%, 0.0000495%), (SBUX, 0, 0.32%, 0.0000786%), (MMM, 0, 0.30%, 0.0000875%), (CVS, 0, 0.30%, 0.0000748%), (AMGN, 0, 0.29%, 0.0000472%), (TJX, 0, 0.29%, 0.0000436%), (GILD, 0, 0.28%, 0.0000473%), (PFE, 0, 0.27%, 0.0000473%), (EMR, 0, 0.27%, 0.0000865%), (LOW, 0, 0.26%, 0.0000435%), (MO, 0, 0.26%, 0.0000563%), (ELV, 0, 0.23%, 0.0000783%), (DHR, 0, 0.23%, 0.0000429%), (CMCSA, 0, 0.21%, 0.0000427%), (MDLZ, 0, 0.20%, 0.0000578%), (BMY, 0, 0.18%, 0.0000470%), (UPS, 0, 0.17%, 0.0000648%), (PYPL, 0, 0.16%, 0.0000603%), (USB, 0, 0.15%, 0.0000465%), (FDX, 0, 0.15%, 0.0000623%), (CL, 0, 0.14%, 0.0000515%), (TGT, 0, 0.07%, 0.0000442%), (nan, 0, -0.00%, 0.0000000%), (nan, 0, -0.00%, 0.0000000%)</t>
  </si>
  <si>
    <t>(AMZN, 0, 3.54%, 0.0000664%), (AVGO, 0, 3.38%, 0.0000930%), (META, 0, 2.67%, 0.0000716%), (BRK/B, 0, 2.05%, 0.0001317%), (TSLA, 0, 2.02%, 0.0000628%), (CSCO, 0, 1.71%, 0.0002788%), (LIN, 0, 1.69%, 0.0003339%), (JPM, 0, 1.65%, 0.0000836%), (XOM, 0, 1.46%, 0.0001305%), (AMT, 0, 1.40%, 0.0006756%), (V, 0, 1.31%, 0.0001007%), (CB, 0, 1.11%, 0.0004437%), (GE, 0, 1.11%, 0.0001543%), (ORCL, 0, 1.09%, 0.0000574%), (LLY, 0, 1.07%, 0.0000693%), (MA, 0, 1.05%, 0.0000911%), (WM, 0, 0.97%, 0.0004853%), (UNH, 0, 0.96%, 0.0001345%), (PLTR, 0, 0.85%, 0.0000918%), (NEE, 0, 0.85%, 0.0002412%), (NFLX, 0, 0.85%, 0.0000722%), (JNJ, 0, 0.81%, 0.0000831%), (WMT, 0, 0.78%, 0.0000418%), (CVX, 0, 0.77%, 0.0001033%), (CAT, 0, 0.77%, 0.0001550%), (ABBV, 0, 0.73%, 0.0000832%), (PG, 0, 0.73%, 0.0000901%), (RTX, 0, 0.73%, 0.0001493%), (COST, 0, 0.73%, 0.0000767%), (HD, 0, 0.70%, 0.0000756%), (ABT, 0, 0.70%, 0.0001320%), (MCD, 0, 0.69%, 0.0001394%), (BAC, 0, 0.65%, 0.0000736%), (IBM, 0, 0.60%, 0.0001008%), (BKNG, 0, 0.59%, 0.0001427%), (KO, 0, 0.57%, 0.0000885%), (SO, 0, 0.57%, 0.0002432%), (PM, 0, 0.57%, 0.0000981%), (GS, 0, 0.57%, 0.0001037%), (AMD, 0, 0.56%, 0.0000940%), (BA, 0, 0.55%, 0.0001479%), (UBER, 0, 0.54%, 0.0001161%), (CRM, 0, 0.54%, 0.0001023%), (DUK, 0, 0.53%, 0.0002429%), (WFC, 0, 0.52%, 0.0000848%), (NKE, 0, 0.52%, 0.0002736%), (MET, 0, 0.50%, 0.0004072%), (ETN, 0, 0.50%, 0.0001526%), (ISRG, 0, 0.47%, 0.0001331%), (HON, 0, 0.46%, 0.0001540%), (INTU, 0, 0.45%, 0.0001026%), (MS, 0, 0.45%, 0.0000769%), (NOW, 0, 0.44%, 0.0001010%), (PEP, 0, 0.43%, 0.0000986%), (AXP, 0, 0.43%, 0.0000800%), (T, 0, 0.42%, 0.0004224%), (DE, 0, 0.41%, 0.0001417%), (QCOM, 0, 0.40%, 0.0000968%), (BLK, 0, 0.38%, 0.0000930%), (VZ, 0, 0.38%, 0.0000902%), (MRK, 0, 0.37%, 0.0000842%), (MDT, 0, 0.37%, 0.0001324%), (UNP, 0, 0.36%, 0.0001175%), (ADBE, 0, 0.36%, 0.0001070%), (C, 0, 0.36%, 0.0000839%), (COP, 0, 0.36%, 0.0001311%), (TXN, 0, 0.36%, 0.0000944%), (AMAT, 0, 0.35%, 0.0000973%), (LMT, 0, 0.35%, 0.0001370%), (SPGI, 0, 0.35%, 0.0001037%), (ACN, 0, 0.34%, 0.0001023%), (TMO, 0, 0.33%, 0.0000849%), (DIS, 0, 0.33%, 0.0000721%), (SCHW, 0, 0.32%, 0.0000815%), (INTC, 0, 0.30%, 0.0000872%), (SBUX, 0, 0.30%, 0.0001385%), (MMM, 0, 0.29%, 0.0001542%), (CVS, 0, 0.29%, 0.0001318%), (AMGN, 0, 0.28%, 0.0000830%), (TJX, 0, 0.28%, 0.0000768%), (GILD, 0, 0.26%, 0.0000834%), (PFE, 0, 0.26%, 0.0000832%), (EMR, 0, 0.25%, 0.0001525%), (LOW, 0, 0.25%, 0.0000767%), (MO, 0, 0.25%, 0.0000992%), (ELV, 0, 0.22%, 0.0001381%), (DHR, 0, 0.22%, 0.0000756%), (CMCSA, 0, 0.20%, 0.0000752%), (MDLZ, 0, 0.19%, 0.0001018%), (BMY, 0, 0.17%, 0.0000828%), (UPS, 0, 0.16%, 0.0001143%), (PYPL, 0, 0.15%, 0.0001061%), (USB, 0, 0.14%, 0.0000818%), (FDX, 0, 0.14%, 0.0001093%), (CL, 0, 0.13%, 0.0000907%), (TGT, 0, 0.07%, 0.0000779%), (nan, 0, -0.00%, 0.0000000%), (nan, 0, -0.00%, 0.0000000%)</t>
  </si>
  <si>
    <t>(AMZN, 0, 3.61%, 0.0000240%), (AVGO, 0, 3.45%, 0.0000336%), (META, 0, 2.73%, 0.0000259%), (BRK/B, 0, 2.09%, 0.0000475%), (TSLA, 0, 2.06%, 0.0000227%), (CSCO, 0, 1.74%, 0.0001007%), (LIN, 0, 1.73%, 0.0001206%), (JPM, 0, 1.68%, 0.0000302%), (XOM, 0, 1.49%, 0.0000471%), (AMT, 0, 1.43%, 0.0002439%), (V, 0, 1.34%, 0.0000364%), (CB, 0, 1.13%, 0.0001601%), (GE, 0, 1.13%, 0.0000557%), (ORCL, 0, 1.11%, 0.0000207%), (LLY, 0, 1.10%, 0.0000251%), (MA, 0, 1.07%, 0.0000329%), (WM, 0, 0.99%, 0.0001752%), (UNH, 0, 0.98%, 0.0000486%), (PLTR, 0, 0.87%, 0.0000332%), (NEE, 0, 0.86%, 0.0000871%), (NFLX, 0, 0.86%, 0.0000260%), (JNJ, 0, 0.83%, 0.0000300%), (WMT, 0, 0.80%, 0.0000151%), (CVX, 0, 0.79%, 0.0000373%), (CAT, 0, 0.78%, 0.0000559%), (COST, 0, 0.75%, 0.0000278%), (ABBV, 0, 0.75%, 0.0000301%), (PG, 0, 0.75%, 0.0000326%), (RTX, 0, 0.75%, 0.0000539%), (HD, 0, 0.72%, 0.0000273%), (ABT, 0, 0.71%, 0.0000477%), (MCD, 0, 0.70%, 0.0000503%), (BAC, 0, 0.66%, 0.0000266%), (BKNG, 0, 0.61%, 0.0000527%), (IBM, 0, 0.61%, 0.0000364%), (KO, 0, 0.59%, 0.0000320%), (PM, 0, 0.58%, 0.0000355%), (SO, 0, 0.58%, 0.0000879%), (GS, 0, 0.58%, 0.0000373%), (AMD, 0, 0.57%, 0.0000340%), (BA, 0, 0.56%, 0.0000534%), (UBER, 0, 0.55%, 0.0000420%), (CRM, 0, 0.55%, 0.0000370%), (DUK, 0, 0.54%, 0.0000876%), (WFC, 0, 0.54%, 0.0000307%), (NKE, 0, 0.53%, 0.0000988%), (MET, 0, 0.51%, 0.0001471%), (ETN, 0, 0.51%, 0.0000552%), (ISRG, 0, 0.48%, 0.0000480%), (HON, 0, 0.47%, 0.0000556%), (INTU, 0, 0.46%, 0.0000369%), (MS, 0, 0.46%, 0.0000278%), (NOW, 0, 0.45%, 0.0000365%), (PEP, 0, 0.44%, 0.0000356%), (AXP, 0, 0.44%, 0.0000289%), (T, 0, 0.43%, 0.0001526%), (DE, 0, 0.42%, 0.0000510%), (QCOM, 0, 0.41%, 0.0000349%), (BLK, 0, 0.39%, 0.0000336%), (VZ, 0, 0.39%, 0.0000326%), (MRK, 0, 0.38%, 0.0000304%), (MDT, 0, 0.37%, 0.0000478%), (ADBE, 0, 0.37%, 0.0000387%), (UNP, 0, 0.37%, 0.0000425%), (C, 0, 0.37%, 0.0000303%), (COP, 0, 0.37%, 0.0000473%), (TXN, 0, 0.36%, 0.0000341%), (LMT, 0, 0.36%, 0.0000497%), (SPGI, 0, 0.36%, 0.0000376%), (AMAT, 0, 0.36%, 0.0000351%), (ACN, 0, 0.35%, 0.0000369%), (TMO, 0, 0.34%, 0.0000306%), (DIS, 0, 0.34%, 0.0000260%), (SCHW, 0, 0.33%, 0.0000295%), (INTC, 0, 0.31%, 0.0000315%), (SBUX, 0, 0.31%, 0.0000501%), (MMM, 0, 0.29%, 0.0000557%), (CVS, 0, 0.29%, 0.0000476%), (AMGN, 0, 0.28%, 0.0000299%), (TJX, 0, 0.28%, 0.0000278%), (GILD, 0, 0.27%, 0.0000301%), (PFE, 0, 0.26%, 0.0000301%), (EMR, 0, 0.26%, 0.0000551%), (LOW, 0, 0.26%, 0.0000276%), (MO, 0, 0.25%, 0.0000358%), (ELV, 0, 0.23%, 0.0000499%), (DHR, 0, 0.23%, 0.0000273%), (CMCSA, 0, 0.20%, 0.0000271%), (MDLZ, 0, 0.19%, 0.0000367%), (BMY, 0, 0.17%, 0.0000299%), (UPS, 0, 0.16%, 0.0000413%), (PYPL, 0, 0.15%, 0.0000384%), (USB, 0, 0.15%, 0.0000296%), (FDX, 0, 0.14%, 0.0000394%), (CL, 0, 0.14%, 0.0000328%), (TGT, 0, 0.07%, 0.0000282%), (nan, 0, -0.00%, 0.0000000%), (nan, 0, -0.00%, 0.0000000%)</t>
  </si>
  <si>
    <t>(AMZN, 0, 3.82%, 0.0000571%), (AVGO, 0, 3.64%, 0.0000801%), (META, 0, 2.88%, 0.0000617%), (BRK/B, 0, 2.22%, 0.0001134%), (TSLA, 0, 2.18%, 0.0000540%), (CSCO, 0, 1.84%, 0.0002400%), (LIN, 0, 1.82%, 0.0002874%), (JPM, 0, 1.78%, 0.0000720%), (XOM, 0, 1.58%, 0.0001124%), (AMT, 0, 1.51%, 0.0005819%), (V, 0, 1.41%, 0.0000867%), (CB, 0, 1.20%, 0.0003819%), (GE, 0, 1.19%, 0.0001328%), (ORCL, 0, 1.18%, 0.0000495%), (LLY, 0, 1.16%, 0.0000597%), (MA, 0, 1.14%, 0.0000784%), (WM, 0, 1.05%, 0.0004180%), (UNH, 0, 1.03%, 0.0001158%), (PLTR, 0, 0.92%, 0.0000791%), (NEE, 0, 0.91%, 0.0002077%), (NFLX, 0, 0.91%, 0.0000621%), (JNJ, 0, 0.88%, 0.0000716%), (WMT, 0, 0.85%, 0.0000360%), (CVX, 0, 0.83%, 0.0000889%), (CAT, 0, 0.83%, 0.0001334%), (ABBV, 0, 0.79%, 0.0000716%), (PG, 0, 0.79%, 0.0000776%), (COST, 0, 0.79%, 0.0000661%), (RTX, 0, 0.79%, 0.0001286%), (HD, 0, 0.76%, 0.0000651%), (ABT, 0, 0.76%, 0.0001137%), (MCD, 0, 0.74%, 0.0001201%), (BAC, 0, 0.70%, 0.0000633%), (IBM, 0, 0.65%, 0.0000868%), (BKNG, 0, 0.64%, 0.0001241%), (KO, 0, 0.62%, 0.0000762%), (PM, 0, 0.62%, 0.0000845%), (SO, 0, 0.62%, 0.0002094%), (GS, 0, 0.61%, 0.0000894%), (AMD, 0, 0.60%, 0.0000810%), (BA, 0, 0.59%, 0.0001274%), (UBER, 0, 0.58%, 0.0001000%), (CRM, 0, 0.58%, 0.0000881%), (DUK, 0, 0.57%, 0.0002091%), (WFC, 0, 0.57%, 0.0000730%), (NKE, 0, 0.56%, 0.0002355%), (MET, 0, 0.54%, 0.0003507%), (ETN, 0, 0.54%, 0.0001315%), (ISRG, 0, 0.51%, 0.0001145%), (HON, 0, 0.50%, 0.0001326%), (INTU, 0, 0.49%, 0.0000882%), (MS, 0, 0.48%, 0.0000663%), (NOW, 0, 0.48%, 0.0000870%), (PEP, 0, 0.47%, 0.0000848%), (AXP, 0, 0.46%, 0.0000688%), (T, 0, 0.45%, 0.0003637%), (DE, 0, 0.44%, 0.0001217%), (QCOM, 0, 0.44%, 0.0000833%), (BLK, 0, 0.41%, 0.0000801%), (VZ, 0, 0.41%, 0.0000777%), (MRK, 0, 0.40%, 0.0000725%), (MDT, 0, 0.40%, 0.0001140%), (UNP, 0, 0.39%, 0.0001012%), (ADBE, 0, 0.39%, 0.0000922%), (C, 0, 0.39%, 0.0000722%), (COP, 0, 0.39%, 0.0001129%), (TXN, 0, 0.38%, 0.0000813%), (SPGI, 0, 0.38%, 0.0000895%), (AMAT, 0, 0.38%, 0.0000837%), (LMT, 0, 0.38%, 0.0001180%), (ACN, 0, 0.37%, 0.0000880%), (TMO, 0, 0.36%, 0.0000732%), (DIS, 0, 0.36%, 0.0000621%), (SCHW, 0, 0.35%, 0.0000702%), (INTC, 0, 0.33%, 0.0000751%), (SBUX, 0, 0.33%, 0.0001192%), (MMM, 0, 0.31%, 0.0001327%), (CVS, 0, 0.31%, 0.0001136%), (AMGN, 0, 0.30%, 0.0000715%), (TJX, 0, 0.30%, 0.0000661%), (GILD, 0, 0.28%, 0.0000718%), (PFE, 0, 0.28%, 0.0000717%), (EMR, 0, 0.27%, 0.0001311%), (LOW, 0, 0.27%, 0.0000660%), (MO, 0, 0.27%, 0.0000854%), (ELV, 0, 0.24%, 0.0001188%), (DHR, 0, 0.24%, 0.0000651%), (CMCSA, 0, 0.21%, 0.0000647%), (MDLZ, 0, 0.20%, 0.0000877%), (BMY, 0, 0.18%, 0.0000713%), (UPS, 0, 0.17%, 0.0000984%), (PYPL, 0, 0.16%, 0.0000914%), (USB, 0, 0.15%, 0.0000705%), (FDX, 0, 0.15%, 0.0000945%), (CL, 0, 0.14%, 0.0000780%), (TGT, 0, 0.08%, 0.0000671%), (nan, 0, -0.00%, 0.0000000%), (nan, 0, -0.00%, 0.0000000%)</t>
  </si>
  <si>
    <t>KLAC, GOOGLE, EBAY, NVDA, AMAT, BK, MLI, BKR, JPM, META, MSFT</t>
  </si>
  <si>
    <t>(WSM, 0, 1.95%, 0.0043764%), (LRCX, 0, 1.94%, 0.0006635%), (PHM, 0, 1.93%, 0.0042274%), (AXP, 0, 1.91%, 0.0004487%), (EWBC, 0, 1.87%, 0.0069140%), (RJF, 0, 1.86%, 0.0029837%), (BKNG, 0, 1.82%, 0.0005553%), (HIG, 0, 1.81%, 0.0027138%), (ROST, 0, 1.78%, 0.0020097%), (TRV, 0, 1.77%, 0.0015924%), (SNA, 0, 1.72%, 0.0054069%), (UNM, 0, 1.72%, 0.0072402%), (CB, 0, 1.68%, 0.0008449%), (V, 0, 1.67%, 0.0001613%), (MPWR, 0, 1.66%, 0.0021340%), (ADP, 0, 1.60%, 0.0007529%), (GE, 0, 1.60%, 0.0002801%), (PCAR, 0, 1.59%, 0.0017428%), (EA, 0, 1.48%, 0.0019378%), (CRM, 0, 1.47%, 0.0003514%), (BLK, 0, 1.47%, 0.0004533%), (CTSH, 0, 1.46%, 0.0024987%), (SYF, 0, 1.45%, 0.0029711%), (AAPL, 0, 1.43%, 0.0000207%), (STT, 0, 1.43%, 0.0024614%), (QCOM, 0, 1.40%, 0.0004213%), (PNC, 0, 1.37%, 0.0009454%), (ABT, 0, 1.28%, 0.0003032%), (ACN, 0, 1.28%, 0.0004841%), (LEN, 0, 1.23%, 0.0024316%), (ELV, 0, 1.02%, 0.0007933%), (GEV, 0, 0.98%, 0.0003280%), (DHI, 0, 0.98%, 0.0011047%), (ACM, 0, 0.95%, 0.0030805%), (MA, 0, 0.91%, 0.0000985%), (ALL, 0, 0.89%, 0.0008801%), (AFL, 0, 0.84%, 0.0007907%), (COST, 0, 0.84%, 0.0001103%), (PAYC, 0, 0.82%, 0.0036180%), (AMP, 0, 0.82%, 0.0009816%), (PGR, 0, 0.80%, 0.0003098%), (ODFL, 0, 0.69%, 0.0012933%), (NTRS, 0, 0.52%, 0.0011469%), (CSCO, 0, 0.50%, 0.0001030%), (BAC, 0, 0.47%, 0.0000674%), (JNJ, 0, 0.47%, 0.0000603%), (FOXA, 0, 0.46%, 0.0020359%), (MET, 0, 0.45%, 0.0004680%), (VLTO, 0, 0.45%, 0.0009605%), (RMD, 0, 0.45%, 0.0006317%), (COKE, 0, 0.45%, 0.0028646%), (CF, 0, 0.44%, 0.0016602%), (MTB, 0, 0.44%, 0.0007853%), (LNC, 0, 0.43%, 0.0031231%), (XOM, 0, 0.43%, 0.0000479%), (WTFC, 0, 0.42%, 0.0026093%), (CINF, 0, 0.42%, 0.0009672%), (MCK, 0, 0.42%, 0.0002516%), (EQH, 0, 0.40%, 0.0014038%), (EG, 0, 0.39%, 0.0014810%), (EOG, 0, 0.39%, 0.0003313%), (DOV, 0, 0.38%, 0.0009245%), (CSL, 0, 0.31%, 0.0012636%)</t>
  </si>
  <si>
    <t>(AMZN, 0, 3.51%, 0.0000610%), (AVGO, 0, 3.34%, 0.0000855%), (META, 0, 2.65%, 0.0000658%), (BRK/B, 0, 2.03%, 0.0001211%), (TSLA, 0, 2.00%, 0.0000577%), (CSCO, 0, 1.69%, 0.0002563%), (LIN, 0, 1.67%, 0.0003071%), (JPM, 0, 1.63%, 0.0000768%), (XOM, 0, 1.45%, 0.0001200%), (AMT, 0, 1.39%, 0.0006212%), (V, 0, 1.30%, 0.0000926%), (CB, 0, 1.10%, 0.0004078%), (GE, 0, 1.10%, 0.0001419%), (ORCL, 0, 1.08%, 0.0000528%), (LLY, 0, 1.06%, 0.0000637%), (MA, 0, 1.04%, 0.0000837%), (WM, 0, 0.96%, 0.0004463%), (UNH, 0, 0.95%, 0.0001236%), (PLTR, 0, 0.85%, 0.0000844%), (NEE, 0, 0.84%, 0.0002217%), (NFLX, 0, 0.84%, 0.0000663%), (JNJ, 0, 0.81%, 0.0000764%), (WMT, 0, 0.78%, 0.0000384%), (CVX, 0, 0.76%, 0.0000950%), (CAT, 0, 0.76%, 0.0001426%), (ABBV, 0, 0.73%, 0.0000765%), (PG, 0, 0.73%, 0.0000829%), (RTX, 0, 0.73%, 0.0001373%), (COST, 0, 0.73%, 0.0000706%), (HD, 0, 0.69%, 0.0000695%), (ABT, 0, 0.69%, 0.0001214%), (MCD, 0, 0.68%, 0.0001282%), (BAC, 0, 0.64%, 0.0000676%), (IBM, 0, 0.59%, 0.0000926%), (BKNG, 0, 0.58%, 0.0001303%), (KO, 0, 0.57%, 0.0000814%), (PM, 0, 0.57%, 0.0000902%), (SO, 0, 0.57%, 0.0002237%), (GS, 0, 0.56%, 0.0000954%), (AMD, 0, 0.55%, 0.0000865%), (BA, 0, 0.54%, 0.0001360%), (UBER, 0, 0.54%, 0.0001067%), (CRM, 0, 0.53%, 0.0000941%), (DUK, 0, 0.52%, 0.0002233%), (WFC, 0, 0.52%, 0.0000780%), (NKE, 0, 0.51%, 0.0002516%), (MET, 0, 0.49%, 0.0003744%), (ETN, 0, 0.49%, 0.0001403%), (ISRG, 0, 0.47%, 0.0001224%), (HON, 0, 0.46%, 0.0001416%), (INTU, 0, 0.45%, 0.0000943%), (MS, 0, 0.44%, 0.0000707%), (NOW, 0, 0.44%, 0.0000928%), (PEP, 0, 0.43%, 0.0000906%), (AXP, 0, 0.42%, 0.0000736%), (T, 0, 0.42%, 0.0003884%), (DE, 0, 0.40%, 0.0001302%), (QCOM, 0, 0.40%, 0.0000890%), (BLK, 0, 0.38%, 0.0000859%), (VZ, 0, 0.37%, 0.0000830%), (MRK, 0, 0.37%, 0.0000774%), (MDT, 0, 0.36%, 0.0001217%), (UNP, 0, 0.36%, 0.0001081%), (ADBE, 0, 0.36%, 0.0000984%), (C, 0, 0.36%, 0.0000771%), (COP, 0, 0.35%, 0.0001205%), (TXN, 0, 0.35%, 0.0000868%), (AMAT, 0, 0.35%, 0.0000895%), (LMT, 0, 0.35%, 0.0001262%), (SPGI, 0, 0.35%, 0.0000954%), (ACN, 0, 0.34%, 0.0000939%), (TMO, 0, 0.33%, 0.0000783%), (DIS, 0, 0.33%, 0.0000663%), (SCHW, 0, 0.32%, 0.0000750%), (INTC, 0, 0.30%, 0.0000802%), (SBUX, 0, 0.30%, 0.0001273%), (MMM, 0, 0.28%, 0.0001417%), (CVS, 0, 0.28%, 0.0001212%), (AMGN, 0, 0.27%, 0.0000763%), (TJX, 0, 0.27%, 0.0000706%), (GILD, 0, 0.26%, 0.0000767%), (PFE, 0, 0.25%, 0.0000765%), (EMR, 0, 0.25%, 0.0001400%), (LOW, 0, 0.25%, 0.0000704%), (MO, 0, 0.25%, 0.0000912%), (ELV, 0, 0.22%, 0.0001269%), (DHR, 0, 0.22%, 0.0000695%), (CMCSA, 0, 0.20%, 0.0000691%), (MDLZ, 0, 0.19%, 0.0000936%), (BMY, 0, 0.17%, 0.0000761%), (UPS, 0, 0.16%, 0.0001050%), (PYPL, 0, 0.15%, 0.0000976%), (USB, 0, 0.14%, 0.0000752%), (FDX, 0, 0.14%, 0.0001009%), (CL, 0, 0.13%, 0.0000834%), (TGT, 0, 0.07%, 0.0000715%), (nan, 0, -0.00%, 0.0000000%), (nan, 0, -0.00%, 0.0000000%)</t>
  </si>
  <si>
    <t>(AMZN, 0, 3.67%, 0.0001248%), (AVGO, 0, 3.49%, 0.0001748%), (META, 0, 2.77%, 0.0001346%), (BRK/B, 0, 2.13%, 0.0002475%), (TSLA, 0, 2.09%, 0.0001180%), (CSCO, 0, 1.78%, 0.0005261%), (LIN, 0, 1.75%, 0.0006277%), (JPM, 0, 1.71%, 0.0001571%), (XOM, 0, 1.51%, 0.0002453%), (AMT, 0, 1.45%, 0.0012701%), (V, 0, 1.36%, 0.0001893%), (CB, 0, 1.15%, 0.0008337%), (GE, 0, 1.15%, 0.0002901%), (ORCL, 0, 1.13%, 0.0001080%), (LLY, 0, 1.11%, 0.0001302%), (MA, 0, 1.09%, 0.0001712%), (WM, 0, 1.01%, 0.0009125%), (UNH, 0, 0.99%, 0.0002528%), (PLTR, 0, 0.89%, 0.0001726%), (NEE, 0, 0.88%, 0.0004534%), (NFLX, 0, 0.88%, 0.0001357%), (JNJ, 0, 0.84%, 0.0001562%), (WMT, 0, 0.81%, 0.0000786%), (CVX, 0, 0.80%, 0.0001942%), (CAT, 0, 0.80%, 0.0002914%), (ABBV, 0, 0.76%, 0.0001563%), (PG, 0, 0.76%, 0.0001694%), (RTX, 0, 0.76%, 0.0002807%), (COST, 0, 0.76%, 0.0001442%), (HD, 0, 0.73%, 0.0001423%), (ABT, 0, 0.73%, 0.0002483%), (MCD, 0, 0.71%, 0.0002622%), (BAC, 0, 0.67%, 0.0001383%), (IBM, 0, 0.62%, 0.0001895%), (BKNG, 0, 0.60%, 0.0002668%), (KO, 0, 0.60%, 0.0001664%), (PM, 0, 0.59%, 0.0001844%), (SO, 0, 0.59%, 0.0004573%), (GS, 0, 0.58%, 0.0001947%), (AMD, 0, 0.58%, 0.0001767%), (BA, 0, 0.57%, 0.0002780%), (UBER, 0, 0.56%, 0.0002183%), (CRM, 0, 0.56%, 0.0001923%), (DUK, 0, 0.55%, 0.0004565%), (WFC, 0, 0.54%, 0.0001595%), (NKE, 0, 0.53%, 0.0005142%), (MET, 0, 0.52%, 0.0007655%), (ETN, 0, 0.51%, 0.0002869%), (ISRG, 0, 0.49%, 0.0002499%), (HON, 0, 0.48%, 0.0002895%), (INTU, 0, 0.47%, 0.0001926%), (MS, 0, 0.46%, 0.0001446%), (NOW, 0, 0.46%, 0.0001899%), (PEP, 0, 0.45%, 0.0001853%), (AXP, 0, 0.44%, 0.0001504%), (T, 0, 0.43%, 0.0007941%), (DE, 0, 0.42%, 0.0002660%), (QCOM, 0, 0.42%, 0.0001820%), (BLK, 0, 0.39%, 0.0001750%), (VZ, 0, 0.39%, 0.0001696%), (MRK, 0, 0.39%, 0.0001583%), (MDT, 0, 0.38%, 0.0002489%), (UNP, 0, 0.38%, 0.0002210%), (ADBE, 0, 0.38%, 0.0002014%), (C, 0, 0.37%, 0.0001576%), (COP, 0, 0.37%, 0.0002464%), (TXN, 0, 0.37%, 0.0001774%), (AMAT, 0, 0.36%, 0.0001829%), (LMT, 0, 0.36%, 0.0002576%), (SPGI, 0, 0.36%, 0.0001952%), (ACN, 0, 0.35%, 0.0001922%), (TMO, 0, 0.35%, 0.0001597%), (DIS, 0, 0.35%, 0.0001355%), (SCHW, 0, 0.33%, 0.0001533%), (INTC, 0, 0.32%, 0.0001639%), (SBUX, 0, 0.31%, 0.0002603%), (MMM, 0, 0.30%, 0.0002897%), (CVS, 0, 0.30%, 0.0002477%), (AMGN, 0, 0.29%, 0.0001560%), (TJX, 0, 0.29%, 0.0001444%), (GILD, 0, 0.27%, 0.0001568%), (PFE, 0, 0.26%, 0.0001564%), (EMR, 0, 0.26%, 0.0002864%), (LOW, 0, 0.26%, 0.0001441%), (MO, 0, 0.26%, 0.0001865%), (ELV, 0, 0.23%, 0.0002596%), (DHR, 0, 0.23%, 0.0001423%), (CMCSA, 0, 0.20%, 0.0001413%), (MDLZ, 0, 0.19%, 0.0001913%), (BMY, 0, 0.17%, 0.0001557%), (UPS, 0, 0.16%, 0.0002148%), (PYPL, 0, 0.16%, 0.0001994%), (USB, 0, 0.15%, 0.0001538%), (FDX, 0, 0.14%, 0.0002060%), (CL, 0, 0.14%, 0.0001705%), (TGT, 0, 0.07%, 0.0001463%), (nan, 0, -0.00%, 0.0000000%), (nan, 0, -0.00%, 0.0000000%)</t>
  </si>
  <si>
    <t>(AMZN, 0, 3.46%, 0.0002491%), (AVGO, 0, 3.30%, 0.0003490%), (META, 0, 2.61%, 0.0002688%), (BRK/B, 0, 2.01%, 0.0004941%), (TSLA, 0, 1.97%, 0.0002356%), (CSCO, 0, 1.68%, 0.0010515%), (LIN, 0, 1.65%, 0.0012532%), (JPM, 0, 1.61%, 0.0003137%), (XOM, 0, 1.43%, 0.0004922%), (AMT, 0, 1.37%, 0.0025360%), (V, 0, 1.28%, 0.0003781%), (CB, 0, 1.09%, 0.0016648%), (GE, 0, 1.08%, 0.0005792%), (ORCL, 0, 1.07%, 0.0002156%), (LLY, 0, 1.05%, 0.0002601%), (MA, 0, 1.03%, 0.0003418%), (WM, 0, 0.95%, 0.0018217%), (UNH, 0, 0.93%, 0.0005048%), (PLTR, 0, 0.83%, 0.0003446%), (NEE, 0, 0.83%, 0.0009098%), (NFLX, 0, 0.83%, 0.0002709%), (JNJ, 0, 0.79%, 0.0003118%), (WMT, 0, 0.77%, 0.0001569%), (CVX, 0, 0.75%, 0.0003878%), (CAT, 0, 0.75%, 0.0005817%), (ABBV, 0, 0.72%, 0.0003122%), (PG, 0, 0.72%, 0.0003383%), (COST, 0, 0.71%, 0.0002881%), (RTX, 0, 0.71%, 0.0005603%), (HD, 0, 0.69%, 0.0002840%), (ABT, 0, 0.68%, 0.0004957%), (MCD, 0, 0.67%, 0.0005235%), (BAC, 0, 0.63%, 0.0002775%), (IBM, 0, 0.59%, 0.0003783%), (BKNG, 0, 0.57%, 0.0005367%), (KO, 0, 0.56%, 0.0003323%), (PM, 0, 0.56%, 0.0003683%), (SO, 0, 0.56%, 0.0009130%), (GS, 0, 0.55%, 0.0003891%), (AMD, 0, 0.55%, 0.0003529%), (BA, 0, 0.54%, 0.0005552%), (UBER, 0, 0.53%, 0.0004358%), (CRM, 0, 0.52%, 0.0003840%), (DUK, 0, 0.52%, 0.0009114%), (WFC, 0, 0.51%, 0.0003184%), (NKE, 0, 0.50%, 0.0010268%), (MET, 0, 0.49%, 0.0015287%), (ETN, 0, 0.48%, 0.0005731%), (ISRG, 0, 0.46%, 0.0004993%), (HON, 0, 0.45%, 0.0005781%), (INTU, 0, 0.44%, 0.0003845%), (MS, 0, 0.44%, 0.0002888%), (NOW, 0, 0.43%, 0.0003788%), (PEP, 0, 0.42%, 0.0003699%), (AXP, 0, 0.42%, 0.0003002%), (T, 0, 0.41%, 0.0015935%), (DE, 0, 0.40%, 0.0005312%), (QCOM, 0, 0.39%, 0.0003634%), (BLK, 0, 0.37%, 0.0003494%), (VZ, 0, 0.37%, 0.0003387%), (MRK, 0, 0.36%, 0.0003160%), (MDT, 0, 0.36%, 0.0004968%), (UNP, 0, 0.36%, 0.0004412%), (ADBE, 0, 0.35%, 0.0004021%), (C, 0, 0.35%, 0.0003148%), (COP, 0, 0.35%, 0.0004920%), (TXN, 0, 0.35%, 0.0003543%), (LMT, 0, 0.34%, 0.0005147%), (SPGI, 0, 0.34%, 0.0003897%), (AMAT, 0, 0.34%, 0.0003652%), (ACN, 0, 0.33%, 0.0003836%), (TMO, 0, 0.33%, 0.0003194%), (DIS, 0, 0.33%, 0.0002705%), (SCHW, 0, 0.31%, 0.0003061%), (INTC, 0, 0.30%, 0.0003272%), (SBUX, 0, 0.29%, 0.0005198%), (MMM, 0, 0.28%, 0.0005787%), (CVS, 0, 0.28%, 0.0004951%), (AMGN, 0, 0.27%, 0.0003115%), (TJX, 0, 0.27%, 0.0002884%), (GILD, 0, 0.26%, 0.0003131%), (PFE, 0, 0.25%, 0.0003126%), (EMR, 0, 0.25%, 0.0005720%), (LOW, 0, 0.25%, 0.0002878%), (MO, 0, 0.24%, 0.0003723%), (ELV, 0, 0.22%, 0.0005188%), (DHR, 0, 0.22%, 0.0002840%), (CMCSA, 0, 0.19%, 0.0002821%), (MDLZ, 0, 0.18%, 0.0003821%), (BMY, 0, 0.16%, 0.0003109%), (UPS, 0, 0.16%, 0.0004289%), (PYPL, 0, 0.15%, 0.0003982%), (USB, 0, 0.14%, 0.0003072%), (FDX, 0, 0.14%, 0.0004111%), (CL, 0, 0.13%, 0.0003403%), (TGT, 0, 0.07%, 0.0002920%), (nan, 0, -0.00%, 0.0000000%), (nan, 0, -0.00%, 0.0000000%)</t>
  </si>
  <si>
    <t>(AMZN, 0, 3.41%, 0.0000362%), (AVGO, 0, 3.21%, 0.0000507%), (META, 0, 2.54%, 0.0000390%), (TSLA, 0, 1.99%, 0.0000342%), (BRK/B, 0, 1.98%, 0.0000717%), (CSCO, 0, 1.62%, 0.0001519%), (LIN, 0, 1.62%, 0.0001818%), (JPM, 0, 1.59%, 0.0000455%), (XOM, 0, 1.41%, 0.0000711%), (AMT, 0, 1.34%, 0.0003680%), (V, 0, 1.26%, 0.0000549%), (CB, 0, 1.07%, 0.0002416%), (GE, 0, 1.05%, 0.0000841%), (LLY, 0, 1.04%, 0.0000378%), (ORCL, 0, 1.02%, 0.0000313%), (MA, 0, 1.00%, 0.0000496%), (WM, 0, 0.94%, 0.0002644%), (UNH, 0, 0.91%, 0.0000733%), (NEE, 0, 0.82%, 0.0001314%), (NFLX, 0, 0.81%, 0.0000394%), (PLTR, 0, 0.81%, 0.0000500%), (JNJ, 0, 0.78%, 0.0000453%), (WMT, 0, 0.75%, 0.0000228%), (CAT, 0, 0.74%, 0.0000845%), (CVX, 0, 0.74%, 0.0000563%), (ABBV, 0, 0.71%, 0.0000453%), (RTX, 0, 0.71%, 0.0000813%), (PG, 0, 0.70%, 0.0000491%), (COST, 0, 0.68%, 0.0000417%), (HD, 0, 0.68%, 0.0000412%), (ABT, 0, 0.67%, 0.0000719%), (MCD, 0, 0.66%, 0.0000760%), (BAC, 0, 0.62%, 0.0000401%), (IBM, 0, 0.58%, 0.0000549%), (BKNG, 0, 0.56%, 0.0000776%), (SO, 0, 0.55%, 0.0001325%), (PM, 0, 0.55%, 0.0000534%), (KO, 0, 0.55%, 0.0000482%), (GS, 0, 0.54%, 0.0000563%), (BA, 0, 0.54%, 0.0000805%), (AMD, 0, 0.53%, 0.0000512%), (UBER, 0, 0.52%, 0.0000632%), (CRM, 0, 0.52%, 0.0000558%), (DUK, 0, 0.51%, 0.0001323%), (WFC, 0, 0.51%, 0.0000462%), (NKE, 0, 0.49%, 0.0001490%), (MET, 0, 0.48%, 0.0002218%), (ETN, 0, 0.48%, 0.0000832%), (ISRG, 0, 0.45%, 0.0000725%), (HON, 0, 0.45%, 0.0000840%), (INTU, 0, 0.44%, 0.0000560%), (MS, 0, 0.43%, 0.0000419%), (NOW, 0, 0.43%, 0.0000548%), (PEP, 0, 0.41%, 0.0000537%), (AXP, 0, 0.41%, 0.0000436%), (T, 0, 0.40%, 0.0002301%), (DE, 0, 0.39%, 0.0000769%), (QCOM, 0, 0.39%, 0.0000527%), (BLK, 0, 0.37%, 0.0000510%), (VZ, 0, 0.36%, 0.0000492%), (MRK, 0, 0.36%, 0.0000459%), (UNP, 0, 0.35%, 0.0000641%), (ADBE, 0, 0.35%, 0.0000583%), (MDT, 0, 0.35%, 0.0000721%), (C, 0, 0.35%, 0.0000457%), (COP, 0, 0.35%, 0.0000714%), (TXN, 0, 0.34%, 0.0000514%), (AMAT, 0, 0.34%, 0.0000530%), (LMT, 0, 0.34%, 0.0000748%), (SPGI, 0, 0.33%, 0.0000565%), (ACN, 0, 0.33%, 0.0000557%), (TMO, 0, 0.32%, 0.0000460%), (DIS, 0, 0.32%, 0.0000393%), (SCHW, 0, 0.31%, 0.0000444%), (INTC, 0, 0.30%, 0.0000475%), (SBUX, 0, 0.29%, 0.0000755%), (CVS, 0, 0.28%, 0.0000718%), (MMM, 0, 0.27%, 0.0000840%), (TJX, 0, 0.27%, 0.0000419%), (AMGN, 0, 0.27%, 0.0000451%), (GILD, 0, 0.25%, 0.0000454%), (PFE, 0, 0.25%, 0.0000453%), (LOW, 0, 0.24%, 0.0000417%), (EMR, 0, 0.24%, 0.0000830%), (MO, 0, 0.24%, 0.0000540%), (DHR, 0, 0.22%, 0.0000412%), (ELV, 0, 0.21%, 0.0000751%), (CMCSA, 0, 0.19%, 0.0000409%), (MDLZ, 0, 0.18%, 0.0000555%), (BMY, 0, 0.16%, 0.0000451%), (UPS, 0, 0.15%, 0.0000622%), (PYPL, 0, 0.15%, 0.0000578%), (USB, 0, 0.14%, 0.0000446%), (FDX, 0, 0.13%, 0.0000598%), (CL, 0, 0.13%, 0.0000494%), (TGT, 0, 0.07%, 0.0000425%), (nan, 0, -0.00%, 0.0000000%), (nan, 0, -0.00%, 0.0000000%)</t>
  </si>
  <si>
    <t>(AMZN, 0, 3.70%, 0.0002157%), (AVGO, 0, 3.48%, 0.0003022%), (META, 0, 2.75%, 0.0002327%), (TSLA, 0, 2.16%, 0.0002039%), (BRK/B, 0, 2.14%, 0.0004278%), (CSCO, 0, 1.76%, 0.0009103%), (LIN, 0, 1.75%, 0.0010849%), (JPM, 0, 1.72%, 0.0002716%), (XOM, 0, 1.54%, 0.0004261%), (AMT, 0, 1.46%, 0.0021955%), (V, 0, 1.37%, 0.0003273%), (CB, 0, 1.16%, 0.0014412%), (GE, 0, 1.14%, 0.0005014%), (LLY, 0, 1.13%, 0.0002252%), (ORCL, 0, 1.10%, 0.0001866%), (MA, 0, 1.09%, 0.0002959%), (WM, 0, 1.01%, 0.0015769%), (UNH, 0, 0.99%, 0.0004371%), (NEE, 0, 0.89%, 0.0007876%), (PLTR, 0, 0.88%, 0.0002983%), (NFLX, 0, 0.88%, 0.0002346%), (JNJ, 0, 0.85%, 0.0002700%), (WMT, 0, 0.81%, 0.0001358%), (CAT, 0, 0.80%, 0.0005035%), (CVX, 0, 0.80%, 0.0003357%), (ABBV, 0, 0.77%, 0.0002702%), (RTX, 0, 0.77%, 0.0004851%), (PG, 0, 0.76%, 0.0002929%), (COST, 0, 0.74%, 0.0002493%), (HD, 0, 0.73%, 0.0002458%), (ABT, 0, 0.73%, 0.0004291%), (MCD, 0, 0.72%, 0.0004532%), (BAC, 0, 0.68%, 0.0002402%), (IBM, 0, 0.62%, 0.0003275%), (BKNG, 0, 0.60%, 0.0004622%), (SO, 0, 0.60%, 0.0007904%), (PM, 0, 0.59%, 0.0003188%), (KO, 0, 0.59%, 0.0002877%), (GS, 0, 0.59%, 0.0003367%), (BA, 0, 0.58%, 0.0004806%), (AMD, 0, 0.57%, 0.0003055%), (UBER, 0, 0.57%, 0.0003773%), (CRM, 0, 0.56%, 0.0003325%), (DUK, 0, 0.55%, 0.0007890%), (WFC, 0, 0.55%, 0.0002757%), (NKE, 0, 0.53%, 0.0008889%), (MET, 0, 0.52%, 0.0013233%), (ETN, 0, 0.52%, 0.0004960%), (ISRG, 0, 0.49%, 0.0004322%), (HON, 0, 0.48%, 0.0005004%), (INTU, 0, 0.47%, 0.0003328%), (MS, 0, 0.47%, 0.0002500%), (NOW, 0, 0.47%, 0.0003279%), (PEP, 0, 0.45%, 0.0003203%), (AXP, 0, 0.45%, 0.0002599%), (T, 0, 0.44%, 0.0013796%), (DE, 0, 0.42%, 0.0004598%), (QCOM, 0, 0.42%, 0.0003146%), (BLK, 0, 0.39%, 0.0003022%), (VZ, 0, 0.39%, 0.0002932%), (MRK, 0, 0.39%, 0.0002736%), (ADBE, 0, 0.38%, 0.0003481%), (UNP, 0, 0.38%, 0.0003819%), (MDT, 0, 0.38%, 0.0004301%), (C, 0, 0.38%, 0.0002725%), (COP, 0, 0.37%, 0.0004260%), (TXN, 0, 0.37%, 0.0003067%), (AMAT, 0, 0.37%, 0.0003162%), (LMT, 0, 0.36%, 0.0004456%), (SPGI, 0, 0.36%, 0.0003372%), (ACN, 0, 0.36%, 0.0003320%), (TMO, 0, 0.35%, 0.0002765%), (DIS, 0, 0.35%, 0.0002342%), (SCHW, 0, 0.33%, 0.0002650%), (INTC, 0, 0.32%, 0.0002833%), (SBUX, 0, 0.31%, 0.0004500%), (CVS, 0, 0.30%, 0.0004286%), (MMM, 0, 0.30%, 0.0005009%), (AMGN, 0, 0.29%, 0.0002697%), (TJX, 0, 0.29%, 0.0002496%), (GILD, 0, 0.28%, 0.0002711%), (PFE, 0, 0.27%, 0.0002706%), (LOW, 0, 0.26%, 0.0002491%), (EMR, 0, 0.26%, 0.0004950%), (MO, 0, 0.26%, 0.0003222%), (DHR, 0, 0.23%, 0.0002459%), (ELV, 0, 0.23%, 0.0004491%), (CMCSA, 0, 0.20%, 0.0002442%), (MDLZ, 0, 0.20%, 0.0003308%), (BMY, 0, 0.18%, 0.0002691%), (UPS, 0, 0.17%, 0.0003713%), (PYPL, 0, 0.16%, 0.0003447%), (USB, 0, 0.15%, 0.0002659%), (FDX, 0, 0.14%, 0.0003560%), (CL, 0, 0.14%, 0.0002945%), (TGT, 0, 0.07%, 0.0002529%), (nan, 0, -0.00%, 0.0000000%), (nan, 0, -0.00%, 0.0000000%)</t>
  </si>
  <si>
    <t>(AMZN, 0, 3.69%, 0.0001607%), (AVGO, 0, 3.48%, 0.0002252%), (META, 0, 2.75%, 0.0001734%), (TSLA, 0, 2.16%, 0.0001520%), (BRK/B, 0, 2.14%, 0.0003187%), (CSCO, 0, 1.76%, 0.0006783%), (LIN, 0, 1.75%, 0.0008084%), (JPM, 0, 1.72%, 0.0002024%), (XOM, 0, 1.53%, 0.0003159%), (AMT, 0, 1.46%, 0.0016360%), (V, 0, 1.37%, 0.0002439%), (CB, 0, 1.16%, 0.0010741%), (GE, 0, 1.14%, 0.0003736%), (LLY, 0, 1.12%, 0.0001678%), (ORCL, 0, 1.10%, 0.0001391%), (MA, 0, 1.09%, 0.0002205%), (WM, 0, 1.01%, 0.0011751%), (UNH, 0, 0.99%, 0.0003257%), (NEE, 0, 0.89%, 0.0005840%), (PLTR, 0, 0.88%, 0.0002223%), (NFLX, 0, 0.88%, 0.0001749%), (JNJ, 0, 0.85%, 0.0002012%), (WMT, 0, 0.81%, 0.0001012%), (CAT, 0, 0.80%, 0.0003753%), (CVX, 0, 0.80%, 0.0002502%), (ABBV, 0, 0.77%, 0.0002014%), (RTX, 0, 0.77%, 0.0003615%), (PG, 0, 0.76%, 0.0002183%), (COST, 0, 0.74%, 0.0001859%), (HD, 0, 0.73%, 0.0001831%), (ABT, 0, 0.73%, 0.0003197%), (MCD, 0, 0.72%, 0.0003377%), (BAC, 0, 0.67%, 0.0001781%), (IBM, 0, 0.62%, 0.0002440%), (BKNG, 0, 0.60%, 0.0003444%), (SO, 0, 0.60%, 0.0005890%), (PM, 0, 0.59%, 0.0002376%), (KO, 0, 0.59%, 0.0002144%), (GS, 0, 0.59%, 0.0002511%), (BA, 0, 0.58%, 0.0003581%), (AMD, 0, 0.57%, 0.0002277%), (UBER, 0, 0.56%, 0.0002811%), (CRM, 0, 0.56%, 0.0002477%), (DUK, 0, 0.55%, 0.0005880%), (WFC, 0, 0.55%, 0.0002054%), (NKE, 0, 0.53%, 0.0006624%), (MET, 0, 0.52%, 0.0009861%), (ETN, 0, 0.51%, 0.0003696%), (ISRG, 0, 0.49%, 0.0003221%), (HON, 0, 0.48%, 0.0003730%), (INTU, 0, 0.47%, 0.0002478%), (MS, 0, 0.47%, 0.0001863%), (NOW, 0, 0.47%, 0.0002442%), (PEP, 0, 0.45%, 0.0002386%), (AXP, 0, 0.45%, 0.0001937%), (T, 0, 0.43%, 0.0010228%), (DE, 0, 0.42%, 0.0003429%), (QCOM, 0, 0.42%, 0.0002344%), (BLK, 0, 0.39%, 0.0002254%), (VZ, 0, 0.39%, 0.0002185%), (MRK, 0, 0.39%, 0.0002039%), (ADBE, 0, 0.38%, 0.0002594%), (UNP, 0, 0.38%, 0.0002846%), (MDT, 0, 0.38%, 0.0003205%), (C, 0, 0.38%, 0.0002031%), (COP, 0, 0.37%, 0.0003174%), (TXN, 0, 0.37%, 0.0002286%), (AMAT, 0, 0.37%, 0.0002356%), (LMT, 0, 0.36%, 0.0003319%), (SPGI, 0, 0.36%, 0.0002513%), (ACN, 0, 0.36%, 0.0002474%), (TMO, 0, 0.35%, 0.0002060%), (DIS, 0, 0.35%, 0.0001745%), (SCHW, 0, 0.33%, 0.0001974%), (INTC, 0, 0.32%, 0.0002111%), (SBUX, 0, 0.31%, 0.0003354%), (CVS, 0, 0.30%, 0.0003194%), (MMM, 0, 0.30%, 0.0003733%), (AMGN, 0, 0.29%, 0.0002010%), (TJX, 0, 0.29%, 0.0001860%), (GILD, 0, 0.28%, 0.0002020%), (PFE, 0, 0.27%, 0.0002017%), (LOW, 0, 0.26%, 0.0001856%), (EMR, 0, 0.26%, 0.0003689%), (MO, 0, 0.26%, 0.0002401%), (DHR, 0, 0.23%, 0.0001832%), (ELV, 0, 0.23%, 0.0003343%), (CMCSA, 0, 0.20%, 0.0001820%), (MDLZ, 0, 0.20%, 0.0002464%), (BMY, 0, 0.18%, 0.0002006%), (UPS, 0, 0.17%, 0.0002766%), (PYPL, 0, 0.16%, 0.0002569%), (USB, 0, 0.15%, 0.0001981%), (FDX, 0, 0.14%, 0.0002653%), (CL, 0, 0.14%, 0.0002195%), (TGT, 0, 0.07%, 0.0001884%), (nan, 0, -0.00%, 0.0000000%), (nan, 0, -0.00%, 0.0000000%)</t>
  </si>
  <si>
    <t>(AMZN, 0, 3.74%, 0.0000377%), (AVGO, 0, 3.52%, 0.0000528%), (META, 0, 2.79%, 0.0000407%), (TSLA, 0, 2.19%, 0.0000356%), (BRK/B, 0, 2.17%, 0.0000747%), (CSCO, 0, 1.78%, 0.0001583%), (LIN, 0, 1.77%, 0.0001895%), (JPM, 0, 1.74%, 0.0000475%), (XOM, 0, 1.55%, 0.0000741%), (AMT, 0, 1.47%, 0.0003836%), (V, 0, 1.38%, 0.0000572%), (CB, 0, 1.18%, 0.0002518%), (GE, 0, 1.15%, 0.0000876%), (LLY, 0, 1.14%, 0.0000393%), (ORCL, 0, 1.11%, 0.0000326%), (MA, 0, 1.10%, 0.0000517%), (WM, 0, 1.03%, 0.0002755%), (UNH, 0, 1.00%, 0.0000764%), (NEE, 0, 0.90%, 0.0001369%), (NFLX, 0, 0.89%, 0.0000411%), (PLTR, 0, 0.89%, 0.0000521%), (JNJ, 0, 0.86%, 0.0000472%), (WMT, 0, 0.82%, 0.0000237%), (CAT, 0, 0.81%, 0.0000879%), (CVX, 0, 0.80%, 0.0000587%), (ABBV, 0, 0.78%, 0.0000472%), (RTX, 0, 0.78%, 0.0000847%), (PG, 0, 0.77%, 0.0000512%), (COST, 0, 0.75%, 0.0000435%), (HD, 0, 0.74%, 0.0000430%), (ABT, 0, 0.74%, 0.0000750%), (MCD, 0, 0.73%, 0.0000792%), (BAC, 0, 0.68%, 0.0000418%), (IBM, 0, 0.63%, 0.0000572%), (BKNG, 0, 0.61%, 0.0000807%), (SO, 0, 0.60%, 0.0001381%), (PM, 0, 0.60%, 0.0000557%), (KO, 0, 0.60%, 0.0000503%), (GS, 0, 0.60%, 0.0000587%), (BA, 0, 0.59%, 0.0000839%), (AMD, 0, 0.58%, 0.0000534%), (UBER, 0, 0.57%, 0.0000659%), (CRM, 0, 0.57%, 0.0000581%), (DUK, 0, 0.56%, 0.0001378%), (WFC, 0, 0.55%, 0.0000482%), (NKE, 0, 0.54%, 0.0001553%), (MET, 0, 0.53%, 0.0002313%), (ETN, 0, 0.52%, 0.0000866%), (ISRG, 0, 0.50%, 0.0000756%), (HON, 0, 0.49%, 0.0000874%), (INTU, 0, 0.48%, 0.0000581%), (MS, 0, 0.47%, 0.0000437%), (NOW, 0, 0.47%, 0.0000572%), (PEP, 0, 0.45%, 0.0000559%), (AXP, 0, 0.45%, 0.0000454%), (T, 0, 0.44%, 0.0002399%), (DE, 0, 0.43%, 0.0000803%), (QCOM, 0, 0.42%, 0.0000550%), (BLK, 0, 0.40%, 0.0000530%), (VZ, 0, 0.40%, 0.0000512%), (MRK, 0, 0.40%, 0.0000478%), (ADBE, 0, 0.39%, 0.0000609%), (UNP, 0, 0.39%, 0.0000668%), (MDT, 0, 0.38%, 0.0000752%), (C, 0, 0.38%, 0.0000476%), (COP, 0, 0.38%, 0.0000744%), (TXN, 0, 0.38%, 0.0000536%), (AMAT, 0, 0.37%, 0.0000552%), (SPGI, 0, 0.37%, 0.0000588%), (LMT, 0, 0.37%, 0.0000778%), (ACN, 0, 0.36%, 0.0000580%), (TMO, 0, 0.35%, 0.0000482%), (DIS, 0, 0.35%, 0.0000409%), (SCHW, 0, 0.34%, 0.0000463%), (INTC, 0, 0.33%, 0.0000495%), (SBUX, 0, 0.32%, 0.0000786%), (CVS, 0, 0.30%, 0.0000748%), (MMM, 0, 0.30%, 0.0000875%), (AMGN, 0, 0.29%, 0.0000472%), (TJX, 0, 0.29%, 0.0000436%), (GILD, 0, 0.28%, 0.0000473%), (PFE, 0, 0.27%, 0.0000473%), (LOW, 0, 0.27%, 0.0000435%), (EMR, 0, 0.26%, 0.0000865%), (MO, 0, 0.26%, 0.0000563%), (DHR, 0, 0.24%, 0.0000429%), (ELV, 0, 0.23%, 0.0000783%), (CMCSA, 0, 0.21%, 0.0000427%), (MDLZ, 0, 0.20%, 0.0000578%), (BMY, 0, 0.18%, 0.0000470%), (UPS, 0, 0.17%, 0.0000648%), (PYPL, 0, 0.16%, 0.0000603%), (USB, 0, 0.15%, 0.0000465%), (FDX, 0, 0.15%, 0.0000623%), (CL, 0, 0.14%, 0.0000515%), (TGT, 0, 0.07%, 0.0000442%), (nan, 0, -0.00%, 0.0000000%), (nan, 0, -0.00%, 0.0000000%)</t>
  </si>
  <si>
    <t>(AMZN, 0, 3.56%, 0.0000664%), (AVGO, 0, 3.35%, 0.0000930%), (META, 0, 2.65%, 0.0000716%), (TSLA, 0, 2.08%, 0.0000628%), (BRK/B, 0, 2.07%, 0.0001317%), (CSCO, 0, 1.69%, 0.0002788%), (LIN, 0, 1.69%, 0.0003339%), (JPM, 0, 1.65%, 0.0000836%), (XOM, 0, 1.47%, 0.0001305%), (AMT, 0, 1.40%, 0.0006756%), (V, 0, 1.32%, 0.0001007%), (CB, 0, 1.12%, 0.0004437%), (GE, 0, 1.10%, 0.0001543%), (LLY, 0, 1.08%, 0.0000693%), (ORCL, 0, 1.06%, 0.0000574%), (MA, 0, 1.05%, 0.0000911%), (WM, 0, 0.98%, 0.0004853%), (UNH, 0, 0.95%, 0.0001345%), (NEE, 0, 0.86%, 0.0002412%), (PLTR, 0, 0.85%, 0.0000918%), (NFLX, 0, 0.84%, 0.0000722%), (JNJ, 0, 0.82%, 0.0000831%), (WMT, 0, 0.78%, 0.0000418%), (CAT, 0, 0.77%, 0.0001550%), (CVX, 0, 0.77%, 0.0001033%), (RTX, 0, 0.74%, 0.0001493%), (ABBV, 0, 0.74%, 0.0000832%), (PG, 0, 0.73%, 0.0000901%), (COST, 0, 0.71%, 0.0000767%), (HD, 0, 0.70%, 0.0000756%), (ABT, 0, 0.70%, 0.0001320%), (MCD, 0, 0.69%, 0.0001394%), (BAC, 0, 0.65%, 0.0000736%), (IBM, 0, 0.60%, 0.0001008%), (BKNG, 0, 0.58%, 0.0001427%), (SO, 0, 0.57%, 0.0002432%), (PM, 0, 0.57%, 0.0000981%), (KO, 0, 0.57%, 0.0000885%), (GS, 0, 0.57%, 0.0001037%), (BA, 0, 0.56%, 0.0001479%), (AMD, 0, 0.55%, 0.0000940%), (UBER, 0, 0.54%, 0.0001161%), (CRM, 0, 0.54%, 0.0001023%), (DUK, 0, 0.53%, 0.0002429%), (WFC, 0, 0.53%, 0.0000848%), (NKE, 0, 0.51%, 0.0002736%), (MET, 0, 0.50%, 0.0004072%), (ETN, 0, 0.50%, 0.0001526%), (ISRG, 0, 0.47%, 0.0001331%), (HON, 0, 0.46%, 0.0001540%), (INTU, 0, 0.45%, 0.0001026%), (NOW, 0, 0.45%, 0.0001010%), (MS, 0, 0.45%, 0.0000769%), (PEP, 0, 0.43%, 0.0000986%), (AXP, 0, 0.43%, 0.0000800%), (T, 0, 0.42%, 0.0004224%), (DE, 0, 0.41%, 0.0001417%), (QCOM, 0, 0.40%, 0.0000968%), (BLK, 0, 0.38%, 0.0000930%), (VZ, 0, 0.38%, 0.0000902%), (MRK, 0, 0.38%, 0.0000842%), (ADBE, 0, 0.37%, 0.0001070%), (UNP, 0, 0.37%, 0.0001175%), (MDT, 0, 0.36%, 0.0001324%), (C, 0, 0.36%, 0.0000839%), (COP, 0, 0.36%, 0.0001311%), (TXN, 0, 0.36%, 0.0000944%), (AMAT, 0, 0.35%, 0.0000973%), (LMT, 0, 0.35%, 0.0001370%), (SPGI, 0, 0.35%, 0.0001037%), (ACN, 0, 0.35%, 0.0001023%), (TMO, 0, 0.34%, 0.0000849%), (DIS, 0, 0.34%, 0.0000721%), (SCHW, 0, 0.32%, 0.0000815%), (INTC, 0, 0.31%, 0.0000872%), (SBUX, 0, 0.30%, 0.0001385%), (CVS, 0, 0.29%, 0.0001318%), (MMM, 0, 0.29%, 0.0001542%), (AMGN, 0, 0.28%, 0.0000830%), (TJX, 0, 0.28%, 0.0000768%), (GILD, 0, 0.26%, 0.0000834%), (PFE, 0, 0.26%, 0.0000832%), (LOW, 0, 0.25%, 0.0000767%), (EMR, 0, 0.25%, 0.0001525%), (MO, 0, 0.25%, 0.0000992%), (DHR, 0, 0.23%, 0.0000756%), (ELV, 0, 0.22%, 0.0001381%), (CMCSA, 0, 0.20%, 0.0000752%), (MDLZ, 0, 0.19%, 0.0001018%), (BMY, 0, 0.17%, 0.0000828%), (UPS, 0, 0.16%, 0.0001143%), (PYPL, 0, 0.15%, 0.0001061%), (USB, 0, 0.14%, 0.0000818%), (FDX, 0, 0.14%, 0.0001093%), (CL, 0, 0.13%, 0.0000907%), (TGT, 0, 0.07%, 0.0000779%), (nan, 0, -0.00%, 0.0000000%), (nan, 0, -0.00%, 0.0000000%)</t>
  </si>
  <si>
    <t>(AMZN, 0, 3.63%, 0.0000240%), (AVGO, 0, 3.42%, 0.0000336%), (META, 0, 2.70%, 0.0000259%), (TSLA, 0, 2.12%, 0.0000227%), (BRK/B, 0, 2.11%, 0.0000475%), (CSCO, 0, 1.73%, 0.0001007%), (LIN, 0, 1.72%, 0.0001206%), (JPM, 0, 1.69%, 0.0000302%), (XOM, 0, 1.51%, 0.0000471%), (AMT, 0, 1.43%, 0.0002439%), (V, 0, 1.35%, 0.0000364%), (CB, 0, 1.14%, 0.0001601%), (GE, 0, 1.12%, 0.0000557%), (LLY, 0, 1.11%, 0.0000251%), (ORCL, 0, 1.08%, 0.0000207%), (MA, 0, 1.07%, 0.0000329%), (WM, 0, 1.00%, 0.0001752%), (UNH, 0, 0.97%, 0.0000486%), (NEE, 0, 0.87%, 0.0000871%), (PLTR, 0, 0.86%, 0.0000332%), (NFLX, 0, 0.86%, 0.0000260%), (JNJ, 0, 0.84%, 0.0000300%), (WMT, 0, 0.80%, 0.0000151%), (CAT, 0, 0.79%, 0.0000559%), (CVX, 0, 0.78%, 0.0000373%), (ABBV, 0, 0.76%, 0.0000301%), (RTX, 0, 0.75%, 0.0000539%), (PG, 0, 0.75%, 0.0000326%), (COST, 0, 0.73%, 0.0000278%), (HD, 0, 0.72%, 0.0000273%), (ABT, 0, 0.71%, 0.0000477%), (MCD, 0, 0.71%, 0.0000503%), (BAC, 0, 0.66%, 0.0000266%), (IBM, 0, 0.61%, 0.0000364%), (BKNG, 0, 0.61%, 0.0000527%), (SO, 0, 0.59%, 0.0000879%), (PM, 0, 0.59%, 0.0000355%), (KO, 0, 0.58%, 0.0000320%), (GS, 0, 0.58%, 0.0000373%), (BA, 0, 0.58%, 0.0000534%), (AMD, 0, 0.57%, 0.0000340%), (UBER, 0, 0.56%, 0.0000420%), (CRM, 0, 0.55%, 0.0000370%), (DUK, 0, 0.54%, 0.0000876%), (WFC, 0, 0.54%, 0.0000307%), (NKE, 0, 0.53%, 0.0000988%), (MET, 0, 0.51%, 0.0001471%), (ETN, 0, 0.51%, 0.0000552%), (ISRG, 0, 0.48%, 0.0000480%), (HON, 0, 0.47%, 0.0000556%), (INTU, 0, 0.46%, 0.0000369%), (NOW, 0, 0.46%, 0.0000365%), (MS, 0, 0.46%, 0.0000278%), (PEP, 0, 0.44%, 0.0000356%), (AXP, 0, 0.44%, 0.0000289%), (T, 0, 0.43%, 0.0001526%), (DE, 0, 0.41%, 0.0000510%), (QCOM, 0, 0.41%, 0.0000349%), (BLK, 0, 0.39%, 0.0000336%), (VZ, 0, 0.39%, 0.0000326%), (MRK, 0, 0.39%, 0.0000304%), (ADBE, 0, 0.38%, 0.0000387%), (UNP, 0, 0.37%, 0.0000425%), (MDT, 0, 0.37%, 0.0000478%), (C, 0, 0.37%, 0.0000303%), (COP, 0, 0.37%, 0.0000473%), (TXN, 0, 0.37%, 0.0000341%), (LMT, 0, 0.36%, 0.0000497%), (AMAT, 0, 0.36%, 0.0000351%), (SPGI, 0, 0.36%, 0.0000376%), (ACN, 0, 0.35%, 0.0000369%), (TMO, 0, 0.34%, 0.0000306%), (DIS, 0, 0.34%, 0.0000260%), (SCHW, 0, 0.33%, 0.0000295%), (INTC, 0, 0.32%, 0.0000315%), (SBUX, 0, 0.31%, 0.0000501%), (CVS, 0, 0.30%, 0.0000476%), (MMM, 0, 0.29%, 0.0000557%), (AMGN, 0, 0.28%, 0.0000299%), (TJX, 0, 0.28%, 0.0000278%), (GILD, 0, 0.27%, 0.0000301%), (PFE, 0, 0.26%, 0.0000301%), (LOW, 0, 0.26%, 0.0000276%), (EMR, 0, 0.26%, 0.0000551%), (MO, 0, 0.25%, 0.0000358%), (DHR, 0, 0.23%, 0.0000273%), (ELV, 0, 0.23%, 0.0000499%), (CMCSA, 0, 0.20%, 0.0000271%), (MDLZ, 0, 0.19%, 0.0000367%), (BMY, 0, 0.17%, 0.0000299%), (UPS, 0, 0.16%, 0.0000413%), (PYPL, 0, 0.16%, 0.0000384%), (USB, 0, 0.15%, 0.0000296%), (FDX, 0, 0.14%, 0.0000394%), (CL, 0, 0.14%, 0.0000328%), (TGT, 0, 0.07%, 0.0000282%), (nan, 0, -0.00%, 0.0000000%), (nan, 0, -0.00%, 0.0000000%)</t>
  </si>
  <si>
    <t>(AMZN, 0, 3.84%, 0.0000571%), (AVGO, 0, 3.62%, 0.0000801%), (META, 0, 2.86%, 0.0000617%), (TSLA, 0, 2.24%, 0.0000540%), (BRK/B, 0, 2.23%, 0.0001134%), (CSCO, 0, 1.82%, 0.0002400%), (LIN, 0, 1.82%, 0.0002874%), (JPM, 0, 1.79%, 0.0000720%), (XOM, 0, 1.59%, 0.0001124%), (AMT, 0, 1.51%, 0.0005819%), (V, 0, 1.42%, 0.0000867%), (CB, 0, 1.21%, 0.0003819%), (GE, 0, 1.18%, 0.0001328%), (LLY, 0, 1.17%, 0.0000597%), (ORCL, 0, 1.14%, 0.0000495%), (MA, 0, 1.13%, 0.0000784%), (WM, 0, 1.05%, 0.0004180%), (UNH, 0, 1.03%, 0.0001158%), (NEE, 0, 0.92%, 0.0002077%), (PLTR, 0, 0.91%, 0.0000791%), (NFLX, 0, 0.91%, 0.0000621%), (JNJ, 0, 0.88%, 0.0000716%), (WMT, 0, 0.85%, 0.0000360%), (CAT, 0, 0.83%, 0.0001334%), (CVX, 0, 0.83%, 0.0000889%), (ABBV, 0, 0.80%, 0.0000716%), (RTX, 0, 0.80%, 0.0001286%), (PG, 0, 0.79%, 0.0000776%), (COST, 0, 0.77%, 0.0000661%), (HD, 0, 0.76%, 0.0000651%), (ABT, 0, 0.76%, 0.0001137%), (MCD, 0, 0.75%, 0.0001201%), (BAC, 0, 0.70%, 0.0000633%), (IBM, 0, 0.65%, 0.0000868%), (BKNG, 0, 0.63%, 0.0001241%), (SO, 0, 0.62%, 0.0002094%), (PM, 0, 0.62%, 0.0000845%), (KO, 0, 0.62%, 0.0000762%), (GS, 0, 0.62%, 0.0000894%), (BA, 0, 0.61%, 0.0001274%), (AMD, 0, 0.60%, 0.0000810%), (UBER, 0, 0.59%, 0.0001000%), (CRM, 0, 0.58%, 0.0000881%), (DUK, 0, 0.57%, 0.0002091%), (WFC, 0, 0.57%, 0.0000730%), (NKE, 0, 0.56%, 0.0002355%), (MET, 0, 0.54%, 0.0003507%), (ETN, 0, 0.54%, 0.0001315%), (ISRG, 0, 0.51%, 0.0001145%), (HON, 0, 0.50%, 0.0001326%), (INTU, 0, 0.49%, 0.0000882%), (NOW, 0, 0.48%, 0.0000870%), (MS, 0, 0.48%, 0.0000663%), (PEP, 0, 0.47%, 0.0000848%), (AXP, 0, 0.46%, 0.0000688%), (T, 0, 0.45%, 0.0003637%), (DE, 0, 0.44%, 0.0001217%), (QCOM, 0, 0.43%, 0.0000833%), (BLK, 0, 0.41%, 0.0000801%), (VZ, 0, 0.41%, 0.0000777%), (MRK, 0, 0.41%, 0.0000725%), (ADBE, 0, 0.40%, 0.0000922%), (UNP, 0, 0.40%, 0.0001012%), (MDT, 0, 0.39%, 0.0001140%), (C, 0, 0.39%, 0.0000722%), (COP, 0, 0.39%, 0.0001129%), (TXN, 0, 0.39%, 0.0000813%), (AMAT, 0, 0.38%, 0.0000837%), (SPGI, 0, 0.38%, 0.0000895%), (LMT, 0, 0.38%, 0.0001180%), (ACN, 0, 0.37%, 0.0000880%), (TMO, 0, 0.36%, 0.0000732%), (DIS, 0, 0.36%, 0.0000621%), (SCHW, 0, 0.35%, 0.0000702%), (INTC, 0, 0.34%, 0.0000751%), (SBUX, 0, 0.32%, 0.0001192%), (CVS, 0, 0.31%, 0.0001136%), (MMM, 0, 0.31%, 0.0001327%), (AMGN, 0, 0.30%, 0.0000715%), (TJX, 0, 0.30%, 0.0000661%), (GILD, 0, 0.29%, 0.0000718%), (PFE, 0, 0.28%, 0.0000717%), (LOW, 0, 0.27%, 0.0000660%), (EMR, 0, 0.27%, 0.0001311%), (MO, 0, 0.27%, 0.0000854%), (DHR, 0, 0.24%, 0.0000651%), (ELV, 0, 0.24%, 0.0001188%), (CMCSA, 0, 0.21%, 0.0000647%), (MDLZ, 0, 0.20%, 0.0000877%), (BMY, 0, 0.18%, 0.0000713%), (UPS, 0, 0.17%, 0.0000984%), (PYPL, 0, 0.16%, 0.0000914%), (USB, 0, 0.16%, 0.0000705%), (FDX, 0, 0.15%, 0.0000945%), (CL, 0, 0.14%, 0.0000780%), (TGT, 0, 0.08%, 0.0000671%), (nan, 0, -0.00%, 0.0000000%), (nan, 0, -0.00%, 0.0000000%)</t>
  </si>
  <si>
    <t>KLAC, GOOGLE, EBAY, NVDA, AMAT, MLI, BK, BKR, JPM, MSFT, META</t>
  </si>
  <si>
    <t>(PHM, 0, 1.95%, 0.0042274%), (WSM, 0, 1.94%, 0.0043764%), (LRCX, 0, 1.93%, 0.0006635%), (AXP, 0, 1.91%, 0.0004487%), (RJF, 0, 1.89%, 0.0029837%), (EWBC, 0, 1.87%, 0.0069140%), (HIG, 0, 1.82%, 0.0027138%), (BKNG, 0, 1.79%, 0.0005553%), (ROST, 0, 1.79%, 0.0020097%), (TRV, 0, 1.78%, 0.0015924%), (UNM, 0, 1.74%, 0.0072402%), (SNA, 0, 1.74%, 0.0054069%), (EA, 0, 1.69%, 0.0019378%), (CB, 0, 1.69%, 0.0008449%), (V, 0, 1.67%, 0.0001613%), (PCAR, 0, 1.66%, 0.0017428%), (MPWR, 0, 1.64%, 0.0021340%), (ADP, 0, 1.60%, 0.0007529%), (GE, 0, 1.57%, 0.0002801%), (CRM, 0, 1.47%, 0.0003514%), (BLK, 0, 1.47%, 0.0004533%), (CTSH, 0, 1.46%, 0.0024987%), (SYF, 0, 1.44%, 0.0029711%), (STT, 0, 1.44%, 0.0024614%), (AAPL, 0, 1.41%, 0.0000207%), (QCOM, 0, 1.39%, 0.0004213%), (PNC, 0, 1.37%, 0.0009454%), (ACN, 0, 1.30%, 0.0004841%), (ABT, 0, 1.27%, 0.0003032%), (LEN, 0, 1.24%, 0.0024316%), (ELV, 0, 1.01%, 0.0007933%), (DHI, 0, 0.98%, 0.0011047%), (GEV, 0, 0.97%, 0.0003280%), (ACM, 0, 0.95%, 0.0030805%), (MA, 0, 0.90%, 0.0000985%), (ALL, 0, 0.89%, 0.0008801%), (AFL, 0, 0.85%, 0.0007907%), (PAYC, 0, 0.82%, 0.0036180%), (AMP, 0, 0.82%, 0.0009816%), (COST, 0, 0.81%, 0.0001103%), (PGR, 0, 0.80%, 0.0003098%), (ODFL, 0, 0.68%, 0.0012933%), (NTRS, 0, 0.52%, 0.0011469%), (CSCO, 0, 0.49%, 0.0001030%), (JNJ, 0, 0.47%, 0.0000603%), (BAC, 0, 0.47%, 0.0000674%), (FOXA, 0, 0.47%, 0.0020359%), (MET, 0, 0.46%, 0.0004680%), (VLTO, 0, 0.45%, 0.0009605%), (COKE, 0, 0.45%, 0.0028646%), (RMD, 0, 0.45%, 0.0006317%), (CF, 0, 0.45%, 0.0016602%), (MTB, 0, 0.44%, 0.0007853%), (LNC, 0, 0.44%, 0.0031231%), (XOM, 0, 0.43%, 0.0000479%), (MCK, 0, 0.43%, 0.0002516%), (CINF, 0, 0.43%, 0.0009672%), (WTFC, 0, 0.42%, 0.0026093%), (EQH, 0, 0.40%, 0.0014038%), (EG, 0, 0.39%, 0.0014810%), (DOV, 0, 0.38%, 0.0009245%), (EOG, 0, 0.38%, 0.0003313%), (CSL, 0, 0.31%, 0.0012636%)</t>
  </si>
  <si>
    <t>(AMZN, 0, 3.53%, 0.0000610%), (AVGO, 0, 3.32%, 0.0000855%), (META, 0, 2.62%, 0.0000658%), (TSLA, 0, 2.06%, 0.0000577%), (BRK/B, 0, 2.05%, 0.0001211%), (CSCO, 0, 1.67%, 0.0002563%), (LIN, 0, 1.67%, 0.0003071%), (JPM, 0, 1.64%, 0.0000768%), (XOM, 0, 1.46%, 0.0001200%), (AMT, 0, 1.39%, 0.0006212%), (V, 0, 1.30%, 0.0000926%), (CB, 0, 1.11%, 0.0004078%), (GE, 0, 1.09%, 0.0001419%), (LLY, 0, 1.07%, 0.0000637%), (ORCL, 0, 1.05%, 0.0000528%), (MA, 0, 1.04%, 0.0000837%), (WM, 0, 0.97%, 0.0004463%), (UNH, 0, 0.94%, 0.0001236%), (NEE, 0, 0.85%, 0.0002217%), (PLTR, 0, 0.84%, 0.0000844%), (NFLX, 0, 0.84%, 0.0000663%), (JNJ, 0, 0.81%, 0.0000764%), (WMT, 0, 0.78%, 0.0000384%), (CAT, 0, 0.76%, 0.0001426%), (CVX, 0, 0.76%, 0.0000950%), (RTX, 0, 0.73%, 0.0001373%), (ABBV, 0, 0.73%, 0.0000765%), (PG, 0, 0.73%, 0.0000829%), (COST, 0, 0.70%, 0.0000706%), (HD, 0, 0.70%, 0.0000695%), (ABT, 0, 0.69%, 0.0001214%), (MCD, 0, 0.69%, 0.0001282%), (BAC, 0, 0.64%, 0.0000676%), (IBM, 0, 0.60%, 0.0000926%), (BKNG, 0, 0.57%, 0.0001303%), (SO, 0, 0.57%, 0.0002237%), (PM, 0, 0.57%, 0.0000902%), (KO, 0, 0.57%, 0.0000814%), (GS, 0, 0.56%, 0.0000954%), (BA, 0, 0.56%, 0.0001360%), (AMD, 0, 0.55%, 0.0000865%), (UBER, 0, 0.54%, 0.0001067%), (CRM, 0, 0.54%, 0.0000941%), (DUK, 0, 0.52%, 0.0002233%), (WFC, 0, 0.52%, 0.0000780%), (NKE, 0, 0.51%, 0.0002516%), (MET, 0, 0.50%, 0.0003744%), (ETN, 0, 0.49%, 0.0001403%), (ISRG, 0, 0.47%, 0.0001224%), (HON, 0, 0.46%, 0.0001416%), (INTU, 0, 0.45%, 0.0000943%), (MS, 0, 0.44%, 0.0000707%), (NOW, 0, 0.44%, 0.0000928%), (PEP, 0, 0.43%, 0.0000906%), (AXP, 0, 0.43%, 0.0000736%), (T, 0, 0.41%, 0.0003884%), (DE, 0, 0.40%, 0.0001302%), (QCOM, 0, 0.40%, 0.0000890%), (BLK, 0, 0.38%, 0.0000859%), (VZ, 0, 0.37%, 0.0000830%), (MRK, 0, 0.37%, 0.0000774%), (ADBE, 0, 0.37%, 0.0000984%), (UNP, 0, 0.36%, 0.0001081%), (MDT, 0, 0.36%, 0.0001217%), (C, 0, 0.36%, 0.0000771%), (COP, 0, 0.36%, 0.0001205%), (TXN, 0, 0.36%, 0.0000868%), (AMAT, 0, 0.35%, 0.0000895%), (LMT, 0, 0.35%, 0.0001262%), (SPGI, 0, 0.35%, 0.0000954%), (ACN, 0, 0.34%, 0.0000939%), (TMO, 0, 0.33%, 0.0000783%), (DIS, 0, 0.33%, 0.0000663%), (SCHW, 0, 0.32%, 0.0000750%), (INTC, 0, 0.31%, 0.0000802%), (SBUX, 0, 0.30%, 0.0001273%), (CVS, 0, 0.29%, 0.0001212%), (MMM, 0, 0.28%, 0.0001417%), (AMGN, 0, 0.28%, 0.0000763%), (TJX, 0, 0.27%, 0.0000706%), (GILD, 0, 0.26%, 0.0000767%), (PFE, 0, 0.25%, 0.0000765%), (LOW, 0, 0.25%, 0.0000704%), (EMR, 0, 0.25%, 0.0001400%), (MO, 0, 0.25%, 0.0000912%), (DHR, 0, 0.22%, 0.0000695%), (ELV, 0, 0.22%, 0.0001269%), (CMCSA, 0, 0.20%, 0.0000691%), (MDLZ, 0, 0.19%, 0.0000936%), (BMY, 0, 0.17%, 0.0000761%), (UPS, 0, 0.16%, 0.0001050%), (PYPL, 0, 0.15%, 0.0000976%), (USB, 0, 0.14%, 0.0000752%), (FDX, 0, 0.14%, 0.0001009%), (CL, 0, 0.13%, 0.0000834%), (TGT, 0, 0.07%, 0.0000715%), (nan, 0, -0.00%, 0.0000000%), (nan, 0, -0.00%, 0.0000000%)</t>
  </si>
  <si>
    <t>(AMZN, 0, 3.68%, 0.0001248%), (AVGO, 0, 3.47%, 0.0001748%), (META, 0, 2.74%, 0.0001346%), (TSLA, 0, 2.15%, 0.0001180%), (BRK/B, 0, 2.14%, 0.0002475%), (CSCO, 0, 1.76%, 0.0005261%), (LIN, 0, 1.75%, 0.0006277%), (JPM, 0, 1.71%, 0.0001571%), (XOM, 0, 1.53%, 0.0002453%), (AMT, 0, 1.45%, 0.0012701%), (V, 0, 1.36%, 0.0001893%), (CB, 0, 1.16%, 0.0008337%), (GE, 0, 1.13%, 0.0002901%), (LLY, 0, 1.12%, 0.0001302%), (ORCL, 0, 1.10%, 0.0001080%), (MA, 0, 1.08%, 0.0001712%), (WM, 0, 1.01%, 0.0009125%), (UNH, 0, 0.99%, 0.0002528%), (NEE, 0, 0.89%, 0.0004534%), (PLTR, 0, 0.88%, 0.0001726%), (NFLX, 0, 0.87%, 0.0001357%), (JNJ, 0, 0.85%, 0.0001562%), (WMT, 0, 0.81%, 0.0000786%), (CAT, 0, 0.80%, 0.0002914%), (CVX, 0, 0.79%, 0.0001942%), (RTX, 0, 0.77%, 0.0002807%), (ABBV, 0, 0.77%, 0.0001563%), (PG, 0, 0.76%, 0.0001694%), (COST, 0, 0.74%, 0.0001442%), (HD, 0, 0.73%, 0.0001423%), (ABT, 0, 0.72%, 0.0002483%), (MCD, 0, 0.72%, 0.0002622%), (BAC, 0, 0.67%, 0.0001383%), (IBM, 0, 0.62%, 0.0001895%), (BKNG, 0, 0.60%, 0.0002668%), (SO, 0, 0.59%, 0.0004573%), (PM, 0, 0.59%, 0.0001844%), (KO, 0, 0.59%, 0.0001664%), (GS, 0, 0.59%, 0.0001947%), (BA, 0, 0.58%, 0.0002780%), (AMD, 0, 0.57%, 0.0001767%), (UBER, 0, 0.56%, 0.0002183%), (CRM, 0, 0.56%, 0.0001923%), (DUK, 0, 0.55%, 0.0004565%), (WFC, 0, 0.55%, 0.0001595%), (NKE, 0, 0.53%, 0.0005142%), (MET, 0, 0.52%, 0.0007655%), (ETN, 0, 0.51%, 0.0002869%), (ISRG, 0, 0.49%, 0.0002499%), (HON, 0, 0.48%, 0.0002895%), (INTU, 0, 0.47%, 0.0001926%), (NOW, 0, 0.46%, 0.0001899%), (MS, 0, 0.46%, 0.0001446%), (PEP, 0, 0.45%, 0.0001853%), (AXP, 0, 0.44%, 0.0001504%), (T, 0, 0.43%, 0.0007941%), (DE, 0, 0.42%, 0.0002660%), (QCOM, 0, 0.42%, 0.0001820%), (BLK, 0, 0.39%, 0.0001750%), (VZ, 0, 0.39%, 0.0001696%), (MRK, 0, 0.39%, 0.0001583%), (UNP, 0, 0.38%, 0.0002210%), (ADBE, 0, 0.38%, 0.0002014%), (MDT, 0, 0.38%, 0.0002489%), (C, 0, 0.38%, 0.0001576%), (COP, 0, 0.38%, 0.0002464%), (TXN, 0, 0.37%, 0.0001774%), (AMAT, 0, 0.37%, 0.0001829%), (LMT, 0, 0.36%, 0.0002576%), (SPGI, 0, 0.36%, 0.0001952%), (ACN, 0, 0.36%, 0.0001922%), (TMO, 0, 0.35%, 0.0001597%), (DIS, 0, 0.35%, 0.0001355%), (SCHW, 0, 0.33%, 0.0001533%), (INTC, 0, 0.33%, 0.0001639%), (SBUX, 0, 0.31%, 0.0002603%), (CVS, 0, 0.30%, 0.0002477%), (MMM, 0, 0.30%, 0.0002897%), (AMGN, 0, 0.29%, 0.0001560%), (TJX, 0, 0.29%, 0.0001444%), (GILD, 0, 0.27%, 0.0001568%), (PFE, 0, 0.27%, 0.0001564%), (LOW, 0, 0.26%, 0.0001441%), (EMR, 0, 0.26%, 0.0002864%), (MO, 0, 0.26%, 0.0001865%), (DHR, 0, 0.23%, 0.0001423%), (ELV, 0, 0.23%, 0.0002596%), (CMCSA, 0, 0.20%, 0.0001413%), (MDLZ, 0, 0.20%, 0.0001913%), (BMY, 0, 0.18%, 0.0001557%), (UPS, 0, 0.17%, 0.0002148%), (PYPL, 0, 0.16%, 0.0001994%), (USB, 0, 0.15%, 0.0001538%), (FDX, 0, 0.14%, 0.0002060%), (CL, 0, 0.14%, 0.0001705%), (TGT, 0, 0.07%, 0.0001463%), (nan, 0, -0.00%, 0.0000000%), (nan, 0, -0.00%, 0.0000000%)</t>
  </si>
  <si>
    <t>(AMZN, 0, 3.48%, 0.0002491%), (AVGO, 0, 3.28%, 0.0003490%), (META, 0, 2.59%, 0.0002688%), (TSLA, 0, 2.03%, 0.0002356%), (BRK/B, 0, 2.02%, 0.0004941%), (CSCO, 0, 1.66%, 0.0010515%), (LIN, 0, 1.65%, 0.0012532%), (JPM, 0, 1.62%, 0.0003137%), (XOM, 0, 1.45%, 0.0004922%), (AMT, 0, 1.37%, 0.0025360%), (V, 0, 1.29%, 0.0003781%), (CB, 0, 1.09%, 0.0016648%), (GE, 0, 1.07%, 0.0005792%), (LLY, 0, 1.06%, 0.0002601%), (ORCL, 0, 1.04%, 0.0002156%), (MA, 0, 1.02%, 0.0003418%), (WM, 0, 0.95%, 0.0018217%), (UNH, 0, 0.93%, 0.0005048%), (NEE, 0, 0.84%, 0.0009098%), (PLTR, 0, 0.83%, 0.0003446%), (NFLX, 0, 0.83%, 0.0002709%), (JNJ, 0, 0.80%, 0.0003118%), (WMT, 0, 0.77%, 0.0001569%), (CAT, 0, 0.75%, 0.0005817%), (CVX, 0, 0.75%, 0.0003878%), (ABBV, 0, 0.72%, 0.0003122%), (RTX, 0, 0.72%, 0.0005603%), (PG, 0, 0.72%, 0.0003383%), (COST, 0, 0.70%, 0.0002881%), (HD, 0, 0.69%, 0.0002840%), (ABT, 0, 0.68%, 0.0004957%), (MCD, 0, 0.68%, 0.0005235%), (BAC, 0, 0.64%, 0.0002775%), (IBM, 0, 0.59%, 0.0003783%), (BKNG, 0, 0.56%, 0.0005367%), (SO, 0, 0.56%, 0.0009130%), (PM, 0, 0.56%, 0.0003683%), (KO, 0, 0.56%, 0.0003323%), (GS, 0, 0.56%, 0.0003891%), (BA, 0, 0.55%, 0.0005552%), (AMD, 0, 0.54%, 0.0003529%), (UBER, 0, 0.53%, 0.0004358%), (CRM, 0, 0.53%, 0.0003840%), (DUK, 0, 0.52%, 0.0009114%), (WFC, 0, 0.52%, 0.0003184%), (NKE, 0, 0.50%, 0.0010268%), (MET, 0, 0.49%, 0.0015287%), (ETN, 0, 0.48%, 0.0005731%), (ISRG, 0, 0.46%, 0.0004993%), (HON, 0, 0.45%, 0.0005781%), (INTU, 0, 0.44%, 0.0003845%), (MS, 0, 0.44%, 0.0002888%), (NOW, 0, 0.44%, 0.0003788%), (PEP, 0, 0.42%, 0.0003699%), (AXP, 0, 0.42%, 0.0003002%), (T, 0, 0.41%, 0.0015935%), (DE, 0, 0.40%, 0.0005312%), (QCOM, 0, 0.39%, 0.0003634%), (BLK, 0, 0.37%, 0.0003494%), (VZ, 0, 0.37%, 0.0003387%), (MRK, 0, 0.37%, 0.0003160%), (ADBE, 0, 0.36%, 0.0004021%), (UNP, 0, 0.36%, 0.0004412%), (MDT, 0, 0.36%, 0.0004968%), (C, 0, 0.36%, 0.0003148%), (COP, 0, 0.35%, 0.0004920%), (TXN, 0, 0.35%, 0.0003543%), (AMAT, 0, 0.35%, 0.0003652%), (LMT, 0, 0.34%, 0.0005147%), (SPGI, 0, 0.34%, 0.0003897%), (ACN, 0, 0.34%, 0.0003836%), (TMO, 0, 0.33%, 0.0003194%), (DIS, 0, 0.33%, 0.0002705%), (SCHW, 0, 0.31%, 0.0003061%), (INTC, 0, 0.30%, 0.0003272%), (SBUX, 0, 0.29%, 0.0005198%), (CVS, 0, 0.28%, 0.0004951%), (MMM, 0, 0.28%, 0.0005787%), (AMGN, 0, 0.27%, 0.0003115%), (TJX, 0, 0.27%, 0.0002884%), (GILD, 0, 0.26%, 0.0003131%), (PFE, 0, 0.25%, 0.0003126%), (LOW, 0, 0.25%, 0.0002878%), (EMR, 0, 0.25%, 0.0005720%), (MO, 0, 0.24%, 0.0003723%), (DHR, 0, 0.22%, 0.0002840%), (ELV, 0, 0.22%, 0.0005188%), (CMCSA, 0, 0.19%, 0.0002821%), (MDLZ, 0, 0.19%, 0.0003821%), (BMY, 0, 0.17%, 0.0003109%), (UPS, 0, 0.16%, 0.0004289%), (PYPL, 0, 0.15%, 0.0003982%), (USB, 0, 0.14%, 0.0003072%), (FDX, 0, 0.14%, 0.0004111%), (CL, 0, 0.13%, 0.0003403%), (TGT, 0, 0.07%, 0.0002920%), (nan, 0, -0.00%, 0.0000000%), (nan, 0, -0.00%, 0.0000000%)</t>
  </si>
  <si>
    <t>(AMZN, 0, 3.42%, 0.0000361%), (AVGO, 0, 3.14%, 0.0000506%), (META, 0, 2.52%, 0.0000390%), (TSLA, 0, 2.00%, 0.0000342%), (BRK/B, 0, 1.97%, 0.0000717%), (CSCO, 0, 1.63%, 0.0001517%), (LIN, 0, 1.62%, 0.0001818%), (JPM, 0, 1.58%, 0.0000455%), (XOM, 0, 1.38%, 0.0000710%), (AMT, 0, 1.35%, 0.0003678%), (V, 0, 1.27%, 0.0000548%), (CB, 0, 1.06%, 0.0002414%), (GE, 0, 1.04%, 0.0000840%), (LLY, 0, 1.04%, 0.0000378%), (MA, 0, 1.01%, 0.0000496%), (ORCL, 0, 1.00%, 0.0000313%), (WM, 0, 0.94%, 0.0002641%), (UNH, 0, 0.91%, 0.0000732%), (NEE, 0, 0.83%, 0.0001313%), (PLTR, 0, 0.81%, 0.0000500%), (NFLX, 0, 0.80%, 0.0000392%), (JNJ, 0, 0.79%, 0.0000452%), (CAT, 0, 0.74%, 0.0000843%), (CVX, 0, 0.72%, 0.0000562%), (RTX, 0, 0.71%, 0.0000812%), (ABBV, 0, 0.71%, 0.0000453%), (PG, 0, 0.70%, 0.0000490%), (COST, 0, 0.68%, 0.0000417%), (HD, 0, 0.67%, 0.0000412%), (ABT, 0, 0.66%, 0.0000719%), (MCD, 0, 0.66%, 0.0000760%), (BAC, 0, 0.62%, 0.0000400%), (IBM, 0, 0.58%, 0.0000549%), (BKNG, 0, 0.55%, 0.0000776%), (SO, 0, 0.55%, 0.0001324%), (KO, 0, 0.55%, 0.0000482%), (AXP, 0, 0.55%, 0.0000581%), (GS, 0, 0.55%, 0.0000563%), (PM, 0, 0.54%, 0.0000534%), (WMT, 0, 0.54%, 0.0000165%), (AMD, 0, 0.54%, 0.0000511%), (BA, 0, 0.53%, 0.0000805%), (UBER, 0, 0.52%, 0.0000632%), (CRM, 0, 0.52%, 0.0000557%), (DUK, 0, 0.51%, 0.0001322%), (WFC, 0, 0.50%, 0.0000462%), (NKE, 0, 0.49%, 0.0001489%), (MET, 0, 0.48%, 0.0002216%), (ETN, 0, 0.48%, 0.0000830%), (ISRG, 0, 0.45%, 0.0000725%), (HON, 0, 0.45%, 0.0000838%), (NOW, 0, 0.43%, 0.0000548%), (INTU, 0, 0.43%, 0.0000556%), (MS, 0, 0.43%, 0.0000419%), (PEP, 0, 0.41%, 0.0000537%), (T, 0, 0.40%, 0.0002299%), (DE, 0, 0.39%, 0.0000769%), (QCOM, 0, 0.38%, 0.0000527%), (BLK, 0, 0.37%, 0.0000504%), (MRK, 0, 0.36%, 0.0000458%), (VZ, 0, 0.36%, 0.0000491%), (UNP, 0, 0.36%, 0.0000639%), (ADBE, 0, 0.35%, 0.0000583%), (MDT, 0, 0.35%, 0.0000720%), (C, 0, 0.35%, 0.0000456%), (AMAT, 0, 0.35%, 0.0000530%), (TXN, 0, 0.34%, 0.0000514%), (ACN, 0, 0.34%, 0.0000556%), (COP, 0, 0.34%, 0.0000713%), (LMT, 0, 0.34%, 0.0000748%), (SPGI, 0, 0.34%, 0.0000565%), (TMO, 0, 0.32%, 0.0000460%), (DIS, 0, 0.32%, 0.0000392%), (SCHW, 0, 0.31%, 0.0000444%), (INTC, 0, 0.31%, 0.0000474%), (SBUX, 0, 0.29%, 0.0000754%), (MMM, 0, 0.27%, 0.0000840%), (CVS, 0, 0.27%, 0.0000714%), (TJX, 0, 0.27%, 0.0000418%), (AMGN, 0, 0.27%, 0.0000451%), (GILD, 0, 0.25%, 0.0000454%), (PFE, 0, 0.24%, 0.0000451%), (EMR, 0, 0.24%, 0.0000830%), (MO, 0, 0.24%, 0.0000540%), (LOW, 0, 0.24%, 0.0000417%), (DHR, 0, 0.22%, 0.0000412%), (ELV, 0, 0.21%, 0.0000751%), (CMCSA, 0, 0.19%, 0.0000409%), (MDLZ, 0, 0.18%, 0.0000554%), (BMY, 0, 0.16%, 0.0000451%), (UPS, 0, 0.15%, 0.0000622%), (PYPL, 0, 0.15%, 0.0000577%), (USB, 0, 0.14%, 0.0000445%), (FDX, 0, 0.13%, 0.0000598%), (CL, 0, 0.13%, 0.0000494%), (TGT, 0, 0.07%, 0.0000423%), (nan, 0, -0.00%, 0.0000000%), (nan, 0, -0.01%, 0.0000000%)</t>
  </si>
  <si>
    <t>(AMZN, 0, 3.71%, 0.0002155%), (AVGO, 0, 3.41%, 0.0003020%), (META, 0, 2.73%, 0.0002326%), (TSLA, 0, 2.16%, 0.0002038%), (BRK/B, 0, 2.14%, 0.0004275%), (CSCO, 0, 1.76%, 0.0009052%), (LIN, 0, 1.75%, 0.0010843%), (JPM, 0, 1.71%, 0.0002714%), (XOM, 0, 1.50%, 0.0004237%), (AMT, 0, 1.46%, 0.0021940%), (V, 0, 1.37%, 0.0003271%), (CB, 0, 1.15%, 0.0014402%), (GE, 0, 1.13%, 0.0005010%), (LLY, 0, 1.12%, 0.0002250%), (MA, 0, 1.09%, 0.0002956%), (ORCL, 0, 1.09%, 0.0001865%), (WM, 0, 1.01%, 0.0015760%), (UNH, 0, 0.99%, 0.0004367%), (NEE, 0, 0.90%, 0.0007832%), (PLTR, 0, 0.87%, 0.0002982%), (NFLX, 0, 0.87%, 0.0002343%), (JNJ, 0, 0.86%, 0.0002698%), (CAT, 0, 0.81%, 0.0005033%), (CVX, 0, 0.78%, 0.0003355%), (RTX, 0, 0.77%, 0.0004848%), (ABBV, 0, 0.77%, 0.0002701%), (PG, 0, 0.76%, 0.0002927%), (COST, 0, 0.73%, 0.0002491%), (HD, 0, 0.72%, 0.0002456%), (ABT, 0, 0.72%, 0.0004288%), (MCD, 0, 0.71%, 0.0004529%), (BAC, 0, 0.67%, 0.0002389%), (IBM, 0, 0.63%, 0.0003273%), (BKNG, 0, 0.60%, 0.0004622%), (SO, 0, 0.59%, 0.0007899%), (KO, 0, 0.59%, 0.0002875%), (GS, 0, 0.59%, 0.0003364%), (PM, 0, 0.59%, 0.0003186%), (AMD, 0, 0.58%, 0.0003053%), (BA, 0, 0.57%, 0.0004803%), (AXP, 0, 0.57%, 0.0003323%), (WMT, 0, 0.57%, 0.0000956%), (UBER, 0, 0.57%, 0.0003770%), (CRM, 0, 0.56%, 0.0003321%), (DUK, 0, 0.55%, 0.0007885%), (WFC, 0, 0.54%, 0.0002755%), (NKE, 0, 0.53%, 0.0008883%), (MET, 0, 0.52%, 0.0013224%), (ETN, 0, 0.52%, 0.0004958%), (ISRG, 0, 0.49%, 0.0004319%), (HON, 0, 0.48%, 0.0005001%), (INTU, 0, 0.47%, 0.0003325%), (NOW, 0, 0.47%, 0.0003274%), (MS, 0, 0.46%, 0.0002498%), (PEP, 0, 0.44%, 0.0003200%), (T, 0, 0.43%, 0.0013717%), (DE, 0, 0.42%, 0.0004598%), (QCOM, 0, 0.41%, 0.0003144%), (BLK, 0, 0.40%, 0.0003022%), (MRK, 0, 0.39%, 0.0002734%), (UNP, 0, 0.39%, 0.0003817%), (VZ, 0, 0.39%, 0.0002930%), (ADBE, 0, 0.38%, 0.0003478%), (MDT, 0, 0.38%, 0.0004298%), (C, 0, 0.38%, 0.0002723%), (AMAT, 0, 0.37%, 0.0003160%), (TXN, 0, 0.37%, 0.0003065%), (ACN, 0, 0.37%, 0.0003319%), (COP, 0, 0.37%, 0.0004256%), (LMT, 0, 0.37%, 0.0004451%), (SPGI, 0, 0.36%, 0.0003372%), (DIS, 0, 0.35%, 0.0002340%), (TMO, 0, 0.35%, 0.0002749%), (SCHW, 0, 0.34%, 0.0002648%), (INTC, 0, 0.33%, 0.0002831%), (SBUX, 0, 0.32%, 0.0004497%), (MMM, 0, 0.30%, 0.0005005%), (CVS, 0, 0.30%, 0.0004262%), (TJX, 0, 0.29%, 0.0002495%), (AMGN, 0, 0.29%, 0.0002695%), (GILD, 0, 0.27%, 0.0002709%), (PFE, 0, 0.26%, 0.0002691%), (EMR, 0, 0.26%, 0.0004947%), (MO, 0, 0.26%, 0.0003220%), (LOW, 0, 0.26%, 0.0002491%), (DHR, 0, 0.23%, 0.0002456%), (ELV, 0, 0.23%, 0.0004486%), (CMCSA, 0, 0.20%, 0.0002440%), (MDLZ, 0, 0.19%, 0.0003305%), (BMY, 0, 0.18%, 0.0002690%), (UPS, 0, 0.17%, 0.0003710%), (PYPL, 0, 0.16%, 0.0003445%), (USB, 0, 0.15%, 0.0002657%), (FDX, 0, 0.14%, 0.0003556%), (CL, 0, 0.14%, 0.0002944%), (TGT, 0, 0.09%, 0.0003187%), (nan, 0, -0.01%, 0.0000000%), (nan, 0, -0.01%, 0.0000000%)</t>
  </si>
  <si>
    <t>(AMZN, 0, 3.70%, 0.0001606%), (AVGO, 0, 3.41%, 0.0002250%), (META, 0, 2.73%, 0.0001733%), (TSLA, 0, 2.16%, 0.0001519%), (BRK/B, 0, 2.14%, 0.0003185%), (CSCO, 0, 1.76%, 0.0006745%), (LIN, 0, 1.75%, 0.0008080%), (JPM, 0, 1.71%, 0.0002022%), (XOM, 0, 1.50%, 0.0003157%), (AMT, 0, 1.46%, 0.0016347%), (V, 0, 1.37%, 0.0002437%), (CB, 0, 1.15%, 0.0010733%), (GE, 0, 1.13%, 0.0003733%), (LLY, 0, 1.12%, 0.0001677%), (MA, 0, 1.09%, 0.0002204%), (ORCL, 0, 1.09%, 0.0001390%), (WM, 0, 1.01%, 0.0011743%), (UNH, 0, 0.99%, 0.0003254%), (NEE, 0, 0.90%, 0.0005836%), (PLTR, 0, 0.87%, 0.0002222%), (NFLX, 0, 0.87%, 0.0001746%), (JNJ, 0, 0.86%, 0.0002011%), (CAT, 0, 0.81%, 0.0003750%), (CVX, 0, 0.78%, 0.0002500%), (RTX, 0, 0.77%, 0.0003612%), (ABBV, 0, 0.77%, 0.0002012%), (PG, 0, 0.76%, 0.0002181%), (COST, 0, 0.73%, 0.0001857%), (HD, 0, 0.72%, 0.0001830%), (ABT, 0, 0.72%, 0.0003195%), (MCD, 0, 0.71%, 0.0003374%), (BAC, 0, 0.67%, 0.0001780%), (IBM, 0, 0.63%, 0.0002438%), (BKNG, 0, 0.60%, 0.0003444%), (SO, 0, 0.59%, 0.0005886%), (KO, 0, 0.59%, 0.0002142%), (GS, 0, 0.59%, 0.0002507%), (PM, 0, 0.59%, 0.0002374%), (AMD, 0, 0.58%, 0.0002275%), (AXP, 0, 0.58%, 0.0002516%), (BA, 0, 0.57%, 0.0003578%), (WMT, 0, 0.57%, 0.0000710%), (UBER, 0, 0.57%, 0.0002810%), (CRM, 0, 0.56%, 0.0002476%), (DUK, 0, 0.55%, 0.0005875%), (WFC, 0, 0.54%, 0.0002053%), (NKE, 0, 0.53%, 0.0006619%), (MET, 0, 0.52%, 0.0009854%), (ETN, 0, 0.52%, 0.0003694%), (ISRG, 0, 0.49%, 0.0003219%), (HON, 0, 0.48%, 0.0003727%), (NOW, 0, 0.47%, 0.0002442%), (INTU, 0, 0.47%, 0.0002478%), (MS, 0, 0.47%, 0.0001862%), (PEP, 0, 0.44%, 0.0002385%), (T, 0, 0.43%, 0.0010222%), (DE, 0, 0.42%, 0.0003425%), (QCOM, 0, 0.41%, 0.0002343%), (BLK, 0, 0.40%, 0.0002254%), (MRK, 0, 0.39%, 0.0002037%), (UNP, 0, 0.39%, 0.0002844%), (VZ, 0, 0.39%, 0.0002183%), (ADBE, 0, 0.38%, 0.0002592%), (MDT, 0, 0.38%, 0.0003203%), (C, 0, 0.38%, 0.0002029%), (AMAT, 0, 0.37%, 0.0002355%), (TXN, 0, 0.37%, 0.0002284%), (ACN, 0, 0.37%, 0.0002472%), (COP, 0, 0.37%, 0.0003172%), (LMT, 0, 0.37%, 0.0003319%), (SPGI, 0, 0.36%, 0.0002513%), (DIS, 0, 0.35%, 0.0001744%), (TMO, 0, 0.35%, 0.0002047%), (SCHW, 0, 0.34%, 0.0001973%), (INTC, 0, 0.33%, 0.0002109%), (SBUX, 0, 0.32%, 0.0003351%), (MMM, 0, 0.30%, 0.0003731%), (CVS, 0, 0.30%, 0.0003175%), (TJX, 0, 0.29%, 0.0001859%), (AMGN, 0, 0.29%, 0.0002008%), (GILD, 0, 0.27%, 0.0002019%), (PFE, 0, 0.26%, 0.0002005%), (EMR, 0, 0.26%, 0.0003687%), (MO, 0, 0.26%, 0.0002400%), (LOW, 0, 0.26%, 0.0001856%), (DHR, 0, 0.23%, 0.0001831%), (ELV, 0, 0.23%, 0.0003343%), (CMCSA, 0, 0.20%, 0.0001818%), (MDLZ, 0, 0.19%, 0.0002463%), (BMY, 0, 0.18%, 0.0002004%), (UPS, 0, 0.17%, 0.0002765%), (PYPL, 0, 0.16%, 0.0002567%), (USB, 0, 0.15%, 0.0001980%), (FDX, 0, 0.14%, 0.0002649%), (CL, 0, 0.14%, 0.0002193%), (TGT, 0, 0.10%, 0.0002544%), (nan, 0, -0.01%, 0.0000000%), (nan, 0, -0.01%, 0.0000000%)</t>
  </si>
  <si>
    <t>(AMZN, 0, 3.75%, 0.0000377%), (AVGO, 0, 3.45%, 0.0000528%), (META, 0, 2.76%, 0.0000406%), (TSLA, 0, 2.19%, 0.0000356%), (BRK/B, 0, 2.17%, 0.0000747%), (CSCO, 0, 1.79%, 0.0001582%), (LIN, 0, 1.78%, 0.0001895%), (JPM, 0, 1.73%, 0.0000474%), (XOM, 0, 1.52%, 0.0000740%), (AMT, 0, 1.48%, 0.0003834%), (V, 0, 1.39%, 0.0000572%), (CB, 0, 1.17%, 0.0002516%), (GE, 0, 1.14%, 0.0000875%), (LLY, 0, 1.14%, 0.0000393%), (MA, 0, 1.10%, 0.0000516%), (ORCL, 0, 1.10%, 0.0000326%), (WM, 0, 1.03%, 0.0002753%), (UNH, 0, 1.00%, 0.0000763%), (NEE, 0, 0.91%, 0.0001368%), (PLTR, 0, 0.89%, 0.0000521%), (NFLX, 0, 0.88%, 0.0000411%), (JNJ, 0, 0.87%, 0.0000472%), (CAT, 0, 0.82%, 0.0000879%), (CVX, 0, 0.79%, 0.0000586%), (RTX, 0, 0.78%, 0.0000847%), (ABBV, 0, 0.78%, 0.0000472%), (PG, 0, 0.77%, 0.0000511%), (COST, 0, 0.74%, 0.0000435%), (HD, 0, 0.73%, 0.0000429%), (ABT, 0, 0.73%, 0.0000749%), (MCD, 0, 0.72%, 0.0000792%), (BAC, 0, 0.68%, 0.0000417%), (IBM, 0, 0.63%, 0.0000571%), (BKNG, 0, 0.60%, 0.0000807%), (SO, 0, 0.60%, 0.0001380%), (KO, 0, 0.60%, 0.0000502%), (PM, 0, 0.60%, 0.0000557%), (AXP, 0, 0.59%, 0.0000600%), (GS, 0, 0.59%, 0.0000587%), (AMD, 0, 0.59%, 0.0000534%), (BA, 0, 0.58%, 0.0000839%), (UBER, 0, 0.57%, 0.0000659%), (CRM, 0, 0.57%, 0.0000581%), (WMT, 0, 0.56%, 0.0000162%), (DUK, 0, 0.56%, 0.0001378%), (WFC, 0, 0.55%, 0.0000481%), (NKE, 0, 0.53%, 0.0001552%), (MET, 0, 0.53%, 0.0002311%), (ETN, 0, 0.52%, 0.0000866%), (ISRG, 0, 0.50%, 0.0000756%), (HON, 0, 0.49%, 0.0000874%), (NOW, 0, 0.48%, 0.0000572%), (INTU, 0, 0.47%, 0.0000581%), (MS, 0, 0.47%, 0.0000437%), (PEP, 0, 0.45%, 0.0000559%), (T, 0, 0.44%, 0.0002397%), (DE, 0, 0.43%, 0.0000803%), (QCOM, 0, 0.41%, 0.0000550%), (BLK, 0, 0.41%, 0.0000530%), (MRK, 0, 0.39%, 0.0000478%), (UNP, 0, 0.39%, 0.0000668%), (VZ, 0, 0.39%, 0.0000512%), (ADBE, 0, 0.39%, 0.0000607%), (MDT, 0, 0.38%, 0.0000751%), (C, 0, 0.38%, 0.0000476%), (AMAT, 0, 0.38%, 0.0000552%), (TXN, 0, 0.38%, 0.0000536%), (ACN, 0, 0.38%, 0.0000580%), (COP, 0, 0.37%, 0.0000744%), (LMT, 0, 0.37%, 0.0000778%), (SPGI, 0, 0.37%, 0.0000588%), (DIS, 0, 0.35%, 0.0000409%), (TMO, 0, 0.35%, 0.0000479%), (SCHW, 0, 0.34%, 0.0000463%), (INTC, 0, 0.34%, 0.0000495%), (SBUX, 0, 0.32%, 0.0000786%), (MMM, 0, 0.30%, 0.0000875%), (CVS, 0, 0.30%, 0.0000744%), (TJX, 0, 0.29%, 0.0000436%), (AMGN, 0, 0.29%, 0.0000472%), (GILD, 0, 0.28%, 0.0000473%), (PFE, 0, 0.27%, 0.0000470%), (EMR, 0, 0.27%, 0.0000865%), (MO, 0, 0.26%, 0.0000563%), (LOW, 0, 0.26%, 0.0000435%), (DHR, 0, 0.24%, 0.0000429%), (ELV, 0, 0.24%, 0.0000783%), (CMCSA, 0, 0.21%, 0.0000426%), (MDLZ, 0, 0.20%, 0.0000577%), (BMY, 0, 0.18%, 0.0000470%), (UPS, 0, 0.17%, 0.0000648%), (PYPL, 0, 0.16%, 0.0000602%), (USB, 0, 0.15%, 0.0000465%), (FDX, 0, 0.15%, 0.0000623%), (CL, 0, 0.14%, 0.0000515%), (TGT, 0, 0.11%, 0.0000662%), (nan, 0, -0.01%, 0.0000000%), (nan, 0, -0.01%, 0.0000000%)</t>
  </si>
  <si>
    <t>(AMZN, 0, 3.57%, 0.0000663%), (AVGO, 0, 3.28%, 0.0000929%), (META, 0, 2.63%, 0.0000716%), (TSLA, 0, 2.09%, 0.0000627%), (BRK/B, 0, 2.06%, 0.0001316%), (CSCO, 0, 1.70%, 0.0002786%), (LIN, 0, 1.69%, 0.0003337%), (JPM, 0, 1.65%, 0.0000835%), (XOM, 0, 1.44%, 0.0001304%), (AMT, 0, 1.40%, 0.0006752%), (V, 0, 1.32%, 0.0001007%), (CB, 0, 1.11%, 0.0004434%), (GE, 0, 1.08%, 0.0001542%), (LLY, 0, 1.08%, 0.0000693%), (MA, 0, 1.05%, 0.0000910%), (ORCL, 0, 1.05%, 0.0000574%), (WM, 0, 0.98%, 0.0004850%), (UNH, 0, 0.95%, 0.0001345%), (NEE, 0, 0.87%, 0.0002410%), (PLTR, 0, 0.84%, 0.0000918%), (NFLX, 0, 0.83%, 0.0000722%), (JNJ, 0, 0.82%, 0.0000831%), (CAT, 0, 0.78%, 0.0001550%), (CVX, 0, 0.75%, 0.0001033%), (RTX, 0, 0.74%, 0.0001492%), (ABBV, 0, 0.74%, 0.0000831%), (PG, 0, 0.73%, 0.0000901%), (COST, 0, 0.71%, 0.0000767%), (HD, 0, 0.70%, 0.0000756%), (ABT, 0, 0.69%, 0.0001320%), (MCD, 0, 0.69%, 0.0001394%), (BAC, 0, 0.65%, 0.0000735%), (IBM, 0, 0.60%, 0.0001007%), (WMT, 0, 0.59%, 0.0000317%), (BKNG, 0, 0.57%, 0.0001427%), (SO, 0, 0.57%, 0.0002431%), (KO, 0, 0.57%, 0.0000885%), (GS, 0, 0.57%, 0.0001037%), (PM, 0, 0.57%, 0.0000980%), (AMD, 0, 0.56%, 0.0000940%), (BA, 0, 0.55%, 0.0001479%), (UBER, 0, 0.54%, 0.0001160%), (CRM, 0, 0.54%, 0.0001022%), (DUK, 0, 0.53%, 0.0002427%), (WFC, 0, 0.52%, 0.0000848%), (NKE, 0, 0.51%, 0.0002734%), (AXP, 0, 0.51%, 0.0000945%), (MET, 0, 0.51%, 0.0004071%), (ETN, 0, 0.50%, 0.0001526%), (ISRG, 0, 0.47%, 0.0001329%), (HON, 0, 0.46%, 0.0001539%), (NOW, 0, 0.45%, 0.0001010%), (INTU, 0, 0.45%, 0.0001022%), (MS, 0, 0.45%, 0.0000769%), (PEP, 0, 0.43%, 0.0000985%), (T, 0, 0.41%, 0.0004222%), (DE, 0, 0.40%, 0.0001413%), (QCOM, 0, 0.39%, 0.0000968%), (BLK, 0, 0.39%, 0.0000930%), (MRK, 0, 0.38%, 0.0000842%), (UNP, 0, 0.37%, 0.0001175%), (VZ, 0, 0.37%, 0.0000902%), (ADBE, 0, 0.37%, 0.0001070%), (MDT, 0, 0.36%, 0.0001323%), (C, 0, 0.36%, 0.0000838%), (AMAT, 0, 0.36%, 0.0000973%), (ACN, 0, 0.36%, 0.0001021%), (TXN, 0, 0.36%, 0.0000943%), (COP, 0, 0.36%, 0.0001310%), (LMT, 0, 0.35%, 0.0001370%), (SPGI, 0, 0.35%, 0.0001037%), (DIS, 0, 0.34%, 0.0000720%), (TMO, 0, 0.34%, 0.0000846%), (SCHW, 0, 0.32%, 0.0000815%), (INTC, 0, 0.32%, 0.0000871%), (SBUX, 0, 0.30%, 0.0001384%), (MMM, 0, 0.29%, 0.0001540%), (CVS, 0, 0.29%, 0.0001312%), (TJX, 0, 0.28%, 0.0000768%), (AMGN, 0, 0.28%, 0.0000830%), (GILD, 0, 0.26%, 0.0000834%), (PFE, 0, 0.25%, 0.0000828%), (EMR, 0, 0.25%, 0.0001523%), (MO, 0, 0.25%, 0.0000991%), (LOW, 0, 0.25%, 0.0000767%), (DHR, 0, 0.23%, 0.0000756%), (ELV, 0, 0.22%, 0.0001381%), (CMCSA, 0, 0.20%, 0.0000751%), (MDLZ, 0, 0.19%, 0.0001018%), (BMY, 0, 0.17%, 0.0000828%), (UPS, 0, 0.16%, 0.0001143%), (PYPL, 0, 0.16%, 0.0001060%), (USB, 0, 0.14%, 0.0000818%), (FDX, 0, 0.14%, 0.0001093%), (CL, 0, 0.13%, 0.0000906%), (TGT, 0, 0.09%, 0.0000997%), (nan, 0, -0.00%, 0.0000000%), (nan, 0, -0.01%, 0.0000000%)</t>
  </si>
  <si>
    <t>(AMZN, 0, 3.64%, 0.0000239%), (AVGO, 0, 3.35%, 0.0000336%), (META, 0, 2.69%, 0.0000259%), (TSLA, 0, 2.13%, 0.0000226%), (BRK/B, 0, 2.10%, 0.0000475%), (CSCO, 0, 1.73%, 0.0001006%), (LIN, 0, 1.72%, 0.0001206%), (JPM, 0, 1.68%, 0.0000301%), (XOM, 0, 1.47%, 0.0000471%), (AMT, 0, 1.43%, 0.0002437%), (V, 0, 1.35%, 0.0000363%), (CB, 0, 1.13%, 0.0001601%), (GE, 0, 1.11%, 0.0000556%), (LLY, 0, 1.10%, 0.0000250%), (ORCL, 0, 1.07%, 0.0000207%), (MA, 0, 1.07%, 0.0000329%), (WM, 0, 1.00%, 0.0001752%), (UNH, 0, 0.97%, 0.0000486%), (NEE, 0, 0.88%, 0.0000870%), (PLTR, 0, 0.86%, 0.0000332%), (NFLX, 0, 0.85%, 0.0000260%), (JNJ, 0, 0.84%, 0.0000300%), (CAT, 0, 0.79%, 0.0000559%), (CVX, 0, 0.77%, 0.0000373%), (RTX, 0, 0.76%, 0.0000538%), (ABBV, 0, 0.75%, 0.0000300%), (PG, 0, 0.75%, 0.0000325%), (COST, 0, 0.72%, 0.0000278%), (HD, 0, 0.71%, 0.0000273%), (ABT, 0, 0.71%, 0.0000477%), (MCD, 0, 0.70%, 0.0000503%), (BAC, 0, 0.66%, 0.0000265%), (AXP, 0, 0.66%, 0.0000434%), (IBM, 0, 0.62%, 0.0000364%), (BKNG, 0, 0.60%, 0.0000527%), (WMT, 0, 0.59%, 0.0000113%), (SO, 0, 0.58%, 0.0000878%), (KO, 0, 0.58%, 0.0000319%), (GS, 0, 0.58%, 0.0000373%), (PM, 0, 0.58%, 0.0000354%), (AMD, 0, 0.57%, 0.0000340%), (BA, 0, 0.57%, 0.0000534%), (UBER, 0, 0.56%, 0.0000419%), (CRM, 0, 0.55%, 0.0000369%), (DUK, 0, 0.54%, 0.0000876%), (WFC, 0, 0.53%, 0.0000306%), (NKE, 0, 0.52%, 0.0000987%), (MET, 0, 0.52%, 0.0001469%), (ETN, 0, 0.50%, 0.0000550%), (ISRG, 0, 0.48%, 0.0000480%), (HON, 0, 0.47%, 0.0000556%), (NOW, 0, 0.46%, 0.0000365%), (INTU, 0, 0.46%, 0.0000369%), (MS, 0, 0.46%, 0.0000278%), (PEP, 0, 0.44%, 0.0000355%), (T, 0, 0.42%, 0.0001524%), (DE, 0, 0.42%, 0.0000510%), (QCOM, 0, 0.40%, 0.0000349%), (BLK, 0, 0.39%, 0.0000336%), (MRK, 0, 0.38%, 0.0000304%), (UNP, 0, 0.38%, 0.0000425%), (VZ, 0, 0.38%, 0.0000326%), (ADBE, 0, 0.38%, 0.0000387%), (MDT, 0, 0.37%, 0.0000478%), (C, 0, 0.37%, 0.0000303%), (AMAT, 0, 0.37%, 0.0000351%), (TXN, 0, 0.37%, 0.0000340%), (COP, 0, 0.36%, 0.0000473%), (ACN, 0, 0.36%, 0.0000369%), (LMT, 0, 0.36%, 0.0000493%), (SPGI, 0, 0.36%, 0.0000373%), (TMO, 0, 0.34%, 0.0000306%), (DIS, 0, 0.34%, 0.0000260%), (SCHW, 0, 0.33%, 0.0000294%), (INTC, 0, 0.33%, 0.0000315%), (SBUX, 0, 0.31%, 0.0000500%), (MMM, 0, 0.29%, 0.0000557%), (CVS, 0, 0.29%, 0.0000473%), (AMGN, 0, 0.28%, 0.0000299%), (TJX, 0, 0.28%, 0.0000278%), (GILD, 0, 0.27%, 0.0000301%), (PFE, 0, 0.26%, 0.0000299%), (EMR, 0, 0.26%, 0.0000549%), (MO, 0, 0.25%, 0.0000358%), (LOW, 0, 0.25%, 0.0000276%), (DHR, 0, 0.23%, 0.0000273%), (ELV, 0, 0.23%, 0.0000499%), (CMCSA, 0, 0.20%, 0.0000271%), (MDLZ, 0, 0.19%, 0.0000367%), (BMY, 0, 0.17%, 0.0000299%), (UPS, 0, 0.16%, 0.0000412%), (PYPL, 0, 0.16%, 0.0000383%), (USB, 0, 0.14%, 0.0000296%), (FDX, 0, 0.14%, 0.0000394%), (CL, 0, 0.14%, 0.0000328%), (TGT, 0, 0.07%, 0.0000282%), (nan, 0, -0.00%, 0.0000000%), (nan, 0, -0.01%, 0.0000000%)</t>
  </si>
  <si>
    <t>(AMZN, 0, 3.85%, 0.0000571%), (AVGO, 0, 3.54%, 0.0000800%), (META, 0, 2.84%, 0.0000616%), (TSLA, 0, 2.25%, 0.0000540%), (BRK/B, 0, 2.22%, 0.0001133%), (CSCO, 0, 1.83%, 0.0002399%), (LIN, 0, 1.82%, 0.0002874%), (JPM, 0, 1.78%, 0.0000719%), (XOM, 0, 1.56%, 0.0001123%), (AMT, 0, 1.52%, 0.0005814%), (V, 0, 1.43%, 0.0000867%), (CB, 0, 1.20%, 0.0003817%), (GE, 0, 1.17%, 0.0001327%), (LLY, 0, 1.16%, 0.0000597%), (MA, 0, 1.13%, 0.0000783%), (ORCL, 0, 1.13%, 0.0000494%), (WM, 0, 1.05%, 0.0004175%), (UNH, 0, 1.02%, 0.0001157%), (NEE, 0, 0.93%, 0.0002075%), (PLTR, 0, 0.91%, 0.0000790%), (NFLX, 0, 0.90%, 0.0000621%), (JNJ, 0, 0.89%, 0.0000715%), (CAT, 0, 0.84%, 0.0001334%), (CVX, 0, 0.81%, 0.0000889%), (RTX, 0, 0.80%, 0.0001284%), (ABBV, 0, 0.80%, 0.0000716%), (PG, 0, 0.79%, 0.0000775%), (COST, 0, 0.76%, 0.0000661%), (HD, 0, 0.75%, 0.0000651%), (ABT, 0, 0.75%, 0.0001136%), (MCD, 0, 0.74%, 0.0001200%), (BAC, 0, 0.70%, 0.0000633%), (IBM, 0, 0.65%, 0.0000868%), (BKNG, 0, 0.63%, 0.0001241%), (SO, 0, 0.62%, 0.0002093%), (KO, 0, 0.62%, 0.0000762%), (PM, 0, 0.61%, 0.0000844%), (GS, 0, 0.61%, 0.0000890%), (WMT, 0, 0.60%, 0.0000259%), (AMD, 0, 0.60%, 0.0000809%), (BA, 0, 0.60%, 0.0001272%), (UBER, 0, 0.59%, 0.0000999%), (CRM, 0, 0.59%, 0.0000880%), (DUK, 0, 0.57%, 0.0002090%), (WFC, 0, 0.56%, 0.0000730%), (AXP, 0, 0.56%, 0.0000833%), (NKE, 0, 0.55%, 0.0002353%), (MET, 0, 0.55%, 0.0003504%), (ETN, 0, 0.54%, 0.0001313%), (ISRG, 0, 0.51%, 0.0001145%), (HON, 0, 0.50%, 0.0001325%), (INTU, 0, 0.49%, 0.0000882%), (NOW, 0, 0.48%, 0.0000870%), (MS, 0, 0.48%, 0.0000662%), (PEP, 0, 0.46%, 0.0000848%), (T, 0, 0.45%, 0.0003635%), (DE, 0, 0.44%, 0.0001217%), (QCOM, 0, 0.42%, 0.0000833%), (BLK, 0, 0.42%, 0.0000801%), (MRK, 0, 0.41%, 0.0000725%), (VZ, 0, 0.40%, 0.0000776%), (UNP, 0, 0.40%, 0.0001012%), (ADBE, 0, 0.40%, 0.0000922%), (MDT, 0, 0.39%, 0.0001139%), (C, 0, 0.39%, 0.0000721%), (AMAT, 0, 0.39%, 0.0000837%), (TXN, 0, 0.39%, 0.0000812%), (COP, 0, 0.38%, 0.0001128%), (ACN, 0, 0.38%, 0.0000880%), (LMT, 0, 0.38%, 0.0001180%), (SPGI, 0, 0.38%, 0.0000892%), (DIS, 0, 0.36%, 0.0000620%), (TMO, 0, 0.36%, 0.0000729%), (SCHW, 0, 0.35%, 0.0000702%), (INTC, 0, 0.34%, 0.0000750%), (SBUX, 0, 0.33%, 0.0001192%), (MMM, 0, 0.31%, 0.0001327%), (CVS, 0, 0.31%, 0.0001130%), (AMGN, 0, 0.30%, 0.0000715%), (TJX, 0, 0.30%, 0.0000661%), (GILD, 0, 0.29%, 0.0000718%), (PFE, 0, 0.27%, 0.0000713%), (EMR, 0, 0.27%, 0.0001311%), (MO, 0, 0.27%, 0.0000853%), (LOW, 0, 0.27%, 0.0000660%), (DHR, 0, 0.24%, 0.0000651%), (ELV, 0, 0.24%, 0.0001188%), (CMCSA, 0, 0.21%, 0.0000647%), (MDLZ, 0, 0.20%, 0.0000876%), (BMY, 0, 0.18%, 0.0000713%), (UPS, 0, 0.17%, 0.0000984%), (PYPL, 0, 0.17%, 0.0000913%), (USB, 0, 0.15%, 0.0000704%), (FDX, 0, 0.15%, 0.0000941%), (CL, 0, 0.14%, 0.0000780%), (TGT, 0, 0.10%, 0.0000889%), (nan, 0, -0.01%, 0.0000000%), (nan, 0, -0.01%, 0.0000000%)</t>
  </si>
  <si>
    <t>KLAC, GOOGLE, NVDA, EBAY, AMAT, BK, MLI, BKR, JPM, MSFT, PHM</t>
  </si>
  <si>
    <t>(LRCX, 0, 1.98%, 0.0006635%), (META, 0, 1.96%, 0.0000669%), (AXP, 0, 1.91%, 0.0004487%), (RJF, 0, 1.89%, 0.0029837%), (WSM, 0, 1.85%, 0.0043764%), (EWBC, 0, 1.84%, 0.0069140%), (HIG, 0, 1.80%, 0.0027138%), (ROST, 0, 1.79%, 0.0020097%), (BKNG, 0, 1.77%, 0.0005553%), (TRV, 0, 1.77%, 0.0015924%), (EA, 0, 1.76%, 0.0019378%), (SNA, 0, 1.74%, 0.0054069%), (UNM, 0, 1.72%, 0.0072402%), (V, 0, 1.68%, 0.0001613%), (CB, 0, 1.67%, 0.0008449%), (MPWR, 0, 1.65%, 0.0021340%), (PCAR, 0, 1.65%, 0.0017428%), (ADP, 0, 1.61%, 0.0007529%), (GE, 0, 1.56%, 0.0002801%), (BLK, 0, 1.49%, 0.0004533%), (CRM, 0, 1.48%, 0.0003514%), (CTSH, 0, 1.46%, 0.0024987%), (STT, 0, 1.45%, 0.0024614%), (SYF, 0, 1.41%, 0.0029711%), (AAPL, 0, 1.40%, 0.0000207%), (QCOM, 0, 1.36%, 0.0004213%), (PNC, 0, 1.36%, 0.0009454%), (ACN, 0, 1.35%, 0.0004841%), (ABT, 0, 1.26%, 0.0003032%), (LEN, 0, 1.26%, 0.0024316%), (ELV, 0, 1.02%, 0.0007933%), (DHI, 0, 1.00%, 0.0011047%), (GEV, 0, 0.96%, 0.0003280%), (ACM, 0, 0.96%, 0.0030805%), (MA, 0, 0.90%, 0.0000985%), (ALL, 0, 0.88%, 0.0008801%), (AFL, 0, 0.85%, 0.0007907%), (PAYC, 0, 0.83%, 0.0036180%), (AMP, 0, 0.82%, 0.0009816%), (COST, 0, 0.81%, 0.0001103%), (PGR, 0, 0.80%, 0.0003098%), (ODFL, 0, 0.69%, 0.0012933%), (NTRS, 0, 0.53%, 0.0011469%), (CSCO, 0, 0.50%, 0.0001030%), (FOXA, 0, 0.48%, 0.0020359%), (JNJ, 0, 0.48%, 0.0000603%), (BAC, 0, 0.47%, 0.0000674%), (MET, 0, 0.46%, 0.0004680%), (VLTO, 0, 0.45%, 0.0009605%), (COKE, 0, 0.45%, 0.0028646%), (RMD, 0, 0.45%, 0.0006317%), (CF, 0, 0.44%, 0.0016602%), (LNC, 0, 0.43%, 0.0031231%), (MTB, 0, 0.43%, 0.0007853%), (MCK, 0, 0.43%, 0.0002516%), (CINF, 0, 0.43%, 0.0009672%), (XOM, 0, 0.42%, 0.0000479%), (WTFC, 0, 0.42%, 0.0026093%), (EQH, 0, 0.40%, 0.0014038%), (EG, 0, 0.39%, 0.0014810%), (DOV, 0, 0.38%, 0.0009245%), (EOG, 0, 0.37%, 0.0003313%), (CSL, 0, 0.32%, 0.0012636%)</t>
  </si>
  <si>
    <t>(AMZN, 0, 3.54%, 0.0000610%), (AVGO, 0, 3.25%, 0.0000854%), (META, 0, 2.61%, 0.0000658%), (TSLA, 0, 2.07%, 0.0000577%), (BRK/B, 0, 2.04%, 0.0001209%), (CSCO, 0, 1.68%, 0.0002561%), (LIN, 0, 1.67%, 0.0003067%), (JPM, 0, 1.63%, 0.0000768%), (XOM, 0, 1.43%, 0.0001199%), (AMT, 0, 1.39%, 0.0006207%), (V, 0, 1.31%, 0.0000925%), (CB, 0, 1.10%, 0.0004076%), (GE, 0, 1.07%, 0.0001417%), (LLY, 0, 1.07%, 0.0000637%), (MA, 0, 1.04%, 0.0000837%), (ORCL, 0, 1.04%, 0.0000528%), (WM, 0, 0.97%, 0.0004458%), (UNH, 0, 0.94%, 0.0001235%), (NEE, 0, 0.86%, 0.0002216%), (PLTR, 0, 0.84%, 0.0000844%), (NFLX, 0, 0.83%, 0.0000663%), (JNJ, 0, 0.82%, 0.0000763%), (CAT, 0, 0.77%, 0.0001424%), (CVX, 0, 0.74%, 0.0000949%), (RTX, 0, 0.73%, 0.0001372%), (ABBV, 0, 0.73%, 0.0000764%), (PG, 0, 0.73%, 0.0000828%), (COST, 0, 0.70%, 0.0000706%), (HD, 0, 0.69%, 0.0000695%), (ABT, 0, 0.69%, 0.0001213%), (MCD, 0, 0.68%, 0.0001281%), (BAC, 0, 0.64%, 0.0000676%), (IBM, 0, 0.60%, 0.0000925%), (WMT, 0, 0.59%, 0.0000296%), (SO, 0, 0.57%, 0.0002235%), (KO, 0, 0.57%, 0.0000813%), (BKNG, 0, 0.57%, 0.0001303%), (GS, 0, 0.56%, 0.0000954%), (PM, 0, 0.56%, 0.0000901%), (AMD, 0, 0.55%, 0.0000864%), (BA, 0, 0.55%, 0.0001359%), (UBER, 0, 0.54%, 0.0001067%), (CRM, 0, 0.54%, 0.0000940%), (DUK, 0, 0.52%, 0.0002232%), (WFC, 0, 0.52%, 0.0000779%), (AXP, 0, 0.51%, 0.0000880%), (NKE, 0, 0.50%, 0.0002513%), (MET, 0, 0.50%, 0.0003741%), (ETN, 0, 0.49%, 0.0001403%), (ISRG, 0, 0.47%, 0.0001221%), (HON, 0, 0.46%, 0.0001414%), (NOW, 0, 0.45%, 0.0000928%), (INTU, 0, 0.45%, 0.0000940%), (MS, 0, 0.44%, 0.0000707%), (PEP, 0, 0.42%, 0.0000905%), (T, 0, 0.41%, 0.0003881%), (DE, 0, 0.40%, 0.0001302%), (QCOM, 0, 0.39%, 0.0000890%), (BLK, 0, 0.38%, 0.0000852%), (MRK, 0, 0.37%, 0.0000773%), (UNP, 0, 0.37%, 0.0001081%), (VZ, 0, 0.37%, 0.0000829%), (ADBE, 0, 0.36%, 0.0000984%), (MDT, 0, 0.36%, 0.0001216%), (C, 0, 0.36%, 0.0000770%), (AMAT, 0, 0.36%, 0.0000894%), (ACN, 0, 0.36%, 0.0000939%), (TXN, 0, 0.35%, 0.0000867%), (COP, 0, 0.35%, 0.0001204%), (LMT, 0, 0.35%, 0.0001258%), (SPGI, 0, 0.35%, 0.0000954%), (DIS, 0, 0.33%, 0.0000662%), (TMO, 0, 0.33%, 0.0000777%), (SCHW, 0, 0.32%, 0.0000749%), (INTC, 0, 0.32%, 0.0000801%), (SBUX, 0, 0.30%, 0.0001272%), (MMM, 0, 0.28%, 0.0001416%), (CVS, 0, 0.28%, 0.0001206%), (TJX, 0, 0.28%, 0.0000706%), (AMGN, 0, 0.28%, 0.0000763%), (GILD, 0, 0.26%, 0.0000767%), (PFE, 0, 0.25%, 0.0000761%), (EMR, 0, 0.25%, 0.0001400%), (MO, 0, 0.25%, 0.0000911%), (LOW, 0, 0.25%, 0.0000704%), (DHR, 0, 0.22%, 0.0000695%), (ELV, 0, 0.22%, 0.0001269%), (CMCSA, 0, 0.19%, 0.0000691%), (MDLZ, 0, 0.18%, 0.0000935%), (BMY, 0, 0.17%, 0.0000761%), (UPS, 0, 0.16%, 0.0001050%), (PYPL, 0, 0.15%, 0.0000975%), (USB, 0, 0.14%, 0.0000752%), (FDX, 0, 0.14%, 0.0001004%), (CL, 0, 0.13%, 0.0000832%), (TGT, 0, 0.09%, 0.0000935%), (nan, 0, -0.00%, 0.0000000%), (nan, 0, -0.01%, 0.0000000%)</t>
  </si>
  <si>
    <t>(AMZN, 0, 3.70%, 0.0001247%), (AVGO, 0, 3.40%, 0.0001747%), (META, 0, 2.73%, 0.0001346%), (TSLA, 0, 2.16%, 0.0001179%), (BRK/B, 0, 2.13%, 0.0002473%), (CSCO, 0, 1.76%, 0.0005237%), (LIN, 0, 1.75%, 0.0006273%), (JPM, 0, 1.71%, 0.0001570%), (XOM, 0, 1.49%, 0.0002451%), (AMT, 0, 1.45%, 0.0012693%), (V, 0, 1.37%, 0.0001892%), (CB, 0, 1.15%, 0.0008332%), (GE, 0, 1.12%, 0.0002899%), (LLY, 0, 1.12%, 0.0001302%), (MA, 0, 1.08%, 0.0001711%), (ORCL, 0, 1.08%, 0.0001079%), (WM, 0, 1.01%, 0.0009117%), (UNH, 0, 0.98%, 0.0002527%), (NEE, 0, 0.90%, 0.0004531%), (PLTR, 0, 0.87%, 0.0001725%), (NFLX, 0, 0.87%, 0.0001357%), (JNJ, 0, 0.85%, 0.0001561%), (CAT, 0, 0.80%, 0.0002912%), (CVX, 0, 0.78%, 0.0001941%), (RTX, 0, 0.77%, 0.0002804%), (ABBV, 0, 0.76%, 0.0001562%), (PG, 0, 0.76%, 0.0001693%), (COST, 0, 0.73%, 0.0001442%), (HD, 0, 0.72%, 0.0001422%), (ABT, 0, 0.72%, 0.0002481%), (MCD, 0, 0.71%, 0.0002620%), (BAC, 0, 0.67%, 0.0001382%), (IBM, 0, 0.63%, 0.0001894%), (WMT, 0, 0.61%, 0.0000597%), (BKNG, 0, 0.59%, 0.0002668%), (SO, 0, 0.59%, 0.0004570%), (KO, 0, 0.59%, 0.0001663%), (GS, 0, 0.59%, 0.0001947%), (PM, 0, 0.59%, 0.0001843%), (AMD, 0, 0.58%, 0.0001766%), (BA, 0, 0.57%, 0.0002779%), (UBER, 0, 0.56%, 0.0002181%), (CRM, 0, 0.56%, 0.0001922%), (DUK, 0, 0.55%, 0.0004562%), (WFC, 0, 0.54%, 0.0001594%), (AXP, 0, 0.53%, 0.0001793%), (NKE, 0, 0.53%, 0.0005139%), (MET, 0, 0.52%, 0.0007651%), (ETN, 0, 0.51%, 0.0002869%), (ISRG, 0, 0.49%, 0.0002499%), (HON, 0, 0.48%, 0.0002893%), (INTU, 0, 0.47%, 0.0001922%), (NOW, 0, 0.47%, 0.0001894%), (MS, 0, 0.46%, 0.0001445%), (PEP, 0, 0.44%, 0.0001852%), (T, 0, 0.43%, 0.0007936%), (DE, 0, 0.42%, 0.0002660%), (QCOM, 0, 0.41%, 0.0001818%), (BLK, 0, 0.40%, 0.0001750%), (MRK, 0, 0.39%, 0.0001582%), (UNP, 0, 0.39%, 0.0002209%), (VZ, 0, 0.39%, 0.0001695%), (ADBE, 0, 0.38%, 0.0002011%), (MDT, 0, 0.38%, 0.0002487%), (C, 0, 0.38%, 0.0001575%), (AMAT, 0, 0.37%, 0.0001828%), (TXN, 0, 0.37%, 0.0001773%), (ACN, 0, 0.37%, 0.0001920%), (COP, 0, 0.37%, 0.0002463%), (LMT, 0, 0.37%, 0.0002576%), (SPGI, 0, 0.36%, 0.0001952%), (DIS, 0, 0.35%, 0.0001354%), (TMO, 0, 0.35%, 0.0001589%), (SCHW, 0, 0.34%, 0.0001532%), (INTC, 0, 0.33%, 0.0001638%), (SBUX, 0, 0.31%, 0.0002601%), (MMM, 0, 0.30%, 0.0002895%), (CVS, 0, 0.30%, 0.0002466%), (AMGN, 0, 0.29%, 0.0001560%), (TJX, 0, 0.29%, 0.0001443%), (GILD, 0, 0.27%, 0.0001568%), (PFE, 0, 0.26%, 0.0001557%), (EMR, 0, 0.26%, 0.0002862%), (MO, 0, 0.26%, 0.0001863%), (LOW, 0, 0.26%, 0.0001441%), (DHR, 0, 0.23%, 0.0001421%), (ELV, 0, 0.23%, 0.0002596%), (CMCSA, 0, 0.20%, 0.0001412%), (MDLZ, 0, 0.19%, 0.0001913%), (BMY, 0, 0.18%, 0.0001556%), (UPS, 0, 0.17%, 0.0002147%), (PYPL, 0, 0.16%, 0.0001993%), (USB, 0, 0.15%, 0.0001537%), (FDX, 0, 0.14%, 0.0002060%), (CL, 0, 0.14%, 0.0001703%), (TGT, 0, 0.10%, 0.0001901%), (nan, 0, -0.00%, 0.0000000%), (nan, 0, -0.01%, 0.0000000%)</t>
  </si>
  <si>
    <t>(AMZN, 0, 3.49%, 0.0002489%), (AVGO, 0, 3.21%, 0.0003488%), (META, 0, 2.57%, 0.0002687%), (TSLA, 0, 2.04%, 0.0002354%), (BRK/B, 0, 2.01%, 0.0004938%), (CSCO, 0, 1.66%, 0.0010455%), (LIN, 0, 1.65%, 0.0012524%), (JPM, 0, 1.61%, 0.0003135%), (XOM, 0, 1.41%, 0.0004894%), (AMT, 0, 1.37%, 0.0025342%), (V, 0, 1.29%, 0.0003778%), (CB, 0, 1.08%, 0.0016636%), (GE, 0, 1.06%, 0.0005788%), (LLY, 0, 1.05%, 0.0002599%), (MA, 0, 1.02%, 0.0003415%), (ORCL, 0, 1.02%, 0.0002154%), (WM, 0, 0.95%, 0.0018205%), (UNH, 0, 0.93%, 0.0005045%), (NEE, 0, 0.85%, 0.0009046%), (PLTR, 0, 0.82%, 0.0003444%), (NFLX, 0, 0.82%, 0.0002707%), (JNJ, 0, 0.81%, 0.0003116%), (CAT, 0, 0.76%, 0.0005812%), (CVX, 0, 0.74%, 0.0003875%), (RTX, 0, 0.72%, 0.0005600%), (ABBV, 0, 0.72%, 0.0003120%), (PG, 0, 0.72%, 0.0003381%), (COST, 0, 0.69%, 0.0002879%), (HD, 0, 0.68%, 0.0002837%), (ABT, 0, 0.68%, 0.0004953%), (MCD, 0, 0.67%, 0.0005231%), (BAC, 0, 0.63%, 0.0002759%), (IBM, 0, 0.59%, 0.0003780%), (BKNG, 0, 0.56%, 0.0005336%), (SO, 0, 0.56%, 0.0009124%), (KO, 0, 0.56%, 0.0003321%), (GS, 0, 0.56%, 0.0003888%), (PM, 0, 0.55%, 0.0003680%), (WMT, 0, 0.55%, 0.0001129%), (AMD, 0, 0.55%, 0.0003527%), (BA, 0, 0.54%, 0.0005548%), (AXP, 0, 0.54%, 0.0003872%), (UBER, 0, 0.53%, 0.0004355%), (CRM, 0, 0.53%, 0.0003837%), (DUK, 0, 0.52%, 0.0009108%), (WFC, 0, 0.51%, 0.0003182%), (NKE, 0, 0.50%, 0.0010261%), (MET, 0, 0.49%, 0.0015275%), (ETN, 0, 0.49%, 0.0005726%), (ISRG, 0, 0.46%, 0.0004990%), (HON, 0, 0.45%, 0.0005777%), (INTU, 0, 0.44%, 0.0003841%), (NOW, 0, 0.44%, 0.0003784%), (MS, 0, 0.44%, 0.0002886%), (PEP, 0, 0.42%, 0.0003697%), (T, 0, 0.41%, 0.0015844%), (DE, 0, 0.40%, 0.0005308%), (QCOM, 0, 0.38%, 0.0003631%), (BLK, 0, 0.38%, 0.0003494%), (MRK, 0, 0.37%, 0.0003158%), (UNP, 0, 0.37%, 0.0004409%), (VZ, 0, 0.37%, 0.0003384%), (ADBE, 0, 0.36%, 0.0004018%), (MDT, 0, 0.35%, 0.0004965%), (C, 0, 0.35%, 0.0003145%), (AMAT, 0, 0.35%, 0.0003649%), (TXN, 0, 0.35%, 0.0003541%), (ACN, 0, 0.35%, 0.0003834%), (COP, 0, 0.35%, 0.0004917%), (LMT, 0, 0.35%, 0.0005143%), (SPGI, 0, 0.34%, 0.0003894%), (DIS, 0, 0.33%, 0.0002703%), (TMO, 0, 0.33%, 0.0003175%), (SCHW, 0, 0.32%, 0.0003059%), (INTC, 0, 0.31%, 0.0003270%), (SBUX, 0, 0.30%, 0.0005194%), (MMM, 0, 0.28%, 0.0005783%), (CVS, 0, 0.28%, 0.0004923%), (TJX, 0, 0.27%, 0.0002882%), (AMGN, 0, 0.27%, 0.0003113%), (GILD, 0, 0.26%, 0.0003129%), (PFE, 0, 0.25%, 0.0003108%), (EMR, 0, 0.25%, 0.0005714%), (MO, 0, 0.24%, 0.0003720%), (LOW, 0, 0.24%, 0.0002876%), (DHR, 0, 0.22%, 0.0002839%), (ELV, 0, 0.22%, 0.0005184%), (CMCSA, 0, 0.19%, 0.0002819%), (MDLZ, 0, 0.18%, 0.0003818%), (BMY, 0, 0.17%, 0.0003107%), (UPS, 0, 0.16%, 0.0004286%), (PYPL, 0, 0.15%, 0.0003979%), (USB, 0, 0.14%, 0.0003069%), (FDX, 0, 0.14%, 0.0004107%), (CL, 0, 0.13%, 0.0003400%), (TGT, 0, 0.09%, 0.0003798%), (nan, 0, -0.01%, 0.0000000%), (nan, 0, -0.01%, 0.0000000%)</t>
  </si>
  <si>
    <t>(AMZN, 0, 3.35%, 0.0000358%), (AVGO, 0, 3.12%, 0.0000501%), (META, 0, 2.47%, 0.0000386%), (TSLA, 0, 1.99%, 0.0000338%), (BRK/B, 0, 1.97%, 0.0000709%), (CSCO, 0, 1.62%, 0.0001502%), (LIN, 0, 1.60%, 0.0001801%), (JPM, 0, 1.56%, 0.0000450%), (XOM, 0, 1.35%, 0.0000703%), (AMT, 0, 1.31%, 0.0003642%), (V, 0, 1.26%, 0.0000543%), (LLY, 0, 1.06%, 0.0000373%), (CB, 0, 1.06%, 0.0002389%), (GE, 0, 1.05%, 0.0000831%), (MA, 0, 1.00%, 0.0000491%), (ORCL, 0, 0.99%, 0.0000309%), (WM, 0, 0.93%, 0.0002614%), (UNH, 0, 0.90%, 0.0000724%), (NEE, 0, 0.82%, 0.0001300%), (PLTR, 0, 0.81%, 0.0000495%), (JNJ, 0, 0.80%, 0.0000448%), (NFLX, 0, 0.79%, 0.0000387%), (CAT, 0, 0.74%, 0.0000835%), (WMT, 0, 0.74%, 0.0000225%), (ABBV, 0, 0.73%, 0.0000448%), (RTX, 0, 0.72%, 0.0000804%), (CVX, 0, 0.71%, 0.0000556%), (PG, 0, 0.70%, 0.0000486%), (COST, 0, 0.68%, 0.0000413%), (ABT, 0, 0.66%, 0.0000711%), (HD, 0, 0.66%, 0.0000408%), (MCD, 0, 0.65%, 0.0000753%), (BAC, 0, 0.61%, 0.0000396%), (IBM, 0, 0.57%, 0.0000543%), (SO, 0, 0.55%, 0.0001311%), (KO, 0, 0.54%, 0.0000477%), (BKNG, 0, 0.54%, 0.0000776%), (PM, 0, 0.53%, 0.0000529%), (GS, 0, 0.53%, 0.0000557%), (AMD, 0, 0.53%, 0.0000507%), (BA, 0, 0.52%, 0.0000797%), (UBER, 0, 0.51%, 0.0000626%), (DUK, 0, 0.50%, 0.0001309%), (CRM, 0, 0.50%, 0.0000551%), (WFC, 0, 0.49%, 0.0000457%), (NKE, 0, 0.48%, 0.0001474%), (MET, 0, 0.48%, 0.0002194%), (ETN, 0, 0.48%, 0.0000822%), (ISRG, 0, 0.45%, 0.0000717%), (HON, 0, 0.44%, 0.0000830%), (MS, 0, 0.42%, 0.0000415%), (INTU, 0, 0.42%, 0.0000549%), (NOW, 0, 0.42%, 0.0000543%), (PEP, 0, 0.41%, 0.0000532%), (T, 0, 0.40%, 0.0002277%), (AXP, 0, 0.40%, 0.0000431%), (DE, 0, 0.38%, 0.0000762%), (QCOM, 0, 0.38%, 0.0000522%), (MRK, 0, 0.37%, 0.0000454%), (VZ, 0, 0.36%, 0.0000486%), (BLK, 0, 0.36%, 0.0000497%), (UNP, 0, 0.35%, 0.0000632%), (MDT, 0, 0.35%, 0.0000713%), (LMT, 0, 0.34%, 0.0000739%), (AMAT, 0, 0.34%, 0.0000525%), (ADBE, 0, 0.34%, 0.0000578%), (TXN, 0, 0.34%, 0.0000508%), (C, 0, 0.34%, 0.0000452%), (ACN, 0, 0.34%, 0.0000551%), (COP, 0, 0.33%, 0.0000706%), (TMO, 0, 0.33%, 0.0000455%), (SPGI, 0, 0.33%, 0.0000558%), (DIS, 0, 0.32%, 0.0000388%), (SCHW, 0, 0.30%, 0.0000440%), (INTC, 0, 0.29%, 0.0000470%), (SBUX, 0, 0.29%, 0.0000746%), (MMM, 0, 0.27%, 0.0000832%), (CVS, 0, 0.27%, 0.0000707%), (AMGN, 0, 0.27%, 0.0000448%), (TJX, 0, 0.27%, 0.0000413%), (PFE, 0, 0.25%, 0.0000446%), (GILD, 0, 0.25%, 0.0000449%), (EMR, 0, 0.24%, 0.0000821%), (MO, 0, 0.24%, 0.0000534%), (LOW, 0, 0.23%, 0.0000414%), (DHR, 0, 0.22%, 0.0000408%), (ELV, 0, 0.21%, 0.0000742%), (CMCSA, 0, 0.19%, 0.0000405%), (MDLZ, 0, 0.18%, 0.0000549%), (BMY, 0, 0.16%, 0.0000447%), (UPS, 0, 0.15%, 0.0000615%), (PYPL, 0, 0.14%, 0.0000572%), (USB, 0, 0.13%, 0.0000441%), (FDX, 0, 0.13%, 0.0000593%), (CL, 0, 0.13%, 0.0000489%), (TGT, 0, 0.07%, 0.0000418%), (nan, 0, -0.00%, 0.0000000%), (nan, 0, -0.00%, 0.0000000%)</t>
  </si>
  <si>
    <t>(AMZN, 0, 3.62%, 0.0002129%), (AVGO, 0, 3.37%, 0.0002983%), (META, 0, 2.67%, 0.0002297%), (TSLA, 0, 2.14%, 0.0002013%), (BRK/B, 0, 2.12%, 0.0004223%), (CSCO, 0, 1.75%, 0.0008941%), (LIN, 0, 1.73%, 0.0010710%), (JPM, 0, 1.69%, 0.0002681%), (XOM, 0, 1.46%, 0.0004185%), (AMT, 0, 1.42%, 0.0021673%), (V, 0, 1.36%, 0.0003231%), (CB, 0, 1.15%, 0.0014227%), (LLY, 0, 1.15%, 0.0002222%), (GE, 0, 1.13%, 0.0004949%), (MA, 0, 1.07%, 0.0002921%), (ORCL, 0, 1.07%, 0.0001842%), (WM, 0, 1.01%, 0.0015566%), (UNH, 0, 0.98%, 0.0004314%), (NEE, 0, 0.88%, 0.0007736%), (PLTR, 0, 0.88%, 0.0002945%), (JNJ, 0, 0.86%, 0.0002665%), (NFLX, 0, 0.85%, 0.0002315%), (CAT, 0, 0.80%, 0.0004971%), (WMT, 0, 0.80%, 0.0001341%), (ABBV, 0, 0.78%, 0.0002668%), (RTX, 0, 0.78%, 0.0004789%), (CVX, 0, 0.77%, 0.0003314%), (PG, 0, 0.75%, 0.0002891%), (COST, 0, 0.73%, 0.0002462%), (ABT, 0, 0.72%, 0.0004236%), (HD, 0, 0.71%, 0.0002426%), (MCD, 0, 0.70%, 0.0004474%), (BAC, 0, 0.65%, 0.0002360%), (IBM, 0, 0.62%, 0.0003233%), (SO, 0, 0.59%, 0.0007802%), (KO, 0, 0.59%, 0.0002840%), (BKNG, 0, 0.58%, 0.0004560%), (PM, 0, 0.58%, 0.0003147%), (GS, 0, 0.58%, 0.0003324%), (AMD, 0, 0.57%, 0.0003016%), (BA, 0, 0.57%, 0.0004744%), (UBER, 0, 0.55%, 0.0003724%), (DUK, 0, 0.54%, 0.0007789%), (CRM, 0, 0.54%, 0.0003280%), (WFC, 0, 0.53%, 0.0002721%), (NKE, 0, 0.52%, 0.0008775%), (MET, 0, 0.52%, 0.0013063%), (ETN, 0, 0.52%, 0.0004896%), (ISRG, 0, 0.49%, 0.0004265%), (HON, 0, 0.48%, 0.0004939%), (INTU, 0, 0.45%, 0.0003285%), (MS, 0, 0.45%, 0.0002468%), (NOW, 0, 0.45%, 0.0003236%), (PEP, 0, 0.44%, 0.0003162%), (T, 0, 0.43%, 0.0013550%), (AXP, 0, 0.43%, 0.0002565%), (DE, 0, 0.41%, 0.0004543%), (QCOM, 0, 0.41%, 0.0003106%), (MRK, 0, 0.40%, 0.0002701%), (BLK, 0, 0.39%, 0.0002983%), (VZ, 0, 0.39%, 0.0002894%), (UNP, 0, 0.38%, 0.0003770%), (MDT, 0, 0.38%, 0.0004246%), (AMAT, 0, 0.37%, 0.0003121%), (ADBE, 0, 0.37%, 0.0003435%), (LMT, 0, 0.37%, 0.0004395%), (TXN, 0, 0.37%, 0.0003028%), (C, 0, 0.37%, 0.0002690%), (ACN, 0, 0.36%, 0.0003278%), (COP, 0, 0.36%, 0.0004204%), (TMO, 0, 0.36%, 0.0002715%), (SPGI, 0, 0.36%, 0.0003332%), (DIS, 0, 0.34%, 0.0002312%), (SCHW, 0, 0.33%, 0.0002615%), (INTC, 0, 0.32%, 0.0002796%), (SBUX, 0, 0.31%, 0.0004443%), (MMM, 0, 0.29%, 0.0004945%), (CVS, 0, 0.29%, 0.0004210%), (AMGN, 0, 0.29%, 0.0002662%), (TJX, 0, 0.29%, 0.0002465%), (PFE, 0, 0.27%, 0.0002658%), (GILD, 0, 0.27%, 0.0002676%), (EMR, 0, 0.26%, 0.0004886%), (MO, 0, 0.26%, 0.0003181%), (LOW, 0, 0.25%, 0.0002461%), (DHR, 0, 0.24%, 0.0002427%), (ELV, 0, 0.23%, 0.0004432%), (CMCSA, 0, 0.20%, 0.0002411%), (MDLZ, 0, 0.19%, 0.0003265%), (BMY, 0, 0.18%, 0.0002657%), (UPS, 0, 0.16%, 0.0003666%), (PYPL, 0, 0.15%, 0.0003403%), (USB, 0, 0.14%, 0.0002625%), (FDX, 0, 0.14%, 0.0003513%), (CL, 0, 0.14%, 0.0002908%), (TGT, 0, 0.07%, 0.0002496%), (nan, 0, -0.00%, 0.0000000%), (nan, 0, -0.00%, 0.0000000%)</t>
  </si>
  <si>
    <t>(AMZN, 0, 3.62%, 0.0001586%), (AVGO, 0, 3.37%, 0.0002222%), (META, 0, 2.67%, 0.0001712%), (TSLA, 0, 2.14%, 0.0001500%), (BRK/B, 0, 2.12%, 0.0003145%), (CSCO, 0, 1.75%, 0.0006660%), (LIN, 0, 1.73%, 0.0007979%), (JPM, 0, 1.69%, 0.0001997%), (XOM, 0, 1.46%, 0.0003118%), (AMT, 0, 1.42%, 0.0016142%), (V, 0, 1.36%, 0.0002407%), (CB, 0, 1.15%, 0.0010598%), (LLY, 0, 1.15%, 0.0001655%), (GE, 0, 1.13%, 0.0003687%), (MA, 0, 1.07%, 0.0002176%), (ORCL, 0, 1.07%, 0.0001372%), (WM, 0, 1.01%, 0.0011597%), (UNH, 0, 0.98%, 0.0003214%), (NEE, 0, 0.88%, 0.0005762%), (PLTR, 0, 0.88%, 0.0002194%), (JNJ, 0, 0.86%, 0.0001985%), (NFLX, 0, 0.85%, 0.0001725%), (CAT, 0, 0.80%, 0.0003703%), (WMT, 0, 0.80%, 0.0000999%), (ABBV, 0, 0.78%, 0.0001987%), (RTX, 0, 0.78%, 0.0003567%), (CVX, 0, 0.77%, 0.0002469%), (PG, 0, 0.75%, 0.0002153%), (COST, 0, 0.73%, 0.0001834%), (ABT, 0, 0.71%, 0.0003155%), (HD, 0, 0.71%, 0.0001807%), (MCD, 0, 0.70%, 0.0003332%), (BAC, 0, 0.65%, 0.0001758%), (IBM, 0, 0.62%, 0.0002407%), (SO, 0, 0.59%, 0.0005813%), (KO, 0, 0.59%, 0.0002115%), (BKNG, 0, 0.58%, 0.0003413%), (PM, 0, 0.58%, 0.0002345%), (GS, 0, 0.58%, 0.0002477%), (AMD, 0, 0.57%, 0.0002247%), (BA, 0, 0.57%, 0.0003534%), (UBER, 0, 0.55%, 0.0002774%), (DUK, 0, 0.54%, 0.0005802%), (CRM, 0, 0.54%, 0.0002444%), (WFC, 0, 0.53%, 0.0002027%), (NKE, 0, 0.52%, 0.0006536%), (MET, 0, 0.52%, 0.0009730%), (ETN, 0, 0.52%, 0.0003648%), (ISRG, 0, 0.49%, 0.0003179%), (HON, 0, 0.48%, 0.0003679%), (MS, 0, 0.45%, 0.0001839%), (INTU, 0, 0.45%, 0.0002446%), (NOW, 0, 0.45%, 0.0002413%), (PEP, 0, 0.44%, 0.0002355%), (T, 0, 0.43%, 0.0010094%), (AXP, 0, 0.43%, 0.0001910%), (DE, 0, 0.41%, 0.0003381%), (QCOM, 0, 0.40%, 0.0002313%), (MRK, 0, 0.40%, 0.0002012%), (BLK, 0, 0.39%, 0.0002228%), (VZ, 0, 0.39%, 0.0002156%), (UNP, 0, 0.38%, 0.0002809%), (MDT, 0, 0.38%, 0.0003162%), (AMAT, 0, 0.37%, 0.0002325%), (ADBE, 0, 0.37%, 0.0002559%), (LMT, 0, 0.37%, 0.0003276%), (TXN, 0, 0.37%, 0.0002255%), (C, 0, 0.37%, 0.0002004%), (ACN, 0, 0.36%, 0.0002442%), (COP, 0, 0.36%, 0.0003132%), (TMO, 0, 0.36%, 0.0002020%), (SPGI, 0, 0.36%, 0.0002480%), (DIS, 0, 0.34%, 0.0001723%), (SCHW, 0, 0.33%, 0.0001949%), (INTC, 0, 0.32%, 0.0002083%), (SBUX, 0, 0.31%, 0.0003309%), (MMM, 0, 0.29%, 0.0003684%), (CVS, 0, 0.29%, 0.0003135%), (AMGN, 0, 0.29%, 0.0001982%), (TJX, 0, 0.29%, 0.0001836%), (PFE, 0, 0.27%, 0.0001980%), (GILD, 0, 0.27%, 0.0001994%), (EMR, 0, 0.26%, 0.0003641%), (MO, 0, 0.26%, 0.0002369%), (LOW, 0, 0.25%, 0.0001833%), (DHR, 0, 0.24%, 0.0001808%), (ELV, 0, 0.23%, 0.0003303%), (CMCSA, 0, 0.20%, 0.0001796%), (MDLZ, 0, 0.19%, 0.0002432%), (BMY, 0, 0.18%, 0.0001979%), (UPS, 0, 0.16%, 0.0002729%), (PYPL, 0, 0.15%, 0.0002535%), (USB, 0, 0.14%, 0.0001955%), (FDX, 0, 0.14%, 0.0002615%), (CL, 0, 0.14%, 0.0002166%), (TGT, 0, 0.07%, 0.0001860%), (nan, 0, -0.00%, 0.0000000%), (nan, 0, -0.00%, 0.0000000%)</t>
  </si>
  <si>
    <t>(AMZN, 0, 3.67%, 0.0000372%), (AVGO, 0, 3.41%, 0.0000521%), (META, 0, 2.70%, 0.0000401%), (TSLA, 0, 2.17%, 0.0000351%), (BRK/B, 0, 2.15%, 0.0000738%), (CSCO, 0, 1.77%, 0.0001562%), (LIN, 0, 1.75%, 0.0001872%), (JPM, 0, 1.71%, 0.0000468%), (XOM, 0, 1.48%, 0.0000731%), (AMT, 0, 1.44%, 0.0003787%), (V, 0, 1.37%, 0.0000565%), (CB, 0, 1.16%, 0.0002485%), (LLY, 0, 1.16%, 0.0000388%), (GE, 0, 1.15%, 0.0000864%), (MA, 0, 1.09%, 0.0000509%), (ORCL, 0, 1.08%, 0.0000322%), (WM, 0, 1.02%, 0.0002718%), (UNH, 0, 0.99%, 0.0000753%), (NEE, 0, 0.89%, 0.0001351%), (PLTR, 0, 0.89%, 0.0000514%), (JNJ, 0, 0.87%, 0.0000466%), (NFLX, 0, 0.87%, 0.0000406%), (CAT, 0, 0.81%, 0.0000869%), (WMT, 0, 0.81%, 0.0000234%), (ABBV, 0, 0.79%, 0.0000466%), (RTX, 0, 0.79%, 0.0000837%), (CVX, 0, 0.78%, 0.0000579%), (PG, 0, 0.76%, 0.0000505%), (COST, 0, 0.74%, 0.0000431%), (ABT, 0, 0.72%, 0.0000740%), (HD, 0, 0.72%, 0.0000424%), (MCD, 0, 0.71%, 0.0000782%), (BAC, 0, 0.66%, 0.0000412%), (IBM, 0, 0.63%, 0.0000564%), (SO, 0, 0.60%, 0.0001362%), (KO, 0, 0.59%, 0.0000496%), (BKNG, 0, 0.59%, 0.0000807%), (PM, 0, 0.58%, 0.0000550%), (GS, 0, 0.58%, 0.0000580%), (AMD, 0, 0.58%, 0.0000527%), (BA, 0, 0.57%, 0.0000829%), (UBER, 0, 0.56%, 0.0000651%), (DUK, 0, 0.55%, 0.0001362%), (CRM, 0, 0.54%, 0.0000574%), (WFC, 0, 0.54%, 0.0000475%), (NKE, 0, 0.53%, 0.0001533%), (MET, 0, 0.53%, 0.0002283%), (ETN, 0, 0.52%, 0.0000855%), (ISRG, 0, 0.50%, 0.0000748%), (HON, 0, 0.48%, 0.0000863%), (INTU, 0, 0.46%, 0.0000574%), (MS, 0, 0.46%, 0.0000431%), (NOW, 0, 0.46%, 0.0000567%), (PEP, 0, 0.45%, 0.0000552%), (AXP, 0, 0.43%, 0.0000449%), (T, 0, 0.43%, 0.0002367%), (DE, 0, 0.41%, 0.0000792%), (QCOM, 0, 0.41%, 0.0000543%), (MRK, 0, 0.41%, 0.0000472%), (BLK, 0, 0.40%, 0.0000523%), (VZ, 0, 0.39%, 0.0000506%), (UNP, 0, 0.39%, 0.0000659%), (MDT, 0, 0.38%, 0.0000741%), (AMAT, 0, 0.37%, 0.0000546%), (ADBE, 0, 0.37%, 0.0000600%), (TXN, 0, 0.37%, 0.0000529%), (LMT, 0, 0.37%, 0.0000769%), (C, 0, 0.37%, 0.0000470%), (ACN, 0, 0.37%, 0.0000572%), (COP, 0, 0.37%, 0.0000734%), (TMO, 0, 0.36%, 0.0000474%), (SPGI, 0, 0.36%, 0.0000581%), (DIS, 0, 0.35%, 0.0000404%), (SCHW, 0, 0.33%, 0.0000457%), (INTC, 0, 0.32%, 0.0000488%), (SBUX, 0, 0.31%, 0.0000776%), (MMM, 0, 0.30%, 0.0000864%), (CVS, 0, 0.29%, 0.0000735%), (AMGN, 0, 0.29%, 0.0000466%), (TJX, 0, 0.29%, 0.0000430%), (PFE, 0, 0.28%, 0.0000464%), (GILD, 0, 0.27%, 0.0000468%), (EMR, 0, 0.27%, 0.0000855%), (MO, 0, 0.26%, 0.0000556%), (LOW, 0, 0.26%, 0.0000430%), (DHR, 0, 0.25%, 0.0000423%), (ELV, 0, 0.23%, 0.0000774%), (CMCSA, 0, 0.20%, 0.0000421%), (MDLZ, 0, 0.19%, 0.0000570%), (BMY, 0, 0.18%, 0.0000464%), (UPS, 0, 0.17%, 0.0000640%), (PYPL, 0, 0.16%, 0.0000594%), (USB, 0, 0.15%, 0.0000459%), (FDX, 0, 0.14%, 0.0000615%), (CL, 0, 0.14%, 0.0000509%), (TGT, 0, 0.07%, 0.0000436%), (nan, 0, -0.00%, 0.0000000%), (nan, 0, -0.00%, 0.0000000%)</t>
  </si>
  <si>
    <t>(AMZN, 0, 3.50%, 0.0000657%), (AVGO, 0, 3.25%, 0.0000920%), (META, 0, 2.57%, 0.0000709%), (TSLA, 0, 2.07%, 0.0000621%), (BRK/B, 0, 2.05%, 0.0001303%), (CSCO, 0, 1.69%, 0.0002759%), (LIN, 0, 1.67%, 0.0003304%), (JPM, 0, 1.63%, 0.0000827%), (XOM, 0, 1.41%, 0.0001291%), (AMT, 0, 1.37%, 0.0006686%), (V, 0, 1.31%, 0.0000997%), (CB, 0, 1.11%, 0.0004391%), (LLY, 0, 1.11%, 0.0000686%), (GE, 0, 1.09%, 0.0001527%), (MA, 0, 1.04%, 0.0000901%), (ORCL, 0, 1.03%, 0.0000568%), (WM, 0, 0.97%, 0.0004803%), (UNH, 0, 0.94%, 0.0001331%), (NEE, 0, 0.85%, 0.0002387%), (PLTR, 0, 0.85%, 0.0000909%), (JNJ, 0, 0.83%, 0.0000822%), (NFLX, 0, 0.82%, 0.0000715%), (CAT, 0, 0.77%, 0.0001535%), (WMT, 0, 0.77%, 0.0000414%), (ABBV, 0, 0.76%, 0.0000823%), (RTX, 0, 0.75%, 0.0001477%), (CVX, 0, 0.74%, 0.0001022%), (PG, 0, 0.73%, 0.0000892%), (COST, 0, 0.71%, 0.0000760%), (ABT, 0, 0.69%, 0.0001307%), (HD, 0, 0.69%, 0.0000749%), (MCD, 0, 0.68%, 0.0001380%), (BAC, 0, 0.63%, 0.0000728%), (IBM, 0, 0.60%, 0.0000997%), (SO, 0, 0.57%, 0.0002408%), (KO, 0, 0.57%, 0.0000876%), (BKNG, 0, 0.56%, 0.0001427%), (PM, 0, 0.56%, 0.0000971%), (GS, 0, 0.56%, 0.0001027%), (AMD, 0, 0.55%, 0.0000930%), (BA, 0, 0.55%, 0.0001464%), (UBER, 0, 0.53%, 0.0001149%), (DUK, 0, 0.53%, 0.0002404%), (CRM, 0, 0.52%, 0.0001012%), (WFC, 0, 0.51%, 0.0000839%), (NKE, 0, 0.50%, 0.0002707%), (MET, 0, 0.50%, 0.0004031%), (ETN, 0, 0.50%, 0.0001510%), (ISRG, 0, 0.47%, 0.0001315%), (HON, 0, 0.46%, 0.0001523%), (MS, 0, 0.44%, 0.0000762%), (INTU, 0, 0.44%, 0.0001011%), (NOW, 0, 0.44%, 0.0001000%), (PEP, 0, 0.42%, 0.0000976%), (AXP, 0, 0.41%, 0.0000793%), (T, 0, 0.41%, 0.0004181%), (DE, 0, 0.39%, 0.0001398%), (QCOM, 0, 0.39%, 0.0000958%), (MRK, 0, 0.39%, 0.0000833%), (BLK, 0, 0.38%, 0.0000923%), (VZ, 0, 0.37%, 0.0000893%), (UNP, 0, 0.37%, 0.0001163%), (MDT, 0, 0.36%, 0.0001310%), (AMAT, 0, 0.36%, 0.0000963%), (ADBE, 0, 0.36%, 0.0001061%), (LMT, 0, 0.35%, 0.0001357%), (TXN, 0, 0.35%, 0.0000934%), (C, 0, 0.35%, 0.0000830%), (ACN, 0, 0.35%, 0.0001011%), (COP, 0, 0.35%, 0.0001297%), (TMO, 0, 0.35%, 0.0000838%), (SPGI, 0, 0.34%, 0.0001027%), (DIS, 0, 0.33%, 0.0000713%), (SCHW, 0, 0.32%, 0.0000807%), (INTC, 0, 0.31%, 0.0000863%), (SBUX, 0, 0.30%, 0.0001371%), (MMM, 0, 0.28%, 0.0001525%), (AMGN, 0, 0.28%, 0.0000823%), (CVS, 0, 0.28%, 0.0001299%), (TJX, 0, 0.28%, 0.0000761%), (PFE, 0, 0.27%, 0.0000820%), (GILD, 0, 0.26%, 0.0000826%), (EMR, 0, 0.25%, 0.0001509%), (MO, 0, 0.25%, 0.0000982%), (LOW, 0, 0.24%, 0.0000760%), (DHR, 0, 0.24%, 0.0000749%), (ELV, 0, 0.22%, 0.0001368%), (CMCSA, 0, 0.19%, 0.0000744%), (MDLZ, 0, 0.18%, 0.0001007%), (BMY, 0, 0.17%, 0.0000820%), (UPS, 0, 0.16%, 0.0001132%), (PYPL, 0, 0.15%, 0.0001050%), (USB, 0, 0.14%, 0.0000810%), (FDX, 0, 0.14%, 0.0001081%), (CL, 0, 0.13%, 0.0000897%), (TGT, 0, 0.07%, 0.0000770%), (nan, 0, -0.00%, 0.0000000%), (nan, 0, -0.00%, 0.0000000%)</t>
  </si>
  <si>
    <t>(AMZN, 0, 3.57%, 0.0000237%), (AVGO, 0, 3.32%, 0.0000332%), (META, 0, 2.63%, 0.0000256%), (TSLA, 0, 2.11%, 0.0000224%), (BRK/B, 0, 2.09%, 0.0000470%), (CSCO, 0, 1.73%, 0.0000996%), (LIN, 0, 1.70%, 0.0001193%), (JPM, 0, 1.66%, 0.0000299%), (XOM, 0, 1.44%, 0.0000466%), (AMT, 0, 1.40%, 0.0002414%), (V, 0, 1.33%, 0.0000360%), (CB, 0, 1.13%, 0.0001586%), (LLY, 0, 1.12%, 0.0000248%), (GE, 0, 1.12%, 0.0000551%), (MA, 0, 1.06%, 0.0000325%), (ORCL, 0, 1.06%, 0.0000205%), (WM, 0, 0.99%, 0.0001735%), (UNH, 0, 0.96%, 0.0000481%), (NEE, 0, 0.87%, 0.0000861%), (PLTR, 0, 0.87%, 0.0000328%), (JNJ, 0, 0.85%, 0.0000297%), (NFLX, 0, 0.84%, 0.0000257%), (WMT, 0, 0.79%, 0.0000149%), (CAT, 0, 0.79%, 0.0000553%), (ABBV, 0, 0.77%, 0.0000297%), (RTX, 0, 0.76%, 0.0000533%), (CVX, 0, 0.75%, 0.0000369%), (PG, 0, 0.74%, 0.0000322%), (COST, 0, 0.73%, 0.0000275%), (ABT, 0, 0.71%, 0.0000472%), (HD, 0, 0.70%, 0.0000270%), (MCD, 0, 0.69%, 0.0000497%), (BAC, 0, 0.64%, 0.0000263%), (IBM, 0, 0.61%, 0.0000361%), (BKNG, 0, 0.59%, 0.0000527%), (SO, 0, 0.58%, 0.0000869%), (KO, 0, 0.58%, 0.0000316%), (GS, 0, 0.57%, 0.0000370%), (PM, 0, 0.57%, 0.0000350%), (AMD, 0, 0.57%, 0.0000336%), (BA, 0, 0.56%, 0.0000529%), (UBER, 0, 0.54%, 0.0000415%), (DUK, 0, 0.54%, 0.0000867%), (CRM, 0, 0.53%, 0.0000364%), (WFC, 0, 0.52%, 0.0000303%), (NKE, 0, 0.51%, 0.0000977%), (MET, 0, 0.51%, 0.0001454%), (ETN, 0, 0.51%, 0.0000545%), (ISRG, 0, 0.48%, 0.0000474%), (HON, 0, 0.47%, 0.0000550%), (INTU, 0, 0.45%, 0.0000366%), (MS, 0, 0.45%, 0.0000275%), (NOW, 0, 0.44%, 0.0000361%), (PEP, 0, 0.43%, 0.0000352%), (AXP, 0, 0.42%, 0.0000286%), (T, 0, 0.42%, 0.0001509%), (DE, 0, 0.40%, 0.0000507%), (QCOM, 0, 0.40%, 0.0000346%), (MRK, 0, 0.40%, 0.0000301%), (VZ, 0, 0.38%, 0.0000322%), (BLK, 0, 0.38%, 0.0000329%), (UNP, 0, 0.38%, 0.0000420%), (MDT, 0, 0.37%, 0.0000473%), (ADBE, 0, 0.36%, 0.0000382%), (AMAT, 0, 0.36%, 0.0000348%), (LMT, 0, 0.36%, 0.0000488%), (TXN, 0, 0.36%, 0.0000337%), (C, 0, 0.36%, 0.0000299%), (ACN, 0, 0.36%, 0.0000366%), (COP, 0, 0.36%, 0.0000468%), (TMO, 0, 0.36%, 0.0000303%), (SPGI, 0, 0.35%, 0.0000370%), (DIS, 0, 0.34%, 0.0000258%), (SCHW, 0, 0.32%, 0.0000291%), (INTC, 0, 0.31%, 0.0000311%), (SBUX, 0, 0.30%, 0.0000494%), (MMM, 0, 0.29%, 0.0000552%), (AMGN, 0, 0.29%, 0.0000295%), (CVS, 0, 0.29%, 0.0000469%), (TJX, 0, 0.28%, 0.0000275%), (PFE, 0, 0.27%, 0.0000296%), (GILD, 0, 0.26%, 0.0000298%), (EMR, 0, 0.26%, 0.0000544%), (MO, 0, 0.25%, 0.0000354%), (LOW, 0, 0.25%, 0.0000273%), (DHR, 0, 0.24%, 0.0000270%), (ELV, 0, 0.23%, 0.0000495%), (CMCSA, 0, 0.20%, 0.0000269%), (MDLZ, 0, 0.19%, 0.0000363%), (BMY, 0, 0.17%, 0.0000296%), (UPS, 0, 0.16%, 0.0000408%), (PYPL, 0, 0.15%, 0.0000378%), (USB, 0, 0.14%, 0.0000292%), (FDX, 0, 0.14%, 0.0000390%), (CL, 0, 0.13%, 0.0000324%), (TGT, 0, 0.07%, 0.0000279%), (nan, 0, -0.00%, 0.0000000%), (nan, 0, -0.00%, 0.0000000%)</t>
  </si>
  <si>
    <t>(AMZN, 0, 3.76%, 0.0000564%), (AVGO, 0, 3.50%, 0.0000790%), (META, 0, 2.77%, 0.0000608%), (TSLA, 0, 2.23%, 0.0000533%), (BRK/B, 0, 2.21%, 0.0001119%), (CSCO, 0, 1.82%, 0.0002369%), (LIN, 0, 1.79%, 0.0002838%), (JPM, 0, 1.75%, 0.0000710%), (XOM, 0, 1.52%, 0.0001109%), (AMT, 0, 1.47%, 0.0005742%), (V, 0, 1.41%, 0.0000856%), (CB, 0, 1.19%, 0.0003768%), (LLY, 0, 1.19%, 0.0000589%), (GE, 0, 1.18%, 0.0001311%), (MA, 0, 1.11%, 0.0000773%), (ORCL, 0, 1.11%, 0.0000488%), (WM, 0, 1.05%, 0.0004123%), (UNH, 0, 1.01%, 0.0001143%), (NEE, 0, 0.92%, 0.0002049%), (PLTR, 0, 0.91%, 0.0000780%), (JNJ, 0, 0.89%, 0.0000706%), (NFLX, 0, 0.89%, 0.0000614%), (CAT, 0, 0.83%, 0.0001317%), (WMT, 0, 0.83%, 0.0000355%), (ABBV, 0, 0.81%, 0.0000706%), (RTX, 0, 0.81%, 0.0001269%), (CVX, 0, 0.80%, 0.0000878%), (PG, 0, 0.78%, 0.0000766%), (COST, 0, 0.76%, 0.0000652%), (ABT, 0, 0.74%, 0.0001122%), (HD, 0, 0.74%, 0.0000643%), (MCD, 0, 0.73%, 0.0001184%), (BAC, 0, 0.68%, 0.0000625%), (IBM, 0, 0.64%, 0.0000857%), (BKNG, 0, 0.62%, 0.0001241%), (SO, 0, 0.61%, 0.0002067%), (KO, 0, 0.61%, 0.0000752%), (PM, 0, 0.60%, 0.0000834%), (GS, 0, 0.60%, 0.0000880%), (AMD, 0, 0.59%, 0.0000799%), (BA, 0, 0.59%, 0.0001256%), (UBER, 0, 0.57%, 0.0000987%), (DUK, 0, 0.57%, 0.0002064%), (CRM, 0, 0.56%, 0.0000870%), (WFC, 0, 0.55%, 0.0000721%), (NKE, 0, 0.54%, 0.0002324%), (MET, 0, 0.54%, 0.0003460%), (ETN, 0, 0.54%, 0.0001297%), (ISRG, 0, 0.51%, 0.0001131%), (HON, 0, 0.50%, 0.0001309%), (INTU, 0, 0.47%, 0.0000872%), (MS, 0, 0.47%, 0.0000654%), (NOW, 0, 0.47%, 0.0000861%), (PEP, 0, 0.46%, 0.0000838%), (T, 0, 0.44%, 0.0003590%), (AXP, 0, 0.44%, 0.0000679%), (DE, 0, 0.42%, 0.0001202%), (QCOM, 0, 0.42%, 0.0000823%), (MRK, 0, 0.42%, 0.0000716%), (BLK, 0, 0.41%, 0.0000788%), (VZ, 0, 0.40%, 0.0000767%), (UNP, 0, 0.40%, 0.0001000%), (MDT, 0, 0.39%, 0.0001125%), (AMAT, 0, 0.38%, 0.0000827%), (ADBE, 0, 0.38%, 0.0000910%), (LMT, 0, 0.38%, 0.0001167%), (TXN, 0, 0.38%, 0.0000802%), (C, 0, 0.38%, 0.0000713%), (ACN, 0, 0.38%, 0.0000869%), (COP, 0, 0.38%, 0.0001115%), (TMO, 0, 0.37%, 0.0000721%), (SPGI, 0, 0.37%, 0.0000882%), (DIS, 0, 0.36%, 0.0000612%), (SCHW, 0, 0.34%, 0.0000693%), (INTC, 0, 0.33%, 0.0000741%), (SBUX, 0, 0.32%, 0.0001177%), (MMM, 0, 0.31%, 0.0001310%), (CVS, 0, 0.30%, 0.0001115%), (AMGN, 0, 0.30%, 0.0000706%), (TJX, 0, 0.30%, 0.0000653%), (PFE, 0, 0.28%, 0.0000704%), (GILD, 0, 0.28%, 0.0000709%), (EMR, 0, 0.27%, 0.0001295%), (MO, 0, 0.27%, 0.0000842%), (LOW, 0, 0.26%, 0.0000651%), (DHR, 0, 0.25%, 0.0000643%), (ELV, 0, 0.24%, 0.0001174%), (CMCSA, 0, 0.21%, 0.0000639%), (MDLZ, 0, 0.20%, 0.0000865%), (BMY, 0, 0.18%, 0.0000704%), (UPS, 0, 0.17%, 0.0000971%), (PYPL, 0, 0.16%, 0.0000901%), (USB, 0, 0.15%, 0.0000695%), (FDX, 0, 0.15%, 0.0000928%), (CL, 0, 0.14%, 0.0000770%), (TGT, 0, 0.08%, 0.0000660%), (nan, 0, -0.00%, 0.0000000%), (nan, 0, -0.00%, 0.0000000%)</t>
  </si>
  <si>
    <t>KLAC, GOOGLE, NVDA, EBAY, AMAT, MLI, BK, LRCX, JPM, MSFT, PHM</t>
  </si>
  <si>
    <t>(BKR, 0, 1.94%, 0.0022356%), (META, 0, 1.91%, 0.0000661%), (WSM, 0, 1.86%, 0.0043222%), (AXP, 0, 1.83%, 0.0004432%), (RJF, 0, 1.83%, 0.0029466%), (EWBC, 0, 1.81%, 0.0068284%), (HIG, 0, 1.80%, 0.0026801%), (ROST, 0, 1.78%, 0.0019848%), (TRV, 0, 1.77%, 0.0015726%), (EA, 0, 1.74%, 0.0019138%), (SNA, 0, 1.74%, 0.0053396%), (BKNG, 0, 1.72%, 0.0005460%), (UNM, 0, 1.71%, 0.0071504%), (MPWR, 0, 1.68%, 0.0021089%), (CB, 0, 1.68%, 0.0008342%), (V, 0, 1.67%, 0.0001593%), (PCAR, 0, 1.61%, 0.0017212%), (ADP, 0, 1.60%, 0.0007435%), (GE, 0, 1.59%, 0.0002766%), (BLK, 0, 1.46%, 0.0004482%), (CTSH, 0, 1.44%, 0.0024679%), (STT, 0, 1.42%, 0.0024310%), (CRM, 0, 1.42%, 0.0003471%), (AAPL, 0, 1.39%, 0.0000205%), (SYF, 0, 1.36%, 0.0029342%), (QCOM, 0, 1.35%, 0.0004160%), (PNC, 0, 1.34%, 0.0009337%), (ACN, 0, 1.33%, 0.0004781%), (ABT, 0, 1.26%, 0.0002994%), (LEN, 0, 1.23%, 0.0024012%), (ELV, 0, 1.02%, 0.0007834%), (DHI, 0, 0.98%, 0.0010911%), (GEV, 0, 0.98%, 0.0003240%), (ACM, 0, 0.95%, 0.0030420%), (MA, 0, 0.89%, 0.0000973%), (ALL, 0, 0.89%, 0.0008691%), (AFL, 0, 0.84%, 0.0007808%), (COST, 0, 0.81%, 0.0001090%), (PGR, 0, 0.80%, 0.0003060%), (AMP, 0, 0.80%, 0.0009698%), (PAYC, 0, 0.78%, 0.0035731%), (ODFL, 0, 0.68%, 0.0012775%), (NTRS, 0, 0.52%, 0.0011326%), (CSCO, 0, 0.50%, 0.0001017%), (JNJ, 0, 0.48%, 0.0000595%), (FOXA, 0, 0.48%, 0.0020104%), (BAC, 0, 0.46%, 0.0000665%), (MET, 0, 0.46%, 0.0004622%), (VLTO, 0, 0.45%, 0.0009485%), (COKE, 0, 0.45%, 0.0028288%), (RMD, 0, 0.45%, 0.0006241%), (MCK, 0, 0.43%, 0.0002484%), (CF, 0, 0.43%, 0.0016398%), (LNC, 0, 0.43%, 0.0030847%), (CINF, 0, 0.43%, 0.0009550%), (MTB, 0, 0.43%, 0.0007756%), (WTFC, 0, 0.41%, 0.0025780%), (XOM, 0, 0.41%, 0.0000474%), (EG, 0, 0.39%, 0.0014619%), (EQH, 0, 0.38%, 0.0013865%), (DOV, 0, 0.38%, 0.0009136%), (EOG, 0, 0.36%, 0.0003273%), (CSL, 0, 0.31%, 0.0012468%)</t>
  </si>
  <si>
    <t>(AMZN, 0, 3.46%, 0.0000604%), (AVGO, 0, 3.22%, 0.0000846%), (META, 0, 2.55%, 0.0000652%), (TSLA, 0, 2.06%, 0.0000571%), (BRK/B, 0, 2.03%, 0.0001197%), (CSCO, 0, 1.68%, 0.0002535%), (LIN, 0, 1.65%, 0.0003037%), (JPM, 0, 1.61%, 0.0000760%), (XOM, 0, 1.40%, 0.0001187%), (AMT, 0, 1.36%, 0.0006146%), (V, 0, 1.30%, 0.0000916%), (LLY, 0, 1.10%, 0.0000630%), (CB, 0, 1.10%, 0.0004035%), (GE, 0, 1.09%, 0.0001403%), (MA, 0, 1.03%, 0.0000829%), (ORCL, 0, 1.02%, 0.0000522%), (WM, 0, 0.96%, 0.0004413%), (UNH, 0, 0.93%, 0.0001223%), (NEE, 0, 0.84%, 0.0002194%), (PLTR, 0, 0.84%, 0.0000835%), (JNJ, 0, 0.82%, 0.0000756%), (NFLX, 0, 0.81%, 0.0000656%), (CAT, 0, 0.77%, 0.0001409%), (WMT, 0, 0.76%, 0.0000380%), (ABBV, 0, 0.75%, 0.0000756%), (RTX, 0, 0.74%, 0.0001358%), (CVX, 0, 0.73%, 0.0000939%), (PG, 0, 0.72%, 0.0000820%), (COST, 0, 0.70%, 0.0000699%), (ABT, 0, 0.68%, 0.0001201%), (HD, 0, 0.68%, 0.0000688%), (MCD, 0, 0.67%, 0.0001268%), (BAC, 0, 0.63%, 0.0000669%), (IBM, 0, 0.59%, 0.0000916%), (SO, 0, 0.56%, 0.0002212%), (KO, 0, 0.56%, 0.0000805%), (BKNG, 0, 0.56%, 0.0001303%), (PM, 0, 0.55%, 0.0000892%), (GS, 0, 0.55%, 0.0000944%), (AMD, 0, 0.55%, 0.0000855%), (BA, 0, 0.54%, 0.0001346%), (UBER, 0, 0.53%, 0.0001056%), (DUK, 0, 0.52%, 0.0002210%), (CRM, 0, 0.51%, 0.0000931%), (WFC, 0, 0.51%, 0.0000772%), (NKE, 0, 0.50%, 0.0002488%), (MET, 0, 0.50%, 0.0003704%), (ETN, 0, 0.49%, 0.0001390%), (ISRG, 0, 0.47%, 0.0001210%), (HON, 0, 0.46%, 0.0001400%), (MS, 0, 0.43%, 0.0000700%), (INTU, 0, 0.43%, 0.0000929%), (NOW, 0, 0.43%, 0.0000918%), (PEP, 0, 0.42%, 0.0000897%), (T, 0, 0.41%, 0.0003842%), (AXP, 0, 0.41%, 0.0000727%), (DE, 0, 0.39%, 0.0001287%), (QCOM, 0, 0.39%, 0.0000880%), (MRK, 0, 0.39%, 0.0000766%), (BLK, 0, 0.37%, 0.0000846%), (VZ, 0, 0.37%, 0.0000821%), (UNP, 0, 0.37%, 0.0001071%), (MDT, 0, 0.36%, 0.0001204%), (AMAT, 0, 0.35%, 0.0000885%), (ADBE, 0, 0.35%, 0.0000975%), (TXN, 0, 0.35%, 0.0000858%), (LMT, 0, 0.35%, 0.0001245%), (C, 0, 0.35%, 0.0000763%), (ACN, 0, 0.35%, 0.0000930%), (COP, 0, 0.35%, 0.0001192%), (TMO, 0, 0.34%, 0.0000769%), (SPGI, 0, 0.34%, 0.0000945%), (DIS, 0, 0.33%, 0.0000656%), (SCHW, 0, 0.31%, 0.0000742%), (INTC, 0, 0.30%, 0.0000793%), (SBUX, 0, 0.30%, 0.0001259%), (MMM, 0, 0.28%, 0.0001401%), (CVS, 0, 0.28%, 0.0001194%), (AMGN, 0, 0.28%, 0.0000756%), (TJX, 0, 0.27%, 0.0000699%), (PFE, 0, 0.26%, 0.0000754%), (GILD, 0, 0.26%, 0.0000758%), (EMR, 0, 0.25%, 0.0001386%), (MO, 0, 0.24%, 0.0000902%), (LOW, 0, 0.24%, 0.0000697%), (DHR, 0, 0.23%, 0.0000688%), (ELV, 0, 0.22%, 0.0001255%), (CMCSA, 0, 0.19%, 0.0000684%), (MDLZ, 0, 0.18%, 0.0000926%), (BMY, 0, 0.17%, 0.0000753%), (UPS, 0, 0.16%, 0.0001039%), (PYPL, 0, 0.15%, 0.0000965%), (USB, 0, 0.14%, 0.0000744%), (FDX, 0, 0.14%, 0.0000996%), (CL, 0, 0.13%, 0.0000824%), (TGT, 0, 0.07%, 0.0000709%), (nan, 0, -0.00%, 0.0000000%), (nan, 0, -0.00%, 0.0000000%)</t>
  </si>
  <si>
    <t>(AMZN, 0, 3.62%, 0.0001234%), (AVGO, 0, 3.37%, 0.0001730%), (META, 0, 2.66%, 0.0001332%), (TSLA, 0, 2.15%, 0.0001168%), (BRK/B, 0, 2.12%, 0.0002448%), (CSCO, 0, 1.75%, 0.0005185%), (LIN, 0, 1.73%, 0.0006211%), (JPM, 0, 1.69%, 0.0001554%), (XOM, 0, 1.46%, 0.0002427%), (AMT, 0, 1.42%, 0.0012567%), (V, 0, 1.36%, 0.0001873%), (LLY, 0, 1.15%, 0.0001289%), (CB, 0, 1.15%, 0.0008248%), (GE, 0, 1.13%, 0.0002871%), (MA, 0, 1.07%, 0.0001694%), (ORCL, 0, 1.07%, 0.0001068%), (WM, 0, 1.01%, 0.0009028%), (UNH, 0, 0.98%, 0.0002502%), (NEE, 0, 0.88%, 0.0004486%), (PLTR, 0, 0.88%, 0.0001708%), (JNJ, 0, 0.86%, 0.0001545%), (NFLX, 0, 0.85%, 0.0001343%), (CAT, 0, 0.80%, 0.0002882%), (WMT, 0, 0.80%, 0.0000777%), (ABBV, 0, 0.78%, 0.0001547%), (RTX, 0, 0.78%, 0.0002777%), (CVX, 0, 0.77%, 0.0001922%), (PG, 0, 0.75%, 0.0001677%), (COST, 0, 0.73%, 0.0001428%), (ABT, 0, 0.71%, 0.0002456%), (HD, 0, 0.71%, 0.0001407%), (MCD, 0, 0.70%, 0.0002594%), (BAC, 0, 0.65%, 0.0001368%), (IBM, 0, 0.62%, 0.0001874%), (SO, 0, 0.59%, 0.0004525%), (KO, 0, 0.59%, 0.0001647%), (PM, 0, 0.58%, 0.0001824%), (GS, 0, 0.58%, 0.0001927%), (BKNG, 0, 0.57%, 0.0002637%), (AMD, 0, 0.57%, 0.0001749%), (BA, 0, 0.56%, 0.0002751%), (UBER, 0, 0.55%, 0.0002160%), (DUK, 0, 0.54%, 0.0004517%), (CRM, 0, 0.54%, 0.0001903%), (WFC, 0, 0.53%, 0.0001578%), (NKE, 0, 0.52%, 0.0005088%), (MET, 0, 0.52%, 0.0007574%), (ETN, 0, 0.52%, 0.0002841%), (ISRG, 0, 0.49%, 0.0002474%), (HON, 0, 0.48%, 0.0002865%), (INTU, 0, 0.45%, 0.0001905%), (MS, 0, 0.45%, 0.0001431%), (NOW, 0, 0.45%, 0.0001875%), (PEP, 0, 0.44%, 0.0001833%), (AXP, 0, 0.43%, 0.0001488%), (T, 0, 0.43%, 0.0007857%), (DE, 0, 0.41%, 0.0002634%), (QCOM, 0, 0.40%, 0.0001801%), (MRK, 0, 0.40%, 0.0001566%), (BLK, 0, 0.39%, 0.0001731%), (VZ, 0, 0.39%, 0.0001678%), (UNP, 0, 0.38%, 0.0002187%), (MDT, 0, 0.38%, 0.0002462%), (AMAT, 0, 0.37%, 0.0001810%), (ADBE, 0, 0.37%, 0.0001992%), (LMT, 0, 0.37%, 0.0002550%), (TXN, 0, 0.37%, 0.0001755%), (C, 0, 0.36%, 0.0001560%), (ACN, 0, 0.36%, 0.0001901%), (COP, 0, 0.36%, 0.0002438%), (TMO, 0, 0.36%, 0.0001573%), (SPGI, 0, 0.36%, 0.0001932%), (DIS, 0, 0.34%, 0.0001340%), (SCHW, 0, 0.33%, 0.0001517%), (INTC, 0, 0.32%, 0.0001621%), (SBUX, 0, 0.31%, 0.0002576%), (MMM, 0, 0.29%, 0.0002867%), (CVS, 0, 0.29%, 0.0002441%), (AMGN, 0, 0.29%, 0.0001545%), (TJX, 0, 0.29%, 0.0001429%), (PFE, 0, 0.27%, 0.0001541%), (GILD, 0, 0.27%, 0.0001552%), (EMR, 0, 0.26%, 0.0002834%), (MO, 0, 0.26%, 0.0001844%), (LOW, 0, 0.25%, 0.0001426%), (DHR, 0, 0.24%, 0.0001407%), (ELV, 0, 0.23%, 0.0002569%), (CMCSA, 0, 0.20%, 0.0001398%), (MDLZ, 0, 0.19%, 0.0001893%), (BMY, 0, 0.18%, 0.0001541%), (UPS, 0, 0.16%, 0.0002125%), (PYPL, 0, 0.15%, 0.0001973%), (USB, 0, 0.14%, 0.0001522%), (FDX, 0, 0.14%, 0.0002039%), (CL, 0, 0.14%, 0.0001686%), (TGT, 0, 0.07%, 0.0001446%), (nan, 0, -0.00%, 0.0000000%), (nan, 0, -0.00%, 0.0000000%)</t>
  </si>
  <si>
    <t>(AMZN, 0, 3.41%, 0.0002458%), (AVGO, 0, 3.17%, 0.0003444%), (META, 0, 2.51%, 0.0002653%), (TSLA, 0, 2.02%, 0.0002325%), (BRK/B, 0, 2.00%, 0.0004876%), (CSCO, 0, 1.65%, 0.0010325%), (LIN, 0, 1.63%, 0.0012368%), (JPM, 0, 1.59%, 0.0003096%), (XOM, 0, 1.38%, 0.0004833%), (AMT, 0, 1.34%, 0.0025026%), (V, 0, 1.28%, 0.0003731%), (CB, 0, 1.08%, 0.0016427%), (LLY, 0, 1.08%, 0.0002566%), (GE, 0, 1.07%, 0.0005716%), (MA, 0, 1.01%, 0.0003373%), (ORCL, 0, 1.01%, 0.0002127%), (WM, 0, 0.95%, 0.0017976%), (UNH, 0, 0.92%, 0.0004982%), (NEE, 0, 0.83%, 0.0008933%), (PLTR, 0, 0.83%, 0.0003401%), (JNJ, 0, 0.81%, 0.0003077%), (NFLX, 0, 0.80%, 0.0002674%), (CAT, 0, 0.75%, 0.0005740%), (WMT, 0, 0.75%, 0.0001548%), (ABBV, 0, 0.74%, 0.0003081%), (RTX, 0, 0.73%, 0.0005530%), (CVX, 0, 0.72%, 0.0003827%), (PG, 0, 0.71%, 0.0003338%), (COST, 0, 0.69%, 0.0002843%), (ABT, 0, 0.67%, 0.0004891%), (HD, 0, 0.67%, 0.0002802%), (MCD, 0, 0.66%, 0.0005165%), (BAC, 0, 0.62%, 0.0002725%), (IBM, 0, 0.58%, 0.0003733%), (SO, 0, 0.55%, 0.0009009%), (KO, 0, 0.55%, 0.0003279%), (BKNG, 0, 0.54%, 0.0005274%), (PM, 0, 0.54%, 0.0003633%), (GS, 0, 0.54%, 0.0003838%), (AMD, 0, 0.54%, 0.0003482%), (BA, 0, 0.53%, 0.0005478%), (UBER, 0, 0.52%, 0.0004300%), (DUK, 0, 0.51%, 0.0008993%), (CRM, 0, 0.51%, 0.0003789%), (WFC, 0, 0.50%, 0.0003143%), (NKE, 0, 0.49%, 0.0010132%), (MET, 0, 0.49%, 0.0015084%), (ETN, 0, 0.49%, 0.0005654%), (ISRG, 0, 0.46%, 0.0004928%), (HON, 0, 0.45%, 0.0005705%), (INTU, 0, 0.43%, 0.0003795%), (MS, 0, 0.43%, 0.0002850%), (NOW, 0, 0.42%, 0.0003736%), (PEP, 0, 0.41%, 0.0003651%), (AXP, 0, 0.40%, 0.0002963%), (T, 0, 0.40%, 0.0015646%), (DE, 0, 0.38%, 0.0005242%), (QCOM, 0, 0.38%, 0.0003586%), (MRK, 0, 0.38%, 0.0003119%), (BLK, 0, 0.37%, 0.0003448%), (VZ, 0, 0.37%, 0.0003342%), (UNP, 0, 0.36%, 0.0004353%), (MDT, 0, 0.35%, 0.0004902%), (AMAT, 0, 0.35%, 0.0003604%), (ADBE, 0, 0.35%, 0.0003968%), (LMT, 0, 0.35%, 0.0005078%), (TXN, 0, 0.35%, 0.0003496%), (C, 0, 0.34%, 0.0003106%), (ACN, 0, 0.34%, 0.0003786%), (COP, 0, 0.34%, 0.0004855%), (TMO, 0, 0.34%, 0.0003135%), (SPGI, 0, 0.34%, 0.0003844%), (DIS, 0, 0.32%, 0.0002669%), (SCHW, 0, 0.31%, 0.0003021%), (INTC, 0, 0.30%, 0.0003229%), (SBUX, 0, 0.29%, 0.0005129%), (MMM, 0, 0.28%, 0.0005711%), (CVS, 0, 0.27%, 0.0004861%), (AMGN, 0, 0.27%, 0.0003074%), (TJX, 0, 0.27%, 0.0002846%), (PFE, 0, 0.26%, 0.0003069%), (GILD, 0, 0.25%, 0.0003089%), (EMR, 0, 0.25%, 0.0005643%), (MO, 0, 0.24%, 0.0003673%), (LOW, 0, 0.24%, 0.0002840%), (DHR, 0, 0.23%, 0.0002803%), (ELV, 0, 0.22%, 0.0005121%), (CMCSA, 0, 0.19%, 0.0002784%), (MDLZ, 0, 0.18%, 0.0003770%), (BMY, 0, 0.17%, 0.0003068%), (UPS, 0, 0.15%, 0.0004233%), (PYPL, 0, 0.15%, 0.0003929%), (USB, 0, 0.14%, 0.0003030%), (FDX, 0, 0.13%, 0.0004056%), (CL, 0, 0.13%, 0.0003358%), (TGT, 0, 0.07%, 0.0002881%), (nan, 0, -0.00%, 0.0000000%), (nan, 0, -0.00%, 0.0000000%)</t>
  </si>
  <si>
    <t>* To be classified as a diversified company under the 1940 Act, at least 75% of the value of the fund's total assets must be invested in:</t>
  </si>
  <si>
    <t>* 1) cash and cash items (including receivables),</t>
  </si>
  <si>
    <t>* 2) government securities,</t>
  </si>
  <si>
    <t>* 3) securities of other investment companies, and</t>
  </si>
  <si>
    <t>* 4) other securities</t>
  </si>
  <si>
    <t xml:space="preserve">* </t>
  </si>
  <si>
    <t>* Compliance Conditions:</t>
  </si>
  <si>
    <t>* Condition 40 Act 1: 75% of the fund must be invested in diversified assets.</t>
  </si>
  <si>
    <t>* Condition 40 Act 2a: No single issuer in the 75% can exceed 5% of total assets.</t>
  </si>
  <si>
    <t>* Condition 40 Act 2b: No single issuer in the 75% can exceed 10% of the issuer's voting securities.</t>
  </si>
  <si>
    <t>condition_IRS_1</t>
  </si>
  <si>
    <t>condition_IRS_2_a_50</t>
  </si>
  <si>
    <t>condition_IRS_2_a_5</t>
  </si>
  <si>
    <t>condition_IRS_2_a_10</t>
  </si>
  <si>
    <t>condition_IRS_2_b</t>
  </si>
  <si>
    <t>total_assets</t>
  </si>
  <si>
    <t>qualifying_assets_value</t>
  </si>
  <si>
    <t>expenses</t>
  </si>
  <si>
    <t>five_pct_gross_assets</t>
  </si>
  <si>
    <t>sum_large_securities_weights</t>
  </si>
  <si>
    <t>large_securities_count</t>
  </si>
  <si>
    <t>large_securities</t>
  </si>
  <si>
    <t>overlap_weight</t>
  </si>
  <si>
    <t>overlap_constituents</t>
  </si>
  <si>
    <t>bottom_50_largest_holding</t>
  </si>
  <si>
    <t>bottom_50_second_largest_holding</t>
  </si>
  <si>
    <t>FAIL</t>
  </si>
  <si>
    <t>PASS</t>
  </si>
  <si>
    <t>N/A (0.00%)</t>
  </si>
  <si>
    <t>(AAPL, 0.00%), (ORCL, 0.00%), (NVDA, 0.00%), (NVDA, 0.00%), (ORCL, 0.00%), (ORCL, 0.00%), (ORCL, 0.00%), (ORCL, 0.00%), (ORCL, 0.00%), (QCOM, 0.00%), (PEP, 0.00%), (PEP, 0.00%), (PEP, 0.00%), (PEP, 0.00%), (PEP, 0.00%), (PEP, 0.00%), (NVDA, 0.00%), (NVDA, 0.00%), (NVDA, 0.00%), (NVDA, 0.00%), (NOW, 0.00%), (NOW, 0.00%), (NOW, 0.00%), (NOW, 0.00%), (NKE, 0.00%), (NKE, 0.00%), (NKE, 0.00%), (NKE, 0.00%), (NKE, 0.00%), (NKE, 0.00%), (NFLX, 0.00%), (NFLX, 0.00%), (NFLX, 0.00%), (PFE, 0.00%), (PFE, 0.00%), (PFE, 0.00%), (PM, 0.00%), (QCOM, 0.00%), (QCOM, 0.00%), (QCOM, 0.00%), (QCOM, 0.00%), (PYPL, 0.00%), (PYPL, 0.00%), (PYPL, 0.00%), (PYPL, 0.00%), (PYPL, 0.00%), (PYPL, 0.00%), (PM, 0.00%), (PM, 0.00%), (PM, 0.00%), (PM, 0.00%), (PM, 0.00%), (PFE, 0.00%), (PLTR, 0.00%), (PLTR, 0.00%), (PLTR, 0.00%), (PLTR, 0.00%), (PLTR, 0.00%), (PLTR, 0.00%), (PG, 0.00%), (PG, 0.00%), (PG, 0.00%), (PG, 0.00%), (PG, 0.00%), (PG, 0.00%), (PFE, 0.00%), (PFE, 0.00%), (NFLX, 0.00%), (NFLX, 0.00%), (NEE, 0.00%), (MDLZ, 0.00%), (META, 0.00%), (META, 0.00%), (META, 0.00%), (META, 0.00%), (META, 0.00%), (META, 0.00%), (MET, 0.00%), (MDT, 0.00%), (MDT, 0.00%), (MDT, 0.00%), (MDT, 0.00%), (MDT, 0.00%), (MDT, 0.00%), (MDLZ, 0.00%), (MDLZ, 0.00%), (MMM, 0.00%), (MDLZ, 0.00%), (MDLZ, 0.00%), (MDLZ, 0.00%), (MCD, 0.00%), (MCD, 0.00%), (MCD, 0.00%), (MCD, 0.00%), (MCD, 0.00%), (MCD, 0.00%), (MA, 0.00%), (MA, 0.00%), (MA, 0.00%), (MA, 0.00%), (MA, 0.00%), (MMM, 0.00%), (MMM, 0.00%), (NEE, 0.00%), (MS, 0.00%), (NEE, 0.00%), (NEE, 0.00%), (NEE, 0.00%), (NEE, 0.00%), (MSFT, 0.00%), (MSFT, 0.00%), (MSFT, 0.00%), (MSFT, 0.00%), (MSFT, 0.00%), (MSFT, 0.00%), (MS, 0.00%), (MS, 0.00%), (MS, 0.00%), (MS, 0.00%), (MS, 0.00%), (MMM, 0.00%), (MRK, 0.00%), (MRK, 0.00%), (MRK, 0.00%), (MRK, 0.00%), (MRK, 0.00%), (MRK, 0.00%), (MO, 0.00%), (MO, 0.00%), (MO, 0.00%), (MO, 0.00%), (MO, 0.00%), (MO, 0.00%), (MMM, 0.00%), (MMM, 0.00%), (QCOM, 0.00%), (RTX, 0.00%), (LOW, 0.00%), (V, 0.00%), (USB, 0.00%), (USB, 0.00%), (USB, 0.00%), (USB, 0.00%), (USB, 0.00%), (USB, 0.00%), (V, 0.00%), (RTX, 0.00%), (V, 0.00%), (V, 0.00%), (V, 0.00%), (V, 0.00%), (VZ, 0.00%), (VZ, 0.00%), (UPS, 0.00%), (UPS, 0.00%), (UPS, 0.00%), (UPS, 0.00%), (UPS, 0.00%), (UPS, 0.00%), (UNP, 0.00%), (UNP, 0.00%), (UNP, 0.00%), (UNP, 0.00%), (UNP, 0.00%), (UNP, 0.00%), (UNH, 0.00%), (UNH, 0.00%), (UNH, 0.00%), (UNH, 0.00%), (UNH, 0.00%), (VZ, 0.00%), (VZ, 0.00%), (VZ, 0.00%), (XOM, 0.00%), (nan, 0.00%), (nan, 0.00%), (nan, 0.00%), (nan, 0.00%), (nan, 0.00%), (nan, 0.00%), (nan, 0.00%), (nan, 0.00%), (nan, 0.00%), (nan, 0.00%), (nan, 0.00%), (XOM, 0.00%), (XOM, 0.00%), (XOM, 0.00%), (XOM, 0.00%), (VZ, 0.00%), (XOM, 0.00%), (WMT, 0.00%), (WMT, 0.00%), (WMT, 0.00%), (WMT, 0.00%), (WMT, 0.00%), (WMT, 0.00%), (WM, 0.00%), (WFC, 0.00%), (WFC, 0.00%), (WFC, 0.00%), (WFC, 0.00%), (WFC, 0.00%), (WFC, 0.00%), (UNH, 0.00%), (UBER, 0.00%), (UBER, 0.00%), (SCHW, 0.00%), (T, 0.00%), (T, 0.00%), (T, 0.00%), (SPGI, 0.00%), (SPGI, 0.00%), (SPGI, 0.00%), (SPGI, 0.00%), (SPGI, 0.00%), (SO, 0.00%), (SO, 0.00%), (SO, 0.00%), (SO, 0.00%), (SO, 0.00%), (SO, 0.00%), (SCHW, 0.00%), (T, 0.00%), (SCHW, 0.00%), (SCHW, 0.00%), (SCHW, 0.00%), (SCHW, 0.00%), (SBUX, 0.00%), (SBUX, 0.00%), (SBUX, 0.00%), (SBUX, 0.00%), (SBUX, 0.00%), (SBUX, 0.00%), (RTX, 0.00%), (RTX, 0.00%), (RTX, 0.00%), (RTX, 0.00%), (T, 0.00%), (T, 0.00%), (UBER, 0.00%), (TSLA, 0.00%), (UBER, 0.00%), (UBER, 0.00%), (UBER, 0.00%), (TXN, 0.00%), (TXN, 0.00%), (TXN, 0.00%), (TXN, 0.00%), (TXN, 0.00%), (TXN, 0.00%), (TSLA, 0.00%), (TSLA, 0.00%), (TSLA, 0.00%), (TSLA, 0.00%), (TSLA, 0.00%), (TMO, 0.00%), (TGT, 0.00%), (TMO, 0.00%), (TMO, 0.00%), (TMO, 0.00%), (TMO, 0.00%), (TJX, 0.00%), (TJX, 0.00%), (TJX, 0.00%), (TJX, 0.00%), (TJX, 0.00%), (TJX, 0.00%), (TGT, 0.00%), (TGT, 0.00%), (TGT, 0.00%), (TGT, 0.00%), (MA, 0.00%), (LOW, 0.00%), (AAPL, 0.00%), (BRK/B, 0.00%), (BMY, 0.00%), (BMY, 0.00%), (BRK/B, 0.00%), (BRK/B, 0.00%), (BRK/B, 0.00%), (BRK/B, 0.00%), (BRK/B, 0.00%), (CSCO, 0.00%), (C, 0.00%), (C, 0.00%), (C, 0.00%), (C, 0.00%), (C, 0.00%), (C, 0.00%), (BMY, 0.00%), (BMY, 0.00%), (BMY, 0.00%), (BMY, 0.00%), (BLK, 0.00%), (BLK, 0.00%), (BLK, 0.00%), (BKNG, 0.00%), (BAC, 0.00%), (BAC, 0.00%), (BAC, 0.00%), (BAC, 0.00%), (BAC, 0.00%), (BAC, 0.00%), (BA, 0.00%), (BA, 0.00%), (BA, 0.00%), (CAT, 0.00%), (CAT, 0.00%), (CAT, 0.00%), (COP, 0.00%), (CSCO, 0.00%), (CSCO, 0.00%), (CSCO, 0.00%), (CRM, 0.00%), (CRM, 0.00%), (CRM, 0.00%), (CRM, 0.00%), (CRM, 0.00%), (CRM, 0.00%), (COST, 0.00%), (COST, 0.00%), (COST, 0.00%), (COST, 0.00%), (COST, 0.00%), (COP, 0.00%), (CAT, 0.00%), (COP, 0.00%), (COP, 0.00%), (COP, 0.00%), (COP, 0.00%), (CMCSA, 0.00%), (CL, 0.00%), (CL, 0.00%), (CL, 0.00%), (CL, 0.00%), (CL, 0.00%), (CL, 0.00%), (CB, 0.00%), (CAT, 0.00%), (CAT, 0.00%), (BA, 0.00%), (BA, 0.00%), (BA, 0.00%), (ABT, 0.00%), (AMAT, 0.00%), (AMAT, 0.00%), (ADBE, 0.00%), (ADBE, 0.00%), (ADBE, 0.00%), (ADBE, 0.00%), (ADBE, 0.00%), (ADBE, 0.00%), (ACN, 0.00%), (ACN, 0.00%), (ACN, 0.00%), (ACN, 0.00%), (ACN, 0.00%), (ACN, 0.00%), (ABT, 0.00%), (AMAT, 0.00%), (ABT, 0.00%), (ABT, 0.00%), (ABT, 0.00%), (ABT, 0.00%), (ABBV, 0.00%), (ABBV, 0.00%), (ABBV, 0.00%), (ABBV, 0.00%), (ABBV, 0.00%), (ABBV, 0.00%), (AAPL, 0.00%), (AAPL, 0.00%), (AAPL, 0.00%), (AAPL, 0.00%), (AMAT, 0.00%), (AMAT, 0.00%), (AXP, 0.00%), (AMZN, 0.00%), (AXP, 0.00%), (AXP, 0.00%), (AXP, 0.00%), (AXP, 0.00%), (AXP, 0.00%), (AVGO, 0.00%), (AVGO, 0.00%), (AVGO, 0.00%), (AVGO, 0.00%), (AVGO, 0.00%), (AVGO, 0.00%), (AMZN, 0.00%), (AMZN, 0.00%), (AMZN, 0.00%), (AMZN, 0.00%), (AMAT, 0.00%), (AMZN, 0.00%), (AMT, 0.00%), (AMGN, 0.00%), (AMGN, 0.00%), (AMGN, 0.00%), (AMGN, 0.00%), (AMGN, 0.00%), (AMGN, 0.00%), (AMD, 0.00%), (AMD, 0.00%), (AMD, 0.00%), (AMD, 0.00%), (AMD, 0.00%), (AMD, 0.00%), (CSCO, 0.00%), (CSCO, 0.00%), (LOW, 0.00%), (INTU, 0.00%), (INTC, 0.00%), (INTC, 0.00%), (INTC, 0.00%), (INTC, 0.00%), (INTU, 0.00%), (INTU, 0.00%), (INTU, 0.00%), (CVS, 0.00%), (INTU, 0.00%), (ISRG, 0.00%), (ISRG, 0.00%), (ISRG, 0.00%), (ISRG, 0.00%), (ISRG, 0.00%), (INTC, 0.00%), (INTC, 0.00%), (IBM, 0.00%), (IBM, 0.00%), (IBM, 0.00%), (IBM, 0.00%), (IBM, 0.00%), (IBM, 0.00%), (HON, 0.00%), (HON, 0.00%), (HON, 0.00%), (HON, 0.00%), (HON, 0.00%), (HON, 0.00%), (HD, 0.00%), (HD, 0.00%), (HD, 0.00%), (ISRG, 0.00%), (JNJ, 0.00%), (JNJ, 0.00%), (LIN, 0.00%), (LOW, 0.00%), (LOW, 0.00%), (LOW, 0.00%), (LMT, 0.00%), (LMT, 0.00%), (LMT, 0.00%), (LMT, 0.00%), (LMT, 0.00%), (LLY, 0.00%), (LLY, 0.00%), (LLY, 0.00%), (LLY, 0.00%), (LLY, 0.00%), (LLY, 0.00%), (KO, 0.00%), (JNJ, 0.00%), (KO, 0.00%), (KO, 0.00%), (KO, 0.00%), (KO, 0.00%), (KO, 0.00%), (JPM, 0.00%), (JPM, 0.00%), (JPM, 0.00%), (JPM, 0.00%), (JPM, 0.00%), (JPM, 0.00%), (JNJ, 0.00%), (JNJ, 0.00%), (JNJ, 0.00%), (HD, 0.00%), (HD, 0.00%), (HD, 0.00%), (DE, 0.00%), (ELV, 0.00%), (DUK, 0.00%), (DIS, 0.00%), (DIS, 0.00%), (DIS, 0.00%), (DIS, 0.00%), (DIS, 0.00%), (DIS, 0.00%), (DHR, 0.00%), (DHR, 0.00%), (DHR, 0.00%), (DHR, 0.00%), (DHR, 0.00%), (DHR, 0.00%), (DE, 0.00%), (EMR, 0.00%), (DE, 0.00%), (DE, 0.00%), (DE, 0.00%), (CVX, 0.00%), (CVX, 0.00%), (CVX, 0.00%), (CVX, 0.00%), (CVX, 0.00%), (CVX, 0.00%), (CVS, 0.00%), (CVS, 0.00%), (CVS, 0.00%), (CVS, 0.00%), (CVS, 0.00%), (EMR, 0.00%), (EMR, 0.00%), (GS, 0.00%), (GE, 0.00%), (GS, 0.00%), (GS, 0.00%), (GS, 0.00%), (GS, 0.00%), (GOOG, 0.00%), (GILD, 0.00%), (GILD, 0.00%), (GILD, 0.00%), (GILD, 0.00%), (GILD, 0.00%), (GILD, 0.00%), (GE, 0.00%), (GE, 0.00%), (GE, 0.00%), (GE, 0.00%), (EMR, 0.00%), (GE, 0.00%), (FDX, 0.00%), (FDX, 0.00%), (FDX, 0.00%), (FDX, 0.00%), (FDX, 0.00%), (ETN, 0.00%), (ETN, 0.00%), (ETN, 0.00%), (ETN, 0.00%), (ETN, 0.00%), (ETN, 0.00%), (EMR, 0.00%), (EMR, 0.00%), (nan, 0.00%)</t>
  </si>
  <si>
    <t>AAPL: 5.84%, AAPL: 5.84%, AAPL: 5.84%, AAPL: 5.84%, AAPL: 5.84%, AAPL: 5.84%, ABBV: 0.62%, ABBV: 0.62%, ABBV: 0.62%, ABBV: 0.62%, ABBV: 0.62%, ABBV: 0.62%, ABT: 0.45%, ABT: 0.45%, ABT: 0.45%, ABT: 0.45%, ABT: 0.45%, ABT: 0.45%, ACN: 0.36%, ACN: 0.36%, ACN: 0.36%, ACN: 0.36%, ACN: 0.36%, ACN: 0.36%, ADBE: 0.31%, ADBE: 0.31%, ADBE: 0.31%, ADBE: 0.31%, ADBE: 0.31%, ADBE: 0.31%, AMAT: 0.28%, AMAT: 0.28%, AMAT: 0.28%, AMAT: 0.28%, AMAT: 0.28%, AMAT: 0.28%, AMD: 0.44%, AMD: 0.44%, AMD: 0.44%, AMD: 0.44%, AMD: 0.44%, AMD: 0.44%, AMGN: 0.29%, AMGN: 0.29%, AMGN: 0.29%, AMGN: 0.29%, AMGN: 0.29%, AMGN: 0.29%, AMT: 0.20%, AMZN: 3.95%, AMZN: 3.95%, AMZN: 3.95%, AMZN: 3.95%, AMZN: 3.95%, AMZN: 3.95%, AVGO: 2.47%, AVGO: 2.47%, AVGO: 2.47%, AVGO: 2.47%, AVGO: 2.47%, AVGO: 2.47%, AXP: 0.34%, AXP: 0.34%, AXP: 0.34%, AXP: 0.34%, AXP: 0.34%, AXP: 0.34%, BA: 0.30%, BA: 0.30%, BA: 0.30%, BA: 0.30%, BA: 0.30%, BA: 0.30%, BAC: 0.59%, BAC: 0.59%, BAC: 0.59%, BAC: 0.59%, BAC: 0.59%, BAC: 0.59%, BKNG: 0.36%, BLK: 0.29%, BLK: 0.29%, BLK: 0.29%, BMY: 0.18%, BMY: 0.18%, BMY: 0.18%, BMY: 0.18%, BMY: 0.18%, BMY: 0.18%, BRK/B: 1.70%, BRK/B: 1.70%, BRK/B: 1.70%, BRK/B: 1.70%, BRK/B: 1.70%, BRK/B: 1.70%, C: 0.30%, C: 0.30%, C: 0.30%, C: 0.30%, C: 0.30%, C: 0.30%, CAT: 0.35%, CAT: 0.35%, CAT: 0.35%, CAT: 0.35%, CAT: 0.35%, CAT: 0.35%, CB: 0.21%, CL: 0.14%, CL: 0.14%, CL: 0.14%, CL: 0.14%, CL: 0.14%, CL: 0.14%, CMCSA: 0.25%, COP: 0.22%, COP: 0.22%, COP: 0.22%, COP: 0.22%, COP: 0.22%, COP: 0.22%, COST: 0.84%, COST: 0.84%, COST: 0.84%, COST: 0.84%, COST: 0.84%, CRM: 0.50%, CRM: 0.50%, CRM: 0.50%, CRM: 0.50%, CRM: 0.50%, CRM: 0.50%, CSCO: 0.53%, CSCO: 0.53%, CSCO: 0.53%, CSCO: 0.53%, CSCO: 0.53%, CSCO: 0.53%, CVS: 0.17%, CVS: 0.17%, CVS: 0.17%, CVS: 0.17%, CVS: 0.17%, CVS: 0.17%, CVX: 0.44%, CVX: 0.44%, CVX: 0.44%, CVX: 0.44%, CVX: 0.44%, CVX: 0.44%, DE: 0.24%, DE: 0.24%, DE: 0.24%, DE: 0.24%, DE: 0.24%, DHR: 0.24%, DHR: 0.24%, DHR: 0.24%, DHR: 0.24%, DHR: 0.24%, DHR: 0.24%, DIS: 0.42%, DIS: 0.42%, DIS: 0.42%, DIS: 0.42%, DIS: 0.42%, DIS: 0.42%, DUK: 0.17%, ELV: 0.17%, EMR: 0.14%, EMR: 0.14%, EMR: 0.14%, EMR: 0.14%, EMR: 0.14%, EMR: 0.14%, ETN: 0.27%, ETN: 0.27%, ETN: 0.27%, ETN: 0.27%, ETN: 0.27%, ETN: 0.27%, FDX: 0.10%, FDX: 0.10%, FDX: 0.10%, FDX: 0.10%, FDX: 0.10%, GE: 0.52%, GE: 0.52%, GE: 0.52%, GE: 0.52%, GE: 0.52%, GE: 0.52%, GILD: 0.26%, GILD: 0.26%, GILD: 0.26%, GILD: 0.26%, GILD: 0.26%, GILD: 0.26%, GOOG: 1.59%, GS: 0.41%, GS: 0.41%, GS: 0.41%, GS: 0.41%, GS: 0.41%, HD: 0.69%, HD: 0.69%, HD: 0.69%, HD: 0.69%, HD: 0.69%, HD: 0.69%, HON: 0.29%, HON: 0.29%, HON: 0.29%, HON: 0.29%, HON: 0.29%, HON: 0.29%, IBM: 0.52%, IBM: 0.52%, IBM: 0.52%, IBM: 0.52%, IBM: 0.52%, IBM: 0.52%, INTC: 0.19%, INTC: 0.19%, INTC: 0.19%, INTC: 0.19%, INTC: 0.19%, INTC: 0.19%, INTU: 0.42%, INTU: 0.42%, INTU: 0.42%, INTU: 0.42%, INTU: 0.42%, ISRG: 0.37%, ISRG: 0.37%, ISRG: 0.37%, ISRG: 0.37%, ISRG: 0.37%, ISRG: 0.37%, JNJ: 0.70%, JNJ: 0.70%, JNJ: 0.70%, JNJ: 0.70%, JNJ: 0.70%, JNJ: 0.70%, JPM: 1.53%, JPM: 1.53%, JPM: 1.53%, JPM: 1.53%, JPM: 1.53%, JPM: 1.53%, KO: 0.52%, KO: 0.52%, KO: 0.52%, KO: 0.52%, KO: 0.52%, KO: 0.52%, LIN: 0.42%, LLY: 1.17%, LLY: 1.17%, LLY: 1.17%, LLY: 1.17%, LLY: 1.17%, LLY: 1.17%, LMT: 0.18%, LMT: 0.18%, LMT: 0.18%, LMT: 0.18%, LMT: 0.18%, LOW: 0.24%, LOW: 0.24%, LOW: 0.24%, LOW: 0.24%, LOW: 0.24%, LOW: 0.24%, MA: 0.87%, MA: 0.87%, MA: 0.87%, MA: 0.87%, MA: 0.87%, MA: 0.87%, MCD: 0.40%, MCD: 0.40%, MCD: 0.40%, MCD: 0.40%, MCD: 0.40%, MCD: 0.40%, MDLZ: 0.17%, MDLZ: 0.17%, MDLZ: 0.17%, MDLZ: 0.17%, MDLZ: 0.17%, MDLZ: 0.17%, MDT: 0.21%, MDT: 0.21%, MDT: 0.21%, MDT: 0.21%, MDT: 0.21%, MDT: 0.21%, MET: 0.09%, META: 3.05%, META: 3.05%, META: 3.05%, META: 3.05%, META: 3.05%, META: 3.05%, MMM: 0.16%, MMM: 0.16%, MMM: 0.16%, MMM: 0.16%, MMM: 0.16%, MMM: 0.16%, MO: 0.19%, MO: 0.19%, MO: 0.19%, MO: 0.19%, MO: 0.19%, MO: 0.19%, MRK: 0.38%, MRK: 0.38%, MRK: 0.38%, MRK: 0.38%, MRK: 0.38%, MRK: 0.38%, MS: 0.33%, MS: 0.33%, MS: 0.33%, MS: 0.33%, MS: 0.33%, MS: 0.33%, MSFT: 7.04%, MSFT: 7.04%, MSFT: 7.04%, MSFT: 7.04%, MSFT: 7.04%, MSFT: 7.04%, NEE: 0.27%, NEE: 0.27%, NEE: 0.27%, NEE: 0.27%, NEE: 0.27%, NEE: 0.27%, NFLX: 1.09%, NFLX: 1.09%, NFLX: 1.09%, NFLX: 1.09%, NFLX: 1.09%, NKE: 0.16%, NKE: 0.16%, NKE: 0.16%, NKE: 0.16%, NKE: 0.16%, NKE: 0.16%, NOW: 0.41%, NOW: 0.41%, NOW: 0.41%, NOW: 0.41%, NVDA: 7.34%, NVDA: 7.34%, NVDA: 7.34%, NVDA: 7.34%, NVDA: 7.34%, NVDA: 7.34%, ORCL: 0.68%, ORCL: 0.68%, ORCL: 0.68%, ORCL: 0.68%, ORCL: 0.68%, ORCL: 0.68%, PEP: 0.34%, PEP: 0.34%, PEP: 0.34%, PEP: 0.34%, PEP: 0.34%, PEP: 0.34%, PFE: 0.26%, PFE: 0.26%, PFE: 0.26%, PFE: 0.26%, PFE: 0.26%, PFE: 0.26%, PG: 0.71%, PG: 0.71%, PG: 0.71%, PG: 0.71%, PG: 0.71%, PG: 0.71%, PLTR: 0.55%, PLTR: 0.55%, PLTR: 0.55%, PLTR: 0.55%, PLTR: 0.55%, PLTR: 0.55%, PM: 0.54%, PM: 0.54%, PM: 0.54%, PM: 0.54%, PM: 0.54%, PM: 0.54%, PYPL: 0.14%, PYPL: 0.14%, PYPL: 0.14%, PYPL: 0.14%, PYPL: 0.14%, PYPL: 0.14%, QCOM: 0.33%, QCOM: 0.33%, QCOM: 0.33%, QCOM: 0.33%, QCOM: 0.33%, QCOM: 0.33%, RTX: 0.37%, RTX: 0.37%, RTX: 0.37%, RTX: 0.37%, RTX: 0.37%, RTX: 0.37%, SBUX: 0.20%, SBUX: 0.20%, SBUX: 0.20%, SBUX: 0.20%, SBUX: 0.20%, SBUX: 0.20%, SCHW: 0.30%, SCHW: 0.30%, SCHW: 0.30%, SCHW: 0.30%, SCHW: 0.30%, SCHW: 0.30%, SO: 0.19%, SO: 0.19%, SO: 0.19%, SO: 0.19%, SO: 0.19%, SO: 0.19%, SPGI: 0.32%, SPGI: 0.32%, SPGI: 0.32%, SPGI: 0.32%, SPGI: 0.32%, T: 0.40%, T: 0.40%, T: 0.40%, T: 0.40%, T: 0.40%, T: 0.40%, TGT: 0.09%, TGT: 0.09%, TGT: 0.09%, TGT: 0.09%, TGT: 0.09%, TJX: 0.26%, TJX: 0.26%, TJX: 0.26%, TJX: 0.26%, TJX: 0.26%, TJX: 0.26%, TMO: 0.29%, TMO: 0.29%, TMO: 0.29%, TMO: 0.29%, TMO: 0.29%, TSLA: 1.70%, TSLA: 1.70%, TSLA: 1.70%, TSLA: 1.70%, TSLA: 1.70%, TSLA: 1.70%, TXN: 0.36%, TXN: 0.36%, TXN: 0.36%, TXN: 0.36%, TXN: 0.36%, TXN: 0.36%, UBER: 0.37%, UBER: 0.37%, UBER: 0.37%, UBER: 0.37%, UBER: 0.37%, UBER: 0.37%, UNH: 0.54%, UNH: 0.54%, UNH: 0.54%, UNH: 0.54%, UNH: 0.54%, UNH: 0.54%, UNP: 0.26%, UNP: 0.26%, UNP: 0.26%, UNP: 0.26%, UNP: 0.26%, UNP: 0.26%, UPS: 0.14%, UPS: 0.14%, UPS: 0.14%, UPS: 0.14%, UPS: 0.14%, UPS: 0.14%, USB: 0.13%, USB: 0.13%, USB: 0.13%, USB: 0.13%, USB: 0.13%, USB: 0.13%, V: 1.16%, V: 1.16%, V: 1.16%, V: 1.16%, V: 1.16%, V: 1.16%, VZ: 0.35%, VZ: 0.35%, VZ: 0.35%, VZ: 0.35%, VZ: 0.35%, VZ: 0.35%, WFC: 0.50%, WFC: 0.50%, WFC: 0.50%, WFC: 0.50%, WFC: 0.50%, WFC: 0.50%, WM: 0.16%, WMT: 0.80%, WMT: 0.80%, WMT: 0.80%, WMT: 0.80%, WMT: 0.80%, WMT: 0.80%, XOM: 0.88%, XOM: 0.88%, XOM: 0.88%, XOM: 0.88%, XOM: 0.88%, XOM: 0.88%</t>
  </si>
  <si>
    <t>(NVDA, 5.92%), (NVDA, 5.92%), (NVDA, 5.92%), (NVDA, 5.92%), (NVDA, 5.92%), (NVDA, 5.92%)</t>
  </si>
  <si>
    <t>MSFT (5.73%)</t>
  </si>
  <si>
    <t>(NVDA, 7.65%), (NVDA, 7.65%), (NVDA, 7.65%), (NVDA, 7.65%), (NVDA, 7.65%), (NVDA, 7.65%), (MSFT, 7.40%), (MSFT, 7.40%), (MSFT, 7.40%), (MSFT, 7.40%), (MSFT, 7.40%), (MSFT, 7.40%), (AAPL, 6.28%), (AAPL, 6.28%), (AAPL, 6.28%), (AAPL, 6.28%), (AAPL, 6.28%), (AAPL, 6.28%)</t>
  </si>
  <si>
    <t>MSFT (7.40%)</t>
  </si>
  <si>
    <t>(NVDA, 7.86%), (MSFT, 7.64%), (AAPL, 6.54%)</t>
  </si>
  <si>
    <t>AAPL: 5.84%, ABBV: 0.62%, ABT: 0.45%, ACN: 0.36%, ADBE: 0.31%, AMAT: 0.28%, AMD: 0.44%, AMGN: 0.29%, AMT: 0.20%, AMZN: 3.95%, AVGO: 2.47%, AXP: 0.34%, BA: 0.30%, BAC: 0.59%, BKNG: 0.36%, BLK: 0.29%, BMY: 0.18%, BRK/B: 1.70%, C: 0.30%, CAT: 0.35%, CB: 0.21%, CL: 0.14%, CMCSA: 0.25%, COP: 0.22%, COST: 0.84%, CRM: 0.50%, CSCO: 0.53%, CVS: 0.17%, CVX: 0.44%, DE: 0.24%, DHR: 0.24%, DIS: 0.42%, DUK: 0.17%, ELV: 0.17%, EMR: 0.14%, ETN: 0.27%, FDX: 0.10%, GE: 0.52%, GILD: 0.26%, GOOG: 1.59%, GS: 0.41%, HD: 0.69%, HON: 0.29%, IBM: 0.52%, INTC: 0.19%, INTU: 0.42%, ISRG: 0.37%, JNJ: 0.70%, JPM: 1.53%, KO: 0.52%, LIN: 0.42%, LLY: 1.17%, LMT: 0.18%, LOW: 0.24%, MA: 0.87%, MCD: 0.40%, MDLZ: 0.17%, MDT: 0.21%, MET: 0.09%, META: 3.05%, MMM: 0.16%, MO: 0.19%, MRK: 0.38%, MS: 0.33%, MSFT: 7.04%, NEE: 0.27%, NFLX: 1.09%, NKE: 0.16%, NOW: 0.41%, NVDA: 7.34%, ORCL: 0.68%, PEP: 0.34%, PFE: 0.26%, PG: 0.71%</t>
  </si>
  <si>
    <t>LLY (1.54%)</t>
  </si>
  <si>
    <t>CB (1.44%)</t>
  </si>
  <si>
    <t>(NVDA, 8.70%), (MSFT, 8.44%), (AAPL, 7.21%)</t>
  </si>
  <si>
    <t>AAPL: 5.84%, ABBV: 0.62%, ABT: 0.45%, ACN: 0.36%, ADBE: 0.31%, AMAT: 0.28%, AMD: 0.44%, AMGN: 0.29%, AMT: 0.20%, AMZN: 3.95%, AVGO: 2.47%, AXP: 0.34%, BA: 0.30%, BAC: 0.59%, BKNG: 0.36%, BLK: 0.29%, BMY: 0.18%, BRK/B: 1.70%, C: 0.30%, CAT: 0.35%, CB: 0.21%, CL: 0.14%, CMCSA: 0.25%, COP: 0.22%, COST: 0.84%, CRM: 0.50%, CSCO: 0.53%, CVS: 0.17%, CVX: 0.44%, DE: 0.24%, DHR: 0.24%, DIS: 0.42%, DUK: 0.17%, ELV: 0.17%, EMR: 0.14%, ETN: 0.27%, FDX: 0.10%, GE: 0.52%, GILD: 0.26%, GOOG: 1.59%, GS: 0.41%, HD: 0.69%, HON: 0.29%, IBM: 0.52%, INTC: 0.19%, INTU: 0.42%, ISRG: 0.37%, JNJ: 0.70%, JPM: 1.53%, KO: 0.52%, LIN: 0.42%, LLY: 1.17%, LMT: 0.18%, LOW: 0.24%, MA: 0.87%, MCD: 0.40%, MDLZ: 0.17%, MDT: 0.21%, MET: 0.09%, META: 3.05%, MMM: 0.16%, MO: 0.19%, MRK: 0.38%, MS: 0.33%, MSFT: 7.04%, NEE: 0.27%, NFLX: 1.09%, NKE: 0.16%, NOW: 0.41%, NVDA: 7.34%, ORCL: 0.68%, PEP: 0.34%, PFE: 0.26%, PG: 0.71%, PLTR: 0.55%, PM: 0.54%, PYPL: 0.14%, QCOM: 0.33%, RTX: 0.37%, SBUX: 0.20%, SCHW: 0.30%, SO: 0.19%, SPGI: 0.32%, T: 0.40%, TGT: 0.09%, TJX: 0.26%, TMO: 0.29%, TSLA: 1.70%, TXN: 0.36%, UBER: 0.37%, UNH: 0.54%, UNP: 0.26%, UPS: 0.14%, USB: 0.13%, V: 1.16%, VZ: 0.35%, WFC: 0.50%, WM: 0.16%, WMT: 0.80%, XOM: 0.88%</t>
  </si>
  <si>
    <t>JPM (2.21%)</t>
  </si>
  <si>
    <t>TSLA (2.12%)</t>
  </si>
  <si>
    <t>(NVDA, 34.60%), (MSFT, 33.64%), (AAPL, 28.86%), (AMZN, 21.17%), (GOOG, 17.83%), (AVGO, 15.66%), (META, 15.22%), (BRK/B, 11.94%), (CSCO, 10.09%), (LIN, 9.83%), (AMT, 9.36%), (JPM, 9.01%), (LLY, 6.86%), (CB, 6.67%), (MA, 6.16%), (TSLA, 5.74%)</t>
  </si>
  <si>
    <t>MSFT (33.64%)</t>
  </si>
  <si>
    <t>AAPL (28.86%)</t>
  </si>
  <si>
    <t>(NVDA, 14.60%), (MSFT, 14.20%), (AAPL, 12.18%), (AMZN, 8.94%), (GOOG, 7.52%), (AVGO, 6.61%), (META, 6.42%)</t>
  </si>
  <si>
    <t>GOOG (7.52%)</t>
  </si>
  <si>
    <t>AVGO (6.61%)</t>
  </si>
  <si>
    <t>(NVDA, 9.71%), (MSFT, 9.44%), (AAPL, 8.08%), (AMZN, 5.91%)</t>
  </si>
  <si>
    <t>CSCO (2.73%)</t>
  </si>
  <si>
    <t>LIN (2.65%)</t>
  </si>
  <si>
    <t>(NVDA, 14.27%), (MSFT, 13.86%), (AAPL, 11.87%), (AMZN, 8.67%), (GOOG, 7.12%), (AVGO, 6.37%), (META, 6.26%)</t>
  </si>
  <si>
    <t>GOOG (7.12%)</t>
  </si>
  <si>
    <t>AVGO (6.37%)</t>
  </si>
  <si>
    <t>(NVDA, 7.41%), (MSFT, 7.19%), (AAPL, 6.15%)</t>
  </si>
  <si>
    <t>TSLA (1.27%)</t>
  </si>
  <si>
    <t>V (1.17%)</t>
  </si>
  <si>
    <t>(AAPL, 0.00%), (PEP, 0.00%), (NVDA, 0.00%), (NVDA, 0.00%), (NVDA, 0.00%), (NVDA, 0.00%), (NVDA, 0.00%), (ODFL, 0.00%), (ORCL, 0.00%), (ORCL, 0.00%), (ORCL, 0.00%), (ORCL, 0.00%), (ORCL, 0.00%), (ORCL, 0.00%), (ORCL, 0.00%), (ORCL, 0.00%), (PAYC, 0.00%), (PCAR, 0.00%), (PEP, 0.00%), (PEP, 0.00%), (PEP, 0.00%), (PEP, 0.00%), (PEP, 0.00%), (NVDA, 0.00%), (NVDA, 0.00%), (NVDA, 0.00%), (NKE, 0.00%), (NFLX, 0.00%), (NFLX, 0.00%), (NFLX, 0.00%), (NFLX, 0.00%), (NFLX, 0.00%), (NKE, 0.00%), (NKE, 0.00%), (NKE, 0.00%), (NKE, 0.00%), (NKE, 0.00%), (NUE, 0.00%), (NKE, 0.00%), (NKE, 0.00%), (NOW, 0.00%), (NOW, 0.00%), (NOW, 0.00%), (NOW, 0.00%), (NOW, 0.00%), (NOW, 0.00%), (NTRS, 0.00%), (PEP, 0.00%), (PEP, 0.00%), (NFLX, 0.00%), (PFE, 0.00%), (PLTR, 0.00%), (PM, 0.00%), (PM, 0.00%), (PM, 0.00%), (PM, 0.00%), (PM, 0.00%), (PM, 0.00%), (PM, 0.00%), (PM, 0.00%), (PNC, 0.00%), (PYPL, 0.00%), (PYPL, 0.00%), (PYPL, 0.00%), (PYPL, 0.00%), (PYPL, 0.00%), (PYPL, 0.00%), (PYPL, 0.00%), (PYPL, 0.00%), (QCOM, 0.00%), (QCOM, 0.00%), (QCOM, 0.00%), (PLTR, 0.00%), (PLTR, 0.00%), (PLTR, 0.00%), (PG, 0.00%), (PFE, 0.00%), (PFE, 0.00%), (PFE, 0.00%), (PFE, 0.00%), (PFE, 0.00%), (PFE, 0.00%), (PFE, 0.00%), (PG, 0.00%), (PG, 0.00%), (PG, 0.00%), (PLTR, 0.00%), (PG, 0.00%), (PG, 0.00%), (PG, 0.00%), (PG, 0.00%), (PGR, 0.00%), (PHM, 0.00%), (PLTR, 0.00%), (PLTR, 0.00%), (PLTR, 0.00%), (NFLX, 0.00%), (NEE, 0.00%), (QCOM, 0.00%), (MMM, 0.00%), (MDLZ, 0.00%), (MDLZ, 0.00%), (MDLZ, 0.00%), (MDT, 0.00%), (MDT, 0.00%), (MDT, 0.00%), (MDT, 0.00%), (MDT, 0.00%), (MDT, 0.00%), (MDT, 0.00%), (MDT, 0.00%), (MET, 0.00%), (META, 0.00%), (META, 0.00%), (META, 0.00%), (META, 0.00%), (META, 0.00%), (META, 0.00%), (META, 0.00%), (META, 0.00%), (MLI, 0.00%), (MDLZ, 0.00%), (MDLZ, 0.00%), (MDLZ, 0.00%), (MA, 0.00%), (LOW, 0.00%), (LRCX, 0.00%), (MA, 0.00%), (MA, 0.00%), (MA, 0.00%), (MA, 0.00%), (MA, 0.00%), (MA, 0.00%), (MA, 0.00%), (MCD, 0.00%), (MDLZ, 0.00%), (MCD, 0.00%), (MCD, 0.00%), (MCD, 0.00%), (MCD, 0.00%), (MCD, 0.00%), (MCD, 0.00%), (MCD, 0.00%), (MCK, 0.00%), (MDLZ, 0.00%), (MMM, 0.00%), (MMM, 0.00%), (NEE, 0.00%), (MMM, 0.00%), (MS, 0.00%), (MS, 0.00%), (MS, 0.00%), (MS, 0.00%), (MS, 0.00%), (MSFT, 0.00%), (MSFT, 0.00%), (MSFT, 0.00%), (MSFT, 0.00%), (MSFT, 0.00%), (MSFT, 0.00%), (MSFT, 0.00%), (MSFT, 0.00%), (MTB, 0.00%), (MTG, 0.00%), (NEE, 0.00%), (NEE, 0.00%), (NEE, 0.00%), (NEE, 0.00%), (NEE, 0.00%), (NEE, 0.00%), (MS, 0.00%), (MS, 0.00%), (MS, 0.00%), (MO, 0.00%), (MMM, 0.00%), (MMM, 0.00%), (MMM, 0.00%), (MMM, 0.00%), (MO, 0.00%), (MO, 0.00%), (MO, 0.00%), (MO, 0.00%), (MO, 0.00%), (MO, 0.00%), (MRK, 0.00%), (MO, 0.00%), (MPWR, 0.00%), (MRK, 0.00%), (MRK, 0.00%), (MRK, 0.00%), (MRK, 0.00%), (MRK, 0.00%), (MRK, 0.00%), (MRK, 0.00%), (QCOM, 0.00%), (QCOM, 0.00%), (LOW, 0.00%), (VZ, 0.00%), (UPS, 0.00%), (UPS, 0.00%), (UPS, 0.00%), (UPS, 0.00%), (USB, 0.00%), (USB, 0.00%), (USB, 0.00%), (USB, 0.00%), (USB, 0.00%), (USB, 0.00%), (USB, 0.00%), (USB, 0.00%), (V, 0.00%), (V, 0.00%), (V, 0.00%), (V, 0.00%), (V, 0.00%), (V, 0.00%), (V, 0.00%), (V, 0.00%), (VZ, 0.00%), (UPS, 0.00%), (UPS, 0.00%), (UPS, 0.00%), (UNH, 0.00%), (UBER, 0.00%), (UBER, 0.00%), (UBER, 0.00%), (UNH, 0.00%), (UNH, 0.00%), (UNH, 0.00%), (UNH, 0.00%), (UNH, 0.00%), (UNH, 0.00%), (UNH, 0.00%), (UPS, 0.00%), (UNM, 0.00%), (UNP, 0.00%), (UNP, 0.00%), (UNP, 0.00%), (UNP, 0.00%), (UNP, 0.00%), (UNP, 0.00%), (UNP, 0.00%), (UNP, 0.00%), (VZ, 0.00%), (VZ, 0.00%), (UBER, 0.00%), (VZ, 0.00%), (XOM, 0.00%), (XOM, 0.00%), (XOM, 0.00%), (XOM, 0.00%), (XOM, 0.00%), (XOM, 0.00%), (nan, 0.00%), (nan, 0.00%), (nan, 0.00%), (nan, 0.00%), (nan, 0.00%), (nan, 0.00%), (nan, 0.00%), (nan, 0.00%), (nan, 0.00%), (nan, 0.00%), (nan, 0.00%), (nan, 0.00%), (nan, 0.00%), (nan, 0.00%), (nan, 0.00%), (XOM, 0.00%), (XOM, 0.00%), (WTFC, 0.00%), (WFC, 0.00%), (VZ, 0.00%), (VZ, 0.00%), (VZ, 0.00%), (WFC, 0.00%), (WFC, 0.00%), (WFC, 0.00%), (WFC, 0.00%), (WFC, 0.00%), (WFC, 0.00%), (WFC, 0.00%), (WSM, 0.00%), (WM, 0.00%), (WMT, 0.00%), (WMT, 0.00%), (WMT, 0.00%), (WMT, 0.00%), (WMT, 0.00%), (WMT, 0.00%), (WMT, 0.00%), (WMT, 0.00%), (UBER, 0.00%), (UBER, 0.00%), (QCOM, 0.00%), (T, 0.00%), (SCHW, 0.00%), (SCHW, 0.00%), (SCHW, 0.00%), (SLM, 0.00%), (SNA, 0.00%), (SO, 0.00%), (SO, 0.00%), (SO, 0.00%), (SO, 0.00%), (SO, 0.00%), (SO, 0.00%), (SO, 0.00%), (SO, 0.00%), (SPGI, 0.00%), (SPGI, 0.00%), (SPGI, 0.00%), (SPGI, 0.00%), (SPGI, 0.00%), (SPGI, 0.00%), (SPGI, 0.00%), (STT, 0.00%), (SCHW, 0.00%), (SCHW, 0.00%), (SCHW, 0.00%), (RTX, 0.00%), (QCOM, 0.00%), (RJF, 0.00%), (ROST, 0.00%), (RTX, 0.00%), (RTX, 0.00%), (RTX, 0.00%), (RTX, 0.00%), (RTX, 0.00%), (RTX, 0.00%), (RTX, 0.00%), (SCHW, 0.00%), (SBUX, 0.00%), (SBUX, 0.00%), (SBUX, 0.00%), (SBUX, 0.00%), (SBUX, 0.00%), (SBUX, 0.00%), (SBUX, 0.00%), (SBUX, 0.00%), (SCHW, 0.00%), (SYF, 0.00%), (T, 0.00%), (UBER, 0.00%), (T, 0.00%), (TMO, 0.00%), (TMO, 0.00%), (TMO, 0.00%), (TRV, 0.00%), (TSLA, 0.00%), (TSLA, 0.00%), (TSLA, 0.00%), (TSLA, 0.00%), (TSLA, 0.00%), (TSLA, 0.00%), (TSLA, 0.00%), (TSLA, 0.00%), (TXN, 0.00%), (TXN, 0.00%), (TXN, 0.00%), (TXN, 0.00%), (TXN, 0.00%), (TXN, 0.00%), (TXN, 0.00%), (TXN, 0.00%), (UBER, 0.00%), (TMO, 0.00%), (TMO, 0.00%), (TMO, 0.00%), (TGT, 0.00%), (T, 0.00%), (T, 0.00%), (T, 0.00%), (T, 0.00%), (T, 0.00%), (TGT, 0.00%), (TGT, 0.00%), (TGT, 0.00%), (TGT, 0.00%), (TGT, 0.00%), (TMO, 0.00%), (TGT, 0.00%), (TJX, 0.00%), (TJX, 0.00%), (TJX, 0.00%), (TJX, 0.00%), (TJX, 0.00%), (TJX, 0.00%), (TJX, 0.00%), (TJX, 0.00%), (LOW, 0.00%), (LOW, 0.00%), (AAPL, 0.00%), (CAT, 0.00%), (BRK/B, 0.00%), (BRK/B, 0.00%), (BRK/B, 0.00%), (BRK/B, 0.00%), (BRK/B, 0.00%), (BRK/B, 0.00%), (BRK/B, 0.00%), (C, 0.00%), (C, 0.00%), (C, 0.00%), (C, 0.00%), (C, 0.00%), (C, 0.00%), (C, 0.00%), (C, 0.00%), (CAT, 0.00%), (CAT, 0.00%), (CAT, 0.00%), (CAT, 0.00%), (CAT, 0.00%), (CAT, 0.00%), (BRK/B, 0.00%), (BMY, 0.00%), (BMY, 0.00%), (BK, 0.00%), (BA, 0.00%), (BAC, 0.00%), (BAC, 0.00%), (BAC, 0.00%), (BAC, 0.00%), (BAC, 0.00%), (BAC, 0.00%), (BAC, 0.00%), (BAC, 0.00%), (BKNG, 0.00%), (BMY, 0.00%), (BKR, 0.00%), (BLK, 0.00%), (BLK, 0.00%), (BLK, 0.00%), (BMY, 0.00%), (BMY, 0.00%), (BMY, 0.00%), (BMY, 0.00%), (BMY, 0.00%), (CAT, 0.00%), (CB, 0.00%), (BA, 0.00%), (CF, 0.00%), (COP, 0.00%), (COST, 0.00%), (COST, 0.00%), (COST, 0.00%), (COST, 0.00%), (COST, 0.00%), (COST, 0.00%), (COST, 0.00%), (CRBG, 0.00%), (CRM, 0.00%), (CRM, 0.00%), (CRM, 0.00%), (CRM, 0.00%), (CRM, 0.00%), (CRM, 0.00%), (CRM, 0.00%), (CRM, 0.00%), (CSCO, 0.00%), (CSCO, 0.00%), (CSCO, 0.00%), (CSCO, 0.00%), (COP, 0.00%), (COP, 0.00%), (COP, 0.00%), (CMCSA, 0.00%), (CINF, 0.00%), (CL, 0.00%), (CL, 0.00%), (CL, 0.00%), (CL, 0.00%), (CL, 0.00%), (CL, 0.00%), (CL, 0.00%), (CL, 0.00%), (CMCSA, 0.00%), (COP, 0.00%), (CMCSA, 0.00%), (CMCSA, 0.00%), (CMCSA, 0.00%), (CMCSA, 0.00%), (CMCSA, 0.00%), (CMCSA, 0.00%), (COP, 0.00%), (COP, 0.00%), (COP, 0.00%), (BA, 0.00%), (BA, 0.00%), (CSCO, 0.00%), (AMAT, 0.00%), (ACN, 0.00%), (ACN, 0.00%), (ACN, 0.00%), (ACN, 0.00%), (ACN, 0.00%), (ACN, 0.00%), (ACN, 0.00%), (ADBE, 0.00%), (ADBE, 0.00%), (ADBE, 0.00%), (ADBE, 0.00%), (ADBE, 0.00%), (ADBE, 0.00%), (ADBE, 0.00%), (ADM, 0.00%), (ADP, 0.00%), (AFL, 0.00%), (ALL, 0.00%), (AMAT, 0.00%), (AMAT, 0.00%), (AMAT, 0.00%), (ACN, 0.00%), (ACM, 0.00%), (ABT, 0.00%), (ABBV, 0.00%), (AAPL, 0.00%), (AAPL, 0.00%), (AAPL, 0.00%), (AAPL, 0.00%), (AAPL, 0.00%), (AAPL, 0.00%), (ABBV, 0.00%), (ABBV, 0.00%), (ABBV, 0.00%), (ABBV, 0.00%), (ABT, 0.00%), (ABBV, 0.00%), (ABBV, 0.00%), (ABBV, 0.00%), (ABT, 0.00%), (ABT, 0.00%), (ABT, 0.00%), (ABT, 0.00%), (ABT, 0.00%), (ABT, 0.00%), (AMAT, 0.00%), (AMAT, 0.00%), (BA, 0.00%), (AMAT, 0.00%), (AMZN, 0.00%), (AMZN, 0.00%), (AVGO, 0.00%), (AVGO, 0.00%), (AVGO, 0.00%), (AVGO, 0.00%), (AVGO, 0.00%), (AVGO, 0.00%), (AVGO, 0.00%), (AVGO, 0.00%), (AXP, 0.00%), (AXP, 0.00%), (AXP, 0.00%), (AXP, 0.00%), (AXP, 0.00%), (AXP, 0.00%), (AXP, 0.00%), (AXP, 0.00%), (BA, 0.00%), (BA, 0.00%), (BA, 0.00%), (AMZN, 0.00%), (AMZN, 0.00%), (AMZN, 0.00%), (AMGN, 0.00%), (AMAT, 0.00%), (AMD, 0.00%), (AMD, 0.00%), (AMD, 0.00%), (AMD, 0.00%), (AMD, 0.00%), (AMD, 0.00%), (AMD, 0.00%), (AMD, 0.00%), (AMGN, 0.00%), (AMZN, 0.00%), (AMGN, 0.00%), (AMGN, 0.00%), (AMGN, 0.00%), (AMGN, 0.00%), (AMGN, 0.00%), (AMP, 0.00%), (AMT, 0.00%), (AMZN, 0.00%), (AMZN, 0.00%), (CSCO, 0.00%), (CSCO, 0.00%), (LOW, 0.00%), (ISRG, 0.00%), (IBM, 0.00%), (IBM, 0.00%), (INTC, 0.00%), (INTC, 0.00%), (INTC, 0.00%), (INTC, 0.00%), (INTC, 0.00%), (INTC, 0.00%), (INTC, 0.00%), (INTC, 0.00%), (INTU, 0.00%), (INTU, 0.00%), (INTU, 0.00%), (INTU, 0.00%), (INTU, 0.00%), (INTU, 0.00%), (INTU, 0.00%), (ISRG, 0.00%), (ISRG, 0.00%), (ISRG, 0.00%), (ISRG, 0.00%), (IBM, 0.00%), (IBM, 0.00%), (IBM, 0.00%), (HIG, 0.00%), (GS, 0.00%), (HD, 0.00%), (HD, 0.00%), (HD, 0.00%), (HD, 0.00%), (HD, 0.00%), (HD, 0.00%), (HD, 0.00%), (HD, 0.00%), (HON, 0.00%), (IBM, 0.00%), (HON, 0.00%), (HON, 0.00%), (HON, 0.00%), (HON, 0.00%), (HON, 0.00%), (HON, 0.00%), (HON, 0.00%), (IBM, 0.00%), (IBM, 0.00%), (ISRG, 0.00%), (ISRG, 0.00%), (GS, 0.00%), (JNJ, 0.00%), (KO, 0.00%), (LEN, 0.00%), (LIN, 0.00%), (LLY, 0.00%), (LLY, 0.00%), (LLY, 0.00%), (LLY, 0.00%), (LLY, 0.00%), (LLY, 0.00%), (LLY, 0.00%), (LLY, 0.00%), (LMT, 0.00%), (LMT, 0.00%), (LMT, 0.00%), (LMT, 0.00%), (LMT, 0.00%), (LMT, 0.00%), (LMT, 0.00%), (LNC, 0.00%), (LOW, 0.00%), (LOW, 0.00%), (KO, 0.00%), (KO, 0.00%), (KO, 0.00%), (JPM, 0.00%), (JNJ, 0.00%), (JNJ, 0.00%), (JNJ, 0.00%), (JNJ, 0.00%), (JNJ, 0.00%), (JNJ, 0.00%), (JNJ, 0.00%), (JPM, 0.00%), (JPM, 0.00%), (JPM, 0.00%), (KO, 0.00%), (JPM, 0.00%), (JPM, 0.00%), (JPM, 0.00%), (JPM, 0.00%), (JXN, 0.00%), (KLAC, 0.00%), (KO, 0.00%), (KO, 0.00%), (KO, 0.00%), (GS, 0.00%), (GS, 0.00%), (CSCO, 0.00%), (EG, 0.00%), (DE, 0.00%), (DHI, 0.00%), (DHR, 0.00%), (DHR, 0.00%), (DHR, 0.00%), (DHR, 0.00%), (DHR, 0.00%), (DHR, 0.00%), (DHR, 0.00%), (DHR, 0.00%), (DIS, 0.00%), (DIS, 0.00%), (DIS, 0.00%), (DIS, 0.00%), (DIS, 0.00%), (DIS, 0.00%), (DIS, 0.00%), (DIS, 0.00%), (DOV, 0.00%), (DUK, 0.00%), (EA, 0.00%), (DE, 0.00%), (DE, 0.00%), (DE, 0.00%), (CVS, 0.00%), (CSL, 0.00%), (CTSH, 0.00%), (CVS, 0.00%), (CVS, 0.00%), (CVS, 0.00%), (CVS, 0.00%), (CVS, 0.00%), (CVS, 0.00%), (CVS, 0.00%), (CVX, 0.00%), (DE, 0.00%), (CVX, 0.00%), (CVX, 0.00%), (CVX, 0.00%), (CVX, 0.00%), (CVX, 0.00%), (CVX, 0.00%), (CVX, 0.00%), (DE, 0.00%), (DE, 0.00%), (EBAY, 0.00%), (ELV, 0.00%), (GS, 0.00%), (EMR, 0.00%), (FDX, 0.00%), (GE, 0.00%), (GE, 0.00%), (GE, 0.00%), (GE, 0.00%), (GE, 0.00%), (GE, 0.00%), (GE, 0.00%), (GE, 0.00%), (GEV, 0.00%), (GILD, 0.00%), (GILD, 0.00%), (GILD, 0.00%), (GILD, 0.00%), (GILD, 0.00%), (GILD, 0.00%), (GILD, 0.00%), (GILD, 0.00%), (GOOG, 0.00%), (GS, 0.00%), (GS, 0.00%), (FDX, 0.00%), (FDX, 0.00%), (FDX, 0.00%), (ETN, 0.00%), (EMR, 0.00%), (EMR, 0.00%), (EMR, 0.00%), (EMR, 0.00%), (EMR, 0.00%), (EMR, 0.00%), (EMR, 0.00%), (EOG, 0.00%), (EQH, 0.00%), (ETN, 0.00%), (FDX, 0.00%), (ETN, 0.00%), (ETN, 0.00%), (ETN, 0.00%), (ETN, 0.00%), (ETN, 0.00%), (ETN, 0.00%), (EWBC, 0.00%), (FANG, 0.00%), (FDX, 0.00%), (nan, 0.00%)</t>
  </si>
  <si>
    <t>AAPL: 5.95%, AAPL: 5.95%, AAPL: 5.95%, AAPL: 5.95%, AAPL: 5.95%, AAPL: 5.95%, AAPL: 5.95%, AAPL: 5.95%, ABBV: 0.64%, ABBV: 0.64%, ABBV: 0.64%, ABBV: 0.64%, ABBV: 0.64%, ABBV: 0.64%, ABBV: 0.64%, ABBV: 0.64%, ABT: 0.44%, ABT: 0.44%, ABT: 0.44%, ABT: 0.44%, ABT: 0.44%, ABT: 0.44%, ABT: 0.44%, ABT: 0.44%, ACN: 0.36%, ACN: 0.36%, ACN: 0.36%, ACN: 0.36%, ACN: 0.36%, ACN: 0.36%, ACN: 0.36%, ACN: 0.36%, ADBE: 0.31%, ADBE: 0.31%, ADBE: 0.31%, ADBE: 0.31%, ADBE: 0.31%, ADBE: 0.31%, ADBE: 0.31%, ADM: 0.05%, ADP: 0.24%, AFL: 0.10%, ALL: 0.10%, AMAT: 0.30%, AMAT: 0.30%, AMAT: 0.30%, AMAT: 0.30%, AMAT: 0.30%, AMAT: 0.30%, AMAT: 0.30%, AMAT: 0.30%, AMD: 0.42%, AMD: 0.42%, AMD: 0.42%, AMD: 0.42%, AMD: 0.42%, AMD: 0.42%, AMD: 0.42%, AMD: 0.42%, AMGN: 0.30%, AMGN: 0.30%, AMGN: 0.30%, AMGN: 0.30%, AMGN: 0.30%, AMGN: 0.30%, AMGN: 0.30%, AMP: 0.10%, AMT: 0.20%, AMZN: 3.93%, AMZN: 3.93%, AMZN: 3.93%, AMZN: 3.93%, AMZN: 3.93%, AMZN: 3.93%, AMZN: 3.93%, AMZN: 3.93%, AVGO: 2.42%, AVGO: 2.42%, AVGO: 2.42%, AVGO: 2.42%, AVGO: 2.42%, AVGO: 2.42%, AVGO: 2.42%, AVGO: 2.42%, AXP: 0.33%, AXP: 0.33%, AXP: 0.33%, AXP: 0.33%, AXP: 0.33%, AXP: 0.33%, AXP: 0.33%, AXP: 0.33%, BA: 0.31%, BA: 0.31%, BA: 0.31%, BA: 0.31%, BA: 0.31%, BA: 0.31%, BA: 0.31%, BA: 0.31%, BAC: 0.59%, BAC: 0.59%, BAC: 0.59%, BAC: 0.59%, BAC: 0.59%, BAC: 0.59%, BAC: 0.59%, BAC: 0.59%, BK: 0.13%, BKNG: 0.35%, BKR: 0.08%, BLK: 0.30%, BLK: 0.30%, BLK: 0.30%, BMY: 0.18%, BMY: 0.18%, BMY: 0.18%, BMY: 0.18%, BMY: 0.18%, BMY: 0.18%, BMY: 0.18%, BMY: 0.18%, BRK/B: 1.66%, BRK/B: 1.66%, BRK/B: 1.66%, BRK/B: 1.66%, BRK/B: 1.66%, BRK/B: 1.66%, BRK/B: 1.66%, BRK/B: 1.66%, C: 0.30%, C: 0.30%, C: 0.30%, C: 0.30%, C: 0.30%, C: 0.30%, C: 0.30%, C: 0.30%, CAT: 0.35%, CAT: 0.35%, CAT: 0.35%, CAT: 0.35%, CAT: 0.35%, CAT: 0.35%, CAT: 0.35%, CAT: 0.35%, CB: 0.20%, CF: 0.03%, CINF: 0.04%, CL: 0.14%, CL: 0.14%, CL: 0.14%, CL: 0.14%, CL: 0.14%, CL: 0.14%, CL: 0.14%, CL: 0.14%, CMCSA: 0.25%, CMCSA: 0.25%, CMCSA: 0.25%, CMCSA: 0.25%, CMCSA: 0.25%, CMCSA: 0.25%, CMCSA: 0.25%, CMCSA: 0.25%, COP: 0.23%, COP: 0.23%, COP: 0.23%, COP: 0.23%, COP: 0.23%, COP: 0.23%, COP: 0.23%, COP: 0.23%, COST: 0.83%, COST: 0.83%, COST: 0.83%, COST: 0.83%, COST: 0.83%, COST: 0.83%, COST: 0.83%, CRM: 0.50%, CRM: 0.50%, CRM: 0.50%, CRM: 0.50%, CRM: 0.50%, CRM: 0.50%, CRM: 0.50%, CRM: 0.50%, CSCO: 0.52%, CSCO: 0.52%, CSCO: 0.52%, CSCO: 0.52%, CSCO: 0.52%, CSCO: 0.52%, CSCO: 0.52%, CSCO: 0.52%, CTSH: 0.08%, CVS: 0.16%, CVS: 0.16%, CVS: 0.16%, CVS: 0.16%, CVS: 0.16%, CVS: 0.16%, CVS: 0.16%, CVS: 0.16%, CVX: 0.47%, CVX: 0.47%, CVX: 0.47%, CVX: 0.47%, CVX: 0.47%, CVX: 0.47%, CVX: 0.47%, CVX: 0.47%, DE: 0.24%, DE: 0.24%, DE: 0.24%, DE: 0.24%, DE: 0.24%, DE: 0.24%, DE: 0.24%, DHI: 0.07%, DHR: 0.24%, DHR: 0.24%, DHR: 0.24%, DHR: 0.24%, DHR: 0.24%, DHR: 0.24%, DHR: 0.24%, DHR: 0.24%, DIS: 0.42%, DIS: 0.42%, DIS: 0.42%, DIS: 0.42%, DIS: 0.42%, DIS: 0.42%, DIS: 0.42%, DIS: 0.42%, DOV: 0.05%, DUK: 0.17%, EA: 0.07%, EBAY: 0.07%, EG: 0.03%, ELV: 0.15%, EMR: 0.15%, EMR: 0.15%, EMR: 0.15%, EMR: 0.15%, EMR: 0.15%, EMR: 0.15%, EMR: 0.15%, EMR: 0.15%, EOG: 0.13%, ETN: 0.27%, ETN: 0.27%, ETN: 0.27%, ETN: 0.27%, ETN: 0.27%, ETN: 0.27%, ETN: 0.27%, ETN: 0.27%, FANG: 0.05%, FDX: 0.10%, FDX: 0.10%, FDX: 0.10%, FDX: 0.10%, FDX: 0.10%, FDX: 0.10%, GE: 0.50%, GE: 0.50%, GE: 0.50%, GE: 0.50%, GE: 0.50%, GE: 0.50%, GE: 0.50%, GE: 0.50%, GEV: 0.27%, GILD: 0.26%, GILD: 0.26%, GILD: 0.26%, GILD: 0.26%, GILD: 0.26%, GILD: 0.26%, GILD: 0.26%, GILD: 0.26%, GOOG: 1.56%, GS: 0.41%, GS: 0.41%, GS: 0.41%, GS: 0.41%, GS: 0.41%, GS: 0.41%, GS: 0.41%, HD: 0.69%, HD: 0.69%, HD: 0.69%, HD: 0.69%, HD: 0.69%, HD: 0.69%, HD: 0.69%, HD: 0.69%, HIG: 0.07%, HON: 0.29%, HON: 0.29%, HON: 0.29%, HON: 0.29%, HON: 0.29%, HON: 0.29%, HON: 0.29%, HON: 0.29%, IBM: 0.51%, IBM: 0.51%, IBM: 0.51%, IBM: 0.51%, IBM: 0.51%, IBM: 0.51%, IBM: 0.51%, IBM: 0.51%, INTC: 0.20%, INTC: 0.20%, INTC: 0.20%, INTC: 0.20%, INTC: 0.20%, INTC: 0.20%, INTC: 0.20%, INTC: 0.20%, INTU: 0.41%, INTU: 0.41%, INTU: 0.41%, INTU: 0.41%, INTU: 0.41%, INTU: 0.41%, INTU: 0.41%, ISRG: 0.36%, ISRG: 0.36%, ISRG: 0.36%, ISRG: 0.36%, ISRG: 0.36%, ISRG: 0.36%, ISRG: 0.36%, JNJ: 0.71%, JNJ: 0.71%, JNJ: 0.71%, JNJ: 0.71%, JNJ: 0.71%, JNJ: 0.71%, JNJ: 0.71%, JNJ: 0.71%, JPM: 1.49%, JPM: 1.49%, JPM: 1.49%, JPM: 1.49%, JPM: 1.49%, JPM: 1.49%, JPM: 1.49%, JPM: 1.49%, KLAC: 0.23%, KO: 0.52%, KO: 0.52%, KO: 0.52%, KO: 0.52%, KO: 0.52%, KO: 0.52%, KO: 0.52%, KO: 0.52%, LEN: 0.05%, LIN: 0.42%, LLY: 1.16%, LLY: 1.16%, LLY: 1.16%, LLY: 1.16%, LLY: 1.16%, LLY: 1.16%, LLY: 1.16%, LLY: 1.16%, LMT: 0.18%, LMT: 0.18%, LMT: 0.18%, LMT: 0.18%, LMT: 0.18%, LMT: 0.18%, LMT: 0.18%, LOW: 0.24%, LOW: 0.24%, LOW: 0.24%, LOW: 0.24%, LOW: 0.24%, LOW: 0.24%, LOW: 0.24%, LRCX: 0.24%, MA: 0.86%, MA: 0.86%, MA: 0.86%, MA: 0.86%, MA: 0.86%, MA: 0.86%, MA: 0.86%, MA: 0.86%, MCD: 0.40%, MCD: 0.40%, MCD: 0.40%, MCD: 0.40%, MCD: 0.40%, MCD: 0.40%, MCD: 0.40%, MCD: 0.40%, MCK: 0.17%, MDLZ: 0.17%, MDLZ: 0.17%, MDLZ: 0.17%, MDLZ: 0.17%, MDLZ: 0.17%, MDLZ: 0.17%, MDLZ: 0.17%, MDLZ: 0.17%, MDT: 0.22%, MDT: 0.22%, MDT: 0.22%, MDT: 0.22%, MDT: 0.22%, MDT: 0.22%, MDT: 0.22%, MDT: 0.22%, MET: 0.09%, META: 2.97%, META: 2.97%, META: 2.97%, META: 2.97%, META: 2.97%, META: 2.97%, META: 2.97%, META: 2.97%, MMM: 0.16%, MMM: 0.16%, MMM: 0.16%, MMM: 0.16%, MMM: 0.16%, MMM: 0.16%, MMM: 0.16%, MMM: 0.16%, MO: 0.19%, MO: 0.19%, MO: 0.19%, MO: 0.19%, MO: 0.19%, MO: 0.19%, MO: 0.19%, MO: 0.19%, MPWR: 0.07%, MRK: 0.39%, MRK: 0.39%, MRK: 0.39%, MRK: 0.39%, MRK: 0.39%, MRK: 0.39%, MRK: 0.39%, MRK: 0.39%, MS: 0.33%, MS: 0.33%, MS: 0.33%, MS: 0.33%, MS: 0.33%, MS: 0.33%, MS: 0.33%, MS: 0.33%, MSFT: 7.00%, MSFT: 7.00%, MSFT: 7.00%, MSFT: 7.00%, MSFT: 7.00%, MSFT: 7.00%, MSFT: 7.00%, MSFT: 7.00%, MTB: 0.06%, NEE: 0.28%, NEE: 0.28%, NEE: 0.28%, NEE: 0.28%, NEE: 0.28%, NEE: 0.28%, NEE: 0.28%, NEE: 0.28%, NFLX: 1.03%, NFLX: 1.03%, NFLX: 1.03%, NFLX: 1.03%, NFLX: 1.03%, NFLX: 1.03%, NFLX: 1.03%, NKE: 0.16%, NKE: 0.16%, NKE: 0.16%, NKE: 0.16%, NKE: 0.16%, NKE: 0.16%, NKE: 0.16%, NKE: 0.16%, NOW: 0.40%, NOW: 0.40%, NOW: 0.40%, NOW: 0.40%, NOW: 0.40%, NOW: 0.40%, NTRS: 0.05%, NUE: 0.06%, NVDA: 7.40%, NVDA: 7.40%, NVDA: 7.40%, NVDA: 7.40%, NVDA: 7.40%, NVDA: 7.40%, NVDA: 7.40%, NVDA: 7.40%, ODFL: 0.06%, ORCL: 0.72%, ORCL: 0.72%, ORCL: 0.72%, ORCL: 0.72%, ORCL: 0.72%, ORCL: 0.72%, ORCL: 0.72%, ORCL: 0.72%, PAYC: 0.02%, PCAR: 0.10%, PEP: 0.35%, PEP: 0.35%, PEP: 0.35%, PEP: 0.35%, PEP: 0.35%, PEP: 0.35%, PEP: 0.35%, PEP: 0.35%, PFE: 0.28%, PFE: 0.28%, PFE: 0.28%, PFE: 0.28%, PFE: 0.28%, PFE: 0.28%, PFE: 0.28%, PFE: 0.28%, PG: 0.70%, PG: 0.70%, PG: 0.70%, PG: 0.70%, PG: 0.70%, PG: 0.70%, PG: 0.70%, PG: 0.70%, PGR: 0.28%, PHM: 0.04%, PLTR: 0.56%, PLTR: 0.56%, PLTR: 0.56%, PLTR: 0.56%, PLTR: 0.56%, PLTR: 0.56%, PLTR: 0.56%, PLTR: 0.56%, PM: 0.52%, PM: 0.52%, PM: 0.52%, PM: 0.52%, PM: 0.52%, PM: 0.52%, PM: 0.52%, PM: 0.52%, PNC: 0.15%, PYPL: 0.14%, PYPL: 0.14%, PYPL: 0.14%, PYPL: 0.14%, PYPL: 0.14%, PYPL: 0.14%, PYPL: 0.14%, PYPL: 0.14%, QCOM: 0.33%, QCOM: 0.33%, QCOM: 0.33%, QCOM: 0.33%, QCOM: 0.33%, QCOM: 0.33%, QCOM: 0.33%, QCOM: 0.33%, RJF: 0.05%, ROST: 0.08%, RTX: 0.37%, RTX: 0.37%, RTX: 0.37%, RTX: 0.37%, RTX: 0.37%, RTX: 0.37%, RTX: 0.37%, RTX: 0.37%, SBUX: 0.20%, SBUX: 0.20%, SBUX: 0.20%, SBUX: 0.20%, SBUX: 0.20%, SBUX: 0.20%, SBUX: 0.20%, SBUX: 0.20%, SCHW: 0.30%, SCHW: 0.30%, SCHW: 0.30%, SCHW: 0.30%, SCHW: 0.30%, SCHW: 0.30%, SCHW: 0.30%, SCHW: 0.30%, SNA: 0.03%, SO: 0.19%, SO: 0.19%, SO: 0.19%, SO: 0.19%, SO: 0.19%, SO: 0.19%, SO: 0.19%, SO: 0.19%, SPGI: 0.31%, SPGI: 0.31%, SPGI: 0.31%, SPGI: 0.31%, SPGI: 0.31%, SPGI: 0.31%, SPGI: 0.31%, STT: 0.06%, SYF: 0.05%, T: 0.39%, T: 0.39%, T: 0.39%, T: 0.39%, T: 0.39%, T: 0.39%, T: 0.39%, T: 0.39%, TGT: 0.09%, TGT: 0.09%, TGT: 0.09%, TGT: 0.09%, TGT: 0.09%, TGT: 0.09%, TGT: 0.09%, TJX: 0.27%, TJX: 0.27%, TJX: 0.27%, TJX: 0.27%, TJX: 0.27%, TJX: 0.27%, TJX: 0.27%, TJX: 0.27%, TMO: 0.31%, TMO: 0.31%, TMO: 0.31%, TMO: 0.31%, TMO: 0.31%, TMO: 0.31%, TMO: 0.31%, TRV: 0.11%, TSLA: 1.58%, TSLA: 1.58%, TSLA: 1.58%, TSLA: 1.58%, TSLA: 1.58%, TSLA: 1.58%, TSLA: 1.58%, TSLA: 1.58%, TXN: 0.37%, TXN: 0.37%, TXN: 0.37%, TXN: 0.37%, TXN: 0.37%, TXN: 0.37%, TXN: 0.37%, TXN: 0.37%, UBER: 0.39%, UBER: 0.39%, UBER: 0.39%, UBER: 0.39%, UBER: 0.39%, UBER: 0.39%, UBER: 0.39%, UBER: 0.39%, UNH: 0.53%, UNH: 0.53%, UNH: 0.53%, UNH: 0.53%, UNH: 0.53%, UNH: 0.53%, UNH: 0.53%, UNH: 0.53%, UNP: 0.27%, UNP: 0.27%, UNP: 0.27%, UNP: 0.27%, UNP: 0.27%, UNP: 0.27%, UNP: 0.27%, UNP: 0.27%, UPS: 0.14%, UPS: 0.14%, UPS: 0.14%, UPS: 0.14%, UPS: 0.14%, UPS: 0.14%, UPS: 0.14%, UPS: 0.14%, USB: 0.14%, USB: 0.14%, USB: 0.14%, USB: 0.14%, USB: 0.14%, USB: 0.14%, USB: 0.14%, USB: 0.14%, V: 1.15%, V: 1.15%, V: 1.15%, V: 1.15%, V: 1.15%, V: 1.15%, V: 1.15%, V: 1.15%, VZ: 0.34%, VZ: 0.34%, VZ: 0.34%, VZ: 0.34%, VZ: 0.34%, VZ: 0.34%, VZ: 0.34%, VZ: 0.34%, WFC: 0.50%, WFC: 0.50%, WFC: 0.50%, WFC: 0.50%, WFC: 0.50%, WFC: 0.50%, WFC: 0.50%, WFC: 0.50%, WM: 0.16%, WMT: 0.80%, WMT: 0.80%, WMT: 0.80%, WMT: 0.80%, WMT: 0.80%, WMT: 0.80%, WMT: 0.80%, WMT: 0.80%, WSM: 0.04%, XOM: 0.93%, XOM: 0.93%, XOM: 0.93%, XOM: 0.93%, XOM: 0.93%, XOM: 0.93%, XOM: 0.93%, XOM: 0.93%</t>
  </si>
  <si>
    <t>(NVDA, 8.72%), (MSFT, 8.18%), (AAPL, 6.97%)</t>
  </si>
  <si>
    <t>AAPL: 5.95%, ABBV: 0.64%, ABT: 0.44%, ACN: 0.36%, ADBE: 0.31%, AMAT: 0.30%, AMD: 0.42%, AMGN: 0.30%, AMT: 0.20%, AMZN: 3.93%, AVGO: 2.42%, AXP: 0.33%, BA: 0.31%, BAC: 0.59%, BKNG: 0.35%, BLK: 0.30%, BMY: 0.18%, BRK/B: 1.66%, C: 0.30%, CAT: 0.35%, CB: 0.20%, CL: 0.14%, CMCSA: 0.25%, COP: 0.23%, COST: 0.83%, CRM: 0.50%, CSCO: 0.52%, CVS: 0.16%, CVX: 0.47%, DE: 0.24%, DHR: 0.24%, DIS: 0.42%, DUK: 0.17%, ELV: 0.15%, EMR: 0.15%, ETN: 0.27%, FDX: 0.10%, GE: 0.50%, GILD: 0.26%, GOOG: 1.56%, GS: 0.41%, HD: 0.69%, HON: 0.29%, IBM: 0.51%, INTC: 0.20%, INTU: 0.41%, ISRG: 0.36%, JNJ: 0.71%, JPM: 1.49%, KO: 0.52%, LIN: 0.42%, LLY: 1.16%, LMT: 0.18%, LOW: 0.24%, MA: 0.86%, MCD: 0.40%, MDLZ: 0.17%, MDT: 0.22%, MET: 0.09%, META: 2.97%, MMM: 0.16%, MO: 0.19%, MRK: 0.39%, MS: 0.33%, MSFT: 7.00%, NEE: 0.28%, NFLX: 1.03%, NKE: 0.16%, NOW: 0.40%, NVDA: 7.40%, ORCL: 0.72%, PEP: 0.35%, PFE: 0.28%, PG: 0.70%, PLTR: 0.56%, PM: 0.52%, PYPL: 0.14%, QCOM: 0.33%, RTX: 0.37%, SBUX: 0.20%, SCHW: 0.30%, SO: 0.19%, SPGI: 0.31%, T: 0.39%, TGT: 0.09%, TJX: 0.27%, TMO: 0.31%, TSLA: 1.58%, TXN: 0.37%, UBER: 0.39%, UNH: 0.53%, UNP: 0.27%, UPS: 0.14%, USB: 0.14%, V: 1.15%, VZ: 0.34%, WFC: 0.50%, WM: 0.16%, WMT: 0.80%, XOM: 0.93%</t>
  </si>
  <si>
    <t>AMT (2.03%)</t>
  </si>
  <si>
    <t>TSLA (1.98%)</t>
  </si>
  <si>
    <t>(NVDA, 8.23%), (MSFT, 7.72%), (AAPL, 6.58%)</t>
  </si>
  <si>
    <t>TSLA (1.87%)</t>
  </si>
  <si>
    <t>XOM (1.84%)</t>
  </si>
  <si>
    <t>(NVDA, 8.22%), (MSFT, 7.71%), (AAPL, 6.57%)</t>
  </si>
  <si>
    <t>XOM (1.85%)</t>
  </si>
  <si>
    <t>(NVDA, 9.08%), (MSFT, 8.52%), (AAPL, 7.26%)</t>
  </si>
  <si>
    <t>JPM (2.13%)</t>
  </si>
  <si>
    <t>TSLA (2.05%)</t>
  </si>
  <si>
    <t>(NVDA, 8.64%), (MSFT, 8.11%), (AAPL, 6.91%)</t>
  </si>
  <si>
    <t>AMT (1.98%)</t>
  </si>
  <si>
    <t>TSLA (1.96%)</t>
  </si>
  <si>
    <t>(NVDA, 8.09%), (MSFT, 7.58%), (AAPL, 6.46%)</t>
  </si>
  <si>
    <t>TSLA (1.84%)</t>
  </si>
  <si>
    <t>AAPL: 5.95%, ABT: 0.44%, ACN: 0.36%, ADM: 0.05%, ADP: 0.24%, AFL: 0.10%, ALL: 0.10%, AMAT: 0.30%, AMP: 0.10%, AXP: 0.33%, BK: 0.13%, BKNG: 0.35%, BKR: 0.08%, BLK: 0.30%, CB: 0.20%, CF: 0.03%, CINF: 0.04%, COST: 0.83%, CRM: 0.50%, CSCO: 0.52%, CTSH: 0.08%, DHI: 0.07%, DOV: 0.05%, EA: 0.07%, EBAY: 0.07%, EG: 0.03%, ELV: 0.15%, EOG: 0.13%, FANG: 0.05%, GE: 0.50%, GEV: 0.27%, GOOGL: 1.92%, HIG: 0.07%, JNJ: 0.71%, JPM: 1.49%, KLAC: 0.23%, LEN: 0.05%, LRCX: 0.24%, MA: 0.86%, MCK: 0.17%, META: 2.97%, MPWR: 0.07%, MSFT: 7.00%, MTB: 0.06%, NKE: 0.16%, NTRS: 0.05%, NUE: 0.06%, NVDA: 7.40%, ODFL: 0.06%, PAYC: 0.02%, PCAR: 0.10%, PGR: 0.28%, PHM: 0.04%, PNC: 0.15%, QCOM: 0.33%, RJF: 0.05%, ROST: 0.08%, SNA: 0.03%, STT: 0.06%, SYF: 0.05%, TRV: 0.11%, V: 1.15%, WSM: 0.04%, XOM: 0.93%</t>
  </si>
  <si>
    <t>CTSH (1.90%)</t>
  </si>
  <si>
    <t>PHM (1.90%)</t>
  </si>
  <si>
    <t>(NVDA, 8.63%), (MSFT, 8.09%), (AAPL, 6.90%)</t>
  </si>
  <si>
    <t>AMT (1.96%)</t>
  </si>
  <si>
    <t>TSLA (1.95%)</t>
  </si>
  <si>
    <t>(NVDA, 8.46%), (MSFT, 7.93%), (AAPL, 6.76%)</t>
  </si>
  <si>
    <t>TSLA (1.92%)</t>
  </si>
  <si>
    <t>AAPL: 5.94%, AAPL: 5.94%, AAPL: 5.94%, AAPL: 5.94%, AAPL: 5.94%, AAPL: 5.94%, AAPL: 5.94%, AAPL: 5.94%, ABBV: 0.63%, ABBV: 0.63%, ABBV: 0.63%, ABBV: 0.63%, ABBV: 0.63%, ABBV: 0.63%, ABBV: 0.63%, ABBV: 0.63%, ABT: 0.44%, ABT: 0.44%, ABT: 0.44%, ABT: 0.44%, ABT: 0.44%, ABT: 0.44%, ABT: 0.44%, ABT: 0.44%, ACN: 0.35%, ACN: 0.35%, ACN: 0.35%, ACN: 0.35%, ACN: 0.35%, ACN: 0.35%, ACN: 0.35%, ACN: 0.35%, ADBE: 0.30%, ADBE: 0.30%, ADBE: 0.30%, ADBE: 0.30%, ADBE: 0.30%, ADBE: 0.30%, ADBE: 0.30%, ADM: 0.05%, ADP: 0.24%, AFL: 0.09%, ALL: 0.10%, AMAT: 0.30%, AMAT: 0.30%, AMAT: 0.30%, AMAT: 0.30%, AMAT: 0.30%, AMAT: 0.30%, AMAT: 0.30%, AMAT: 0.30%, AMD: 0.42%, AMD: 0.42%, AMD: 0.42%, AMD: 0.42%, AMD: 0.42%, AMD: 0.42%, AMD: 0.42%, AMD: 0.42%, AMGN: 0.30%, AMGN: 0.30%, AMGN: 0.30%, AMGN: 0.30%, AMGN: 0.30%, AMGN: 0.30%, AMGN: 0.30%, AMP: 0.10%, AMT: 0.20%, AMZN: 3.96%, AMZN: 3.96%, AMZN: 3.96%, AMZN: 3.96%, AMZN: 3.96%, AMZN: 3.96%, AMZN: 3.96%, AMZN: 3.96%, AVGO: 2.46%, AVGO: 2.46%, AVGO: 2.46%, AVGO: 2.46%, AVGO: 2.46%, AVGO: 2.46%, AVGO: 2.46%, AVGO: 2.46%, AXP: 0.33%, AXP: 0.33%, AXP: 0.33%, AXP: 0.33%, AXP: 0.33%, AXP: 0.33%, AXP: 0.33%, AXP: 0.33%, BA: 0.32%, BA: 0.32%, BA: 0.32%, BA: 0.32%, BA: 0.32%, BA: 0.32%, BA: 0.32%, BA: 0.32%, BAC: 0.58%, BAC: 0.58%, BAC: 0.58%, BAC: 0.58%, BAC: 0.58%, BAC: 0.58%, BAC: 0.58%, BAC: 0.58%, BK: 0.13%, BKNG: 0.35%, BKR: 0.07%, BLK: 0.30%, BLK: 0.30%, BLK: 0.30%, BMY: 0.18%, BMY: 0.18%, BMY: 0.18%, BMY: 0.18%, BMY: 0.18%, BMY: 0.18%, BMY: 0.18%, BMY: 0.18%, BRK/B: 1.66%, BRK/B: 1.66%, BRK/B: 1.66%, BRK/B: 1.66%, BRK/B: 1.66%, BRK/B: 1.66%, BRK/B: 1.66%, BRK/B: 1.66%, C: 0.30%, C: 0.30%, C: 0.30%, C: 0.30%, C: 0.30%, C: 0.30%, C: 0.30%, C: 0.30%, CAT: 0.36%, CAT: 0.36%, CAT: 0.36%, CAT: 0.36%, CAT: 0.36%, CAT: 0.36%, CAT: 0.36%, CAT: 0.36%, CB: 0.20%, CF: 0.03%, CINF: 0.04%, CL: 0.14%, CL: 0.14%, CL: 0.14%, CL: 0.14%, CL: 0.14%, CL: 0.14%, CL: 0.14%, CL: 0.14%, CMCSA: 0.25%, CMCSA: 0.25%, CMCSA: 0.25%, CMCSA: 0.25%, CMCSA: 0.25%, CMCSA: 0.25%, CMCSA: 0.25%, CMCSA: 0.25%, COP: 0.23%, COP: 0.23%, COP: 0.23%, COP: 0.23%, COP: 0.23%, COP: 0.23%, COP: 0.23%, COP: 0.23%, COST: 0.82%, COST: 0.82%, COST: 0.82%, COST: 0.82%, COST: 0.82%, COST: 0.82%, COST: 0.82%, CRM: 0.49%, CRM: 0.49%, CRM: 0.49%, CRM: 0.49%, CRM: 0.49%, CRM: 0.49%, CRM: 0.49%, CRM: 0.49%, CSCO: 0.52%, CSCO: 0.52%, CSCO: 0.52%, CSCO: 0.52%, CSCO: 0.52%, CSCO: 0.52%, CSCO: 0.52%, CSCO: 0.52%, CTSH: 0.07%, CVS: 0.16%, CVS: 0.16%, CVS: 0.16%, CVS: 0.16%, CVS: 0.16%, CVS: 0.16%, CVS: 0.16%, CVS: 0.16%, CVX: 0.47%, CVX: 0.47%, CVX: 0.47%, CVX: 0.47%, CVX: 0.47%, CVX: 0.47%, CVX: 0.47%, CVX: 0.47%, DE: 0.24%, DE: 0.24%, DE: 0.24%, DE: 0.24%, DE: 0.24%, DE: 0.24%, DE: 0.24%, DHI: 0.07%, DHR: 0.24%, DHR: 0.24%, DHR: 0.24%, DHR: 0.24%, DHR: 0.24%, DHR: 0.24%, DHR: 0.24%, DHR: 0.24%, DIS: 0.41%, DIS: 0.41%, DIS: 0.41%, DIS: 0.41%, DIS: 0.41%, DIS: 0.41%, DIS: 0.41%, DIS: 0.41%, DOV: 0.05%, DUK: 0.17%, EA: 0.07%, EBAY: 0.07%, EG: 0.03%, ELV: 0.15%, EMR: 0.15%, EMR: 0.15%, EMR: 0.15%, EMR: 0.15%, EMR: 0.15%, EMR: 0.15%, EMR: 0.15%, EMR: 0.15%, EOG: 0.13%, ETN: 0.27%, ETN: 0.27%, ETN: 0.27%, ETN: 0.27%, ETN: 0.27%, ETN: 0.27%, ETN: 0.27%, ETN: 0.27%, FANG: 0.05%, FDX: 0.10%, FDX: 0.10%, FDX: 0.10%, FDX: 0.10%, FDX: 0.10%, FDX: 0.10%, GE: 0.50%, GE: 0.50%, GE: 0.50%, GE: 0.50%, GE: 0.50%, GE: 0.50%, GE: 0.50%, GE: 0.50%, GEV: 0.28%, GILD: 0.27%, GILD: 0.27%, GILD: 0.27%, GILD: 0.27%, GILD: 0.27%, GILD: 0.27%, GILD: 0.27%, GILD: 0.27%, GOOG: 1.57%, GS: 0.40%, GS: 0.40%, GS: 0.40%, GS: 0.40%, GS: 0.40%, GS: 0.40%, GS: 0.40%, HD: 0.70%, HD: 0.70%, HD: 0.70%, HD: 0.70%, HD: 0.70%, HD: 0.70%, HD: 0.70%, HD: 0.70%, HIG: 0.07%, HON: 0.29%, HON: 0.29%, HON: 0.29%, HON: 0.29%, HON: 0.29%, HON: 0.29%, HON: 0.29%, HON: 0.29%, IBM: 0.51%, IBM: 0.51%, IBM: 0.51%, IBM: 0.51%, IBM: 0.51%, IBM: 0.51%, IBM: 0.51%, IBM: 0.51%, INTC: 0.19%, INTC: 0.19%, INTC: 0.19%, INTC: 0.19%, INTC: 0.19%, INTC: 0.19%, INTC: 0.19%, INTC: 0.19%, INTU: 0.40%, INTU: 0.40%, INTU: 0.40%, INTU: 0.40%, INTU: 0.40%, INTU: 0.40%, INTU: 0.40%, ISRG: 0.36%, ISRG: 0.36%, ISRG: 0.36%, ISRG: 0.36%, ISRG: 0.36%, ISRG: 0.36%, ISRG: 0.36%, JNJ: 0.71%, JNJ: 0.71%, JNJ: 0.71%, JNJ: 0.71%, JNJ: 0.71%, JNJ: 0.71%, JNJ: 0.71%, JNJ: 0.71%, JPM: 1.48%, JPM: 1.48%, JPM: 1.48%, JPM: 1.48%, JPM: 1.48%, JPM: 1.48%, JPM: 1.48%, JPM: 1.48%, KLAC: 0.23%, KO: 0.51%, KO: 0.51%, KO: 0.51%, KO: 0.51%, KO: 0.51%, KO: 0.51%, KO: 0.51%, KO: 0.51%, LEN: 0.05%, LIN: 0.42%, LLY: 1.17%, LLY: 1.17%, LLY: 1.17%, LLY: 1.17%, LLY: 1.17%, LLY: 1.17%, LLY: 1.17%, LLY: 1.17%, LMT: 0.18%, LMT: 0.18%, LMT: 0.18%, LMT: 0.18%, LMT: 0.18%, LMT: 0.18%, LMT: 0.18%, LOW: 0.24%, LOW: 0.24%, LOW: 0.24%, LOW: 0.24%, LOW: 0.24%, LOW: 0.24%, LOW: 0.24%, LRCX: 0.24%, MA: 0.86%, MA: 0.86%, MA: 0.86%, MA: 0.86%, MA: 0.86%, MA: 0.86%, MA: 0.86%, MA: 0.86%, MCD: 0.39%, MCD: 0.39%, MCD: 0.39%, MCD: 0.39%, MCD: 0.39%, MCD: 0.39%, MCD: 0.39%, MCD: 0.39%, MCK: 0.17%, MDLZ: 0.16%, MDLZ: 0.16%, MDLZ: 0.16%, MDLZ: 0.16%, MDLZ: 0.16%, MDLZ: 0.16%, MDLZ: 0.16%, MDLZ: 0.16%, MDT: 0.22%, MDT: 0.22%, MDT: 0.22%, MDT: 0.22%, MDT: 0.22%, MDT: 0.22%, MDT: 0.22%, MDT: 0.22%, MET: 0.08%, META: 3.00%, META: 3.00%, META: 3.00%, META: 3.00%, META: 3.00%, META: 3.00%, META: 3.00%, META: 3.00%, MMM: 0.16%, MMM: 0.16%, MMM: 0.16%, MMM: 0.16%, MMM: 0.16%, MMM: 0.16%, MMM: 0.16%, MMM: 0.16%, MO: 0.18%, MO: 0.18%, MO: 0.18%, MO: 0.18%, MO: 0.18%, MO: 0.18%, MO: 0.18%, MO: 0.18%, MPWR: 0.07%, MRK: 0.40%, MRK: 0.40%, MRK: 0.40%, MRK: 0.40%, MRK: 0.40%, MRK: 0.40%, MRK: 0.40%, MRK: 0.40%, MS: 0.33%, MS: 0.33%, MS: 0.33%, MS: 0.33%, MS: 0.33%, MS: 0.33%, MS: 0.33%, MS: 0.33%, MSFT: 7.05%, MSFT: 7.05%, MSFT: 7.05%, MSFT: 7.05%, MSFT: 7.05%, MSFT: 7.05%, MSFT: 7.05%, MSFT: 7.05%, MTB: 0.06%, NEE: 0.29%, NEE: 0.29%, NEE: 0.29%, NEE: 0.29%, NEE: 0.29%, NEE: 0.29%, NEE: 0.29%, NEE: 0.29%, NFLX: 1.03%, NFLX: 1.03%, NFLX: 1.03%, NFLX: 1.03%, NFLX: 1.03%, NFLX: 1.03%, NFLX: 1.03%, NKE: 0.16%, NKE: 0.16%, NKE: 0.16%, NKE: 0.16%, NKE: 0.16%, NKE: 0.16%, NKE: 0.16%, NKE: 0.16%, NOW: 0.40%, NOW: 0.40%, NOW: 0.40%, NOW: 0.40%, NOW: 0.40%, NOW: 0.40%, NTRS: 0.05%, NUE: 0.06%, NVDA: 7.49%, NVDA: 7.49%, NVDA: 7.49%, NVDA: 7.49%, NVDA: 7.49%, NVDA: 7.49%, NVDA: 7.49%, NVDA: 7.49%, ODFL: 0.06%, ORCL: 0.72%, ORCL: 0.72%, ORCL: 0.72%, ORCL: 0.72%, ORCL: 0.72%, ORCL: 0.72%, ORCL: 0.72%, ORCL: 0.72%, PAYC: 0.02%, PCAR: 0.10%, PEP: 0.35%, PEP: 0.35%, PEP: 0.35%, PEP: 0.35%, PEP: 0.35%, PEP: 0.35%, PEP: 0.35%, PEP: 0.35%, PFE: 0.27%, PFE: 0.27%, PFE: 0.27%, PFE: 0.27%, PFE: 0.27%, PFE: 0.27%, PFE: 0.27%, PFE: 0.27%, PG: 0.70%, PG: 0.70%, PG: 0.70%, PG: 0.70%, PG: 0.70%, PG: 0.70%, PG: 0.70%, PG: 0.70%, PGR: 0.28%, PHM: 0.04%, PLTR: 0.57%, PLTR: 0.57%, PLTR: 0.57%, PLTR: 0.57%, PLTR: 0.57%, PLTR: 0.57%, PLTR: 0.57%, PLTR: 0.57%, PM: 0.52%, PM: 0.52%, PM: 0.52%, PM: 0.52%, PM: 0.52%, PM: 0.52%, PM: 0.52%, PM: 0.52%, PNC: 0.15%, PYPL: 0.14%, PYPL: 0.14%, PYPL: 0.14%, PYPL: 0.14%, PYPL: 0.14%, PYPL: 0.14%, PYPL: 0.14%, PYPL: 0.14%, QCOM: 0.33%, QCOM: 0.33%, QCOM: 0.33%, QCOM: 0.33%, QCOM: 0.33%, QCOM: 0.33%, QCOM: 0.33%, QCOM: 0.33%, RJF: 0.05%, ROST: 0.08%, RTX: 0.37%, RTX: 0.37%, RTX: 0.37%, RTX: 0.37%, RTX: 0.37%, RTX: 0.37%, RTX: 0.37%, RTX: 0.37%, SBUX: 0.20%, SBUX: 0.20%, SBUX: 0.20%, SBUX: 0.20%, SBUX: 0.20%, SBUX: 0.20%, SBUX: 0.20%, SBUX: 0.20%, SCHW: 0.30%, SCHW: 0.30%, SCHW: 0.30%, SCHW: 0.30%, SCHW: 0.30%, SCHW: 0.30%, SCHW: 0.30%, SCHW: 0.30%, SNA: 0.03%, SO: 0.19%, SO: 0.19%, SO: 0.19%, SO: 0.19%, SO: 0.19%, SO: 0.19%, SO: 0.19%, SO: 0.19%, SPGI: 0.31%, SPGI: 0.31%, SPGI: 0.31%, SPGI: 0.31%, SPGI: 0.31%, SPGI: 0.31%, SPGI: 0.31%, STT: 0.06%, SYF: 0.05%, T: 0.38%, T: 0.38%, T: 0.38%, T: 0.38%, T: 0.38%, T: 0.38%, T: 0.38%, T: 0.38%, TGT: 0.09%, TGT: 0.09%, TGT: 0.09%, TGT: 0.09%, TGT: 0.09%, TGT: 0.09%, TGT: 0.09%, TJX: 0.26%, TJX: 0.26%, TJX: 0.26%, TJX: 0.26%, TJX: 0.26%, TJX: 0.26%, TJX: 0.26%, TJX: 0.26%, TMO: 0.30%, TMO: 0.30%, TMO: 0.30%, TMO: 0.30%, TMO: 0.30%, TMO: 0.30%, TMO: 0.30%, TRV: 0.11%, TSLA: 1.56%, TSLA: 1.56%, TSLA: 1.56%, TSLA: 1.56%, TSLA: 1.56%, TSLA: 1.56%, TSLA: 1.56%, TSLA: 1.56%, TXN: 0.37%, TXN: 0.37%, TXN: 0.37%, TXN: 0.37%, TXN: 0.37%, TXN: 0.37%, TXN: 0.37%, TXN: 0.37%, UBER: 0.38%, UBER: 0.38%, UBER: 0.38%, UBER: 0.38%, UBER: 0.38%, UBER: 0.38%, UBER: 0.38%, UBER: 0.38%, UNH: 0.52%, UNH: 0.52%, UNH: 0.52%, UNH: 0.52%, UNH: 0.52%, UNH: 0.52%, UNH: 0.52%, UNH: 0.52%, UNP: 0.27%, UNP: 0.27%, UNP: 0.27%, UNP: 0.27%, UNP: 0.27%, UNP: 0.27%, UNP: 0.27%, UNP: 0.27%, UPS: 0.14%, UPS: 0.14%, UPS: 0.14%, UPS: 0.14%, UPS: 0.14%, UPS: 0.14%, UPS: 0.14%, UPS: 0.14%, USB: 0.14%, USB: 0.14%, USB: 0.14%, USB: 0.14%, USB: 0.14%, USB: 0.14%, USB: 0.14%, USB: 0.14%, V: 1.15%, V: 1.15%, V: 1.15%, V: 1.15%, V: 1.15%, V: 1.15%, V: 1.15%, V: 1.15%, VZ: 0.33%, VZ: 0.33%, VZ: 0.33%, VZ: 0.33%, VZ: 0.33%, VZ: 0.33%, VZ: 0.33%, VZ: 0.33%, WFC: 0.50%, WFC: 0.50%, WFC: 0.50%, WFC: 0.50%, WFC: 0.50%, WFC: 0.50%, WFC: 0.50%, WFC: 0.50%, WM: 0.16%, WMT: 0.79%, WMT: 0.79%, WMT: 0.79%, WMT: 0.79%, WMT: 0.79%, WMT: 0.79%, WMT: 0.79%, WMT: 0.79%, WSM: 0.04%, XOM: 0.92%, XOM: 0.92%, XOM: 0.92%, XOM: 0.92%, XOM: 0.92%, XOM: 0.92%, XOM: 0.92%, XOM: 0.92%</t>
  </si>
  <si>
    <t>(NVDA, 8.76%), (MSFT, 8.13%), (AAPL, 6.99%)</t>
  </si>
  <si>
    <t>AAPL: 5.94%, ABBV: 0.63%, ABT: 0.44%, ACN: 0.35%, ADBE: 0.30%, AMAT: 0.30%, AMD: 0.42%, AMGN: 0.30%, AMT: 0.20%, AMZN: 3.96%, AVGO: 2.46%, AXP: 0.33%, BA: 0.32%, BAC: 0.58%, BKNG: 0.35%, BLK: 0.30%, BMY: 0.18%, BRK/B: 1.66%, C: 0.30%, CAT: 0.36%, CB: 0.20%, CL: 0.14%, CMCSA: 0.25%, COP: 0.23%, COST: 0.82%, CRM: 0.49%, CSCO: 0.52%, CVS: 0.16%, CVX: 0.47%, DE: 0.24%, DHR: 0.24%, DIS: 0.41%, DUK: 0.17%, ELV: 0.15%, EMR: 0.15%, ETN: 0.27%, FDX: 0.10%, GE: 0.50%, GILD: 0.27%, GOOG: 1.57%, GS: 0.40%, HD: 0.70%, HON: 0.29%, IBM: 0.51%, INTC: 0.19%, INTU: 0.40%, ISRG: 0.36%, JNJ: 0.71%, JPM: 1.48%, KO: 0.51%, LIN: 0.42%, LLY: 1.17%, LMT: 0.18%, LOW: 0.24%, MA: 0.86%, MCD: 0.39%, MDLZ: 0.16%, MDT: 0.22%, MET: 0.08%, META: 3.00%, MMM: 0.16%, MO: 0.18%, MRK: 0.40%, MS: 0.33%, MSFT: 7.05%, NEE: 0.29%, NFLX: 1.03%, NKE: 0.16%, NOW: 0.40%, NVDA: 7.49%, ORCL: 0.72%, PEP: 0.35%, PFE: 0.27%, PG: 0.70%, PLTR: 0.57%, PM: 0.52%, PYPL: 0.14%, QCOM: 0.33%, RTX: 0.37%, SBUX: 0.20%, SCHW: 0.30%, SO: 0.19%, SPGI: 0.31%, T: 0.38%, TGT: 0.09%, TJX: 0.26%, TMO: 0.30%, TSLA: 1.56%, TXN: 0.37%, UBER: 0.38%, UNH: 0.52%, UNP: 0.27%, UPS: 0.14%, USB: 0.14%, V: 1.15%, VZ: 0.33%, WFC: 0.50%, WM: 0.16%, WMT: 0.79%, XOM: 0.92%</t>
  </si>
  <si>
    <t>AMT (2.02%)</t>
  </si>
  <si>
    <t>(NVDA, 8.29%), (MSFT, 7.69%), (AAPL, 6.61%)</t>
  </si>
  <si>
    <t>AMT (1.94%)</t>
  </si>
  <si>
    <t>XOM (1.86%)</t>
  </si>
  <si>
    <t>(NVDA, 8.28%), (MSFT, 7.68%), (AAPL, 6.60%)</t>
  </si>
  <si>
    <t>TSLA (1.94%)</t>
  </si>
  <si>
    <t>(NVDA, 9.15%), (MSFT, 8.49%), (AAPL, 7.29%)</t>
  </si>
  <si>
    <t>JPM (2.16%)</t>
  </si>
  <si>
    <t>TSLA (2.13%)</t>
  </si>
  <si>
    <t>(NVDA, 8.73%), (MSFT, 8.11%), (AAPL, 6.96%)</t>
  </si>
  <si>
    <t>TSLA (2.04%)</t>
  </si>
  <si>
    <t>AMT (1.97%)</t>
  </si>
  <si>
    <t>(NVDA, 8.14%), (MSFT, 7.54%), (AAPL, 6.49%)</t>
  </si>
  <si>
    <t>AAPL: 5.94%, ABT: 0.44%, ACN: 0.35%, ADM: 0.05%, ADP: 0.24%, AFL: 0.09%, ALL: 0.10%, AMAT: 0.30%, AMP: 0.10%, AXP: 0.33%, BK: 0.13%, BKNG: 0.35%, BKR: 0.07%, BLK: 0.30%, CB: 0.20%, CF: 0.03%, CINF: 0.04%, COST: 0.82%, CRM: 0.49%, CSCO: 0.52%, CTSH: 0.07%, DHI: 0.07%, DOV: 0.05%, EA: 0.07%, EBAY: 0.07%, EG: 0.03%, ELV: 0.15%, EOG: 0.13%, FANG: 0.05%, GE: 0.50%, GEV: 0.28%, GOOGL: 1.94%, HIG: 0.07%, JNJ: 0.71%, JPM: 1.48%, KLAC: 0.23%, LEN: 0.05%, LRCX: 0.24%, MA: 0.86%, MCK: 0.17%, META: 3.00%, MPWR: 0.07%, MSFT: 7.05%, MTB: 0.06%, NKE: 0.16%, NTRS: 0.05%, NUE: 0.06%, NVDA: 7.49%, ODFL: 0.06%, PAYC: 0.02%, PCAR: 0.10%, PGR: 0.28%, PHM: 0.04%, PNC: 0.15%, QCOM: 0.33%, RJF: 0.05%, ROST: 0.08%, SNA: 0.03%, STT: 0.06%, SYF: 0.05%, TRV: 0.11%, V: 1.15%, WSM: 0.04%, XOM: 0.92%</t>
  </si>
  <si>
    <t>PHM (1.92%)</t>
  </si>
  <si>
    <t>SNA (1.88%)</t>
  </si>
  <si>
    <t>(NVDA, 8.69%), (MSFT, 8.07%), (AAPL, 6.93%)</t>
  </si>
  <si>
    <t>TSLA (2.03%)</t>
  </si>
  <si>
    <t>AMT (1.95%)</t>
  </si>
  <si>
    <t>(NVDA, 8.51%), (MSFT, 7.90%), (AAPL, 6.78%)</t>
  </si>
  <si>
    <t>TSLA (1.99%)</t>
  </si>
  <si>
    <t>(AAPL, 0.00%), (NVDA, 0.00%), (NOW, 0.00%), (NOW, 0.00%), (NOW, 0.00%), (NTRS, 0.00%), (NUE, 0.00%), (NVDA, 0.00%), (NVDA, 0.00%), (NVDA, 0.00%), (NVDA, 0.00%), (NVDA, 0.00%), (NVDA, 0.00%), (NOW, 0.00%), (NVDA, 0.00%), (ODFL, 0.00%), (ORCL, 0.00%), (ORCL, 0.00%), (ORCL, 0.00%), (ORCL, 0.00%), (ORCL, 0.00%), (ORCL, 0.00%), (ORCL, 0.00%), (ORCL, 0.00%), (NOW, 0.00%), (NKE, 0.00%), (PCAR, 0.00%), (NFLX, 0.00%), (MTB, 0.00%), (MTG, 0.00%), (NEE, 0.00%), (NEE, 0.00%), (NEE, 0.00%), (NEE, 0.00%), (NEE, 0.00%), (NEE, 0.00%), (NEE, 0.00%), (NEE, 0.00%), (NFLX, 0.00%), (NKE, 0.00%), (NFLX, 0.00%), (NFLX, 0.00%), (NFLX, 0.00%), (NFLX, 0.00%), (NKE, 0.00%), (NKE, 0.00%), (NKE, 0.00%), (NKE, 0.00%), (NKE, 0.00%), (NKE, 0.00%), (PAYC, 0.00%), (PEP, 0.00%), (QCOM, 0.00%), (PM, 0.00%), (PLTR, 0.00%), (PLTR, 0.00%), (PLTR, 0.00%), (PLTR, 0.00%), (PLTR, 0.00%), (PLTR, 0.00%), (PM, 0.00%), (PM, 0.00%), (PM, 0.00%), (PM, 0.00%), (PM, 0.00%), (PLTR, 0.00%), (PM, 0.00%), (PM, 0.00%), (PNC, 0.00%), (PYPL, 0.00%), (PYPL, 0.00%), (PYPL, 0.00%), (PYPL, 0.00%), (PYPL, 0.00%), (PYPL, 0.00%), (PYPL, 0.00%), (PLTR, 0.00%), (PHM, 0.00%), (PEP, 0.00%), (PFE, 0.00%), (PEP, 0.00%), (PEP, 0.00%), (PEP, 0.00%), (PEP, 0.00%), (PEP, 0.00%), (PEP, 0.00%), (PFE, 0.00%), (PFE, 0.00%), (PFE, 0.00%), (PFE, 0.00%), (PFE, 0.00%), (PGR, 0.00%), (PFE, 0.00%), (PFE, 0.00%), (PG, 0.00%), (PG, 0.00%), (PG, 0.00%), (PG, 0.00%), (PG, 0.00%), (PG, 0.00%), (PG, 0.00%), (PG, 0.00%), (MSFT, 0.00%), (MSFT, 0.00%), (MSFT, 0.00%), (MDLZ, 0.00%), (MCD, 0.00%), (MCD, 0.00%), (MCK, 0.00%), (MDLZ, 0.00%), (MDLZ, 0.00%), (MDLZ, 0.00%), (MDLZ, 0.00%), (MDLZ, 0.00%), (MDLZ, 0.00%), (MDLZ, 0.00%), (MDT, 0.00%), (MCD, 0.00%), (MDT, 0.00%), (MDT, 0.00%), (MDT, 0.00%), (MDT, 0.00%), (MDT, 0.00%), (MDT, 0.00%), (MDT, 0.00%), (MET, 0.00%), (MET, 0.00%), (MET, 0.00%), (MCD, 0.00%), (MCD, 0.00%), (MSFT, 0.00%), (LOW, 0.00%), (LMT, 0.00%), (LMT, 0.00%), (LMT, 0.00%), (LNC, 0.00%), (LOW, 0.00%), (LOW, 0.00%), (LOW, 0.00%), (LOW, 0.00%), (LOW, 0.00%), (LOW, 0.00%), (LRCX, 0.00%), (MCD, 0.00%), (MA, 0.00%), (MA, 0.00%), (MA, 0.00%), (MA, 0.00%), (MA, 0.00%), (MA, 0.00%), (MA, 0.00%), (MA, 0.00%), (MCD, 0.00%), (MCD, 0.00%), (MET, 0.00%), (MET, 0.00%), (MET, 0.00%), (MS, 0.00%), (MO, 0.00%), (MPWR, 0.00%), (MRK, 0.00%), (MRK, 0.00%), (MRK, 0.00%), (MRK, 0.00%), (MRK, 0.00%), (MRK, 0.00%), (MRK, 0.00%), (MRK, 0.00%), (MS, 0.00%), (MET, 0.00%), (MS, 0.00%), (MS, 0.00%), (MS, 0.00%), (MS, 0.00%), (MS, 0.00%), (MS, 0.00%), (MSFT, 0.00%), (MSFT, 0.00%), (MSFT, 0.00%), (MSFT, 0.00%), (MO, 0.00%), (MO, 0.00%), (MO, 0.00%), (MO, 0.00%), (MET, 0.00%), (META, 0.00%), (META, 0.00%), (META, 0.00%), (META, 0.00%), (META, 0.00%), (META, 0.00%), (META, 0.00%), (META, 0.00%), (MLI, 0.00%), (MMM, 0.00%), (MMM, 0.00%), (MMM, 0.00%), (MMM, 0.00%), (MMM, 0.00%), (MMM, 0.00%), (MMM, 0.00%), (MMM, 0.00%), (MO, 0.00%), (MO, 0.00%), (MO, 0.00%), (PYPL, 0.00%), (QCOM, 0.00%), (LMT, 0.00%), (V, 0.00%), (UPS, 0.00%), (USB, 0.00%), (USB, 0.00%), (USB, 0.00%), (USB, 0.00%), (USB, 0.00%), (USB, 0.00%), (USB, 0.00%), (USB, 0.00%), (V, 0.00%), (V, 0.00%), (UPS, 0.00%), (V, 0.00%), (V, 0.00%), (V, 0.00%), (V, 0.00%), (V, 0.00%), (VZ, 0.00%), (VZ, 0.00%), (VZ, 0.00%), (VZ, 0.00%), (VZ, 0.00%), (UPS, 0.00%), (UPS, 0.00%), (VZ, 0.00%), (UNM, 0.00%), (UBER, 0.00%), (UBER, 0.00%), (UNH, 0.00%), (UNH, 0.00%), (UNH, 0.00%), (UNH, 0.00%), (UNH, 0.00%), (UNH, 0.00%), (UNH, 0.00%), (UNH, 0.00%), (UNP, 0.00%), (UPS, 0.00%), (UNP, 0.00%), (UNP, 0.00%), (UNP, 0.00%), (UNP, 0.00%), (UNP, 0.00%), (UNP, 0.00%), (UNP, 0.00%), (UPS, 0.00%), (UPS, 0.00%), (UPS, 0.00%), (VZ, 0.00%), (VZ, 0.00%), (QCOM, 0.00%), (nan, 0.00%), (XOM, 0.00%), (XOM, 0.00%), (XOM, 0.00%), (XOM, 0.00%), (XOM, 0.00%), (XOM, 0.00%), (XOM, 0.00%), (nan, 0.00%), (nan, 0.00%), (nan, 0.00%), (nan, 0.00%), (WTFC, 0.00%), (nan, 0.00%), (nan, 0.00%), (nan, 0.00%), (nan, 0.00%), (nan, 0.00%), (nan, 0.00%), (nan, 0.00%), (nan, 0.00%), (nan, 0.00%), (nan, 0.00%), (XOM, 0.00%), (WSM, 0.00%), (WFC, 0.00%), (WM, 0.00%), (WFC, 0.00%), (WFC, 0.00%), (WFC, 0.00%), (WFC, 0.00%), (WFC, 0.00%), (WFC, 0.00%), (WFC, 0.00%), (WM, 0.00%), (WM, 0.00%), (WM, 0.00%), (WM, 0.00%), (WMT, 0.00%), (WM, 0.00%), (WM, 0.00%), (WM, 0.00%), (WMT, 0.00%), (WMT, 0.00%), (WMT, 0.00%), (WMT, 0.00%), (WMT, 0.00%), (WMT, 0.00%), (WMT, 0.00%), (UBER, 0.00%), (UBER, 0.00%), (UBER, 0.00%), (SO, 0.00%), (SCHW, 0.00%), (SCHW, 0.00%), (SCHW, 0.00%), (SCHW, 0.00%), (SCHW, 0.00%), (SLM, 0.00%), (SNA, 0.00%), (SO, 0.00%), (SO, 0.00%), (SO, 0.00%), (SO, 0.00%), (SCHW, 0.00%), (SO, 0.00%), (SO, 0.00%), (SO, 0.00%), (SPGI, 0.00%), (SPGI, 0.00%), (SPGI, 0.00%), (SPGI, 0.00%), (SPGI, 0.00%), (SPGI, 0.00%), (SPGI, 0.00%), (SCHW, 0.00%), (SCHW, 0.00%), (UBER, 0.00%), (RTX, 0.00%), (QCOM, 0.00%), (QCOM, 0.00%), (QCOM, 0.00%), (QCOM, 0.00%), (QCOM, 0.00%), (RJF, 0.00%), (ROST, 0.00%), (RTX, 0.00%), (RTX, 0.00%), (RTX, 0.00%), (RTX, 0.00%), (SBUX, 0.00%), (RTX, 0.00%), (RTX, 0.00%), (RTX, 0.00%), (SBUX, 0.00%), (SBUX, 0.00%), (SBUX, 0.00%), (SBUX, 0.00%), (SBUX, 0.00%), (SBUX, 0.00%), (SBUX, 0.00%), (STT, 0.00%), (SYF, 0.00%), (T, 0.00%), (TSLA, 0.00%), (TMO, 0.00%), (TMO, 0.00%), (TMO, 0.00%), (TRV, 0.00%), (TSLA, 0.00%), (TSLA, 0.00%), (TSLA, 0.00%), (TSLA, 0.00%), (TSLA, 0.00%), (TSLA, 0.00%), (TSLA, 0.00%), (T, 0.00%), (TXN, 0.00%), (TXN, 0.00%), (TXN, 0.00%), (TXN, 0.00%), (TXN, 0.00%), (TXN, 0.00%), (TXN, 0.00%), (TXN, 0.00%), (UBER, 0.00%), (UBER, 0.00%), (TMO, 0.00%), (TMO, 0.00%), (TMO, 0.00%), (TMO, 0.00%), (T, 0.00%), (T, 0.00%), (T, 0.00%), (T, 0.00%), (T, 0.00%), (T, 0.00%), (TGT, 0.00%), (TGT, 0.00%), (TGT, 0.00%), (TGT, 0.00%), (TGT, 0.00%), (TGT, 0.00%), (TGT, 0.00%), (TJX, 0.00%), (TJX, 0.00%), (TJX, 0.00%), (TJX, 0.00%), (TJX, 0.00%), (TJX, 0.00%), (TJX, 0.00%), (TJX, 0.00%), (LMT, 0.00%), (LMT, 0.00%), (AAPL, 0.00%), (C, 0.00%), (BRK/B, 0.00%), (BRK/B, 0.00%), (BRK/B, 0.00%), (BRK/B, 0.00%), (BRK/B, 0.00%), (BRK/B, 0.00%), (BRK/B, 0.00%), (C, 0.00%), (C, 0.00%), (C, 0.00%), (C, 0.00%), (BMY, 0.00%), (C, 0.00%), (C, 0.00%), (C, 0.00%), (CAT, 0.00%), (CAT, 0.00%), (CAT, 0.00%), (CAT, 0.00%), (CAT, 0.00%), (CAT, 0.00%), (CAT, 0.00%), (BRK/B, 0.00%), (BMY, 0.00%), (CB, 0.00%), (BAC, 0.00%), (BA, 0.00%), (BA, 0.00%), (BA, 0.00%), (BAC, 0.00%), (BAC, 0.00%), (BAC, 0.00%), (BAC, 0.00%), (BAC, 0.00%), (BAC, 0.00%), (BAC, 0.00%), (BK, 0.00%), (BMY, 0.00%), (BKNG, 0.00%), (BKR, 0.00%), (BLK, 0.00%), (BLK, 0.00%), (BLK, 0.00%), (BMY, 0.00%), (BMY, 0.00%), (BMY, 0.00%), (BMY, 0.00%), (BMY, 0.00%), (CAT, 0.00%), (CB, 0.00%), (CSCO, 0.00%), (COST, 0.00%), (COP, 0.00%), (COP, 0.00%), (COP, 0.00%), (COP, 0.00%), (COP, 0.00%), (COST, 0.00%), (COST, 0.00%), (COST, 0.00%), (COST, 0.00%), (COST, 0.00%), (COST, 0.00%), (COP, 0.00%), (CRBG, 0.00%), (CRM, 0.00%), (CRM, 0.00%), (CRM, 0.00%), (CRM, 0.00%), (CRM, 0.00%), (CRM, 0.00%), (CRM, 0.00%), (CRM, 0.00%), (CSCO, 0.00%), (COP, 0.00%), (COP, 0.00%), (CB, 0.00%), (CL, 0.00%), (CB, 0.00%), (CB, 0.00%), (CB, 0.00%), (CB, 0.00%), (CB, 0.00%), (CF, 0.00%), (CINF, 0.00%), (CL, 0.00%), (CL, 0.00%), (CL, 0.00%), (CL, 0.00%), (CMCSA, 0.00%), (CL, 0.00%), (CL, 0.00%), (CL, 0.00%), (CMCSA, 0.00%), (CMCSA, 0.00%), (CMCSA, 0.00%), (CMCSA, 0.00%), (CMCSA, 0.00%), (CMCSA, 0.00%), (CMCSA, 0.00%), (BA, 0.00%), (BA, 0.00%), (BA, 0.00%), (ADBE, 0.00%), (ACN, 0.00%), (ACN, 0.00%), (ACN, 0.00%), (ACN, 0.00%), (ACN, 0.00%), (ADBE, 0.00%), (ADBE, 0.00%), (ADBE, 0.00%), (ADBE, 0.00%), (ADBE, 0.00%), (ADBE, 0.00%), (ACN, 0.00%), (ADM, 0.00%), (ADP, 0.00%), (AFL, 0.00%), (ALL, 0.00%), (AMAT, 0.00%), (AMAT, 0.00%), (AMAT, 0.00%), (AMAT, 0.00%), (AMAT, 0.00%), (AMAT, 0.00%), (ACN, 0.00%), (ACN, 0.00%), (BA, 0.00%), (ABBV, 0.00%), (AAPL, 0.00%), (AAPL, 0.00%), (AAPL, 0.00%), (AAPL, 0.00%), (AAPL, 0.00%), (AAPL, 0.00%), (ABBV, 0.00%), (ABBV, 0.00%), (ABBV, 0.00%), (ABBV, 0.00%), (ABBV, 0.00%), (ACM, 0.00%), (ABBV, 0.00%), (ABBV, 0.00%), (ABT, 0.00%), (ABT, 0.00%), (ABT, 0.00%), (ABT, 0.00%), (ABT, 0.00%), (ABT, 0.00%), (ABT, 0.00%), (ABT, 0.00%), (AMAT, 0.00%), (AMAT, 0.00%), (AMD, 0.00%), (AVGO, 0.00%), (AMZN, 0.00%), (AMZN, 0.00%), (AMZN, 0.00%), (AMZN, 0.00%), (AMZN, 0.00%), (AVGO, 0.00%), (AVGO, 0.00%), (AVGO, 0.00%), (AVGO, 0.00%), (AVGO, 0.00%), (AVGO, 0.00%), (AMD, 0.00%), (AVGO, 0.00%), (AXP, 0.00%), (AXP, 0.00%), (AXP, 0.00%), (AXP, 0.00%), (AXP, 0.00%), (AXP, 0.00%), (AXP, 0.00%), (AXP, 0.00%), (BA, 0.00%), (AMZN, 0.00%), (AMZN, 0.00%), (AMZN, 0.00%), (AMT, 0.00%), (AMD, 0.00%), (AMD, 0.00%), (AMD, 0.00%), (AMD, 0.00%), (AMD, 0.00%), (AMD, 0.00%), (AMGN, 0.00%), (AMGN, 0.00%), (AMGN, 0.00%), (AMGN, 0.00%), (AMGN, 0.00%), (AMGN, 0.00%), (AMGN, 0.00%), (AMP, 0.00%), (AMT, 0.00%), (AMT, 0.00%), (AMT, 0.00%), (AMT, 0.00%), (AMT, 0.00%), (AMT, 0.00%), (AMT, 0.00%), (CSCO, 0.00%), (CSCO, 0.00%), (LMT, 0.00%), (INTC, 0.00%), (HON, 0.00%), (HON, 0.00%), (IBM, 0.00%), (IBM, 0.00%), (IBM, 0.00%), (IBM, 0.00%), (IBM, 0.00%), (IBM, 0.00%), (IBM, 0.00%), (IBM, 0.00%), (INTC, 0.00%), (HON, 0.00%), (INTC, 0.00%), (INTC, 0.00%), (INTC, 0.00%), (INTC, 0.00%), (INTC, 0.00%), (INTC, 0.00%), (INTU, 0.00%), (INTU, 0.00%), (INTU, 0.00%), (INTU, 0.00%), (HON, 0.00%), (HON, 0.00%), (INTU, 0.00%), (GS, 0.00%), (GILD, 0.00%), (GILD, 0.00%), (GILD, 0.00%), (GOOG, 0.00%), (GS, 0.00%), (GS, 0.00%), (GS, 0.00%), (GS, 0.00%), (GS, 0.00%), (GS, 0.00%), (HD, 0.00%), (HON, 0.00%), (HD, 0.00%), (HD, 0.00%), (HD, 0.00%), (HD, 0.00%), (HD, 0.00%), (HD, 0.00%), (HD, 0.00%), (HIG, 0.00%), (HON, 0.00%), (HON, 0.00%), (INTU, 0.00%), (ISRG, 0.00%), (CSCO, 0.00%), (LIN, 0.00%), (KO, 0.00%), (KO, 0.00%), (KO, 0.00%), (KO, 0.00%), (KO, 0.00%), (LEN, 0.00%), (LIN, 0.00%), (LIN, 0.00%), (LIN, 0.00%), (LIN, 0.00%), (LIN, 0.00%), (KO, 0.00%), (LIN, 0.00%), (LIN, 0.00%), (LLY, 0.00%), (LLY, 0.00%), (LLY, 0.00%), (LLY, 0.00%), (LLY, 0.00%), (LLY, 0.00%), (LLY, 0.00%), (LLY, 0.00%), (KO, 0.00%), (KO, 0.00%), (ISRG, 0.00%), (JNJ, 0.00%), (ISRG, 0.00%), (ISRG, 0.00%), (ISRG, 0.00%), (ISRG, 0.00%), (ISRG, 0.00%), (JNJ, 0.00%), (JNJ, 0.00%), (JNJ, 0.00%), (JNJ, 0.00%), (JNJ, 0.00%), (JNJ, 0.00%), (KLAC, 0.00%), (JNJ, 0.00%), (JPM, 0.00%), (JPM, 0.00%), (JPM, 0.00%), (JPM, 0.00%), (JPM, 0.00%), (JPM, 0.00%), (JPM, 0.00%), (JPM, 0.00%), (JXN, 0.00%), (GILD, 0.00%), (GILD, 0.00%), (GILD, 0.00%), (DIS, 0.00%), (DE, 0.00%), (DE, 0.00%), (DHI, 0.00%), (DHR, 0.00%), (DHR, 0.00%), (DHR, 0.00%), (DHR, 0.00%), (DHR, 0.00%), (DHR, 0.00%), (DHR, 0.00%), (DIS, 0.00%), (DE, 0.00%), (DIS, 0.00%), (DIS, 0.00%), (DIS, 0.00%), (DIS, 0.00%), (DIS, 0.00%), (DIS, 0.00%), (DOV, 0.00%), (DUK, 0.00%), (DUK, 0.00%), (DUK, 0.00%), (DE, 0.00%), (DE, 0.00%), (GILD, 0.00%), (CVS, 0.00%), (CSCO, 0.00%), (CSCO, 0.00%), (CSCO, 0.00%), (CSL, 0.00%), (CTSH, 0.00%), (CVS, 0.00%), (CVS, 0.00%), (CVS, 0.00%), (CVS, 0.00%), (CVS, 0.00%), (CVS, 0.00%), (DE, 0.00%), (CVS, 0.00%), (CVX, 0.00%), (CVX, 0.00%), (CVX, 0.00%), (CVX, 0.00%), (CVX, 0.00%), (CVX, 0.00%), (CVX, 0.00%), (CVX, 0.00%), (DE, 0.00%), (DUK, 0.00%), (DUK, 0.00%), (DUK, 0.00%), (FDX, 0.00%), (ETN, 0.00%), (ETN, 0.00%), (ETN, 0.00%), (ETN, 0.00%), (EWBC, 0.00%), (FANG, 0.00%), (FDX, 0.00%), (FDX, 0.00%), (FDX, 0.00%), (FDX, 0.00%), (FDX, 0.00%), (DUK, 0.00%), (GE, 0.00%), (GE, 0.00%), (GE, 0.00%), (GE, 0.00%), (GE, 0.00%), (GE, 0.00%), (GE, 0.00%), (GE, 0.00%), (GEV, 0.00%), (GILD, 0.00%), (ETN, 0.00%), (ETN, 0.00%), (ETN, 0.00%), (ETN, 0.00%), (DUK, 0.00%), (EA, 0.00%), (EBAY, 0.00%), (EG, 0.00%), (ELV, 0.00%), (ELV, 0.00%), (ELV, 0.00%), (ELV, 0.00%), (ELV, 0.00%), (ELV, 0.00%), (ELV, 0.00%), (EMR, 0.00%), (EMR, 0.00%), (EMR, 0.00%), (EMR, 0.00%), (EMR, 0.00%), (EMR, 0.00%), (EMR, 0.00%), (EMR, 0.00%), (EOG, 0.00%), (EQH, 0.00%), (nan, 0.00%)</t>
  </si>
  <si>
    <t>AAPL: 5.95%, AAPL: 5.95%, AAPL: 5.95%, AAPL: 5.95%, AAPL: 5.95%, AAPL: 5.95%, AAPL: 5.95%, AAPL: 5.95%, ABBV: 0.64%, ABBV: 0.64%, ABBV: 0.64%, ABBV: 0.64%, ABBV: 0.64%, ABBV: 0.64%, ABBV: 0.64%, ABBV: 0.64%, ABT: 0.43%, ABT: 0.43%, ABT: 0.43%, ABT: 0.43%, ABT: 0.43%, ABT: 0.43%, ABT: 0.43%, ABT: 0.43%, ACN: 0.33%, ACN: 0.33%, ACN: 0.33%, ACN: 0.33%, ACN: 0.33%, ACN: 0.33%, ACN: 0.33%, ACN: 0.33%, ADBE: 0.29%, ADBE: 0.29%, ADBE: 0.29%, ADBE: 0.29%, ADBE: 0.29%, ADBE: 0.29%, ADBE: 0.29%, ADM: 0.05%, ADP: 0.23%, AFL: 0.09%, ALL: 0.10%, AMAT: 0.30%, AMAT: 0.30%, AMAT: 0.30%, AMAT: 0.30%, AMAT: 0.30%, AMAT: 0.30%, AMAT: 0.30%, AMAT: 0.30%, AMD: 0.45%, AMD: 0.45%, AMD: 0.45%, AMD: 0.45%, AMD: 0.45%, AMD: 0.45%, AMD: 0.45%, AMD: 0.45%, AMGN: 0.30%, AMGN: 0.30%, AMGN: 0.30%, AMGN: 0.30%, AMGN: 0.30%, AMGN: 0.30%, AMGN: 0.30%, AMP: 0.10%, AMT: 0.19%, AMT: 0.19%, AMT: 0.19%, AMT: 0.19%, AMT: 0.19%, AMT: 0.19%, AMT: 0.19%, AMT: 0.19%, AMZN: 4.01%, AMZN: 4.01%, AMZN: 4.01%, AMZN: 4.01%, AMZN: 4.01%, AMZN: 4.01%, AMZN: 4.01%, AMZN: 4.01%, AVGO: 2.43%, AVGO: 2.43%, AVGO: 2.43%, AVGO: 2.43%, AVGO: 2.43%, AVGO: 2.43%, AVGO: 2.43%, AVGO: 2.43%, AXP: 0.33%, AXP: 0.33%, AXP: 0.33%, AXP: 0.33%, AXP: 0.33%, AXP: 0.33%, AXP: 0.33%, AXP: 0.33%, BA: 0.32%, BA: 0.32%, BA: 0.32%, BA: 0.32%, BA: 0.32%, BA: 0.32%, BA: 0.32%, BA: 0.32%, BAC: 0.58%, BAC: 0.58%, BAC: 0.58%, BAC: 0.58%, BAC: 0.58%, BAC: 0.58%, BAC: 0.58%, BAC: 0.58%, BK: 0.13%, BKNG: 0.35%, BKR: 0.08%, BLK: 0.30%, BLK: 0.30%, BLK: 0.30%, BMY: 0.18%, BMY: 0.18%, BMY: 0.18%, BMY: 0.18%, BMY: 0.18%, BMY: 0.18%, BMY: 0.18%, BMY: 0.18%, BRK/B: 1.65%, BRK/B: 1.65%, BRK/B: 1.65%, BRK/B: 1.65%, BRK/B: 1.65%, BRK/B: 1.65%, BRK/B: 1.65%, BRK/B: 1.65%, C: 0.31%, C: 0.31%, C: 0.31%, C: 0.31%, C: 0.31%, C: 0.31%, C: 0.31%, C: 0.31%, CAT: 0.36%, CAT: 0.36%, CAT: 0.36%, CAT: 0.36%, CAT: 0.36%, CAT: 0.36%, CAT: 0.36%, CAT: 0.36%, CB: 0.20%, CB: 0.20%, CB: 0.20%, CB: 0.20%, CB: 0.20%, CB: 0.20%, CB: 0.20%, CB: 0.20%, CF: 0.03%, CINF: 0.04%, CL: 0.14%, CL: 0.14%, CL: 0.14%, CL: 0.14%, CL: 0.14%, CL: 0.14%, CL: 0.14%, CL: 0.14%, CMCSA: 0.25%, CMCSA: 0.25%, CMCSA: 0.25%, CMCSA: 0.25%, CMCSA: 0.25%, CMCSA: 0.25%, CMCSA: 0.25%, CMCSA: 0.25%, COP: 0.23%, COP: 0.23%, COP: 0.23%, COP: 0.23%, COP: 0.23%, COP: 0.23%, COP: 0.23%, COP: 0.23%, COST: 0.81%, COST: 0.81%, COST: 0.81%, COST: 0.81%, COST: 0.81%, COST: 0.81%, COST: 0.81%, CRM: 0.47%, CRM: 0.47%, CRM: 0.47%, CRM: 0.47%, CRM: 0.47%, CRM: 0.47%, CRM: 0.47%, CRM: 0.47%, CSCO: 0.51%, CSCO: 0.51%, CSCO: 0.51%, CSCO: 0.51%, CSCO: 0.51%, CSCO: 0.51%, CSCO: 0.51%, CSCO: 0.51%, CTSH: 0.07%, CVS: 0.15%, CVS: 0.15%, CVS: 0.15%, CVS: 0.15%, CVS: 0.15%, CVS: 0.15%, CVS: 0.15%, CVS: 0.15%, CVX: 0.48%, CVX: 0.48%, CVX: 0.48%, CVX: 0.48%, CVX: 0.48%, CVX: 0.48%, CVX: 0.48%, CVX: 0.48%, DE: 0.24%, DE: 0.24%, DE: 0.24%, DE: 0.24%, DE: 0.24%, DE: 0.24%, DE: 0.24%, DHI: 0.07%, DHR: 0.25%, DHR: 0.25%, DHR: 0.25%, DHR: 0.25%, DHR: 0.25%, DHR: 0.25%, DHR: 0.25%, DIS: 0.41%, DIS: 0.41%, DIS: 0.41%, DIS: 0.41%, DIS: 0.41%, DIS: 0.41%, DIS: 0.41%, DIS: 0.41%, DOV: 0.05%, DUK: 0.17%, DUK: 0.17%, DUK: 0.17%, DUK: 0.17%, DUK: 0.17%, DUK: 0.17%, DUK: 0.17%, DUK: 0.17%, EA: 0.06%, EBAY: 0.07%, EG: 0.03%, ELV: 0.15%, ELV: 0.15%, ELV: 0.15%, ELV: 0.15%, ELV: 0.15%, ELV: 0.15%, ELV: 0.15%, EMR: 0.15%, EMR: 0.15%, EMR: 0.15%, EMR: 0.15%, EMR: 0.15%, EMR: 0.15%, EMR: 0.15%, EMR: 0.15%, EOG: 0.13%, ETN: 0.27%, ETN: 0.27%, ETN: 0.27%, ETN: 0.27%, ETN: 0.27%, ETN: 0.27%, ETN: 0.27%, ETN: 0.27%, FANG: 0.05%, FDX: 0.10%, FDX: 0.10%, FDX: 0.10%, FDX: 0.10%, FDX: 0.10%, FDX: 0.10%, GE: 0.51%, GE: 0.51%, GE: 0.51%, GE: 0.51%, GE: 0.51%, GE: 0.51%, GE: 0.51%, GE: 0.51%, GEV: 0.28%, GILD: 0.26%, GILD: 0.26%, GILD: 0.26%, GILD: 0.26%, GILD: 0.26%, GILD: 0.26%, GILD: 0.26%, GILD: 0.26%, GOOG: 1.61%, GS: 0.41%, GS: 0.41%, GS: 0.41%, GS: 0.41%, GS: 0.41%, GS: 0.41%, GS: 0.41%, HD: 0.69%, HD: 0.69%, HD: 0.69%, HD: 0.69%, HD: 0.69%, HD: 0.69%, HD: 0.69%, HD: 0.69%, HIG: 0.06%, HON: 0.29%, HON: 0.29%, HON: 0.29%, HON: 0.29%, HON: 0.29%, HON: 0.29%, HON: 0.29%, HON: 0.29%, IBM: 0.50%, IBM: 0.50%, IBM: 0.50%, IBM: 0.50%, IBM: 0.50%, IBM: 0.50%, IBM: 0.50%, IBM: 0.50%, INTC: 0.19%, INTC: 0.19%, INTC: 0.19%, INTC: 0.19%, INTC: 0.19%, INTC: 0.19%, INTC: 0.19%, INTC: 0.19%, INTU: 0.39%, INTU: 0.39%, INTU: 0.39%, INTU: 0.39%, INTU: 0.39%, INTU: 0.39%, ISRG: 0.35%, ISRG: 0.35%, ISRG: 0.35%, ISRG: 0.35%, ISRG: 0.35%, ISRG: 0.35%, ISRG: 0.35%, JNJ: 0.71%, JNJ: 0.71%, JNJ: 0.71%, JNJ: 0.71%, JNJ: 0.71%, JNJ: 0.71%, JNJ: 0.71%, JNJ: 0.71%, JPM: 1.50%, JPM: 1.50%, JPM: 1.50%, JPM: 1.50%, JPM: 1.50%, JPM: 1.50%, JPM: 1.50%, JPM: 1.50%, KLAC: 0.23%, KO: 0.51%, KO: 0.51%, KO: 0.51%, KO: 0.51%, KO: 0.51%, KO: 0.51%, KO: 0.51%, KO: 0.51%, LEN: 0.05%, LIN: 0.42%, LIN: 0.42%, LIN: 0.42%, LIN: 0.42%, LIN: 0.42%, LIN: 0.42%, LIN: 0.42%, LIN: 0.42%, LLY: 1.18%, LLY: 1.18%, LLY: 1.18%, LLY: 1.18%, LLY: 1.18%, LLY: 1.18%, LLY: 1.18%, LLY: 1.18%, LMT: 0.18%, LMT: 0.18%, LMT: 0.18%, LMT: 0.18%, LMT: 0.18%, LMT: 0.18%, LMT: 0.18%, LOW: 0.24%, LOW: 0.24%, LOW: 0.24%, LOW: 0.24%, LOW: 0.24%, LOW: 0.24%, LOW: 0.24%, LRCX: 0.25%, MA: 0.84%, MA: 0.84%, MA: 0.84%, MA: 0.84%, MA: 0.84%, MA: 0.84%, MA: 0.84%, MA: 0.84%, MCD: 0.40%, MCD: 0.40%, MCD: 0.40%, MCD: 0.40%, MCD: 0.40%, MCD: 0.40%, MCD: 0.40%, MCD: 0.40%, MCK: 0.17%, MDLZ: 0.16%, MDLZ: 0.16%, MDLZ: 0.16%, MDLZ: 0.16%, MDLZ: 0.16%, MDLZ: 0.16%, MDLZ: 0.16%, MDLZ: 0.16%, MDT: 0.22%, MDT: 0.22%, MDT: 0.22%, MDT: 0.22%, MDT: 0.22%, MDT: 0.22%, MDT: 0.22%, MDT: 0.22%, MET: 0.08%, MET: 0.08%, MET: 0.08%, MET: 0.08%, MET: 0.08%, MET: 0.08%, MET: 0.08%, MET: 0.08%, META: 2.94%, META: 2.94%, META: 2.94%, META: 2.94%, META: 2.94%, META: 2.94%, META: 2.94%, META: 2.94%, MMM: 0.16%, MMM: 0.16%, MMM: 0.16%, MMM: 0.16%, MMM: 0.16%, MMM: 0.16%, MMM: 0.16%, MMM: 0.16%, MO: 0.18%, MO: 0.18%, MO: 0.18%, MO: 0.18%, MO: 0.18%, MO: 0.18%, MO: 0.18%, MO: 0.18%, MPWR: 0.07%, MRK: 0.39%, MRK: 0.39%, MRK: 0.39%, MRK: 0.39%, MRK: 0.39%, MRK: 0.39%, MRK: 0.39%, MRK: 0.39%, MS: 0.33%, MS: 0.33%, MS: 0.33%, MS: 0.33%, MS: 0.33%, MS: 0.33%, MS: 0.33%, MS: 0.33%, MSFT: 7.06%, MSFT: 7.06%, MSFT: 7.06%, MSFT: 7.06%, MSFT: 7.06%, MSFT: 7.06%, MSFT: 7.06%, MSFT: 7.06%, MTB: 0.06%, NEE: 0.29%, NEE: 0.29%, NEE: 0.29%, NEE: 0.29%, NEE: 0.29%, NEE: 0.29%, NEE: 0.29%, NEE: 0.29%, NFLX: 1.00%, NFLX: 1.00%, NFLX: 1.00%, NFLX: 1.00%, NFLX: 1.00%, NFLX: 1.00%, NKE: 0.16%, NKE: 0.16%, NKE: 0.16%, NKE: 0.16%, NKE: 0.16%, NKE: 0.16%, NKE: 0.16%, NKE: 0.16%, NOW: 0.37%, NOW: 0.37%, NOW: 0.37%, NOW: 0.37%, NOW: 0.37%, NTRS: 0.05%, NUE: 0.06%, NVDA: 7.59%, NVDA: 7.59%, NVDA: 7.59%, NVDA: 7.59%, NVDA: 7.59%, NVDA: 7.59%, NVDA: 7.59%, NVDA: 7.59%, ODFL: 0.06%, ORCL: 0.71%, ORCL: 0.71%, ORCL: 0.71%, ORCL: 0.71%, ORCL: 0.71%, ORCL: 0.71%, ORCL: 0.71%, ORCL: 0.71%, PAYC: 0.02%, PCAR: 0.10%, PEP: 0.35%, PEP: 0.35%, PEP: 0.35%, PEP: 0.35%, PEP: 0.35%, PEP: 0.35%, PEP: 0.35%, PEP: 0.35%, PFE: 0.28%, PFE: 0.28%, PFE: 0.28%, PFE: 0.28%, PFE: 0.28%, PFE: 0.28%, PFE: 0.28%, PFE: 0.28%, PG: 0.69%, PG: 0.69%, PG: 0.69%, PG: 0.69%, PG: 0.69%, PG: 0.69%, PG: 0.69%, PG: 0.69%, PGR: 0.27%, PHM: 0.04%, PLTR: 0.57%, PLTR: 0.57%, PLTR: 0.57%, PLTR: 0.57%, PLTR: 0.57%, PLTR: 0.57%, PLTR: 0.57%, PLTR: 0.57%, PM: 0.53%, PM: 0.53%, PM: 0.53%, PM: 0.53%, PM: 0.53%, PM: 0.53%, PM: 0.53%, PM: 0.53%, PNC: 0.15%, PYPL: 0.13%, PYPL: 0.13%, PYPL: 0.13%, PYPL: 0.13%, PYPL: 0.13%, PYPL: 0.13%, PYPL: 0.13%, PYPL: 0.13%, QCOM: 0.33%, QCOM: 0.33%, QCOM: 0.33%, QCOM: 0.33%, QCOM: 0.33%, QCOM: 0.33%, QCOM: 0.33%, QCOM: 0.33%, RJF: 0.05%, ROST: 0.08%, RTX: 0.37%, RTX: 0.37%, RTX: 0.37%, RTX: 0.37%, RTX: 0.37%, RTX: 0.37%, RTX: 0.37%, RTX: 0.37%, SBUX: 0.20%, SBUX: 0.20%, SBUX: 0.20%, SBUX: 0.20%, SBUX: 0.20%, SBUX: 0.20%, SBUX: 0.20%, SBUX: 0.20%, SCHW: 0.30%, SCHW: 0.30%, SCHW: 0.30%, SCHW: 0.30%, SCHW: 0.30%, SCHW: 0.30%, SCHW: 0.30%, SCHW: 0.30%, SNA: 0.03%, SO: 0.19%, SO: 0.19%, SO: 0.19%, SO: 0.19%, SO: 0.19%, SO: 0.19%, SO: 0.19%, SO: 0.19%, SPGI: 0.31%, SPGI: 0.31%, SPGI: 0.31%, SPGI: 0.31%, SPGI: 0.31%, SPGI: 0.31%, SPGI: 0.31%, STT: 0.06%, SYF: 0.05%, T: 0.37%, T: 0.37%, T: 0.37%, T: 0.37%, T: 0.37%, T: 0.37%, T: 0.37%, T: 0.37%, TGT: 0.09%, TGT: 0.09%, TGT: 0.09%, TGT: 0.09%, TGT: 0.09%, TGT: 0.09%, TGT: 0.09%, TJX: 0.26%, TJX: 0.26%, TJX: 0.26%, TJX: 0.26%, TJX: 0.26%, TJX: 0.26%, TJX: 0.26%, TJX: 0.26%, TMO: 0.31%, TMO: 0.31%, TMO: 0.31%, TMO: 0.31%, TMO: 0.31%, TMO: 0.31%, TMO: 0.31%, TRV: 0.11%, TSLA: 1.66%, TSLA: 1.66%, TSLA: 1.66%, TSLA: 1.66%, TSLA: 1.66%, TSLA: 1.66%, TSLA: 1.66%, TSLA: 1.66%, TXN: 0.38%, TXN: 0.38%, TXN: 0.38%, TXN: 0.38%, TXN: 0.38%, TXN: 0.38%, TXN: 0.38%, TXN: 0.38%, UBER: 0.38%, UBER: 0.38%, UBER: 0.38%, UBER: 0.38%, UBER: 0.38%, UBER: 0.38%, UBER: 0.38%, UBER: 0.38%, UNH: 0.52%, UNH: 0.52%, UNH: 0.52%, UNH: 0.52%, UNH: 0.52%, UNH: 0.52%, UNH: 0.52%, UNH: 0.52%, UNP: 0.27%, UNP: 0.27%, UNP: 0.27%, UNP: 0.27%, UNP: 0.27%, UNP: 0.27%, UNP: 0.27%, UNP: 0.27%, UPS: 0.14%, UPS: 0.14%, UPS: 0.14%, UPS: 0.14%, UPS: 0.14%, UPS: 0.14%, UPS: 0.14%, UPS: 0.14%, USB: 0.14%, USB: 0.14%, USB: 0.14%, USB: 0.14%, USB: 0.14%, USB: 0.14%, USB: 0.14%, USB: 0.14%, V: 1.12%, V: 1.12%, V: 1.12%, V: 1.12%, V: 1.12%, V: 1.12%, V: 1.12%, V: 1.12%, VZ: 0.33%, VZ: 0.33%, VZ: 0.33%, VZ: 0.33%, VZ: 0.33%, VZ: 0.33%, VZ: 0.33%, VZ: 0.33%, WFC: 0.51%, WFC: 0.51%, WFC: 0.51%, WFC: 0.51%, WFC: 0.51%, WFC: 0.51%, WFC: 0.51%, WFC: 0.51%, WM: 0.16%, WM: 0.16%, WM: 0.16%, WM: 0.16%, WM: 0.16%, WM: 0.16%, WM: 0.16%, WM: 0.16%, WMT: 0.77%, WMT: 0.77%, WMT: 0.77%, WMT: 0.77%, WMT: 0.77%, WMT: 0.77%, WMT: 0.77%, WMT: 0.77%, WSM: 0.04%, XOM: 0.94%, XOM: 0.94%, XOM: 0.94%, XOM: 0.94%, XOM: 0.94%, XOM: 0.94%, XOM: 0.94%, XOM: 0.94%</t>
  </si>
  <si>
    <t>(NVDA, 8.75%), (MSFT, 8.13%), (AAPL, 6.85%)</t>
  </si>
  <si>
    <t>AAPL: 5.95%, ABBV: 0.64%, ABT: 0.43%, ACN: 0.33%, ADBE: 0.29%, AMAT: 0.30%, AMD: 0.45%, AMGN: 0.30%, AMT: 0.19%, AMZN: 4.01%, AVGO: 2.43%, AXP: 0.33%, BA: 0.32%, BAC: 0.58%, BKNG: 0.35%, BLK: 0.30%, BMY: 0.18%, BRK/B: 1.65%, C: 0.31%, CAT: 0.36%, CB: 0.20%, CL: 0.14%, CMCSA: 0.25%, COP: 0.23%, COST: 0.81%, CRM: 0.47%, CSCO: 0.51%, CVS: 0.15%, CVX: 0.48%, DE: 0.24%, DHR: 0.25%, DIS: 0.41%, DUK: 0.17%, ELV: 0.15%, EMR: 0.15%, ETN: 0.27%, FDX: 0.10%, GE: 0.51%, GILD: 0.26%, GOOG: 1.61%, GS: 0.41%, HD: 0.69%, HON: 0.29%, IBM: 0.50%, INTC: 0.19%, INTU: 0.39%, ISRG: 0.35%, JNJ: 0.71%, JPM: 1.50%, KO: 0.51%, LIN: 0.42%, LLY: 1.18%, LMT: 0.18%, LOW: 0.24%, MA: 0.84%, MCD: 0.40%, MDLZ: 0.16%, MDT: 0.22%, MET: 0.08%, META: 2.94%, MMM: 0.16%, MO: 0.18%, MRK: 0.39%, MS: 0.33%, MSFT: 7.06%, NEE: 0.29%, NFLX: 1.00%, NKE: 0.16%, NOW: 0.37%, NVDA: 7.59%, ORCL: 0.71%, PEP: 0.35%, PFE: 0.28%, PG: 0.69%, PLTR: 0.57%, PM: 0.53%, PYPL: 0.13%, QCOM: 0.33%, RTX: 0.37%, SBUX: 0.20%, SCHW: 0.30%, SO: 0.19%, SPGI: 0.31%, T: 0.37%, TGT: 0.09%, TJX: 0.26%, TMO: 0.31%, TSLA: 1.66%, TXN: 0.38%, UBER: 0.38%, UNH: 0.52%, UNP: 0.27%, UPS: 0.14%, USB: 0.14%, V: 1.12%, VZ: 0.33%, WFC: 0.51%, WM: 0.16%, WMT: 0.77%, XOM: 0.94%</t>
  </si>
  <si>
    <t>JPM (2.07%)</t>
  </si>
  <si>
    <t>AMT (2.01%)</t>
  </si>
  <si>
    <t>(NVDA, 8.28%), (MSFT, 7.70%), (AAPL, 6.49%)</t>
  </si>
  <si>
    <t>AMT (1.93%)</t>
  </si>
  <si>
    <t>(NVDA, 8.27%), (MSFT, 7.69%), (AAPL, 6.48%)</t>
  </si>
  <si>
    <t>(NVDA, 9.15%), (MSFT, 8.51%), (AAPL, 7.17%)</t>
  </si>
  <si>
    <t>JPM (2.15%)</t>
  </si>
  <si>
    <t>LIN (2.15%)</t>
  </si>
  <si>
    <t>(NVDA, 8.71%), (MSFT, 8.09%), (AAPL, 6.82%)</t>
  </si>
  <si>
    <t>JPM (2.06%)</t>
  </si>
  <si>
    <t>(NVDA, 8.12%), (MSFT, 7.55%), (AAPL, 6.36%)</t>
  </si>
  <si>
    <t>JPM (1.95%)</t>
  </si>
  <si>
    <t>AAPL: 5.95%, ABT: 0.43%, ACN: 0.33%, ADM: 0.05%, ADP: 0.23%, AFL: 0.09%, ALL: 0.10%, AMAT: 0.30%, AMP: 0.10%, AXP: 0.33%, BK: 0.13%, BKNG: 0.35%, BKR: 0.08%, BLK: 0.30%, CB: 0.20%, CF: 0.03%, CINF: 0.04%, COST: 0.81%, CRM: 0.47%, CSCO: 0.51%, CTSH: 0.07%, DHI: 0.07%, DOV: 0.05%, EA: 0.06%, EBAY: 0.07%, EG: 0.03%, ELV: 0.15%, EOG: 0.13%, FANG: 0.05%, GE: 0.51%, GEV: 0.28%, GOOGL: 1.98%, HIG: 0.06%, JNJ: 0.71%, JPM: 1.50%, KLAC: 0.23%, LEN: 0.05%, LRCX: 0.25%, MA: 0.84%, MCK: 0.17%, META: 2.94%, MPWR: 0.07%, MSFT: 7.06%, MTB: 0.06%, NKE: 0.16%, NTRS: 0.05%, NUE: 0.06%, NVDA: 7.59%, ODFL: 0.06%, PAYC: 0.02%, PCAR: 0.10%, PGR: 0.27%, PHM: 0.04%, PNC: 0.15%, QCOM: 0.33%, RJF: 0.05%, ROST: 0.08%, SNA: 0.03%, STT: 0.06%, SYF: 0.05%, TRV: 0.11%, V: 1.12%, WSM: 0.04%, XOM: 0.94%</t>
  </si>
  <si>
    <t>CB (1.88%)</t>
  </si>
  <si>
    <t>PHM (1.88%)</t>
  </si>
  <si>
    <t>(NVDA, 8.69%), (MSFT, 8.08%), (AAPL, 6.81%)</t>
  </si>
  <si>
    <t>JPM (2.05%)</t>
  </si>
  <si>
    <t>(NVDA, 8.50%), (MSFT, 7.90%), (AAPL, 6.66%)</t>
  </si>
  <si>
    <t>JPM (2.02%)</t>
  </si>
  <si>
    <t>AAPL: 5.87%, AAPL: 5.87%, AAPL: 5.87%, AAPL: 5.87%, AAPL: 5.87%, AAPL: 5.87%, AAPL: 5.87%, AAPL: 5.87%, ABBV: 0.63%, ABBV: 0.63%, ABBV: 0.63%, ABBV: 0.63%, ABBV: 0.63%, ABBV: 0.63%, ABBV: 0.63%, ABBV: 0.63%, ABT: 0.43%, ABT: 0.43%, ABT: 0.43%, ABT: 0.43%, ABT: 0.43%, ABT: 0.43%, ABT: 0.43%, ABT: 0.43%, ACN: 0.33%, ACN: 0.33%, ACN: 0.33%, ACN: 0.33%, ACN: 0.33%, ACN: 0.33%, ACN: 0.33%, ACN: 0.33%, ADBE: 0.29%, ADBE: 0.29%, ADBE: 0.29%, ADBE: 0.29%, ADBE: 0.29%, ADBE: 0.29%, ADBE: 0.29%, ADM: 0.05%, ADP: 0.23%, AFL: 0.09%, ALL: 0.10%, AMAT: 0.30%, AMAT: 0.30%, AMAT: 0.30%, AMAT: 0.30%, AMAT: 0.30%, AMAT: 0.30%, AMAT: 0.30%, AMAT: 0.30%, AMD: 0.45%, AMD: 0.45%, AMD: 0.45%, AMD: 0.45%, AMD: 0.45%, AMD: 0.45%, AMD: 0.45%, AMD: 0.45%, AMGN: 0.30%, AMGN: 0.30%, AMGN: 0.30%, AMGN: 0.30%, AMGN: 0.30%, AMGN: 0.30%, AMGN: 0.30%, AMP: 0.10%, AMT: 0.20%, AMT: 0.20%, AMT: 0.20%, AMT: 0.20%, AMT: 0.20%, AMT: 0.20%, AMT: 0.20%, AMT: 0.20%, AMZN: 4.02%, AMZN: 4.02%, AMZN: 4.02%, AMZN: 4.02%, AMZN: 4.02%, AMZN: 4.02%, AMZN: 4.02%, AMZN: 4.02%, AVGO: 2.44%, AVGO: 2.44%, AVGO: 2.44%, AVGO: 2.44%, AVGO: 2.44%, AVGO: 2.44%, AVGO: 2.44%, AVGO: 2.44%, AXP: 0.33%, AXP: 0.33%, AXP: 0.33%, AXP: 0.33%, AXP: 0.33%, AXP: 0.33%, AXP: 0.33%, AXP: 0.33%, BA: 0.33%, BA: 0.33%, BA: 0.33%, BA: 0.33%, BA: 0.33%, BA: 0.33%, BA: 0.33%, BA: 0.33%, BAC: 0.58%, BAC: 0.58%, BAC: 0.58%, BAC: 0.58%, BAC: 0.58%, BAC: 0.58%, BAC: 0.58%, BAC: 0.58%, BK: 0.13%, BKNG: 0.35%, BKR: 0.07%, BLK: 0.31%, BLK: 0.31%, BLK: 0.31%, BMY: 0.18%, BMY: 0.18%, BMY: 0.18%, BMY: 0.18%, BMY: 0.18%, BMY: 0.18%, BMY: 0.18%, BMY: 0.18%, BRK/B: 1.64%, BRK/B: 1.64%, BRK/B: 1.64%, BRK/B: 1.64%, BRK/B: 1.64%, BRK/B: 1.64%, BRK/B: 1.64%, BRK/B: 1.64%, C: 0.31%, C: 0.31%, C: 0.31%, C: 0.31%, C: 0.31%, C: 0.31%, C: 0.31%, C: 0.31%, CAT: 0.36%, CAT: 0.36%, CAT: 0.36%, CAT: 0.36%, CAT: 0.36%, CAT: 0.36%, CAT: 0.36%, CAT: 0.36%, CB: 0.20%, CB: 0.20%, CB: 0.20%, CB: 0.20%, CB: 0.20%, CB: 0.20%, CB: 0.20%, CB: 0.20%, CF: 0.03%, CINF: 0.04%, CL: 0.14%, CL: 0.14%, CL: 0.14%, CL: 0.14%, CL: 0.14%, CL: 0.14%, CL: 0.14%, CL: 0.14%, CMCSA: 0.25%, CMCSA: 0.25%, CMCSA: 0.25%, CMCSA: 0.25%, CMCSA: 0.25%, CMCSA: 0.25%, CMCSA: 0.25%, CMCSA: 0.25%, COP: 0.22%, COP: 0.22%, COP: 0.22%, COP: 0.22%, COP: 0.22%, COP: 0.22%, COP: 0.22%, COP: 0.22%, COST: 0.82%, COST: 0.82%, COST: 0.82%, COST: 0.82%, COST: 0.82%, COST: 0.82%, COST: 0.82%, CRM: 0.47%, CRM: 0.47%, CRM: 0.47%, CRM: 0.47%, CRM: 0.47%, CRM: 0.47%, CRM: 0.47%, CRM: 0.47%, CSCO: 0.51%, CSCO: 0.51%, CSCO: 0.51%, CSCO: 0.51%, CSCO: 0.51%, CSCO: 0.51%, CSCO: 0.51%, CSCO: 0.51%, CTSH: 0.07%, CVS: 0.15%, CVS: 0.15%, CVS: 0.15%, CVS: 0.15%, CVS: 0.15%, CVS: 0.15%, CVS: 0.15%, CVS: 0.15%, CVX: 0.46%, CVX: 0.46%, CVX: 0.46%, CVX: 0.46%, CVX: 0.46%, CVX: 0.46%, CVX: 0.46%, CVX: 0.46%, DE: 0.24%, DE: 0.24%, DE: 0.24%, DE: 0.24%, DE: 0.24%, DE: 0.24%, DE: 0.24%, DHI: 0.07%, DHR: 0.24%, DHR: 0.24%, DHR: 0.24%, DHR: 0.24%, DHR: 0.24%, DHR: 0.24%, DHR: 0.24%, DIS: 0.41%, DIS: 0.41%, DIS: 0.41%, DIS: 0.41%, DIS: 0.41%, DIS: 0.41%, DIS: 0.41%, DIS: 0.41%, DOV: 0.05%, DUK: 0.17%, DUK: 0.17%, DUK: 0.17%, DUK: 0.17%, DUK: 0.17%, DUK: 0.17%, DUK: 0.17%, DUK: 0.17%, EA: 0.06%, EBAY: 0.07%, EG: 0.03%, ELV: 0.14%, ELV: 0.14%, ELV: 0.14%, ELV: 0.14%, ELV: 0.14%, ELV: 0.14%, ELV: 0.14%, EMR: 0.15%, EMR: 0.15%, EMR: 0.15%, EMR: 0.15%, EMR: 0.15%, EMR: 0.15%, EMR: 0.15%, EMR: 0.15%, EOG: 0.13%, ETN: 0.27%, ETN: 0.27%, ETN: 0.27%, ETN: 0.27%, ETN: 0.27%, ETN: 0.27%, ETN: 0.27%, ETN: 0.27%, FANG: 0.05%, FDX: 0.10%, FDX: 0.10%, FDX: 0.10%, FDX: 0.10%, FDX: 0.10%, FDX: 0.10%, GE: 0.53%, GE: 0.53%, GE: 0.53%, GE: 0.53%, GE: 0.53%, GE: 0.53%, GE: 0.53%, GE: 0.53%, GEV: 0.29%, GILD: 0.26%, GILD: 0.26%, GILD: 0.26%, GILD: 0.26%, GILD: 0.26%, GILD: 0.26%, GILD: 0.26%, GILD: 0.26%, GOOG: 1.62%, GS: 0.41%, GS: 0.41%, GS: 0.41%, GS: 0.41%, GS: 0.41%, GS: 0.41%, GS: 0.41%, HD: 0.69%, HD: 0.69%, HD: 0.69%, HD: 0.69%, HD: 0.69%, HD: 0.69%, HD: 0.69%, HD: 0.69%, HIG: 0.07%, HON: 0.29%, HON: 0.29%, HON: 0.29%, HON: 0.29%, HON: 0.29%, HON: 0.29%, HON: 0.29%, HON: 0.29%, IBM: 0.50%, IBM: 0.50%, IBM: 0.50%, IBM: 0.50%, IBM: 0.50%, IBM: 0.50%, IBM: 0.50%, IBM: 0.50%, INTC: 0.19%, INTC: 0.19%, INTC: 0.19%, INTC: 0.19%, INTC: 0.19%, INTC: 0.19%, INTC: 0.19%, INTC: 0.19%, INTU: 0.40%, INTU: 0.40%, INTU: 0.40%, INTU: 0.40%, INTU: 0.40%, INTU: 0.40%, ISRG: 0.35%, ISRG: 0.35%, ISRG: 0.35%, ISRG: 0.35%, ISRG: 0.35%, ISRG: 0.35%, ISRG: 0.35%, JNJ: 0.71%, JNJ: 0.71%, JNJ: 0.71%, JNJ: 0.71%, JNJ: 0.71%, JNJ: 0.71%, JNJ: 0.71%, JNJ: 0.71%, JPM: 1.51%, JPM: 1.51%, JPM: 1.51%, JPM: 1.51%, JPM: 1.51%, JPM: 1.51%, JPM: 1.51%, JPM: 1.51%, KLAC: 0.23%, KO: 0.51%, KO: 0.51%, KO: 0.51%, KO: 0.51%, KO: 0.51%, KO: 0.51%, KO: 0.51%, KO: 0.51%, LEN: 0.05%, LIN: 0.42%, LIN: 0.42%, LIN: 0.42%, LIN: 0.42%, LIN: 0.42%, LIN: 0.42%, LIN: 0.42%, LIN: 0.42%, LLY: 1.18%, LLY: 1.18%, LLY: 1.18%, LLY: 1.18%, LLY: 1.18%, LLY: 1.18%, LLY: 1.18%, LLY: 1.18%, LMT: 0.19%, LMT: 0.19%, LMT: 0.19%, LMT: 0.19%, LMT: 0.19%, LMT: 0.19%, LMT: 0.19%, LOW: 0.23%, LOW: 0.23%, LOW: 0.23%, LOW: 0.23%, LOW: 0.23%, LOW: 0.23%, LOW: 0.23%, LRCX: 0.24%, MA: 0.84%, MA: 0.84%, MA: 0.84%, MA: 0.84%, MA: 0.84%, MA: 0.84%, MA: 0.84%, MA: 0.84%, MCD: 0.41%, MCD: 0.41%, MCD: 0.41%, MCD: 0.41%, MCD: 0.41%, MCD: 0.41%, MCD: 0.41%, MCD: 0.41%, MCK: 0.17%, MDLZ: 0.17%, MDLZ: 0.17%, MDLZ: 0.17%, MDLZ: 0.17%, MDLZ: 0.17%, MDLZ: 0.17%, MDLZ: 0.17%, MDLZ: 0.17%, MDT: 0.22%, MDT: 0.22%, MDT: 0.22%, MDT: 0.22%, MDT: 0.22%, MDT: 0.22%, MDT: 0.22%, MDT: 0.22%, MET: 0.08%, MET: 0.08%, MET: 0.08%, MET: 0.08%, MET: 0.08%, MET: 0.08%, MET: 0.08%, MET: 0.08%, META: 2.95%, META: 2.95%, META: 2.95%, META: 2.95%, META: 2.95%, META: 2.95%, META: 2.95%, META: 2.95%, MMM: 0.16%, MMM: 0.16%, MMM: 0.16%, MMM: 0.16%, MMM: 0.16%, MMM: 0.16%, MMM: 0.16%, MMM: 0.16%, MO: 0.18%, MO: 0.18%, MO: 0.18%, MO: 0.18%, MO: 0.18%, MO: 0.18%, MO: 0.18%, MO: 0.18%, MPWR: 0.06%, MRK: 0.40%, MRK: 0.40%, MRK: 0.40%, MRK: 0.40%, MRK: 0.40%, MRK: 0.40%, MRK: 0.40%, MRK: 0.40%, MS: 0.34%, MS: 0.34%, MS: 0.34%, MS: 0.34%, MS: 0.34%, MS: 0.34%, MS: 0.34%, MS: 0.34%, MSFT: 7.04%, MSFT: 7.04%, MSFT: 7.04%, MSFT: 7.04%, MSFT: 7.04%, MSFT: 7.04%, MSFT: 7.04%, MSFT: 7.04%, MTB: 0.06%, NEE: 0.29%, NEE: 0.29%, NEE: 0.29%, NEE: 0.29%, NEE: 0.29%, NEE: 0.29%, NEE: 0.29%, NEE: 0.29%, NFLX: 1.01%, NFLX: 1.01%, NFLX: 1.01%, NFLX: 1.01%, NFLX: 1.01%, NFLX: 1.01%, NKE: 0.16%, NKE: 0.16%, NKE: 0.16%, NKE: 0.16%, NKE: 0.16%, NKE: 0.16%, NKE: 0.16%, NKE: 0.16%, NOW: 0.37%, NOW: 0.37%, NOW: 0.37%, NOW: 0.37%, NOW: 0.37%, NTRS: 0.05%, NUE: 0.06%, NVDA: 7.54%, NVDA: 7.54%, NVDA: 7.54%, NVDA: 7.54%, NVDA: 7.54%, NVDA: 7.54%, NVDA: 7.54%, NVDA: 7.54%, ODFL: 0.06%, ORCL: 0.70%, ORCL: 0.70%, ORCL: 0.70%, ORCL: 0.70%, ORCL: 0.70%, ORCL: 0.70%, ORCL: 0.70%, ORCL: 0.70%, PAYC: 0.02%, PCAR: 0.09%, PEP: 0.35%, PEP: 0.35%, PEP: 0.35%, PEP: 0.35%, PEP: 0.35%, PEP: 0.35%, PEP: 0.35%, PEP: 0.35%, PFE: 0.27%, PFE: 0.27%, PFE: 0.27%, PFE: 0.27%, PFE: 0.27%, PFE: 0.27%, PFE: 0.27%, PFE: 0.27%, PG: 0.68%, PG: 0.68%, PG: 0.68%, PG: 0.68%, PG: 0.68%, PG: 0.68%, PG: 0.68%, PG: 0.68%, PGR: 0.27%, PHM: 0.04%, PLTR: 0.60%, PLTR: 0.60%, PLTR: 0.60%, PLTR: 0.60%, PLTR: 0.60%, PLTR: 0.60%, PLTR: 0.60%, PLTR: 0.60%, PM: 0.53%, PM: 0.53%, PM: 0.53%, PM: 0.53%, PM: 0.53%, PM: 0.53%, PM: 0.53%, PM: 0.53%, PNC: 0.15%, PYPL: 0.14%, PYPL: 0.14%, PYPL: 0.14%, PYPL: 0.14%, PYPL: 0.14%, PYPL: 0.14%, PYPL: 0.14%, PYPL: 0.14%, QCOM: 0.32%, QCOM: 0.32%, QCOM: 0.32%, QCOM: 0.32%, QCOM: 0.32%, QCOM: 0.32%, QCOM: 0.32%, QCOM: 0.32%, RJF: 0.05%, ROST: 0.08%, RTX: 0.38%, RTX: 0.38%, RTX: 0.38%, RTX: 0.38%, RTX: 0.38%, RTX: 0.38%, RTX: 0.38%, RTX: 0.38%, SBUX: 0.20%, SBUX: 0.20%, SBUX: 0.20%, SBUX: 0.20%, SBUX: 0.20%, SBUX: 0.20%, SBUX: 0.20%, SBUX: 0.20%, SCHW: 0.30%, SCHW: 0.30%, SCHW: 0.30%, SCHW: 0.30%, SCHW: 0.30%, SCHW: 0.30%, SCHW: 0.30%, SCHW: 0.30%, SNA: 0.03%, SO: 0.19%, SO: 0.19%, SO: 0.19%, SO: 0.19%, SO: 0.19%, SO: 0.19%, SO: 0.19%, SO: 0.19%, SPGI: 0.31%, SPGI: 0.31%, SPGI: 0.31%, SPGI: 0.31%, SPGI: 0.31%, SPGI: 0.31%, SPGI: 0.31%, STT: 0.06%, SYF: 0.05%, T: 0.37%, T: 0.37%, T: 0.37%, T: 0.37%, T: 0.37%, T: 0.37%, T: 0.37%, T: 0.37%, TGT: 0.09%, TGT: 0.09%, TGT: 0.09%, TGT: 0.09%, TGT: 0.09%, TGT: 0.09%, TGT: 0.09%, TJX: 0.26%, TJX: 0.26%, TJX: 0.26%, TJX: 0.26%, TJX: 0.26%, TJX: 0.26%, TJX: 0.26%, TJX: 0.26%, TMO: 0.30%, TMO: 0.30%, TMO: 0.30%, TMO: 0.30%, TMO: 0.30%, TMO: 0.30%, TMO: 0.30%, TRV: 0.11%, TSLA: 1.67%, TSLA: 1.67%, TSLA: 1.67%, TSLA: 1.67%, TSLA: 1.67%, TSLA: 1.67%, TSLA: 1.67%, TSLA: 1.67%, TXN: 0.38%, TXN: 0.38%, TXN: 0.38%, TXN: 0.38%, TXN: 0.38%, TXN: 0.38%, TXN: 0.38%, TXN: 0.38%, UBER: 0.37%, UBER: 0.37%, UBER: 0.37%, UBER: 0.37%, UBER: 0.37%, UBER: 0.37%, UBER: 0.37%, UBER: 0.37%, UNH: 0.51%, UNH: 0.51%, UNH: 0.51%, UNH: 0.51%, UNH: 0.51%, UNH: 0.51%, UNH: 0.51%, UNH: 0.51%, UNP: 0.26%, UNP: 0.26%, UNP: 0.26%, UNP: 0.26%, UNP: 0.26%, UNP: 0.26%, UNP: 0.26%, UNP: 0.26%, UPS: 0.14%, UPS: 0.14%, UPS: 0.14%, UPS: 0.14%, UPS: 0.14%, UPS: 0.14%, UPS: 0.14%, UPS: 0.14%, USB: 0.14%, USB: 0.14%, USB: 0.14%, USB: 0.14%, USB: 0.14%, USB: 0.14%, USB: 0.14%, USB: 0.14%, V: 1.13%, V: 1.13%, V: 1.13%, V: 1.13%, V: 1.13%, V: 1.13%, V: 1.13%, V: 1.13%, VZ: 0.33%, VZ: 0.33%, VZ: 0.33%, VZ: 0.33%, VZ: 0.33%, VZ: 0.33%, VZ: 0.33%, VZ: 0.33%, WFC: 0.51%, WFC: 0.51%, WFC: 0.51%, WFC: 0.51%, WFC: 0.51%, WFC: 0.51%, WFC: 0.51%, WFC: 0.51%, WM: 0.16%, WM: 0.16%, WM: 0.16%, WM: 0.16%, WM: 0.16%, WM: 0.16%, WM: 0.16%, WM: 0.16%, WMT: 0.78%, WMT: 0.78%, WMT: 0.78%, WMT: 0.78%, WMT: 0.78%, WMT: 0.78%, WMT: 0.78%, WMT: 0.78%, WSM: 0.04%, XOM: 0.92%, XOM: 0.92%, XOM: 0.92%, XOM: 0.92%, XOM: 0.92%, XOM: 0.92%, XOM: 0.92%, XOM: 0.92%</t>
  </si>
  <si>
    <t>(NVDA, 9.08%), (MSFT, 8.19%), (AAPL, 6.88%)</t>
  </si>
  <si>
    <t>AAPL: 5.87%, ABBV: 0.63%, ABT: 0.43%, ACN: 0.33%, ADBE: 0.29%, AMAT: 0.30%, AMD: 0.45%, AMGN: 0.30%, AMT: 0.20%, AMZN: 4.02%, AVGO: 2.44%, AXP: 0.33%, BA: 0.33%, BAC: 0.58%, BKNG: 0.35%, BLK: 0.31%, BMY: 0.18%, BRK/B: 1.64%, C: 0.31%, CAT: 0.36%, CB: 0.20%, CL: 0.14%, CMCSA: 0.25%, COP: 0.22%, COST: 0.82%, CRM: 0.47%, CSCO: 0.51%, CVS: 0.15%, CVX: 0.46%, DE: 0.24%, DHR: 0.24%, DIS: 0.41%, DUK: 0.17%, ELV: 0.14%, EMR: 0.15%, ETN: 0.27%, FDX: 0.10%, GE: 0.53%, GILD: 0.26%, GOOG: 1.62%, GS: 0.41%, HD: 0.69%, HON: 0.29%, IBM: 0.50%, INTC: 0.19%, INTU: 0.40%, ISRG: 0.35%, JNJ: 0.71%, JPM: 1.51%, KO: 0.51%, LIN: 0.42%, LLY: 1.18%, LMT: 0.19%, LOW: 0.23%, MA: 0.84%, MCD: 0.41%, MDLZ: 0.17%, MDT: 0.22%, MET: 0.08%, META: 2.95%, MMM: 0.16%, MO: 0.18%, MRK: 0.40%, MS: 0.34%, MSFT: 7.04%, NEE: 0.29%, NFLX: 1.01%, NKE: 0.16%, NOW: 0.37%, NVDA: 7.54%, ORCL: 0.70%, PEP: 0.35%, PFE: 0.27%, PG: 0.68%, PLTR: 0.60%, PM: 0.53%, PYPL: 0.14%, QCOM: 0.32%, RTX: 0.38%, SBUX: 0.20%, SCHW: 0.30%, SO: 0.19%, SPGI: 0.31%, T: 0.37%, TGT: 0.09%, TJX: 0.26%, TMO: 0.30%, TSLA: 1.67%, TXN: 0.38%, UBER: 0.37%, UNH: 0.51%, UNP: 0.26%, UPS: 0.14%, USB: 0.14%, V: 1.13%, VZ: 0.33%, WFC: 0.51%, WM: 0.16%, WMT: 0.78%, XOM: 0.92%</t>
  </si>
  <si>
    <t>TSLA (2.07%)</t>
  </si>
  <si>
    <t>AMT (2.00%)</t>
  </si>
  <si>
    <t>(NVDA, 8.60%), (MSFT, 7.75%), (AAPL, 6.51%)</t>
  </si>
  <si>
    <t>AMT (1.92%)</t>
  </si>
  <si>
    <t>XOM (1.82%)</t>
  </si>
  <si>
    <t>(NVDA, 8.59%), (MSFT, 7.74%), (AAPL, 6.50%)</t>
  </si>
  <si>
    <t>XOM (1.83%)</t>
  </si>
  <si>
    <t>(NVDA, 9.48%), (MSFT, 8.57%), (AAPL, 7.19%)</t>
  </si>
  <si>
    <t>LIN (2.12%)</t>
  </si>
  <si>
    <t>(NVDA, 9.03%), (MSFT, 8.15%), (AAPL, 6.85%)</t>
  </si>
  <si>
    <t>LIN (2.06%)</t>
  </si>
  <si>
    <t>(NVDA, 8.45%), (MSFT, 7.61%), (AAPL, 6.39%)</t>
  </si>
  <si>
    <t>TSLA (1.93%)</t>
  </si>
  <si>
    <t>AAPL: 5.87%, ABT: 0.43%, ACN: 0.33%, ADM: 0.05%, ADP: 0.23%, AFL: 0.09%, ALL: 0.10%, AMAT: 0.30%, AMP: 0.10%, AXP: 0.33%, BK: 0.13%, BKNG: 0.35%, BKR: 0.07%, BLK: 0.31%, CB: 0.20%, CF: 0.03%, CINF: 0.04%, COST: 0.82%, CRM: 0.47%, CSCO: 0.51%, CTSH: 0.07%, DHI: 0.07%, DOV: 0.05%, EA: 0.06%, EBAY: 0.07%, EG: 0.03%, ELV: 0.14%, EOG: 0.13%, FANG: 0.05%, GE: 0.53%, GEV: 0.29%, GOOGL: 1.99%, HIG: 0.07%, JNJ: 0.71%, JPM: 1.51%, KLAC: 0.23%, LEN: 0.05%, LRCX: 0.24%, MA: 0.84%, MCK: 0.17%, META: 2.95%, MPWR: 0.06%, MSFT: 7.04%, MTB: 0.06%, NKE: 0.16%, NTRS: 0.05%, NUE: 0.06%, NVDA: 7.54%, ODFL: 0.06%, PAYC: 0.02%, PCAR: 0.09%, PGR: 0.27%, PHM: 0.04%, PNC: 0.15%, QCOM: 0.32%, RJF: 0.05%, ROST: 0.08%, SNA: 0.03%, STT: 0.06%, SYF: 0.05%, TRV: 0.11%, V: 1.13%, WSM: 0.04%, XOM: 0.92%</t>
  </si>
  <si>
    <t>SNA (1.87%)</t>
  </si>
  <si>
    <t>(NVDA, 9.01%), (MSFT, 8.14%), (AAPL, 6.83%)</t>
  </si>
  <si>
    <t>LIN (2.04%)</t>
  </si>
  <si>
    <t>(NVDA, 8.83%), (MSFT, 7.96%), (AAPL, 6.69%)</t>
  </si>
  <si>
    <t>TSLA (2.01%)</t>
  </si>
  <si>
    <t>AAPL: 5.90%, AAPL: 5.90%, AAPL: 5.90%, AAPL: 5.90%, AAPL: 5.90%, AAPL: 5.90%, AAPL: 5.90%, AAPL: 5.90%, ABBV: 0.62%, ABBV: 0.62%, ABBV: 0.62%, ABBV: 0.62%, ABBV: 0.62%, ABBV: 0.62%, ABBV: 0.62%, ABBV: 0.62%, ABT: 0.43%, ABT: 0.43%, ABT: 0.43%, ABT: 0.43%, ABT: 0.43%, ABT: 0.43%, ABT: 0.43%, ABT: 0.43%, ACN: 0.33%, ACN: 0.33%, ACN: 0.33%, ACN: 0.33%, ACN: 0.33%, ACN: 0.33%, ACN: 0.33%, ACN: 0.33%, ADBE: 0.29%, ADBE: 0.29%, ADBE: 0.29%, ADBE: 0.29%, ADBE: 0.29%, ADBE: 0.29%, ADBE: 0.29%, ADM: 0.05%, ADP: 0.23%, AFL: 0.09%, ALL: 0.10%, AMAT: 0.31%, AMAT: 0.31%, AMAT: 0.31%, AMAT: 0.31%, AMAT: 0.31%, AMAT: 0.31%, AMAT: 0.31%, AMAT: 0.31%, AMD: 0.48%, AMD: 0.48%, AMD: 0.48%, AMD: 0.48%, AMD: 0.48%, AMD: 0.48%, AMD: 0.48%, AMD: 0.48%, AMGN: 0.30%, AMGN: 0.30%, AMGN: 0.30%, AMGN: 0.30%, AMGN: 0.30%, AMGN: 0.30%, AMGN: 0.30%, AMP: 0.09%, AMT: 0.19%, AMT: 0.19%, AMT: 0.19%, AMT: 0.19%, AMT: 0.19%, AMT: 0.19%, AMT: 0.19%, AMT: 0.19%, AMZN: 4.04%, AMZN: 4.04%, AMZN: 4.04%, AMZN: 4.04%, AMZN: 4.04%, AMZN: 4.04%, AMZN: 4.04%, AMZN: 4.04%, AVGO: 2.50%, AVGO: 2.50%, AVGO: 2.50%, AVGO: 2.50%, AVGO: 2.50%, AVGO: 2.50%, AVGO: 2.50%, AVGO: 2.50%, AXP: 0.32%, AXP: 0.32%, AXP: 0.32%, AXP: 0.32%, AXP: 0.32%, AXP: 0.32%, AXP: 0.32%, AXP: 0.32%, BA: 0.33%, BA: 0.33%, BA: 0.33%, BA: 0.33%, BA: 0.33%, BA: 0.33%, BA: 0.33%, BA: 0.33%, BAC: 0.57%, BAC: 0.57%, BAC: 0.57%, BAC: 0.57%, BAC: 0.57%, BAC: 0.57%, BAC: 0.57%, BAC: 0.57%, BK: 0.13%, BKNG: 0.35%, BKR: 0.07%, BLK: 0.29%, BLK: 0.29%, BLK: 0.29%, BMY: 0.18%, BMY: 0.18%, BMY: 0.18%, BMY: 0.18%, BMY: 0.18%, BMY: 0.18%, BMY: 0.18%, BMY: 0.18%, BRK/B: 1.63%, BRK/B: 1.63%, BRK/B: 1.63%, BRK/B: 1.63%, BRK/B: 1.63%, BRK/B: 1.63%, BRK/B: 1.63%, BRK/B: 1.63%, C: 0.32%, C: 0.32%, C: 0.32%, C: 0.32%, C: 0.32%, C: 0.32%, C: 0.32%, C: 0.32%, CAT: 0.36%, CAT: 0.36%, CAT: 0.36%, CAT: 0.36%, CAT: 0.36%, CAT: 0.36%, CAT: 0.36%, CAT: 0.36%, CB: 0.19%, CB: 0.19%, CB: 0.19%, CB: 0.19%, CB: 0.19%, CB: 0.19%, CB: 0.19%, CB: 0.19%, CF: 0.03%, CINF: 0.04%, CL: 0.14%, CL: 0.14%, CL: 0.14%, CL: 0.14%, CL: 0.14%, CL: 0.14%, CL: 0.14%, CL: 0.14%, CMCSA: 0.24%, CMCSA: 0.24%, CMCSA: 0.24%, CMCSA: 0.24%, CMCSA: 0.24%, CMCSA: 0.24%, CMCSA: 0.24%, CMCSA: 0.24%, COP: 0.22%, COP: 0.22%, COP: 0.22%, COP: 0.22%, COP: 0.22%, COP: 0.22%, COP: 0.22%, COP: 0.22%, COST: 0.81%, COST: 0.81%, COST: 0.81%, COST: 0.81%, COST: 0.81%, COST: 0.81%, COST: 0.81%, CRM: 0.47%, CRM: 0.47%, CRM: 0.47%, CRM: 0.47%, CRM: 0.47%, CRM: 0.47%, CRM: 0.47%, CRM: 0.47%, CSCO: 0.51%, CSCO: 0.51%, CSCO: 0.51%, CSCO: 0.51%, CSCO: 0.51%, CSCO: 0.51%, CSCO: 0.51%, CSCO: 0.51%, CTSH: 0.07%, CVS: 0.15%, CVS: 0.15%, CVS: 0.15%, CVS: 0.15%, CVS: 0.15%, CVS: 0.15%, CVS: 0.15%, CVS: 0.15%, CVX: 0.46%, CVX: 0.46%, CVX: 0.46%, CVX: 0.46%, CVX: 0.46%, CVX: 0.46%, CVX: 0.46%, CVX: 0.46%, DE: 0.24%, DE: 0.24%, DE: 0.24%, DE: 0.24%, DE: 0.24%, DE: 0.24%, DE: 0.24%, DHI: 0.07%, DHR: 0.23%, DHR: 0.23%, DHR: 0.23%, DHR: 0.23%, DHR: 0.23%, DHR: 0.23%, DHR: 0.23%, DIS: 0.40%, DIS: 0.40%, DIS: 0.40%, DIS: 0.40%, DIS: 0.40%, DIS: 0.40%, DIS: 0.40%, DIS: 0.40%, DOV: 0.05%, DUK: 0.17%, DUK: 0.17%, DUK: 0.17%, DUK: 0.17%, DUK: 0.17%, DUK: 0.17%, DUK: 0.17%, DUK: 0.17%, EA: 0.06%, EBAY: 0.07%, EG: 0.03%, ELV: 0.14%, ELV: 0.14%, ELV: 0.14%, ELV: 0.14%, ELV: 0.14%, ELV: 0.14%, ELV: 0.14%, EMR: 0.15%, EMR: 0.15%, EMR: 0.15%, EMR: 0.15%, EMR: 0.15%, EMR: 0.15%, EMR: 0.15%, EMR: 0.15%, EOG: 0.12%, ETN: 0.27%, ETN: 0.27%, ETN: 0.27%, ETN: 0.27%, ETN: 0.27%, ETN: 0.27%, ETN: 0.27%, ETN: 0.27%, FANG: 0.05%, FDX: 0.10%, FDX: 0.10%, FDX: 0.10%, FDX: 0.10%, FDX: 0.10%, FDX: 0.10%, GE: 0.53%, GE: 0.53%, GE: 0.53%, GE: 0.53%, GE: 0.53%, GE: 0.53%, GE: 0.53%, GE: 0.53%, GEV: 0.29%, GILD: 0.26%, GILD: 0.26%, GILD: 0.26%, GILD: 0.26%, GILD: 0.26%, GILD: 0.26%, GILD: 0.26%, GILD: 0.26%, GOOG: 1.63%, GS: 0.41%, GS: 0.41%, GS: 0.41%, GS: 0.41%, GS: 0.41%, GS: 0.41%, GS: 0.41%, HD: 0.67%, HD: 0.67%, HD: 0.67%, HD: 0.67%, HD: 0.67%, HD: 0.67%, HD: 0.67%, HD: 0.67%, HIG: 0.06%, HON: 0.29%, HON: 0.29%, HON: 0.29%, HON: 0.29%, HON: 0.29%, HON: 0.29%, HON: 0.29%, HON: 0.29%, IBM: 0.50%, IBM: 0.50%, IBM: 0.50%, IBM: 0.50%, IBM: 0.50%, IBM: 0.50%, IBM: 0.50%, IBM: 0.50%, INTC: 0.19%, INTC: 0.19%, INTC: 0.19%, INTC: 0.19%, INTC: 0.19%, INTC: 0.19%, INTC: 0.19%, INTC: 0.19%, INTU: 0.39%, INTU: 0.39%, INTU: 0.39%, INTU: 0.39%, INTU: 0.39%, INTU: 0.39%, ISRG: 0.35%, ISRG: 0.35%, ISRG: 0.35%, ISRG: 0.35%, ISRG: 0.35%, ISRG: 0.35%, ISRG: 0.35%, JNJ: 0.71%, JNJ: 0.71%, JNJ: 0.71%, JNJ: 0.71%, JNJ: 0.71%, JNJ: 0.71%, JNJ: 0.71%, JNJ: 0.71%, JPM: 1.51%, JPM: 1.51%, JPM: 1.51%, JPM: 1.51%, JPM: 1.51%, JPM: 1.51%, JPM: 1.51%, JPM: 1.51%, KLAC: 0.23%, KO: 0.51%, KO: 0.51%, KO: 0.51%, KO: 0.51%, KO: 0.51%, KO: 0.51%, KO: 0.51%, KO: 0.51%, LEN: 0.05%, LIN: 0.41%, LIN: 0.41%, LIN: 0.41%, LIN: 0.41%, LIN: 0.41%, LIN: 0.41%, LIN: 0.41%, LIN: 0.41%, LLY: 1.15%, LLY: 1.15%, LLY: 1.15%, LLY: 1.15%, LLY: 1.15%, LLY: 1.15%, LLY: 1.15%, LLY: 1.15%, LMT: 0.19%, LMT: 0.19%, LMT: 0.19%, LMT: 0.19%, LMT: 0.19%, LMT: 0.19%, LMT: 0.19%, LOW: 0.23%, LOW: 0.23%, LOW: 0.23%, LOW: 0.23%, LOW: 0.23%, LOW: 0.23%, LOW: 0.23%, LRCX: 0.24%, MA: 0.84%, MA: 0.84%, MA: 0.84%, MA: 0.84%, MA: 0.84%, MA: 0.84%, MA: 0.84%, MA: 0.84%, MCD: 0.40%, MCD: 0.40%, MCD: 0.40%, MCD: 0.40%, MCD: 0.40%, MCD: 0.40%, MCD: 0.40%, MCD: 0.40%, MCK: 0.17%, MDLZ: 0.16%, MDLZ: 0.16%, MDLZ: 0.16%, MDLZ: 0.16%, MDLZ: 0.16%, MDLZ: 0.16%, MDLZ: 0.16%, MDLZ: 0.16%, MDT: 0.22%, MDT: 0.22%, MDT: 0.22%, MDT: 0.22%, MDT: 0.22%, MDT: 0.22%, MDT: 0.22%, MDT: 0.22%, MET: 0.08%, MET: 0.08%, MET: 0.08%, MET: 0.08%, MET: 0.08%, MET: 0.08%, MET: 0.08%, MET: 0.08%, META: 2.92%, META: 2.92%, META: 2.92%, META: 2.92%, META: 2.92%, META: 2.92%, META: 2.92%, META: 2.92%, MMM: 0.16%, MMM: 0.16%, MMM: 0.16%, MMM: 0.16%, MMM: 0.16%, MMM: 0.16%, MMM: 0.16%, MMM: 0.16%, MO: 0.19%, MO: 0.19%, MO: 0.19%, MO: 0.19%, MO: 0.19%, MO: 0.19%, MO: 0.19%, MO: 0.19%, MPWR: 0.06%, MRK: 0.39%, MRK: 0.39%, MRK: 0.39%, MRK: 0.39%, MRK: 0.39%, MRK: 0.39%, MRK: 0.39%, MRK: 0.39%, MS: 0.33%, MS: 0.33%, MS: 0.33%, MS: 0.33%, MS: 0.33%, MS: 0.33%, MS: 0.33%, MS: 0.33%, MSFT: 7.11%, MSFT: 7.11%, MSFT: 7.11%, MSFT: 7.11%, MSFT: 7.11%, MSFT: 7.11%, MSFT: 7.11%, MSFT: 7.11%, MTB: 0.06%, NEE: 0.29%, NEE: 0.29%, NEE: 0.29%, NEE: 0.29%, NEE: 0.29%, NEE: 0.29%, NEE: 0.29%, NEE: 0.29%, NFLX: 1.01%, NFLX: 1.01%, NFLX: 1.01%, NFLX: 1.01%, NFLX: 1.01%, NFLX: 1.01%, NKE: 0.16%, NKE: 0.16%, NKE: 0.16%, NKE: 0.16%, NKE: 0.16%, NKE: 0.16%, NKE: 0.16%, NKE: 0.16%, NOW: 0.37%, NOW: 0.37%, NOW: 0.37%, NOW: 0.37%, NOW: 0.37%, NTRS: 0.05%, NUE: 0.06%, NVDA: 7.87%, NVDA: 7.87%, NVDA: 7.87%, NVDA: 7.87%, NVDA: 7.87%, NVDA: 7.87%, NVDA: 7.87%, NVDA: 7.87%, ODFL: 0.06%, ORCL: 0.72%, ORCL: 0.72%, ORCL: 0.72%, ORCL: 0.72%, ORCL: 0.72%, ORCL: 0.72%, ORCL: 0.72%, ORCL: 0.72%, PAYC: 0.02%, PCAR: 0.09%, PEP: 0.35%, PEP: 0.35%, PEP: 0.35%, PEP: 0.35%, PEP: 0.35%, PEP: 0.35%, PEP: 0.35%, PEP: 0.35%, PFE: 0.26%, PFE: 0.26%, PFE: 0.26%, PFE: 0.26%, PFE: 0.26%, PFE: 0.26%, PFE: 0.26%, PFE: 0.26%, PG: 0.68%, PG: 0.68%, PG: 0.68%, PG: 0.68%, PG: 0.68%, PG: 0.68%, PG: 0.68%, PG: 0.68%, PGR: 0.27%, PHM: 0.04%, PLTR: 0.60%, PLTR: 0.60%, PLTR: 0.60%, PLTR: 0.60%, PLTR: 0.60%, PLTR: 0.60%, PLTR: 0.60%, PLTR: 0.60%, PM: 0.53%, PM: 0.53%, PM: 0.53%, PM: 0.53%, PM: 0.53%, PM: 0.53%, PM: 0.53%, PM: 0.53%, PNC: 0.14%, PYPL: 0.13%, PYPL: 0.13%, PYPL: 0.13%, PYPL: 0.13%, PYPL: 0.13%, PYPL: 0.13%, PYPL: 0.13%, PYPL: 0.13%, QCOM: 0.32%, QCOM: 0.32%, QCOM: 0.32%, QCOM: 0.32%, QCOM: 0.32%, QCOM: 0.32%, QCOM: 0.32%, QCOM: 0.32%, RJF: 0.05%, ROST: 0.08%, RTX: 0.38%, RTX: 0.38%, RTX: 0.38%, RTX: 0.38%, RTX: 0.38%, RTX: 0.38%, RTX: 0.38%, RTX: 0.38%, SBUX: 0.20%, SBUX: 0.20%, SBUX: 0.20%, SBUX: 0.20%, SBUX: 0.20%, SBUX: 0.20%, SBUX: 0.20%, SBUX: 0.20%, SCHW: 0.30%, SCHW: 0.30%, SCHW: 0.30%, SCHW: 0.30%, SCHW: 0.30%, SCHW: 0.30%, SCHW: 0.30%, SCHW: 0.30%, SNA: 0.03%, SO: 0.19%, SO: 0.19%, SO: 0.19%, SO: 0.19%, SO: 0.19%, SO: 0.19%, SO: 0.19%, SO: 0.19%, SPGI: 0.31%, SPGI: 0.31%, SPGI: 0.31%, SPGI: 0.31%, SPGI: 0.31%, SPGI: 0.31%, SPGI: 0.31%, STT: 0.06%, SYF: 0.05%, T: 0.37%, T: 0.37%, T: 0.37%, T: 0.37%, T: 0.37%, T: 0.37%, T: 0.37%, T: 0.37%, TGT: 0.09%, TGT: 0.09%, TGT: 0.09%, TGT: 0.09%, TGT: 0.09%, TGT: 0.09%, TGT: 0.09%, TJX: 0.26%, TJX: 0.26%, TJX: 0.26%, TJX: 0.26%, TJX: 0.26%, TJX: 0.26%, TJX: 0.26%, TJX: 0.26%, TMO: 0.30%, TMO: 0.30%, TMO: 0.30%, TMO: 0.30%, TMO: 0.30%, TMO: 0.30%, TMO: 0.30%, TRV: 0.11%, TSLA: 1.65%, TSLA: 1.65%, TSLA: 1.65%, TSLA: 1.65%, TSLA: 1.65%, TSLA: 1.65%, TSLA: 1.65%, TSLA: 1.65%, TXN: 0.37%, TXN: 0.37%, TXN: 0.37%, TXN: 0.37%, TXN: 0.37%, TXN: 0.37%, TXN: 0.37%, TXN: 0.37%, UBER: 0.36%, UBER: 0.36%, UBER: 0.36%, UBER: 0.36%, UBER: 0.36%, UBER: 0.36%, UBER: 0.36%, UBER: 0.36%, UNH: 0.50%, UNH: 0.50%, UNH: 0.50%, UNH: 0.50%, UNH: 0.50%, UNH: 0.50%, UNH: 0.50%, UNH: 0.50%, UNP: 0.26%, UNP: 0.26%, UNP: 0.26%, UNP: 0.26%, UNP: 0.26%, UNP: 0.26%, UNP: 0.26%, UNP: 0.26%, UPS: 0.14%, UPS: 0.14%, UPS: 0.14%, UPS: 0.14%, UPS: 0.14%, UPS: 0.14%, UPS: 0.14%, UPS: 0.14%, USB: 0.13%, USB: 0.13%, USB: 0.13%, USB: 0.13%, USB: 0.13%, USB: 0.13%, USB: 0.13%, USB: 0.13%, V: 1.12%, V: 1.12%, V: 1.12%, V: 1.12%, V: 1.12%, V: 1.12%, V: 1.12%, V: 1.12%, VZ: 0.33%, VZ: 0.33%, VZ: 0.33%, VZ: 0.33%, VZ: 0.33%, VZ: 0.33%, VZ: 0.33%, VZ: 0.33%, WFC: 0.48%, WFC: 0.48%, WFC: 0.48%, WFC: 0.48%, WFC: 0.48%, WFC: 0.48%, WFC: 0.48%, WFC: 0.48%, WM: 0.16%, WM: 0.16%, WM: 0.16%, WM: 0.16%, WM: 0.16%, WM: 0.16%, WM: 0.16%, WM: 0.16%, WMT: 0.78%, WMT: 0.78%, WMT: 0.78%, WMT: 0.78%, WMT: 0.78%, WMT: 0.78%, WMT: 0.78%, WMT: 0.78%, WSM: 0.04%, XOM: 0.92%, XOM: 0.92%, XOM: 0.92%, XOM: 0.92%, XOM: 0.92%, XOM: 0.92%, XOM: 0.92%, XOM: 0.92%</t>
  </si>
  <si>
    <t>(NVDA, 9.17%), (MSFT, 8.21%), (AAPL, 6.92%)</t>
  </si>
  <si>
    <t>AAPL: 5.90%, ABBV: 0.62%, ABT: 0.43%, ACN: 0.33%, ADBE: 0.29%, AMAT: 0.31%, AMD: 0.48%, AMGN: 0.30%, AMT: 0.19%, AMZN: 4.04%, AVGO: 2.50%, AXP: 0.32%, BA: 0.33%, BAC: 0.57%, BKNG: 0.35%, BLK: 0.29%, BMY: 0.18%, BRK/B: 1.63%, C: 0.32%, CAT: 0.36%, CB: 0.19%, CL: 0.14%, CMCSA: 0.24%, COP: 0.22%, COST: 0.81%, CRM: 0.47%, CSCO: 0.51%, CVS: 0.15%, CVX: 0.46%, DE: 0.24%, DHR: 0.23%, DIS: 0.40%, DUK: 0.17%, ELV: 0.14%, EMR: 0.15%, ETN: 0.27%, FDX: 0.10%, GE: 0.53%, GILD: 0.26%, GOOG: 1.63%, GS: 0.41%, HD: 0.67%, HON: 0.29%, IBM: 0.50%, INTC: 0.19%, INTU: 0.39%, ISRG: 0.35%, JNJ: 0.71%, JPM: 1.51%, KO: 0.51%, LIN: 0.41%, LLY: 1.15%, LMT: 0.19%, LOW: 0.23%, MA: 0.84%, MCD: 0.40%, MDLZ: 0.16%, MDT: 0.22%, MET: 0.08%, META: 2.92%, MMM: 0.16%, MO: 0.19%, MRK: 0.39%, MS: 0.33%, MSFT: 7.11%, NEE: 0.29%, NFLX: 1.01%, NKE: 0.16%, NOW: 0.37%, NVDA: 7.87%, ORCL: 0.72%, PEP: 0.35%, PFE: 0.26%, PG: 0.68%, PLTR: 0.60%, PM: 0.53%, PYPL: 0.13%, QCOM: 0.32%, RTX: 0.38%, SBUX: 0.20%, SCHW: 0.30%, SO: 0.19%, SPGI: 0.31%, T: 0.37%, TGT: 0.09%, TJX: 0.26%, TMO: 0.30%, TSLA: 1.65%, TXN: 0.37%, UBER: 0.36%, UNH: 0.50%, UNP: 0.26%, UPS: 0.14%, USB: 0.13%, V: 1.12%, VZ: 0.33%, WFC: 0.48%, WM: 0.16%, WMT: 0.78%, XOM: 0.92%</t>
  </si>
  <si>
    <t>JPM (2.08%)</t>
  </si>
  <si>
    <t>AMT (2.04%)</t>
  </si>
  <si>
    <t>(NVDA, 8.68%), (MSFT, 7.77%), (AAPL, 6.56%)</t>
  </si>
  <si>
    <t>(NVDA, 8.66%), (MSFT, 7.76%), (AAPL, 6.54%)</t>
  </si>
  <si>
    <t>JPM (1.97%)</t>
  </si>
  <si>
    <t>(NVDA, 9.58%), (MSFT, 8.58%), (AAPL, 7.23%)</t>
  </si>
  <si>
    <t>LIN (2.11%)</t>
  </si>
  <si>
    <t>(NVDA, 9.12%), (MSFT, 8.17%), (AAPL, 6.88%)</t>
  </si>
  <si>
    <t>LIN (2.05%)</t>
  </si>
  <si>
    <t>AMT (1.99%)</t>
  </si>
  <si>
    <t>(NVDA, 8.52%), (MSFT, 7.62%), (AAPL, 6.43%)</t>
  </si>
  <si>
    <t>XOM (1.81%)</t>
  </si>
  <si>
    <t>AAPL: 5.90%, ABT: 0.43%, ACN: 0.33%, ADM: 0.05%, ADP: 0.23%, AFL: 0.09%, ALL: 0.10%, AMAT: 0.31%, AMP: 0.09%, AXP: 0.32%, BK: 0.13%, BKNG: 0.35%, BKR: 0.07%, BLK: 0.29%, CB: 0.19%, CF: 0.03%, CINF: 0.04%, COST: 0.81%, CRM: 0.47%, CSCO: 0.51%, CTSH: 0.07%, DHI: 0.07%, DOV: 0.05%, EA: 0.06%, EBAY: 0.07%, EG: 0.03%, ELV: 0.14%, EOG: 0.12%, FANG: 0.05%, GE: 0.53%, GEV: 0.29%, GOOGL: 2.00%, HIG: 0.06%, JNJ: 0.71%, JPM: 1.51%, KLAC: 0.23%, LEN: 0.05%, LRCX: 0.24%, MA: 0.84%, MCK: 0.17%, META: 2.92%, MPWR: 0.06%, MSFT: 7.11%, MTB: 0.06%, NKE: 0.16%, NTRS: 0.05%, NUE: 0.06%, NVDA: 7.87%, ODFL: 0.06%, PAYC: 0.02%, PCAR: 0.09%, PGR: 0.27%, PHM: 0.04%, PNC: 0.14%, QCOM: 0.32%, RJF: 0.05%, ROST: 0.08%, SNA: 0.03%, STT: 0.06%, SYF: 0.05%, TRV: 0.11%, V: 1.12%, WSM: 0.04%, XOM: 0.92%</t>
  </si>
  <si>
    <t>CB (1.89%)</t>
  </si>
  <si>
    <t>SNA (1.86%)</t>
  </si>
  <si>
    <t>(NVDA, 9.10%), (MSFT, 8.15%), (AAPL, 6.87%)</t>
  </si>
  <si>
    <t>LIN (2.03%)</t>
  </si>
  <si>
    <t>(NVDA, 8.90%), (MSFT, 7.97%), (AAPL, 6.72%)</t>
  </si>
  <si>
    <t>AAPL: 5.92%, AAPL: 5.92%, AAPL: 5.92%, AAPL: 5.92%, AAPL: 5.92%, AAPL: 5.92%, AAPL: 5.92%, AAPL: 5.92%, ABBV: 0.63%, ABBV: 0.63%, ABBV: 0.63%, ABBV: 0.63%, ABBV: 0.63%, ABBV: 0.63%, ABBV: 0.63%, ABBV: 0.63%, ABT: 0.43%, ABT: 0.43%, ABT: 0.43%, ABT: 0.43%, ABT: 0.43%, ABT: 0.43%, ABT: 0.43%, ABT: 0.43%, ACN: 0.33%, ACN: 0.33%, ACN: 0.33%, ACN: 0.33%, ACN: 0.33%, ACN: 0.33%, ACN: 0.33%, ACN: 0.33%, ADBE: 0.29%, ADBE: 0.29%, ADBE: 0.29%, ADBE: 0.29%, ADBE: 0.29%, ADBE: 0.29%, ADBE: 0.29%, ADM: 0.05%, ADP: 0.23%, AFL: 0.09%, ALL: 0.10%, AMAT: 0.30%, AMAT: 0.30%, AMAT: 0.30%, AMAT: 0.30%, AMAT: 0.30%, AMAT: 0.30%, AMAT: 0.30%, AMAT: 0.30%, AMD: 0.49%, AMD: 0.49%, AMD: 0.49%, AMD: 0.49%, AMD: 0.49%, AMD: 0.49%, AMD: 0.49%, AMD: 0.49%, AMGN: 0.30%, AMGN: 0.30%, AMGN: 0.30%, AMGN: 0.30%, AMGN: 0.30%, AMGN: 0.30%, AMGN: 0.30%, AMP: 0.09%, AMT: 0.20%, AMT: 0.20%, AMT: 0.20%, AMT: 0.20%, AMT: 0.20%, AMT: 0.20%, AMT: 0.20%, AMT: 0.20%, AMZN: 3.97%, AMZN: 3.97%, AMZN: 3.97%, AMZN: 3.97%, AMZN: 3.97%, AMZN: 3.97%, AMZN: 3.97%, AMZN: 3.97%, AVGO: 2.49%, AVGO: 2.49%, AVGO: 2.49%, AVGO: 2.49%, AVGO: 2.49%, AVGO: 2.49%, AVGO: 2.49%, AVGO: 2.49%, AXP: 0.33%, AXP: 0.33%, AXP: 0.33%, AXP: 0.33%, AXP: 0.33%, AXP: 0.33%, AXP: 0.33%, AXP: 0.33%, BA: 0.33%, BA: 0.33%, BA: 0.33%, BA: 0.33%, BA: 0.33%, BA: 0.33%, BA: 0.33%, BA: 0.33%, BAC: 0.57%, BAC: 0.57%, BAC: 0.57%, BAC: 0.57%, BAC: 0.57%, BAC: 0.57%, BAC: 0.57%, BAC: 0.57%, BK: 0.13%, BKNG: 0.35%, BKR: 0.07%, BLK: 0.30%, BLK: 0.30%, BLK: 0.30%, BMY: 0.18%, BMY: 0.18%, BMY: 0.18%, BMY: 0.18%, BMY: 0.18%, BMY: 0.18%, BMY: 0.18%, BMY: 0.18%, BRK/B: 1.63%, BRK/B: 1.63%, BRK/B: 1.63%, BRK/B: 1.63%, BRK/B: 1.63%, BRK/B: 1.63%, BRK/B: 1.63%, BRK/B: 1.63%, C: 0.32%, C: 0.32%, C: 0.32%, C: 0.32%, C: 0.32%, C: 0.32%, C: 0.32%, C: 0.32%, CAT: 0.37%, CAT: 0.37%, CAT: 0.37%, CAT: 0.37%, CAT: 0.37%, CAT: 0.37%, CAT: 0.37%, CAT: 0.37%, CB: 0.20%, CB: 0.20%, CB: 0.20%, CB: 0.20%, CB: 0.20%, CB: 0.20%, CB: 0.20%, CB: 0.20%, CF: 0.03%, CINF: 0.04%, CL: 0.13%, CL: 0.13%, CL: 0.13%, CL: 0.13%, CL: 0.13%, CL: 0.13%, CL: 0.13%, CL: 0.13%, CMCSA: 0.24%, CMCSA: 0.24%, CMCSA: 0.24%, CMCSA: 0.24%, CMCSA: 0.24%, CMCSA: 0.24%, CMCSA: 0.24%, CMCSA: 0.24%, COP: 0.22%, COP: 0.22%, COP: 0.22%, COP: 0.22%, COP: 0.22%, COP: 0.22%, COP: 0.22%, COP: 0.22%, COST: 0.80%, COST: 0.80%, COST: 0.80%, COST: 0.80%, COST: 0.80%, COST: 0.80%, COST: 0.80%, CRM: 0.47%, CRM: 0.47%, CRM: 0.47%, CRM: 0.47%, CRM: 0.47%, CRM: 0.47%, CRM: 0.47%, CRM: 0.47%, CSCO: 0.50%, CSCO: 0.50%, CSCO: 0.50%, CSCO: 0.50%, CSCO: 0.50%, CSCO: 0.50%, CSCO: 0.50%, CSCO: 0.50%, CTSH: 0.07%, CVS: 0.15%, CVS: 0.15%, CVS: 0.15%, CVS: 0.15%, CVS: 0.15%, CVS: 0.15%, CVS: 0.15%, CVS: 0.15%, CVX: 0.46%, CVX: 0.46%, CVX: 0.46%, CVX: 0.46%, CVX: 0.46%, CVX: 0.46%, CVX: 0.46%, CVX: 0.46%, DE: 0.24%, DE: 0.24%, DE: 0.24%, DE: 0.24%, DE: 0.24%, DE: 0.24%, DE: 0.24%, DHI: 0.07%, DHR: 0.23%, DHR: 0.23%, DHR: 0.23%, DHR: 0.23%, DHR: 0.23%, DHR: 0.23%, DHR: 0.23%, DIS: 0.41%, DIS: 0.41%, DIS: 0.41%, DIS: 0.41%, DIS: 0.41%, DIS: 0.41%, DIS: 0.41%, DIS: 0.41%, DOV: 0.05%, DUK: 0.17%, DUK: 0.17%, DUK: 0.17%, DUK: 0.17%, DUK: 0.17%, DUK: 0.17%, DUK: 0.17%, DUK: 0.17%, EA: 0.06%, EBAY: 0.07%, EG: 0.03%, ELV: 0.15%, ELV: 0.15%, ELV: 0.15%, ELV: 0.15%, ELV: 0.15%, ELV: 0.15%, ELV: 0.15%, EMR: 0.15%, EMR: 0.15%, EMR: 0.15%, EMR: 0.15%, EMR: 0.15%, EMR: 0.15%, EMR: 0.15%, EMR: 0.15%, EOG: 0.12%, ETN: 0.27%, ETN: 0.27%, ETN: 0.27%, ETN: 0.27%, ETN: 0.27%, ETN: 0.27%, ETN: 0.27%, ETN: 0.27%, FANG: 0.05%, FDX: 0.10%, FDX: 0.10%, FDX: 0.10%, FDX: 0.10%, FDX: 0.10%, FDX: 0.10%, GE: 0.53%, GE: 0.53%, GE: 0.53%, GE: 0.53%, GE: 0.53%, GE: 0.53%, GE: 0.53%, GE: 0.53%, GEV: 0.29%, GILD: 0.26%, GILD: 0.26%, GILD: 0.26%, GILD: 0.26%, GILD: 0.26%, GILD: 0.26%, GILD: 0.26%, GILD: 0.26%, GOOG: 1.63%, GS: 0.41%, GS: 0.41%, GS: 0.41%, GS: 0.41%, GS: 0.41%, GS: 0.41%, GS: 0.41%, HD: 0.67%, HD: 0.67%, HD: 0.67%, HD: 0.67%, HD: 0.67%, HD: 0.67%, HD: 0.67%, HD: 0.67%, HIG: 0.06%, HON: 0.29%, HON: 0.29%, HON: 0.29%, HON: 0.29%, HON: 0.29%, HON: 0.29%, HON: 0.29%, HON: 0.29%, IBM: 0.49%, IBM: 0.49%, IBM: 0.49%, IBM: 0.49%, IBM: 0.49%, IBM: 0.49%, IBM: 0.49%, IBM: 0.49%, INTC: 0.19%, INTC: 0.19%, INTC: 0.19%, INTC: 0.19%, INTC: 0.19%, INTC: 0.19%, INTC: 0.19%, INTC: 0.19%, INTU: 0.40%, INTU: 0.40%, INTU: 0.40%, INTU: 0.40%, INTU: 0.40%, INTU: 0.40%, ISRG: 0.35%, ISRG: 0.35%, ISRG: 0.35%, ISRG: 0.35%, ISRG: 0.35%, ISRG: 0.35%, ISRG: 0.35%, JNJ: 0.75%, JNJ: 0.75%, JNJ: 0.75%, JNJ: 0.75%, JNJ: 0.75%, JNJ: 0.75%, JNJ: 0.75%, JNJ: 0.75%, JPM: 1.50%, JPM: 1.50%, JPM: 1.50%, JPM: 1.50%, JPM: 1.50%, JPM: 1.50%, JPM: 1.50%, JPM: 1.50%, KLAC: 0.23%, KO: 0.51%, KO: 0.51%, KO: 0.51%, KO: 0.51%, KO: 0.51%, KO: 0.51%, KO: 0.51%, KO: 0.51%, LEN: 0.05%, LIN: 0.41%, LIN: 0.41%, LIN: 0.41%, LIN: 0.41%, LIN: 0.41%, LIN: 0.41%, LIN: 0.41%, LIN: 0.41%, LLY: 1.17%, LLY: 1.17%, LLY: 1.17%, LLY: 1.17%, LLY: 1.17%, LLY: 1.17%, LLY: 1.17%, LLY: 1.17%, LMT: 0.19%, LMT: 0.19%, LMT: 0.19%, LMT: 0.19%, LMT: 0.19%, LMT: 0.19%, LMT: 0.19%, LOW: 0.23%, LOW: 0.23%, LOW: 0.23%, LOW: 0.23%, LOW: 0.23%, LOW: 0.23%, LOW: 0.23%, LRCX: 0.24%, MA: 0.85%, MA: 0.85%, MA: 0.85%, MA: 0.85%, MA: 0.85%, MA: 0.85%, MA: 0.85%, MA: 0.85%, MCD: 0.40%, MCD: 0.40%, MCD: 0.40%, MCD: 0.40%, MCD: 0.40%, MCD: 0.40%, MCD: 0.40%, MCD: 0.40%, MCK: 0.17%, MDLZ: 0.16%, MDLZ: 0.16%, MDLZ: 0.16%, MDLZ: 0.16%, MDLZ: 0.16%, MDLZ: 0.16%, MDLZ: 0.16%, MDLZ: 0.16%, MDT: 0.22%, MDT: 0.22%, MDT: 0.22%, MDT: 0.22%, MDT: 0.22%, MDT: 0.22%, MDT: 0.22%, MDT: 0.22%, MET: 0.08%, MET: 0.08%, MET: 0.08%, MET: 0.08%, MET: 0.08%, MET: 0.08%, MET: 0.08%, MET: 0.08%, META: 2.88%, META: 2.88%, META: 2.88%, META: 2.88%, META: 2.88%, META: 2.88%, META: 2.88%, META: 2.88%, MMM: 0.16%, MMM: 0.16%, MMM: 0.16%, MMM: 0.16%, MMM: 0.16%, MMM: 0.16%, MMM: 0.16%, MMM: 0.16%, MO: 0.19%, MO: 0.19%, MO: 0.19%, MO: 0.19%, MO: 0.19%, MO: 0.19%, MO: 0.19%, MO: 0.19%, MPWR: 0.06%, MRK: 0.39%, MRK: 0.39%, MRK: 0.39%, MRK: 0.39%, MRK: 0.39%, MRK: 0.39%, MRK: 0.39%, MRK: 0.39%, MS: 0.33%, MS: 0.33%, MS: 0.33%, MS: 0.33%, MS: 0.33%, MS: 0.33%, MS: 0.33%, MS: 0.33%, MSFT: 7.08%, MSFT: 7.08%, MSFT: 7.08%, MSFT: 7.08%, MSFT: 7.08%, MSFT: 7.08%, MSFT: 7.08%, MSFT: 7.08%, MTB: 0.06%, NEE: 0.29%, NEE: 0.29%, NEE: 0.29%, NEE: 0.29%, NEE: 0.29%, NEE: 0.29%, NEE: 0.29%, NEE: 0.29%, NFLX: 1.00%, NFLX: 1.00%, NFLX: 1.00%, NFLX: 1.00%, NFLX: 1.00%, NFLX: 1.00%, NKE: 0.16%, NKE: 0.16%, NKE: 0.16%, NKE: 0.16%, NKE: 0.16%, NKE: 0.16%, NKE: 0.16%, NKE: 0.16%, NOW: 0.38%, NOW: 0.38%, NOW: 0.38%, NOW: 0.38%, NOW: 0.38%, NTRS: 0.05%, NUE: 0.06%, NVDA: 7.88%, NVDA: 7.88%, NVDA: 7.88%, NVDA: 7.88%, NVDA: 7.88%, NVDA: 7.88%, NVDA: 7.88%, NVDA: 7.88%, ODFL: 0.06%, ORCL: 0.74%, ORCL: 0.74%, ORCL: 0.74%, ORCL: 0.74%, ORCL: 0.74%, ORCL: 0.74%, ORCL: 0.74%, ORCL: 0.74%, PAYC: 0.02%, PCAR: 0.09%, PEP: 0.35%, PEP: 0.35%, PEP: 0.35%, PEP: 0.35%, PEP: 0.35%, PEP: 0.35%, PEP: 0.35%, PEP: 0.35%, PFE: 0.26%, PFE: 0.26%, PFE: 0.26%, PFE: 0.26%, PFE: 0.26%, PFE: 0.26%, PFE: 0.26%, PFE: 0.26%, PG: 0.68%, PG: 0.68%, PG: 0.68%, PG: 0.68%, PG: 0.68%, PG: 0.68%, PG: 0.68%, PG: 0.68%, PGR: 0.27%, PHM: 0.04%, PLTR: 0.60%, PLTR: 0.60%, PLTR: 0.60%, PLTR: 0.60%, PLTR: 0.60%, PLTR: 0.60%, PLTR: 0.60%, PLTR: 0.60%, PM: 0.54%, PM: 0.54%, PM: 0.54%, PM: 0.54%, PM: 0.54%, PM: 0.54%, PM: 0.54%, PM: 0.54%, PNC: 0.14%, PYPL: 0.13%, PYPL: 0.13%, PYPL: 0.13%, PYPL: 0.13%, PYPL: 0.13%, PYPL: 0.13%, PYPL: 0.13%, PYPL: 0.13%, QCOM: 0.32%, QCOM: 0.32%, QCOM: 0.32%, QCOM: 0.32%, QCOM: 0.32%, QCOM: 0.32%, QCOM: 0.32%, QCOM: 0.32%, RJF: 0.05%, ROST: 0.08%, RTX: 0.38%, RTX: 0.38%, RTX: 0.38%, RTX: 0.38%, RTX: 0.38%, RTX: 0.38%, RTX: 0.38%, RTX: 0.38%, SBUX: 0.20%, SBUX: 0.20%, SBUX: 0.20%, SBUX: 0.20%, SBUX: 0.20%, SBUX: 0.20%, SBUX: 0.20%, SBUX: 0.20%, SCHW: 0.29%, SCHW: 0.29%, SCHW: 0.29%, SCHW: 0.29%, SCHW: 0.29%, SCHW: 0.29%, SCHW: 0.29%, SCHW: 0.29%, SNA: 0.03%, SO: 0.19%, SO: 0.19%, SO: 0.19%, SO: 0.19%, SO: 0.19%, SO: 0.19%, SO: 0.19%, SO: 0.19%, SPGI: 0.31%, SPGI: 0.31%, SPGI: 0.31%, SPGI: 0.31%, SPGI: 0.31%, SPGI: 0.31%, SPGI: 0.31%, STT: 0.06%, SYF: 0.05%, T: 0.37%, T: 0.37%, T: 0.37%, T: 0.37%, T: 0.37%, T: 0.37%, T: 0.37%, T: 0.37%, TGT: 0.09%, TGT: 0.09%, TGT: 0.09%, TGT: 0.09%, TGT: 0.09%, TGT: 0.09%, TGT: 0.09%, TJX: 0.26%, TJX: 0.26%, TJX: 0.26%, TJX: 0.26%, TJX: 0.26%, TJX: 0.26%, TJX: 0.26%, TJX: 0.26%, TMO: 0.30%, TMO: 0.30%, TMO: 0.30%, TMO: 0.30%, TMO: 0.30%, TMO: 0.30%, TMO: 0.30%, TRV: 0.11%, TSLA: 1.70%, TSLA: 1.70%, TSLA: 1.70%, TSLA: 1.70%, TSLA: 1.70%, TSLA: 1.70%, TSLA: 1.70%, TSLA: 1.70%, TXN: 0.37%, TXN: 0.37%, TXN: 0.37%, TXN: 0.37%, TXN: 0.37%, TXN: 0.37%, TXN: 0.37%, TXN: 0.37%, UBER: 0.36%, UBER: 0.36%, UBER: 0.36%, UBER: 0.36%, UBER: 0.36%, UBER: 0.36%, UBER: 0.36%, UBER: 0.36%, UNH: 0.50%, UNH: 0.50%, UNH: 0.50%, UNH: 0.50%, UNH: 0.50%, UNH: 0.50%, UNH: 0.50%, UNH: 0.50%, UNP: 0.26%, UNP: 0.26%, UNP: 0.26%, UNP: 0.26%, UNP: 0.26%, UNP: 0.26%, UNP: 0.26%, UNP: 0.26%, UPS: 0.14%, UPS: 0.14%, UPS: 0.14%, UPS: 0.14%, UPS: 0.14%, UPS: 0.14%, UPS: 0.14%, UPS: 0.14%, USB: 0.13%, USB: 0.13%, USB: 0.13%, USB: 0.13%, USB: 0.13%, USB: 0.13%, USB: 0.13%, USB: 0.13%, V: 1.13%, V: 1.13%, V: 1.13%, V: 1.13%, V: 1.13%, V: 1.13%, V: 1.13%, V: 1.13%, VZ: 0.33%, VZ: 0.33%, VZ: 0.33%, VZ: 0.33%, VZ: 0.33%, VZ: 0.33%, VZ: 0.33%, VZ: 0.33%, WFC: 0.49%, WFC: 0.49%, WFC: 0.49%, WFC: 0.49%, WFC: 0.49%, WFC: 0.49%, WFC: 0.49%, WFC: 0.49%, WM: 0.16%, WM: 0.16%, WM: 0.16%, WM: 0.16%, WM: 0.16%, WM: 0.16%, WM: 0.16%, WM: 0.16%, WMT: 0.77%, WMT: 0.77%, WMT: 0.77%, WMT: 0.77%, WMT: 0.77%, WMT: 0.77%, WMT: 0.77%, WMT: 0.77%, WSM: 0.04%, XOM: 0.91%, XOM: 0.91%, XOM: 0.91%, XOM: 0.91%, XOM: 0.91%, XOM: 0.91%, XOM: 0.91%, XOM: 0.91%</t>
  </si>
  <si>
    <t>(NVDA, 9.23%), (MSFT, 8.28%), (AAPL, 6.91%)</t>
  </si>
  <si>
    <t>AAPL: 5.92%, ABBV: 0.63%, ABT: 0.43%, ACN: 0.33%, ADBE: 0.29%, AMAT: 0.30%, AMD: 0.49%, AMGN: 0.30%, AMT: 0.20%, AMZN: 3.97%, AVGO: 2.49%, AXP: 0.33%, BA: 0.33%, BAC: 0.57%, BKNG: 0.35%, BLK: 0.30%, BMY: 0.18%, BRK/B: 1.63%, C: 0.32%, CAT: 0.37%, CB: 0.20%, CL: 0.13%, CMCSA: 0.24%, COP: 0.22%, COST: 0.80%, CRM: 0.47%, CSCO: 0.50%, CVS: 0.15%, CVX: 0.46%, DE: 0.24%, DHR: 0.23%, DIS: 0.41%, DUK: 0.17%, ELV: 0.15%, EMR: 0.15%, ETN: 0.27%, FDX: 0.10%, GE: 0.53%, GILD: 0.26%, GOOG: 1.63%, GS: 0.41%, HD: 0.67%, HON: 0.29%, IBM: 0.49%, INTC: 0.19%, INTU: 0.40%, ISRG: 0.35%, JNJ: 0.75%, JPM: 1.50%, KO: 0.51%, LIN: 0.41%, LLY: 1.17%, LMT: 0.19%, LOW: 0.23%, MA: 0.85%, MCD: 0.40%, MDLZ: 0.16%, MDT: 0.22%, MET: 0.08%, META: 2.88%, MMM: 0.16%, MO: 0.19%, MRK: 0.39%, MS: 0.33%, MSFT: 7.08%, NEE: 0.29%, NFLX: 1.00%, NKE: 0.16%, NOW: 0.38%, NVDA: 7.88%, ORCL: 0.74%, PEP: 0.35%, PFE: 0.26%, PG: 0.68%, PLTR: 0.60%, PM: 0.54%, PYPL: 0.13%, QCOM: 0.32%, RTX: 0.38%, SBUX: 0.20%, SCHW: 0.29%, SO: 0.19%, SPGI: 0.31%, T: 0.37%, TGT: 0.09%, TJX: 0.26%, TMO: 0.30%, TSLA: 1.70%, TXN: 0.37%, UBER: 0.36%, UNH: 0.50%, UNP: 0.26%, UPS: 0.14%, USB: 0.13%, V: 1.13%, VZ: 0.33%, WFC: 0.49%, WM: 0.16%, WMT: 0.77%, XOM: 0.91%</t>
  </si>
  <si>
    <t>LIN (2.10%)</t>
  </si>
  <si>
    <t>JPM (2.10%)</t>
  </si>
  <si>
    <t>(NVDA, 8.74%), (MSFT, 7.84%), (AAPL, 6.54%)</t>
  </si>
  <si>
    <t>XOM (1.80%)</t>
  </si>
  <si>
    <t>(NVDA, 8.73%), (MSFT, 7.83%), (AAPL, 6.53%)</t>
  </si>
  <si>
    <t>(NVDA, 9.65%), (MSFT, 8.65%), (AAPL, 7.22%)</t>
  </si>
  <si>
    <t>JPM (2.18%)</t>
  </si>
  <si>
    <t>(NVDA, 9.18%), (MSFT, 8.24%), (AAPL, 6.87%)</t>
  </si>
  <si>
    <t>(NVDA, 8.58%), (MSFT, 7.69%), (AAPL, 6.42%)</t>
  </si>
  <si>
    <t>AAPL: 5.92%, ABT: 0.43%, ACN: 0.33%, ADM: 0.05%, ADP: 0.23%, AFL: 0.09%, ALL: 0.10%, AMAT: 0.30%, AMP: 0.09%, AXP: 0.33%, BK: 0.13%, BKNG: 0.35%, BKR: 0.07%, BLK: 0.30%, CB: 0.20%, CF: 0.03%, CINF: 0.04%, COST: 0.80%, CRM: 0.47%, CSCO: 0.50%, CTSH: 0.07%, DHI: 0.07%, DOV: 0.05%, EA: 0.06%, EBAY: 0.07%, EG: 0.03%, ELV: 0.15%, EOG: 0.12%, FANG: 0.05%, GE: 0.53%, GEV: 0.29%, GOOGL: 2.01%, HIG: 0.06%, JNJ: 0.75%, JPM: 1.50%, KLAC: 0.23%, LEN: 0.05%, LRCX: 0.24%, MA: 0.85%, MCK: 0.17%, META: 2.88%, MPWR: 0.06%, MSFT: 7.08%, MTB: 0.06%, NKE: 0.16%, NTRS: 0.05%, NUE: 0.06%, NVDA: 7.88%, ODFL: 0.06%, PAYC: 0.02%, PCAR: 0.09%, PGR: 0.27%, PHM: 0.04%, PNC: 0.14%, QCOM: 0.32%, RJF: 0.05%, ROST: 0.08%, SNA: 0.03%, STT: 0.06%, SYF: 0.05%, TRV: 0.11%, V: 1.13%, WSM: 0.04%, XOM: 0.91%</t>
  </si>
  <si>
    <t>AAPL (1.94%)</t>
  </si>
  <si>
    <t>CB (1.87%)</t>
  </si>
  <si>
    <t>(NVDA, 9.16%), (MSFT, 8.22%), (AAPL, 6.86%)</t>
  </si>
  <si>
    <t>(NVDA, 8.97%), (MSFT, 8.04%), (AAPL, 6.71%)</t>
  </si>
  <si>
    <t>JPM (2.04%)</t>
  </si>
  <si>
    <t>AAPL: 5.91%, AAPL: 5.91%, AAPL: 5.91%, AAPL: 5.91%, AAPL: 5.91%, AAPL: 5.91%, AAPL: 5.91%, AAPL: 5.91%, ABBV: 0.63%, ABBV: 0.63%, ABBV: 0.63%, ABBV: 0.63%, ABBV: 0.63%, ABBV: 0.63%, ABBV: 0.63%, ABBV: 0.63%, ABT: 0.40%, ABT: 0.40%, ABT: 0.40%, ABT: 0.40%, ABT: 0.40%, ABT: 0.40%, ABT: 0.40%, ABT: 0.40%, ACN: 0.33%, ACN: 0.33%, ACN: 0.33%, ACN: 0.33%, ACN: 0.33%, ACN: 0.33%, ACN: 0.33%, ACN: 0.33%, ADBE: 0.29%, ADBE: 0.29%, ADBE: 0.29%, ADBE: 0.29%, ADBE: 0.29%, ADBE: 0.29%, ADBE: 0.29%, ADM: 0.05%, ADP: 0.23%, AFL: 0.09%, ALL: 0.10%, AMAT: 0.29%, AMAT: 0.29%, AMAT: 0.29%, AMAT: 0.29%, AMAT: 0.29%, AMAT: 0.29%, AMAT: 0.29%, AMAT: 0.29%, AMD: 0.48%, AMD: 0.48%, AMD: 0.48%, AMD: 0.48%, AMD: 0.48%, AMD: 0.48%, AMD: 0.48%, AMD: 0.48%, AMGN: 0.30%, AMGN: 0.30%, AMGN: 0.30%, AMGN: 0.30%, AMGN: 0.30%, AMGN: 0.30%, AMGN: 0.30%, AMP: 0.10%, AMT: 0.20%, AMT: 0.20%, AMT: 0.20%, AMT: 0.20%, AMT: 0.20%, AMT: 0.20%, AMT: 0.20%, AMT: 0.20%, AMZN: 4.00%, AMZN: 4.00%, AMZN: 4.00%, AMZN: 4.00%, AMZN: 4.00%, AMZN: 4.00%, AMZN: 4.00%, AMZN: 4.00%, AVGO: 2.50%, AVGO: 2.50%, AVGO: 2.50%, AVGO: 2.50%, AVGO: 2.50%, AVGO: 2.50%, AVGO: 2.50%, AVGO: 2.50%, AXP: 0.32%, AXP: 0.32%, AXP: 0.32%, AXP: 0.32%, AXP: 0.32%, AXP: 0.32%, AXP: 0.32%, AXP: 0.32%, BA: 0.32%, BA: 0.32%, BA: 0.32%, BA: 0.32%, BA: 0.32%, BA: 0.32%, BA: 0.32%, BA: 0.32%, BAC: 0.58%, BAC: 0.58%, BAC: 0.58%, BAC: 0.58%, BAC: 0.58%, BAC: 0.58%, BAC: 0.58%, BAC: 0.58%, BK: 0.13%, BKNG: 0.35%, BKR: 0.07%, BLK: 0.30%, BLK: 0.30%, BLK: 0.30%, BMY: 0.18%, BMY: 0.18%, BMY: 0.18%, BMY: 0.18%, BMY: 0.18%, BMY: 0.18%, BMY: 0.18%, BMY: 0.18%, BRK/B: 1.63%, BRK/B: 1.63%, BRK/B: 1.63%, BRK/B: 1.63%, BRK/B: 1.63%, BRK/B: 1.63%, BRK/B: 1.63%, BRK/B: 1.63%, C: 0.33%, C: 0.33%, C: 0.33%, C: 0.33%, C: 0.33%, C: 0.33%, C: 0.33%, C: 0.33%, CAT: 0.36%, CAT: 0.36%, CAT: 0.36%, CAT: 0.36%, CAT: 0.36%, CAT: 0.36%, CAT: 0.36%, CAT: 0.36%, CB: 0.19%, CB: 0.19%, CB: 0.19%, CB: 0.19%, CB: 0.19%, CB: 0.19%, CB: 0.19%, CB: 0.19%, CF: 0.03%, CINF: 0.04%, CL: 0.13%, CL: 0.13%, CL: 0.13%, CL: 0.13%, CL: 0.13%, CL: 0.13%, CL: 0.13%, CL: 0.13%, CMCSA: 0.24%, CMCSA: 0.24%, CMCSA: 0.24%, CMCSA: 0.24%, CMCSA: 0.24%, CMCSA: 0.24%, CMCSA: 0.24%, CMCSA: 0.24%, COP: 0.22%, COP: 0.22%, COP: 0.22%, COP: 0.22%, COP: 0.22%, COP: 0.22%, COP: 0.22%, COP: 0.22%, COST: 0.79%, COST: 0.79%, COST: 0.79%, COST: 0.79%, COST: 0.79%, COST: 0.79%, COST: 0.79%, CRM: 0.47%, CRM: 0.47%, CRM: 0.47%, CRM: 0.47%, CRM: 0.47%, CRM: 0.47%, CRM: 0.47%, CRM: 0.47%, CSCO: 0.51%, CSCO: 0.51%, CSCO: 0.51%, CSCO: 0.51%, CSCO: 0.51%, CSCO: 0.51%, CSCO: 0.51%, CSCO: 0.51%, CTSH: 0.07%, CVS: 0.15%, CVS: 0.15%, CVS: 0.15%, CVS: 0.15%, CVS: 0.15%, CVS: 0.15%, CVS: 0.15%, CVS: 0.15%, CVX: 0.54%, CVX: 0.54%, CVX: 0.54%, CVX: 0.54%, CVX: 0.54%, CVX: 0.54%, CVX: 0.54%, CVX: 0.54%, DE: 0.24%, DE: 0.24%, DE: 0.24%, DE: 0.24%, DE: 0.24%, DE: 0.24%, DE: 0.24%, DHI: 0.07%, DHR: 0.23%, DHR: 0.23%, DHR: 0.23%, DHR: 0.23%, DHR: 0.23%, DHR: 0.23%, DHR: 0.23%, DIS: 0.41%, DIS: 0.41%, DIS: 0.41%, DIS: 0.41%, DIS: 0.41%, DIS: 0.41%, DIS: 0.41%, DIS: 0.41%, DOV: 0.05%, DUK: 0.17%, DUK: 0.17%, DUK: 0.17%, DUK: 0.17%, DUK: 0.17%, DUK: 0.17%, DUK: 0.17%, DUK: 0.17%, EA: 0.06%, EBAY: 0.07%, EG: 0.03%, ELV: 0.12%, ELV: 0.12%, ELV: 0.12%, ELV: 0.12%, ELV: 0.12%, ELV: 0.12%, ELV: 0.12%, EMR: 0.15%, EMR: 0.15%, EMR: 0.15%, EMR: 0.15%, EMR: 0.15%, EMR: 0.15%, EMR: 0.15%, EMR: 0.15%, EOG: 0.12%, ETN: 0.28%, ETN: 0.28%, ETN: 0.28%, ETN: 0.28%, ETN: 0.28%, ETN: 0.28%, ETN: 0.28%, ETN: 0.28%, FANG: 0.05%, FDX: 0.09%, FDX: 0.09%, FDX: 0.09%, FDX: 0.09%, FDX: 0.09%, FDX: 0.09%, GE: 0.53%, GE: 0.53%, GE: 0.53%, GE: 0.53%, GE: 0.53%, GE: 0.53%, GE: 0.53%, GE: 0.53%, GEV: 0.29%, GILD: 0.25%, GILD: 0.25%, GILD: 0.25%, GILD: 0.25%, GILD: 0.25%, GILD: 0.25%, GILD: 0.25%, GILD: 0.25%, GOOG: 1.64%, GS: 0.41%, GS: 0.41%, GS: 0.41%, GS: 0.41%, GS: 0.41%, GS: 0.41%, GS: 0.41%, HD: 0.67%, HD: 0.67%, HD: 0.67%, HD: 0.67%, HD: 0.67%, HD: 0.67%, HD: 0.67%, HD: 0.67%, HIG: 0.07%, HON: 0.28%, HON: 0.28%, HON: 0.28%, HON: 0.28%, HON: 0.28%, HON: 0.28%, HON: 0.28%, HON: 0.28%, IBM: 0.50%, IBM: 0.50%, IBM: 0.50%, IBM: 0.50%, IBM: 0.50%, IBM: 0.50%, IBM: 0.50%, IBM: 0.50%, INTC: 0.19%, INTC: 0.19%, INTC: 0.19%, INTC: 0.19%, INTC: 0.19%, INTC: 0.19%, INTC: 0.19%, INTC: 0.19%, INTU: 0.39%, INTU: 0.39%, INTU: 0.39%, INTU: 0.39%, INTU: 0.39%, INTU: 0.39%, ISRG: 0.35%, ISRG: 0.35%, ISRG: 0.35%, ISRG: 0.35%, ISRG: 0.35%, ISRG: 0.35%, ISRG: 0.35%, JNJ: 0.74%, JNJ: 0.74%, JNJ: 0.74%, JNJ: 0.74%, JNJ: 0.74%, JNJ: 0.74%, JNJ: 0.74%, JNJ: 0.74%, JPM: 1.52%, JPM: 1.52%, JPM: 1.52%, JPM: 1.52%, JPM: 1.52%, JPM: 1.52%, JPM: 1.52%, JPM: 1.52%, KLAC: 0.23%, KO: 0.51%, KO: 0.51%, KO: 0.51%, KO: 0.51%, KO: 0.51%, KO: 0.51%, KO: 0.51%, KO: 0.51%, LEN: 0.05%, LIN: 0.41%, LIN: 0.41%, LIN: 0.41%, LIN: 0.41%, LIN: 0.41%, LIN: 0.41%, LIN: 0.41%, LIN: 0.41%, LLY: 1.14%, LLY: 1.14%, LLY: 1.14%, LLY: 1.14%, LLY: 1.14%, LLY: 1.14%, LLY: 1.14%, LLY: 1.14%, LMT: 0.18%, LMT: 0.18%, LMT: 0.18%, LMT: 0.18%, LMT: 0.18%, LMT: 0.18%, LMT: 0.18%, LOW: 0.23%, LOW: 0.23%, LOW: 0.23%, LOW: 0.23%, LOW: 0.23%, LOW: 0.23%, LOW: 0.23%, LRCX: 0.24%, MA: 0.84%, MA: 0.84%, MA: 0.84%, MA: 0.84%, MA: 0.84%, MA: 0.84%, MA: 0.84%, MA: 0.84%, MCD: 0.40%, MCD: 0.40%, MCD: 0.40%, MCD: 0.40%, MCD: 0.40%, MCD: 0.40%, MCD: 0.40%, MCD: 0.40%, MCK: 0.17%, MDLZ: 0.17%, MDLZ: 0.17%, MDLZ: 0.17%, MDLZ: 0.17%, MDLZ: 0.17%, MDLZ: 0.17%, MDLZ: 0.17%, MDLZ: 0.17%, MDT: 0.22%, MDT: 0.22%, MDT: 0.22%, MDT: 0.22%, MDT: 0.22%, MDT: 0.22%, MDT: 0.22%, MDT: 0.22%, MET: 0.08%, MET: 0.08%, MET: 0.08%, MET: 0.08%, MET: 0.08%, MET: 0.08%, MET: 0.08%, MET: 0.08%, META: 2.86%, META: 2.86%, META: 2.86%, META: 2.86%, META: 2.86%, META: 2.86%, META: 2.86%, META: 2.86%, MMM: 0.15%, MMM: 0.15%, MMM: 0.15%, MMM: 0.15%, MMM: 0.15%, MMM: 0.15%, MMM: 0.15%, MMM: 0.15%, MO: 0.18%, MO: 0.18%, MO: 0.18%, MO: 0.18%, MO: 0.18%, MO: 0.18%, MO: 0.18%, MO: 0.18%, MPWR: 0.06%, MRK: 0.38%, MRK: 0.38%, MRK: 0.38%, MRK: 0.38%, MRK: 0.38%, MRK: 0.38%, MRK: 0.38%, MRK: 0.38%, MS: 0.33%, MS: 0.33%, MS: 0.33%, MS: 0.33%, MS: 0.33%, MS: 0.33%, MS: 0.33%, MS: 0.33%, MSFT: 7.10%, MSFT: 7.10%, MSFT: 7.10%, MSFT: 7.10%, MSFT: 7.10%, MSFT: 7.10%, MSFT: 7.10%, MSFT: 7.10%, MTB: 0.06%, NEE: 0.29%, NEE: 0.29%, NEE: 0.29%, NEE: 0.29%, NEE: 0.29%, NEE: 0.29%, NEE: 0.29%, NEE: 0.29%, NFLX: 0.96%, NFLX: 0.96%, NFLX: 0.96%, NFLX: 0.96%, NFLX: 0.96%, NFLX: 0.96%, NKE: 0.16%, NKE: 0.16%, NKE: 0.16%, NKE: 0.16%, NKE: 0.16%, NKE: 0.16%, NKE: 0.16%, NKE: 0.16%, NOW: 0.37%, NOW: 0.37%, NOW: 0.37%, NOW: 0.37%, NOW: 0.37%, NTRS: 0.05%, NUE: 0.06%, NVDA: 7.88%, NVDA: 7.88%, NVDA: 7.88%, NVDA: 7.88%, NVDA: 7.88%, NVDA: 7.88%, NVDA: 7.88%, NVDA: 7.88%, ODFL: 0.06%, ORCL: 0.75%, ORCL: 0.75%, ORCL: 0.75%, ORCL: 0.75%, ORCL: 0.75%, ORCL: 0.75%, ORCL: 0.75%, ORCL: 0.75%, PAYC: 0.02%, PCAR: 0.09%, PEP: 0.37%, PEP: 0.37%, PEP: 0.37%, PEP: 0.37%, PEP: 0.37%, PEP: 0.37%, PEP: 0.37%, PEP: 0.37%, PFE: 0.26%, PFE: 0.26%, PFE: 0.26%, PFE: 0.26%, PFE: 0.26%, PFE: 0.26%, PFE: 0.26%, PFE: 0.26%, PG: 0.68%, PG: 0.68%, PG: 0.68%, PG: 0.68%, PG: 0.68%, PG: 0.68%, PG: 0.68%, PG: 0.68%, PGR: 0.27%, PHM: 0.04%, PLTR: 0.61%, PLTR: 0.61%, PLTR: 0.61%, PLTR: 0.61%, PLTR: 0.61%, PLTR: 0.61%, PLTR: 0.61%, PLTR: 0.61%, PM: 0.52%, PM: 0.52%, PM: 0.52%, PM: 0.52%, PM: 0.52%, PM: 0.52%, PM: 0.52%, PM: 0.52%, PNC: 0.15%, PYPL: 0.14%, PYPL: 0.14%, PYPL: 0.14%, PYPL: 0.14%, PYPL: 0.14%, PYPL: 0.14%, PYPL: 0.14%, PYPL: 0.14%, QCOM: 0.32%, QCOM: 0.32%, QCOM: 0.32%, QCOM: 0.32%, QCOM: 0.32%, QCOM: 0.32%, QCOM: 0.32%, QCOM: 0.32%, RJF: 0.05%, ROST: 0.08%, RTX: 0.38%, RTX: 0.38%, RTX: 0.38%, RTX: 0.38%, RTX: 0.38%, RTX: 0.38%, RTX: 0.38%, RTX: 0.38%, SBUX: 0.20%, SBUX: 0.20%, SBUX: 0.20%, SBUX: 0.20%, SBUX: 0.20%, SBUX: 0.20%, SBUX: 0.20%, SBUX: 0.20%, SCHW: 0.31%, SCHW: 0.31%, SCHW: 0.31%, SCHW: 0.31%, SCHW: 0.31%, SCHW: 0.31%, SCHW: 0.31%, SCHW: 0.31%, SNA: 0.03%, SO: 0.19%, SO: 0.19%, SO: 0.19%, SO: 0.19%, SO: 0.19%, SO: 0.19%, SO: 0.19%, SO: 0.19%, SPGI: 0.31%, SPGI: 0.31%, SPGI: 0.31%, SPGI: 0.31%, SPGI: 0.31%, SPGI: 0.31%, SPGI: 0.31%, STT: 0.06%, SYF: 0.05%, T: 0.36%, T: 0.36%, T: 0.36%, T: 0.36%, T: 0.36%, T: 0.36%, T: 0.36%, T: 0.36%, TGT: 0.09%, TGT: 0.09%, TGT: 0.09%, TGT: 0.09%, TGT: 0.09%, TGT: 0.09%, TGT: 0.09%, TJX: 0.26%, TJX: 0.26%, TJX: 0.26%, TJX: 0.26%, TJX: 0.26%, TJX: 0.26%, TJX: 0.26%, TJX: 0.26%, TMO: 0.29%, TMO: 0.29%, TMO: 0.29%, TMO: 0.29%, TMO: 0.29%, TMO: 0.29%, TMO: 0.29%, TRV: 0.11%, TSLA: 1.73%, TSLA: 1.73%, TSLA: 1.73%, TSLA: 1.73%, TSLA: 1.73%, TSLA: 1.73%, TSLA: 1.73%, TSLA: 1.73%, TXN: 0.37%, TXN: 0.37%, TXN: 0.37%, TXN: 0.37%, TXN: 0.37%, TXN: 0.37%, TXN: 0.37%, TXN: 0.37%, UBER: 0.35%, UBER: 0.35%, UBER: 0.35%, UBER: 0.35%, UBER: 0.35%, UBER: 0.35%, UBER: 0.35%, UBER: 0.35%, UNH: 0.48%, UNH: 0.48%, UNH: 0.48%, UNH: 0.48%, UNH: 0.48%, UNH: 0.48%, UNH: 0.48%, UNH: 0.48%, UNP: 0.25%, UNP: 0.25%, UNP: 0.25%, UNP: 0.25%, UNP: 0.25%, UNP: 0.25%, UNP: 0.25%, UNP: 0.25%, UPS: 0.14%, UPS: 0.14%, UPS: 0.14%, UPS: 0.14%, UPS: 0.14%, UPS: 0.14%, UPS: 0.14%, UPS: 0.14%, USB: 0.13%, USB: 0.13%, USB: 0.13%, USB: 0.13%, USB: 0.13%, USB: 0.13%, USB: 0.13%, USB: 0.13%, V: 1.12%, V: 1.12%, V: 1.12%, V: 1.12%, V: 1.12%, V: 1.12%, V: 1.12%, V: 1.12%, VZ: 0.32%, VZ: 0.32%, VZ: 0.32%, VZ: 0.32%, VZ: 0.32%, VZ: 0.32%, VZ: 0.32%, VZ: 0.32%, WFC: 0.49%, WFC: 0.49%, WFC: 0.49%, WFC: 0.49%, WFC: 0.49%, WFC: 0.49%, WFC: 0.49%, WFC: 0.49%, WM: 0.16%, WM: 0.16%, WM: 0.16%, WM: 0.16%, WM: 0.16%, WM: 0.16%, WM: 0.16%, WM: 0.16%, WMT: 0.77%, WMT: 0.77%, WMT: 0.77%, WMT: 0.77%, WMT: 0.77%, WMT: 0.77%, WMT: 0.77%, WMT: 0.77%, WSM: 0.04%, XOM: 0.87%, XOM: 0.87%, XOM: 0.87%, XOM: 0.87%, XOM: 0.87%, XOM: 0.87%, XOM: 0.87%, XOM: 0.87%</t>
  </si>
  <si>
    <t>(NVDA, 9.21%), (MSFT, 8.26%), (AAPL, 6.94%)</t>
  </si>
  <si>
    <t>AAPL: 5.91%, ABBV: 0.63%, ABT: 0.40%, ACN: 0.33%, ADBE: 0.29%, AMAT: 0.29%, AMD: 0.48%, AMGN: 0.30%, AMT: 0.20%, AMZN: 4.00%, AVGO: 2.50%, AXP: 0.32%, BA: 0.32%, BAC: 0.58%, BKNG: 0.35%, BLK: 0.30%, BMY: 0.18%, BRK/B: 1.63%, C: 0.33%, CAT: 0.36%, CB: 0.19%, CL: 0.13%, CMCSA: 0.24%, COP: 0.22%, COST: 0.79%, CRM: 0.47%, CSCO: 0.51%, CVS: 0.15%, CVX: 0.54%, DE: 0.24%, DHR: 0.23%, DIS: 0.41%, DUK: 0.17%, ELV: 0.12%, EMR: 0.15%, ETN: 0.28%, FDX: 0.09%, GE: 0.53%, GILD: 0.25%, GOOG: 1.64%, GS: 0.41%, HD: 0.67%, HON: 0.28%, IBM: 0.50%, INTC: 0.19%, INTU: 0.39%, ISRG: 0.35%, JNJ: 0.74%, JPM: 1.52%, KO: 0.51%, LIN: 0.41%, LLY: 1.14%, LMT: 0.18%, LOW: 0.23%, MA: 0.84%, MCD: 0.40%, MDLZ: 0.17%, MDT: 0.22%, MET: 0.08%, META: 2.86%, MMM: 0.15%, MO: 0.18%, MRK: 0.38%, MS: 0.33%, MSFT: 7.10%, NEE: 0.29%, NFLX: 0.96%, NKE: 0.16%, NOW: 0.37%, NVDA: 7.88%, ORCL: 0.75%, PEP: 0.37%, PFE: 0.26%, PG: 0.68%, PLTR: 0.61%, PM: 0.52%, PYPL: 0.14%, QCOM: 0.32%, RTX: 0.38%, SBUX: 0.20%, SCHW: 0.31%, SO: 0.19%, SPGI: 0.31%, T: 0.36%, TGT: 0.09%, TJX: 0.26%, TMO: 0.29%, TSLA: 1.73%, TXN: 0.37%, UBER: 0.35%, UNH: 0.48%, UNP: 0.25%, UPS: 0.14%, USB: 0.13%, V: 1.12%, VZ: 0.32%, WFC: 0.49%, WM: 0.16%, WMT: 0.77%, XOM: 0.87%</t>
  </si>
  <si>
    <t>JPM (2.11%)</t>
  </si>
  <si>
    <t>(NVDA, 8.72%), (MSFT, 7.82%), (AAPL, 6.57%)</t>
  </si>
  <si>
    <t>V (1.76%)</t>
  </si>
  <si>
    <t>(NVDA, 8.70%), (MSFT, 7.81%), (AAPL, 6.56%)</t>
  </si>
  <si>
    <t>(NVDA, 9.63%), (MSFT, 8.64%), (AAPL, 7.26%)</t>
  </si>
  <si>
    <t>CSCO (2.23%)</t>
  </si>
  <si>
    <t>JPM (2.19%)</t>
  </si>
  <si>
    <t>(NVDA, 9.16%), (MSFT, 8.22%), (AAPL, 6.91%)</t>
  </si>
  <si>
    <t>LIN (2.07%)</t>
  </si>
  <si>
    <t>(NVDA, 8.55%), (MSFT, 7.67%), (AAPL, 6.45%)</t>
  </si>
  <si>
    <t>JPM (1.98%)</t>
  </si>
  <si>
    <t>V (1.75%)</t>
  </si>
  <si>
    <t>AAPL: 5.91%, ABT: 0.40%, ACN: 0.33%, ADM: 0.05%, ADP: 0.23%, AFL: 0.09%, ALL: 0.10%, AMAT: 0.29%, AMP: 0.10%, AXP: 0.32%, BK: 0.13%, BKNG: 0.35%, BKR: 0.07%, BLK: 0.30%, CB: 0.19%, CF: 0.03%, CINF: 0.04%, COST: 0.79%, CRM: 0.47%, CSCO: 0.51%, CTSH: 0.07%, DHI: 0.07%, DOV: 0.05%, EA: 0.06%, EBAY: 0.07%, EG: 0.03%, ELV: 0.12%, EOG: 0.12%, FANG: 0.05%, GE: 0.53%, GEV: 0.29%, GOOGL: 2.02%, HIG: 0.07%, JNJ: 0.74%, JPM: 1.52%, KLAC: 0.23%, LEN: 0.05%, LRCX: 0.24%, MA: 0.84%, MCK: 0.17%, META: 2.86%, MPWR: 0.06%, MSFT: 7.10%, MTB: 0.06%, NKE: 0.16%, NTRS: 0.05%, NUE: 0.06%, NVDA: 7.88%, ODFL: 0.06%, PAYC: 0.02%, PCAR: 0.09%, PGR: 0.27%, PHM: 0.04%, PNC: 0.15%, QCOM: 0.32%, RJF: 0.05%, ROST: 0.08%, SNA: 0.03%, STT: 0.06%, SYF: 0.05%, TRV: 0.11%, V: 1.12%, WSM: 0.04%, XOM: 0.87%</t>
  </si>
  <si>
    <t>ADP (1.94%)</t>
  </si>
  <si>
    <t>CB (1.86%)</t>
  </si>
  <si>
    <t>(NVDA, 9.14%), (MSFT, 8.20%), (AAPL, 6.89%)</t>
  </si>
  <si>
    <t>(NVDA, 8.94%), (MSFT, 8.02%), (AAPL, 6.75%)</t>
  </si>
  <si>
    <t>(AAPL, 0.00%), (PEP, 0.00%), (ORCL, 0.00%), (ORCL, 0.00%), (ORCL, 0.00%), (ORCL, 0.00%), (ORCL, 0.00%), (ORCL, 0.00%), (PAYC, 0.00%), (PCAR, 0.00%), (PEP, 0.00%), (PEP, 0.00%), (ORCL, 0.00%), (PEP, 0.00%), (PEP, 0.00%), (PEP, 0.00%), (PEP, 0.00%), (PEP, 0.00%), (PFE, 0.00%), (PFE, 0.00%), (PFE, 0.00%), (PFE, 0.00%), (ORCL, 0.00%), (ODFL, 0.00%), (PFE, 0.00%), (NOW, 0.00%), (NEE, 0.00%), (NEE, 0.00%), (NEE, 0.00%), (NEE, 0.00%), (NFLX, 0.00%), (NKE, 0.00%), (NOW, 0.00%), (NOW, 0.00%), (NOW, 0.00%), (NOW, 0.00%), (NVDA, 0.00%), (NTRS, 0.00%), (NUE, 0.00%), (NVDA, 0.00%), (NVDA, 0.00%), (NVDA, 0.00%), (NVDA, 0.00%), (NVDA, 0.00%), (NVDA, 0.00%), (NVDA, 0.00%), (PFE, 0.00%), (PFE, 0.00%), (LOW, 0.00%), (PYPL, 0.00%), (PM, 0.00%), (PM, 0.00%), (PNC, 0.00%), (PYPL, 0.00%), (PYPL, 0.00%), (PYPL, 0.00%), (PYPL, 0.00%), (PYPL, 0.00%), (PYPL, 0.00%), (PYPL, 0.00%), (PM, 0.00%), (QCOM, 0.00%), (QCOM, 0.00%), (QCOM, 0.00%), (QCOM, 0.00%), (QCOM, 0.00%), (QCOM, 0.00%), (QCOM, 0.00%), (QCOM, 0.00%), (RJF, 0.00%), (PM, 0.00%), (PM, 0.00%), (PFE, 0.00%), (PHM, 0.00%), (PG, 0.00%), (PG, 0.00%), (PG, 0.00%), (PG, 0.00%), (PG, 0.00%), (PG, 0.00%), (PG, 0.00%), (PG, 0.00%), (PGR, 0.00%), (PLTR, 0.00%), (PM, 0.00%), (PLTR, 0.00%), (PLTR, 0.00%), (PLTR, 0.00%), (PLTR, 0.00%), (PLTR, 0.00%), (PLTR, 0.00%), (PLTR, 0.00%), (PM, 0.00%), (PM, 0.00%), (NEE, 0.00%), (NEE, 0.00%), (NEE, 0.00%), (MDT, 0.00%), (MDLZ, 0.00%), (MDLZ, 0.00%), (MDLZ, 0.00%), (MDLZ, 0.00%), (MDLZ, 0.00%), (MDLZ, 0.00%), (MDT, 0.00%), (MDT, 0.00%), (MDT, 0.00%), (MDT, 0.00%), (MDLZ, 0.00%), (MDT, 0.00%), (MDT, 0.00%), (MDT, 0.00%), (MET, 0.00%), (META, 0.00%), (META, 0.00%), (META, 0.00%), (META, 0.00%), (META, 0.00%), (MDLZ, 0.00%), (MCK, 0.00%), (NEE, 0.00%), (MA, 0.00%), (LOW, 0.00%), (LOW, 0.00%), (LOW, 0.00%), (LOW, 0.00%), (LRCX, 0.00%), (MA, 0.00%), (MA, 0.00%), (MA, 0.00%), (MA, 0.00%), (MA, 0.00%), (MCD, 0.00%), (MA, 0.00%), (MA, 0.00%), (MCD, 0.00%), (MCD, 0.00%), (MCD, 0.00%), (MCD, 0.00%), (MCD, 0.00%), (MCD, 0.00%), (MCD, 0.00%), (META, 0.00%), (META, 0.00%), (META, 0.00%), (MS, 0.00%), (MRK, 0.00%), (MRK, 0.00%), (MS, 0.00%), (MS, 0.00%), (MS, 0.00%), (MS, 0.00%), (MS, 0.00%), (MS, 0.00%), (MS, 0.00%), (MSFT, 0.00%), (MLI, 0.00%), (MSFT, 0.00%), (MSFT, 0.00%), (MSFT, 0.00%), (MSFT, 0.00%), (MSFT, 0.00%), (MSFT, 0.00%), (MSFT, 0.00%), (MTB, 0.00%), (MTG, 0.00%), (MRK, 0.00%), (MRK, 0.00%), (MRK, 0.00%), (MRK, 0.00%), (MMM, 0.00%), (MMM, 0.00%), (MMM, 0.00%), (MMM, 0.00%), (MMM, 0.00%), (MMM, 0.00%), (MMM, 0.00%), (MMM, 0.00%), (MO, 0.00%), (MO, 0.00%), (MO, 0.00%), (MO, 0.00%), (MO, 0.00%), (MO, 0.00%), (MO, 0.00%), (MO, 0.00%), (MPWR, 0.00%), (MRK, 0.00%), (MRK, 0.00%), (ROST, 0.00%), (RTX, 0.00%), (RTX, 0.00%), (V, 0.00%), (UPS, 0.00%), (USB, 0.00%), (USB, 0.00%), (USB, 0.00%), (USB, 0.00%), (USB, 0.00%), (USB, 0.00%), (USB, 0.00%), (USB, 0.00%), (V, 0.00%), (UPS, 0.00%), (V, 0.00%), (V, 0.00%), (V, 0.00%), (V, 0.00%), (V, 0.00%), (V, 0.00%), (VZ, 0.00%), (VZ, 0.00%), (VZ, 0.00%), (UPS, 0.00%), (UPS, 0.00%), (UBER, 0.00%), (UNP, 0.00%), (UNH, 0.00%), (UNH, 0.00%), (UNH, 0.00%), (UNH, 0.00%), (UNH, 0.00%), (UNH, 0.00%), (UNH, 0.00%), (UNH, 0.00%), (UNM, 0.00%), (UNP, 0.00%), (UPS, 0.00%), (UNP, 0.00%), (UNP, 0.00%), (UNP, 0.00%), (UNP, 0.00%), (UNP, 0.00%), (UNP, 0.00%), (UPS, 0.00%), (UPS, 0.00%), (UPS, 0.00%), (VZ, 0.00%), (VZ, 0.00%), (VZ, 0.00%), (nan, 0.00%), (XOM, 0.00%), (XOM, 0.00%), (XOM, 0.00%), (XOM, 0.00%), (XOM, 0.00%), (nan, 0.00%), (nan, 0.00%), (nan, 0.00%), (nan, 0.00%), (nan, 0.00%), (VZ, 0.00%), (nan, 0.00%), (nan, 0.00%), (nan, 0.00%), (nan, 0.00%), (nan, 0.00%), (nan, 0.00%), (nan, 0.00%), (nan, 0.00%), (nan, 0.00%), (XOM, 0.00%), (XOM, 0.00%), (XOM, 0.00%), (WTFC, 0.00%), (VZ, 0.00%), (WFC, 0.00%), (WFC, 0.00%), (WFC, 0.00%), (WFC, 0.00%), (WFC, 0.00%), (WFC, 0.00%), (WFC, 0.00%), (WFC, 0.00%), (WM, 0.00%), (WMT, 0.00%), (WMT, 0.00%), (WMT, 0.00%), (WMT, 0.00%), (WMT, 0.00%), (WMT, 0.00%), (WMT, 0.00%), (WMT, 0.00%), (WSM, 0.00%), (UBER, 0.00%), (UBER, 0.00%), (RTX, 0.00%), (SPGI, 0.00%), (SO, 0.00%), (SO, 0.00%), (SO, 0.00%), (SO, 0.00%), (SO, 0.00%), (SO, 0.00%), (SO, 0.00%), (SPGI, 0.00%), (SPGI, 0.00%), (SPGI, 0.00%), (SNA, 0.00%), (SPGI, 0.00%), (SPGI, 0.00%), (SPGI, 0.00%), (STT, 0.00%), (SYF, 0.00%), (T, 0.00%), (T, 0.00%), (T, 0.00%), (T, 0.00%), (SO, 0.00%), (SLM, 0.00%), (UBER, 0.00%), (SBUX, 0.00%), (RTX, 0.00%), (RTX, 0.00%), (RTX, 0.00%), (RTX, 0.00%), (RTX, 0.00%), (SBUX, 0.00%), (SBUX, 0.00%), (SBUX, 0.00%), (SBUX, 0.00%), (SBUX, 0.00%), (SCHW, 0.00%), (SBUX, 0.00%), (SBUX, 0.00%), (SCHW, 0.00%), (SCHW, 0.00%), (SCHW, 0.00%), (SCHW, 0.00%), (SCHW, 0.00%), (SCHW, 0.00%), (SCHW, 0.00%), (T, 0.00%), (T, 0.00%), (T, 0.00%), (TXN, 0.00%), (TSLA, 0.00%), (TSLA, 0.00%), (TSLA, 0.00%), (TSLA, 0.00%), (TSLA, 0.00%), (TSLA, 0.00%), (TSLA, 0.00%), (TSLA, 0.00%), (TXN, 0.00%), (TXN, 0.00%), (T, 0.00%), (TXN, 0.00%), (TXN, 0.00%), (TXN, 0.00%), (TXN, 0.00%), (TXN, 0.00%), (UBER, 0.00%), (UBER, 0.00%), (UBER, 0.00%), (UBER, 0.00%), (TRV, 0.00%), (TMO, 0.00%), (TMO, 0.00%), (TMO, 0.00%), (TGT, 0.00%), (TGT, 0.00%), (TGT, 0.00%), (TGT, 0.00%), (TGT, 0.00%), (TGT, 0.00%), (TGT, 0.00%), (TJX, 0.00%), (TJX, 0.00%), (TJX, 0.00%), (TJX, 0.00%), (TJX, 0.00%), (TJX, 0.00%), (TJX, 0.00%), (TJX, 0.00%), (TMO, 0.00%), (TMO, 0.00%), (TMO, 0.00%), (TMO, 0.00%), (LOW, 0.00%), (LOW, 0.00%), (AAPL, 0.00%), (C, 0.00%), (BMY, 0.00%), (BRK/B, 0.00%), (BRK/B, 0.00%), (BRK/B, 0.00%), (BRK/B, 0.00%), (BRK/B, 0.00%), (BRK/B, 0.00%), (BRK/B, 0.00%), (BRK/B, 0.00%), (C, 0.00%), (BMY, 0.00%), (C, 0.00%), (C, 0.00%), (C, 0.00%), (C, 0.00%), (C, 0.00%), (C, 0.00%), (CAT, 0.00%), (CAT, 0.00%), (CAT, 0.00%), (BMY, 0.00%), (BMY, 0.00%), (CAT, 0.00%), (BAC, 0.00%), (BA, 0.00%), (BA, 0.00%), (BA, 0.00%), (BAC, 0.00%), (BAC, 0.00%), (BAC, 0.00%), (BAC, 0.00%), (BAC, 0.00%), (BAC, 0.00%), (BAC, 0.00%), (BMY, 0.00%), (BK, 0.00%), (BKNG, 0.00%), (BKR, 0.00%), (BLK, 0.00%), (BLK, 0.00%), (BLK, 0.00%), (BMY, 0.00%), (BMY, 0.00%), (BMY, 0.00%), (CAT, 0.00%), (CAT, 0.00%), (LNC, 0.00%), (COST, 0.00%), (COP, 0.00%), (COP, 0.00%), (COP, 0.00%), (COP, 0.00%), (COST, 0.00%), (COST, 0.00%), (COST, 0.00%), (COST, 0.00%), (COST, 0.00%), (COST, 0.00%), (COP, 0.00%), (CRBG, 0.00%), (CRM, 0.00%), (CRM, 0.00%), (CRM, 0.00%), (CRM, 0.00%), (CRM, 0.00%), (CRM, 0.00%), (CRM, 0.00%), (CRM, 0.00%), (COP, 0.00%), (COP, 0.00%), (CAT, 0.00%), (CL, 0.00%), (CAT, 0.00%), (CB, 0.00%), (CF, 0.00%), (CINF, 0.00%), (CL, 0.00%), (CL, 0.00%), (CL, 0.00%), (CL, 0.00%), (CL, 0.00%), (CL, 0.00%), (COP, 0.00%), (CL, 0.00%), (CMCSA, 0.00%), (CMCSA, 0.00%), (CMCSA, 0.00%), (CMCSA, 0.00%), (CMCSA, 0.00%), (CMCSA, 0.00%), (CMCSA, 0.00%), (CMCSA, 0.00%), (BA, 0.00%), (BA, 0.00%), (BA, 0.00%), (ADBE, 0.00%), (ACN, 0.00%), (ACN, 0.00%), (ACN, 0.00%), (ACN, 0.00%), (ACN, 0.00%), (ACN, 0.00%), (ACN, 0.00%), (ADBE, 0.00%), (ADBE, 0.00%), (ADBE, 0.00%), (ACM, 0.00%), (ADBE, 0.00%), (ADBE, 0.00%), (ADBE, 0.00%), (ADM, 0.00%), (ADP, 0.00%), (AFL, 0.00%), (ALL, 0.00%), (AMAT, 0.00%), (AMAT, 0.00%), (ACN, 0.00%), (ABT, 0.00%), (BA, 0.00%), (ABBV, 0.00%), (AAPL, 0.00%), (AAPL, 0.00%), (AAPL, 0.00%), (AAPL, 0.00%), (AAPL, 0.00%), (AAPL, 0.00%), (ABBV, 0.00%), (ABBV, 0.00%), (ABBV, 0.00%), (ABBV, 0.00%), (ABT, 0.00%), (ABBV, 0.00%), (ABBV, 0.00%), (ABBV, 0.00%), (ABT, 0.00%), (ABT, 0.00%), (ABT, 0.00%), (ABT, 0.00%), (ABT, 0.00%), (ABT, 0.00%), (AMAT, 0.00%), (AMAT, 0.00%), (AMAT, 0.00%), (AVGO, 0.00%), (AMZN, 0.00%), (AMZN, 0.00%), (AMZN, 0.00%), (AMZN, 0.00%), (AVGO, 0.00%), (AVGO, 0.00%), (AVGO, 0.00%), (AVGO, 0.00%), (AVGO, 0.00%), (AVGO, 0.00%), (AMAT, 0.00%), (AVGO, 0.00%), (AXP, 0.00%), (AXP, 0.00%), (AXP, 0.00%), (AXP, 0.00%), (AXP, 0.00%), (AXP, 0.00%), (AXP, 0.00%), (BA, 0.00%), (AMZN, 0.00%), (AMZN, 0.00%), (AMZN, 0.00%), (AMZN, 0.00%), (AMAT, 0.00%), (AMAT, 0.00%), (AMD, 0.00%), (AMD, 0.00%), (AMD, 0.00%), (AMD, 0.00%), (AMD, 0.00%), (AMD, 0.00%), (AMD, 0.00%), (AMD, 0.00%), (AMGN, 0.00%), (AMGN, 0.00%), (AMGN, 0.00%), (AMGN, 0.00%), (AMGN, 0.00%), (AMGN, 0.00%), (AMGN, 0.00%), (AMP, 0.00%), (AMT, 0.00%), (CSCO, 0.00%), (CSCO, 0.00%), (CSCO, 0.00%), (INTC, 0.00%), (IBM, 0.00%), (IBM, 0.00%), (IBM, 0.00%), (IBM, 0.00%), (IBM, 0.00%), (IBM, 0.00%), (IBM, 0.00%), (IBM, 0.00%), (INTC, 0.00%), (INTC, 0.00%), (HON, 0.00%), (INTC, 0.00%), (INTC, 0.00%), (INTC, 0.00%), (INTC, 0.00%), (INTC, 0.00%), (INTU, 0.00%), (ISRG, 0.00%), (ISRG, 0.00%), (ISRG, 0.00%), (HON, 0.00%), (HON, 0.00%), (GILD, 0.00%), (HD, 0.00%), (GS, 0.00%), (GS, 0.00%), (GS, 0.00%), (GS, 0.00%), (GS, 0.00%), (GS, 0.00%), (GS, 0.00%), (HD, 0.00%), (HD, 0.00%), (HD, 0.00%), (HON, 0.00%), (HD, 0.00%), (HD, 0.00%), (HD, 0.00%), (HD, 0.00%), (HIG, 0.00%), (HON, 0.00%), (HON, 0.00%), (HON, 0.00%), (HON, 0.00%), (ISRG, 0.00%), (ISRG, 0.00%), (ISRG, 0.00%), (LLY, 0.00%), (KO, 0.00%), (KO, 0.00%), (KO, 0.00%), (LEN, 0.00%), (LIN, 0.00%), (LLY, 0.00%), (LLY, 0.00%), (LLY, 0.00%), (LLY, 0.00%), (LLY, 0.00%), (ISRG, 0.00%), (LLY, 0.00%), (LLY, 0.00%), (LMT, 0.00%), (LMT, 0.00%), (LMT, 0.00%), (LMT, 0.00%), (LMT, 0.00%), (LMT, 0.00%), (LMT, 0.00%), (KO, 0.00%), (KO, 0.00%), (KO, 0.00%), (KO, 0.00%), (JNJ, 0.00%), (JNJ, 0.00%), (JNJ, 0.00%), (JNJ, 0.00%), (JNJ, 0.00%), (JNJ, 0.00%), (JNJ, 0.00%), (JNJ, 0.00%), (JPM, 0.00%), (JPM, 0.00%), (JPM, 0.00%), (JPM, 0.00%), (JPM, 0.00%), (JPM, 0.00%), (JPM, 0.00%), (JPM, 0.00%), (JXN, 0.00%), (KLAC, 0.00%), (KO, 0.00%), (GOOG, 0.00%), (GILD, 0.00%), (CSCO, 0.00%), (DHR, 0.00%), (DE, 0.00%), (DE, 0.00%), (DE, 0.00%), (DE, 0.00%), (DE, 0.00%), (DHI, 0.00%), (DHR, 0.00%), (DHR, 0.00%), (DHR, 0.00%), (DHR, 0.00%), (DE, 0.00%), (DHR, 0.00%), (DHR, 0.00%), (DIS, 0.00%), (DIS, 0.00%), (DIS, 0.00%), (DIS, 0.00%), (DIS, 0.00%), (DIS, 0.00%), (DIS, 0.00%), (DE, 0.00%), (CVX, 0.00%), (GILD, 0.00%), (CVS, 0.00%), (CSCO, 0.00%), (CSCO, 0.00%), (CSCO, 0.00%), (CSCO, 0.00%), (CSL, 0.00%), (CTSH, 0.00%), (CVS, 0.00%), (CVS, 0.00%), (CVS, 0.00%), (CVS, 0.00%), (CVX, 0.00%), (CVS, 0.00%), (CVS, 0.00%), (CVS, 0.00%), (CVX, 0.00%), (CVX, 0.00%), (CVX, 0.00%), (CVX, 0.00%), (CVX, 0.00%), (CVX, 0.00%), (DIS, 0.00%), (DOV, 0.00%), (DUK, 0.00%), (GE, 0.00%), (FDX, 0.00%), (FDX, 0.00%), (FDX, 0.00%), (FDX, 0.00%), (FDX, 0.00%), (FDX, 0.00%), (GE, 0.00%), (GE, 0.00%), (GE, 0.00%), (GE, 0.00%), (EA, 0.00%), (GE, 0.00%), (GE, 0.00%), (GE, 0.00%), (GEV, 0.00%), (GILD, 0.00%), (GILD, 0.00%), (GILD, 0.00%), (GILD, 0.00%), (GILD, 0.00%), (FANG, 0.00%), (EWBC, 0.00%), (ETN, 0.00%), (ETN, 0.00%), (EBAY, 0.00%), (EG, 0.00%), (ELV, 0.00%), (EMR, 0.00%), (EMR, 0.00%), (EMR, 0.00%), (EMR, 0.00%), (EMR, 0.00%), (EMR, 0.00%), (EMR, 0.00%), (EMR, 0.00%), (EOG, 0.00%), (EQH, 0.00%), (ETN, 0.00%), (ETN, 0.00%), (ETN, 0.00%), (ETN, 0.00%), (ETN, 0.00%), (ETN, 0.00%), (nan, 0.00%)</t>
  </si>
  <si>
    <t>AAPL: 5.91%, AAPL: 5.91%, AAPL: 5.91%, AAPL: 5.91%, AAPL: 5.91%, AAPL: 5.91%, AAPL: 5.91%, AAPL: 5.91%, ABBV: 0.63%, ABBV: 0.63%, ABBV: 0.63%, ABBV: 0.63%, ABBV: 0.63%, ABBV: 0.63%, ABBV: 0.63%, ABBV: 0.63%, ABT: 0.40%, ABT: 0.40%, ABT: 0.40%, ABT: 0.40%, ABT: 0.40%, ABT: 0.40%, ABT: 0.40%, ABT: 0.40%, ACN: 0.33%, ACN: 0.33%, ACN: 0.33%, ACN: 0.33%, ACN: 0.33%, ACN: 0.33%, ACN: 0.33%, ACN: 0.33%, ADBE: 0.29%, ADBE: 0.29%, ADBE: 0.29%, ADBE: 0.29%, ADBE: 0.29%, ADBE: 0.29%, ADBE: 0.29%, ADM: 0.05%, ADP: 0.23%, AFL: 0.09%, ALL: 0.10%, AMAT: 0.29%, AMAT: 0.29%, AMAT: 0.29%, AMAT: 0.29%, AMAT: 0.29%, AMAT: 0.29%, AMAT: 0.29%, AMAT: 0.29%, AMD: 0.48%, AMD: 0.48%, AMD: 0.48%, AMD: 0.48%, AMD: 0.48%, AMD: 0.48%, AMD: 0.48%, AMD: 0.48%, AMGN: 0.30%, AMGN: 0.30%, AMGN: 0.30%, AMGN: 0.30%, AMGN: 0.30%, AMGN: 0.30%, AMGN: 0.30%, AMP: 0.10%, AMT: 0.20%, AMZN: 4.00%, AMZN: 4.00%, AMZN: 4.00%, AMZN: 4.00%, AMZN: 4.00%, AMZN: 4.00%, AMZN: 4.00%, AMZN: 4.00%, AVGO: 2.50%, AVGO: 2.50%, AVGO: 2.50%, AVGO: 2.50%, AVGO: 2.50%, AVGO: 2.50%, AVGO: 2.50%, AVGO: 2.50%, AXP: 0.32%, AXP: 0.32%, AXP: 0.32%, AXP: 0.32%, AXP: 0.32%, AXP: 0.32%, AXP: 0.32%, BA: 0.32%, BA: 0.32%, BA: 0.32%, BA: 0.32%, BA: 0.32%, BA: 0.32%, BA: 0.32%, BA: 0.32%, BAC: 0.58%, BAC: 0.58%, BAC: 0.58%, BAC: 0.58%, BAC: 0.58%, BAC: 0.58%, BAC: 0.58%, BAC: 0.58%, BK: 0.13%, BKNG: 0.35%, BKR: 0.07%, BLK: 0.30%, BLK: 0.30%, BLK: 0.30%, BMY: 0.18%, BMY: 0.18%, BMY: 0.18%, BMY: 0.18%, BMY: 0.18%, BMY: 0.18%, BMY: 0.18%, BMY: 0.18%, BRK/B: 1.63%, BRK/B: 1.63%, BRK/B: 1.63%, BRK/B: 1.63%, BRK/B: 1.63%, BRK/B: 1.63%, BRK/B: 1.63%, BRK/B: 1.63%, C: 0.33%, C: 0.33%, C: 0.33%, C: 0.33%, C: 0.33%, C: 0.33%, C: 0.33%, C: 0.33%, CAT: 0.36%, CAT: 0.36%, CAT: 0.36%, CAT: 0.36%, CAT: 0.36%, CAT: 0.36%, CAT: 0.36%, CAT: 0.36%, CB: 0.19%, CF: 0.03%, CINF: 0.04%, CL: 0.13%, CL: 0.13%, CL: 0.13%, CL: 0.13%, CL: 0.13%, CL: 0.13%, CL: 0.13%, CL: 0.13%, CMCSA: 0.24%, CMCSA: 0.24%, CMCSA: 0.24%, CMCSA: 0.24%, CMCSA: 0.24%, CMCSA: 0.24%, CMCSA: 0.24%, CMCSA: 0.24%, COP: 0.22%, COP: 0.22%, COP: 0.22%, COP: 0.22%, COP: 0.22%, COP: 0.22%, COP: 0.22%, COP: 0.22%, COST: 0.79%, COST: 0.79%, COST: 0.79%, COST: 0.79%, COST: 0.79%, COST: 0.79%, COST: 0.79%, CRM: 0.47%, CRM: 0.47%, CRM: 0.47%, CRM: 0.47%, CRM: 0.47%, CRM: 0.47%, CRM: 0.47%, CRM: 0.47%, CSCO: 0.51%, CSCO: 0.51%, CSCO: 0.51%, CSCO: 0.51%, CSCO: 0.51%, CSCO: 0.51%, CSCO: 0.51%, CSCO: 0.51%, CTSH: 0.07%, CVS: 0.15%, CVS: 0.15%, CVS: 0.15%, CVS: 0.15%, CVS: 0.15%, CVS: 0.15%, CVS: 0.15%, CVS: 0.15%, CVX: 0.54%, CVX: 0.54%, CVX: 0.54%, CVX: 0.54%, CVX: 0.54%, CVX: 0.54%, CVX: 0.54%, CVX: 0.54%, DE: 0.24%, DE: 0.24%, DE: 0.24%, DE: 0.24%, DE: 0.24%, DE: 0.24%, DE: 0.24%, DHI: 0.07%, DHR: 0.23%, DHR: 0.23%, DHR: 0.23%, DHR: 0.23%, DHR: 0.23%, DHR: 0.23%, DHR: 0.23%, DIS: 0.41%, DIS: 0.41%, DIS: 0.41%, DIS: 0.41%, DIS: 0.41%, DIS: 0.41%, DIS: 0.41%, DIS: 0.41%, DOV: 0.05%, DUK: 0.17%, EA: 0.06%, EBAY: 0.07%, EG: 0.03%, ELV: 0.12%, EMR: 0.15%, EMR: 0.15%, EMR: 0.15%, EMR: 0.15%, EMR: 0.15%, EMR: 0.15%, EMR: 0.15%, EMR: 0.15%, EOG: 0.12%, ETN: 0.28%, ETN: 0.28%, ETN: 0.28%, ETN: 0.28%, ETN: 0.28%, ETN: 0.28%, ETN: 0.28%, ETN: 0.28%, FANG: 0.05%, FDX: 0.09%, FDX: 0.09%, FDX: 0.09%, FDX: 0.09%, FDX: 0.09%, FDX: 0.09%, GE: 0.53%, GE: 0.53%, GE: 0.53%, GE: 0.53%, GE: 0.53%, GE: 0.53%, GE: 0.53%, GE: 0.53%, GEV: 0.29%, GILD: 0.25%, GILD: 0.25%, GILD: 0.25%, GILD: 0.25%, GILD: 0.25%, GILD: 0.25%, GILD: 0.25%, GILD: 0.25%, GOOG: 1.64%, GS: 0.41%, GS: 0.41%, GS: 0.41%, GS: 0.41%, GS: 0.41%, GS: 0.41%, GS: 0.41%, HD: 0.67%, HD: 0.67%, HD: 0.67%, HD: 0.67%, HD: 0.67%, HD: 0.67%, HD: 0.67%, HD: 0.67%, HIG: 0.07%, HON: 0.28%, HON: 0.28%, HON: 0.28%, HON: 0.28%, HON: 0.28%, HON: 0.28%, HON: 0.28%, HON: 0.28%, IBM: 0.50%, IBM: 0.50%, IBM: 0.50%, IBM: 0.50%, IBM: 0.50%, IBM: 0.50%, IBM: 0.50%, IBM: 0.50%, INTC: 0.19%, INTC: 0.19%, INTC: 0.19%, INTC: 0.19%, INTC: 0.19%, INTC: 0.19%, INTC: 0.19%, INTC: 0.19%, INTU: 0.39%, ISRG: 0.35%, ISRG: 0.35%, ISRG: 0.35%, ISRG: 0.35%, ISRG: 0.35%, ISRG: 0.35%, ISRG: 0.35%, JNJ: 0.74%, JNJ: 0.74%, JNJ: 0.74%, JNJ: 0.74%, JNJ: 0.74%, JNJ: 0.74%, JNJ: 0.74%, JNJ: 0.74%, JPM: 1.52%, JPM: 1.52%, JPM: 1.52%, JPM: 1.52%, JPM: 1.52%, JPM: 1.52%, JPM: 1.52%, JPM: 1.52%, KLAC: 0.23%, KO: 0.51%, KO: 0.51%, KO: 0.51%, KO: 0.51%, KO: 0.51%, KO: 0.51%, KO: 0.51%, KO: 0.51%, LEN: 0.05%, LIN: 0.41%, LLY: 1.14%, LLY: 1.14%, LLY: 1.14%, LLY: 1.14%, LLY: 1.14%, LLY: 1.14%, LLY: 1.14%, LLY: 1.14%, LMT: 0.18%, LMT: 0.18%, LMT: 0.18%, LMT: 0.18%, LMT: 0.18%, LMT: 0.18%, LMT: 0.18%, LOW: 0.23%, LOW: 0.23%, LOW: 0.23%, LOW: 0.23%, LOW: 0.23%, LOW: 0.23%, LOW: 0.23%, LRCX: 0.24%, MA: 0.84%, MA: 0.84%, MA: 0.84%, MA: 0.84%, MA: 0.84%, MA: 0.84%, MA: 0.84%, MA: 0.84%, MCD: 0.40%, MCD: 0.40%, MCD: 0.40%, MCD: 0.40%, MCD: 0.40%, MCD: 0.40%, MCD: 0.40%, MCD: 0.40%, MCK: 0.17%, MDLZ: 0.17%, MDLZ: 0.17%, MDLZ: 0.17%, MDLZ: 0.17%, MDLZ: 0.17%, MDLZ: 0.17%, MDLZ: 0.17%, MDLZ: 0.17%, MDT: 0.22%, MDT: 0.22%, MDT: 0.22%, MDT: 0.22%, MDT: 0.22%, MDT: 0.22%, MDT: 0.22%, MDT: 0.22%, MET: 0.08%, META: 2.86%, META: 2.86%, META: 2.86%, META: 2.86%, META: 2.86%, META: 2.86%, META: 2.86%, META: 2.86%, MMM: 0.15%, MMM: 0.15%, MMM: 0.15%, MMM: 0.15%, MMM: 0.15%, MMM: 0.15%, MMM: 0.15%, MMM: 0.15%, MO: 0.18%, MO: 0.18%, MO: 0.18%, MO: 0.18%, MO: 0.18%, MO: 0.18%, MO: 0.18%, MO: 0.18%, MPWR: 0.06%, MRK: 0.38%, MRK: 0.38%, MRK: 0.38%, MRK: 0.38%, MRK: 0.38%, MRK: 0.38%, MRK: 0.38%, MRK: 0.38%, MS: 0.33%, MS: 0.33%, MS: 0.33%, MS: 0.33%, MS: 0.33%, MS: 0.33%, MS: 0.33%, MS: 0.33%, MSFT: 7.10%, MSFT: 7.10%, MSFT: 7.10%, MSFT: 7.10%, MSFT: 7.10%, MSFT: 7.10%, MSFT: 7.10%, MSFT: 7.10%, MTB: 0.06%, NEE: 0.29%, NEE: 0.29%, NEE: 0.29%, NEE: 0.29%, NEE: 0.29%, NEE: 0.29%, NEE: 0.29%, NEE: 0.29%, NFLX: 0.96%, NKE: 0.16%, NOW: 0.37%, NOW: 0.37%, NOW: 0.37%, NOW: 0.37%, NOW: 0.37%, NTRS: 0.05%, NUE: 0.06%, NVDA: 7.88%, NVDA: 7.88%, NVDA: 7.88%, NVDA: 7.88%, NVDA: 7.88%, NVDA: 7.88%, NVDA: 7.88%, NVDA: 7.88%, ODFL: 0.06%, ORCL: 0.75%, ORCL: 0.75%, ORCL: 0.75%, ORCL: 0.75%, ORCL: 0.75%, ORCL: 0.75%, ORCL: 0.75%, ORCL: 0.75%, PAYC: 0.02%, PCAR: 0.09%, PEP: 0.37%, PEP: 0.37%, PEP: 0.37%, PEP: 0.37%, PEP: 0.37%, PEP: 0.37%, PEP: 0.37%, PEP: 0.37%, PFE: 0.26%, PFE: 0.26%, PFE: 0.26%, PFE: 0.26%, PFE: 0.26%, PFE: 0.26%, PFE: 0.26%, PFE: 0.26%, PG: 0.68%, PG: 0.68%, PG: 0.68%, PG: 0.68%, PG: 0.68%, PG: 0.68%, PG: 0.68%, PG: 0.68%, PGR: 0.27%, PHM: 0.04%, PLTR: 0.61%, PLTR: 0.61%, PLTR: 0.61%, PLTR: 0.61%, PLTR: 0.61%, PLTR: 0.61%, PLTR: 0.61%, PLTR: 0.61%, PM: 0.52%, PM: 0.52%, PM: 0.52%, PM: 0.52%, PM: 0.52%, PM: 0.52%, PM: 0.52%, PM: 0.52%, PNC: 0.15%, PYPL: 0.14%, PYPL: 0.14%, PYPL: 0.14%, PYPL: 0.14%, PYPL: 0.14%, PYPL: 0.14%, PYPL: 0.14%, PYPL: 0.14%, QCOM: 0.32%, QCOM: 0.32%, QCOM: 0.32%, QCOM: 0.32%, QCOM: 0.32%, QCOM: 0.32%, QCOM: 0.32%, QCOM: 0.32%, RJF: 0.05%, ROST: 0.08%, RTX: 0.38%, RTX: 0.38%, RTX: 0.38%, RTX: 0.38%, RTX: 0.38%, RTX: 0.38%, RTX: 0.38%, RTX: 0.38%, SBUX: 0.20%, SBUX: 0.20%, SBUX: 0.20%, SBUX: 0.20%, SBUX: 0.20%, SBUX: 0.20%, SBUX: 0.20%, SBUX: 0.20%, SCHW: 0.31%, SCHW: 0.31%, SCHW: 0.31%, SCHW: 0.31%, SCHW: 0.31%, SCHW: 0.31%, SCHW: 0.31%, SCHW: 0.31%, SNA: 0.03%, SO: 0.19%, SO: 0.19%, SO: 0.19%, SO: 0.19%, SO: 0.19%, SO: 0.19%, SO: 0.19%, SO: 0.19%, SPGI: 0.31%, SPGI: 0.31%, SPGI: 0.31%, SPGI: 0.31%, SPGI: 0.31%, SPGI: 0.31%, SPGI: 0.31%, STT: 0.06%, SYF: 0.05%, T: 0.36%, T: 0.36%, T: 0.36%, T: 0.36%, T: 0.36%, T: 0.36%, T: 0.36%, T: 0.36%, TGT: 0.09%, TGT: 0.09%, TGT: 0.09%, TGT: 0.09%, TGT: 0.09%, TGT: 0.09%, TGT: 0.09%, TJX: 0.26%, TJX: 0.26%, TJX: 0.26%, TJX: 0.26%, TJX: 0.26%, TJX: 0.26%, TJX: 0.26%, TJX: 0.26%, TMO: 0.29%, TMO: 0.29%, TMO: 0.29%, TMO: 0.29%, TMO: 0.29%, TMO: 0.29%, TMO: 0.29%, TRV: 0.11%, TSLA: 1.73%, TSLA: 1.73%, TSLA: 1.73%, TSLA: 1.73%, TSLA: 1.73%, TSLA: 1.73%, TSLA: 1.73%, TSLA: 1.73%, TXN: 0.37%, TXN: 0.37%, TXN: 0.37%, TXN: 0.37%, TXN: 0.37%, TXN: 0.37%, TXN: 0.37%, TXN: 0.37%, UBER: 0.35%, UBER: 0.35%, UBER: 0.35%, UBER: 0.35%, UBER: 0.35%, UBER: 0.35%, UBER: 0.35%, UBER: 0.35%, UNH: 0.48%, UNH: 0.48%, UNH: 0.48%, UNH: 0.48%, UNH: 0.48%, UNH: 0.48%, UNH: 0.48%, UNH: 0.48%, UNP: 0.25%, UNP: 0.25%, UNP: 0.25%, UNP: 0.25%, UNP: 0.25%, UNP: 0.25%, UNP: 0.25%, UNP: 0.25%, UPS: 0.14%, UPS: 0.14%, UPS: 0.14%, UPS: 0.14%, UPS: 0.14%, UPS: 0.14%, UPS: 0.14%, UPS: 0.14%, USB: 0.13%, USB: 0.13%, USB: 0.13%, USB: 0.13%, USB: 0.13%, USB: 0.13%, USB: 0.13%, USB: 0.13%, V: 1.12%, V: 1.12%, V: 1.12%, V: 1.12%, V: 1.12%, V: 1.12%, V: 1.12%, V: 1.12%, VZ: 0.32%, VZ: 0.32%, VZ: 0.32%, VZ: 0.32%, VZ: 0.32%, VZ: 0.32%, VZ: 0.32%, VZ: 0.32%, WFC: 0.49%, WFC: 0.49%, WFC: 0.49%, WFC: 0.49%, WFC: 0.49%, WFC: 0.49%, WFC: 0.49%, WFC: 0.49%, WM: 0.16%, WMT: 0.77%, WMT: 0.77%, WMT: 0.77%, WMT: 0.77%, WMT: 0.77%, WMT: 0.77%, WMT: 0.77%, WMT: 0.77%, WSM: 0.04%, XOM: 0.87%, XOM: 0.87%, XOM: 0.87%, XOM: 0.87%, XOM: 0.87%, XOM: 0.87%, XOM: 0.87%, XOM: 0.87%</t>
  </si>
  <si>
    <t>(NVDA, 9.14%), (MSFT, 8.21%), (AAPL, 6.96%)</t>
  </si>
  <si>
    <t>(NVDA, 8.64%), (MSFT, 7.76%), (AAPL, 6.59%)</t>
  </si>
  <si>
    <t>V (1.77%)</t>
  </si>
  <si>
    <t>(NVDA, 8.64%), (MSFT, 7.75%), (AAPL, 6.58%)</t>
  </si>
  <si>
    <t>(NVDA, 9.57%), (MSFT, 8.59%), (AAPL, 7.28%)</t>
  </si>
  <si>
    <t>(NVDA, 9.10%), (MSFT, 8.17%), (AAPL, 6.93%)</t>
  </si>
  <si>
    <t>JPM (2.09%)</t>
  </si>
  <si>
    <t>(NVDA, 8.49%), (MSFT, 7.62%), (AAPL, 6.47%)</t>
  </si>
  <si>
    <t>ADP (1.95%)</t>
  </si>
  <si>
    <t>(NVDA, 9.07%), (MSFT, 8.15%), (AAPL, 6.91%)</t>
  </si>
  <si>
    <t>(NVDA, 8.88%), (MSFT, 7.97%), (AAPL, 6.77%)</t>
  </si>
  <si>
    <t>AAPL: 5.94%, AAPL: 5.94%, AAPL: 5.94%, AAPL: 5.94%, AAPL: 5.94%, AAPL: 5.94%, AAPL: 5.94%, AAPL: 5.94%, ABBV: 0.61%, ABBV: 0.61%, ABBV: 0.61%, ABBV: 0.61%, ABBV: 0.61%, ABBV: 0.61%, ABBV: 0.61%, ABBV: 0.61%, ABT: 0.41%, ABT: 0.41%, ABT: 0.41%, ABT: 0.41%, ABT: 0.41%, ABT: 0.41%, ABT: 0.41%, ABT: 0.41%, ACN: 0.33%, ACN: 0.33%, ACN: 0.33%, ACN: 0.33%, ACN: 0.33%, ACN: 0.33%, ACN: 0.33%, ACN: 0.33%, ADBE: 0.29%, ADBE: 0.29%, ADBE: 0.29%, ADBE: 0.29%, ADBE: 0.29%, ADBE: 0.29%, ADBE: 0.29%, ADM: 0.05%, ADP: 0.23%, AFL: 0.09%, ALL: 0.10%, AMAT: 0.29%, AMAT: 0.29%, AMAT: 0.29%, AMAT: 0.29%, AMAT: 0.29%, AMAT: 0.29%, AMAT: 0.29%, AMAT: 0.29%, AMD: 0.48%, AMD: 0.48%, AMD: 0.48%, AMD: 0.48%, AMD: 0.48%, AMD: 0.48%, AMD: 0.48%, AMD: 0.48%, AMGN: 0.30%, AMGN: 0.30%, AMGN: 0.30%, AMGN: 0.30%, AMGN: 0.30%, AMGN: 0.30%, AMGN: 0.30%, AMP: 0.10%, AMT: 0.20%, AMZN: 4.05%, AMZN: 4.05%, AMZN: 4.05%, AMZN: 4.05%, AMZN: 4.05%, AMZN: 4.05%, AMZN: 4.05%, AMZN: 4.05%, AVGO: 2.54%, AVGO: 2.54%, AVGO: 2.54%, AVGO: 2.54%, AVGO: 2.54%, AVGO: 2.54%, AVGO: 2.54%, AVGO: 2.54%, AXP: 0.31%, AXP: 0.31%, AXP: 0.31%, AXP: 0.31%, AXP: 0.31%, AXP: 0.31%, AXP: 0.31%, BA: 0.32%, BA: 0.32%, BA: 0.32%, BA: 0.32%, BA: 0.32%, BA: 0.32%, BA: 0.32%, BA: 0.32%, BAC: 0.58%, BAC: 0.58%, BAC: 0.58%, BAC: 0.58%, BAC: 0.58%, BAC: 0.58%, BAC: 0.58%, BAC: 0.58%, BK: 0.13%, BKNG: 0.35%, BKR: 0.07%, BLK: 0.30%, BLK: 0.30%, BLK: 0.30%, BMY: 0.18%, BMY: 0.18%, BMY: 0.18%, BMY: 0.18%, BMY: 0.18%, BMY: 0.18%, BMY: 0.18%, BMY: 0.18%, BRK/B: 1.63%, BRK/B: 1.63%, BRK/B: 1.63%, BRK/B: 1.63%, BRK/B: 1.63%, BRK/B: 1.63%, BRK/B: 1.63%, BRK/B: 1.63%, C: 0.32%, C: 0.32%, C: 0.32%, C: 0.32%, C: 0.32%, C: 0.32%, C: 0.32%, C: 0.32%, CAT: 0.36%, CAT: 0.36%, CAT: 0.36%, CAT: 0.36%, CAT: 0.36%, CAT: 0.36%, CAT: 0.36%, CAT: 0.36%, CB: 0.19%, CF: 0.03%, CINF: 0.04%, CL: 0.13%, CL: 0.13%, CL: 0.13%, CL: 0.13%, CL: 0.13%, CL: 0.13%, CL: 0.13%, CL: 0.13%, CMCSA: 0.24%, CMCSA: 0.24%, CMCSA: 0.24%, CMCSA: 0.24%, CMCSA: 0.24%, CMCSA: 0.24%, CMCSA: 0.24%, CMCSA: 0.24%, COP: 0.21%, COP: 0.21%, COP: 0.21%, COP: 0.21%, COP: 0.21%, COP: 0.21%, COP: 0.21%, COP: 0.21%, COST: 0.79%, COST: 0.79%, COST: 0.79%, COST: 0.79%, COST: 0.79%, COST: 0.79%, COST: 0.79%, CRM: 0.47%, CRM: 0.47%, CRM: 0.47%, CRM: 0.47%, CRM: 0.47%, CRM: 0.47%, CRM: 0.47%, CRM: 0.47%, CSCO: 0.51%, CSCO: 0.51%, CSCO: 0.51%, CSCO: 0.51%, CSCO: 0.51%, CSCO: 0.51%, CSCO: 0.51%, CSCO: 0.51%, CTSH: 0.07%, CVS: 0.14%, CVS: 0.14%, CVS: 0.14%, CVS: 0.14%, CVS: 0.14%, CVS: 0.14%, CVS: 0.14%, CVS: 0.14%, CVX: 0.53%, CVX: 0.53%, CVX: 0.53%, CVX: 0.53%, CVX: 0.53%, CVX: 0.53%, CVX: 0.53%, CVX: 0.53%, DE: 0.23%, DE: 0.23%, DE: 0.23%, DE: 0.23%, DE: 0.23%, DE: 0.23%, DE: 0.23%, DHI: 0.07%, DHR: 0.22%, DHR: 0.22%, DHR: 0.22%, DHR: 0.22%, DHR: 0.22%, DHR: 0.22%, DHR: 0.22%, DIS: 0.41%, DIS: 0.41%, DIS: 0.41%, DIS: 0.41%, DIS: 0.41%, DIS: 0.41%, DIS: 0.41%, DIS: 0.41%, DOV: 0.05%, DUK: 0.17%, EA: 0.07%, EBAY: 0.07%, EG: 0.03%, ELV: 0.12%, EMR: 0.15%, EMR: 0.15%, EMR: 0.15%, EMR: 0.15%, EMR: 0.15%, EMR: 0.15%, EMR: 0.15%, EMR: 0.15%, EOG: 0.12%, ETN: 0.27%, ETN: 0.27%, ETN: 0.27%, ETN: 0.27%, ETN: 0.27%, ETN: 0.27%, ETN: 0.27%, ETN: 0.27%, FANG: 0.05%, FDX: 0.09%, FDX: 0.09%, FDX: 0.09%, FDX: 0.09%, FDX: 0.09%, FDX: 0.09%, GE: 0.52%, GE: 0.52%, GE: 0.52%, GE: 0.52%, GE: 0.52%, GE: 0.52%, GE: 0.52%, GE: 0.52%, GEV: 0.29%, GILD: 0.25%, GILD: 0.25%, GILD: 0.25%, GILD: 0.25%, GILD: 0.25%, GILD: 0.25%, GILD: 0.25%, GILD: 0.25%, GOOG: 1.68%, GS: 0.41%, GS: 0.41%, GS: 0.41%, GS: 0.41%, GS: 0.41%, GS: 0.41%, GS: 0.41%, HD: 0.68%, HD: 0.68%, HD: 0.68%, HD: 0.68%, HD: 0.68%, HD: 0.68%, HD: 0.68%, HD: 0.68%, HIG: 0.06%, HON: 0.28%, HON: 0.28%, HON: 0.28%, HON: 0.28%, HON: 0.28%, HON: 0.28%, HON: 0.28%, HON: 0.28%, IBM: 0.50%, IBM: 0.50%, IBM: 0.50%, IBM: 0.50%, IBM: 0.50%, IBM: 0.50%, IBM: 0.50%, IBM: 0.50%, INTC: 0.19%, INTC: 0.19%, INTC: 0.19%, INTC: 0.19%, INTC: 0.19%, INTC: 0.19%, INTC: 0.19%, INTC: 0.19%, INTU: 0.40%, ISRG: 0.35%, ISRG: 0.35%, ISRG: 0.35%, ISRG: 0.35%, ISRG: 0.35%, ISRG: 0.35%, ISRG: 0.35%, JNJ: 0.74%, JNJ: 0.74%, JNJ: 0.74%, JNJ: 0.74%, JNJ: 0.74%, JNJ: 0.74%, JNJ: 0.74%, JNJ: 0.74%, JPM: 1.51%, JPM: 1.51%, JPM: 1.51%, JPM: 1.51%, JPM: 1.51%, JPM: 1.51%, JPM: 1.51%, JPM: 1.51%, KLAC: 0.23%, KO: 0.51%, KO: 0.51%, KO: 0.51%, KO: 0.51%, KO: 0.51%, KO: 0.51%, KO: 0.51%, KO: 0.51%, LEN: 0.05%, LIN: 0.41%, LLY: 1.12%, LLY: 1.12%, LLY: 1.12%, LLY: 1.12%, LLY: 1.12%, LLY: 1.12%, LLY: 1.12%, LLY: 1.12%, LMT: 0.18%, LMT: 0.18%, LMT: 0.18%, LMT: 0.18%, LMT: 0.18%, LMT: 0.18%, LMT: 0.18%, LOW: 0.23%, LOW: 0.23%, LOW: 0.23%, LOW: 0.23%, LOW: 0.23%, LOW: 0.23%, LOW: 0.23%, LRCX: 0.24%, MA: 0.84%, MA: 0.84%, MA: 0.84%, MA: 0.84%, MA: 0.84%, MA: 0.84%, MA: 0.84%, MA: 0.84%, MCD: 0.40%, MCD: 0.40%, MCD: 0.40%, MCD: 0.40%, MCD: 0.40%, MCD: 0.40%, MCD: 0.40%, MCD: 0.40%, MCK: 0.17%, MDLZ: 0.17%, MDLZ: 0.17%, MDLZ: 0.17%, MDLZ: 0.17%, MDLZ: 0.17%, MDLZ: 0.17%, MDLZ: 0.17%, MDLZ: 0.17%, MDT: 0.22%, MDT: 0.22%, MDT: 0.22%, MDT: 0.22%, MDT: 0.22%, MDT: 0.22%, MDT: 0.22%, MDT: 0.22%, MET: 0.08%, META: 2.90%, META: 2.90%, META: 2.90%, META: 2.90%, META: 2.90%, META: 2.90%, META: 2.90%, META: 2.90%, MMM: 0.15%, MMM: 0.15%, MMM: 0.15%, MMM: 0.15%, MMM: 0.15%, MMM: 0.15%, MMM: 0.15%, MMM: 0.15%, MO: 0.19%, MO: 0.19%, MO: 0.19%, MO: 0.19%, MO: 0.19%, MO: 0.19%, MO: 0.19%, MO: 0.19%, MPWR: 0.06%, MRK: 0.37%, MRK: 0.37%, MRK: 0.37%, MRK: 0.37%, MRK: 0.37%, MRK: 0.37%, MRK: 0.37%, MRK: 0.37%, MS: 0.32%, MS: 0.32%, MS: 0.32%, MS: 0.32%, MS: 0.32%, MS: 0.32%, MS: 0.32%, MS: 0.32%, MSFT: 7.09%, MSFT: 7.09%, MSFT: 7.09%, MSFT: 7.09%, MSFT: 7.09%, MSFT: 7.09%, MSFT: 7.09%, MSFT: 7.09%, MTB: 0.06%, NEE: 0.29%, NEE: 0.29%, NEE: 0.29%, NEE: 0.29%, NEE: 0.29%, NEE: 0.29%, NEE: 0.29%, NEE: 0.29%, NFLX: 0.98%, NKE: 0.16%, NOW: 0.37%, NOW: 0.37%, NOW: 0.37%, NOW: 0.37%, NOW: 0.37%, NTRS: 0.05%, NUE: 0.06%, NVDA: 7.82%, NVDA: 7.82%, NVDA: 7.82%, NVDA: 7.82%, NVDA: 7.82%, NVDA: 7.82%, NVDA: 7.82%, NVDA: 7.82%, ODFL: 0.06%, ORCL: 0.74%, ORCL: 0.74%, ORCL: 0.74%, ORCL: 0.74%, ORCL: 0.74%, ORCL: 0.74%, ORCL: 0.74%, ORCL: 0.74%, PAYC: 0.02%, PCAR: 0.09%, PEP: 0.36%, PEP: 0.36%, PEP: 0.36%, PEP: 0.36%, PEP: 0.36%, PEP: 0.36%, PEP: 0.36%, PEP: 0.36%, PFE: 0.26%, PFE: 0.26%, PFE: 0.26%, PFE: 0.26%, PFE: 0.26%, PFE: 0.26%, PFE: 0.26%, PFE: 0.26%, PG: 0.68%, PG: 0.68%, PG: 0.68%, PG: 0.68%, PG: 0.68%, PG: 0.68%, PG: 0.68%, PG: 0.68%, PGR: 0.27%, PHM: 0.04%, PLTR: 0.60%, PLTR: 0.60%, PLTR: 0.60%, PLTR: 0.60%, PLTR: 0.60%, PLTR: 0.60%, PLTR: 0.60%, PLTR: 0.60%, PM: 0.53%, PM: 0.53%, PM: 0.53%, PM: 0.53%, PM: 0.53%, PM: 0.53%, PM: 0.53%, PM: 0.53%, PNC: 0.15%, PYPL: 0.14%, PYPL: 0.14%, PYPL: 0.14%, PYPL: 0.14%, PYPL: 0.14%, PYPL: 0.14%, PYPL: 0.14%, PYPL: 0.14%, QCOM: 0.33%, QCOM: 0.33%, QCOM: 0.33%, QCOM: 0.33%, QCOM: 0.33%, QCOM: 0.33%, QCOM: 0.33%, QCOM: 0.33%, RJF: 0.05%, ROST: 0.08%, RTX: 0.38%, RTX: 0.38%, RTX: 0.38%, RTX: 0.38%, RTX: 0.38%, RTX: 0.38%, RTX: 0.38%, RTX: 0.38%, SBUX: 0.20%, SBUX: 0.20%, SBUX: 0.20%, SBUX: 0.20%, SBUX: 0.20%, SBUX: 0.20%, SBUX: 0.20%, SBUX: 0.20%, SCHW: 0.31%, SCHW: 0.31%, SCHW: 0.31%, SCHW: 0.31%, SCHW: 0.31%, SCHW: 0.31%, SCHW: 0.31%, SCHW: 0.31%, SNA: 0.03%, SO: 0.19%, SO: 0.19%, SO: 0.19%, SO: 0.19%, SO: 0.19%, SO: 0.19%, SO: 0.19%, SO: 0.19%, SPGI: 0.31%, SPGI: 0.31%, SPGI: 0.31%, SPGI: 0.31%, SPGI: 0.31%, SPGI: 0.31%, SPGI: 0.31%, STT: 0.06%, SYF: 0.05%, T: 0.37%, T: 0.37%, T: 0.37%, T: 0.37%, T: 0.37%, T: 0.37%, T: 0.37%, T: 0.37%, TGT: 0.09%, TGT: 0.09%, TGT: 0.09%, TGT: 0.09%, TGT: 0.09%, TGT: 0.09%, TGT: 0.09%, TJX: 0.26%, TJX: 0.26%, TJX: 0.26%, TJX: 0.26%, TJX: 0.26%, TJX: 0.26%, TJX: 0.26%, TJX: 0.26%, TMO: 0.29%, TMO: 0.29%, TMO: 0.29%, TMO: 0.29%, TMO: 0.29%, TMO: 0.29%, TMO: 0.29%, TRV: 0.11%, TSLA: 1.72%, TSLA: 1.72%, TSLA: 1.72%, TSLA: 1.72%, TSLA: 1.72%, TSLA: 1.72%, TSLA: 1.72%, TSLA: 1.72%, TXN: 0.36%, TXN: 0.36%, TXN: 0.36%, TXN: 0.36%, TXN: 0.36%, TXN: 0.36%, TXN: 0.36%, TXN: 0.36%, UBER: 0.36%, UBER: 0.36%, UBER: 0.36%, UBER: 0.36%, UBER: 0.36%, UBER: 0.36%, UBER: 0.36%, UBER: 0.36%, UNH: 0.48%, UNH: 0.48%, UNH: 0.48%, UNH: 0.48%, UNH: 0.48%, UNH: 0.48%, UNH: 0.48%, UNH: 0.48%, UNP: 0.25%, UNP: 0.25%, UNP: 0.25%, UNP: 0.25%, UNP: 0.25%, UNP: 0.25%, UNP: 0.25%, UNP: 0.25%, UPS: 0.14%, UPS: 0.14%, UPS: 0.14%, UPS: 0.14%, UPS: 0.14%, UPS: 0.14%, UPS: 0.14%, UPS: 0.14%, USB: 0.13%, USB: 0.13%, USB: 0.13%, USB: 0.13%, USB: 0.13%, USB: 0.13%, USB: 0.13%, USB: 0.13%, V: 1.12%, V: 1.12%, V: 1.12%, V: 1.12%, V: 1.12%, V: 1.12%, V: 1.12%, V: 1.12%, VZ: 0.33%, VZ: 0.33%, VZ: 0.33%, VZ: 0.33%, VZ: 0.33%, VZ: 0.33%, VZ: 0.33%, VZ: 0.33%, WFC: 0.49%, WFC: 0.49%, WFC: 0.49%, WFC: 0.49%, WFC: 0.49%, WFC: 0.49%, WFC: 0.49%, WFC: 0.49%, WM: 0.15%, WMT: 0.77%, WMT: 0.77%, WMT: 0.77%, WMT: 0.77%, WMT: 0.77%, WMT: 0.77%, WMT: 0.77%, WMT: 0.77%, WSM: 0.04%, XOM: 0.87%, XOM: 0.87%, XOM: 0.87%, XOM: 0.87%, XOM: 0.87%, XOM: 0.87%, XOM: 0.87%, XOM: 0.87%</t>
  </si>
  <si>
    <t>(NVDA, 8.92%), (MSFT, 8.16%), (AAPL, 6.98%)</t>
  </si>
  <si>
    <t>AAPL: 5.94%, ABBV: 0.61%, ABT: 0.41%, ACN: 0.33%, ADBE: 0.29%, AMAT: 0.29%, AMD: 0.48%, AMGN: 0.30%, AMT: 0.20%, AMZN: 4.05%, AVGO: 2.54%, AXP: 0.31%, BA: 0.32%, BAC: 0.58%, BKNG: 0.35%, BLK: 0.30%, BMY: 0.18%, BRK/B: 1.63%, C: 0.32%, CAT: 0.36%, CB: 0.19%, CL: 0.13%, CMCSA: 0.24%, COP: 0.21%, COST: 0.79%, CRM: 0.47%, CSCO: 0.51%, CVS: 0.14%, CVX: 0.53%, DE: 0.23%, DHR: 0.22%, DIS: 0.41%, DUK: 0.17%, ELV: 0.12%, EMR: 0.15%, ETN: 0.27%, FDX: 0.09%, GE: 0.52%, GILD: 0.25%, GOOG: 1.68%, GS: 0.41%, HD: 0.68%, HON: 0.28%, IBM: 0.50%, INTC: 0.19%, INTU: 0.40%, ISRG: 0.35%, JNJ: 0.74%, JPM: 1.51%, KO: 0.51%, LIN: 0.41%, LLY: 1.12%, LMT: 0.18%, LOW: 0.23%, MA: 0.84%, MCD: 0.40%, MDLZ: 0.17%, MDT: 0.22%, MET: 0.08%, META: 2.90%, MMM: 0.15%, MO: 0.19%, MRK: 0.37%, MS: 0.32%, MSFT: 7.09%, NEE: 0.29%, NFLX: 0.98%, NKE: 0.16%, NOW: 0.37%, NVDA: 7.82%, ORCL: 0.74%, PEP: 0.36%, PFE: 0.26%, PG: 0.68%, PLTR: 0.60%, PM: 0.53%, PYPL: 0.14%, QCOM: 0.33%, RTX: 0.38%, SBUX: 0.20%, SCHW: 0.31%, SO: 0.19%, SPGI: 0.31%, T: 0.37%, TGT: 0.09%, TJX: 0.26%, TMO: 0.29%, TSLA: 1.72%, TXN: 0.36%, UBER: 0.36%, UNH: 0.48%, UNP: 0.25%, UPS: 0.14%, USB: 0.13%, V: 1.12%, VZ: 0.33%, WFC: 0.49%, WM: 0.15%, WMT: 0.77%, XOM: 0.87%</t>
  </si>
  <si>
    <t>AMT (2.08%)</t>
  </si>
  <si>
    <t>(NVDA, 8.44%), (MSFT, 7.72%), (AAPL, 6.60%)</t>
  </si>
  <si>
    <t>JPM (2.00%)</t>
  </si>
  <si>
    <t>(NVDA, 8.43%), (MSFT, 7.71%), (AAPL, 6.60%)</t>
  </si>
  <si>
    <t>(NVDA, 8.44%), (MSFT, 7.71%), (AAPL, 6.58%)</t>
  </si>
  <si>
    <t>AMT (1.85%)</t>
  </si>
  <si>
    <t>V (1.71%)</t>
  </si>
  <si>
    <t>(NVDA, 8.89%), (MSFT, 8.12%), (AAPL, 6.94%)</t>
  </si>
  <si>
    <t>(NVDA, 8.28%), (MSFT, 7.57%), (AAPL, 6.48%)</t>
  </si>
  <si>
    <t>AAPL: 5.94%, ABT: 0.41%, ACN: 0.33%, ADM: 0.05%, ADP: 0.23%, AFL: 0.09%, ALL: 0.10%, AMAT: 0.29%, AMP: 0.10%, AXP: 0.31%, BK: 0.13%, BKNG: 0.35%, BKR: 0.07%, BLK: 0.30%, CB: 0.19%, CF: 0.03%, CINF: 0.04%, COST: 0.79%, CRM: 0.47%, CSCO: 0.51%, CTSH: 0.07%, DHI: 0.07%, DOV: 0.05%, EA: 0.07%, EBAY: 0.07%, EG: 0.03%, ELV: 0.12%, EOG: 0.12%, FANG: 0.05%, GE: 0.52%, GEV: 0.29%, GOOGL: 2.07%, HIG: 0.06%, JNJ: 0.74%, JPM: 1.51%, KLAC: 0.23%, LEN: 0.05%, LRCX: 0.24%, MA: 0.84%, MCK: 0.17%, META: 2.90%, MPWR: 0.06%, MSFT: 7.09%, MTB: 0.06%, NKE: 0.16%, NTRS: 0.05%, NUE: 0.06%, NVDA: 7.82%, ODFL: 0.06%, PAYC: 0.02%, PCAR: 0.09%, PGR: 0.27%, PHM: 0.04%, PNC: 0.15%, QCOM: 0.33%, RJF: 0.05%, ROST: 0.08%, SNA: 0.03%, STT: 0.06%, SYF: 0.05%, TRV: 0.11%, V: 1.12%, WSM: 0.04%, XOM: 0.87%</t>
  </si>
  <si>
    <t>ADP (1.93%)</t>
  </si>
  <si>
    <t>KLAC (1.89%)</t>
  </si>
  <si>
    <t>(NVDA, 8.87%), (MSFT, 8.10%), (AAPL, 6.93%)</t>
  </si>
  <si>
    <t>(NVDA, 8.67%), (MSFT, 7.93%), (AAPL, 6.78%)</t>
  </si>
  <si>
    <t>(AAPL, 0.00%), (PEP, 0.00%), (ORCL, 0.00%), (ORCL, 0.00%), (ORCL, 0.00%), (ORCL, 0.00%), (PAYC, 0.00%), (PCAR, 0.00%), (PEP, 0.00%), (PEP, 0.00%), (PEP, 0.00%), (PEP, 0.00%), (ORCL, 0.00%), (PEP, 0.00%), (PEP, 0.00%), (PEP, 0.00%), (PFE, 0.00%), (PFE, 0.00%), (PFE, 0.00%), (PFE, 0.00%), (PFE, 0.00%), (PFE, 0.00%), (ORCL, 0.00%), (ORCL, 0.00%), (RTX, 0.00%), (NTRS, 0.00%), (NEE, 0.00%), (NEE, 0.00%), (NFLX, 0.00%), (NKE, 0.00%), (NOW, 0.00%), (NOW, 0.00%), (NOW, 0.00%), (NOW, 0.00%), (NOW, 0.00%), (NUE, 0.00%), (ORCL, 0.00%), (NVDA, 0.00%), (NVDA, 0.00%), (NVDA, 0.00%), (NVDA, 0.00%), (NVDA, 0.00%), (NVDA, 0.00%), (NVDA, 0.00%), (NVDA, 0.00%), (ODFL, 0.00%), (PFE, 0.00%), (PFE, 0.00%), (PG, 0.00%), (PYPL, 0.00%), (PM, 0.00%), (PNC, 0.00%), (PYPL, 0.00%), (PYPL, 0.00%), (PYPL, 0.00%), (PYPL, 0.00%), (PYPL, 0.00%), (PYPL, 0.00%), (PYPL, 0.00%), (QCOM, 0.00%), (PG, 0.00%), (QCOM, 0.00%), (QCOM, 0.00%), (QCOM, 0.00%), (QCOM, 0.00%), (QCOM, 0.00%), (QCOM, 0.00%), (QCOM, 0.00%), (RJF, 0.00%), (ROST, 0.00%), (PM, 0.00%), (PM, 0.00%), (PM, 0.00%), (PM, 0.00%), (PG, 0.00%), (PG, 0.00%), (PG, 0.00%), (PG, 0.00%), (PG, 0.00%), (PG, 0.00%), (PGR, 0.00%), (PHM, 0.00%), (PLTR, 0.00%), (PLTR, 0.00%), (PLTR, 0.00%), (PLTR, 0.00%), (PLTR, 0.00%), (PLTR, 0.00%), (PLTR, 0.00%), (PLTR, 0.00%), (PM, 0.00%), (PM, 0.00%), (PM, 0.00%), (NEE, 0.00%), (NEE, 0.00%), (NEE, 0.00%), (MDT, 0.00%), (MDLZ, 0.00%), (MDLZ, 0.00%), (MDLZ, 0.00%), (MDLZ, 0.00%), (MDT, 0.00%), (MDT, 0.00%), (MDT, 0.00%), (MDT, 0.00%), (MDT, 0.00%), (MDT, 0.00%), (MLI, 0.00%), (MDT, 0.00%), (MET, 0.00%), (META, 0.00%), (META, 0.00%), (META, 0.00%), (META, 0.00%), (META, 0.00%), (META, 0.00%), (META, 0.00%), (MDLZ, 0.00%), (MDLZ, 0.00%), (MDLZ, 0.00%), (MDLZ, 0.00%), (LOW, 0.00%), (LRCX, 0.00%), (MA, 0.00%), (MA, 0.00%), (MA, 0.00%), (MA, 0.00%), (MA, 0.00%), (MA, 0.00%), (MA, 0.00%), (MA, 0.00%), (MCD, 0.00%), (MCD, 0.00%), (MCD, 0.00%), (MCD, 0.00%), (MCD, 0.00%), (MCD, 0.00%), (MCD, 0.00%), (MCD, 0.00%), (MCK, 0.00%), (META, 0.00%), (MMM, 0.00%), (NEE, 0.00%), (MSFT, 0.00%), (MS, 0.00%), (MS, 0.00%), (MS, 0.00%), (MS, 0.00%), (MS, 0.00%), (MS, 0.00%), (MS, 0.00%), (MS, 0.00%), (MSFT, 0.00%), (MSFT, 0.00%), (MMM, 0.00%), (MSFT, 0.00%), (MSFT, 0.00%), (MSFT, 0.00%), (MSFT, 0.00%), (MSFT, 0.00%), (MTB, 0.00%), (MTG, 0.00%), (NEE, 0.00%), (NEE, 0.00%), (MRK, 0.00%), (MRK, 0.00%), (MRK, 0.00%), (MRK, 0.00%), (MMM, 0.00%), (MMM, 0.00%), (MMM, 0.00%), (MMM, 0.00%), (MMM, 0.00%), (MMM, 0.00%), (MO, 0.00%), (MO, 0.00%), (MO, 0.00%), (MO, 0.00%), (MO, 0.00%), (MO, 0.00%), (MO, 0.00%), (MO, 0.00%), (MPWR, 0.00%), (MRK, 0.00%), (MRK, 0.00%), (MRK, 0.00%), (MRK, 0.00%), (RTX, 0.00%), (RTX, 0.00%), (LMT, 0.00%), (V, 0.00%), (UPS, 0.00%), (USB, 0.00%), (USB, 0.00%), (USB, 0.00%), (USB, 0.00%), (USB, 0.00%), (USB, 0.00%), (USB, 0.00%), (USB, 0.00%), (V, 0.00%), (UPS, 0.00%), (V, 0.00%), (V, 0.00%), (V, 0.00%), (V, 0.00%), (V, 0.00%), (V, 0.00%), (VZ, 0.00%), (VZ, 0.00%), (VZ, 0.00%), (UPS, 0.00%), (UPS, 0.00%), (RTX, 0.00%), (UNP, 0.00%), (UNH, 0.00%), (UNH, 0.00%), (UNH, 0.00%), (UNH, 0.00%), (UNH, 0.00%), (UNH, 0.00%), (UNH, 0.00%), (UNH, 0.00%), (UNM, 0.00%), (UNP, 0.00%), (UPS, 0.00%), (UNP, 0.00%), (UNP, 0.00%), (UNP, 0.00%), (UNP, 0.00%), (UNP, 0.00%), (UNP, 0.00%), (UPS, 0.00%), (UPS, 0.00%), (UPS, 0.00%), (VZ, 0.00%), (VZ, 0.00%), (VZ, 0.00%), (nan, 0.00%), (XOM, 0.00%), (XOM, 0.00%), (XOM, 0.00%), (XOM, 0.00%), (XOM, 0.00%), (nan, 0.00%), (nan, 0.00%), (nan, 0.00%), (nan, 0.00%), (nan, 0.00%), (VZ, 0.00%), (nan, 0.00%), (nan, 0.00%), (nan, 0.00%), (nan, 0.00%), (nan, 0.00%), (nan, 0.00%), (nan, 0.00%), (nan, 0.00%), (nan, 0.00%), (XOM, 0.00%), (XOM, 0.00%), (XOM, 0.00%), (WTFC, 0.00%), (VZ, 0.00%), (WFC, 0.00%), (WFC, 0.00%), (WFC, 0.00%), (WFC, 0.00%), (WFC, 0.00%), (WFC, 0.00%), (WFC, 0.00%), (WFC, 0.00%), (WM, 0.00%), (WMT, 0.00%), (WMT, 0.00%), (WMT, 0.00%), (WMT, 0.00%), (WMT, 0.00%), (WMT, 0.00%), (WMT, 0.00%), (WMT, 0.00%), (WSM, 0.00%), (UBER, 0.00%), (UBER, 0.00%), (UBER, 0.00%), (SPGI, 0.00%), (SO, 0.00%), (SO, 0.00%), (SO, 0.00%), (SO, 0.00%), (SO, 0.00%), (SO, 0.00%), (SO, 0.00%), (SPGI, 0.00%), (SPGI, 0.00%), (SPGI, 0.00%), (T, 0.00%), (SPGI, 0.00%), (SPGI, 0.00%), (SPGI, 0.00%), (STT, 0.00%), (SYF, 0.00%), (T, 0.00%), (T, 0.00%), (T, 0.00%), (T, 0.00%), (SO, 0.00%), (SNA, 0.00%), (SLM, 0.00%), (SCHW, 0.00%), (RTX, 0.00%), (RTX, 0.00%), (RTX, 0.00%), (RTX, 0.00%), (SBUX, 0.00%), (SBUX, 0.00%), (SBUX, 0.00%), (SBUX, 0.00%), (SBUX, 0.00%), (SBUX, 0.00%), (SBUX, 0.00%), (SBUX, 0.00%), (SCHW, 0.00%), (SCHW, 0.00%), (SCHW, 0.00%), (SCHW, 0.00%), (SCHW, 0.00%), (SCHW, 0.00%), (SCHW, 0.00%), (T, 0.00%), (T, 0.00%), (UBER, 0.00%), (TXN, 0.00%), (TSLA, 0.00%), (TSLA, 0.00%), (TSLA, 0.00%), (TSLA, 0.00%), (TSLA, 0.00%), (TSLA, 0.00%), (TSLA, 0.00%), (TSLA, 0.00%), (TXN, 0.00%), (TXN, 0.00%), (T, 0.00%), (TXN, 0.00%), (TXN, 0.00%), (TXN, 0.00%), (TXN, 0.00%), (TXN, 0.00%), (UBER, 0.00%), (UBER, 0.00%), (UBER, 0.00%), (UBER, 0.00%), (TRV, 0.00%), (TMO, 0.00%), (TMO, 0.00%), (TMO, 0.00%), (TGT, 0.00%), (TGT, 0.00%), (TGT, 0.00%), (TGT, 0.00%), (TGT, 0.00%), (TGT, 0.00%), (TGT, 0.00%), (TJX, 0.00%), (TJX, 0.00%), (TJX, 0.00%), (TJX, 0.00%), (TJX, 0.00%), (TJX, 0.00%), (TJX, 0.00%), (TJX, 0.00%), (TMO, 0.00%), (TMO, 0.00%), (TMO, 0.00%), (TMO, 0.00%), (LNC, 0.00%), (LMT, 0.00%), (AAPL, 0.00%), (BRK/B, 0.00%), (BMY, 0.00%), (BMY, 0.00%), (BRK/B, 0.00%), (BRK/B, 0.00%), (BRK/B, 0.00%), (BRK/B, 0.00%), (BRK/B, 0.00%), (BRK/B, 0.00%), (BRK/B, 0.00%), (C, 0.00%), (BMY, 0.00%), (C, 0.00%), (C, 0.00%), (C, 0.00%), (C, 0.00%), (C, 0.00%), (C, 0.00%), (C, 0.00%), (CAT, 0.00%), (CAT, 0.00%), (BMY, 0.00%), (BMY, 0.00%), (CRM, 0.00%), (BAC, 0.00%), (BA, 0.00%), (BA, 0.00%), (BA, 0.00%), (BA, 0.00%), (BAC, 0.00%), (BAC, 0.00%), (BAC, 0.00%), (BAC, 0.00%), (BAC, 0.00%), (BAC, 0.00%), (BMY, 0.00%), (BAC, 0.00%), (BK, 0.00%), (BKNG, 0.00%), (BKR, 0.00%), (BLK, 0.00%), (BLK, 0.00%), (BLK, 0.00%), (BMY, 0.00%), (BMY, 0.00%), (CAT, 0.00%), (CAT, 0.00%), (CAT, 0.00%), (COST, 0.00%), (COP, 0.00%), (COP, 0.00%), (COP, 0.00%), (COP, 0.00%), (COP, 0.00%), (COP, 0.00%), (COST, 0.00%), (COST, 0.00%), (COST, 0.00%), (COST, 0.00%), (CAT, 0.00%), (COST, 0.00%), (COST, 0.00%), (CRBG, 0.00%), (CRM, 0.00%), (CRM, 0.00%), (CRM, 0.00%), (CRM, 0.00%), (CRM, 0.00%), (CRM, 0.00%), (COP, 0.00%), (COP, 0.00%), (CMCSA, 0.00%), (CMCSA, 0.00%), (CAT, 0.00%), (CAT, 0.00%), (CB, 0.00%), (CF, 0.00%), (CINF, 0.00%), (CL, 0.00%), (CL, 0.00%), (CL, 0.00%), (CL, 0.00%), (CL, 0.00%), (CL, 0.00%), (CL, 0.00%), (CL, 0.00%), (CMCSA, 0.00%), (CMCSA, 0.00%), (CMCSA, 0.00%), (CMCSA, 0.00%), (CMCSA, 0.00%), (CMCSA, 0.00%), (BA, 0.00%), (BA, 0.00%), (BA, 0.00%), (ADBE, 0.00%), (ACN, 0.00%), (ACN, 0.00%), (ACN, 0.00%), (ACN, 0.00%), (ACN, 0.00%), (ACN, 0.00%), (ACN, 0.00%), (ACN, 0.00%), (ADBE, 0.00%), (ADBE, 0.00%), (AMAT, 0.00%), (ADBE, 0.00%), (ADBE, 0.00%), (ADBE, 0.00%), (ADBE, 0.00%), (ADM, 0.00%), (ADP, 0.00%), (AFL, 0.00%), (ALL, 0.00%), (AMAT, 0.00%), (ACM, 0.00%), (ABT, 0.00%), (ABT, 0.00%), (ABT, 0.00%), (AAPL, 0.00%), (AAPL, 0.00%), (AAPL, 0.00%), (AAPL, 0.00%), (AAPL, 0.00%), (AAPL, 0.00%), (ABBV, 0.00%), (ABBV, 0.00%), (ABBV, 0.00%), (ABBV, 0.00%), (ABBV, 0.00%), (ABBV, 0.00%), (ABBV, 0.00%), (ABBV, 0.00%), (ABT, 0.00%), (ABT, 0.00%), (ABT, 0.00%), (ABT, 0.00%), (ABT, 0.00%), (AMAT, 0.00%), (AMAT, 0.00%), (BA, 0.00%), (AVGO, 0.00%), (AMZN, 0.00%), (AMZN, 0.00%), (AMZN, 0.00%), (AMZN, 0.00%), (AMZN, 0.00%), (AVGO, 0.00%), (AVGO, 0.00%), (AVGO, 0.00%), (AVGO, 0.00%), (AVGO, 0.00%), (AMAT, 0.00%), (AVGO, 0.00%), (AVGO, 0.00%), (AXP, 0.00%), (AXP, 0.00%), (AXP, 0.00%), (AXP, 0.00%), (AXP, 0.00%), (AXP, 0.00%), (AXP, 0.00%), (AMZN, 0.00%), (AMZN, 0.00%), (AMZN, 0.00%), (AMT, 0.00%), (AMAT, 0.00%), (AMAT, 0.00%), (AMAT, 0.00%), (AMD, 0.00%), (AMD, 0.00%), (AMD, 0.00%), (AMD, 0.00%), (AMD, 0.00%), (AMD, 0.00%), (AMD, 0.00%), (AMD, 0.00%), (AMGN, 0.00%), (AMGN, 0.00%), (AMGN, 0.00%), (AMGN, 0.00%), (AMGN, 0.00%), (AMGN, 0.00%), (AMGN, 0.00%), (AMP, 0.00%), (CRM, 0.00%), (CSCO, 0.00%), (LMT, 0.00%), (IBM, 0.00%), (HON, 0.00%), (HON, 0.00%), (HON, 0.00%), (IBM, 0.00%), (IBM, 0.00%), (IBM, 0.00%), (IBM, 0.00%), (IBM, 0.00%), (IBM, 0.00%), (IBM, 0.00%), (HON, 0.00%), (INTC, 0.00%), (INTC, 0.00%), (INTC, 0.00%), (INTC, 0.00%), (INTC, 0.00%), (INTC, 0.00%), (INTC, 0.00%), (INTC, 0.00%), (INTU, 0.00%), (HON, 0.00%), (HON, 0.00%), (CSCO, 0.00%), (GS, 0.00%), (GILD, 0.00%), (GILD, 0.00%), (GOOG, 0.00%), (GS, 0.00%), (GS, 0.00%), (GS, 0.00%), (GS, 0.00%), (GS, 0.00%), (GS, 0.00%), (HD, 0.00%), (HON, 0.00%), (HD, 0.00%), (HD, 0.00%), (HD, 0.00%), (HD, 0.00%), (HD, 0.00%), (HD, 0.00%), (HD, 0.00%), (HIG, 0.00%), (HON, 0.00%), (ISRG, 0.00%), (ISRG, 0.00%), (ISRG, 0.00%), (LLY, 0.00%), (KO, 0.00%), (KO, 0.00%), (KO, 0.00%), (KO, 0.00%), (KO, 0.00%), (KO, 0.00%), (LEN, 0.00%), (LIN, 0.00%), (LLY, 0.00%), (LLY, 0.00%), (ISRG, 0.00%), (LLY, 0.00%), (LLY, 0.00%), (LLY, 0.00%), (LLY, 0.00%), (LLY, 0.00%), (LMT, 0.00%), (LMT, 0.00%), (LMT, 0.00%), (LMT, 0.00%), (KO, 0.00%), (KO, 0.00%), (KLAC, 0.00%), (JXN, 0.00%), (ISRG, 0.00%), (ISRG, 0.00%), (ISRG, 0.00%), (JNJ, 0.00%), (JNJ, 0.00%), (JNJ, 0.00%), (JNJ, 0.00%), (JNJ, 0.00%), (JNJ, 0.00%), (JNJ, 0.00%), (JNJ, 0.00%), (JPM, 0.00%), (JPM, 0.00%), (JPM, 0.00%), (JPM, 0.00%), (JPM, 0.00%), (JPM, 0.00%), (JPM, 0.00%), (JPM, 0.00%), (GILD, 0.00%), (GILD, 0.00%), (GILD, 0.00%), (DHR, 0.00%), (CVX, 0.00%), (DE, 0.00%), (DE, 0.00%), (DE, 0.00%), (DE, 0.00%), (DE, 0.00%), (DE, 0.00%), (DE, 0.00%), (DHI, 0.00%), (DHR, 0.00%), (DIS, 0.00%), (DHR, 0.00%), (DHR, 0.00%), (DHR, 0.00%), (DHR, 0.00%), (DHR, 0.00%), (DIS, 0.00%), (DIS, 0.00%), (DIS, 0.00%), (DIS, 0.00%), (CVX, 0.00%), (CVX, 0.00%), (CVX, 0.00%), (CVX, 0.00%), (CSCO, 0.00%), (CSCO, 0.00%), (CSCO, 0.00%), (CSCO, 0.00%), (CSCO, 0.00%), (CSCO, 0.00%), (CSL, 0.00%), (CTSH, 0.00%), (CVS, 0.00%), (CVS, 0.00%), (CVS, 0.00%), (CVS, 0.00%), (CVS, 0.00%), (CVS, 0.00%), (CVS, 0.00%), (CVS, 0.00%), (CVX, 0.00%), (CVX, 0.00%), (CVX, 0.00%), (DIS, 0.00%), (DIS, 0.00%), (GILD, 0.00%), (GE, 0.00%), (ETN, 0.00%), (EWBC, 0.00%), (FANG, 0.00%), (FDX, 0.00%), (FDX, 0.00%), (FDX, 0.00%), (FDX, 0.00%), (FDX, 0.00%), (FDX, 0.00%), (GE, 0.00%), (DIS, 0.00%), (GE, 0.00%), (GE, 0.00%), (GE, 0.00%), (GE, 0.00%), (GE, 0.00%), (GE, 0.00%), (GEV, 0.00%), (GILD, 0.00%), (GILD, 0.00%), (ETN, 0.00%), (ETN, 0.00%), (ETN, 0.00%), (ETN, 0.00%), (DOV, 0.00%), (DUK, 0.00%), (EA, 0.00%), (EBAY, 0.00%), (EG, 0.00%), (ELV, 0.00%), (EMR, 0.00%), (EMR, 0.00%), (EMR, 0.00%), (EMR, 0.00%), (EMR, 0.00%), (EMR, 0.00%), (EMR, 0.00%), (EMR, 0.00%), (EOG, 0.00%), (EQH, 0.00%), (ETN, 0.00%), (ETN, 0.00%), (ETN, 0.00%), (nan, 0.00%)</t>
  </si>
  <si>
    <t>AAPL: 5.98%, AAPL: 5.98%, AAPL: 5.98%, AAPL: 5.98%, AAPL: 5.98%, AAPL: 5.98%, AAPL: 5.98%, AAPL: 5.98%, ABBV: 0.62%, ABBV: 0.62%, ABBV: 0.62%, ABBV: 0.62%, ABBV: 0.62%, ABBV: 0.62%, ABBV: 0.62%, ABBV: 0.62%, ABT: 0.41%, ABT: 0.41%, ABT: 0.41%, ABT: 0.41%, ABT: 0.41%, ABT: 0.41%, ABT: 0.41%, ABT: 0.41%, ACN: 0.34%, ACN: 0.34%, ACN: 0.34%, ACN: 0.34%, ACN: 0.34%, ACN: 0.34%, ACN: 0.34%, ACN: 0.34%, ADBE: 0.30%, ADBE: 0.30%, ADBE: 0.30%, ADBE: 0.30%, ADBE: 0.30%, ADBE: 0.30%, ADBE: 0.30%, ADM: 0.05%, ADP: 0.23%, AFL: 0.09%, ALL: 0.10%, AMAT: 0.28%, AMAT: 0.28%, AMAT: 0.28%, AMAT: 0.28%, AMAT: 0.28%, AMAT: 0.28%, AMAT: 0.28%, AMAT: 0.28%, AMD: 0.47%, AMD: 0.47%, AMD: 0.47%, AMD: 0.47%, AMD: 0.47%, AMD: 0.47%, AMD: 0.47%, AMD: 0.47%, AMGN: 0.31%, AMGN: 0.31%, AMGN: 0.31%, AMGN: 0.31%, AMGN: 0.31%, AMGN: 0.31%, AMGN: 0.31%, AMP: 0.10%, AMT: 0.20%, AMZN: 4.02%, AMZN: 4.02%, AMZN: 4.02%, AMZN: 4.02%, AMZN: 4.02%, AMZN: 4.02%, AMZN: 4.02%, AMZN: 4.02%, AVGO: 2.45%, AVGO: 2.45%, AVGO: 2.45%, AVGO: 2.45%, AVGO: 2.45%, AVGO: 2.45%, AVGO: 2.45%, AVGO: 2.45%, AXP: 0.31%, AXP: 0.31%, AXP: 0.31%, AXP: 0.31%, AXP: 0.31%, AXP: 0.31%, AXP: 0.31%, BA: 0.32%, BA: 0.32%, BA: 0.32%, BA: 0.32%, BA: 0.32%, BA: 0.32%, BA: 0.32%, BA: 0.32%, BAC: 0.58%, BAC: 0.58%, BAC: 0.58%, BAC: 0.58%, BAC: 0.58%, BAC: 0.58%, BAC: 0.58%, BAC: 0.58%, BK: 0.13%, BKNG: 0.35%, BKR: 0.07%, BLK: 0.30%, BLK: 0.30%, BLK: 0.30%, BMY: 0.18%, BMY: 0.18%, BMY: 0.18%, BMY: 0.18%, BMY: 0.18%, BMY: 0.18%, BMY: 0.18%, BMY: 0.18%, BRK/B: 1.64%, BRK/B: 1.64%, BRK/B: 1.64%, BRK/B: 1.64%, BRK/B: 1.64%, BRK/B: 1.64%, BRK/B: 1.64%, BRK/B: 1.64%, C: 0.33%, C: 0.33%, C: 0.33%, C: 0.33%, C: 0.33%, C: 0.33%, C: 0.33%, C: 0.33%, CAT: 0.37%, CAT: 0.37%, CAT: 0.37%, CAT: 0.37%, CAT: 0.37%, CAT: 0.37%, CAT: 0.37%, CAT: 0.37%, CB: 0.19%, CF: 0.03%, CINF: 0.04%, CL: 0.13%, CL: 0.13%, CL: 0.13%, CL: 0.13%, CL: 0.13%, CL: 0.13%, CL: 0.13%, CL: 0.13%, CMCSA: 0.25%, CMCSA: 0.25%, CMCSA: 0.25%, CMCSA: 0.25%, CMCSA: 0.25%, CMCSA: 0.25%, CMCSA: 0.25%, CMCSA: 0.25%, COP: 0.22%, COP: 0.22%, COP: 0.22%, COP: 0.22%, COP: 0.22%, COP: 0.22%, COP: 0.22%, COP: 0.22%, COST: 0.78%, COST: 0.78%, COST: 0.78%, COST: 0.78%, COST: 0.78%, COST: 0.78%, COST: 0.78%, CRM: 0.47%, CRM: 0.47%, CRM: 0.47%, CRM: 0.47%, CRM: 0.47%, CRM: 0.47%, CRM: 0.47%, CRM: 0.47%, CSCO: 0.51%, CSCO: 0.51%, CSCO: 0.51%, CSCO: 0.51%, CSCO: 0.51%, CSCO: 0.51%, CSCO: 0.51%, CSCO: 0.51%, CTSH: 0.07%, CVS: 0.14%, CVS: 0.14%, CVS: 0.14%, CVS: 0.14%, CVS: 0.14%, CVS: 0.14%, CVS: 0.14%, CVS: 0.14%, CVX: 0.54%, CVX: 0.54%, CVX: 0.54%, CVX: 0.54%, CVX: 0.54%, CVX: 0.54%, CVX: 0.54%, CVX: 0.54%, DE: 0.24%, DE: 0.24%, DE: 0.24%, DE: 0.24%, DE: 0.24%, DE: 0.24%, DE: 0.24%, DHI: 0.08%, DHR: 0.23%, DHR: 0.23%, DHR: 0.23%, DHR: 0.23%, DHR: 0.23%, DHR: 0.23%, DHR: 0.23%, DIS: 0.41%, DIS: 0.41%, DIS: 0.41%, DIS: 0.41%, DIS: 0.41%, DIS: 0.41%, DIS: 0.41%, DIS: 0.41%, DOV: 0.05%, DUK: 0.18%, EA: 0.07%, EBAY: 0.07%, EG: 0.03%, ELV: 0.12%, EMR: 0.15%, EMR: 0.15%, EMR: 0.15%, EMR: 0.15%, EMR: 0.15%, EMR: 0.15%, EMR: 0.15%, EMR: 0.15%, EOG: 0.12%, ETN: 0.27%, ETN: 0.27%, ETN: 0.27%, ETN: 0.27%, ETN: 0.27%, ETN: 0.27%, ETN: 0.27%, ETN: 0.27%, FANG: 0.05%, FDX: 0.10%, FDX: 0.10%, FDX: 0.10%, FDX: 0.10%, FDX: 0.10%, FDX: 0.10%, GE: 0.52%, GE: 0.52%, GE: 0.52%, GE: 0.52%, GE: 0.52%, GE: 0.52%, GE: 0.52%, GE: 0.52%, GEV: 0.28%, GILD: 0.26%, GILD: 0.26%, GILD: 0.26%, GILD: 0.26%, GILD: 0.26%, GILD: 0.26%, GILD: 0.26%, GILD: 0.26%, GOOG: 1.68%, GS: 0.40%, GS: 0.40%, GS: 0.40%, GS: 0.40%, GS: 0.40%, GS: 0.40%, GS: 0.40%, HD: 0.69%, HD: 0.69%, HD: 0.69%, HD: 0.69%, HD: 0.69%, HD: 0.69%, HD: 0.69%, HD: 0.69%, HIG: 0.07%, HON: 0.28%, HON: 0.28%, HON: 0.28%, HON: 0.28%, HON: 0.28%, HON: 0.28%, HON: 0.28%, HON: 0.28%, IBM: 0.49%, IBM: 0.49%, IBM: 0.49%, IBM: 0.49%, IBM: 0.49%, IBM: 0.49%, IBM: 0.49%, IBM: 0.49%, INTC: 0.19%, INTC: 0.19%, INTC: 0.19%, INTC: 0.19%, INTC: 0.19%, INTC: 0.19%, INTC: 0.19%, INTC: 0.19%, INTU: 0.40%, ISRG: 0.34%, ISRG: 0.34%, ISRG: 0.34%, ISRG: 0.34%, ISRG: 0.34%, ISRG: 0.34%, ISRG: 0.34%, JNJ: 0.75%, JNJ: 0.75%, JNJ: 0.75%, JNJ: 0.75%, JNJ: 0.75%, JNJ: 0.75%, JNJ: 0.75%, JNJ: 0.75%, JPM: 1.51%, JPM: 1.51%, JPM: 1.51%, JPM: 1.51%, JPM: 1.51%, JPM: 1.51%, JPM: 1.51%, JPM: 1.51%, KLAC: 0.22%, KO: 0.50%, KO: 0.50%, KO: 0.50%, KO: 0.50%, KO: 0.50%, KO: 0.50%, KO: 0.50%, KO: 0.50%, LEN: 0.05%, LIN: 0.41%, LLY: 1.14%, LLY: 1.14%, LLY: 1.14%, LLY: 1.14%, LLY: 1.14%, LLY: 1.14%, LLY: 1.14%, LLY: 1.14%, LMT: 0.16%, LMT: 0.16%, LMT: 0.16%, LMT: 0.16%, LMT: 0.16%, LMT: 0.16%, LMT: 0.16%, LOW: 0.24%, LRCX: 0.23%, MA: 0.85%, MA: 0.85%, MA: 0.85%, MA: 0.85%, MA: 0.85%, MA: 0.85%, MA: 0.85%, MA: 0.85%, MCD: 0.40%, MCD: 0.40%, MCD: 0.40%, MCD: 0.40%, MCD: 0.40%, MCD: 0.40%, MCD: 0.40%, MCD: 0.40%, MCK: 0.17%, MDLZ: 0.17%, MDLZ: 0.17%, MDLZ: 0.17%, MDLZ: 0.17%, MDLZ: 0.17%, MDLZ: 0.17%, MDLZ: 0.17%, MDLZ: 0.17%, MDT: 0.22%, MDT: 0.22%, MDT: 0.22%, MDT: 0.22%, MDT: 0.22%, MDT: 0.22%, MDT: 0.22%, MDT: 0.22%, MET: 0.08%, META: 2.86%, META: 2.86%, META: 2.86%, META: 2.86%, META: 2.86%, META: 2.86%, META: 2.86%, META: 2.86%, MMM: 0.15%, MMM: 0.15%, MMM: 0.15%, MMM: 0.15%, MMM: 0.15%, MMM: 0.15%, MMM: 0.15%, MMM: 0.15%, MO: 0.19%, MO: 0.19%, MO: 0.19%, MO: 0.19%, MO: 0.19%, MO: 0.19%, MO: 0.19%, MO: 0.19%, MPWR: 0.06%, MRK: 0.38%, MRK: 0.38%, MRK: 0.38%, MRK: 0.38%, MRK: 0.38%, MRK: 0.38%, MRK: 0.38%, MRK: 0.38%, MS: 0.32%, MS: 0.32%, MS: 0.32%, MS: 0.32%, MS: 0.32%, MS: 0.32%, MS: 0.32%, MS: 0.32%, MSFT: 7.02%, MSFT: 7.02%, MSFT: 7.02%, MSFT: 7.02%, MSFT: 7.02%, MSFT: 7.02%, MSFT: 7.02%, MSFT: 7.02%, MTB: 0.06%, NEE: 0.30%, NEE: 0.30%, NEE: 0.30%, NEE: 0.30%, NEE: 0.30%, NEE: 0.30%, NEE: 0.30%, NEE: 0.30%, NFLX: 0.95%, NKE: 0.17%, NOW: 0.37%, NOW: 0.37%, NOW: 0.37%, NOW: 0.37%, NOW: 0.37%, NTRS: 0.05%, NUE: 0.06%, NVDA: 7.61%, NVDA: 7.61%, NVDA: 7.61%, NVDA: 7.61%, NVDA: 7.61%, NVDA: 7.61%, NVDA: 7.61%, NVDA: 7.61%, ODFL: 0.06%, ORCL: 0.72%, ORCL: 0.72%, ORCL: 0.72%, ORCL: 0.72%, ORCL: 0.72%, ORCL: 0.72%, ORCL: 0.72%, ORCL: 0.72%, PAYC: 0.02%, PCAR: 0.10%, PEP: 0.37%, PEP: 0.37%, PEP: 0.37%, PEP: 0.37%, PEP: 0.37%, PEP: 0.37%, PEP: 0.37%, PEP: 0.37%, PFE: 0.27%, PFE: 0.27%, PFE: 0.27%, PFE: 0.27%, PFE: 0.27%, PFE: 0.27%, PFE: 0.27%, PFE: 0.27%, PG: 0.69%, PG: 0.69%, PG: 0.69%, PG: 0.69%, PG: 0.69%, PG: 0.69%, PG: 0.69%, PG: 0.69%, PGR: 0.27%, PHM: 0.05%, PLTR: 0.59%, PLTR: 0.59%, PLTR: 0.59%, PLTR: 0.59%, PLTR: 0.59%, PLTR: 0.59%, PLTR: 0.59%, PLTR: 0.59%, PM: 0.48%, PM: 0.48%, PM: 0.48%, PM: 0.48%, PM: 0.48%, PM: 0.48%, PM: 0.48%, PM: 0.48%, PNC: 0.15%, PYPL: 0.14%, PYPL: 0.14%, PYPL: 0.14%, PYPL: 0.14%, PYPL: 0.14%, PYPL: 0.14%, PYPL: 0.14%, PYPL: 0.14%, QCOM: 0.32%, QCOM: 0.32%, QCOM: 0.32%, QCOM: 0.32%, QCOM: 0.32%, QCOM: 0.32%, QCOM: 0.32%, QCOM: 0.32%, RJF: 0.05%, ROST: 0.08%, RTX: 0.37%, RTX: 0.37%, RTX: 0.37%, RTX: 0.37%, RTX: 0.37%, RTX: 0.37%, RTX: 0.37%, RTX: 0.37%, SBUX: 0.21%, SBUX: 0.21%, SBUX: 0.21%, SBUX: 0.21%, SBUX: 0.21%, SBUX: 0.21%, SBUX: 0.21%, SBUX: 0.21%, SCHW: 0.30%, SCHW: 0.30%, SCHW: 0.30%, SCHW: 0.30%, SCHW: 0.30%, SCHW: 0.30%, SCHW: 0.30%, SCHW: 0.30%, SNA: 0.03%, SO: 0.20%, SO: 0.20%, SO: 0.20%, SO: 0.20%, SO: 0.20%, SO: 0.20%, SO: 0.20%, SO: 0.20%, SPGI: 0.30%, SPGI: 0.30%, SPGI: 0.30%, SPGI: 0.30%, SPGI: 0.30%, SPGI: 0.30%, SPGI: 0.30%, STT: 0.06%, SYF: 0.05%, T: 0.37%, T: 0.37%, T: 0.37%, T: 0.37%, T: 0.37%, T: 0.37%, T: 0.37%, T: 0.37%, TGT: 0.09%, TGT: 0.09%, TGT: 0.09%, TGT: 0.09%, TGT: 0.09%, TGT: 0.09%, TGT: 0.09%, TJX: 0.26%, TJX: 0.26%, TJX: 0.26%, TJX: 0.26%, TJX: 0.26%, TJX: 0.26%, TJX: 0.26%, TJX: 0.26%, TMO: 0.30%, TMO: 0.30%, TMO: 0.30%, TMO: 0.30%, TMO: 0.30%, TMO: 0.30%, TMO: 0.30%, TRV: 0.11%, TSLA: 1.74%, TSLA: 1.74%, TSLA: 1.74%, TSLA: 1.74%, TSLA: 1.74%, TSLA: 1.74%, TSLA: 1.74%, TSLA: 1.74%, TXN: 0.36%, TXN: 0.36%, TXN: 0.36%, TXN: 0.36%, TXN: 0.36%, TXN: 0.36%, TXN: 0.36%, TXN: 0.36%, UBER: 0.36%, UBER: 0.36%, UBER: 0.36%, UBER: 0.36%, UBER: 0.36%, UBER: 0.36%, UBER: 0.36%, UBER: 0.36%, UNH: 0.48%, UNH: 0.48%, UNH: 0.48%, UNH: 0.48%, UNH: 0.48%, UNH: 0.48%, UNH: 0.48%, UNH: 0.48%, UNP: 0.26%, UNP: 0.26%, UNP: 0.26%, UNP: 0.26%, UNP: 0.26%, UNP: 0.26%, UNP: 0.26%, UNP: 0.26%, UPS: 0.14%, UPS: 0.14%, UPS: 0.14%, UPS: 0.14%, UPS: 0.14%, UPS: 0.14%, UPS: 0.14%, UPS: 0.14%, USB: 0.13%, USB: 0.13%, USB: 0.13%, USB: 0.13%, USB: 0.13%, USB: 0.13%, USB: 0.13%, USB: 0.13%, V: 1.12%, V: 1.12%, V: 1.12%, V: 1.12%, V: 1.12%, V: 1.12%, V: 1.12%, V: 1.12%, VZ: 0.34%, VZ: 0.34%, VZ: 0.34%, VZ: 0.34%, VZ: 0.34%, VZ: 0.34%, VZ: 0.34%, VZ: 0.34%, WFC: 0.50%, WFC: 0.50%, WFC: 0.50%, WFC: 0.50%, WFC: 0.50%, WFC: 0.50%, WFC: 0.50%, WFC: 0.50%, WM: 0.16%, WMT: 0.77%, WMT: 0.77%, WMT: 0.77%, WMT: 0.77%, WMT: 0.77%, WMT: 0.77%, WMT: 0.77%, WMT: 0.77%, WSM: 0.04%, XOM: 0.87%, XOM: 0.87%, XOM: 0.87%, XOM: 0.87%, XOM: 0.87%, XOM: 0.87%, XOM: 0.87%, XOM: 0.87%</t>
  </si>
  <si>
    <t>(NVDA, 8.92%), (MSFT, 8.06%), (AAPL, 6.93%)</t>
  </si>
  <si>
    <t>AAPL: 5.98%, ABBV: 0.62%, ABT: 0.41%, ACN: 0.34%, ADBE: 0.30%, AMAT: 0.28%, AMD: 0.47%, AMGN: 0.31%, AMT: 0.20%, AMZN: 4.02%, AVGO: 2.45%, AXP: 0.31%, BA: 0.32%, BAC: 0.58%, BKNG: 0.35%, BLK: 0.30%, BMY: 0.18%, BRK/B: 1.64%, C: 0.33%, CAT: 0.37%, CB: 0.19%, CL: 0.13%, CMCSA: 0.25%, COP: 0.22%, COST: 0.78%, CRM: 0.47%, CSCO: 0.51%, CVS: 0.14%, CVX: 0.54%, DE: 0.24%, DHR: 0.23%, DIS: 0.41%, DUK: 0.18%, ELV: 0.12%, EMR: 0.15%, ETN: 0.27%, FDX: 0.10%, GE: 0.52%, GILD: 0.26%, GOOG: 1.68%, GS: 0.40%, HD: 0.69%, HON: 0.28%, IBM: 0.49%, INTC: 0.19%, INTU: 0.40%, ISRG: 0.34%, JNJ: 0.75%, JPM: 1.51%, KO: 0.50%, LIN: 0.41%, LLY: 1.14%, LMT: 0.16%, LOW: 0.24%, MA: 0.85%, MCD: 0.40%, MDLZ: 0.17%, MDT: 0.22%, MET: 0.08%, META: 2.86%, MMM: 0.15%, MO: 0.19%, MRK: 0.38%, MS: 0.32%, MSFT: 7.02%, NEE: 0.30%, NFLX: 0.95%, NKE: 0.17%, NOW: 0.37%, NVDA: 7.61%, ORCL: 0.72%, PEP: 0.37%, PFE: 0.27%, PG: 0.69%, PLTR: 0.59%, PM: 0.48%, PYPL: 0.14%, QCOM: 0.32%, RTX: 0.37%, SBUX: 0.21%, SCHW: 0.30%, SO: 0.20%, SPGI: 0.30%, T: 0.37%, TGT: 0.09%, TJX: 0.26%, TMO: 0.30%, TSLA: 1.74%, TXN: 0.36%, UBER: 0.36%, UNH: 0.48%, UNP: 0.26%, UPS: 0.14%, USB: 0.13%, V: 1.12%, VZ: 0.34%, WFC: 0.50%, WM: 0.16%, WMT: 0.77%, XOM: 0.87%</t>
  </si>
  <si>
    <t>AMT (2.09%)</t>
  </si>
  <si>
    <t>(NVDA, 8.44%), (MSFT, 7.63%), (AAPL, 6.57%)</t>
  </si>
  <si>
    <t>(NVDA, 8.43%), (MSFT, 7.62%), (AAPL, 6.56%)</t>
  </si>
  <si>
    <t>(NVDA, 8.23%), (MSFT, 7.45%), (AAPL, 6.41%)</t>
  </si>
  <si>
    <t>V (1.69%)</t>
  </si>
  <si>
    <t>XOM (1.66%)</t>
  </si>
  <si>
    <t>(NVDA, 8.88%), (MSFT, 8.02%), (AAPL, 6.90%)</t>
  </si>
  <si>
    <t>LIN (2.09%)</t>
  </si>
  <si>
    <t>(NVDA, 8.28%), (MSFT, 7.48%), (AAPL, 6.44%)</t>
  </si>
  <si>
    <t>AAPL: 5.98%, ABT: 0.41%, ACN: 0.34%, ADM: 0.05%, ADP: 0.23%, AFL: 0.09%, ALL: 0.10%, AMAT: 0.28%, AMP: 0.10%, AXP: 0.31%, BK: 0.13%, BKNG: 0.35%, BKR: 0.07%, BLK: 0.30%, CB: 0.19%, CF: 0.03%, CINF: 0.04%, COST: 0.78%, CRM: 0.47%, CSCO: 0.51%, CTSH: 0.07%, DHI: 0.08%, DOV: 0.05%, EA: 0.07%, EBAY: 0.07%, EG: 0.03%, ELV: 0.12%, EOG: 0.12%, FANG: 0.05%, GE: 0.52%, GEV: 0.28%, GOOGL: 2.08%, HIG: 0.07%, JNJ: 0.75%, JPM: 1.51%, KLAC: 0.22%, LEN: 0.05%, LRCX: 0.23%, MA: 0.85%, MCK: 0.17%, META: 2.86%, MPWR: 0.06%, MSFT: 7.02%, MTB: 0.06%, NKE: 0.17%, NTRS: 0.05%, NUE: 0.06%, NVDA: 7.61%, ODFL: 0.06%, PAYC: 0.02%, PCAR: 0.10%, PGR: 0.27%, PHM: 0.05%, PNC: 0.15%, QCOM: 0.32%, RJF: 0.05%, ROST: 0.08%, SNA: 0.03%, STT: 0.06%, SYF: 0.05%, TRV: 0.11%, V: 1.12%, WSM: 0.04%, XOM: 0.87%</t>
  </si>
  <si>
    <t>ADP (1.92%)</t>
  </si>
  <si>
    <t>PCAR (1.89%)</t>
  </si>
  <si>
    <t>(NVDA, 8.86%), (MSFT, 8.01%), (AAPL, 6.89%)</t>
  </si>
  <si>
    <t>(NVDA, 8.66%), (MSFT, 7.83%), (AAPL, 6.74%)</t>
  </si>
  <si>
    <t>AAPL: 5.93%, AAPL: 5.93%, AAPL: 5.93%, AAPL: 5.93%, AAPL: 5.93%, AAPL: 5.93%, AAPL: 5.93%, AAPL: 5.93%, ABBV: 0.62%, ABBV: 0.62%, ABBV: 0.62%, ABBV: 0.62%, ABBV: 0.62%, ABBV: 0.62%, ABBV: 0.62%, ABBV: 0.62%, ABT: 0.41%, ABT: 0.41%, ABT: 0.41%, ABT: 0.41%, ABT: 0.41%, ABT: 0.41%, ABT: 0.41%, ABT: 0.41%, ACN: 0.33%, ACN: 0.33%, ACN: 0.33%, ACN: 0.33%, ACN: 0.33%, ACN: 0.33%, ACN: 0.33%, ACN: 0.33%, ADBE: 0.29%, ADBE: 0.29%, ADBE: 0.29%, ADBE: 0.29%, ADBE: 0.29%, ADBE: 0.29%, ADBE: 0.29%, ADM: 0.05%, ADP: 0.23%, AFL: 0.09%, ALL: 0.10%, AMAT: 0.28%, AMAT: 0.28%, AMAT: 0.28%, AMAT: 0.28%, AMAT: 0.28%, AMAT: 0.28%, AMAT: 0.28%, AMAT: 0.28%, AMD: 0.48%, AMD: 0.48%, AMD: 0.48%, AMD: 0.48%, AMD: 0.48%, AMD: 0.48%, AMD: 0.48%, AMD: 0.48%, AMGN: 0.31%, AMGN: 0.31%, AMGN: 0.31%, AMGN: 0.31%, AMGN: 0.31%, AMGN: 0.31%, AMGN: 0.31%, AMP: 0.09%, AMT: 0.20%, AMZN: 4.00%, AMZN: 4.00%, AMZN: 4.00%, AMZN: 4.00%, AMZN: 4.00%, AMZN: 4.00%, AMZN: 4.00%, AMZN: 4.00%, AVGO: 2.47%, AVGO: 2.47%, AVGO: 2.47%, AVGO: 2.47%, AVGO: 2.47%, AVGO: 2.47%, AVGO: 2.47%, AVGO: 2.47%, AXP: 0.32%, AXP: 0.32%, AXP: 0.32%, AXP: 0.32%, AXP: 0.32%, AXP: 0.32%, AXP: 0.32%, BA: 0.33%, BA: 0.33%, BA: 0.33%, BA: 0.33%, BA: 0.33%, BA: 0.33%, BA: 0.33%, BA: 0.33%, BAC: 0.58%, BAC: 0.58%, BAC: 0.58%, BAC: 0.58%, BAC: 0.58%, BAC: 0.58%, BAC: 0.58%, BAC: 0.58%, BK: 0.13%, BKNG: 0.35%, BKR: 0.08%, BLK: 0.30%, BLK: 0.30%, BLK: 0.30%, BMY: 0.18%, BMY: 0.18%, BMY: 0.18%, BMY: 0.18%, BMY: 0.18%, BMY: 0.18%, BMY: 0.18%, BMY: 0.18%, BRK/B: 1.64%, BRK/B: 1.64%, BRK/B: 1.64%, BRK/B: 1.64%, BRK/B: 1.64%, BRK/B: 1.64%, BRK/B: 1.64%, BRK/B: 1.64%, C: 0.33%, C: 0.33%, C: 0.33%, C: 0.33%, C: 0.33%, C: 0.33%, C: 0.33%, C: 0.33%, CAT: 0.37%, CAT: 0.37%, CAT: 0.37%, CAT: 0.37%, CAT: 0.37%, CAT: 0.37%, CAT: 0.37%, CAT: 0.37%, CB: 0.19%, CF: 0.03%, CINF: 0.04%, CL: 0.13%, CL: 0.13%, CL: 0.13%, CL: 0.13%, CL: 0.13%, CL: 0.13%, CL: 0.13%, CL: 0.13%, CMCSA: 0.25%, CMCSA: 0.25%, CMCSA: 0.25%, CMCSA: 0.25%, CMCSA: 0.25%, CMCSA: 0.25%, CMCSA: 0.25%, CMCSA: 0.25%, COP: 0.22%, COP: 0.22%, COP: 0.22%, COP: 0.22%, COP: 0.22%, COP: 0.22%, COP: 0.22%, COP: 0.22%, COST: 0.77%, COST: 0.77%, COST: 0.77%, COST: 0.77%, COST: 0.77%, COST: 0.77%, COST: 0.77%, CRM: 0.48%, CRM: 0.48%, CRM: 0.48%, CRM: 0.48%, CRM: 0.48%, CRM: 0.48%, CRM: 0.48%, CRM: 0.48%, CSCO: 0.51%, CSCO: 0.51%, CSCO: 0.51%, CSCO: 0.51%, CSCO: 0.51%, CSCO: 0.51%, CSCO: 0.51%, CSCO: 0.51%, CTSH: 0.07%, CVS: 0.14%, CVS: 0.14%, CVS: 0.14%, CVS: 0.14%, CVS: 0.14%, CVS: 0.14%, CVS: 0.14%, CVS: 0.14%, CVX: 0.54%, CVX: 0.54%, CVX: 0.54%, CVX: 0.54%, CVX: 0.54%, CVX: 0.54%, CVX: 0.54%, CVX: 0.54%, DE: 0.24%, DE: 0.24%, DE: 0.24%, DE: 0.24%, DE: 0.24%, DE: 0.24%, DE: 0.24%, DHI: 0.08%, DHR: 0.23%, DHR: 0.23%, DHR: 0.23%, DHR: 0.23%, DHR: 0.23%, DHR: 0.23%, DHR: 0.23%, DIS: 0.41%, DIS: 0.41%, DIS: 0.41%, DIS: 0.41%, DIS: 0.41%, DIS: 0.41%, DIS: 0.41%, DIS: 0.41%, DOV: 0.05%, DUK: 0.17%, EA: 0.07%, EBAY: 0.07%, EG: 0.03%, ELV: 0.12%, EMR: 0.15%, EMR: 0.15%, EMR: 0.15%, EMR: 0.15%, EMR: 0.15%, EMR: 0.15%, EMR: 0.15%, EMR: 0.15%, EOG: 0.12%, ETN: 0.28%, ETN: 0.28%, ETN: 0.28%, ETN: 0.28%, ETN: 0.28%, ETN: 0.28%, ETN: 0.28%, ETN: 0.28%, FANG: 0.05%, FDX: 0.10%, FDX: 0.10%, FDX: 0.10%, FDX: 0.10%, FDX: 0.10%, FDX: 0.10%, GE: 0.52%, GE: 0.52%, GE: 0.52%, GE: 0.52%, GE: 0.52%, GE: 0.52%, GE: 0.52%, GE: 0.52%, GEV: 0.32%, GILD: 0.26%, GILD: 0.26%, GILD: 0.26%, GILD: 0.26%, GILD: 0.26%, GILD: 0.26%, GILD: 0.26%, GILD: 0.26%, GOOG: 1.67%, GS: 0.41%, GS: 0.41%, GS: 0.41%, GS: 0.41%, GS: 0.41%, GS: 0.41%, GS: 0.41%, HD: 0.69%, HD: 0.69%, HD: 0.69%, HD: 0.69%, HD: 0.69%, HD: 0.69%, HD: 0.69%, HD: 0.69%, HIG: 0.07%, HON: 0.29%, HON: 0.29%, HON: 0.29%, HON: 0.29%, HON: 0.29%, HON: 0.29%, HON: 0.29%, HON: 0.29%, IBM: 0.49%, IBM: 0.49%, IBM: 0.49%, IBM: 0.49%, IBM: 0.49%, IBM: 0.49%, IBM: 0.49%, IBM: 0.49%, INTC: 0.19%, INTC: 0.19%, INTC: 0.19%, INTC: 0.19%, INTC: 0.19%, INTC: 0.19%, INTC: 0.19%, INTC: 0.19%, INTU: 0.40%, ISRG: 0.33%, ISRG: 0.33%, ISRG: 0.33%, ISRG: 0.33%, ISRG: 0.33%, ISRG: 0.33%, ISRG: 0.33%, JNJ: 0.75%, JNJ: 0.75%, JNJ: 0.75%, JNJ: 0.75%, JNJ: 0.75%, JNJ: 0.75%, JNJ: 0.75%, JNJ: 0.75%, JPM: 1.53%, JPM: 1.53%, JPM: 1.53%, JPM: 1.53%, JPM: 1.53%, JPM: 1.53%, JPM: 1.53%, JPM: 1.53%, KLAC: 0.22%, KO: 0.50%, KO: 0.50%, KO: 0.50%, KO: 0.50%, KO: 0.50%, KO: 0.50%, KO: 0.50%, KO: 0.50%, LEN: 0.05%, LIN: 0.41%, LLY: 1.16%, LLY: 1.16%, LLY: 1.16%, LLY: 1.16%, LLY: 1.16%, LLY: 1.16%, LLY: 1.16%, LLY: 1.16%, LMT: 0.16%, LMT: 0.16%, LMT: 0.16%, LMT: 0.16%, LMT: 0.16%, LMT: 0.16%, LMT: 0.16%, LOW: 0.24%, LRCX: 0.23%, MA: 0.84%, MA: 0.84%, MA: 0.84%, MA: 0.84%, MA: 0.84%, MA: 0.84%, MA: 0.84%, MA: 0.84%, MCD: 0.39%, MCD: 0.39%, MCD: 0.39%, MCD: 0.39%, MCD: 0.39%, MCD: 0.39%, MCD: 0.39%, MCD: 0.39%, MCK: 0.17%, MDLZ: 0.17%, MDLZ: 0.17%, MDLZ: 0.17%, MDLZ: 0.17%, MDLZ: 0.17%, MDLZ: 0.17%, MDLZ: 0.17%, MDLZ: 0.17%, MDT: 0.22%, MDT: 0.22%, MDT: 0.22%, MDT: 0.22%, MDT: 0.22%, MDT: 0.22%, MDT: 0.22%, MDT: 0.22%, MET: 0.08%, META: 2.87%, META: 2.87%, META: 2.87%, META: 2.87%, META: 2.87%, META: 2.87%, META: 2.87%, META: 2.87%, MMM: 0.15%, MMM: 0.15%, MMM: 0.15%, MMM: 0.15%, MMM: 0.15%, MMM: 0.15%, MMM: 0.15%, MMM: 0.15%, MO: 0.19%, MO: 0.19%, MO: 0.19%, MO: 0.19%, MO: 0.19%, MO: 0.19%, MO: 0.19%, MO: 0.19%, MPWR: 0.06%, MRK: 0.39%, MRK: 0.39%, MRK: 0.39%, MRK: 0.39%, MRK: 0.39%, MRK: 0.39%, MRK: 0.39%, MRK: 0.39%, MS: 0.33%, MS: 0.33%, MS: 0.33%, MS: 0.33%, MS: 0.33%, MS: 0.33%, MS: 0.33%, MS: 0.33%, MSFT: 6.97%, MSFT: 6.97%, MSFT: 6.97%, MSFT: 6.97%, MSFT: 6.97%, MSFT: 6.97%, MSFT: 6.97%, MSFT: 6.97%, MTB: 0.06%, NEE: 0.28%, NEE: 0.28%, NEE: 0.28%, NEE: 0.28%, NEE: 0.28%, NEE: 0.28%, NEE: 0.28%, NEE: 0.28%, NFLX: 0.93%, NKE: 0.17%, NOW: 0.37%, NOW: 0.37%, NOW: 0.37%, NOW: 0.37%, NOW: 0.37%, NTRS: 0.04%, NUE: 0.06%, NVDA: 7.72%, NVDA: 7.72%, NVDA: 7.72%, NVDA: 7.72%, NVDA: 7.72%, NVDA: 7.72%, NVDA: 7.72%, NVDA: 7.72%, ODFL: 0.06%, ORCL: 0.73%, ORCL: 0.73%, ORCL: 0.73%, ORCL: 0.73%, ORCL: 0.73%, ORCL: 0.73%, ORCL: 0.73%, ORCL: 0.73%, PAYC: 0.02%, PCAR: 0.10%, PEP: 0.37%, PEP: 0.37%, PEP: 0.37%, PEP: 0.37%, PEP: 0.37%, PEP: 0.37%, PEP: 0.37%, PEP: 0.37%, PFE: 0.27%, PFE: 0.27%, PFE: 0.27%, PFE: 0.27%, PFE: 0.27%, PFE: 0.27%, PFE: 0.27%, PFE: 0.27%, PG: 0.69%, PG: 0.69%, PG: 0.69%, PG: 0.69%, PG: 0.69%, PG: 0.69%, PG: 0.69%, PG: 0.69%, PGR: 0.27%, PHM: 0.04%, PLTR: 0.61%, PLTR: 0.61%, PLTR: 0.61%, PLTR: 0.61%, PLTR: 0.61%, PLTR: 0.61%, PLTR: 0.61%, PLTR: 0.61%, PM: 0.47%, PM: 0.47%, PM: 0.47%, PM: 0.47%, PM: 0.47%, PM: 0.47%, PM: 0.47%, PM: 0.47%, PNC: 0.15%, PYPL: 0.14%, PYPL: 0.14%, PYPL: 0.14%, PYPL: 0.14%, PYPL: 0.14%, PYPL: 0.14%, PYPL: 0.14%, PYPL: 0.14%, QCOM: 0.33%, QCOM: 0.33%, QCOM: 0.33%, QCOM: 0.33%, QCOM: 0.33%, QCOM: 0.33%, QCOM: 0.33%, QCOM: 0.33%, RJF: 0.05%, ROST: 0.08%, RTX: 0.39%, RTX: 0.39%, RTX: 0.39%, RTX: 0.39%, RTX: 0.39%, RTX: 0.39%, RTX: 0.39%, RTX: 0.39%, SBUX: 0.20%, SBUX: 0.20%, SBUX: 0.20%, SBUX: 0.20%, SBUX: 0.20%, SBUX: 0.20%, SBUX: 0.20%, SBUX: 0.20%, SCHW: 0.30%, SCHW: 0.30%, SCHW: 0.30%, SCHW: 0.30%, SCHW: 0.30%, SCHW: 0.30%, SCHW: 0.30%, SCHW: 0.30%, SNA: 0.03%, SO: 0.19%, SO: 0.19%, SO: 0.19%, SO: 0.19%, SO: 0.19%, SO: 0.19%, SO: 0.19%, SO: 0.19%, SPGI: 0.31%, SPGI: 0.31%, SPGI: 0.31%, SPGI: 0.31%, SPGI: 0.31%, SPGI: 0.31%, SPGI: 0.31%, STT: 0.06%, SYF: 0.05%, T: 0.37%, T: 0.37%, T: 0.37%, T: 0.37%, T: 0.37%, T: 0.37%, T: 0.37%, T: 0.37%, TGT: 0.09%, TGT: 0.09%, TGT: 0.09%, TGT: 0.09%, TGT: 0.09%, TGT: 0.09%, TGT: 0.09%, TJX: 0.26%, TJX: 0.26%, TJX: 0.26%, TJX: 0.26%, TJX: 0.26%, TJX: 0.26%, TJX: 0.26%, TJX: 0.26%, TMO: 0.33%, TMO: 0.33%, TMO: 0.33%, TMO: 0.33%, TMO: 0.33%, TMO: 0.33%, TMO: 0.33%, TRV: 0.11%, TSLA: 1.73%, TSLA: 1.73%, TSLA: 1.73%, TSLA: 1.73%, TSLA: 1.73%, TSLA: 1.73%, TSLA: 1.73%, TSLA: 1.73%, TXN: 0.31%, TXN: 0.31%, TXN: 0.31%, TXN: 0.31%, TXN: 0.31%, TXN: 0.31%, TXN: 0.31%, TXN: 0.31%, UBER: 0.35%, UBER: 0.35%, UBER: 0.35%, UBER: 0.35%, UBER: 0.35%, UBER: 0.35%, UBER: 0.35%, UBER: 0.35%, UNH: 0.49%, UNH: 0.49%, UNH: 0.49%, UNH: 0.49%, UNH: 0.49%, UNH: 0.49%, UNH: 0.49%, UNH: 0.49%, UNP: 0.26%, UNP: 0.26%, UNP: 0.26%, UNP: 0.26%, UNP: 0.26%, UNP: 0.26%, UNP: 0.26%, UNP: 0.26%, UPS: 0.14%, UPS: 0.14%, UPS: 0.14%, UPS: 0.14%, UPS: 0.14%, UPS: 0.14%, UPS: 0.14%, UPS: 0.14%, USB: 0.13%, USB: 0.13%, USB: 0.13%, USB: 0.13%, USB: 0.13%, USB: 0.13%, USB: 0.13%, USB: 0.13%, V: 1.13%, V: 1.13%, V: 1.13%, V: 1.13%, V: 1.13%, V: 1.13%, V: 1.13%, V: 1.13%, VZ: 0.33%, VZ: 0.33%, VZ: 0.33%, VZ: 0.33%, VZ: 0.33%, VZ: 0.33%, VZ: 0.33%, VZ: 0.33%, WFC: 0.50%, WFC: 0.50%, WFC: 0.50%, WFC: 0.50%, WFC: 0.50%, WFC: 0.50%, WFC: 0.50%, WFC: 0.50%, WM: 0.15%, WMT: 0.77%, WMT: 0.77%, WMT: 0.77%, WMT: 0.77%, WMT: 0.77%, WMT: 0.77%, WMT: 0.77%, WMT: 0.77%, WSM: 0.04%, XOM: 0.88%, XOM: 0.88%, XOM: 0.88%, XOM: 0.88%, XOM: 0.88%, XOM: 0.88%, XOM: 0.88%, XOM: 0.88%</t>
  </si>
  <si>
    <t>(NVDA, 9.07%), (MSFT, 8.14%), (AAPL, 6.97%)</t>
  </si>
  <si>
    <t>AAPL: 5.93%, ABBV: 0.62%, ABT: 0.41%, ACN: 0.33%, ADBE: 0.29%, AMAT: 0.28%, AMD: 0.48%, AMGN: 0.31%, AMT: 0.20%, AMZN: 4.00%, AVGO: 2.47%, AXP: 0.32%, BA: 0.33%, BAC: 0.58%, BKNG: 0.35%, BLK: 0.30%, BMY: 0.18%, BRK/B: 1.64%, C: 0.33%, CAT: 0.37%, CB: 0.19%, CL: 0.13%, CMCSA: 0.25%, COP: 0.22%, COST: 0.77%, CRM: 0.48%, CSCO: 0.51%, CVS: 0.14%, CVX: 0.54%, DE: 0.24%, DHR: 0.23%, DIS: 0.41%, DUK: 0.17%, ELV: 0.12%, EMR: 0.15%, ETN: 0.28%, FDX: 0.10%, GE: 0.52%, GILD: 0.26%, GOOG: 1.67%, GS: 0.41%, HD: 0.69%, HON: 0.29%, IBM: 0.49%, INTC: 0.19%, INTU: 0.40%, ISRG: 0.33%, JNJ: 0.75%, JPM: 1.53%, KO: 0.50%, LIN: 0.41%, LLY: 1.16%, LMT: 0.16%, LOW: 0.24%, MA: 0.84%, MCD: 0.39%, MDLZ: 0.17%, MDT: 0.22%, MET: 0.08%, META: 2.87%, MMM: 0.15%, MO: 0.19%, MRK: 0.39%, MS: 0.33%, MSFT: 6.97%, NEE: 0.28%, NFLX: 0.93%, NKE: 0.17%, NOW: 0.37%, NVDA: 7.72%, ORCL: 0.73%, PEP: 0.37%, PFE: 0.27%, PG: 0.69%, PLTR: 0.61%, PM: 0.47%, PYPL: 0.14%, QCOM: 0.33%, RTX: 0.39%, SBUX: 0.20%, SCHW: 0.30%, SO: 0.19%, SPGI: 0.31%, T: 0.37%, TGT: 0.09%, TJX: 0.26%, TMO: 0.33%, TSLA: 1.73%, TXN: 0.31%, UBER: 0.35%, UNH: 0.49%, UNP: 0.26%, UPS: 0.14%, USB: 0.13%, V: 1.13%, VZ: 0.33%, WFC: 0.50%, WM: 0.15%, WMT: 0.77%, XOM: 0.88%</t>
  </si>
  <si>
    <t>(NVDA, 8.58%), (MSFT, 7.69%), (AAPL, 6.59%)</t>
  </si>
  <si>
    <t>TSLA (1.91%)</t>
  </si>
  <si>
    <t>V (1.78%)</t>
  </si>
  <si>
    <t>(NVDA, 9.45%), (MSFT, 8.48%), (AAPL, 7.26%)</t>
  </si>
  <si>
    <t>LIN (2.13%)</t>
  </si>
  <si>
    <t>TSLA (2.10%)</t>
  </si>
  <si>
    <t>(NVDA, 9.03%), (MSFT, 8.10%), (AAPL, 6.93%)</t>
  </si>
  <si>
    <t>(NVDA, 8.43%), (MSFT, 7.55%), (AAPL, 6.47%)</t>
  </si>
  <si>
    <t>AAPL: 5.93%, ABT: 0.41%, ACN: 0.33%, ADM: 0.05%, ADP: 0.23%, AFL: 0.09%, ALL: 0.10%, AMAT: 0.28%, AMP: 0.09%, AXP: 0.32%, BK: 0.13%, BKNG: 0.35%, BKR: 0.08%, BLK: 0.30%, CB: 0.19%, CF: 0.03%, CINF: 0.04%, COST: 0.77%, CRM: 0.48%, CSCO: 0.51%, CTSH: 0.07%, DHI: 0.08%, DOV: 0.05%, EA: 0.07%, EBAY: 0.07%, EG: 0.03%, ELV: 0.12%, EOG: 0.12%, FANG: 0.05%, GE: 0.52%, GEV: 0.32%, GOOGL: 2.05%, HIG: 0.07%, JNJ: 0.75%, JPM: 1.53%, KLAC: 0.22%, LEN: 0.05%, LRCX: 0.23%, MA: 0.84%, MCK: 0.17%, META: 2.87%, MPWR: 0.06%, MSFT: 6.97%, MTB: 0.06%, NKE: 0.17%, NTRS: 0.04%, NUE: 0.06%, NVDA: 7.72%, ODFL: 0.06%, PAYC: 0.02%, PCAR: 0.10%, PGR: 0.27%, PHM: 0.04%, PNC: 0.15%, QCOM: 0.33%, RJF: 0.05%, ROST: 0.08%, SNA: 0.03%, STT: 0.06%, SYF: 0.05%, TRV: 0.11%, V: 1.13%, WSM: 0.04%, XOM: 0.88%</t>
  </si>
  <si>
    <t>KLAC (1.91%)</t>
  </si>
  <si>
    <t>(NVDA, 9.00%), (MSFT, 8.07%), (AAPL, 6.91%)</t>
  </si>
  <si>
    <t>TSLA (2.00%)</t>
  </si>
  <si>
    <t>(NVDA, 8.81%), (MSFT, 7.90%), (AAPL, 6.77%)</t>
  </si>
  <si>
    <t>(AAPL, 0.00%), (PAYC, 0.00%), (ODFL, 0.00%), (ORCL, 0.00%), (ORCL, 0.00%), (ORCL, 0.00%), (ORCL, 0.00%), (ORCL, 0.00%), (ORCL, 0.00%), (ORCL, 0.00%), (ORCL, 0.00%), (PCAR, 0.00%), (PG, 0.00%), (PEP, 0.00%), (PEP, 0.00%), (PEP, 0.00%), (PEP, 0.00%), (PEP, 0.00%), (PEP, 0.00%), (PEP, 0.00%), (PEP, 0.00%), (PFE, 0.00%), (NVDA, 0.00%), (NVDA, 0.00%), (NVDA, 0.00%), (NVDA, 0.00%), (NEE, 0.00%), (NEE, 0.00%), (NEE, 0.00%), (NEE, 0.00%), (NEE, 0.00%), (NEE, 0.00%), (NFLX, 0.00%), (NKE, 0.00%), (NOW, 0.00%), (NOW, 0.00%), (NOW, 0.00%), (NOW, 0.00%), (NOW, 0.00%), (NTRS, 0.00%), (NUE, 0.00%), (NVDA, 0.00%), (NVDA, 0.00%), (NVDA, 0.00%), (NVDA, 0.00%), (PG, 0.00%), (PG, 0.00%), (NEE, 0.00%), (QCOM, 0.00%), (PYPL, 0.00%), (PYPL, 0.00%), (PYPL, 0.00%), (PYPL, 0.00%), (PYPL, 0.00%), (PYPL, 0.00%), (PYPL, 0.00%), (PYPL, 0.00%), (QCOM, 0.00%), (QCOM, 0.00%), (PG, 0.00%), (QCOM, 0.00%), (QCOM, 0.00%), (QCOM, 0.00%), (QCOM, 0.00%), (QCOM, 0.00%), (RJF, 0.00%), (ROST, 0.00%), (RTX, 0.00%), (RTX, 0.00%), (PNC, 0.00%), (PM, 0.00%), (PM, 0.00%), (PM, 0.00%), (PG, 0.00%), (PG, 0.00%), (PG, 0.00%), (PG, 0.00%), (PGR, 0.00%), (PHM, 0.00%), (PLTR, 0.00%), (PLTR, 0.00%), (PLTR, 0.00%), (PLTR, 0.00%), (PLTR, 0.00%), (PLTR, 0.00%), (PLTR, 0.00%), (PLTR, 0.00%), (PM, 0.00%), (PM, 0.00%), (PM, 0.00%), (PM, 0.00%), (PM, 0.00%), (NEE, 0.00%), (MTG, 0.00%), (AAPL, 0.00%), (MDT, 0.00%), (MDLZ, 0.00%), (MDLZ, 0.00%), (MDLZ, 0.00%), (MDLZ, 0.00%), (MDLZ, 0.00%), (MDLZ, 0.00%), (MDLZ, 0.00%), (MDLZ, 0.00%), (MDT, 0.00%), (MDT, 0.00%), (META, 0.00%), (MDT, 0.00%), (MDT, 0.00%), (MDT, 0.00%), (MDT, 0.00%), (MDT, 0.00%), (MET, 0.00%), (META, 0.00%), (META, 0.00%), (META, 0.00%), (MCK, 0.00%), (MCD, 0.00%), (MCD, 0.00%), (MCD, 0.00%), (LMT, 0.00%), (LMT, 0.00%), (LMT, 0.00%), (LNC, 0.00%), (LOW, 0.00%), (LRCX, 0.00%), (MA, 0.00%), (MA, 0.00%), (MA, 0.00%), (MA, 0.00%), (MA, 0.00%), (MA, 0.00%), (MA, 0.00%), (MA, 0.00%), (MCD, 0.00%), (MCD, 0.00%), (MCD, 0.00%), (MCD, 0.00%), (MCD, 0.00%), (META, 0.00%), (META, 0.00%), (MTB, 0.00%), (MS, 0.00%), (MRK, 0.00%), (MRK, 0.00%), (MRK, 0.00%), (MRK, 0.00%), (MS, 0.00%), (MS, 0.00%), (MS, 0.00%), (MS, 0.00%), (MS, 0.00%), (MS, 0.00%), (META, 0.00%), (MS, 0.00%), (MSFT, 0.00%), (MSFT, 0.00%), (MSFT, 0.00%), (MSFT, 0.00%), (MSFT, 0.00%), (MSFT, 0.00%), (MSFT, 0.00%), (MSFT, 0.00%), (MRK, 0.00%), (MRK, 0.00%), (MRK, 0.00%), (MRK, 0.00%), (META, 0.00%), (MLI, 0.00%), (MMM, 0.00%), (MMM, 0.00%), (MMM, 0.00%), (MMM, 0.00%), (MMM, 0.00%), (MMM, 0.00%), (MMM, 0.00%), (MMM, 0.00%), (MO, 0.00%), (MO, 0.00%), (MO, 0.00%), (MO, 0.00%), (MO, 0.00%), (MO, 0.00%), (MO, 0.00%), (MO, 0.00%), (MPWR, 0.00%), (RTX, 0.00%), (RTX, 0.00%), (RTX, 0.00%), (V, 0.00%), (UPS, 0.00%), (USB, 0.00%), (USB, 0.00%), (USB, 0.00%), (USB, 0.00%), (USB, 0.00%), (USB, 0.00%), (USB, 0.00%), (USB, 0.00%), (V, 0.00%), (VZ, 0.00%), (V, 0.00%), (V, 0.00%), (V, 0.00%), (V, 0.00%), (V, 0.00%), (V, 0.00%), (VZ, 0.00%), (VZ, 0.00%), (VZ, 0.00%), (UPS, 0.00%), (UPS, 0.00%), (UPS, 0.00%), (UPS, 0.00%), (UNH, 0.00%), (UNH, 0.00%), (UNH, 0.00%), (UNH, 0.00%), (UNH, 0.00%), (UNH, 0.00%), (UNH, 0.00%), (UNM, 0.00%), (UNP, 0.00%), (UNP, 0.00%), (UNP, 0.00%), (UNP, 0.00%), (UNP, 0.00%), (UNP, 0.00%), (UNP, 0.00%), (UNP, 0.00%), (UPS, 0.00%), (UPS, 0.00%), (UPS, 0.00%), (VZ, 0.00%), (VZ, 0.00%), (RTX, 0.00%), (nan, 0.00%), (XOM, 0.00%), (XOM, 0.00%), (XOM, 0.00%), (XOM, 0.00%), (XOM, 0.00%), (nan, 0.00%), (nan, 0.00%), (nan, 0.00%), (nan, 0.00%), (nan, 0.00%), (VZ, 0.00%), (nan, 0.00%), (nan, 0.00%), (nan, 0.00%), (nan, 0.00%), (nan, 0.00%), (nan, 0.00%), (nan, 0.00%), (nan, 0.00%), (nan, 0.00%), (XOM, 0.00%), (XOM, 0.00%), (XOM, 0.00%), (WTFC, 0.00%), (VZ, 0.00%), (WFC, 0.00%), (WFC, 0.00%), (WFC, 0.00%), (WFC, 0.00%), (WFC, 0.00%), (WFC, 0.00%), (WFC, 0.00%), (WFC, 0.00%), (WM, 0.00%), (WMT, 0.00%), (WMT, 0.00%), (WMT, 0.00%), (WMT, 0.00%), (WMT, 0.00%), (WMT, 0.00%), (WMT, 0.00%), (WMT, 0.00%), (WSM, 0.00%), (UNH, 0.00%), (UBER, 0.00%), (UBER, 0.00%), (SPGI, 0.00%), (SO, 0.00%), (SO, 0.00%), (SO, 0.00%), (SO, 0.00%), (SO, 0.00%), (SPGI, 0.00%), (SPGI, 0.00%), (SPGI, 0.00%), (SPGI, 0.00%), (SPGI, 0.00%), (UBER, 0.00%), (SPGI, 0.00%), (STT, 0.00%), (SYF, 0.00%), (T, 0.00%), (T, 0.00%), (T, 0.00%), (T, 0.00%), (T, 0.00%), (T, 0.00%), (SO, 0.00%), (SO, 0.00%), (SO, 0.00%), (SNA, 0.00%), (RTX, 0.00%), (RTX, 0.00%), (SBUX, 0.00%), (SBUX, 0.00%), (SBUX, 0.00%), (SBUX, 0.00%), (SBUX, 0.00%), (SBUX, 0.00%), (SBUX, 0.00%), (SBUX, 0.00%), (SCHW, 0.00%), (SCHW, 0.00%), (SCHW, 0.00%), (SCHW, 0.00%), (SCHW, 0.00%), (SCHW, 0.00%), (SCHW, 0.00%), (SCHW, 0.00%), (SLM, 0.00%), (T, 0.00%), (T, 0.00%), (TGT, 0.00%), (TSLA, 0.00%), (TSLA, 0.00%), (TSLA, 0.00%), (TSLA, 0.00%), (TSLA, 0.00%), (TSLA, 0.00%), (TSLA, 0.00%), (TXN, 0.00%), (TXN, 0.00%), (TXN, 0.00%), (TXN, 0.00%), (TXN, 0.00%), (TXN, 0.00%), (TXN, 0.00%), (TXN, 0.00%), (UBER, 0.00%), (UBER, 0.00%), (UBER, 0.00%), (UBER, 0.00%), (UBER, 0.00%), (TSLA, 0.00%), (TRV, 0.00%), (TGT, 0.00%), (TMO, 0.00%), (TGT, 0.00%), (TGT, 0.00%), (TGT, 0.00%), (TGT, 0.00%), (TGT, 0.00%), (TJX, 0.00%), (TJX, 0.00%), (TJX, 0.00%), (TJX, 0.00%), (TJX, 0.00%), (TJX, 0.00%), (TJX, 0.00%), (TJX, 0.00%), (TMO, 0.00%), (TMO, 0.00%), (TMO, 0.00%), (TMO, 0.00%), (TMO, 0.00%), (TMO, 0.00%), (LMT, 0.00%), (LMT, 0.00%), (LMT, 0.00%), (BRK/B, 0.00%), (BMY, 0.00%), (BMY, 0.00%), (BMY, 0.00%), (BMY, 0.00%), (BRK/B, 0.00%), (BRK/B, 0.00%), (BRK/B, 0.00%), (BRK/B, 0.00%), (BRK/B, 0.00%), (BRK/B, 0.00%), (CAT, 0.00%), (BRK/B, 0.00%), (C, 0.00%), (C, 0.00%), (C, 0.00%), (C, 0.00%), (C, 0.00%), (C, 0.00%), (C, 0.00%), (C, 0.00%), (BMY, 0.00%), (BMY, 0.00%), (BMY, 0.00%), (BMY, 0.00%), (BA, 0.00%), (BA, 0.00%), (BA, 0.00%), (BA, 0.00%), (BA, 0.00%), (BAC, 0.00%), (BAC, 0.00%), (BAC, 0.00%), (BAC, 0.00%), (BAC, 0.00%), (BAC, 0.00%), (BAC, 0.00%), (BAC, 0.00%), (BK, 0.00%), (BKNG, 0.00%), (BKR, 0.00%), (BLK, 0.00%), (BLK, 0.00%), (BLK, 0.00%), (CAT, 0.00%), (CAT, 0.00%), (CRM, 0.00%), (COST, 0.00%), (COP, 0.00%), (COP, 0.00%), (COP, 0.00%), (COP, 0.00%), (COP, 0.00%), (COP, 0.00%), (COP, 0.00%), (COP, 0.00%), (COST, 0.00%), (COST, 0.00%), (CAT, 0.00%), (COST, 0.00%), (COST, 0.00%), (COST, 0.00%), (COST, 0.00%), (CRBG, 0.00%), (CRM, 0.00%), (CRM, 0.00%), (CRM, 0.00%), (CRM, 0.00%), (CMCSA, 0.00%), (CMCSA, 0.00%), (CMCSA, 0.00%), (CMCSA, 0.00%), (CAT, 0.00%), (CAT, 0.00%), (CAT, 0.00%), (CAT, 0.00%), (CB, 0.00%), (CF, 0.00%), (CINF, 0.00%), (CL, 0.00%), (CL, 0.00%), (CL, 0.00%), (CL, 0.00%), (CL, 0.00%), (CL, 0.00%), (CL, 0.00%), (CL, 0.00%), (CMCSA, 0.00%), (CMCSA, 0.00%), (CMCSA, 0.00%), (CMCSA, 0.00%), (BA, 0.00%), (BA, 0.00%), (BA, 0.00%), (ADBE, 0.00%), (ACN, 0.00%), (ACN, 0.00%), (ACN, 0.00%), (ACN, 0.00%), (ACN, 0.00%), (ACN, 0.00%), (ACN, 0.00%), (ACN, 0.00%), (ADBE, 0.00%), (ADBE, 0.00%), (AXP, 0.00%), (ADBE, 0.00%), (ADBE, 0.00%), (ADBE, 0.00%), (ADBE, 0.00%), (ADM, 0.00%), (ADP, 0.00%), (AFL, 0.00%), (ALL, 0.00%), (AMAT, 0.00%), (ACM, 0.00%), (ABT, 0.00%), (ABT, 0.00%), (ABT, 0.00%), (AAPL, 0.00%), (AAPL, 0.00%), (AAPL, 0.00%), (AAPL, 0.00%), (AAPL, 0.00%), (AAPL, 0.00%), (ABBV, 0.00%), (ABBV, 0.00%), (ABBV, 0.00%), (ABBV, 0.00%), (ABBV, 0.00%), (ABBV, 0.00%), (ABBV, 0.00%), (ABBV, 0.00%), (ABT, 0.00%), (ABT, 0.00%), (ABT, 0.00%), (ABT, 0.00%), (ABT, 0.00%), (AMAT, 0.00%), (AMAT, 0.00%), (AMAT, 0.00%), (AMZN, 0.00%), (AMZN, 0.00%), (AMZN, 0.00%), (AMZN, 0.00%), (AMZN, 0.00%), (AMZN, 0.00%), (AVGO, 0.00%), (AVGO, 0.00%), (AVGO, 0.00%), (AVGO, 0.00%), (AVGO, 0.00%), (AVGO, 0.00%), (AVGO, 0.00%), (AVGO, 0.00%), (AXP, 0.00%), (AXP, 0.00%), (AXP, 0.00%), (AXP, 0.00%), (AXP, 0.00%), (AXP, 0.00%), (AMZN, 0.00%), (AMZN, 0.00%), (AMAT, 0.00%), (AMT, 0.00%), (AMAT, 0.00%), (AMAT, 0.00%), (AMAT, 0.00%), (AMD, 0.00%), (AMD, 0.00%), (AMD, 0.00%), (AMD, 0.00%), (AMD, 0.00%), (AMD, 0.00%), (AMD, 0.00%), (AMD, 0.00%), (AMGN, 0.00%), (AMGN, 0.00%), (AMGN, 0.00%), (AMGN, 0.00%), (AMGN, 0.00%), (AMGN, 0.00%), (AMGN, 0.00%), (AMP, 0.00%), (CRM, 0.00%), (CRM, 0.00%), (LMT, 0.00%), (IBM, 0.00%), (HON, 0.00%), (HON, 0.00%), (HON, 0.00%), (HON, 0.00%), (HON, 0.00%), (HON, 0.00%), (HON, 0.00%), (IBM, 0.00%), (IBM, 0.00%), (IBM, 0.00%), (INTC, 0.00%), (IBM, 0.00%), (IBM, 0.00%), (IBM, 0.00%), (IBM, 0.00%), (INTC, 0.00%), (INTC, 0.00%), (INTC, 0.00%), (INTC, 0.00%), (INTC, 0.00%), (HON, 0.00%), (HIG, 0.00%), (HD, 0.00%), (HD, 0.00%), (GILD, 0.00%), (GILD, 0.00%), (GILD, 0.00%), (GILD, 0.00%), (GILD, 0.00%), (GOOG, 0.00%), (GS, 0.00%), (GS, 0.00%), (GS, 0.00%), (GS, 0.00%), (GS, 0.00%), (GS, 0.00%), (GS, 0.00%), (HD, 0.00%), (HD, 0.00%), (HD, 0.00%), (HD, 0.00%), (HD, 0.00%), (HD, 0.00%), (INTC, 0.00%), (INTC, 0.00%), (CRM, 0.00%), (KO, 0.00%), (JXN, 0.00%), (KLAC, 0.00%), (KO, 0.00%), (KO, 0.00%), (KO, 0.00%), (KO, 0.00%), (KO, 0.00%), (KO, 0.00%), (KO, 0.00%), (LEN, 0.00%), (INTU, 0.00%), (LIN, 0.00%), (LLY, 0.00%), (LLY, 0.00%), (LLY, 0.00%), (LLY, 0.00%), (LLY, 0.00%), (LLY, 0.00%), (LLY, 0.00%), (LLY, 0.00%), (JPM, 0.00%), (JPM, 0.00%), (JPM, 0.00%), (JPM, 0.00%), (ISRG, 0.00%), (ISRG, 0.00%), (ISRG, 0.00%), (ISRG, 0.00%), (ISRG, 0.00%), (ISRG, 0.00%), (ISRG, 0.00%), (JNJ, 0.00%), (JNJ, 0.00%), (JNJ, 0.00%), (JNJ, 0.00%), (JNJ, 0.00%), (JNJ, 0.00%), (JNJ, 0.00%), (JNJ, 0.00%), (JPM, 0.00%), (JPM, 0.00%), (JPM, 0.00%), (JPM, 0.00%), (GILD, 0.00%), (GILD, 0.00%), (GILD, 0.00%), (DE, 0.00%), (CVX, 0.00%), (CVX, 0.00%), (CVX, 0.00%), (DE, 0.00%), (DE, 0.00%), (DE, 0.00%), (DE, 0.00%), (DE, 0.00%), (DE, 0.00%), (DHI, 0.00%), (GEV, 0.00%), (DHR, 0.00%), (DHR, 0.00%), (DHR, 0.00%), (DHR, 0.00%), (DHR, 0.00%), (DHR, 0.00%), (DHR, 0.00%), (DIS, 0.00%), (DIS, 0.00%), (CVX, 0.00%), (CVX, 0.00%), (CVX, 0.00%), (CVX, 0.00%), (CSCO, 0.00%), (CSCO, 0.00%), (CSCO, 0.00%), (CSCO, 0.00%), (CSCO, 0.00%), (CSCO, 0.00%), (CSCO, 0.00%), (CSCO, 0.00%), (CSL, 0.00%), (CTSH, 0.00%), (CVS, 0.00%), (CVS, 0.00%), (CVS, 0.00%), (CVS, 0.00%), (CVS, 0.00%), (CVS, 0.00%), (CVS, 0.00%), (CVS, 0.00%), (CVX, 0.00%), (DIS, 0.00%), (DIS, 0.00%), (DIS, 0.00%), (ETN, 0.00%), (ETN, 0.00%), (ETN, 0.00%), (ETN, 0.00%), (EWBC, 0.00%), (FANG, 0.00%), (FDX, 0.00%), (FDX, 0.00%), (FDX, 0.00%), (FDX, 0.00%), (FDX, 0.00%), (FDX, 0.00%), (GE, 0.00%), (GE, 0.00%), (GE, 0.00%), (GE, 0.00%), (GE, 0.00%), (GE, 0.00%), (GE, 0.00%), (GE, 0.00%), (ETN, 0.00%), (ETN, 0.00%), (DIS, 0.00%), (ETN, 0.00%), (DIS, 0.00%), (DIS, 0.00%), (DOV, 0.00%), (DUK, 0.00%), (EA, 0.00%), (EBAY, 0.00%), (EG, 0.00%), (ELV, 0.00%), (EMR, 0.00%), (EMR, 0.00%), (EMR, 0.00%), (EMR, 0.00%), (EMR, 0.00%), (EMR, 0.00%), (EMR, 0.00%), (EMR, 0.00%), (EOG, 0.00%), (EQH, 0.00%), (ETN, 0.00%), (nan, 0.00%)</t>
  </si>
  <si>
    <t>AAPL: 5.91%, AAPL: 5.91%, AAPL: 5.91%, AAPL: 5.91%, AAPL: 5.91%, AAPL: 5.91%, AAPL: 5.91%, AAPL: 5.91%, ABBV: 0.62%, ABBV: 0.62%, ABBV: 0.62%, ABBV: 0.62%, ABBV: 0.62%, ABBV: 0.62%, ABBV: 0.62%, ABBV: 0.62%, ABT: 0.40%, ABT: 0.40%, ABT: 0.40%, ABT: 0.40%, ABT: 0.40%, ABT: 0.40%, ABT: 0.40%, ABT: 0.40%, ACN: 0.33%, ACN: 0.33%, ACN: 0.33%, ACN: 0.33%, ACN: 0.33%, ACN: 0.33%, ACN: 0.33%, ACN: 0.33%, ADBE: 0.29%, ADBE: 0.29%, ADBE: 0.29%, ADBE: 0.29%, ADBE: 0.29%, ADBE: 0.29%, ADBE: 0.29%, ADM: 0.05%, ADP: 0.23%, AFL: 0.09%, ALL: 0.10%, AMAT: 0.28%, AMAT: 0.28%, AMAT: 0.28%, AMAT: 0.28%, AMAT: 0.28%, AMAT: 0.28%, AMAT: 0.28%, AMAT: 0.28%, AMD: 0.49%, AMD: 0.49%, AMD: 0.49%, AMD: 0.49%, AMD: 0.49%, AMD: 0.49%, AMD: 0.49%, AMD: 0.49%, AMGN: 0.31%, AMGN: 0.31%, AMGN: 0.31%, AMGN: 0.31%, AMGN: 0.31%, AMGN: 0.31%, AMGN: 0.31%, AMP: 0.09%, AMT: 0.20%, AMZN: 4.06%, AMZN: 4.06%, AMZN: 4.06%, AMZN: 4.06%, AMZN: 4.06%, AMZN: 4.06%, AMZN: 4.06%, AMZN: 4.06%, AVGO: 2.51%, AVGO: 2.51%, AVGO: 2.51%, AVGO: 2.51%, AVGO: 2.51%, AVGO: 2.51%, AVGO: 2.51%, AVGO: 2.51%, AXP: 0.32%, AXP: 0.32%, AXP: 0.32%, AXP: 0.32%, AXP: 0.32%, AXP: 0.32%, AXP: 0.32%, BA: 0.32%, BA: 0.32%, BA: 0.32%, BA: 0.32%, BA: 0.32%, BA: 0.32%, BA: 0.32%, BA: 0.32%, BAC: 0.59%, BAC: 0.59%, BAC: 0.59%, BAC: 0.59%, BAC: 0.59%, BAC: 0.59%, BAC: 0.59%, BAC: 0.59%, BK: 0.13%, BKNG: 0.34%, BKR: 0.08%, BLK: 0.30%, BLK: 0.30%, BLK: 0.30%, BMY: 0.18%, BMY: 0.18%, BMY: 0.18%, BMY: 0.18%, BMY: 0.18%, BMY: 0.18%, BMY: 0.18%, BMY: 0.18%, BRK/B: 1.63%, BRK/B: 1.63%, BRK/B: 1.63%, BRK/B: 1.63%, BRK/B: 1.63%, BRK/B: 1.63%, BRK/B: 1.63%, BRK/B: 1.63%, C: 0.33%, C: 0.33%, C: 0.33%, C: 0.33%, C: 0.33%, C: 0.33%, C: 0.33%, C: 0.33%, CAT: 0.37%, CAT: 0.37%, CAT: 0.37%, CAT: 0.37%, CAT: 0.37%, CAT: 0.37%, CAT: 0.37%, CAT: 0.37%, CB: 0.19%, CF: 0.03%, CINF: 0.04%, CL: 0.13%, CL: 0.13%, CL: 0.13%, CL: 0.13%, CL: 0.13%, CL: 0.13%, CL: 0.13%, CL: 0.13%, CMCSA: 0.24%, CMCSA: 0.24%, CMCSA: 0.24%, CMCSA: 0.24%, CMCSA: 0.24%, CMCSA: 0.24%, CMCSA: 0.24%, CMCSA: 0.24%, COP: 0.22%, COP: 0.22%, COP: 0.22%, COP: 0.22%, COP: 0.22%, COP: 0.22%, COP: 0.22%, COP: 0.22%, COST: 0.77%, COST: 0.77%, COST: 0.77%, COST: 0.77%, COST: 0.77%, COST: 0.77%, COST: 0.77%, CRM: 0.48%, CRM: 0.48%, CRM: 0.48%, CRM: 0.48%, CRM: 0.48%, CRM: 0.48%, CRM: 0.48%, CRM: 0.48%, CSCO: 0.50%, CSCO: 0.50%, CSCO: 0.50%, CSCO: 0.50%, CSCO: 0.50%, CSCO: 0.50%, CSCO: 0.50%, CSCO: 0.50%, CTSH: 0.07%, CVS: 0.14%, CVS: 0.14%, CVS: 0.14%, CVS: 0.14%, CVS: 0.14%, CVS: 0.14%, CVS: 0.14%, CVS: 0.14%, CVX: 0.55%, CVX: 0.55%, CVX: 0.55%, CVX: 0.55%, CVX: 0.55%, CVX: 0.55%, CVX: 0.55%, CVX: 0.55%, DE: 0.24%, DE: 0.24%, DE: 0.24%, DE: 0.24%, DE: 0.24%, DE: 0.24%, DE: 0.24%, DHI: 0.07%, DHR: 0.24%, DHR: 0.24%, DHR: 0.24%, DHR: 0.24%, DHR: 0.24%, DHR: 0.24%, DHR: 0.24%, DIS: 0.41%, DIS: 0.41%, DIS: 0.41%, DIS: 0.41%, DIS: 0.41%, DIS: 0.41%, DIS: 0.41%, DIS: 0.41%, DOV: 0.05%, DUK: 0.17%, EA: 0.06%, EBAY: 0.07%, EG: 0.03%, ELV: 0.12%, EMR: 0.15%, EMR: 0.15%, EMR: 0.15%, EMR: 0.15%, EMR: 0.15%, EMR: 0.15%, EMR: 0.15%, EMR: 0.15%, EOG: 0.12%, ETN: 0.28%, ETN: 0.28%, ETN: 0.28%, ETN: 0.28%, ETN: 0.28%, ETN: 0.28%, ETN: 0.28%, ETN: 0.28%, FANG: 0.05%, FDX: 0.10%, FDX: 0.10%, FDX: 0.10%, FDX: 0.10%, FDX: 0.10%, FDX: 0.10%, GE: 0.53%, GE: 0.53%, GE: 0.53%, GE: 0.53%, GE: 0.53%, GE: 0.53%, GE: 0.53%, GE: 0.53%, GEV: 0.32%, GILD: 0.26%, GILD: 0.26%, GILD: 0.26%, GILD: 0.26%, GILD: 0.26%, GILD: 0.26%, GILD: 0.26%, GILD: 0.26%, GOOG: 1.68%, GS: 0.41%, GS: 0.41%, GS: 0.41%, GS: 0.41%, GS: 0.41%, GS: 0.41%, GS: 0.41%, HD: 0.69%, HD: 0.69%, HD: 0.69%, HD: 0.69%, HD: 0.69%, HD: 0.69%, HD: 0.69%, HD: 0.69%, HIG: 0.06%, HON: 0.27%, HON: 0.27%, HON: 0.27%, HON: 0.27%, HON: 0.27%, HON: 0.27%, HON: 0.27%, HON: 0.27%, IBM: 0.45%, IBM: 0.45%, IBM: 0.45%, IBM: 0.45%, IBM: 0.45%, IBM: 0.45%, IBM: 0.45%, IBM: 0.45%, INTC: 0.18%, INTC: 0.18%, INTC: 0.18%, INTC: 0.18%, INTC: 0.18%, INTC: 0.18%, INTC: 0.18%, INTC: 0.18%, INTU: 0.40%, ISRG: 0.32%, ISRG: 0.32%, ISRG: 0.32%, ISRG: 0.32%, ISRG: 0.32%, ISRG: 0.32%, ISRG: 0.32%, JNJ: 0.76%, JNJ: 0.76%, JNJ: 0.76%, JNJ: 0.76%, JNJ: 0.76%, JNJ: 0.76%, JNJ: 0.76%, JNJ: 0.76%, JPM: 1.53%, JPM: 1.53%, JPM: 1.53%, JPM: 1.53%, JPM: 1.53%, JPM: 1.53%, JPM: 1.53%, JPM: 1.53%, KLAC: 0.22%, KO: 0.50%, KO: 0.50%, KO: 0.50%, KO: 0.50%, KO: 0.50%, KO: 0.50%, KO: 0.50%, KO: 0.50%, LEN: 0.05%, LIN: 0.41%, LLY: 1.17%, LLY: 1.17%, LLY: 1.17%, LLY: 1.17%, LLY: 1.17%, LLY: 1.17%, LLY: 1.17%, LLY: 1.17%, LMT: 0.16%, LMT: 0.16%, LMT: 0.16%, LMT: 0.16%, LMT: 0.16%, LMT: 0.16%, LMT: 0.16%, LOW: 0.23%, LRCX: 0.23%, MA: 0.85%, MA: 0.85%, MA: 0.85%, MA: 0.85%, MA: 0.85%, MA: 0.85%, MA: 0.85%, MA: 0.85%, MCD: 0.39%, MCD: 0.39%, MCD: 0.39%, MCD: 0.39%, MCD: 0.39%, MCD: 0.39%, MCD: 0.39%, MCD: 0.39%, MCK: 0.16%, MDLZ: 0.17%, MDLZ: 0.17%, MDLZ: 0.17%, MDLZ: 0.17%, MDLZ: 0.17%, MDLZ: 0.17%, MDLZ: 0.17%, MDLZ: 0.17%, MDT: 0.22%, MDT: 0.22%, MDT: 0.22%, MDT: 0.22%, MDT: 0.22%, MDT: 0.22%, MDT: 0.22%, MDT: 0.22%, MET: 0.08%, META: 2.87%, META: 2.87%, META: 2.87%, META: 2.87%, META: 2.87%, META: 2.87%, META: 2.87%, META: 2.87%, MMM: 0.15%, MMM: 0.15%, MMM: 0.15%, MMM: 0.15%, MMM: 0.15%, MMM: 0.15%, MMM: 0.15%, MMM: 0.15%, MO: 0.19%, MO: 0.19%, MO: 0.19%, MO: 0.19%, MO: 0.19%, MO: 0.19%, MO: 0.19%, MO: 0.19%, MPWR: 0.06%, MRK: 0.39%, MRK: 0.39%, MRK: 0.39%, MRK: 0.39%, MRK: 0.39%, MRK: 0.39%, MRK: 0.39%, MRK: 0.39%, MS: 0.33%, MS: 0.33%, MS: 0.33%, MS: 0.33%, MS: 0.33%, MS: 0.33%, MS: 0.33%, MS: 0.33%, MSFT: 7.03%, MSFT: 7.03%, MSFT: 7.03%, MSFT: 7.03%, MSFT: 7.03%, MSFT: 7.03%, MSFT: 7.03%, MSFT: 7.03%, MTB: 0.06%, NEE: 0.27%, NEE: 0.27%, NEE: 0.27%, NEE: 0.27%, NEE: 0.27%, NEE: 0.27%, NEE: 0.27%, NEE: 0.27%, NFLX: 0.93%, NKE: 0.16%, NOW: 0.38%, NOW: 0.38%, NOW: 0.38%, NOW: 0.38%, NOW: 0.38%, NTRS: 0.05%, NUE: 0.06%, NVDA: 7.85%, NVDA: 7.85%, NVDA: 7.85%, NVDA: 7.85%, NVDA: 7.85%, NVDA: 7.85%, NVDA: 7.85%, NVDA: 7.85%, ODFL: 0.06%, ORCL: 0.73%, ORCL: 0.73%, ORCL: 0.73%, ORCL: 0.73%, ORCL: 0.73%, ORCL: 0.73%, ORCL: 0.73%, ORCL: 0.73%, PAYC: 0.02%, PCAR: 0.10%, PEP: 0.37%, PEP: 0.37%, PEP: 0.37%, PEP: 0.37%, PEP: 0.37%, PEP: 0.37%, PEP: 0.37%, PEP: 0.37%, PFE: 0.26%, PG: 0.69%, PG: 0.69%, PG: 0.69%, PG: 0.69%, PG: 0.69%, PG: 0.69%, PG: 0.69%, PG: 0.69%, PGR: 0.27%, PHM: 0.04%, PLTR: 0.61%, PLTR: 0.61%, PLTR: 0.61%, PLTR: 0.61%, PLTR: 0.61%, PLTR: 0.61%, PLTR: 0.61%, PLTR: 0.61%, PM: 0.46%, PM: 0.46%, PM: 0.46%, PM: 0.46%, PM: 0.46%, PM: 0.46%, PM: 0.46%, PM: 0.46%, PNC: 0.14%, PYPL: 0.14%, PYPL: 0.14%, PYPL: 0.14%, PYPL: 0.14%, PYPL: 0.14%, PYPL: 0.14%, PYPL: 0.14%, PYPL: 0.14%, QCOM: 0.32%, QCOM: 0.32%, QCOM: 0.32%, QCOM: 0.32%, QCOM: 0.32%, QCOM: 0.32%, QCOM: 0.32%, QCOM: 0.32%, RJF: 0.06%, ROST: 0.08%, RTX: 0.38%, RTX: 0.38%, RTX: 0.38%, RTX: 0.38%, RTX: 0.38%, RTX: 0.38%, RTX: 0.38%, RTX: 0.38%, SBUX: 0.20%, SBUX: 0.20%, SBUX: 0.20%, SBUX: 0.20%, SBUX: 0.20%, SBUX: 0.20%, SBUX: 0.20%, SBUX: 0.20%, SCHW: 0.31%, SCHW: 0.31%, SCHW: 0.31%, SCHW: 0.31%, SCHW: 0.31%, SCHW: 0.31%, SCHW: 0.31%, SCHW: 0.31%, SNA: 0.03%, SO: 0.19%, SO: 0.19%, SO: 0.19%, SO: 0.19%, SO: 0.19%, SO: 0.19%, SO: 0.19%, SO: 0.19%, SPGI: 0.31%, SPGI: 0.31%, SPGI: 0.31%, SPGI: 0.31%, SPGI: 0.31%, SPGI: 0.31%, SPGI: 0.31%, STT: 0.06%, SYF: 0.05%, T: 0.37%, T: 0.37%, T: 0.37%, T: 0.37%, T: 0.37%, T: 0.37%, T: 0.37%, T: 0.37%, TGT: 0.09%, TGT: 0.09%, TGT: 0.09%, TGT: 0.09%, TGT: 0.09%, TGT: 0.09%, TGT: 0.09%, TJX: 0.26%, TJX: 0.26%, TJX: 0.26%, TJX: 0.26%, TJX: 0.26%, TJX: 0.26%, TJX: 0.26%, TJX: 0.26%, TMO: 0.33%, TMO: 0.33%, TMO: 0.33%, TMO: 0.33%, TMO: 0.33%, TMO: 0.33%, TMO: 0.33%, TRV: 0.11%, TSLA: 1.58%, TSLA: 1.58%, TSLA: 1.58%, TSLA: 1.58%, TSLA: 1.58%, TSLA: 1.58%, TSLA: 1.58%, TSLA: 1.58%, TXN: 0.31%, TXN: 0.31%, TXN: 0.31%, TXN: 0.31%, TXN: 0.31%, TXN: 0.31%, TXN: 0.31%, TXN: 0.31%, UBER: 0.35%, UBER: 0.35%, UBER: 0.35%, UBER: 0.35%, UBER: 0.35%, UBER: 0.35%, UBER: 0.35%, UBER: 0.35%, UNH: 0.47%, UNH: 0.47%, UNH: 0.47%, UNH: 0.47%, UNH: 0.47%, UNH: 0.47%, UNH: 0.47%, UNH: 0.47%, UNP: 0.24%, UNP: 0.24%, UNP: 0.24%, UNP: 0.24%, UNP: 0.24%, UNP: 0.24%, UNP: 0.24%, UNP: 0.24%, UPS: 0.14%, UPS: 0.14%, UPS: 0.14%, UPS: 0.14%, UPS: 0.14%, UPS: 0.14%, UPS: 0.14%, UPS: 0.14%, USB: 0.13%, USB: 0.13%, USB: 0.13%, USB: 0.13%, USB: 0.13%, USB: 0.13%, USB: 0.13%, USB: 0.13%, V: 1.12%, V: 1.12%, V: 1.12%, V: 1.12%, V: 1.12%, V: 1.12%, V: 1.12%, V: 1.12%, VZ: 0.34%, VZ: 0.34%, VZ: 0.34%, VZ: 0.34%, VZ: 0.34%, VZ: 0.34%, VZ: 0.34%, VZ: 0.34%, WFC: 0.51%, WFC: 0.51%, WFC: 0.51%, WFC: 0.51%, WFC: 0.51%, WFC: 0.51%, WFC: 0.51%, WFC: 0.51%, WM: 0.16%, WMT: 0.77%, WMT: 0.77%, WMT: 0.77%, WMT: 0.77%, WMT: 0.77%, WMT: 0.77%, WMT: 0.77%, WMT: 0.77%, WSM: 0.04%, XOM: 0.88%, XOM: 0.88%, XOM: 0.88%, XOM: 0.88%, XOM: 0.88%, XOM: 0.88%, XOM: 0.88%, XOM: 0.88%</t>
  </si>
  <si>
    <t>(NVDA, 9.17%), (MSFT, 8.20%), (AAPL, 6.95%)</t>
  </si>
  <si>
    <t>AAPL: 5.91%, ABBV: 0.62%, ABT: 0.40%, ACN: 0.33%, ADBE: 0.29%, AMAT: 0.28%, AMD: 0.49%, AMGN: 0.31%, AMT: 0.20%, AMZN: 4.06%, AVGO: 2.51%, AXP: 0.32%, BA: 0.32%, BAC: 0.59%, BKNG: 0.34%, BLK: 0.30%, BMY: 0.18%, BRK/B: 1.63%, C: 0.33%, CAT: 0.37%, CB: 0.19%, CL: 0.13%, CMCSA: 0.24%, COP: 0.22%, COST: 0.77%, CRM: 0.48%, CSCO: 0.50%, CVS: 0.14%, CVX: 0.55%, DE: 0.24%, DHR: 0.24%, DIS: 0.41%, DUK: 0.17%, ELV: 0.12%, EMR: 0.15%, ETN: 0.28%, FDX: 0.10%, GE: 0.53%, GILD: 0.26%, GOOG: 1.68%, GS: 0.41%, HD: 0.69%, HON: 0.27%, IBM: 0.45%, INTC: 0.18%, INTU: 0.40%, ISRG: 0.32%, JNJ: 0.76%, JPM: 1.53%, KO: 0.50%, LIN: 0.41%, LLY: 1.17%, LMT: 0.16%, LOW: 0.23%, MA: 0.85%, MCD: 0.39%, MDLZ: 0.17%, MDT: 0.22%, MET: 0.08%, META: 2.87%, MMM: 0.15%, MO: 0.19%, MRK: 0.39%, MS: 0.33%, MSFT: 7.03%, NEE: 0.27%, NFLX: 0.93%, NKE: 0.16%, NOW: 0.38%, NVDA: 7.85%, ORCL: 0.73%, PEP: 0.37%, PFE: 0.26%, PG: 0.69%, PLTR: 0.61%, PM: 0.46%, PYPL: 0.14%, QCOM: 0.32%, RTX: 0.38%, SBUX: 0.20%, SCHW: 0.31%, SO: 0.19%, SPGI: 0.31%, T: 0.37%, TGT: 0.09%, TJX: 0.26%, TMO: 0.33%, TSLA: 1.58%, TXN: 0.31%, UBER: 0.35%, UNH: 0.47%, UNP: 0.24%, UPS: 0.14%, USB: 0.13%, V: 1.12%, VZ: 0.34%, WFC: 0.51%, WM: 0.16%, WMT: 0.77%, XOM: 0.88%</t>
  </si>
  <si>
    <t>(NVDA, 8.67%), (MSFT, 7.75%), (AAPL, 6.57%)</t>
  </si>
  <si>
    <t>(NVDA, 9.56%), (MSFT, 8.54%), (AAPL, 7.24%)</t>
  </si>
  <si>
    <t>TSLA (2.18%)</t>
  </si>
  <si>
    <t>(NVDA, 9.13%), (MSFT, 8.16%), (AAPL, 6.91%)</t>
  </si>
  <si>
    <t>(NVDA, 8.52%), (MSFT, 7.61%), (AAPL, 6.45%)</t>
  </si>
  <si>
    <t>AAPL: 5.91%, ABT: 0.40%, ACN: 0.33%, ADM: 0.05%, ADP: 0.23%, AFL: 0.09%, ALL: 0.10%, AMAT: 0.28%, AMP: 0.09%, AXP: 0.32%, BK: 0.13%, BKNG: 0.34%, BKR: 0.08%, BLK: 0.30%, CB: 0.19%, CF: 0.03%, CINF: 0.04%, COST: 0.77%, CRM: 0.48%, CSCO: 0.50%, CTSH: 0.07%, DHI: 0.07%, DOV: 0.05%, EA: 0.06%, EBAY: 0.07%, EG: 0.03%, ELV: 0.12%, EOG: 0.12%, FANG: 0.05%, GE: 0.53%, GEV: 0.32%, GOOGL: 2.07%, HIG: 0.06%, JNJ: 0.76%, JPM: 1.53%, KLAC: 0.22%, LEN: 0.05%, LRCX: 0.23%, MA: 0.85%, MCK: 0.16%, META: 2.87%, MPWR: 0.06%, MSFT: 7.03%, MTB: 0.06%, NKE: 0.16%, NTRS: 0.05%, NUE: 0.06%, NVDA: 7.85%, ODFL: 0.06%, PAYC: 0.02%, PCAR: 0.10%, PGR: 0.27%, PHM: 0.04%, PNC: 0.14%, QCOM: 0.32%, RJF: 0.06%, ROST: 0.08%, SNA: 0.03%, STT: 0.06%, SYF: 0.05%, TRV: 0.11%, V: 1.12%, WSM: 0.04%, XOM: 0.88%</t>
  </si>
  <si>
    <t>PHM (1.93%)</t>
  </si>
  <si>
    <t>KLAC (1.90%)</t>
  </si>
  <si>
    <t>(NVDA, 9.10%), (MSFT, 8.13%), (AAPL, 6.89%)</t>
  </si>
  <si>
    <t>(NVDA, 8.91%), (MSFT, 7.96%), (AAPL, 6.75%)</t>
  </si>
  <si>
    <t>(NVDA, 191.72%), (NVDA, 191.72%), (NVDA, 191.72%), (NVDA, 191.72%), (NVDA, 191.72%), (NVDA, 191.72%), (NVDA, 191.72%), (NVDA, 191.72%), (MSFT, 171.98%), (MSFT, 171.98%), (MSFT, 171.98%), (MSFT, 171.98%), (MSFT, 171.98%), (MSFT, 171.98%), (MSFT, 171.98%), (MSFT, 171.98%), (AAPL, 144.44%), (AAPL, 144.44%), (AAPL, 144.44%), (AAPL, 144.44%), (AAPL, 144.44%), (AAPL, 144.44%), (AAPL, 144.44%), (AAPL, 144.44%), (AMZN, 105.60%), (AMZN, 105.60%), (AMZN, 105.60%), (AMZN, 105.60%), (AMZN, 105.60%), (AMZN, 105.60%), (AMZN, 105.60%), (AMZN, 105.60%), (GOOG, 92.80%), (AVGO, 79.83%), (AVGO, 79.83%), (AVGO, 79.83%), (AVGO, 79.83%), (AVGO, 79.83%), (AVGO, 79.83%), (AVGO, 79.83%), (AVGO, 79.83%), (META, 77.30%), (META, 77.30%), (META, 77.30%), (META, 77.30%), (META, 77.30%), (META, 77.30%), (META, 77.30%), (META, 77.30%), (BRK/B, 54.59%), (BRK/B, 54.59%), (BRK/B, 54.59%), (BRK/B, 54.59%), (BRK/B, 54.59%), (BRK/B, 54.59%), (BRK/B, 54.59%), (BRK/B, 54.59%), (JPM, 48.86%), (JPM, 48.86%), (JPM, 48.86%), (JPM, 48.86%), (JPM, 48.86%), (JPM, 48.86%), (JPM, 48.86%), (JPM, 48.86%), (CSCO, 46.56%), (CSCO, 46.56%), (CSCO, 46.56%), (CSCO, 46.56%), (CSCO, 46.56%), (CSCO, 46.56%), (CSCO, 46.56%), (CSCO, 46.56%), (TSLA, 43.37%), (TSLA, 43.37%), (TSLA, 43.37%), (TSLA, 43.37%), (TSLA, 43.37%), (TSLA, 43.37%), (TSLA, 43.37%), (TSLA, 43.37%), (V, 43.00%), (V, 43.00%), (V, 43.00%), (V, 43.00%), (V, 43.00%), (V, 43.00%), (V, 43.00%), (V, 43.00%), (LIN, 42.70%), (AMT, 41.42%), (XOM, 40.00%), (XOM, 40.00%), (XOM, 40.00%), (XOM, 40.00%), (XOM, 40.00%), (XOM, 40.00%), (XOM, 40.00%), (XOM, 40.00%), (LLY, 33.65%), (LLY, 33.65%), (LLY, 33.65%), (LLY, 33.65%), (LLY, 33.65%), (LLY, 33.65%), (LLY, 33.65%), (LLY, 33.65%), (CB, 31.26%), (MA, 29.93%), (MA, 29.93%), (MA, 29.93%), (MA, 29.93%), (MA, 29.93%), (MA, 29.93%), (MA, 29.93%), (MA, 29.93%), (GE, 29.25%), (GE, 29.25%), (GE, 29.25%), (GE, 29.25%), (GE, 29.25%), (GE, 29.25%), (GE, 29.25%), (GE, 29.25%), (WM, 25.80%), (ORCL, 24.85%), (ORCL, 24.85%), (ORCL, 24.85%), (ORCL, 24.85%), (ORCL, 24.85%), (ORCL, 24.85%), (ORCL, 24.85%), (ORCL, 24.85%), (NFLX, 23.23%), (NFLX, 23.23%), (NFLX, 23.23%), (NFLX, 23.23%), (NFLX, 23.23%), (NFLX, 23.23%), (COST, 22.50%), (COST, 22.50%), (COST, 22.50%), (COST, 22.50%), (COST, 22.50%), (COST, 22.50%), (COST, 22.50%), (JNJ, 22.30%), (JNJ, 22.30%), (JNJ, 22.30%), (JNJ, 22.30%), (JNJ, 22.30%), (JNJ, 22.30%), (JNJ, 22.30%), (JNJ, 22.30%), (NEE, 21.15%), (NEE, 21.15%), (NEE, 21.15%), (NEE, 21.15%), (NEE, 21.15%), (NEE, 21.15%), (NEE, 21.15%), (NEE, 21.15%), (BKNG, 20.96%), (UNH, 20.87%), (UNH, 20.87%), (UNH, 20.87%), (UNH, 20.87%), (UNH, 20.87%), (UNH, 20.87%), (UNH, 20.87%), (UNH, 20.87%), (PG, 20.73%), (PG, 20.73%), (PG, 20.73%), (PG, 20.73%), (PG, 20.73%), (PG, 20.73%), (PG, 20.73%), (PG, 20.73%), (WMT, 20.71%), (WMT, 20.71%), (WMT, 20.71%), (WMT, 20.71%), (WMT, 20.71%), (WMT, 20.71%), (WMT, 20.71%), (WMT, 20.71%), (CRM, 20.59%), (CRM, 20.59%), (CRM, 20.59%), (CRM, 20.59%), (CRM, 20.59%), (CRM, 20.59%), (CRM, 20.59%), (CRM, 20.59%), (PLTR, 20.57%), (PLTR, 20.57%), (PLTR, 20.57%), (PLTR, 20.57%), (PLTR, 20.57%), (PLTR, 20.57%), (PLTR, 20.57%), (PLTR, 20.57%), (CVX, 20.29%), (CVX, 20.29%), (CVX, 20.29%), (CVX, 20.29%), (CVX, 20.29%), (CVX, 20.29%), (CVX, 20.29%), (CVX, 20.29%), (ABT, 19.76%), (ABT, 19.76%), (ABT, 19.76%), (ABT, 19.76%), (ABT, 19.76%), (ABT, 19.76%), (ABT, 19.76%), (ABT, 19.76%), (CAT, 19.00%), (CAT, 19.00%), (CAT, 19.00%), (CAT, 19.00%), (CAT, 19.00%), (CAT, 19.00%), (CAT, 19.00%), (CAT, 19.00%), (RTX, 18.85%), (RTX, 18.85%), (RTX, 18.85%), (RTX, 18.85%), (RTX, 18.85%), (RTX, 18.85%), (RTX, 18.85%), (RTX, 18.85%), (HD, 18.14%), (HD, 18.14%), (HD, 18.14%), (HD, 18.14%), (HD, 18.14%), (HD, 18.14%), (HD, 18.14%), (HD, 18.14%), (ABBV, 17.57%), (ABBV, 17.57%), (ABBV, 17.57%), (ABBV, 17.57%), (ABBV, 17.57%), (ABBV, 17.57%), (ABBV, 17.57%), (ABBV, 17.57%), (BAC, 16.64%), (BAC, 16.64%), (BAC, 16.64%), (BAC, 16.64%), (BAC, 16.64%), (BAC, 16.64%), (BAC, 16.64%), (BAC, 16.64%), (AMD, 16.46%), (AMD, 16.46%), (AMD, 16.46%), (AMD, 16.46%), (AMD, 16.46%), (AMD, 16.46%), (AMD, 16.46%), (AMD, 16.46%), (KO, 16.22%), (KO, 16.22%), (KO, 16.22%), (KO, 16.22%), (KO, 16.22%), (KO, 16.22%), (KO, 16.22%), (KO, 16.22%), (NKE, 16.19%), (NKE, 16.19%), (NKE, 16.19%), (NKE, 16.19%), (NKE, 16.19%), (NKE, 16.19%), (NKE, 16.19%), (NKE, 16.19%), (BA, 15.80%), (BA, 15.80%), (BA, 15.80%), (BA, 15.80%), (BA, 15.80%), (BA, 15.80%), (BA, 15.80%), (BA, 15.80%), (AXP, 15.68%), (AXP, 15.68%), (AXP, 15.68%), (AXP, 15.68%), (AXP, 15.68%), (AXP, 15.68%), (AXP, 15.68%), (BLK, 15.41%), (BLK, 15.41%), (BLK, 15.41%), (IBM, 15.29%), (IBM, 15.29%), (IBM, 15.29%), (IBM, 15.29%), (IBM, 15.29%), (IBM, 15.29%), (IBM, 15.29%), (IBM, 15.29%), (PM, 15.00%), (PM, 15.00%), (PM, 15.00%), (PM, 15.00%), (PM, 15.00%), (PM, 15.00%), (PM, 15.00%), (PM, 15.00%), (SO, 14.93%), (SO, 14.93%), (SO, 14.93%), (SO, 14.93%), (SO, 14.93%), (SO, 14.93%), (SO, 14.93%), (SO, 14.93%), (ACN, 14.77%), (ACN, 14.77%), (ACN, 14.77%), (ACN, 14.77%), (ACN, 14.77%), (ACN, 14.77%), (ACN, 14.77%), (ACN, 14.77%), (AMAT, 14.37%), (AMAT, 14.37%), (AMAT, 14.37%), (AMAT, 14.37%), (AMAT, 14.37%), (AMAT, 14.37%), (AMAT, 14.37%), (AMAT, 14.37%), (WFC, 14.37%), (WFC, 14.37%), (WFC, 14.37%), (WFC, 14.37%), (WFC, 14.37%), (WFC, 14.37%), (WFC, 14.37%), (WFC, 14.37%), (ISRG, 14.33%), (ISRG, 14.33%), (ISRG, 14.33%), (ISRG, 14.33%), (ISRG, 14.33%), (ISRG, 14.33%), (ISRG, 14.33%), (QCOM, 14.15%), (QCOM, 14.15%), (QCOM, 14.15%), (QCOM, 14.15%), (QCOM, 14.15%), (QCOM, 14.15%), (QCOM, 14.15%), (QCOM, 14.15%), (ETN, 14.10%), (ETN, 14.10%), (ETN, 14.10%), (ETN, 14.10%), (ETN, 14.10%), (ETN, 14.10%), (ETN, 14.10%), (INTU, 13.97%), (INTU, 13.97%), (INTU, 13.97%), (INTU, 13.97%), (INTU, 13.97%), (INTU, 13.97%), (GS, 13.95%), (GS, 13.95%), (GS, 13.95%), (GS, 13.95%), (GS, 13.95%), (GS, 13.95%), (UBER, 13.44%), (UBER, 13.44%), (UBER, 13.44%), (UBER, 13.44%), (UBER, 13.44%), (UBER, 13.44%), (UBER, 13.44%), (UBER, 13.44%), (MCD, 13.39%), (MCD, 13.39%), (MCD, 13.39%), (MCD, 13.39%), (MCD, 13.39%), (MCD, 13.39%), (MCD, 13.39%), (MCD, 13.39%), (HON, 13.37%), (HON, 13.37%), (HON, 13.37%), (HON, 13.37%), (HON, 13.37%), (HON, 13.37%), (HON, 13.37%), (HON, 13.37%), (DUK, 13.21%), (NOW, 12.73%), (NOW, 12.73%), (NOW, 12.73%), (UNP, 12.33%), (UNP, 12.33%), (UNP, 12.33%), (UNP, 12.33%), (UNP, 12.33%), (UNP, 12.33%), (UNP, 12.33%), (UNP, 12.33%), (MET, 12.19%), (PEP, 11.88%), (PEP, 11.88%), (PEP, 11.88%), (PEP, 11.88%), (PEP, 11.88%), (PEP, 11.88%), (PEP, 11.88%), (PEP, 11.88%), (DE, 11.80%), (DE, 11.80%), (DE, 11.80%), (DE, 11.80%), (DE, 11.80%), (DE, 11.80%), (DE, 11.80%), (T, 11.22%), (T, 11.22%), (T, 11.22%), (T, 11.22%), (T, 11.22%), (T, 11.22%), (T, 11.22%), (T, 11.22%), (MRK, 11.18%), (MRK, 11.18%), (MRK, 11.18%), (MRK, 11.18%), (MRK, 11.18%), (MRK, 11.18%), (MRK, 11.18%), (MRK, 11.18%), (MS, 10.88%), (MS, 10.88%), (MS, 10.88%), (MS, 10.88%), (MS, 10.88%), (MS, 10.88%), (MS, 10.88%), (MS, 10.88%), (SPGI, 10.40%), (SPGI, 10.40%), (SPGI, 10.40%), (SPGI, 10.40%), (SPGI, 10.40%), (SPGI, 10.40%), (ADBE, 10.23%), (ADBE, 10.23%), (ADBE, 10.23%), (ADBE, 10.23%), (ADBE, 10.23%), (ADBE, 10.23%), (ADBE, 10.23%), (VZ, 10.12%), (VZ, 10.12%), (VZ, 10.12%), (VZ, 10.12%), (VZ, 10.12%), (VZ, 10.12%), (VZ, 10.12%), (VZ, 10.12%), (TXN, 10.10%), (TXN, 10.10%), (TXN, 10.10%), (TXN, 10.10%), (TXN, 10.10%), (TXN, 10.10%), (TXN, 10.10%), (TXN, 10.10%), (DIS, 9.97%), (DIS, 9.97%), (DIS, 9.97%), (DIS, 9.97%), (DIS, 9.97%), (DIS, 9.97%), (DIS, 9.97%), (DIS, 9.97%), (COP, 9.63%), (COP, 9.63%), (COP, 9.63%), (COP, 9.63%), (COP, 9.63%), (COP, 9.63%), (COP, 9.63%), (COP, 9.63%), (TMO, 9.62%), (TMO, 9.62%), (TMO, 9.62%), (TMO, 9.62%), (TMO, 9.62%), (TMO, 9.62%), (TMO, 9.62%), (MDT, 9.54%), (MDT, 9.54%), (MDT, 9.54%), (MDT, 9.54%), (MDT, 9.54%), (MDT, 9.54%), (MDT, 9.54%), (MDT, 9.54%), (C, 9.30%), (C, 9.30%), (C, 9.30%), (C, 9.30%), (C, 9.30%), (C, 9.30%), (C, 9.30%), (C, 9.30%), (SCHW, 9.08%), (SCHW, 9.08%), (SCHW, 9.08%), (SCHW, 9.08%), (SCHW, 9.08%), (SCHW, 9.08%), (SCHW, 9.08%), (SCHW, 9.08%), (SBUX, 9.04%), (SBUX, 9.04%), (SBUX, 9.04%), (SBUX, 9.04%), (SBUX, 9.04%), (SBUX, 9.04%), (SBUX, 9.04%), (SBUX, 9.04%), (AMGN, 8.54%), (AMGN, 8.54%), (AMGN, 8.54%), (AMGN, 8.54%), (AMGN, 8.54%), (AMGN, 8.54%), (AMGN, 8.54%), (ELV, 8.43%), (LMT, 8.08%), (LMT, 8.08%), (LMT, 8.08%), (LMT, 8.08%), (LMT, 8.08%), (LMT, 8.08%), (LMT, 8.08%), (EMR, 7.72%), (EMR, 7.72%), (EMR, 7.72%), (EMR, 7.72%), (EMR, 7.72%), (EMR, 7.72%), (EMR, 7.72%), (EMR, 7.72%), (MMM, 7.52%), (MMM, 7.52%), (MMM, 7.52%), (MMM, 7.52%), (MMM, 7.52%), (MMM, 7.52%), (MMM, 7.52%), (MMM, 7.52%), (GILD, 7.42%), (GILD, 7.42%), (GILD, 7.42%), (GILD, 7.42%), (GILD, 7.42%), (GILD, 7.42%), (GILD, 7.42%), (GILD, 7.42%), (PFE, 7.29%), (PFE, 7.29%), (PFE, 7.29%), (PFE, 7.29%), (PFE, 7.29%), (PFE, 7.29%), (PFE, 7.29%), (PFE, 7.29%), (TJX, 6.87%), (TJX, 6.87%), (TJX, 6.87%), (TJX, 6.87%), (TJX, 6.87%), (TJX, 6.87%), (TJX, 6.87%), (TJX, 6.87%), (DHR, 6.87%), (DHR, 6.87%), (DHR, 6.87%), (DHR, 6.87%), (DHR, 6.87%), (DHR, 6.87%), (DHR, 6.87%), (LOW, 6.26%), (LOW, 6.26%), (LOW, 6.26%), (LOW, 6.26%), (LOW, 6.26%), (LOW, 6.26%), (LOW, 6.26%), (BK, 6.16%), (MO, 6.14%), (MO, 6.14%), (MO, 6.14%), (MO, 6.14%), (MO, 6.14%), (MO, 6.14%), (MO, 6.14%), (MO, 6.14%), (CVS, 6.08%), (CVS, 6.08%), (CVS, 6.08%), (CVS, 6.08%), (CVS, 6.08%), (CVS, 6.08%), (CVS, 6.08%), (CVS, 6.08%), (EBAY, 5.98%)</t>
  </si>
  <si>
    <t>AAPL: 5.89%, AAPL: 5.89%, AAPL: 5.89%, AAPL: 5.89%, AAPL: 5.89%, AAPL: 5.89%, AAPL: 5.89%, AAPL: 5.89%, ABBV: 0.62%, ABBV: 0.62%, ABBV: 0.62%, ABBV: 0.62%, ABBV: 0.62%, ABBV: 0.62%, ABBV: 0.62%, ABBV: 0.62%, ABT: 0.41%, ABT: 0.41%, ABT: 0.41%, ABT: 0.41%, ABT: 0.41%, ABT: 0.41%, ABT: 0.41%, ABT: 0.41%, ACN: 0.33%, ACN: 0.33%, ACN: 0.33%, ACN: 0.33%, ACN: 0.33%, ACN: 0.33%, ACN: 0.33%, ACN: 0.33%, ADBE: 0.29%, ADBE: 0.29%, ADBE: 0.29%, ADBE: 0.29%, ADBE: 0.29%, ADBE: 0.29%, ADBE: 0.29%, ADM: 0.05%, ADP: 0.23%, AFL: 0.09%, ALL: 0.10%, AMAT: 0.28%, AMAT: 0.28%, AMAT: 0.28%, AMAT: 0.28%, AMAT: 0.28%, AMAT: 0.28%, AMAT: 0.28%, AMAT: 0.28%, AMD: 0.50%, AMD: 0.50%, AMD: 0.50%, AMD: 0.50%, AMD: 0.50%, AMD: 0.50%, AMD: 0.50%, AMD: 0.50%, AMGN: 0.30%, AMGN: 0.30%, AMGN: 0.30%, AMGN: 0.30%, AMGN: 0.30%, AMGN: 0.30%, AMGN: 0.30%, AMP: 0.09%, AMT: 0.20%, AMZN: 4.03%, AMZN: 4.03%, AMZN: 4.03%, AMZN: 4.03%, AMZN: 4.03%, AMZN: 4.03%, AMZN: 4.03%, AMZN: 4.03%, AVGO: 2.52%, AVGO: 2.52%, AVGO: 2.52%, AVGO: 2.52%, AVGO: 2.52%, AVGO: 2.52%, AVGO: 2.52%, AVGO: 2.52%, AXP: 0.32%, AXP: 0.32%, AXP: 0.32%, AXP: 0.32%, AXP: 0.32%, AXP: 0.32%, AXP: 0.32%, BA: 0.32%, BA: 0.32%, BA: 0.32%, BA: 0.32%, BA: 0.32%, BA: 0.32%, BA: 0.32%, BA: 0.32%, BAC: 0.59%, BAC: 0.59%, BAC: 0.59%, BAC: 0.59%, BAC: 0.59%, BAC: 0.59%, BAC: 0.59%, BAC: 0.59%, BK: 0.13%, BKNG: 0.34%, BKR: 0.08%, BLK: 0.30%, BLK: 0.30%, BLK: 0.30%, BMY: 0.18%, BMY: 0.18%, BMY: 0.18%, BMY: 0.18%, BMY: 0.18%, BMY: 0.18%, BMY: 0.18%, BMY: 0.18%, BRK/B: 1.64%, BRK/B: 1.64%, BRK/B: 1.64%, BRK/B: 1.64%, BRK/B: 1.64%, BRK/B: 1.64%, BRK/B: 1.64%, BRK/B: 1.64%, C: 0.33%, C: 0.33%, C: 0.33%, C: 0.33%, C: 0.33%, C: 0.33%, C: 0.33%, C: 0.33%, CAT: 0.38%, CAT: 0.38%, CAT: 0.38%, CAT: 0.38%, CAT: 0.38%, CAT: 0.38%, CAT: 0.38%, CAT: 0.38%, CB: 0.18%, CF: 0.03%, CINF: 0.04%, CL: 0.13%, CL: 0.13%, CL: 0.13%, CL: 0.13%, CL: 0.13%, CL: 0.13%, CL: 0.13%, CL: 0.13%, CMCSA: 0.23%, CMCSA: 0.23%, CMCSA: 0.23%, CMCSA: 0.23%, CMCSA: 0.23%, CMCSA: 0.23%, CMCSA: 0.23%, CMCSA: 0.23%, COP: 0.22%, COP: 0.22%, COP: 0.22%, COP: 0.22%, COP: 0.22%, COP: 0.22%, COP: 0.22%, COP: 0.22%, COST: 0.77%, COST: 0.77%, COST: 0.77%, COST: 0.77%, COST: 0.77%, COST: 0.77%, COST: 0.77%, CRM: 0.48%, CRM: 0.48%, CRM: 0.48%, CRM: 0.48%, CRM: 0.48%, CRM: 0.48%, CRM: 0.48%, CRM: 0.48%, CSCO: 0.50%, CSCO: 0.50%, CSCO: 0.50%, CSCO: 0.50%, CSCO: 0.50%, CSCO: 0.50%, CSCO: 0.50%, CSCO: 0.50%, CTSH: 0.07%, CVS: 0.14%, CVS: 0.14%, CVS: 0.14%, CVS: 0.14%, CVS: 0.14%, CVS: 0.14%, CVS: 0.14%, CVS: 0.14%, CVX: 0.55%, CVX: 0.55%, CVX: 0.55%, CVX: 0.55%, CVX: 0.55%, CVX: 0.55%, CVX: 0.55%, CVX: 0.55%, DE: 0.24%, DE: 0.24%, DE: 0.24%, DE: 0.24%, DE: 0.24%, DE: 0.24%, DE: 0.24%, DHI: 0.07%, DHR: 0.24%, DHR: 0.24%, DHR: 0.24%, DHR: 0.24%, DHR: 0.24%, DHR: 0.24%, DHR: 0.24%, DIS: 0.40%, DIS: 0.40%, DIS: 0.40%, DIS: 0.40%, DIS: 0.40%, DIS: 0.40%, DIS: 0.40%, DIS: 0.40%, DOV: 0.05%, DUK: 0.17%, EA: 0.06%, EBAY: 0.07%, EG: 0.03%, ELV: 0.12%, EMR: 0.16%, EMR: 0.16%, EMR: 0.16%, EMR: 0.16%, EMR: 0.16%, EMR: 0.16%, EMR: 0.16%, EMR: 0.16%, EOG: 0.12%, ETN: 0.28%, ETN: 0.28%, ETN: 0.28%, ETN: 0.28%, ETN: 0.28%, ETN: 0.28%, ETN: 0.28%, FANG: 0.05%, FDX: 0.10%, FDX: 0.10%, FDX: 0.10%, FDX: 0.10%, FDX: 0.10%, FDX: 0.10%, GE: 0.53%, GE: 0.53%, GE: 0.53%, GE: 0.53%, GE: 0.53%, GE: 0.53%, GE: 0.53%, GE: 0.53%, GEV: 0.32%, GILD: 0.27%, GILD: 0.27%, GILD: 0.27%, GILD: 0.27%, GILD: 0.27%, GILD: 0.27%, GILD: 0.27%, GILD: 0.27%, GOOG: 1.68%, GS: 0.41%, GS: 0.41%, GS: 0.41%, GS: 0.41%, GS: 0.41%, GS: 0.41%, HD: 0.69%, HD: 0.69%, HD: 0.69%, HD: 0.69%, HD: 0.69%, HD: 0.69%, HD: 0.69%, HD: 0.69%, HIG: 0.06%, HON: 0.27%, HON: 0.27%, HON: 0.27%, HON: 0.27%, HON: 0.27%, HON: 0.27%, HON: 0.27%, HON: 0.27%, IBM: 0.45%, IBM: 0.45%, IBM: 0.45%, IBM: 0.45%, IBM: 0.45%, IBM: 0.45%, IBM: 0.45%, IBM: 0.45%, INTC: 0.17%, INTC: 0.17%, INTC: 0.17%, INTC: 0.17%, INTC: 0.17%, INTC: 0.17%, INTC: 0.17%, INTC: 0.17%, INTU: 0.41%, INTU: 0.41%, INTU: 0.41%, INTU: 0.41%, INTU: 0.41%, INTU: 0.41%, ISRG: 0.33%, ISRG: 0.33%, ISRG: 0.33%, ISRG: 0.33%, ISRG: 0.33%, ISRG: 0.33%, ISRG: 0.33%, JNJ: 0.75%, JNJ: 0.75%, JNJ: 0.75%, JNJ: 0.75%, JNJ: 0.75%, JNJ: 0.75%, JNJ: 0.75%, JNJ: 0.75%, JPM: 1.53%, JPM: 1.53%, JPM: 1.53%, JPM: 1.53%, JPM: 1.53%, JPM: 1.53%, JPM: 1.53%, JPM: 1.53%, KLAC: 0.22%, KO: 0.49%, KO: 0.49%, KO: 0.49%, KO: 0.49%, KO: 0.49%, KO: 0.49%, KO: 0.49%, KO: 0.49%, LEN: 0.05%, LIN: 0.41%, LLY: 1.18%, LLY: 1.18%, LLY: 1.18%, LLY: 1.18%, LLY: 1.18%, LLY: 1.18%, LLY: 1.18%, LLY: 1.18%, LMT: 0.16%, LMT: 0.16%, LMT: 0.16%, LMT: 0.16%, LMT: 0.16%, LMT: 0.16%, LMT: 0.16%, LOW: 0.23%, LOW: 0.23%, LOW: 0.23%, LOW: 0.23%, LOW: 0.23%, LOW: 0.23%, LOW: 0.23%, LRCX: 0.23%, MA: 0.85%, MA: 0.85%, MA: 0.85%, MA: 0.85%, MA: 0.85%, MA: 0.85%, MA: 0.85%, MA: 0.85%, MCD: 0.39%, MCD: 0.39%, MCD: 0.39%, MCD: 0.39%, MCD: 0.39%, MCD: 0.39%, MCD: 0.39%, MCD: 0.39%, MCK: 0.16%, MDLZ: 0.17%, MDLZ: 0.17%, MDLZ: 0.17%, MDLZ: 0.17%, MDLZ: 0.17%, MDLZ: 0.17%, MDLZ: 0.17%, MDLZ: 0.17%, MDT: 0.22%, MDT: 0.22%, MDT: 0.22%, MDT: 0.22%, MDT: 0.22%, MDT: 0.22%, MDT: 0.22%, MDT: 0.22%, MET: 0.08%, META: 2.85%, META: 2.85%, META: 2.85%, META: 2.85%, META: 2.85%, META: 2.85%, META: 2.85%, META: 2.85%, MMM: 0.15%, MMM: 0.15%, MMM: 0.15%, MMM: 0.15%, MMM: 0.15%, MMM: 0.15%, MMM: 0.15%, MMM: 0.15%, MO: 0.19%, MO: 0.19%, MO: 0.19%, MO: 0.19%, MO: 0.19%, MO: 0.19%, MO: 0.19%, MO: 0.19%, MPWR: 0.06%, MRK: 0.39%, MRK: 0.39%, MRK: 0.39%, MRK: 0.39%, MRK: 0.39%, MRK: 0.39%, MRK: 0.39%, MRK: 0.39%, MS: 0.33%, MS: 0.33%, MS: 0.33%, MS: 0.33%, MS: 0.33%, MS: 0.33%, MS: 0.33%, MS: 0.33%, MSFT: 7.04%, MSFT: 7.04%, MSFT: 7.04%, MSFT: 7.04%, MSFT: 7.04%, MSFT: 7.04%, MSFT: 7.04%, MSFT: 7.04%, MTB: 0.06%, NEE: 0.27%, NEE: 0.27%, NEE: 0.27%, NEE: 0.27%, NEE: 0.27%, NEE: 0.27%, NEE: 0.27%, NEE: 0.27%, NFLX: 0.93%, NFLX: 0.93%, NFLX: 0.93%, NFLX: 0.93%, NFLX: 0.93%, NFLX: 0.93%, NKE: 0.17%, NKE: 0.17%, NKE: 0.17%, NKE: 0.17%, NKE: 0.17%, NKE: 0.17%, NKE: 0.17%, NKE: 0.17%, NOW: 0.37%, NOW: 0.37%, NOW: 0.37%, NTRS: 0.05%, NUE: 0.06%, NVDA: 7.81%, NVDA: 7.81%, NVDA: 7.81%, NVDA: 7.81%, NVDA: 7.81%, NVDA: 7.81%, NVDA: 7.81%, NVDA: 7.81%, ODFL: 0.06%, ORCL: 0.74%, ORCL: 0.74%, ORCL: 0.74%, ORCL: 0.74%, ORCL: 0.74%, ORCL: 0.74%, ORCL: 0.74%, ORCL: 0.74%, PAYC: 0.02%, PCAR: 0.10%, PEP: 0.36%, PEP: 0.36%, PEP: 0.36%, PEP: 0.36%, PEP: 0.36%, PEP: 0.36%, PEP: 0.36%, PEP: 0.36%, PFE: 0.26%, PFE: 0.26%, PFE: 0.26%, PFE: 0.26%, PFE: 0.26%, PFE: 0.26%, PFE: 0.26%, PFE: 0.26%, PG: 0.68%, PG: 0.68%, PG: 0.68%, PG: 0.68%, PG: 0.68%, PG: 0.68%, PG: 0.68%, PG: 0.68%, PGR: 0.27%, PHM: 0.04%, PLTR: 0.62%, PLTR: 0.62%, PLTR: 0.62%, PLTR: 0.62%, PLTR: 0.62%, PLTR: 0.62%, PLTR: 0.62%, PLTR: 0.62%, PM: 0.46%, PM: 0.46%, PM: 0.46%, PM: 0.46%, PM: 0.46%, PM: 0.46%, PM: 0.46%, PM: 0.46%, PNC: 0.14%, PYPL: 0.14%, PYPL: 0.14%, PYPL: 0.14%, PYPL: 0.14%, PYPL: 0.14%, PYPL: 0.14%, PYPL: 0.14%, PYPL: 0.14%, QCOM: 0.32%, QCOM: 0.32%, QCOM: 0.32%, QCOM: 0.32%, QCOM: 0.32%, QCOM: 0.32%, QCOM: 0.32%, QCOM: 0.32%, RJF: 0.06%, ROST: 0.08%, RTX: 0.39%, RTX: 0.39%, RTX: 0.39%, RTX: 0.39%, RTX: 0.39%, RTX: 0.39%, RTX: 0.39%, RTX: 0.39%, SBUX: 0.20%, SBUX: 0.20%, SBUX: 0.20%, SBUX: 0.20%, SBUX: 0.20%, SBUX: 0.20%, SBUX: 0.20%, SBUX: 0.20%, SCHW: 0.31%, SCHW: 0.31%, SCHW: 0.31%, SCHW: 0.31%, SCHW: 0.31%, SCHW: 0.31%, SCHW: 0.31%, SCHW: 0.31%, SNA: 0.03%, SO: 0.19%, SO: 0.19%, SO: 0.19%, SO: 0.19%, SO: 0.19%, SO: 0.19%, SO: 0.19%, SO: 0.19%, SPGI: 0.31%, SPGI: 0.31%, SPGI: 0.31%, SPGI: 0.31%, SPGI: 0.31%, SPGI: 0.31%, STT: 0.06%, SYF: 0.05%, T: 0.37%, T: 0.37%, T: 0.37%, T: 0.37%, T: 0.37%, T: 0.37%, T: 0.37%, T: 0.37%, TGT: 0.09%, TGT: 0.09%, TGT: 0.09%, TGT: 0.09%, TGT: 0.09%, TGT: 0.09%, TGT: 0.09%, TJX: 0.26%, TJX: 0.26%, TJX: 0.26%, TJX: 0.26%, TJX: 0.26%, TJX: 0.26%, TJX: 0.26%, TJX: 0.26%, TMO: 0.33%, TMO: 0.33%, TMO: 0.33%, TMO: 0.33%, TMO: 0.33%, TMO: 0.33%, TMO: 0.33%, TRV: 0.11%, TSLA: 1.63%, TSLA: 1.63%, TSLA: 1.63%, TSLA: 1.63%, TSLA: 1.63%, TSLA: 1.63%, TSLA: 1.63%, TSLA: 1.63%, TXN: 0.31%, TXN: 0.31%, TXN: 0.31%, TXN: 0.31%, TXN: 0.31%, TXN: 0.31%, TXN: 0.31%, TXN: 0.31%, UBER: 0.35%, UBER: 0.35%, UBER: 0.35%, UBER: 0.35%, UBER: 0.35%, UBER: 0.35%, UBER: 0.35%, UBER: 0.35%, UNH: 0.47%, UNH: 0.47%, UNH: 0.47%, UNH: 0.47%, UNH: 0.47%, UNH: 0.47%, UNH: 0.47%, UNH: 0.47%, UNP: 0.25%, UNP: 0.25%, UNP: 0.25%, UNP: 0.25%, UNP: 0.25%, UNP: 0.25%, UNP: 0.25%, UNP: 0.25%, UPS: 0.14%, UPS: 0.14%, UPS: 0.14%, UPS: 0.14%, UPS: 0.14%, UPS: 0.14%, UPS: 0.14%, UPS: 0.14%, USB: 0.13%, USB: 0.13%, USB: 0.13%, USB: 0.13%, USB: 0.13%, USB: 0.13%, USB: 0.13%, USB: 0.13%, V: 1.13%, V: 1.13%, V: 1.13%, V: 1.13%, V: 1.13%, V: 1.13%, V: 1.13%, V: 1.13%, VZ: 0.34%, VZ: 0.34%, VZ: 0.34%, VZ: 0.34%, VZ: 0.34%, VZ: 0.34%, VZ: 0.34%, VZ: 0.34%, WFC: 0.51%, WFC: 0.51%, WFC: 0.51%, WFC: 0.51%, WFC: 0.51%, WFC: 0.51%, WFC: 0.51%, WFC: 0.51%, WM: 0.15%, WMT: 0.78%, WMT: 0.78%, WMT: 0.78%, WMT: 0.78%, WMT: 0.78%, WMT: 0.78%, WMT: 0.78%, WMT: 0.78%, WSM: 0.04%, XOM: 0.88%, XOM: 0.88%, XOM: 0.88%, XOM: 0.88%, XOM: 0.88%, XOM: 0.88%, XOM: 0.88%, XOM: 0.88%</t>
  </si>
  <si>
    <t>NVDA (191.72%)</t>
  </si>
  <si>
    <t>(NVDA, 9.16%), (MSFT, 8.15%), (AAPL, 6.92%)</t>
  </si>
  <si>
    <t>AAPL: 5.89%, ABBV: 0.62%, ABT: 0.41%, ACN: 0.33%, ADBE: 0.29%, AMAT: 0.28%, AMD: 0.50%, AMGN: 0.30%, AMT: 0.20%, AMZN: 4.03%, AVGO: 2.52%, AXP: 0.32%, BA: 0.32%, BAC: 0.59%, BKNG: 0.34%, BLK: 0.30%, BMY: 0.18%, BRK/B: 1.64%, C: 0.33%, CAT: 0.38%, CB: 0.18%, CL: 0.13%, CMCSA: 0.23%, COP: 0.22%, COST: 0.77%, CRM: 0.48%, CSCO: 0.50%, CVS: 0.14%, CVX: 0.55%, DE: 0.24%, DHR: 0.24%, DIS: 0.40%, DUK: 0.17%, ELV: 0.12%, EMR: 0.16%, ETN: 0.28%, FDX: 0.10%, GE: 0.53%, GILD: 0.27%, GOOG: 1.68%, GS: 0.41%, HD: 0.69%, HON: 0.27%, IBM: 0.45%, INTC: 0.17%, INTU: 0.41%, ISRG: 0.33%, JNJ: 0.75%, JPM: 1.53%, KO: 0.49%, LIN: 0.41%, LLY: 1.18%, LMT: 0.16%, LOW: 0.23%, MA: 0.85%, MCD: 0.39%, MDLZ: 0.17%, MDT: 0.22%, MET: 0.08%, META: 2.85%, MMM: 0.15%, MO: 0.19%, MRK: 0.39%, MS: 0.33%, MSFT: 7.04%, NEE: 0.27%, NFLX: 0.93%, NKE: 0.17%, NOW: 0.37%, NVDA: 7.81%, ORCL: 0.74%, PEP: 0.36%, PFE: 0.26%, PG: 0.68%, PLTR: 0.62%, PM: 0.46%, PYPL: 0.14%, QCOM: 0.32%, RTX: 0.39%, SBUX: 0.20%, SCHW: 0.31%, SO: 0.19%, SPGI: 0.31%, T: 0.37%, TGT: 0.09%, TJX: 0.26%, TMO: 0.33%, TSLA: 1.63%, TXN: 0.31%, UBER: 0.35%, UNH: 0.47%, UNP: 0.25%, UPS: 0.14%, USB: 0.13%, V: 1.13%, VZ: 0.34%, WFC: 0.51%, WM: 0.15%, WMT: 0.78%, XOM: 0.88%</t>
  </si>
  <si>
    <t>JPM (2.12%)</t>
  </si>
  <si>
    <t>(NVDA, 8.66%), (MSFT, 7.70%), (AAPL, 6.54%)</t>
  </si>
  <si>
    <t>XOM (1.77%)</t>
  </si>
  <si>
    <t>XOM (1.78%)</t>
  </si>
  <si>
    <t>(NVDA, 9.56%), (MSFT, 8.50%), (AAPL, 7.22%)</t>
  </si>
  <si>
    <t>CSCO (2.17%)</t>
  </si>
  <si>
    <t>(NVDA, 9.12%), (MSFT, 8.12%), (AAPL, 6.89%)</t>
  </si>
  <si>
    <t>(NVDA, 8.51%), (MSFT, 7.56%), (AAPL, 6.42%)</t>
  </si>
  <si>
    <t>AAPL: 5.89%, ABT: 0.41%, ACN: 0.33%, ADM: 0.05%, ADP: 0.23%, AFL: 0.09%, ALL: 0.10%, AMAT: 0.28%, AMP: 0.09%, AXP: 0.32%, BK: 0.13%, BKNG: 0.34%, BKR: 0.08%, BLK: 0.30%, CB: 0.18%, CF: 0.03%, CINF: 0.04%, COST: 0.77%, CRM: 0.48%, CSCO: 0.50%, CTSH: 0.07%, DHI: 0.07%, DOV: 0.05%, EA: 0.06%, EBAY: 0.07%, EG: 0.03%, ELV: 0.12%, EOG: 0.12%, FANG: 0.05%, GE: 0.53%, GEV: 0.32%, GOOGL: 2.07%, HIG: 0.06%, JNJ: 0.75%, JPM: 1.53%, KLAC: 0.22%, LEN: 0.05%, LRCX: 0.23%, MA: 0.85%, MCK: 0.16%, META: 2.85%, MPWR: 0.06%, MSFT: 7.04%, MTB: 0.06%, NKE: 0.17%, NTRS: 0.05%, NUE: 0.06%, NVDA: 7.81%, ODFL: 0.06%, PAYC: 0.02%, PCAR: 0.10%, PGR: 0.27%, PHM: 0.04%, PNC: 0.14%, QCOM: 0.32%, RJF: 0.06%, ROST: 0.08%, SNA: 0.03%, STT: 0.06%, SYF: 0.05%, TRV: 0.11%, V: 1.13%, WSM: 0.04%, XOM: 0.88%</t>
  </si>
  <si>
    <t>HIG (1.92%)</t>
  </si>
  <si>
    <t>AAPL (1.92%)</t>
  </si>
  <si>
    <t>(NVDA, 9.09%), (MSFT, 8.09%), (AAPL, 6.87%)</t>
  </si>
  <si>
    <t>(NVDA, 8.91%), (MSFT, 7.92%), (AAPL, 6.73%)</t>
  </si>
  <si>
    <t>(NVDA, 27.71%), (NVDA, 27.71%), (NVDA, 27.71%), (NVDA, 27.71%), (NVDA, 27.71%), (NVDA, 27.71%), (NVDA, 27.71%), (NVDA, 27.71%), (MSFT, 24.86%), (MSFT, 24.86%), (MSFT, 24.86%), (MSFT, 24.86%), (MSFT, 24.86%), (MSFT, 24.86%), (MSFT, 24.86%), (MSFT, 24.86%), (AAPL, 20.88%), (AAPL, 20.88%), (AAPL, 20.88%), (AAPL, 20.88%), (AAPL, 20.88%), (AAPL, 20.88%), (AAPL, 20.88%), (AAPL, 20.88%), (AMZN, 15.26%), (AMZN, 15.26%), (AMZN, 15.26%), (AMZN, 15.26%), (AMZN, 15.26%), (AMZN, 15.26%), (AMZN, 15.26%), (AMZN, 15.26%), (GOOG, 13.41%), (AVGO, 11.54%), (AVGO, 11.54%), (AVGO, 11.54%), (AVGO, 11.54%), (AVGO, 11.54%), (AVGO, 11.54%), (AVGO, 11.54%), (AVGO, 11.54%), (META, 11.17%), (META, 11.17%), (META, 11.17%), (META, 11.17%), (META, 11.17%), (META, 11.17%), (META, 11.17%), (META, 11.17%), (BRK/B, 7.89%), (BRK/B, 7.89%), (BRK/B, 7.89%), (BRK/B, 7.89%), (BRK/B, 7.89%), (BRK/B, 7.89%), (BRK/B, 7.89%), (BRK/B, 7.89%), (JPM, 7.06%), (JPM, 7.06%), (JPM, 7.06%), (JPM, 7.06%), (JPM, 7.06%), (JPM, 7.06%), (JPM, 7.06%), (JPM, 7.06%), (CSCO, 6.73%), (CSCO, 6.73%), (CSCO, 6.73%), (CSCO, 6.73%), (CSCO, 6.73%), (CSCO, 6.73%), (CSCO, 6.73%), (CSCO, 6.73%), (TSLA, 6.27%), (TSLA, 6.27%), (TSLA, 6.27%), (TSLA, 6.27%), (TSLA, 6.27%), (TSLA, 6.27%), (TSLA, 6.27%), (TSLA, 6.27%), (V, 6.21%), (V, 6.21%), (V, 6.21%), (V, 6.21%), (V, 6.21%), (V, 6.21%), (V, 6.21%), (V, 6.21%), (LIN, 6.17%), (AMT, 5.99%)</t>
  </si>
  <si>
    <t>NVDA (27.71%)</t>
  </si>
  <si>
    <t>(NVDA, 9.22%), (MSFT, 8.16%), (AAPL, 6.85%)</t>
  </si>
  <si>
    <t>AAPL: 5.84%, ABBV: 0.62%, ABT: 0.41%, ACN: 0.32%, ADBE: 0.29%, AMAT: 0.28%, AMD: 0.53%, AMGN: 0.30%, AMT: 0.19%, AMZN: 4.04%, AVGO: 2.59%, AXP: 0.32%, BA: 0.32%, BAC: 0.58%, BKNG: 0.34%, BLK: 0.30%, BMY: 0.18%, BRK/B: 1.62%, C: 0.33%, CAT: 0.37%, CB: 0.18%, CL: 0.13%, CMCSA: 0.23%, COP: 0.23%, COST: 0.77%, CRM: 0.47%, CSCO: 0.50%, CVS: 0.14%, CVX: 0.56%, DE: 0.24%, DHR: 0.24%, DIS: 0.40%, DUK: 0.17%, ELV: 0.12%, EMR: 0.15%, ETN: 0.28%, FDX: 0.10%, GE: 0.53%, GILD: 0.26%, GOOG: 1.71%, GS: 0.42%, HD: 0.69%, HON: 0.26%, IBM: 0.45%, INTC: 0.16%, INTU: 0.42%, ISRG: 0.33%, JNJ: 0.75%, JPM: 1.53%, KO: 0.50%, LIN: 0.41%, LLY: 1.11%, LMT: 0.16%, LOW: 0.24%, MA: 0.85%, MCD: 0.40%, MDLZ: 0.17%, MDT: 0.22%, MET: 0.08%, META: 2.81%, MMM: 0.15%, MO: 0.18%, MRK: 0.38%, MS: 0.33%, MSFT: 7.05%, NEE: 0.27%, NFLX: 0.92%, NKE: 0.17%, NOW: 0.38%, NVDA: 7.92%, ORCL: 0.75%, PEP: 0.36%, PFE: 0.26%, PG: 0.68%, PLTR: 0.61%, PM: 0.47%, PYPL: 0.13%, QCOM: 0.33%, RTX: 0.39%, SBUX: 0.20%, SCHW: 0.31%, SO: 0.19%, SPGI: 0.31%, T: 0.36%, TGT: 0.09%, TJX: 0.26%, TMO: 0.34%, TSLA: 1.67%, TXN: 0.32%, UBER: 0.34%, UNH: 0.44%, UNP: 0.25%, UPS: 0.12%, USB: 0.13%, V: 1.11%, VZ: 0.33%, WFC: 0.50%, WM: 0.16%, WMT: 0.79%, XOM: 0.90%</t>
  </si>
  <si>
    <t>(NVDA, 8.72%), (MSFT, 7.72%), (AAPL, 6.48%)</t>
  </si>
  <si>
    <t>AMT (1.87%)</t>
  </si>
  <si>
    <t>XOM (1.79%)</t>
  </si>
  <si>
    <t>(NVDA, 8.72%), (MSFT, 7.71%), (AAPL, 6.47%)</t>
  </si>
  <si>
    <t>AMT (1.88%)</t>
  </si>
  <si>
    <t>(NVDA, 9.63%), (MSFT, 8.52%), (AAPL, 7.14%)</t>
  </si>
  <si>
    <t>CSCO (2.18%)</t>
  </si>
  <si>
    <t>(NVDA, 9.19%), (MSFT, 8.13%), (AAPL, 6.82%)</t>
  </si>
  <si>
    <t>AMT (1.89%)</t>
  </si>
  <si>
    <t>(NVDA, 8.56%), (MSFT, 7.57%), (AAPL, 6.36%)</t>
  </si>
  <si>
    <t>AAPL: 5.84%, ABT: 0.41%, ACN: 0.32%, ADM: 0.05%, ADP: 0.23%, AFL: 0.09%, ALL: 0.10%, AMAT: 0.28%, AMP: 0.09%, AXP: 0.32%, BK: 0.13%, BKNG: 0.34%, BKR: 0.08%, BLK: 0.30%, CB: 0.18%, CF: 0.03%, CINF: 0.04%, COST: 0.77%, CRM: 0.47%, CSCO: 0.50%, CTSH: 0.07%, DHI: 0.08%, DOV: 0.05%, EA: 0.06%, EBAY: 0.07%, EG: 0.03%, ELV: 0.12%, EOG: 0.12%, FANG: 0.05%, GE: 0.53%, GEV: 0.32%, GOOGL: 2.11%, HIG: 0.07%, JNJ: 0.75%, JPM: 1.53%, KLAC: 0.22%, LEN: 0.05%, LRCX: 0.23%, MA: 0.85%, MCK: 0.16%, META: 2.81%, MPWR: 0.06%, MSFT: 7.05%, MTB: 0.06%, NKE: 0.17%, NTRS: 0.05%, NUE: 0.06%, NVDA: 7.92%, ODFL: 0.06%, PAYC: 0.02%, PCAR: 0.10%, PGR: 0.26%, PHM: 0.04%, PNC: 0.14%, QCOM: 0.33%, RJF: 0.06%, ROST: 0.08%, SNA: 0.03%, STT: 0.06%, SYF: 0.05%, TRV: 0.11%, V: 1.11%, WSM: 0.04%, XOM: 0.90%</t>
  </si>
  <si>
    <t>SNA (1.90%)</t>
  </si>
  <si>
    <t>AAPL (1.90%)</t>
  </si>
  <si>
    <t>(NVDA, 9.16%), (MSFT, 8.11%), (AAPL, 6.80%)</t>
  </si>
  <si>
    <t>(NVDA, 8.97%), (MSFT, 7.93%), (AAPL, 6.66%)</t>
  </si>
  <si>
    <t>(NVDA, 9.41%), (MSFT, 8.18%), (AAPL, 6.78%)</t>
  </si>
  <si>
    <t>TSLA (2.08%)</t>
  </si>
  <si>
    <t>(NVDA, 8.91%), (MSFT, 7.74%), (AAPL, 6.41%)</t>
  </si>
  <si>
    <t>AMT (1.81%)</t>
  </si>
  <si>
    <t>(NVDA, 8.90%), (MSFT, 7.73%), (AAPL, 6.40%)</t>
  </si>
  <si>
    <t>AMT (1.82%)</t>
  </si>
  <si>
    <t>(NVDA, 9.82%), (MSFT, 8.54%), (AAPL, 7.07%)</t>
  </si>
  <si>
    <t>CSCO (2.19%)</t>
  </si>
  <si>
    <t>TSLA (2.17%)</t>
  </si>
  <si>
    <t>(NVDA, 9.38%), (MSFT, 8.16%), (AAPL, 6.75%)</t>
  </si>
  <si>
    <t>(NVDA, 8.75%), (MSFT, 7.60%), (AAPL, 6.29%)</t>
  </si>
  <si>
    <t>AMT (1.83%)</t>
  </si>
  <si>
    <t>UNM (1.89%)</t>
  </si>
  <si>
    <t>(NVDA, 9.35%), (MSFT, 8.13%), (AAPL, 6.73%)</t>
  </si>
  <si>
    <t>(NVDA, 9.16%), (MSFT, 7.96%), (AAPL, 6.59%)</t>
  </si>
  <si>
    <t>AMT (1.84%)</t>
  </si>
  <si>
    <t>(NVDA, 9.61%), (MSFT, 8.59%), (AAPL, 6.83%)</t>
  </si>
  <si>
    <t>AAPL: 5.78%, ABBV: 0.62%, ABT: 0.41%, ACN: 0.32%, ADBE: 0.29%, AMAT: 0.29%, AMD: 0.54%, AMGN: 0.30%, AMT: 0.18%, AMZN: 4.03%, AVGO: 2.64%, AXP: 0.31%, BA: 0.32%, BAC: 0.58%, BKNG: 0.34%, BLK: 0.30%, BMY: 0.17%, BRK/B: 1.62%, C: 0.33%, CAT: 0.38%, CB: 0.18%, CL: 0.13%, CMCSA: 0.22%, COP: 0.23%, COST: 0.76%, CRM: 0.47%, CSCO: 0.50%, CVS: 0.15%, CVX: 0.54%, DE: 0.24%, DHR: 0.24%, DIS: 0.40%, DUK: 0.17%, ELV: 0.12%, EMR: 0.15%, ETN: 0.28%, FDX: 0.09%, GE: 0.54%, GILD: 0.26%, GOOG: 1.72%, GS: 0.42%, HD: 0.68%, HON: 0.26%, IBM: 0.45%, INTC: 0.16%, INTU: 0.42%, ISRG: 0.33%, JNJ: 0.75%, JPM: 1.54%, KO: 0.49%, LIN: 0.41%, LLY: 1.11%, LMT: 0.16%, LOW: 0.24%, MA: 0.84%, MCD: 0.40%, MDLZ: 0.16%, MDT: 0.22%, MET: 0.08%, META: 2.80%, MMM: 0.15%, MO: 0.19%, MRK: 0.38%, MS: 0.33%, MSFT: 7.07%, NEE: 0.27%, NFLX: 0.93%, NKE: 0.17%, NOW: 0.37%, NVDA: 8.10%, ORCL: 0.75%, PEP: 0.36%, PFE: 0.25%, PG: 0.66%, PLTR: 0.62%, PM: 0.47%, PYPL: 0.13%, QCOM: 0.32%, RTX: 0.39%, SBUX: 0.20%, SCHW: 0.31%, SO: 0.19%, SPGI: 0.31%, T: 0.37%, TGT: 0.09%, TJX: 0.26%, TMO: 0.33%, TSLA: 1.66%, TXN: 0.32%, UBER: 0.34%, UNH: 0.45%, UNP: 0.25%, UPS: 0.12%, USB: 0.13%, V: 1.11%, VZ: 0.33%, WFC: 0.49%, WM: 0.16%, WMT: 0.78%, XOM: 0.89%</t>
  </si>
  <si>
    <t>(NVDA, 9.07%), (MSFT, 8.11%), (AAPL, 6.45%)</t>
  </si>
  <si>
    <t>(NVDA, 9.07%), (MSFT, 8.11%), (AAPL, 6.44%)</t>
  </si>
  <si>
    <t>(NVDA, 10.02%), (MSFT, 8.95%), (AAPL, 7.12%)</t>
  </si>
  <si>
    <t>JPM (2.22%)</t>
  </si>
  <si>
    <t>TSLA (2.16%)</t>
  </si>
  <si>
    <t>(NVDA, 9.55%), (MSFT, 8.54%), (AAPL, 6.79%)</t>
  </si>
  <si>
    <t>TSLA (2.06%)</t>
  </si>
  <si>
    <t>(NVDA, 8.91%), (MSFT, 7.98%), (AAPL, 6.33%)</t>
  </si>
  <si>
    <t>AAPL: 5.78%, ABT: 0.41%, ACN: 0.32%, ADM: 0.05%, ADP: 0.23%, AFL: 0.09%, ALL: 0.09%, AMAT: 0.29%, AMP: 0.09%, AXP: 0.31%, BK: 0.14%, BKNG: 0.34%, BKR: 0.08%, BLK: 0.30%, CB: 0.18%, CF: 0.03%, CINF: 0.04%, COST: 0.76%, CRM: 0.47%, CSCO: 0.50%, CTSH: 0.07%, DHI: 0.07%, DOV: 0.05%, EA: 0.07%, EBAY: 0.07%, EG: 0.03%, ELV: 0.12%, EOG: 0.12%, FANG: 0.05%, GE: 0.54%, GEV: 0.33%, GOOGL: 2.12%, HIG: 0.07%, JNJ: 0.75%, JPM: 1.54%, KLAC: 0.23%, LEN: 0.05%, LRCX: 0.23%, MA: 0.84%, MCK: 0.17%, META: 2.80%, MPWR: 0.06%, MSFT: 7.07%, MTB: 0.06%, NKE: 0.17%, NTRS: 0.05%, NUE: 0.06%, NVDA: 8.10%, ODFL: 0.05%, PAYC: 0.02%, PCAR: 0.10%, PGR: 0.26%, PHM: 0.04%, PNC: 0.14%, QCOM: 0.32%, RJF: 0.06%, ROST: 0.08%, SNA: 0.03%, STT: 0.06%, SYF: 0.05%, TRV: 0.11%, V: 1.11%, WSM: 0.04%, XOM: 0.89%</t>
  </si>
  <si>
    <t>(NVDA, 9.52%), (MSFT, 8.50%), (AAPL, 6.77%)</t>
  </si>
  <si>
    <t>(NVDA, 9.33%), (MSFT, 8.34%), (AAPL, 6.63%)</t>
  </si>
  <si>
    <t>TSLA (2.02%)</t>
  </si>
  <si>
    <t>(NVDA, 9.37%), (MSFT, 8.55%), (AAPL, 6.70%)</t>
  </si>
  <si>
    <t>AAPL: 5.76%, ABBV: 0.62%, ABT: 0.41%, ACN: 0.31%, ADBE: 0.28%, AMAT: 0.27%, AMD: 0.53%, AMGN: 0.30%, AMT: 0.18%, AMZN: 4.11%, AVGO: 2.57%, AXP: 0.31%, BA: 0.31%, BAC: 0.58%, BKNG: 0.33%, BLK: 0.30%, BMY: 0.16%, BRK/B: 1.61%, C: 0.33%, CAT: 0.38%, CB: 0.18%, CL: 0.13%, CMCSA: 0.23%, COP: 0.22%, COST: 0.77%, CRM: 0.46%, CSCO: 0.50%, CVS: 0.15%, CVX: 0.54%, DE: 0.25%, DHR: 0.23%, DIS: 0.40%, DUK: 0.18%, ELV: 0.12%, EMR: 0.15%, ETN: 0.28%, FDX: 0.09%, GE: 0.54%, GILD: 0.26%, GOOG: 1.68%, GS: 0.41%, HD: 0.68%, HON: 0.27%, IBM: 0.44%, INTC: 0.16%, INTU: 0.41%, ISRG: 0.32%, JNJ: 0.74%, JPM: 1.53%, KO: 0.49%, LIN: 0.40%, LLY: 1.08%, LMT: 0.16%, LOW: 0.23%, MA: 0.85%, MCD: 0.40%, MDLZ: 0.16%, MDT: 0.22%, MET: 0.08%, META: 3.12%, MMM: 0.15%, MO: 0.19%, MRK: 0.36%, MS: 0.33%, MSFT: 7.37%, NEE: 0.27%, NFLX: 0.92%, NKE: 0.16%, NOW: 0.36%, NVDA: 8.06%, ORCL: 0.77%, PEP: 0.35%, PFE: 0.25%, PG: 0.66%, PLTR: 0.63%, PM: 0.47%, PYPL: 0.12%, QCOM: 0.30%, RTX: 0.39%, SBUX: 0.19%, SCHW: 0.31%, SO: 0.19%, SPGI: 0.32%, T: 0.37%, TGT: 0.09%, TJX: 0.26%, TMO: 0.33%, TSLA: 1.61%, TXN: 0.31%, UBER: 0.34%, UNH: 0.42%, UNP: 0.25%, UPS: 0.12%, USB: 0.13%, V: 1.10%, VZ: 0.34%, WFC: 0.49%, WM: 0.16%, WMT: 0.79%, XOM: 0.89%</t>
  </si>
  <si>
    <t>(NVDA, 8.87%), (MSFT, 8.09%), (AAPL, 6.35%)</t>
  </si>
  <si>
    <t>(NVDA, 8.85%), (MSFT, 8.07%), (AAPL, 6.33%)</t>
  </si>
  <si>
    <t>(NVDA, 9.77%), (MSFT, 8.92%), (AAPL, 6.99%)</t>
  </si>
  <si>
    <t>(NVDA, 9.32%), (MSFT, 8.51%), (AAPL, 6.67%)</t>
  </si>
  <si>
    <t>(NVDA, 8.70%), (MSFT, 7.94%), (AAPL, 6.23%)</t>
  </si>
  <si>
    <t>TSLA (1.89%)</t>
  </si>
  <si>
    <t>AAPL: 5.76%, ABT: 0.41%, ACN: 0.31%, ADM: 0.05%, ADP: 0.23%, AFL: 0.09%, ALL: 0.10%, AMAT: 0.27%, AMP: 0.09%, AXP: 0.31%, BK: 0.13%, BKNG: 0.33%, BKR: 0.08%, BLK: 0.30%, CB: 0.18%, CF: 0.03%, CINF: 0.04%, COST: 0.77%, CRM: 0.46%, CSCO: 0.50%, CTSH: 0.07%, DHI: 0.07%, DOV: 0.05%, EA: 0.06%, EBAY: 0.08%, EG: 0.03%, ELV: 0.12%, EOG: 0.12%, FANG: 0.05%, GE: 0.54%, GEV: 0.34%, GOOGL: 2.08%, HIG: 0.07%, JNJ: 0.74%, JPM: 1.53%, KLAC: 0.22%, LEN: 0.05%, LRCX: 0.23%, MA: 0.85%, MCK: 0.16%, META: 3.12%, MPWR: 0.06%, MSFT: 7.37%, MTB: 0.06%, NKE: 0.16%, NTRS: 0.05%, NUE: 0.06%, NVDA: 8.06%, ODFL: 0.05%, PAYC: 0.02%, PCAR: 0.10%, PGR: 0.26%, PHM: 0.04%, PNC: 0.14%, QCOM: 0.30%, RJF: 0.06%, ROST: 0.08%, SNA: 0.03%, STT: 0.06%, SYF: 0.05%, TRV: 0.11%, V: 1.10%, WSM: 0.04%, XOM: 0.89%</t>
  </si>
  <si>
    <t>SNA (1.89%)</t>
  </si>
  <si>
    <t>UNM (1.87%)</t>
  </si>
  <si>
    <t>(NVDA, 9.31%), (MSFT, 8.49%), (AAPL, 6.66%)</t>
  </si>
  <si>
    <t>(NVDA, 9.11%), (MSFT, 8.31%), (AAPL, 6.52%)</t>
  </si>
  <si>
    <t>TSLA (1.97%)</t>
  </si>
  <si>
    <t>AMT (1.90%)</t>
  </si>
  <si>
    <t>(NVDA, 9.37%), (MSFT, 8.60%), (AAPL, 6.73%)</t>
  </si>
  <si>
    <t>AAPL: 5.71%, ABBV: 0.65%, ABT: 0.42%, ACN: 0.30%, ADBE: 0.28%, AMAT: 0.28%, AMD: 0.53%, AMGN: 0.30%, AMT: 0.19%, AMZN: 3.83%, AVGO: 2.56%, AXP: 0.31%, BA: 0.32%, BAC: 0.57%, BKNG: 0.33%, BLK: 0.30%, BMY: 0.17%, BRK/B: 1.64%, C: 0.32%, CAT: 0.38%, CB: 0.19%, CL: 0.13%, CMCSA: 0.23%, COP: 0.22%, COST: 0.80%, CRM: 0.45%, CSCO: 0.50%, CVS: 0.15%, CVX: 0.55%, DE: 0.24%, DHR: 0.24%, DIS: 0.40%, DUK: 0.18%, ELV: 0.12%, EMR: 0.15%, ETN: 0.28%, FDX: 0.09%, GE: 0.54%, GILD: 0.27%, GOOG: 1.68%, GS: 0.41%, HD: 0.70%, HON: 0.26%, IBM: 0.44%, INTC: 0.16%, INTU: 0.41%, ISRG: 0.33%, JNJ: 0.76%, JPM: 1.52%, KO: 0.50%, LIN: 0.41%, LLY: 1.13%, LMT: 0.17%, LOW: 0.24%, MA: 0.86%, MCD: 0.41%, MDLZ: 0.16%, MDT: 0.22%, MET: 0.08%, META: 3.08%, MMM: 0.15%, MO: 0.20%, MRK: 0.38%, MS: 0.32%, MSFT: 7.36%, NEE: 0.27%, NFLX: 0.93%, NKE: 0.17%, NOW: 0.36%, NVDA: 8.00%, ORCL: 0.75%, PEP: 0.36%, PFE: 0.25%, PG: 0.67%, PLTR: 0.62%, PM: 0.48%, PYPL: 0.12%, QCOM: 0.31%, RTX: 0.40%, SBUX: 0.19%, SCHW: 0.31%, SO: 0.20%, SPGI: 0.32%, T: 0.38%, TGT: 0.09%, TJX: 0.27%, TMO: 0.33%, TSLA: 1.60%, TXN: 0.31%, UBER: 0.34%, UNH: 0.41%, UNP: 0.25%, UPS: 0.12%, USB: 0.13%, V: 1.10%, VZ: 0.34%, WFC: 0.48%, WM: 0.16%, WMT: 0.80%, XOM: 0.89%</t>
  </si>
  <si>
    <t>(NVDA, 8.87%), (MSFT, 8.14%), (AAPL, 6.37%)</t>
  </si>
  <si>
    <t>(NVDA, 8.86%), (MSFT, 8.12%), (AAPL, 6.36%)</t>
  </si>
  <si>
    <t>(NVDA, 9.77%), (MSFT, 8.96%), (AAPL, 7.01%)</t>
  </si>
  <si>
    <t>(NVDA, 9.33%), (MSFT, 8.56%), (AAPL, 6.69%)</t>
  </si>
  <si>
    <t>(NVDA, 8.70%), (MSFT, 7.98%), (AAPL, 6.25%)</t>
  </si>
  <si>
    <t>XOM (1.76%)</t>
  </si>
  <si>
    <t>AAPL: 5.71%, ABT: 0.42%, ACN: 0.30%, ADM: 0.05%, ADP: 0.23%, AFL: 0.09%, ALL: 0.10%, AMAT: 0.28%, AMP: 0.09%, AXP: 0.31%, BK: 0.13%, BKNG: 0.33%, BKR: 0.08%, BLK: 0.30%, CB: 0.19%, CF: 0.03%, CINF: 0.04%, COST: 0.80%, CRM: 0.45%, CSCO: 0.50%, CTSH: 0.07%, DHI: 0.08%, DOV: 0.05%, EA: 0.07%, EBAY: 0.08%, EG: 0.03%, ELV: 0.12%, EOG: 0.12%, FANG: 0.05%, GE: 0.54%, GEV: 0.34%, GOOGL: 2.08%, HIG: 0.07%, JNJ: 0.76%, JPM: 1.52%, KLAC: 0.22%, LEN: 0.05%, LRCX: 0.23%, MA: 0.86%, MCK: 0.16%, META: 3.08%, MPWR: 0.07%, MSFT: 7.36%, MTB: 0.06%, NKE: 0.17%, NTRS: 0.05%, NUE: 0.06%, NVDA: 8.00%, ODFL: 0.05%, PAYC: 0.02%, PCAR: 0.10%, PGR: 0.27%, PHM: 0.04%, PNC: 0.14%, QCOM: 0.31%, RJF: 0.06%, ROST: 0.08%, SNA: 0.03%, STT: 0.06%, SYF: 0.05%, TRV: 0.11%, V: 1.10%, WSM: 0.04%, XOM: 0.89%</t>
  </si>
  <si>
    <t>AAPL (1.88%)</t>
  </si>
  <si>
    <t>UNM (1.86%)</t>
  </si>
  <si>
    <t>(NVDA, 9.31%), (MSFT, 8.54%), (AAPL, 6.68%)</t>
  </si>
  <si>
    <t>(NVDA, 9.11%), (MSFT, 8.36%), (AAPL, 6.54%)</t>
  </si>
  <si>
    <t>(NVDA, 9.46%), (MSFT, 8.58%), (AAPL, 6.66%)</t>
  </si>
  <si>
    <t>AAPL: 5.65%, ABBV: 0.65%, ABT: 0.42%, ACN: 0.30%, ADBE: 0.27%, AMAT: 0.28%, AMD: 0.53%, AMGN: 0.30%, AMT: 0.19%, AMZN: 3.72%, AVGO: 2.61%, AXP: 0.31%, BA: 0.31%, BAC: 0.56%, BKNG: 0.33%, BLK: 0.30%, BMY: 0.17%, BRK/B: 1.57%, C: 0.32%, CAT: 0.38%, CB: 0.19%, CL: 0.13%, CMCSA: 0.23%, COP: 0.22%, COST: 0.79%, CRM: 0.45%, CSCO: 0.51%, CVS: 0.14%, CVX: 0.54%, DE: 0.24%, DHR: 0.23%, DIS: 0.40%, DUK: 0.18%, ELV: 0.12%, EMR: 0.15%, ETN: 0.28%, FDX: 0.09%, GE: 0.55%, GILD: 0.26%, GOOG: 1.71%, GS: 0.41%, HD: 0.70%, HON: 0.26%, IBM: 0.44%, INTC: 0.16%, INTU: 0.41%, ISRG: 0.32%, JNJ: 0.77%, JPM: 1.52%, KO: 0.50%, LIN: 0.41%, LLY: 1.13%, LMT: 0.16%, LOW: 0.24%, MA: 0.86%, MCD: 0.40%, MDLZ: 0.15%, MDT: 0.21%, MET: 0.08%, META: 3.14%, MMM: 0.15%, MO: 0.19%, MRK: 0.37%, MS: 0.33%, MSFT: 7.41%, NEE: 0.27%, NFLX: 0.93%, NKE: 0.16%, NOW: 0.36%, NVDA: 8.17%, ORCL: 0.76%, PEP: 0.36%, PFE: 0.25%, PG: 0.66%, PLTR: 0.64%, PM: 0.47%, PYPL: 0.12%, QCOM: 0.30%, RTX: 0.39%, SBUX: 0.19%, SCHW: 0.31%, SO: 0.20%, SPGI: 0.33%, T: 0.37%, TGT: 0.08%, TJX: 0.27%, TMO: 0.33%, TSLA: 1.61%, TXN: 0.31%, UBER: 0.34%, UNH: 0.41%, UNP: 0.25%, UPS: 0.12%, USB: 0.13%, V: 1.09%, VZ: 0.34%, WFC: 0.47%, WM: 0.16%, WMT: 0.80%, XOM: 0.86%</t>
  </si>
  <si>
    <t>(NVDA, 8.94%), (MSFT, 8.12%), (AAPL, 6.31%)</t>
  </si>
  <si>
    <t>(NVDA, 8.93%), (MSFT, 8.11%), (AAPL, 6.30%)</t>
  </si>
  <si>
    <t>AMT (1.86%)</t>
  </si>
  <si>
    <t>(NVDA, 9.87%), (MSFT, 8.95%), (AAPL, 6.95%)</t>
  </si>
  <si>
    <t>LIN (2.14%)</t>
  </si>
  <si>
    <t>(NVDA, 9.42%), (MSFT, 8.55%), (AAPL, 6.63%)</t>
  </si>
  <si>
    <t>(NVDA, 8.78%), (MSFT, 7.97%), (AAPL, 6.19%)</t>
  </si>
  <si>
    <t>XOM (1.73%)</t>
  </si>
  <si>
    <t>AAPL: 5.65%, ABT: 0.42%, ACN: 0.30%, ADM: 0.05%, ADP: 0.23%, AFL: 0.09%, ALL: 0.10%, AMAT: 0.28%, AMP: 0.09%, AXP: 0.31%, BK: 0.14%, BKNG: 0.33%, BKR: 0.08%, BLK: 0.30%, CB: 0.19%, CF: 0.03%, CINF: 0.04%, COST: 0.79%, CRM: 0.45%, CSCO: 0.51%, CTSH: 0.07%, DHI: 0.08%, DOV: 0.05%, EA: 0.07%, EBAY: 0.08%, EG: 0.03%, ELV: 0.12%, EOG: 0.12%, FANG: 0.05%, GE: 0.55%, GEV: 0.34%, GOOGL: 2.11%, HIG: 0.07%, JNJ: 0.77%, JPM: 1.52%, KLAC: 0.23%, LEN: 0.05%, LRCX: 0.23%, MA: 0.86%, MCK: 0.17%, META: 3.14%, MPWR: 0.07%, MSFT: 7.41%, MTB: 0.06%, NKE: 0.16%, NTRS: 0.05%, NUE: 0.06%, NVDA: 8.17%, ODFL: 0.05%, PAYC: 0.02%, PCAR: 0.09%, PGR: 0.26%, PHM: 0.04%, PNC: 0.14%, QCOM: 0.30%, RJF: 0.06%, ROST: 0.09%, SNA: 0.03%, STT: 0.06%, SYF: 0.05%, TRV: 0.11%, V: 1.09%, WSM: 0.05%, XOM: 0.86%</t>
  </si>
  <si>
    <t>KLAC (1.87%)</t>
  </si>
  <si>
    <t>(NVDA, 9.39%), (MSFT, 8.53%), (AAPL, 6.62%)</t>
  </si>
  <si>
    <t>(NVDA, 9.19%), (MSFT, 8.34%), (AAPL, 6.48%)</t>
  </si>
  <si>
    <t>(NVDA, 9.50%), (MSFT, 8.45%), (AAPL, 6.92%)</t>
  </si>
  <si>
    <t>AAPL: 5.67%, ABBV: 0.66%, ABT: 0.43%, ACN: 0.29%, ADBE: 0.27%, AMAT: 0.27%, AMD: 0.53%, AMGN: 0.30%, AMT: 0.18%, AMZN: 3.78%, AVGO: 2.58%, AXP: 0.31%, BA: 0.32%, BAC: 0.56%, BKNG: 0.33%, BLK: 0.30%, BMY: 0.17%, BRK/B: 1.59%, C: 0.32%, CAT: 0.38%, CB: 0.19%, CL: 0.13%, CMCSA: 0.23%, COP: 0.22%, COST: 0.78%, CRM: 0.44%, CSCO: 0.50%, CVS: 0.15%, CVX: 0.55%, DE: 0.24%, DHR: 0.24%, DIS: 0.40%, DUK: 0.18%, ELV: 0.12%, EMR: 0.15%, ETN: 0.26%, FDX: 0.09%, GE: 0.54%, GILD: 0.26%, GOOG: 1.72%, GS: 0.41%, HD: 0.72%, HON: 0.27%, IBM: 0.44%, INTC: 0.16%, INTU: 0.40%, ISRG: 0.32%, JNJ: 0.77%, JPM: 1.51%, KO: 0.50%, LIN: 0.41%, LLY: 1.13%, LMT: 0.17%, LOW: 0.25%, MA: 0.86%, MCD: 0.40%, MDLZ: 0.15%, MDT: 0.22%, MET: 0.08%, META: 3.10%, MMM: 0.15%, MO: 0.20%, MRK: 0.38%, MS: 0.32%, MSFT: 7.34%, NEE: 0.27%, NFLX: 0.91%, NKE: 0.16%, NOW: 0.35%, NVDA: 8.13%, ORCL: 0.78%, PEP: 0.36%, PFE: 0.26%, PG: 0.66%, PLTR: 0.69%, PM: 0.48%, PYPL: 0.12%, QCOM: 0.30%, RTX: 0.39%, SBUX: 0.19%, SCHW: 0.31%, SO: 0.19%, SPGI: 0.33%, T: 0.37%, TGT: 0.09%, TJX: 0.27%, TMO: 0.33%, TSLA: 1.62%, TXN: 0.31%, UBER: 0.35%, UNH: 0.43%, UNP: 0.25%, UPS: 0.12%, USB: 0.13%, V: 1.08%, VZ: 0.34%, WFC: 0.47%, WM: 0.16%, WMT: 0.80%, XOM: 0.86%</t>
  </si>
  <si>
    <t>(NVDA, 8.99%), (MSFT, 7.98%), (AAPL, 6.55%)</t>
  </si>
  <si>
    <t>JPM (1.99%)</t>
  </si>
  <si>
    <t>(NVDA, 8.98%), (MSFT, 7.97%), (AAPL, 6.55%)</t>
  </si>
  <si>
    <t>(NVDA, 9.91%), (MSFT, 8.81%), (AAPL, 7.20%)</t>
  </si>
  <si>
    <t>JPM (2.17%)</t>
  </si>
  <si>
    <t>(NVDA, 9.46%), (MSFT, 8.40%), (AAPL, 6.88%)</t>
  </si>
  <si>
    <t>LIN (2.08%)</t>
  </si>
  <si>
    <t>(NVDA, 8.82%), (MSFT, 7.83%), (AAPL, 6.44%)</t>
  </si>
  <si>
    <t>JPM (1.96%)</t>
  </si>
  <si>
    <t>AAPL: 5.67%, ABT: 0.43%, ACN: 0.29%, ADM: 0.05%, ADP: 0.23%, AFL: 0.09%, ALL: 0.10%, AMAT: 0.27%, AMP: 0.09%, AXP: 0.31%, BK: 0.13%, BKNG: 0.33%, BKR: 0.08%, BLK: 0.30%, CB: 0.19%, CF: 0.03%, CINF: 0.04%, COST: 0.78%, CRM: 0.44%, CSCO: 0.50%, CTSH: 0.06%, DHI: 0.08%, DOV: 0.05%, EA: 0.07%, EBAY: 0.08%, EG: 0.03%, ELV: 0.12%, EOG: 0.12%, FANG: 0.05%, GE: 0.54%, GEV: 0.33%, GOOGL: 2.12%, HIG: 0.07%, JNJ: 0.77%, JPM: 1.51%, KLAC: 0.22%, LEN: 0.05%, LRCX: 0.23%, MA: 0.86%, MCK: 0.17%, META: 3.10%, MPWR: 0.07%, MSFT: 7.34%, MTB: 0.06%, NKE: 0.16%, NTRS: 0.05%, NUE: 0.06%, NVDA: 8.13%, ODFL: 0.05%, PAYC: 0.02%, PCAR: 0.10%, PGR: 0.27%, PHM: 0.05%, PNC: 0.14%, QCOM: 0.30%, RJF: 0.06%, ROST: 0.09%, SNA: 0.03%, STT: 0.06%, SYF: 0.05%, TRV: 0.11%, V: 1.08%, WSM: 0.05%, XOM: 0.86%</t>
  </si>
  <si>
    <t>AAPL (1.91%)</t>
  </si>
  <si>
    <t>SNA (1.91%)</t>
  </si>
  <si>
    <t>(NVDA, 9.43%), (MSFT, 8.38%), (AAPL, 6.86%)</t>
  </si>
  <si>
    <t>(NVDA, 9.23%), (MSFT, 8.20%), (AAPL, 6.73%)</t>
  </si>
  <si>
    <t>(NVDA, 9.77%), (MSFT, 8.55%), (AAPL, 7.29%)</t>
  </si>
  <si>
    <t>AAPL: 5.92%, ABBV: 0.64%, ABT: 0.42%, ACN: 0.29%, ADBE: 0.27%, AMAT: 0.27%, AMD: 0.49%, AMGN: 0.28%, AMT: 0.18%, AMZN: 3.90%, AVGO: 2.63%, AXP: 0.30%, BA: 0.32%, BAC: 0.55%, BKNG: 0.33%, BLK: 0.30%, BMY: 0.17%, BRK/B: 1.60%, C: 0.32%, CAT: 0.37%, CB: 0.19%, CL: 0.13%, CMCSA: 0.22%, COP: 0.22%, COST: 0.80%, CRM: 0.44%, CSCO: 0.51%, CVS: 0.15%, CVX: 0.54%, DE: 0.24%, DHR: 0.23%, DIS: 0.38%, DUK: 0.18%, ELV: 0.12%, EMR: 0.14%, ETN: 0.26%, FDX: 0.09%, GE: 0.54%, GILD: 0.25%, GOOG: 1.72%, GS: 0.41%, HD: 0.71%, HON: 0.26%, IBM: 0.44%, INTC: 0.17%, INTU: 0.40%, ISRG: 0.32%, JNJ: 0.76%, JPM: 1.50%, KO: 0.50%, LIN: 0.41%, LLY: 1.09%, LMT: 0.17%, LOW: 0.25%, MA: 0.86%, MCD: 0.41%, MDLZ: 0.15%, MDT: 0.21%, MET: 0.08%, META: 3.11%, MMM: 0.15%, MO: 0.20%, MRK: 0.37%, MS: 0.32%, MSFT: 7.25%, NEE: 0.27%, NFLX: 0.93%, NKE: 0.17%, NOW: 0.35%, NVDA: 8.13%, ORCL: 0.77%, PEP: 0.36%, PFE: 0.25%, PG: 0.67%, PLTR: 0.71%, PM: 0.48%, PYPL: 0.13%, QCOM: 0.30%, RTX: 0.39%, SBUX: 0.19%, SCHW: 0.31%, SO: 0.19%, SPGI: 0.33%, T: 0.37%, TGT: 0.09%, TJX: 0.27%, TMO: 0.31%, TSLA: 1.66%, TXN: 0.31%, UBER: 0.35%, UNH: 0.41%, UNP: 0.25%, UPS: 0.12%, USB: 0.13%, V: 1.08%, VZ: 0.33%, WFC: 0.47%, WM: 0.16%, WMT: 0.83%, XOM: 0.85%</t>
  </si>
  <si>
    <t>(NVDA, 9.58%), (MSFT, 8.39%), (AAPL, 7.16%)</t>
  </si>
  <si>
    <t>(NVDA, 9.07%), (MSFT, 7.93%), (AAPL, 6.78%)</t>
  </si>
  <si>
    <t>(NVDA, 9.06%), (MSFT, 7.92%), (AAPL, 6.77%)</t>
  </si>
  <si>
    <t>(NVDA, 9.98%), (MSFT, 8.74%), (AAPL, 7.45%)</t>
  </si>
  <si>
    <t>TSLA (2.21%)</t>
  </si>
  <si>
    <t>JPM (2.14%)</t>
  </si>
  <si>
    <t>(NVDA, 9.53%), (MSFT, 8.34%), (AAPL, 7.12%)</t>
  </si>
  <si>
    <t>(NVDA, 8.90%), (MSFT, 7.78%), (AAPL, 6.66%)</t>
  </si>
  <si>
    <t>JPM (1.94%)</t>
  </si>
  <si>
    <t>AAPL: 5.92%, ABT: 0.42%, ACN: 0.29%, ADM: 0.05%, ADP: 0.23%, AFL: 0.09%, ALL: 0.10%, AMAT: 0.27%, AMP: 0.09%, AXP: 0.30%, BK: 0.14%, BKNG: 0.33%, BKR: 0.08%, BLK: 0.30%, CB: 0.19%, CF: 0.03%, CINF: 0.04%, COST: 0.80%, CRM: 0.44%, CSCO: 0.51%, CTSH: 0.07%, DHI: 0.08%, DOV: 0.04%, EA: 0.07%, EBAY: 0.08%, EG: 0.03%, ELV: 0.12%, EOG: 0.12%, FANG: 0.05%, GE: 0.54%, GEV: 0.34%, GOOGL: 2.12%, HIG: 0.07%, JNJ: 0.76%, JPM: 1.50%, KLAC: 0.22%, LEN: 0.05%, LRCX: 0.23%, MA: 0.86%, MCK: 0.16%, META: 3.11%, MPWR: 0.07%, MSFT: 7.25%, MTB: 0.06%, NKE: 0.17%, NTRS: 0.05%, NUE: 0.06%, NVDA: 8.13%, ODFL: 0.05%, PAYC: 0.02%, PCAR: 0.10%, PGR: 0.27%, PHM: 0.04%, PNC: 0.14%, QCOM: 0.30%, RJF: 0.06%, ROST: 0.09%, SNA: 0.03%, STT: 0.06%, SYF: 0.05%, TRV: 0.11%, V: 1.08%, WSM: 0.05%, XOM: 0.85%</t>
  </si>
  <si>
    <t>KLAC (1.94%)</t>
  </si>
  <si>
    <t>ROST (1.93%)</t>
  </si>
  <si>
    <t>(NVDA, 9.51%), (MSFT, 8.32%), (AAPL, 7.10%)</t>
  </si>
  <si>
    <t>(NVDA, 9.31%), (MSFT, 8.14%), (AAPL, 6.96%)</t>
  </si>
  <si>
    <t>JPM (2.01%)</t>
  </si>
  <si>
    <t>(NVDA, 9.56%), (MSFT, 8.37%), (AAPL, 7.14%)</t>
  </si>
  <si>
    <t>(NVDA, 9.76%), (MSFT, 8.45%), (AAPL, 7.47%)</t>
  </si>
  <si>
    <t>AAPL: 6.31%, ABBV: 0.65%, ABT: 0.43%, ACN: 0.28%, ADBE: 0.27%, AMAT: 0.28%, AMD: 0.52%, AMGN: 0.29%, AMT: 0.18%, AMZN: 3.88%, AVGO: 2.64%, AXP: 0.30%, BA: 0.32%, BAC: 0.56%, BKNG: 0.32%, BLK: 0.30%, BMY: 0.17%, BRK/B: 1.57%, C: 0.32%, CAT: 0.36%, CB: 0.19%, CL: 0.13%, CMCSA: 0.22%, COP: 0.22%, COST: 0.80%, CRM: 0.43%, CSCO: 0.53%, CVS: 0.15%, CVX: 0.55%, DE: 0.24%, DHR: 0.24%, DIS: 0.37%, DUK: 0.18%, ELV: 0.12%, EMR: 0.14%, ETN: 0.26%, FDX: 0.09%, GE: 0.54%, GILD: 0.27%, GOOG: 1.75%, GS: 0.41%, HD: 0.71%, HON: 0.26%, IBM: 0.42%, INTC: 0.16%, INTU: 0.39%, ISRG: 0.31%, JNJ: 0.77%, JPM: 1.48%, KO: 0.50%, LIN: 0.41%, LLY: 0.91%, LMT: 0.16%, LOW: 0.25%, MA: 0.86%, MCD: 0.40%, MDLZ: 0.15%, MDT: 0.22%, MET: 0.08%, META: 3.08%, MMM: 0.15%, MO: 0.20%, MRK: 0.37%, MS: 0.33%, MSFT: 7.16%, NEE: 0.27%, NFLX: 0.95%, NKE: 0.16%, NOW: 0.33%, NVDA: 8.22%, ORCL: 0.75%, PEP: 0.37%, PFE: 0.26%, PG: 0.66%, PLTR: 0.73%, PM: 0.49%, PYPL: 0.12%, QCOM: 0.30%, RTX: 0.38%, SBUX: 0.19%, SCHW: 0.31%, SO: 0.19%, SPGI: 0.32%, T: 0.37%, TGT: 0.09%, TJX: 0.27%, TMO: 0.32%, TSLA: 1.70%, TXN: 0.31%, UBER: 0.35%, UNH: 0.42%, UNP: 0.24%, UPS: 0.12%, USB: 0.13%, V: 1.06%, VZ: 0.34%, WFC: 0.47%, WM: 0.16%, WMT: 0.83%, XOM: 0.85%</t>
  </si>
  <si>
    <t>(NVDA, 9.56%), (MSFT, 8.27%), (AAPL, 7.31%)</t>
  </si>
  <si>
    <t>(NVDA, 9.03%), (MSFT, 7.81%), (AAPL, 6.90%)</t>
  </si>
  <si>
    <t>AMT (1.78%)</t>
  </si>
  <si>
    <t>(NVDA, 9.02%), (MSFT, 7.81%), (AAPL, 6.90%)</t>
  </si>
  <si>
    <t>AMT (1.80%)</t>
  </si>
  <si>
    <t>(NVDA, 9.98%), (MSFT, 8.64%), (AAPL, 7.63%)</t>
  </si>
  <si>
    <t>CSCO (2.29%)</t>
  </si>
  <si>
    <t>(NVDA, 9.52%), (MSFT, 8.24%), (AAPL, 7.28%)</t>
  </si>
  <si>
    <t>(NVDA, 8.87%), (MSFT, 7.67%), (AAPL, 6.78%)</t>
  </si>
  <si>
    <t>JPM (1.93%)</t>
  </si>
  <si>
    <t>AAPL: 6.31%, ABT: 0.43%, ACN: 0.28%, ADM: 0.05%, ADP: 0.23%, AFL: 0.09%, ALL: 0.10%, AMAT: 0.28%, AMP: 0.09%, AXP: 0.30%, BK: 0.14%, BKNG: 0.32%, BKR: 0.08%, BLK: 0.30%, CB: 0.19%, CF: 0.02%, CINF: 0.04%, COST: 0.80%, CRM: 0.43%, CSCO: 0.53%, CTSH: 0.06%, DHI: 0.08%, DOV: 0.04%, EA: 0.07%, EBAY: 0.08%, EG: 0.03%, ELV: 0.12%, EOG: 0.12%, FANG: 0.05%, GE: 0.54%, GEV: 0.33%, GOOGL: 2.16%, HIG: 0.07%, JNJ: 0.77%, JPM: 1.48%, KLAC: 0.22%, LEN: 0.05%, LRCX: 0.24%, MA: 0.86%, MCK: 0.15%, META: 3.08%, MPWR: 0.07%, MSFT: 7.16%, MTB: 0.06%, NKE: 0.16%, NTRS: 0.04%, NUE: 0.06%, NVDA: 8.22%, ODFL: 0.05%, PAYC: 0.02%, PCAR: 0.09%, PGR: 0.27%, PHM: 0.05%, PNC: 0.14%, QCOM: 0.30%, RJF: 0.06%, ROST: 0.09%, SNA: 0.03%, STT: 0.06%, SYF: 0.05%, TRV: 0.11%, V: 1.06%, WSM: 0.05%, XOM: 0.85%</t>
  </si>
  <si>
    <t>ROST (1.92%)</t>
  </si>
  <si>
    <t>(NVDA, 9.49%), (MSFT, 8.22%), (AAPL, 7.26%)</t>
  </si>
  <si>
    <t>(NVDA, 9.29%), (MSFT, 8.04%), (AAPL, 7.10%)</t>
  </si>
  <si>
    <t>(NVDA, 9.55%), (MSFT, 8.27%), (AAPL, 7.30%)</t>
  </si>
  <si>
    <t>(NVDA, 9.71%), (MSFT, 8.51%), (AAPL, 7.51%)</t>
  </si>
  <si>
    <t>AAPL: 6.27%, ABBV: 0.65%, ABT: 0.42%, ACN: 0.28%, ADBE: 0.26%, AMAT: 0.28%, AMD: 0.52%, AMGN: 0.28%, AMT: 0.18%, AMZN: 3.87%, AVGO: 2.64%, AXP: 0.30%, BA: 0.32%, BAC: 0.56%, BKNG: 0.32%, BLK: 0.30%, BMY: 0.17%, BRK/B: 1.58%, C: 0.32%, CAT: 0.36%, CB: 0.19%, CL: 0.13%, CMCSA: 0.22%, COP: 0.22%, COST: 0.81%, CRM: 0.41%, CSCO: 0.52%, CVS: 0.15%, CVX: 0.54%, DE: 0.24%, DHR: 0.24%, DIS: 0.37%, DUK: 0.18%, ELV: 0.12%, EMR: 0.14%, ETN: 0.26%, FDX: 0.09%, GE: 0.54%, GILD: 0.28%, GOOG: 1.75%, GS: 0.41%, HD: 0.71%, HON: 0.26%, IBM: 0.41%, INTC: 0.17%, INTU: 0.36%, ISRG: 0.31%, JNJ: 0.77%, JPM: 1.49%, KO: 0.51%, LIN: 0.41%, LLY: 0.92%, LMT: 0.16%, LOW: 0.25%, MA: 0.86%, MCD: 0.40%, MDLZ: 0.15%, MDT: 0.22%, MET: 0.08%, META: 3.07%, MMM: 0.15%, MO: 0.20%, MRK: 0.37%, MS: 0.33%, MSFT: 7.17%, NEE: 0.28%, NFLX: 0.96%, NKE: 0.16%, NOW: 0.33%, NVDA: 8.21%, ORCL: 0.76%, PEP: 0.37%, PFE: 0.26%, PG: 0.67%, PLTR: 0.72%, PM: 0.49%, PYPL: 0.12%, QCOM: 0.30%, RTX: 0.38%, SBUX: 0.19%, SCHW: 0.31%, SO: 0.19%, SPGI: 0.32%, T: 0.37%, TGT: 0.09%, TJX: 0.27%, TMO: 0.32%, TSLA: 1.76%, TXN: 0.31%, UBER: 0.35%, UNH: 0.42%, UNP: 0.24%, UPS: 0.12%, USB: 0.13%, V: 1.06%, VZ: 0.34%, WFC: 0.47%, WM: 0.16%, WMT: 0.83%, XOM: 0.84%</t>
  </si>
  <si>
    <t>CSCO (2.21%)</t>
  </si>
  <si>
    <t>(NVDA, 9.51%), (MSFT, 8.34%), (AAPL, 7.36%)</t>
  </si>
  <si>
    <t>(NVDA, 8.98%), (MSFT, 7.88%), (AAPL, 6.96%)</t>
  </si>
  <si>
    <t>AMT (1.76%)</t>
  </si>
  <si>
    <t>(NVDA, 8.98%), (MSFT, 7.88%), (AAPL, 6.95%)</t>
  </si>
  <si>
    <t>AMT (1.77%)</t>
  </si>
  <si>
    <t>(NVDA, 9.93%), (MSFT, 8.71%), (AAPL, 7.68%)</t>
  </si>
  <si>
    <t>CSCO (2.27%)</t>
  </si>
  <si>
    <t>(NVDA, 9.47%), (MSFT, 8.31%), (AAPL, 7.33%)</t>
  </si>
  <si>
    <t>(NVDA, 8.82%), (MSFT, 7.73%), (AAPL, 6.83%)</t>
  </si>
  <si>
    <t>AAPL: 6.27%, ABT: 0.42%, ACN: 0.28%, ADM: 0.05%, ADP: 0.23%, AFL: 0.09%, ALL: 0.10%, AMAT: 0.28%, AMP: 0.09%, AXP: 0.30%, BK: 0.14%, BKNG: 0.32%, BKR: 0.08%, BLK: 0.30%, CB: 0.19%, CF: 0.02%, CINF: 0.04%, COST: 0.81%, CRM: 0.41%, CSCO: 0.52%, CTSH: 0.06%, DHI: 0.08%, DOV: 0.04%, EA: 0.07%, EBAY: 0.08%, EG: 0.03%, ELV: 0.12%, EOG: 0.12%, FANG: 0.05%, GE: 0.54%, GEV: 0.33%, GOOGL: 2.16%, HIG: 0.07%, JNJ: 0.77%, JPM: 1.49%, KLAC: 0.22%, LEN: 0.05%, LRCX: 0.24%, MA: 0.86%, MCK: 0.16%, META: 3.07%, MPWR: 0.07%, MSFT: 7.17%, MTB: 0.06%, NKE: 0.16%, NTRS: 0.04%, NUE: 0.06%, NVDA: 8.21%, ODFL: 0.05%, PAYC: 0.02%, PCAR: 0.09%, PGR: 0.27%, PHM: 0.04%, PNC: 0.14%, QCOM: 0.30%, RJF: 0.06%, ROST: 0.09%, SNA: 0.03%, STT: 0.06%, SYF: 0.05%, TRV: 0.11%, V: 1.06%, WSM: 0.05%, XOM: 0.84%</t>
  </si>
  <si>
    <t>ADP (1.90%)</t>
  </si>
  <si>
    <t>(NVDA, 9.44%), (MSFT, 8.28%), (AAPL, 7.31%)</t>
  </si>
  <si>
    <t>(NVDA, 9.24%), (MSFT, 8.10%), (AAPL, 7.15%)</t>
  </si>
  <si>
    <t>(NVDA, 9.64%), (MSFT, 8.43%), (AAPL, 7.59%)</t>
  </si>
  <si>
    <t>AAPL: 6.27%, ABBV: 0.64%, ABT: 0.42%, ACN: 0.27%, ADBE: 0.26%, AMAT: 0.28%, AMD: 0.52%, AMGN: 0.28%, AMT: 0.18%, AMZN: 3.83%, AVGO: 2.69%, AXP: 0.31%, BA: 0.32%, BAC: 0.57%, BKNG: 0.32%, BLK: 0.31%, BMY: 0.17%, BRK/B: 1.58%, C: 0.33%, CAT: 0.35%, CB: 0.18%, CL: 0.13%, CMCSA: 0.22%, COP: 0.22%, COST: 0.80%, CRM: 0.41%, CSCO: 0.52%, CVS: 0.15%, CVX: 0.54%, DE: 0.23%, DHR: 0.24%, DIS: 0.37%, DUK: 0.18%, ELV: 0.12%, EMR: 0.14%, ETN: 0.26%, FDX: 0.09%, GE: 0.54%, GILD: 0.27%, GOOG: 1.75%, GS: 0.42%, HD: 0.72%, HON: 0.25%, IBM: 0.40%, INTC: 0.17%, INTU: 0.36%, ISRG: 0.31%, JNJ: 0.76%, JPM: 1.49%, KO: 0.50%, LIN: 0.41%, LLY: 0.92%, LMT: 0.16%, LOW: 0.25%, MA: 0.85%, MCD: 0.39%, MDLZ: 0.15%, MDT: 0.22%, MET: 0.08%, META: 3.14%, MMM: 0.16%, MO: 0.20%, MRK: 0.37%, MS: 0.33%, MSFT: 7.19%, NEE: 0.27%, NFLX: 0.95%, NKE: 0.16%, NOW: 0.32%, NVDA: 8.17%, ORCL: 0.75%, PEP: 0.37%, PFE: 0.26%, PG: 0.66%, PLTR: 0.73%, PM: 0.48%, PYPL: 0.12%, QCOM: 0.31%, RTX: 0.38%, SBUX: 0.19%, SCHW: 0.31%, SO: 0.19%, SPGI: 0.32%, T: 0.37%, TGT: 0.09%, TJX: 0.27%, TMO: 0.33%, TSLA: 1.75%, TXN: 0.32%, UBER: 0.35%, UNH: 0.43%, UNP: 0.24%, UPS: 0.12%, USB: 0.13%, V: 1.05%, VZ: 0.33%, WFC: 0.47%, WM: 0.16%, WMT: 0.82%, XOM: 0.84%</t>
  </si>
  <si>
    <t>(NVDA, 9.45%), (MSFT, 8.26%), (AAPL, 7.45%)</t>
  </si>
  <si>
    <t>(NVDA, 8.92%), (MSFT, 7.79%), (AAPL, 7.04%)</t>
  </si>
  <si>
    <t>AMT (1.74%)</t>
  </si>
  <si>
    <t>AMT (1.75%)</t>
  </si>
  <si>
    <t>(NVDA, 9.86%), (MSFT, 8.62%), (AAPL, 7.76%)</t>
  </si>
  <si>
    <t>CSCO (2.25%)</t>
  </si>
  <si>
    <t>(NVDA, 9.41%), (MSFT, 8.22%), (AAPL, 7.41%)</t>
  </si>
  <si>
    <t>JPM (2.03%)</t>
  </si>
  <si>
    <t>(NVDA, 8.75%), (MSFT, 7.65%), (AAPL, 6.91%)</t>
  </si>
  <si>
    <t>JPM (1.91%)</t>
  </si>
  <si>
    <t>AAPL: 6.27%, ABT: 0.42%, ACN: 0.27%, ADM: 0.05%, ADP: 0.22%, AFL: 0.09%, ALL: 0.10%, AMAT: 0.28%, AMP: 0.09%, AXP: 0.31%, BK: 0.14%, BKNG: 0.32%, BKR: 0.08%, BLK: 0.31%, CB: 0.18%, CF: 0.02%, CINF: 0.04%, COST: 0.80%, CRM: 0.41%, CSCO: 0.52%, CTSH: 0.06%, DHI: 0.08%, DOV: 0.04%, EA: 0.07%, EBAY: 0.08%, EG: 0.03%, ELV: 0.12%, EOG: 0.12%, FANG: 0.05%, GE: 0.54%, GEV: 0.33%, GOOGL: 2.16%, HIG: 0.07%, JNJ: 0.76%, JPM: 1.49%, KLAC: 0.23%, LEN: 0.05%, LRCX: 0.25%, MA: 0.85%, MCK: 0.15%, META: 3.14%, MPWR: 0.07%, MSFT: 7.19%, MTB: 0.06%, NKE: 0.16%, NTRS: 0.05%, NUE: 0.06%, NVDA: 8.17%, ODFL: 0.05%, PAYC: 0.02%, PCAR: 0.10%, PGR: 0.26%, PHM: 0.05%, PNC: 0.14%, QCOM: 0.31%, RJF: 0.06%, ROST: 0.09%, SNA: 0.03%, STT: 0.06%, SYF: 0.05%, TRV: 0.11%, V: 1.05%, WSM: 0.05%, XOM: 0.84%</t>
  </si>
  <si>
    <t>ROST (1.94%)</t>
  </si>
  <si>
    <t>SNA (1.92%)</t>
  </si>
  <si>
    <t>(NVDA, 9.38%), (MSFT, 8.19%), (AAPL, 7.39%)</t>
  </si>
  <si>
    <t>(NVDA, 9.17%), (MSFT, 8.02%), (AAPL, 7.24%)</t>
  </si>
  <si>
    <t>(NVDA, 9.45%), (MSFT, 8.26%), (AAPL, 7.44%)</t>
  </si>
  <si>
    <t>(NVDA, 9.63%), (MSFT, 8.39%), (AAPL, 7.59%)</t>
  </si>
  <si>
    <t>AAPL: 6.35%, ABBV: 0.65%, ABT: 0.41%, ACN: 0.28%, ADBE: 0.27%, AMAT: 0.28%, AMD: 0.54%, AMGN: 0.28%, AMT: 0.17%, AMZN: 3.87%, AVGO: 2.65%, AXP: 0.31%, BA: 0.32%, BAC: 0.56%, BKNG: 0.32%, BLK: 0.31%, BMY: 0.18%, BRK/B: 1.59%, C: 0.32%, CAT: 0.35%, CB: 0.19%, CL: 0.13%, CMCSA: 0.22%, COP: 0.22%, COST: 0.79%, CRM: 0.41%, CSCO: 0.51%, CVS: 0.15%, CVX: 0.54%, DE: 0.24%, DHR: 0.24%, DIS: 0.38%, DUK: 0.18%, ELV: 0.12%, EMR: 0.14%, ETN: 0.25%, FDX: 0.09%, GE: 0.52%, GILD: 0.27%, GOOG: 1.74%, GS: 0.42%, HD: 0.74%, HON: 0.26%, IBM: 0.41%, INTC: 0.18%, INTU: 0.36%, ISRG: 0.31%, JNJ: 0.76%, JPM: 1.47%, KO: 0.50%, LIN: 0.41%, LLY: 0.95%, LMT: 0.17%, LOW: 0.26%, MA: 0.85%, MCD: 0.40%, MDLZ: 0.15%, MDT: 0.22%, MET: 0.08%, META: 3.09%, MMM: 0.16%, MO: 0.20%, MRK: 0.38%, MS: 0.33%, MSFT: 7.05%, NEE: 0.27%, NFLX: 0.93%, NKE: 0.17%, NOW: 0.33%, NVDA: 8.07%, ORCL: 0.72%, PEP: 0.37%, PFE: 0.26%, PG: 0.66%, PLTR: 0.71%, PM: 0.47%, PYPL: 0.12%, QCOM: 0.31%, RTX: 0.38%, SBUX: 0.19%, SCHW: 0.30%, SO: 0.19%, SPGI: 0.32%, T: 0.37%, TGT: 0.09%, TJX: 0.27%, TMO: 0.33%, TSLA: 1.73%, TXN: 0.32%, UBER: 0.35%, UNH: 0.45%, UNP: 0.24%, UPS: 0.12%, USB: 0.13%, V: 1.07%, VZ: 0.34%, WFC: 0.46%, WM: 0.15%, WMT: 0.79%, XOM: 0.84%</t>
  </si>
  <si>
    <t>CSCO (2.14%)</t>
  </si>
  <si>
    <t>(NVDA, 9.45%), (MSFT, 8.22%), (AAPL, 7.44%)</t>
  </si>
  <si>
    <t>(NVDA, 8.92%), (MSFT, 7.76%), (AAPL, 7.03%)</t>
  </si>
  <si>
    <t>(NVDA, 9.85%), (MSFT, 8.58%), (AAPL, 7.76%)</t>
  </si>
  <si>
    <t>CSCO (2.20%)</t>
  </si>
  <si>
    <t>(NVDA, 9.40%), (MSFT, 8.19%), (AAPL, 7.41%)</t>
  </si>
  <si>
    <t>(NVDA, 8.76%), (MSFT, 7.62%), (AAPL, 6.90%)</t>
  </si>
  <si>
    <t>AAPL: 6.35%, ABT: 0.41%, ACN: 0.28%, ADM: 0.05%, ADP: 0.23%, AFL: 0.09%, ALL: 0.10%, AMAT: 0.28%, AMP: 0.09%, AXP: 0.31%, BK: 0.13%, BKNG: 0.32%, BKR: 0.08%, BLK: 0.31%, CB: 0.19%, CF: 0.03%, CINF: 0.04%, COST: 0.79%, CRM: 0.41%, CSCO: 0.51%, CTSH: 0.06%, DHI: 0.08%, DOV: 0.05%, EA: 0.07%, EBAY: 0.08%, EG: 0.03%, ELV: 0.12%, EOG: 0.12%, FANG: 0.05%, GE: 0.52%, GEV: 0.32%, GOOGL: 2.14%, HIG: 0.07%, JNJ: 0.76%, JPM: 1.47%, KLAC: 0.23%, LEN: 0.06%, LRCX: 0.25%, MA: 0.85%, MCK: 0.15%, META: 3.09%, MPWR: 0.08%, MSFT: 7.05%, MTB: 0.06%, NKE: 0.17%, NTRS: 0.04%, NUE: 0.06%, NVDA: 8.07%, ODFL: 0.05%, PAYC: 0.02%, PCAR: 0.10%, PGR: 0.27%, PHM: 0.05%, PNC: 0.14%, QCOM: 0.31%, RJF: 0.05%, ROST: 0.09%, SNA: 0.03%, STT: 0.06%, SYF: 0.05%, TRV: 0.11%, V: 1.07%, WSM: 0.05%, XOM: 0.84%</t>
  </si>
  <si>
    <t>ROST (1.91%)</t>
  </si>
  <si>
    <t>ADP (1.89%)</t>
  </si>
  <si>
    <t>(NVDA, 9.37%), (MSFT, 8.16%), (AAPL, 7.38%)</t>
  </si>
  <si>
    <t>(NVDA, 9.17%), (MSFT, 7.98%), (AAPL, 7.23%)</t>
  </si>
  <si>
    <t>(NVDA, 9.44%), (MSFT, 8.22%), (AAPL, 7.44%)</t>
  </si>
  <si>
    <t>(NVDA, 9.57%), (MSFT, 8.36%), (AAPL, 7.56%)</t>
  </si>
  <si>
    <t>AAPL: 6.33%, ABBV: 0.66%, ABT: 0.41%, ACN: 0.28%, ADBE: 0.27%, AMAT: 0.28%, AMD: 0.53%, AMGN: 0.28%, AMT: 0.17%, AMZN: 3.98%, AVGO: 2.67%, AXP: 0.31%, BA: 0.32%, BAC: 0.57%, BKNG: 0.33%, BLK: 0.31%, BMY: 0.18%, BRK/B: 1.60%, C: 0.32%, CAT: 0.36%, CB: 0.19%, CL: 0.13%, CMCSA: 0.22%, COP: 0.22%, COST: 0.79%, CRM: 0.41%, CSCO: 0.50%, CVS: 0.15%, CVX: 0.54%, DE: 0.22%, DHR: 0.24%, DIS: 0.38%, DUK: 0.17%, ELV: 0.12%, EMR: 0.14%, ETN: 0.25%, FDX: 0.09%, GE: 0.52%, GILD: 0.27%, GOOG: 1.74%, GS: 0.42%, HD: 0.72%, HON: 0.25%, IBM: 0.40%, INTC: 0.19%, INTU: 0.36%, ISRG: 0.31%, JNJ: 0.77%, JPM: 1.49%, KO: 0.49%, LIN: 0.41%, LLY: 0.98%, LMT: 0.17%, LOW: 0.26%, MA: 0.86%, MCD: 0.40%, MDLZ: 0.14%, MDT: 0.21%, MET: 0.08%, META: 3.09%, MMM: 0.15%, MO: 0.20%, MRK: 0.38%, MS: 0.33%, MSFT: 7.07%, NEE: 0.27%, NFLX: 0.95%, NKE: 0.16%, NOW: 0.32%, NVDA: 8.09%, ORCL: 0.73%, PEP: 0.37%, PFE: 0.26%, PG: 0.66%, PLTR: 0.70%, PM: 0.47%, PYPL: 0.12%, QCOM: 0.32%, RTX: 0.38%, SBUX: 0.19%, SCHW: 0.30%, SO: 0.19%, SPGI: 0.32%, T: 0.38%, TGT: 0.09%, TJX: 0.27%, TMO: 0.33%, TSLA: 1.71%, TXN: 0.32%, UBER: 0.35%, UNH: 0.45%, UNP: 0.24%, UPS: 0.12%, USB: 0.13%, V: 1.08%, VZ: 0.33%, WFC: 0.47%, WM: 0.15%, WMT: 0.79%, XOM: 0.84%</t>
  </si>
  <si>
    <t>(NVDA, 9.38%), (MSFT, 8.19%), (AAPL, 7.41%)</t>
  </si>
  <si>
    <t>CSCO (2.09%)</t>
  </si>
  <si>
    <t>(NVDA, 8.86%), (MSFT, 7.74%), (AAPL, 7.00%)</t>
  </si>
  <si>
    <t>(NVDA, 8.85%), (MSFT, 7.74%), (AAPL, 7.00%)</t>
  </si>
  <si>
    <t>(NVDA, 9.79%), (MSFT, 8.55%), (AAPL, 7.73%)</t>
  </si>
  <si>
    <t>(NVDA, 9.34%), (MSFT, 8.16%), (AAPL, 7.37%)</t>
  </si>
  <si>
    <t>CSCO (2.05%)</t>
  </si>
  <si>
    <t>(NVDA, 8.69%), (MSFT, 7.60%), (AAPL, 6.87%)</t>
  </si>
  <si>
    <t>JPM (1.92%)</t>
  </si>
  <si>
    <t>AMT (1.79%)</t>
  </si>
  <si>
    <t>AAPL: 6.33%, ABT: 0.41%, ACN: 0.28%, ADM: 0.05%, ADP: 0.22%, AFL: 0.09%, ALL: 0.10%, AMAT: 0.28%, AMP: 0.09%, AXP: 0.31%, BK: 0.13%, BKNG: 0.33%, BKR: 0.08%, BLK: 0.31%, CB: 0.19%, CF: 0.03%, CINF: 0.04%, COST: 0.79%, CRM: 0.41%, CSCO: 0.50%, CTSH: 0.06%, DHI: 0.08%, DOV: 0.04%, EA: 0.07%, EBAY: 0.08%, EG: 0.03%, ELV: 0.12%, EOG: 0.12%, FANG: 0.05%, GE: 0.52%, GEV: 0.31%, GOOGL: 2.15%, HIG: 0.07%, JNJ: 0.77%, JPM: 1.49%, KLAC: 0.23%, LEN: 0.05%, LRCX: 0.25%, MA: 0.86%, MCK: 0.15%, META: 3.09%, MPWR: 0.07%, MSFT: 7.07%, MTB: 0.06%, NKE: 0.16%, NTRS: 0.05%, NUE: 0.06%, NVDA: 8.09%, ODFL: 0.05%, PAYC: 0.02%, PCAR: 0.10%, PGR: 0.27%, PHM: 0.05%, PNC: 0.14%, QCOM: 0.32%, RJF: 0.05%, ROST: 0.09%, SNA: 0.03%, STT: 0.06%, SYF: 0.05%, TRV: 0.11%, V: 1.08%, WSM: 0.05%, XOM: 0.84%</t>
  </si>
  <si>
    <t>AMAT (1.83%)</t>
  </si>
  <si>
    <t>KLAC (1.82%)</t>
  </si>
  <si>
    <t>(NVDA, 9.31%), (MSFT, 8.13%), (AAPL, 7.35%)</t>
  </si>
  <si>
    <t>CSCO (2.03%)</t>
  </si>
  <si>
    <t>(NVDA, 9.11%), (MSFT, 7.96%), (AAPL, 7.20%)</t>
  </si>
  <si>
    <t>CSCO (2.04%)</t>
  </si>
  <si>
    <t>(NVDA, 9.38%), (MSFT, 8.19%), (AAPL, 7.40%)</t>
  </si>
  <si>
    <t>(MSFT, 10.05%), (NVDA, 9.61%), (AAPL, 7.52%)</t>
  </si>
  <si>
    <t>AAPL: 6.32%, ABBV: 0.67%, ABT: 0.42%, ACN: 0.28%, ADBE: 0.28%, AMAT: 0.24%, AMD: 0.53%, AMGN: 0.29%, AMT: 0.18%, AMZN: 3.99%, AVGO: 2.63%, AXP: 0.31%, BA: 0.32%, BAC: 0.56%, BKNG: 0.32%, BLK: 0.30%, BMY: 0.18%, BRK/B: 1.60%, C: 0.32%, CAT: 0.35%, CB: 0.19%, CL: 0.13%, CMCSA: 0.23%, COP: 0.22%, COST: 0.79%, CRM: 0.42%, CSCO: 0.48%, CVS: 0.16%, CVX: 0.55%, DE: 0.23%, DHR: 0.25%, DIS: 0.38%, DUK: 0.17%, ELV: 0.13%, EMR: 0.14%, ETN: 0.25%, FDX: 0.09%, GE: 0.52%, GILD: 0.27%, GOOG: 1.76%, GS: 0.41%, HD: 0.72%, HON: 0.25%, IBM: 0.41%, INTC: 0.20%, INTU: 0.37%, ISRG: 0.31%, JNJ: 0.78%, JPM: 1.47%, KO: 0.49%, LIN: 0.41%, LLY: 1.01%, LMT: 0.17%, LOW: 0.26%, MA: 0.86%, MCD: 0.40%, MDLZ: 0.15%, MDT: 0.22%, MET: 0.08%, META: 3.11%, MMM: 0.15%, MO: 0.20%, MRK: 0.39%, MS: 0.33%, MSFT: 7.06%, NEE: 0.28%, NFLX: 0.96%, NKE: 0.17%, NOW: 0.33%, NVDA: 8.04%, ORCL: 0.74%, PEP: 0.38%, PFE: 0.26%, PG: 0.66%, PLTR: 0.69%, PM: 0.47%, PYPL: 0.12%, QCOM: 0.32%, RTX: 0.38%, SBUX: 0.19%, SCHW: 0.30%, SO: 0.19%, SPGI: 0.32%, T: 0.38%, TGT: 0.09%, TJX: 0.27%, TMO: 0.34%, TSLA: 1.69%, TXN: 0.32%, UBER: 0.35%, UNH: 0.50%, UNP: 0.24%, UPS: 0.12%, USB: 0.13%, V: 1.08%, VZ: 0.34%, WFC: 0.46%, WM: 0.15%, WMT: 0.79%, XOM: 0.84%</t>
  </si>
  <si>
    <t>CSCO (2.07%)</t>
  </si>
  <si>
    <t>(MSFT, 10.11%), (NVDA, 9.32%), (AAPL, 7.29%)</t>
  </si>
  <si>
    <t>(MSFT, 9.58%), (NVDA, 8.84%), (AAPL, 6.92%)</t>
  </si>
  <si>
    <t>AMT (1.73%)</t>
  </si>
  <si>
    <t>(MSFT, 9.53%), (NVDA, 8.82%), (AAPL, 6.90%)</t>
  </si>
  <si>
    <t>(MSFT, 10.12%), (NVDA, 9.77%), (AAPL, 7.64%)</t>
  </si>
  <si>
    <t>CSCO (2.12%)</t>
  </si>
  <si>
    <t>(MSFT, 9.91%), (NVDA, 9.29%), (AAPL, 7.27%)</t>
  </si>
  <si>
    <t>(MSFT, 9.41%), (NVDA, 8.70%), (AAPL, 6.80%)</t>
  </si>
  <si>
    <t>AAPL: 6.32%, ABT: 0.42%, ACN: 0.28%, ADM: 0.05%, ADP: 0.22%, AFL: 0.09%, ALL: 0.10%, AMAT: 0.24%, AMP: 0.09%, AXP: 0.31%, BK: 0.13%, BKNG: 0.32%, BKR: 0.08%, BLK: 0.30%, CB: 0.19%, CF: 0.03%, CINF: 0.04%, COST: 0.79%, CRM: 0.42%, CSCO: 0.48%, CTSH: 0.06%, DHI: 0.08%, DOV: 0.04%, EA: 0.07%, EBAY: 0.08%, EG: 0.03%, ELV: 0.13%, EOG: 0.12%, FANG: 0.05%, GE: 0.52%, GEV: 0.31%, GOOGL: 2.17%, HIG: 0.07%, JNJ: 0.78%, JPM: 1.47%, KLAC: 0.21%, LEN: 0.06%, LRCX: 0.23%, MA: 0.86%, MCK: 0.15%, META: 3.11%, MPWR: 0.07%, MSFT: 7.06%, MTB: 0.06%, NKE: 0.17%, NTRS: 0.04%, NUE: 0.06%, NVDA: 8.04%, ODFL: 0.05%, PAYC: 0.02%, PCAR: 0.09%, PGR: 0.26%, PHM: 0.05%, PNC: 0.14%, QCOM: 0.32%, RJF: 0.05%, ROST: 0.09%, SNA: 0.03%, STT: 0.06%, SYF: 0.05%, TRV: 0.11%, V: 1.08%, WSM: 0.05%, XOM: 0.84%</t>
  </si>
  <si>
    <t>AMAT (1.84%)</t>
  </si>
  <si>
    <t>KLAC (1.83%)</t>
  </si>
  <si>
    <t>(MSFT, 9.64%), (NVDA, 9.28%), (AAPL, 7.26%)</t>
  </si>
  <si>
    <t>(MSFT, 9.46%), (NVDA, 9.10%), (AAPL, 7.11%)</t>
  </si>
  <si>
    <t>(MSFT, 10.13%), (NVDA, 9.42%), (AAPL, 7.37%)</t>
  </si>
  <si>
    <t>CSCO (2.06%)</t>
  </si>
  <si>
    <t>(NVDA, 9.40%), (MSFT, 8.24%), (AAPL, 7.55%)</t>
  </si>
  <si>
    <t>AAPL: 6.30%, ABBV: 0.67%, ABT: 0.41%, ACN: 0.28%, ADBE: 0.28%, AMAT: 0.24%, AMD: 0.52%, AMGN: 0.29%, AMT: 0.17%, AMZN: 3.99%, AVGO: 2.63%, AXP: 0.31%, BA: 0.32%, BAC: 0.57%, BKNG: 0.33%, BLK: 0.30%, BMY: 0.18%, BRK/B: 1.60%, C: 0.32%, CAT: 0.35%, CB: 0.19%, CL: 0.12%, CMCSA: 0.23%, COP: 0.22%, COST: 0.79%, CRM: 0.43%, CSCO: 0.49%, CVS: 0.16%, CVX: 0.54%, DE: 0.23%, DHR: 0.24%, DIS: 0.38%, DUK: 0.17%, ELV: 0.13%, EMR: 0.14%, ETN: 0.25%, FDX: 0.09%, GE: 0.52%, GILD: 0.27%, GOOG: 1.75%, GS: 0.41%, HD: 0.72%, HON: 0.25%, IBM: 0.41%, INTC: 0.19%, INTU: 0.37%, ISRG: 0.31%, JNJ: 0.77%, JPM: 1.48%, KO: 0.49%, LIN: 0.41%, LLY: 1.00%, LMT: 0.17%, LOW: 0.26%, MA: 0.87%, MCD: 0.40%, MDLZ: 0.15%, MDT: 0.22%, MET: 0.08%, META: 3.04%, MMM: 0.15%, MO: 0.20%, MRK: 0.39%, MS: 0.33%, MSFT: 7.02%, NEE: 0.28%, NFLX: 0.97%, NKE: 0.17%, NOW: 0.34%, NVDA: 8.11%, ORCL: 0.74%, PEP: 0.37%, PFE: 0.26%, PG: 0.67%, PLTR: 0.68%, PM: 0.47%, PYPL: 0.12%, QCOM: 0.32%, RTX: 0.38%, SBUX: 0.19%, SCHW: 0.30%, SO: 0.19%, SPGI: 0.32%, T: 0.38%, TGT: 0.09%, TJX: 0.27%, TMO: 0.34%, TSLA: 1.72%, TXN: 0.32%, UBER: 0.36%, UNH: 0.51%, UNP: 0.24%, UPS: 0.12%, USB: 0.13%, V: 1.07%, VZ: 0.34%, WFC: 0.46%, WM: 0.15%, WMT: 0.79%, XOM: 0.84%</t>
  </si>
  <si>
    <t>(NVDA, 9.08%), (MSFT, 7.97%), (AAPL, 7.31%)</t>
  </si>
  <si>
    <t>CSCO (2.10%)</t>
  </si>
  <si>
    <t>(NVDA, 8.61%), (MSFT, 7.57%), (AAPL, 6.94%)</t>
  </si>
  <si>
    <t>XOM (1.69%)</t>
  </si>
  <si>
    <t>(NVDA, 8.58%), (MSFT, 7.54%), (AAPL, 6.92%)</t>
  </si>
  <si>
    <t>(NVDA, 9.54%), (MSFT, 8.37%), (AAPL, 7.67%)</t>
  </si>
  <si>
    <t>CSCO (2.13%)</t>
  </si>
  <si>
    <t>(NVDA, 9.06%), (MSFT, 7.95%), (AAPL, 7.29%)</t>
  </si>
  <si>
    <t>(NVDA, 8.46%), (MSFT, 7.43%), (AAPL, 6.83%)</t>
  </si>
  <si>
    <t>XOM (1.68%)</t>
  </si>
  <si>
    <t>AAPL: 6.30%, ABT: 0.41%, ACN: 0.28%, ADM: 0.05%, ADP: 0.22%, AFL: 0.09%, ALL: 0.10%, AMAT: 0.24%, AMP: 0.09%, AXP: 0.31%, BK: 0.13%, BKNG: 0.33%, BKR: 0.08%, BLK: 0.30%, CB: 0.19%, CF: 0.03%, CINF: 0.04%, COST: 0.79%, CRM: 0.43%, CSCO: 0.49%, CTSH: 0.06%, DHI: 0.08%, DOV: 0.04%, EA: 0.07%, EBAY: 0.08%, EG: 0.03%, ELV: 0.13%, EOG: 0.12%, FANG: 0.05%, GE: 0.52%, GEV: 0.31%, GOOGL: 2.16%, HIG: 0.07%, JNJ: 0.77%, JPM: 1.48%, KLAC: 0.21%, LEN: 0.06%, LRCX: 0.23%, MA: 0.87%, MCK: 0.15%, META: 3.04%, MPWR: 0.07%, MSFT: 7.02%, MTB: 0.06%, NKE: 0.17%, NTRS: 0.05%, NUE: 0.06%, NVDA: 8.11%, ODFL: 0.05%, PAYC: 0.02%, PCAR: 0.09%, PGR: 0.26%, PHM: 0.05%, PNC: 0.14%, QCOM: 0.32%, RJF: 0.05%, ROST: 0.09%, SNA: 0.03%, STT: 0.06%, SYF: 0.05%, TRV: 0.11%, V: 1.07%, WSM: 0.05%, XOM: 0.84%</t>
  </si>
  <si>
    <t>LEN (1.83%)</t>
  </si>
  <si>
    <t>PCAR (1.82%)</t>
  </si>
  <si>
    <t>(NVDA, 8.87%), (MSFT, 7.79%), (AAPL, 7.14%)</t>
  </si>
  <si>
    <t>(NVDA, 9.19%), (MSFT, 8.07%), (AAPL, 7.39%)</t>
  </si>
  <si>
    <t>(NVDA, 9.36%), (MSFT, 8.20%), (AAPL, 7.45%)</t>
  </si>
  <si>
    <t>AAPL: 6.33%, ABBV: 0.67%, ABT: 0.42%, ACN: 0.29%, ADBE: 0.28%, AMAT: 0.24%, AMD: 0.50%, AMGN: 0.29%, AMT: 0.18%, AMZN: 3.96%, AVGO: 2.55%, AXP: 0.31%, BA: 0.31%, BAC: 0.58%, BKNG: 0.33%, BLK: 0.30%, BMY: 0.18%, BRK/B: 1.63%, C: 0.32%, CAT: 0.36%, CB: 0.19%, CL: 0.13%, CMCSA: 0.23%, COP: 0.22%, COST: 0.80%, CRM: 0.43%, CSCO: 0.49%, CVS: 0.16%, CVX: 0.53%, DE: 0.23%, DHR: 0.25%, DIS: 0.38%, DUK: 0.18%, ELV: 0.13%, EMR: 0.14%, ETN: 0.25%, FDX: 0.09%, GE: 0.52%, GILD: 0.27%, GOOG: 1.75%, GS: 0.41%, HD: 0.74%, HON: 0.26%, IBM: 0.41%, INTC: 0.20%, INTU: 0.36%, ISRG: 0.32%, JNJ: 0.79%, JPM: 1.48%, KO: 0.50%, LIN: 0.41%, LLY: 1.02%, LMT: 0.17%, LOW: 0.26%, MA: 0.87%, MCD: 0.41%, MDLZ: 0.15%, MDT: 0.21%, MET: 0.08%, META: 3.00%, MMM: 0.15%, MO: 0.21%, MRK: 0.39%, MS: 0.33%, MSFT: 6.96%, NEE: 0.29%, NFLX: 0.95%, NKE: 0.17%, NOW: 0.34%, NVDA: 7.87%, ORCL: 0.70%, PEP: 0.38%, PFE: 0.26%, PG: 0.68%, PLTR: 0.62%, PM: 0.48%, PYPL: 0.12%, QCOM: 0.31%, RTX: 0.38%, SBUX: 0.19%, SCHW: 0.30%, SO: 0.19%, SPGI: 0.32%, T: 0.38%, TGT: 0.09%, TJX: 0.28%, TMO: 0.35%, TSLA: 1.70%, TXN: 0.33%, UBER: 0.37%, UNH: 0.51%, UNP: 0.25%, UPS: 0.12%, USB: 0.13%, V: 1.08%, VZ: 0.35%, WFC: 0.46%, WM: 0.15%, WMT: 0.80%, XOM: 0.85%</t>
  </si>
  <si>
    <t>(NVDA, 9.07%), (MSFT, 7.94%), (AAPL, 7.21%)</t>
  </si>
  <si>
    <t>TSLA (2.09%)</t>
  </si>
  <si>
    <t>(NVDA, 8.61%), (MSFT, 7.53%), (AAPL, 6.85%)</t>
  </si>
  <si>
    <t>XOM (1.71%)</t>
  </si>
  <si>
    <t>(NVDA, 8.59%), (MSFT, 7.51%), (AAPL, 6.82%)</t>
  </si>
  <si>
    <t>(NVDA, 9.51%), (MSFT, 8.33%), (AAPL, 7.57%)</t>
  </si>
  <si>
    <t>(NVDA, 9.04%), (MSFT, 7.91%), (AAPL, 7.19%)</t>
  </si>
  <si>
    <t>(NVDA, 8.44%), (MSFT, 7.38%), (AAPL, 6.71%)</t>
  </si>
  <si>
    <t>XOM (1.70%)</t>
  </si>
  <si>
    <t>AAPL: 6.33%, ABT: 0.42%, ACN: 0.29%, ADM: 0.05%, ADP: 0.23%, AFL: 0.10%, ALL: 0.10%, AMAT: 0.24%, AMP: 0.09%, AXP: 0.31%, BK: 0.13%, BKNG: 0.33%, BKR: 0.08%, BLK: 0.30%, CB: 0.19%, CF: 0.03%, CINF: 0.04%, COST: 0.80%, CRM: 0.43%, CSCO: 0.49%, CTSH: 0.06%, DHI: 0.09%, DOV: 0.05%, EA: 0.07%, EBAY: 0.08%, EG: 0.03%, ELV: 0.13%, EOG: 0.12%, FANG: 0.05%, GE: 0.52%, GEV: 0.30%, GOOGL: 2.15%, HIG: 0.07%, JNJ: 0.79%, JPM: 1.48%, KLAC: 0.21%, LEN: 0.06%, LRCX: 0.24%, MA: 0.87%, MCK: 0.16%, META: 3.00%, MPWR: 0.07%, MSFT: 6.96%, MTB: 0.06%, NKE: 0.17%, NTRS: 0.05%, NUE: 0.06%, NVDA: 7.87%, ODFL: 0.05%, PAYC: 0.02%, PCAR: 0.10%, PGR: 0.27%, PHM: 0.05%, PNC: 0.14%, QCOM: 0.31%, RJF: 0.05%, ROST: 0.09%, SNA: 0.03%, STT: 0.06%, SYF: 0.05%, TRV: 0.11%, V: 1.08%, WSM: 0.05%, XOM: 0.85%</t>
  </si>
  <si>
    <t>CB (1.83%)</t>
  </si>
  <si>
    <t>KLAC (1.81%)</t>
  </si>
  <si>
    <t>(NVDA, 9.06%), (MSFT, 7.93%), (AAPL, 7.20%)</t>
  </si>
  <si>
    <t>(NVDA, 8.86%), (MSFT, 7.75%), (AAPL, 7.04%)</t>
  </si>
  <si>
    <t>(NVDA, 9.17%), (MSFT, 8.03%), (AAPL, 7.30%)</t>
  </si>
  <si>
    <t>CSCO (2.08%)</t>
  </si>
  <si>
    <t>(NVDA, 9.37%), (MSFT, 8.19%), (AAPL, 7.42%)</t>
  </si>
  <si>
    <t>AAPL: 6.22%, ABBV: 0.68%, ABT: 0.42%, ACN: 0.29%, ADBE: 0.28%, AMAT: 0.24%, AMD: 0.49%, AMGN: 0.29%, AMT: 0.18%, AMZN: 3.89%, AVGO: 2.52%, AXP: 0.31%, BA: 0.31%, BAC: 0.58%, BKNG: 0.34%, BLK: 0.30%, BMY: 0.18%, BRK/B: 1.65%, C: 0.32%, CAT: 0.36%, CB: 0.19%, CL: 0.13%, CMCSA: 0.23%, COP: 0.22%, COST: 0.81%, CRM: 0.44%, CSCO: 0.49%, CVS: 0.16%, CVX: 0.54%, DE: 0.23%, DHR: 0.25%, DIS: 0.39%, DUK: 0.18%, ELV: 0.13%, EMR: 0.14%, ETN: 0.25%, FDX: 0.09%, GE: 0.52%, GILD: 0.27%, GOOG: 1.73%, GS: 0.41%, HD: 0.74%, HON: 0.26%, IBM: 0.41%, INTC: 0.19%, INTU: 0.36%, ISRG: 0.32%, JNJ: 0.79%, JPM: 1.50%, KO: 0.50%, LIN: 0.42%, LLY: 1.02%, LMT: 0.17%, LOW: 0.27%, MA: 0.89%, MCD: 0.41%, MDLZ: 0.15%, MDT: 0.22%, MET: 0.08%, META: 2.99%, MMM: 0.15%, MO: 0.21%, MRK: 0.39%, MS: 0.33%, MSFT: 6.91%, NEE: 0.29%, NFLX: 0.95%, NKE: 0.17%, NOW: 0.34%, NVDA: 7.88%, ORCL: 0.70%, PEP: 0.38%, PFE: 0.27%, PG: 0.69%, PLTR: 0.61%, PM: 0.50%, PYPL: 0.12%, QCOM: 0.31%, RTX: 0.39%, SBUX: 0.19%, SCHW: 0.30%, SO: 0.19%, SPGI: 0.32%, T: 0.39%, TGT: 0.08%, TJX: 0.28%, TMO: 0.34%, TSLA: 1.67%, TXN: 0.34%, UBER: 0.36%, UNH: 0.50%, UNP: 0.25%, UPS: 0.12%, USB: 0.13%, V: 1.08%, VZ: 0.35%, WFC: 0.47%, WM: 0.15%, WMT: 0.82%, XOM: 0.86%</t>
  </si>
  <si>
    <t>(NVDA, 9.07%), (MSFT, 7.93%), (AAPL, 7.18%)</t>
  </si>
  <si>
    <t>(NVDA, 8.62%), (MSFT, 7.53%), (AAPL, 6.82%)</t>
  </si>
  <si>
    <t>XOM (1.72%)</t>
  </si>
  <si>
    <t>(NVDA, 8.59%), (MSFT, 7.50%), (AAPL, 6.80%)</t>
  </si>
  <si>
    <t>(NVDA, 9.51%), (MSFT, 8.31%), (AAPL, 7.53%)</t>
  </si>
  <si>
    <t>CSCO (2.15%)</t>
  </si>
  <si>
    <t>(NVDA, 9.04%), (MSFT, 7.90%), (AAPL, 7.16%)</t>
  </si>
  <si>
    <t>(NVDA, 8.44%), (MSFT, 7.37%), (AAPL, 6.68%)</t>
  </si>
  <si>
    <t>AAPL: 6.22%, ABT: 0.42%, ACN: 0.29%, ADM: 0.05%, ADP: 0.23%, AFL: 0.10%, ALL: 0.10%, AMAT: 0.24%, AMP: 0.09%, AXP: 0.31%, BK: 0.13%, BKNG: 0.34%, BKR: 0.08%, BLK: 0.30%, CB: 0.19%, CF: 0.03%, CINF: 0.04%, COST: 0.81%, CRM: 0.44%, CSCO: 0.49%, CTSH: 0.06%, DHI: 0.08%, DOV: 0.05%, EA: 0.07%, EBAY: 0.08%, EG: 0.03%, ELV: 0.13%, EOG: 0.12%, FANG: 0.05%, GE: 0.52%, GEV: 0.30%, GOOGL: 2.14%, HIG: 0.07%, JNJ: 0.79%, JPM: 1.50%, KLAC: 0.21%, LEN: 0.06%, LRCX: 0.23%, MA: 0.89%, MCK: 0.16%, META: 2.99%, MPWR: 0.07%, MSFT: 6.91%, MTB: 0.06%, NKE: 0.17%, NTRS: 0.05%, NUE: 0.06%, NVDA: 7.88%, ODFL: 0.05%, PAYC: 0.02%, PCAR: 0.10%, PGR: 0.27%, PHM: 0.05%, PNC: 0.14%, QCOM: 0.31%, RJF: 0.05%, ROST: 0.09%, SNA: 0.03%, STT: 0.06%, SYF: 0.05%, TRV: 0.11%, V: 1.08%, WSM: 0.05%, XOM: 0.86%</t>
  </si>
  <si>
    <t>KLAC (1.80%)</t>
  </si>
  <si>
    <t>(NVDA, 9.06%), (MSFT, 7.92%), (AAPL, 7.17%)</t>
  </si>
  <si>
    <t>(NVDA, 8.86%), (MSFT, 7.74%), (AAPL, 7.01%)</t>
  </si>
  <si>
    <t>(NVDA, 9.17%), (MSFT, 8.02%), (AAPL, 7.26%)</t>
  </si>
  <si>
    <t>(NVDA, 9.42%), (MSFT, 8.16%), (AAPL, 7.42%)</t>
  </si>
  <si>
    <t>AAPL: 6.21%, ABBV: 0.68%, ABT: 0.42%, ACN: 0.29%, ADBE: 0.28%, AMAT: 0.24%, AMD: 0.49%, AMGN: 0.29%, AMT: 0.18%, AMZN: 3.88%, AVGO: 2.52%, AXP: 0.32%, BA: 0.31%, BAC: 0.58%, BKNG: 0.34%, BLK: 0.30%, BMY: 0.18%, BRK/B: 1.66%, C: 0.32%, CAT: 0.36%, CB: 0.19%, CL: 0.13%, CMCSA: 0.23%, COP: 0.22%, COST: 0.80%, CRM: 0.44%, CSCO: 0.49%, CVS: 0.17%, CVX: 0.55%, DE: 0.23%, DHR: 0.24%, DIS: 0.39%, DUK: 0.18%, ELV: 0.13%, EMR: 0.14%, ETN: 0.25%, FDX: 0.09%, GE: 0.53%, GILD: 0.27%, GOOG: 1.74%, GS: 0.41%, HD: 0.73%, HON: 0.26%, IBM: 0.41%, INTC: 0.19%, INTU: 0.36%, ISRG: 0.31%, JNJ: 0.80%, JPM: 1.50%, KO: 0.51%, LIN: 0.42%, LLY: 1.03%, LMT: 0.17%, LOW: 0.26%, MA: 0.89%, MCD: 0.41%, MDLZ: 0.15%, MDT: 0.22%, MET: 0.08%, META: 2.97%, MMM: 0.15%, MO: 0.21%, MRK: 0.40%, MS: 0.33%, MSFT: 6.93%, NEE: 0.29%, NFLX: 0.95%, NKE: 0.17%, NOW: 0.34%, NVDA: 7.89%, ORCL: 0.70%, PEP: 0.38%, PFE: 0.27%, PG: 0.69%, PLTR: 0.61%, PM: 0.50%, PYPL: 0.12%, QCOM: 0.31%, RTX: 0.39%, SBUX: 0.19%, SCHW: 0.30%, SO: 0.19%, SPGI: 0.32%, T: 0.39%, TGT: 0.08%, TJX: 0.28%, TMO: 0.34%, TSLA: 1.66%, TXN: 0.34%, UBER: 0.36%, UNH: 0.51%, UNP: 0.25%, UPS: 0.12%, USB: 0.13%, V: 1.09%, VZ: 0.35%, WFC: 0.47%, WM: 0.16%, WMT: 0.78%, XOM: 0.87%</t>
  </si>
  <si>
    <t>(NVDA, 9.13%), (MSFT, 7.90%), (AAPL, 7.20%)</t>
  </si>
  <si>
    <t>CSCO (2.11%)</t>
  </si>
  <si>
    <t>(NVDA, 8.66%), (MSFT, 7.49%), (AAPL, 6.83%)</t>
  </si>
  <si>
    <t>XOM (1.74%)</t>
  </si>
  <si>
    <t>(NVDA, 8.64%), (MSFT, 7.47%), (AAPL, 6.81%)</t>
  </si>
  <si>
    <t>(NVDA, 9.57%), (MSFT, 8.29%), (AAPL, 7.55%)</t>
  </si>
  <si>
    <t>(NVDA, 9.10%), (MSFT, 7.88%), (AAPL, 7.17%)</t>
  </si>
  <si>
    <t>(NVDA, 8.49%), (MSFT, 7.34%), (AAPL, 6.70%)</t>
  </si>
  <si>
    <t>AAPL: 6.21%, ABT: 0.42%, ACN: 0.29%, ADM: 0.05%, ADP: 0.23%, AFL: 0.10%, ALL: 0.10%, AMAT: 0.24%, AMP: 0.09%, AXP: 0.32%, BK: 0.13%, BKNG: 0.34%, BKR: 0.08%, BLK: 0.30%, CB: 0.19%, CF: 0.03%, CINF: 0.04%, COST: 0.80%, CRM: 0.44%, CSCO: 0.49%, CTSH: 0.07%, DHI: 0.08%, DOV: 0.05%, EA: 0.07%, EBAY: 0.08%, EG: 0.03%, ELV: 0.13%, EOG: 0.12%, FANG: 0.05%, GE: 0.53%, GEV: 0.31%, GOOGL: 2.15%, HIG: 0.07%, JNJ: 0.80%, JPM: 1.50%, KLAC: 0.21%, LEN: 0.06%, LRCX: 0.23%, MA: 0.89%, MCK: 0.16%, META: 2.97%, MPWR: 0.07%, MSFT: 6.93%, MTB: 0.06%, NKE: 0.17%, NTRS: 0.05%, NUE: 0.06%, NVDA: 7.89%, ODFL: 0.05%, PAYC: 0.02%, PCAR: 0.09%, PGR: 0.27%, PHM: 0.05%, PNC: 0.14%, QCOM: 0.31%, RJF: 0.05%, ROST: 0.09%, SNA: 0.03%, STT: 0.06%, SYF: 0.05%, TRV: 0.12%, V: 1.09%, WSM: 0.04%, XOM: 0.87%</t>
  </si>
  <si>
    <t>PCAR (1.83%)</t>
  </si>
  <si>
    <t>(NVDA, 9.11%), (MSFT, 7.88%), (AAPL, 7.18%)</t>
  </si>
  <si>
    <t>(NVDA, 8.91%), (MSFT, 7.71%), (AAPL, 7.02%)</t>
  </si>
  <si>
    <t>(NVDA, 9.23%), (MSFT, 7.99%), (AAPL, 7.28%)</t>
  </si>
  <si>
    <t>(NVDA, 9.50%), (MSFT, 8.10%), (AAPL, 7.40%)</t>
  </si>
  <si>
    <t>AAPL: 6.19%, ABBV: 0.68%, ABT: 0.42%, ACN: 0.30%, ADBE: 0.28%, AMAT: 0.24%, AMD: 0.50%, AMGN: 0.29%, AMT: 0.18%, AMZN: 3.94%, AVGO: 2.52%, AXP: 0.32%, BA: 0.32%, BAC: 0.59%, BKNG: 0.34%, BLK: 0.30%, BMY: 0.18%, BRK/B: 1.63%, C: 0.32%, CAT: 0.37%, CB: 0.19%, CL: 0.13%, CMCSA: 0.23%, COP: 0.22%, COST: 0.77%, CRM: 0.43%, CSCO: 0.49%, CVS: 0.16%, CVX: 0.55%, DE: 0.23%, DHR: 0.25%, DIS: 0.39%, DUK: 0.18%, ELV: 0.13%, EMR: 0.14%, ETN: 0.25%, FDX: 0.10%, GE: 0.52%, GILD: 0.26%, GOOG: 1.77%, GS: 0.41%, HD: 0.75%, HON: 0.26%, IBM: 0.41%, INTC: 0.20%, INTU: 0.34%, ISRG: 0.31%, JNJ: 0.79%, JPM: 1.50%, KO: 0.49%, LIN: 0.41%, LLY: 1.02%, LMT: 0.17%, LOW: 0.27%, MA: 0.88%, MCD: 0.41%, MDLZ: 0.15%, MDT: 0.22%, MET: 0.08%, META: 2.98%, MMM: 0.15%, MO: 0.21%, MRK: 0.40%, MS: 0.33%, MSFT: 6.86%, NEE: 0.29%, NFLX: 0.93%, NKE: 0.17%, NOW: 0.33%, NVDA: 7.90%, ORCL: 0.70%, PEP: 0.37%, PFE: 0.27%, PG: 0.68%, PLTR: 0.61%, PM: 0.49%, PYPL: 0.12%, QCOM: 0.32%, RTX: 0.38%, SBUX: 0.18%, SCHW: 0.30%, SO: 0.19%, SPGI: 0.32%, T: 0.38%, TGT: 0.08%, TJX: 0.28%, TMO: 0.34%, TSLA: 1.73%, TXN: 0.34%, UBER: 0.37%, UNH: 0.51%, UNP: 0.25%, UPS: 0.12%, USB: 0.14%, V: 1.09%, VZ: 0.34%, WFC: 0.47%, WM: 0.15%, WMT: 0.76%, XOM: 0.87%</t>
  </si>
  <si>
    <t>(NVDA, 9.21%), (MSFT, 7.85%), (AAPL, 7.17%)</t>
  </si>
  <si>
    <t>(NVDA, 8.75%), (MSFT, 7.45%), (AAPL, 6.81%)</t>
  </si>
  <si>
    <t>XOM (1.75%)</t>
  </si>
  <si>
    <t>(NVDA, 8.72%), (MSFT, 7.42%), (AAPL, 6.79%)</t>
  </si>
  <si>
    <t>(NVDA, 9.66%), (MSFT, 8.23%), (AAPL, 7.53%)</t>
  </si>
  <si>
    <t>(NVDA, 9.18%), (MSFT, 7.83%), (AAPL, 7.16%)</t>
  </si>
  <si>
    <t>(NVDA, 8.58%), (MSFT, 7.30%), (AAPL, 6.68%)</t>
  </si>
  <si>
    <t>AAPL: 6.19%, ABT: 0.42%, ACN: 0.30%, ADM: 0.06%, ADP: 0.23%, AFL: 0.10%, ALL: 0.10%, AMAT: 0.24%, AMP: 0.09%, AXP: 0.32%, BK: 0.13%, BKNG: 0.34%, BKR: 0.08%, BLK: 0.30%, CB: 0.19%, CF: 0.03%, CINF: 0.04%, COST: 0.77%, CRM: 0.43%, CSCO: 0.49%, CTSH: 0.07%, DHI: 0.09%, DOV: 0.05%, EA: 0.07%, EBAY: 0.08%, EG: 0.03%, ELV: 0.13%, EOG: 0.12%, FANG: 0.05%, GE: 0.52%, GEV: 0.30%, GOOGL: 2.18%, HIG: 0.07%, JNJ: 0.79%, JPM: 1.50%, KLAC: 0.21%, LEN: 0.06%, LRCX: 0.23%, MA: 0.88%, MCK: 0.16%, META: 2.98%, MPWR: 0.07%, MSFT: 6.86%, MTB: 0.06%, NKE: 0.17%, NTRS: 0.05%, NUE: 0.06%, NVDA: 7.90%, ODFL: 0.05%, PAYC: 0.02%, PCAR: 0.10%, PGR: 0.27%, PHM: 0.05%, PNC: 0.15%, QCOM: 0.32%, RJF: 0.05%, ROST: 0.09%, SNA: 0.03%, STT: 0.06%, SYF: 0.05%, TRV: 0.11%, V: 1.09%, WSM: 0.05%, XOM: 0.87%</t>
  </si>
  <si>
    <t>LEN (1.82%)</t>
  </si>
  <si>
    <t>(NVDA, 9.19%), (MSFT, 7.84%), (AAPL, 7.16%)</t>
  </si>
  <si>
    <t>(NVDA, 9.00%), (MSFT, 7.66%), (AAPL, 7.01%)</t>
  </si>
  <si>
    <t>(NVDA, 9.31%), (MSFT, 7.94%), (AAPL, 7.26%)</t>
  </si>
  <si>
    <t>(NVDA, 9.59%), (MSFT, 8.05%), (AAPL, 7.45%)</t>
  </si>
  <si>
    <t>AAPL: 6.20%, ABBV: 0.67%, ABT: 0.42%, ACN: 0.29%, ADBE: 0.28%, AMAT: 0.24%, AMD: 0.48%, AMGN: 0.28%, AMT: 0.18%, AMZN: 3.94%, AVGO: 2.53%, AXP: 0.32%, BA: 0.31%, BAC: 0.59%, BKNG: 0.34%, BLK: 0.30%, BMY: 0.18%, BRK/B: 1.63%, C: 0.32%, CAT: 0.37%, CB: 0.19%, CL: 0.12%, CMCSA: 0.23%, COP: 0.23%, COST: 0.76%, CRM: 0.43%, CSCO: 0.49%, CVS: 0.16%, CVX: 0.55%, DE: 0.23%, DHR: 0.24%, DIS: 0.39%, DUK: 0.17%, ELV: 0.13%, EMR: 0.14%, ETN: 0.25%, FDX: 0.09%, GE: 0.52%, GILD: 0.26%, GOOG: 1.80%, GS: 0.41%, HD: 0.74%, HON: 0.26%, IBM: 0.41%, INTC: 0.20%, INTU: 0.34%, ISRG: 0.31%, JNJ: 0.78%, JPM: 1.50%, KO: 0.49%, LIN: 0.41%, LLY: 1.00%, LMT: 0.17%, LOW: 0.26%, MA: 0.88%, MCD: 0.41%, MDLZ: 0.15%, MDT: 0.22%, MET: 0.08%, META: 2.99%, MMM: 0.15%, MO: 0.21%, MRK: 0.39%, MS: 0.33%, MSFT: 6.85%, NEE: 0.28%, NFLX: 0.95%, NKE: 0.17%, NOW: 0.33%, NVDA: 8.02%, ORCL: 0.70%, PEP: 0.37%, PFE: 0.26%, PG: 0.67%, PLTR: 0.61%, PM: 0.48%, PYPL: 0.12%, QCOM: 0.31%, RTX: 0.38%, SBUX: 0.18%, SCHW: 0.30%, SO: 0.19%, SPGI: 0.32%, T: 0.38%, TGT: 0.08%, TJX: 0.28%, TMO: 0.34%, TSLA: 1.78%, TXN: 0.34%, UBER: 0.36%, UNH: 0.51%, UNP: 0.24%, UPS: 0.12%, USB: 0.14%, V: 1.09%, VZ: 0.34%, WFC: 0.48%, WM: 0.15%, WMT: 0.76%, XOM: 0.88%</t>
  </si>
  <si>
    <t>(NVDA, 9.29%), (MSFT, 7.79%), (AAPL, 7.22%)</t>
  </si>
  <si>
    <t>(NVDA, 8.82%), (MSFT, 7.40%), (AAPL, 6.85%)</t>
  </si>
  <si>
    <t>(NVDA, 8.80%), (MSFT, 7.37%), (AAPL, 6.83%)</t>
  </si>
  <si>
    <t>(NVDA, 9.75%), (MSFT, 8.18%), (AAPL, 7.57%)</t>
  </si>
  <si>
    <t>CSCO (2.16%)</t>
  </si>
  <si>
    <t>(NVDA, 9.27%), (MSFT, 7.78%), (AAPL, 7.20%)</t>
  </si>
  <si>
    <t>(NVDA, 8.65%), (MSFT, 7.25%), (AAPL, 6.72%)</t>
  </si>
  <si>
    <t>AAPL: 6.20%, ABT: 0.42%, ACN: 0.29%, ADM: 0.06%, ADP: 0.23%, AFL: 0.10%, ALL: 0.10%, AMAT: 0.24%, AMP: 0.09%, AXP: 0.32%, BK: 0.13%, BKNG: 0.34%, BKR: 0.08%, BLK: 0.30%, CB: 0.19%, CF: 0.03%, CINF: 0.04%, COST: 0.76%, CRM: 0.43%, CSCO: 0.49%, CTSH: 0.07%, DHI: 0.09%, DOV: 0.05%, EA: 0.07%, EBAY: 0.08%, EG: 0.03%, ELV: 0.13%, EOG: 0.12%, FANG: 0.05%, GE: 0.52%, GEV: 0.30%, GOOGL: 2.22%, HIG: 0.07%, JNJ: 0.78%, JPM: 1.50%, KLAC: 0.21%, LEN: 0.06%, LRCX: 0.24%, MA: 0.88%, MCK: 0.16%, META: 2.99%, MPWR: 0.07%, MSFT: 6.85%, MTB: 0.06%, NKE: 0.17%, NTRS: 0.05%, NUE: 0.06%, NVDA: 8.02%, ODFL: 0.05%, PAYC: 0.02%, PCAR: 0.10%, PGR: 0.26%, PHM: 0.05%, PNC: 0.15%, QCOM: 0.31%, RJF: 0.06%, ROST: 0.09%, SNA: 0.03%, STT: 0.06%, SYF: 0.05%, TRV: 0.11%, V: 1.09%, WSM: 0.04%, XOM: 0.88%</t>
  </si>
  <si>
    <t>AMAT (1.82%)</t>
  </si>
  <si>
    <t>(NVDA, 9.28%), (MSFT, 7.79%), (AAPL, 7.21%)</t>
  </si>
  <si>
    <t>(NVDA, 9.07%), (MSFT, 7.61%), (AAPL, 7.05%)</t>
  </si>
  <si>
    <t>(NVDA, 9.40%), (MSFT, 7.89%), (AAPL, 7.30%)</t>
  </si>
  <si>
    <t>(NVDA, 9.60%), (MSFT, 8.11%), (AAPL, 7.49%)</t>
  </si>
  <si>
    <t>AAPL: 6.24%, ABBV: 0.67%, ABT: 0.42%, ACN: 0.29%, ADBE: 0.28%, AMAT: 0.24%, AMD: 0.49%, AMGN: 0.28%, AMT: 0.18%, AMZN: 3.94%, AVGO: 2.55%, AXP: 0.32%, BA: 0.32%, BAC: 0.60%, BKNG: 0.34%, BLK: 0.30%, BMY: 0.17%, BRK/B: 1.64%, C: 0.33%, CAT: 0.37%, CB: 0.18%, CL: 0.12%, CMCSA: 0.23%, COP: 0.22%, COST: 0.76%, CRM: 0.43%, CSCO: 0.50%, CVS: 0.16%, CVX: 0.55%, DE: 0.22%, DHR: 0.24%, DIS: 0.38%, DUK: 0.17%, ELV: 0.13%, EMR: 0.14%, ETN: 0.25%, FDX: 0.09%, GE: 0.53%, GILD: 0.26%, GOOG: 1.78%, GS: 0.42%, HD: 0.74%, HON: 0.26%, IBM: 0.41%, INTC: 0.19%, INTU: 0.34%, ISRG: 0.31%, JNJ: 0.77%, JPM: 1.51%, KO: 0.48%, LIN: 0.41%, LLY: 1.05%, LMT: 0.17%, LOW: 0.26%, MA: 0.87%, MCD: 0.41%, MDLZ: 0.15%, MDT: 0.22%, MET: 0.08%, META: 2.98%, MMM: 0.15%, MO: 0.20%, MRK: 0.39%, MS: 0.34%, MSFT: 6.79%, NEE: 0.28%, NFLX: 0.95%, NKE: 0.17%, NOW: 0.33%, NVDA: 8.07%, ORCL: 0.69%, PEP: 0.37%, PFE: 0.26%, PG: 0.67%, PLTR: 0.62%, PM: 0.47%, PYPL: 0.12%, QCOM: 0.32%, RTX: 0.39%, SBUX: 0.18%, SCHW: 0.30%, SO: 0.19%, SPGI: 0.32%, T: 0.37%, TGT: 0.08%, TJX: 0.28%, TMO: 0.34%, TSLA: 1.79%, TXN: 0.34%, UBER: 0.37%, UNH: 0.50%, UNP: 0.24%, UPS: 0.12%, USB: 0.14%, V: 1.09%, VZ: 0.34%, WFC: 0.48%, WM: 0.15%, WMT: 0.76%, XOM: 0.87%</t>
  </si>
  <si>
    <t>(NVDA, 9.30%), (MSFT, 7.86%), (AAPL, 7.27%)</t>
  </si>
  <si>
    <t>(NVDA, 8.83%), (MSFT, 7.46%), (AAPL, 6.90%)</t>
  </si>
  <si>
    <t>(NVDA, 8.81%), (MSFT, 7.44%), (AAPL, 6.88%)</t>
  </si>
  <si>
    <t>(NVDA, 9.75%), (MSFT, 8.24%), (AAPL, 7.62%)</t>
  </si>
  <si>
    <t>(NVDA, 9.28%), (MSFT, 7.84%), (AAPL, 7.25%)</t>
  </si>
  <si>
    <t>(NVDA, 8.66%), (MSFT, 7.32%), (AAPL, 6.77%)</t>
  </si>
  <si>
    <t>AAPL: 6.24%, ABT: 0.42%, ACN: 0.29%, ADM: 0.06%, ADP: 0.22%, AFL: 0.10%, ALL: 0.10%, AMAT: 0.24%, AMP: 0.09%, AXP: 0.32%, BK: 0.14%, BKNG: 0.34%, BKR: 0.08%, BLK: 0.30%, CB: 0.18%, CF: 0.03%, CINF: 0.04%, COST: 0.76%, CRM: 0.43%, CSCO: 0.50%, CTSH: 0.06%, DHI: 0.08%, DOV: 0.05%, EA: 0.07%, EBAY: 0.08%, EG: 0.03%, ELV: 0.13%, EOG: 0.12%, FANG: 0.05%, GE: 0.53%, GEV: 0.31%, GOOGL: 2.20%, HIG: 0.07%, JNJ: 0.77%, JPM: 1.51%, KLAC: 0.21%, LEN: 0.06%, LRCX: 0.24%, MA: 0.87%, MCK: 0.15%, META: 2.98%, MPWR: 0.07%, MSFT: 6.79%, MTB: 0.06%, NKE: 0.17%, NTRS: 0.05%, NUE: 0.06%, NVDA: 8.07%, ODFL: 0.05%, PAYC: 0.02%, PCAR: 0.10%, PGR: 0.26%, PHM: 0.05%, PNC: 0.15%, QCOM: 0.32%, RJF: 0.06%, ROST: 0.09%, SNA: 0.03%, STT: 0.06%, SYF: 0.05%, TRV: 0.11%, V: 1.09%, WSM: 0.04%, XOM: 0.87%</t>
  </si>
  <si>
    <t>PCAR (1.84%)</t>
  </si>
  <si>
    <t>(NVDA, 9.29%), (MSFT, 7.85%), (AAPL, 7.25%)</t>
  </si>
  <si>
    <t>(NVDA, 9.08%), (MSFT, 7.67%), (AAPL, 7.09%)</t>
  </si>
  <si>
    <t>(NVDA, 9.41%), (MSFT, 7.96%), (AAPL, 7.35%)</t>
  </si>
  <si>
    <t>(NVDA, 9.50%), (MSFT, 8.14%), (AAPL, 7.53%)</t>
  </si>
  <si>
    <t>AAPL: 6.25%, ABBV: 0.67%, ABT: 0.42%, ACN: 0.29%, ADBE: 0.28%, AMAT: 0.24%, AMD: 0.49%, AMGN: 0.28%, AMT: 0.17%, AMZN: 3.93%, AVGO: 2.56%, AXP: 0.32%, BA: 0.32%, BAC: 0.60%, BKNG: 0.33%, BLK: 0.30%, BMY: 0.18%, BRK/B: 1.65%, C: 0.33%, CAT: 0.37%, CB: 0.18%, CL: 0.12%, CMCSA: 0.23%, COP: 0.22%, COST: 0.77%, CRM: 0.44%, CSCO: 0.49%, CVS: 0.17%, CVX: 0.55%, DE: 0.23%, DHR: 0.24%, DIS: 0.39%, DUK: 0.17%, ELV: 0.13%, EMR: 0.14%, ETN: 0.25%, FDX: 0.09%, GE: 0.53%, GILD: 0.26%, GOOG: 1.78%, GS: 0.42%, HD: 0.74%, HON: 0.26%, IBM: 0.41%, INTC: 0.20%, INTU: 0.34%, ISRG: 0.31%, JNJ: 0.77%, JPM: 1.51%, KO: 0.48%, LIN: 0.41%, LLY: 1.05%, LMT: 0.17%, LOW: 0.26%, MA: 0.87%, MCD: 0.40%, MDLZ: 0.15%, MDT: 0.21%, MET: 0.08%, META: 2.95%, MMM: 0.15%, MO: 0.20%, MRK: 0.38%, MS: 0.34%, MSFT: 6.84%, NEE: 0.27%, NFLX: 0.95%, NKE: 0.17%, NOW: 0.33%, NVDA: 8.04%, ORCL: 0.70%, PEP: 0.37%, PFE: 0.26%, PG: 0.67%, PLTR: 0.61%, PM: 0.46%, PYPL: 0.12%, QCOM: 0.32%, RTX: 0.39%, SBUX: 0.18%, SCHW: 0.30%, SO: 0.19%, SPGI: 0.31%, T: 0.38%, TGT: 0.08%, TJX: 0.28%, TMO: 0.33%, TSLA: 1.78%, TXN: 0.34%, UBER: 0.36%, UNH: 0.50%, UNP: 0.24%, UPS: 0.12%, USB: 0.14%, V: 1.09%, VZ: 0.34%, WFC: 0.49%, WM: 0.15%, WMT: 0.75%, XOM: 0.88%</t>
  </si>
  <si>
    <t>(NVDA, 9.21%), (MSFT, 7.89%), (AAPL, 7.31%)</t>
  </si>
  <si>
    <t>(NVDA, 8.74%), (MSFT, 7.49%), (AAPL, 6.94%)</t>
  </si>
  <si>
    <t>(NVDA, 8.71%), (MSFT, 7.47%), (AAPL, 6.92%)</t>
  </si>
  <si>
    <t>(NVDA, 9.66%), (MSFT, 8.27%), (AAPL, 7.66%)</t>
  </si>
  <si>
    <t>(NVDA, 9.19%), (MSFT, 7.87%), (AAPL, 7.29%)</t>
  </si>
  <si>
    <t>(NVDA, 8.57%), (MSFT, 7.34%), (AAPL, 6.80%)</t>
  </si>
  <si>
    <t>AAPL: 6.25%, ABT: 0.42%, ACN: 0.29%, ADM: 0.05%, ADP: 0.22%, AFL: 0.09%, ALL: 0.10%, AMAT: 0.24%, AMP: 0.09%, AXP: 0.32%, BK: 0.14%, BKNG: 0.33%, BKR: 0.08%, BLK: 0.30%, CB: 0.18%, CF: 0.03%, CINF: 0.04%, COST: 0.77%, CRM: 0.44%, CSCO: 0.49%, CTSH: 0.06%, DHI: 0.08%, DOV: 0.05%, EA: 0.07%, EBAY: 0.08%, EG: 0.03%, ELV: 0.13%, EOG: 0.12%, FANG: 0.05%, GE: 0.53%, GEV: 0.31%, GOOGL: 2.19%, HIG: 0.07%, JNJ: 0.77%, JPM: 1.51%, KLAC: 0.21%, LEN: 0.06%, LRCX: 0.24%, MA: 0.87%, MCK: 0.16%, META: 2.95%, MPWR: 0.08%, MSFT: 6.84%, MTB: 0.06%, NKE: 0.17%, NTRS: 0.05%, NUE: 0.06%, NVDA: 8.04%, ODFL: 0.05%, PAYC: 0.02%, PCAR: 0.10%, PGR: 0.26%, PHM: 0.05%, PNC: 0.15%, QCOM: 0.32%, RJF: 0.06%, ROST: 0.09%, SNA: 0.03%, STT: 0.06%, SYF: 0.05%, TRV: 0.11%, V: 1.09%, WSM: 0.04%, XOM: 0.88%</t>
  </si>
  <si>
    <t>SYF (1.83%)</t>
  </si>
  <si>
    <t>(NVDA, 8.99%), (MSFT, 7.70%), (AAPL, 7.13%)</t>
  </si>
  <si>
    <t>(NVDA, 9.32%), (MSFT, 7.98%), (AAPL, 7.39%)</t>
  </si>
  <si>
    <t>(NVDA, 9.26%), (MSFT, 8.14%), (AAPL, 7.56%)</t>
  </si>
  <si>
    <t>AAPL: 6.29%, ABBV: 0.66%, ABT: 0.41%, ACN: 0.29%, ADBE: 0.27%, AMAT: 0.24%, AMD: 0.49%, AMGN: 0.28%, AMT: 0.17%, AMZN: 3.96%, AVGO: 2.63%, AXP: 0.33%, BA: 0.32%, BAC: 0.60%, BKNG: 0.33%, BLK: 0.30%, BMY: 0.17%, BRK/B: 1.66%, C: 0.33%, CAT: 0.37%, CB: 0.18%, CL: 0.12%, CMCSA: 0.23%, COP: 0.23%, COST: 0.76%, CRM: 0.44%, CSCO: 0.50%, CVS: 0.17%, CVX: 0.55%, DE: 0.22%, DHR: 0.24%, DIS: 0.38%, DUK: 0.17%, ELV: 0.13%, EMR: 0.14%, ETN: 0.25%, FDX: 0.09%, GE: 0.53%, GILD: 0.25%, GOOG: 1.80%, GS: 0.42%, HD: 0.73%, HON: 0.26%, IBM: 0.41%, INTC: 0.20%, INTU: 0.34%, ISRG: 0.31%, JNJ: 0.76%, JPM: 1.51%, KO: 0.48%, LIN: 0.41%, LLY: 1.04%, LMT: 0.17%, LOW: 0.26%, MA: 0.87%, MCD: 0.40%, MDLZ: 0.14%, MDT: 0.21%, MET: 0.08%, META: 2.95%, MMM: 0.15%, MO: 0.20%, MRK: 0.38%, MS: 0.34%, MSFT: 6.86%, NEE: 0.27%, NFLX: 0.95%, NKE: 0.17%, NOW: 0.35%, NVDA: 7.95%, ORCL: 0.71%, PEP: 0.36%, PFE: 0.25%, PG: 0.66%, PLTR: 0.61%, PM: 0.47%, PYPL: 0.12%, QCOM: 0.32%, RTX: 0.39%, SBUX: 0.18%, SCHW: 0.30%, SO: 0.18%, SPGI: 0.31%, T: 0.38%, TGT: 0.08%, TJX: 0.28%, TMO: 0.33%, TSLA: 1.75%, TXN: 0.34%, UBER: 0.36%, UNH: 0.50%, UNP: 0.24%, UPS: 0.12%, USB: 0.14%, V: 1.08%, VZ: 0.34%, WFC: 0.48%, WM: 0.15%, WMT: 0.75%, XOM: 0.88%</t>
  </si>
  <si>
    <t>(NVDA, 8.96%), (MSFT, 7.88%), (AAPL, 7.33%)</t>
  </si>
  <si>
    <t>(NVDA, 8.50%), (MSFT, 7.48%), (AAPL, 6.96%)</t>
  </si>
  <si>
    <t>(NVDA, 8.47%), (MSFT, 7.45%), (AAPL, 6.94%)</t>
  </si>
  <si>
    <t>(NVDA, 9.41%), (MSFT, 8.27%), (AAPL, 7.69%)</t>
  </si>
  <si>
    <t>(NVDA, 8.94%), (MSFT, 7.86%), (AAPL, 7.31%)</t>
  </si>
  <si>
    <t>(NVDA, 8.32%), (MSFT, 7.33%), (AAPL, 6.82%)</t>
  </si>
  <si>
    <t>AAPL: 6.29%, ABT: 0.41%, ACN: 0.29%, ADM: 0.05%, ADP: 0.22%, AFL: 0.09%, ALL: 0.10%, AMAT: 0.24%, AMP: 0.09%, AXP: 0.33%, BK: 0.14%, BKNG: 0.33%, BKR: 0.08%, BLK: 0.30%, CB: 0.18%, CF: 0.03%, CINF: 0.04%, COST: 0.76%, CRM: 0.44%, CSCO: 0.50%, CTSH: 0.06%, DHI: 0.08%, DOV: 0.05%, EA: 0.07%, EBAY: 0.08%, EG: 0.03%, ELV: 0.13%, EOG: 0.12%, FANG: 0.05%, GE: 0.53%, GEV: 0.31%, GOOGL: 2.23%, HIG: 0.07%, JNJ: 0.76%, JPM: 1.51%, KLAC: 0.21%, LEN: 0.06%, LRCX: 0.24%, MA: 0.87%, MCK: 0.15%, META: 2.95%, MPWR: 0.07%, MSFT: 6.86%, MTB: 0.06%, NKE: 0.17%, NTRS: 0.05%, NUE: 0.06%, NVDA: 7.95%, ODFL: 0.05%, PAYC: 0.02%, PCAR: 0.10%, PGR: 0.26%, PHM: 0.05%, PNC: 0.15%, QCOM: 0.32%, RJF: 0.06%, ROST: 0.09%, SNA: 0.03%, STT: 0.06%, SYF: 0.05%, TRV: 0.11%, V: 1.08%, WSM: 0.04%, XOM: 0.88%</t>
  </si>
  <si>
    <t>SYF (1.82%)</t>
  </si>
  <si>
    <t>PCAR (1.81%)</t>
  </si>
  <si>
    <t>(NVDA, 8.95%), (MSFT, 7.87%), (AAPL, 7.32%)</t>
  </si>
  <si>
    <t>(NVDA, 8.75%), (MSFT, 7.69%), (AAPL, 7.16%)</t>
  </si>
  <si>
    <t>(NVDA, 9.08%), (MSFT, 7.98%), (AAPL, 7.41%)</t>
  </si>
  <si>
    <t>(MSFT, 9.62%), (NVDA, 9.10%), (AAPL, 7.53%)</t>
  </si>
  <si>
    <t>AAPL: 6.32%, ABBV: 0.68%, ABT: 0.42%, ACN: 0.30%, ADBE: 0.28%, AMAT: 0.24%, AMD: 0.48%, AMGN: 0.28%, AMT: 0.17%, AMZN: 3.94%, AVGO: 2.55%, AXP: 0.33%, BA: 0.32%, BAC: 0.61%, BKNG: 0.33%, BLK: 0.30%, BMY: 0.17%, BRK/B: 1.68%, C: 0.33%, CAT: 0.36%, CB: 0.19%, CL: 0.12%, CMCSA: 0.23%, COP: 0.23%, COST: 0.76%, CRM: 0.45%, CSCO: 0.50%, CVS: 0.17%, CVX: 0.56%, DE: 0.22%, DHR: 0.24%, DIS: 0.39%, DUK: 0.17%, ELV: 0.13%, EMR: 0.14%, ETN: 0.25%, FDX: 0.09%, GE: 0.53%, GILD: 0.26%, GOOG: 1.83%, GS: 0.42%, HD: 0.74%, HON: 0.26%, IBM: 0.41%, INTC: 0.19%, INTU: 0.34%, ISRG: 0.31%, JNJ: 0.78%, JPM: 1.53%, KO: 0.49%, LIN: 0.41%, LLY: 1.05%, LMT: 0.17%, LOW: 0.26%, MA: 0.88%, MCD: 0.41%, MDLZ: 0.14%, MDT: 0.22%, MET: 0.08%, META: 2.92%, MMM: 0.15%, MO: 0.21%, MRK: 0.38%, MS: 0.34%, MSFT: 6.86%, NEE: 0.27%, NFLX: 0.94%, NKE: 0.17%, NOW: 0.35%, NVDA: 7.74%, ORCL: 0.67%, PEP: 0.37%, PFE: 0.26%, PG: 0.67%, PLTR: 0.61%, PM: 0.47%, PYPL: 0.12%, QCOM: 0.32%, RTX: 0.39%, SBUX: 0.18%, SCHW: 0.30%, SO: 0.18%, SPGI: 0.31%, T: 0.38%, TGT: 0.08%, TJX: 0.28%, TMO: 0.34%, TSLA: 1.70%, TXN: 0.34%, UBER: 0.36%, UNH: 0.51%, UNP: 0.24%, UPS: 0.12%, USB: 0.14%, V: 1.10%, VZ: 0.34%, WFC: 0.49%, WM: 0.15%, WMT: 0.76%, XOM: 0.90%</t>
  </si>
  <si>
    <t>(MSFT, 9.80%), (NVDA, 8.81%), (AAPL, 7.29%)</t>
  </si>
  <si>
    <t>(MSFT, 9.31%), (NVDA, 8.36%), (AAPL, 6.92%)</t>
  </si>
  <si>
    <t>(MSFT, 9.36%), (NVDA, 8.33%), (AAPL, 6.90%)</t>
  </si>
  <si>
    <t>(MSFT, 9.80%), (NVDA, 9.25%), (AAPL, 7.65%)</t>
  </si>
  <si>
    <t>(MSFT, 9.36%), (NVDA, 8.79%), (AAPL, 7.27%)</t>
  </si>
  <si>
    <t>(MSFT, 9.23%), (NVDA, 8.19%), (AAPL, 6.78%)</t>
  </si>
  <si>
    <t>AAPL: 6.32%, ABT: 0.42%, ACN: 0.30%, ADM: 0.05%, ADP: 0.22%, AFL: 0.09%, ALL: 0.10%, AMAT: 0.24%, AMP: 0.09%, AXP: 0.33%, BK: 0.14%, BKNG: 0.33%, BKR: 0.08%, BLK: 0.30%, CB: 0.19%, CF: 0.03%, CINF: 0.04%, COST: 0.76%, CRM: 0.45%, CSCO: 0.50%, CTSH: 0.06%, DHI: 0.09%, DOV: 0.04%, EA: 0.07%, EBAY: 0.08%, EG: 0.03%, ELV: 0.13%, EOG: 0.12%, FANG: 0.05%, GE: 0.53%, GEV: 0.30%, GOOGL: 2.26%, HIG: 0.07%, JNJ: 0.78%, JPM: 1.53%, KLAC: 0.21%, LEN: 0.06%, LRCX: 0.23%, MA: 0.88%, MCK: 0.16%, META: 2.92%, MPWR: 0.07%, MSFT: 6.86%, MTB: 0.06%, NKE: 0.17%, NTRS: 0.05%, NUE: 0.06%, NVDA: 7.74%, ODFL: 0.05%, PAYC: 0.02%, PCAR: 0.10%, PGR: 0.26%, PHM: 0.05%, PNC: 0.15%, QCOM: 0.32%, RJF: 0.06%, ROST: 0.09%, SNA: 0.03%, STT: 0.06%, SYF: 0.05%, TRV: 0.11%, V: 1.10%, WSM: 0.04%, XOM: 0.90%</t>
  </si>
  <si>
    <t>SYF (1.80%)</t>
  </si>
  <si>
    <t>CB (1.80%)</t>
  </si>
  <si>
    <t>(MSFT, 9.34%), (NVDA, 8.80%), (AAPL, 7.28%)</t>
  </si>
  <si>
    <t>(MSFT, 9.22%), (NVDA, 8.60%), (AAPL, 7.12%)</t>
  </si>
  <si>
    <t>(MSFT, 9.84%), (NVDA, 8.92%), (AAPL, 7.37%)</t>
  </si>
  <si>
    <t>(NVDA, 9.05%), (MSFT, 8.13%), (AAPL, 7.74%)</t>
  </si>
  <si>
    <t>AAPL: 6.29%, ABBV: 0.69%, ABT: 0.42%, ACN: 0.29%, ADBE: 0.27%, AMAT: 0.23%, AMD: 0.48%, AMGN: 0.28%, AMT: 0.17%, AMZN: 3.90%, AVGO: 2.57%, AXP: 0.34%, BA: 0.33%, BAC: 0.61%, BKNG: 0.33%, BLK: 0.30%, BMY: 0.18%, BRK/B: 1.69%, C: 0.32%, CAT: 0.36%, CB: 0.19%, CL: 0.13%, CMCSA: 0.23%, COP: 0.23%, COST: 0.76%, CRM: 0.44%, CSCO: 0.49%, CVS: 0.17%, CVX: 0.57%, DE: 0.22%, DHR: 0.24%, DIS: 0.39%, DUK: 0.17%, ELV: 0.13%, EMR: 0.14%, ETN: 0.25%, FDX: 0.09%, GE: 0.54%, GILD: 0.26%, GOOG: 1.83%, GS: 0.41%, HD: 0.74%, HON: 0.26%, IBM: 0.41%, INTC: 0.19%, INTU: 0.34%, ISRG: 0.31%, JNJ: 0.79%, JPM: 1.53%, KO: 0.49%, LIN: 0.41%, LLY: 1.06%, LMT: 0.17%, LOW: 0.27%, MA: 0.88%, MCD: 0.41%, MDLZ: 0.15%, MDT: 0.22%, MET: 0.08%, META: 2.93%, MMM: 0.15%, MO: 0.21%, MRK: 0.39%, MS: 0.34%, MSFT: 6.89%, NEE: 0.27%, NFLX: 0.95%, NKE: 0.16%, NOW: 0.35%, NVDA: 7.64%, ORCL: 0.67%, PEP: 0.38%, PFE: 0.26%, PG: 0.68%, PLTR: 0.61%, PM: 0.48%, PYPL: 0.12%, QCOM: 0.32%, RTX: 0.39%, SBUX: 0.19%, SCHW: 0.30%, SO: 0.19%, SPGI: 0.31%, T: 0.38%, TGT: 0.08%, TJX: 0.28%, TMO: 0.34%, TSLA: 1.69%, TXN: 0.33%, UBER: 0.36%, UNH: 0.51%, UNP: 0.24%, UPS: 0.11%, USB: 0.14%, V: 1.10%, VZ: 0.34%, WFC: 0.49%, WM: 0.15%, WMT: 0.78%, XOM: 0.91%</t>
  </si>
  <si>
    <t>(NVDA, 8.77%), (MSFT, 7.88%), (AAPL, 7.52%)</t>
  </si>
  <si>
    <t>(NVDA, 8.32%), (MSFT, 7.47%), (AAPL, 7.14%)</t>
  </si>
  <si>
    <t>(NVDA, 8.30%), (MSFT, 7.45%), (AAPL, 7.12%)</t>
  </si>
  <si>
    <t>(NVDA, 9.20%), (MSFT, 8.27%), (AAPL, 7.87%)</t>
  </si>
  <si>
    <t>(NVDA, 8.74%), (MSFT, 7.86%), (AAPL, 7.49%)</t>
  </si>
  <si>
    <t>(NVDA, 8.15%), (MSFT, 7.32%), (AAPL, 7.01%)</t>
  </si>
  <si>
    <t>V (1.70%)</t>
  </si>
  <si>
    <t>AAPL: 6.29%, ABT: 0.42%, ACN: 0.29%, ADM: 0.05%, ADP: 0.22%, AFL: 0.09%, ALL: 0.10%, AMAT: 0.23%, AMP: 0.09%, AXP: 0.34%, BK: 0.14%, BKNG: 0.33%, BKR: 0.08%, BLK: 0.30%, CB: 0.19%, CF: 0.03%, CINF: 0.04%, COST: 0.76%, CRM: 0.44%, CSCO: 0.49%, CTSH: 0.06%, DHI: 0.09%, DOV: 0.04%, EA: 0.07%, EBAY: 0.08%, EG: 0.03%, ELV: 0.13%, EOG: 0.13%, FANG: 0.05%, GE: 0.54%, GEV: 0.29%, GOOGL: 2.26%, HIG: 0.07%, JNJ: 0.79%, JPM: 1.53%, KLAC: 0.21%, LEN: 0.06%, LRCX: 0.23%, MA: 0.88%, MCK: 0.16%, META: 2.93%, MPWR: 0.07%, MSFT: 6.89%, MTB: 0.06%, NKE: 0.16%, NTRS: 0.05%, NUE: 0.06%, NVDA: 7.64%, ODFL: 0.05%, PAYC: 0.02%, PCAR: 0.09%, PGR: 0.26%, PHM: 0.05%, PNC: 0.15%, QCOM: 0.32%, RJF: 0.06%, ROST: 0.09%, SNA: 0.03%, STT: 0.06%, SYF: 0.05%, TRV: 0.11%, V: 1.10%, WSM: 0.04%, XOM: 0.91%</t>
  </si>
  <si>
    <t>SNA (1.83%)</t>
  </si>
  <si>
    <t>LEN (1.81%)</t>
  </si>
  <si>
    <t>(NVDA, 8.76%), (MSFT, 7.86%), (AAPL, 7.50%)</t>
  </si>
  <si>
    <t>(NVDA, 8.56%), (MSFT, 7.69%), (AAPL, 7.34%)</t>
  </si>
  <si>
    <t>(NVDA, 8.88%), (MSFT, 7.97%), (AAPL, 7.60%)</t>
  </si>
  <si>
    <t>(NVDA, 9.08%), (MSFT, 8.15%), (AAPL, 7.81%)</t>
  </si>
  <si>
    <t>AAPL: 6.50%, ABBV: 0.68%, ABT: 0.42%, ACN: 0.29%, ADBE: 0.27%, AMAT: 0.23%, AMD: 0.48%, AMGN: 0.28%, AMT: 0.17%, AMZN: 3.90%, AVGO: 2.59%, AXP: 0.33%, BA: 0.32%, BAC: 0.60%, BKNG: 0.33%, BLK: 0.29%, BMY: 0.18%, BRK/B: 1.68%, C: 0.32%, CAT: 0.36%, CB: 0.19%, CL: 0.12%, CMCSA: 0.23%, COP: 0.22%, COST: 0.77%, CRM: 0.45%, CSCO: 0.49%, CVS: 0.17%, CVX: 0.55%, DE: 0.22%, DHR: 0.23%, DIS: 0.39%, DUK: 0.17%, ELV: 0.13%, EMR: 0.13%, ETN: 0.25%, FDX: 0.09%, GE: 0.54%, GILD: 0.26%, GOOG: 1.98%, GS: 0.41%, HD: 0.74%, HON: 0.25%, IBM: 0.41%, INTC: 0.19%, INTU: 0.34%, ISRG: 0.29%, JNJ: 0.78%, JPM: 1.52%, KO: 0.49%, LIN: 0.40%, LLY: 1.06%, LMT: 0.17%, LOW: 0.27%, MA: 0.88%, MCD: 0.41%, MDLZ: 0.14%, MDT: 0.22%, MET: 0.08%, META: 2.92%, MMM: 0.15%, MO: 0.20%, MRK: 0.39%, MS: 0.34%, MSFT: 6.85%, NEE: 0.27%, NFLX: 0.95%, NKE: 0.16%, NOW: 0.35%, NVDA: 7.59%, ORCL: 0.66%, PEP: 0.37%, PFE: 0.26%, PG: 0.68%, PLTR: 0.60%, PM: 0.46%, PYPL: 0.12%, QCOM: 0.31%, RTX: 0.39%, SBUX: 0.18%, SCHW: 0.30%, SO: 0.18%, SPGI: 0.31%, T: 0.38%, TGT: 0.08%, TJX: 0.28%, TMO: 0.33%, TSLA: 1.71%, TXN: 0.32%, UBER: 0.35%, UNH: 0.51%, UNP: 0.24%, UPS: 0.11%, USB: 0.14%, V: 1.10%, VZ: 0.34%, WFC: 0.48%, WM: 0.15%, WMT: 0.78%, XOM: 0.88%</t>
  </si>
  <si>
    <t>(NVDA, 8.80%), (MSFT, 7.90%), (AAPL, 7.57%)</t>
  </si>
  <si>
    <t>(NVDA, 8.34%), (MSFT, 7.49%), (AAPL, 7.18%)</t>
  </si>
  <si>
    <t>LIN (2.01%)</t>
  </si>
  <si>
    <t>(NVDA, 8.32%), (MSFT, 7.47%), (AAPL, 7.16%)</t>
  </si>
  <si>
    <t>(NVDA, 9.22%), (MSFT, 8.28%), (AAPL, 7.93%)</t>
  </si>
  <si>
    <t>JPM (2.20%)</t>
  </si>
  <si>
    <t>(NVDA, 8.76%), (MSFT, 7.87%), (AAPL, 7.54%)</t>
  </si>
  <si>
    <t>(NVDA, 8.18%), (MSFT, 7.34%), (AAPL, 7.04%)</t>
  </si>
  <si>
    <t>AAPL: 6.50%, ABT: 0.42%, ACN: 0.29%, ADM: 0.05%, ADP: 0.22%, AFL: 0.09%, ALL: 0.10%, AMAT: 0.23%, AMP: 0.09%, AXP: 0.33%, BK: 0.14%, BKNG: 0.33%, BKR: 0.08%, BLK: 0.29%, CB: 0.19%, CF: 0.03%, CINF: 0.04%, COST: 0.77%, CRM: 0.45%, CSCO: 0.49%, CTSH: 0.06%, DHI: 0.09%, DOV: 0.04%, EA: 0.07%, EBAY: 0.08%, EG: 0.03%, ELV: 0.13%, EOG: 0.12%, FANG: 0.05%, GE: 0.54%, GEV: 0.29%, GOOGL: 2.45%, HIG: 0.07%, JNJ: 0.78%, JPM: 1.52%, KLAC: 0.20%, LEN: 0.06%, LRCX: 0.23%, MA: 0.88%, MCK: 0.16%, META: 2.92%, MPWR: 0.07%, MSFT: 6.85%, MTB: 0.06%, NKE: 0.16%, NTRS: 0.05%, NUE: 0.06%, NVDA: 7.59%, ODFL: 0.05%, PAYC: 0.02%, PCAR: 0.09%, PGR: 0.26%, PHM: 0.05%, PNC: 0.15%, QCOM: 0.31%, RJF: 0.06%, ROST: 0.09%, SNA: 0.03%, STT: 0.06%, SYF: 0.05%, TRV: 0.11%, V: 1.10%, WSM: 0.04%, XOM: 0.88%</t>
  </si>
  <si>
    <t>LEN (1.86%)</t>
  </si>
  <si>
    <t>ADP (1.85%)</t>
  </si>
  <si>
    <t>(NVDA, 8.77%), (MSFT, 7.87%), (AAPL, 7.55%)</t>
  </si>
  <si>
    <t>(NVDA, 8.58%), (MSFT, 7.70%), (AAPL, 7.38%)</t>
  </si>
  <si>
    <t>(NVDA, 8.90%), (MSFT, 7.99%), (AAPL, 7.66%)</t>
  </si>
  <si>
    <t>(NVDA, 8.90%), (MSFT, 8.00%), (AAPL, 7.83%)</t>
  </si>
  <si>
    <t>AAPL: 6.48%, ABBV: 0.68%, ABT: 0.42%, ACN: 0.29%, ADBE: 0.27%, AMAT: 0.23%, AMD: 0.47%, AMGN: 0.27%, AMT: 0.17%, AMZN: 4.03%, AVGO: 2.60%, AXP: 0.33%, BA: 0.32%, BAC: 0.60%, BKNG: 0.33%, BLK: 0.29%, BMY: 0.17%, BRK/B: 1.68%, C: 0.33%, CAT: 0.36%, CB: 0.19%, CL: 0.12%, CMCSA: 0.23%, COP: 0.22%, COST: 0.77%, CRM: 0.42%, CSCO: 0.49%, CVS: 0.17%, CVX: 0.55%, DE: 0.22%, DHR: 0.23%, DIS: 0.39%, DUK: 0.17%, ELV: 0.13%, EMR: 0.14%, ETN: 0.25%, FDX: 0.09%, GE: 0.54%, GILD: 0.25%, GOOG: 1.98%, GS: 0.42%, HD: 0.74%, HON: 0.25%, IBM: 0.42%, INTC: 0.19%, INTU: 0.34%, ISRG: 0.29%, JNJ: 0.78%, JPM: 1.53%, KO: 0.48%, LIN: 0.40%, LLY: 1.06%, LMT: 0.17%, LOW: 0.27%, MA: 0.87%, MCD: 0.41%, MDLZ: 0.14%, MDT: 0.22%, MET: 0.08%, META: 2.94%, MMM: 0.15%, MO: 0.20%, MRK: 0.38%, MS: 0.34%, MSFT: 6.83%, NEE: 0.26%, NFLX: 0.97%, NKE: 0.16%, NOW: 0.34%, NVDA: 7.58%, ORCL: 0.66%, PEP: 0.36%, PFE: 0.25%, PG: 0.68%, PLTR: 0.60%, PM: 0.45%, PYPL: 0.12%, QCOM: 0.32%, RTX: 0.38%, SBUX: 0.18%, SCHW: 0.30%, SO: 0.18%, SPGI: 0.31%, T: 0.39%, TGT: 0.08%, TJX: 0.29%, TMO: 0.33%, TSLA: 1.72%, TXN: 0.31%, UBER: 0.35%, UNH: 0.51%, UNP: 0.24%, UPS: 0.11%, USB: 0.14%, V: 1.09%, VZ: 0.34%, WFC: 0.48%, WM: 0.15%, WMT: 0.79%, XOM: 0.88%</t>
  </si>
  <si>
    <t>(NVDA, 8.61%), (MSFT, 7.74%), (AAPL, 7.59%)</t>
  </si>
  <si>
    <t>(NVDA, 8.17%), (MSFT, 7.34%), (AAPL, 7.20%)</t>
  </si>
  <si>
    <t>(NVDA, 8.14%), (MSFT, 7.32%), (AAPL, 7.18%)</t>
  </si>
  <si>
    <t>(NVDA, 9.04%), (MSFT, 8.12%), (AAPL, 7.95%)</t>
  </si>
  <si>
    <t>(NVDA, 8.58%), (MSFT, 7.71%), (AAPL, 7.56%)</t>
  </si>
  <si>
    <t>(NVDA, 8.00%), (MSFT, 7.19%), (AAPL, 7.06%)</t>
  </si>
  <si>
    <t>AMT (1.72%)</t>
  </si>
  <si>
    <t>AAPL: 6.48%, ABT: 0.42%, ACN: 0.29%, ADM: 0.05%, ADP: 0.22%, AFL: 0.10%, ALL: 0.10%, AMAT: 0.23%, AMP: 0.09%, AXP: 0.33%, BK: 0.14%, BKNG: 0.33%, BKR: 0.08%, BLK: 0.29%, CB: 0.19%, CF: 0.02%, CINF: 0.04%, COST: 0.77%, CRM: 0.42%, CSCO: 0.49%, CTSH: 0.06%, DHI: 0.09%, DOV: 0.04%, EA: 0.07%, EBAY: 0.08%, EG: 0.03%, ELV: 0.13%, EOG: 0.12%, FANG: 0.05%, GE: 0.54%, GEV: 0.30%, GOOGL: 2.45%, HIG: 0.07%, JNJ: 0.78%, JPM: 1.53%, KLAC: 0.21%, LEN: 0.06%, LRCX: 0.23%, MA: 0.87%, MCK: 0.16%, META: 2.94%, MPWR: 0.07%, MSFT: 6.83%, MTB: 0.06%, NKE: 0.16%, NTRS: 0.05%, NUE: 0.06%, NVDA: 7.58%, ODFL: 0.05%, PAYC: 0.02%, PCAR: 0.09%, PGR: 0.26%, PHM: 0.05%, PNC: 0.15%, QCOM: 0.32%, RJF: 0.06%, ROST: 0.09%, SNA: 0.03%, STT: 0.06%, SYF: 0.05%, TRV: 0.11%, V: 1.09%, WSM: 0.05%, XOM: 0.88%</t>
  </si>
  <si>
    <t>KLAC (1.84%)</t>
  </si>
  <si>
    <t>(NVDA, 8.60%), (MSFT, 7.73%), (AAPL, 7.57%)</t>
  </si>
  <si>
    <t>LIN (2.02%)</t>
  </si>
  <si>
    <t>(NVDA, 8.40%), (MSFT, 7.55%), (AAPL, 7.40%)</t>
  </si>
  <si>
    <t>(NVDA, 8.72%), (MSFT, 7.84%), (AAPL, 7.68%)</t>
  </si>
  <si>
    <t>(NVDA, 8.87%), (MSFT, 7.97%), (AAPL, 7.74%)</t>
  </si>
  <si>
    <t>AAPL: 6.50%, ABBV: 0.68%, ABT: 0.42%, ACN: 0.29%, ADBE: 0.27%, AMAT: 0.24%, AMD: 0.44%, AMGN: 0.28%, AMT: 0.17%, AMZN: 3.98%, AVGO: 2.86%, AXP: 0.33%, BA: 0.31%, BAC: 0.59%, BKNG: 0.33%, BLK: 0.29%, BMY: 0.17%, BRK/B: 1.66%, C: 0.32%, CAT: 0.36%, CB: 0.19%, CL: 0.13%, CMCSA: 0.23%, COP: 0.21%, COST: 0.78%, CRM: 0.44%, CSCO: 0.48%, CVS: 0.17%, CVX: 0.53%, DE: 0.22%, DHR: 0.23%, DIS: 0.38%, DUK: 0.17%, ELV: 0.13%, EMR: 0.14%, ETN: 0.25%, FDX: 0.09%, GE: 0.54%, GILD: 0.26%, GOOG: 2.00%, GS: 0.41%, HD: 0.76%, HON: 0.25%, IBM: 0.42%, INTC: 0.19%, INTU: 0.34%, ISRG: 0.30%, JNJ: 0.78%, JPM: 1.48%, KO: 0.48%, LIN: 0.40%, LLY: 1.04%, LMT: 0.18%, LOW: 0.27%, MA: 0.86%, MCD: 0.41%, MDLZ: 0.14%, MDT: 0.22%, MET: 0.08%, META: 2.97%, MMM: 0.15%, MO: 0.20%, MRK: 0.39%, MS: 0.33%, MSFT: 6.68%, NEE: 0.27%, NFLX: 0.96%, NKE: 0.16%, NOW: 0.34%, NVDA: 7.39%, ORCL: 0.69%, PEP: 0.36%, PFE: 0.26%, PG: 0.68%, PLTR: 0.59%, PM: 0.46%, PYPL: 0.12%, QCOM: 0.32%, RTX: 0.38%, SBUX: 0.18%, SCHW: 0.29%, SO: 0.18%, SPGI: 0.31%, T: 0.39%, TGT: 0.08%, TJX: 0.28%, TMO: 0.34%, TSLA: 1.78%, TXN: 0.31%, UBER: 0.35%, UNH: 0.52%, UNP: 0.24%, UPS: 0.11%, USB: 0.14%, V: 1.07%, VZ: 0.34%, WFC: 0.47%, WM: 0.15%, WMT: 0.79%, XOM: 0.85%</t>
  </si>
  <si>
    <t>(NVDA, 8.59%), (MSFT, 7.72%), (AAPL, 7.49%)</t>
  </si>
  <si>
    <t>(NVDA, 8.15%), (MSFT, 7.32%), (AAPL, 7.11%)</t>
  </si>
  <si>
    <t>LLY (1.79%)</t>
  </si>
  <si>
    <t>(NVDA, 8.13%), (MSFT, 7.30%), (AAPL, 7.09%)</t>
  </si>
  <si>
    <t>LLY (1.74%)</t>
  </si>
  <si>
    <t>(NVDA, 9.02%), (MSFT, 8.10%), (AAPL, 7.87%)</t>
  </si>
  <si>
    <t>(NVDA, 8.57%), (MSFT, 7.69%), (AAPL, 7.47%)</t>
  </si>
  <si>
    <t>(NVDA, 7.99%), (MSFT, 7.17%), (AAPL, 6.97%)</t>
  </si>
  <si>
    <t>LLY (1.83%)</t>
  </si>
  <si>
    <t>AAPL: 6.50%, ABT: 0.42%, ACN: 0.29%, ADM: 0.06%, ADP: 0.22%, AFL: 0.09%, ALL: 0.10%, AMAT: 0.24%, AMP: 0.08%, AXP: 0.33%, BK: 0.13%, BKNG: 0.33%, BKR: 0.08%, BLK: 0.29%, CB: 0.19%, CF: 0.02%, CINF: 0.04%, COST: 0.78%, CRM: 0.44%, CSCO: 0.48%, CTSH: 0.06%, DHI: 0.09%, DOV: 0.04%, EA: 0.07%, EBAY: 0.08%, EG: 0.03%, ELV: 0.13%, EOG: 0.12%, FANG: 0.05%, GE: 0.54%, GEV: 0.29%, GOOGL: 2.48%, HIG: 0.07%, JNJ: 0.78%, JPM: 1.48%, KLAC: 0.22%, LEN: 0.06%, LRCX: 0.24%, MA: 0.86%, MCK: 0.16%, META: 2.97%, MPWR: 0.08%, MSFT: 6.68%, MTB: 0.06%, NKE: 0.16%, NTRS: 0.04%, NUE: 0.06%, NVDA: 7.39%, ODFL: 0.05%, PAYC: 0.02%, PCAR: 0.09%, PGR: 0.26%, PHM: 0.05%, PNC: 0.15%, QCOM: 0.32%, RJF: 0.05%, ROST: 0.09%, SNA: 0.03%, STT: 0.06%, SYF: 0.05%, TRV: 0.11%, V: 1.07%, WSM: 0.05%, XOM: 0.85%</t>
  </si>
  <si>
    <t>KLAC (1.86%)</t>
  </si>
  <si>
    <t>(NVDA, 8.58%), (MSFT, 7.70%), (AAPL, 7.48%)</t>
  </si>
  <si>
    <t>(NVDA, 8.39%), (MSFT, 7.53%), (AAPL, 7.31%)</t>
  </si>
  <si>
    <t>(NVDA, 8.70%), (MSFT, 7.81%), (AAPL, 7.58%)</t>
  </si>
  <si>
    <t>(NVDA, 8.96%), (MSFT, 7.95%), (AAPL, 7.61%)</t>
  </si>
  <si>
    <t>AAPL: 6.43%, ABBV: 0.67%, ABT: 0.42%, ACN: 0.29%, ADBE: 0.28%, AMAT: 0.24%, AMD: 0.44%, AMGN: 0.27%, AMT: 0.16%, AMZN: 4.04%, AVGO: 2.94%, AXP: 0.33%, BA: 0.32%, BAC: 0.59%, BKNG: 0.33%, BLK: 0.29%, BMY: 0.17%, BRK/B: 1.64%, C: 0.32%, CAT: 0.36%, CB: 0.19%, CL: 0.12%, CMCSA: 0.23%, COP: 0.21%, COST: 0.78%, CRM: 0.44%, CSCO: 0.48%, CVS: 0.16%, CVX: 0.53%, DE: 0.22%, DHR: 0.23%, DIS: 0.39%, DUK: 0.17%, ELV: 0.13%, EMR: 0.14%, ETN: 0.25%, FDX: 0.09%, GE: 0.53%, GILD: 0.26%, GOOG: 1.99%, GS: 0.41%, HD: 0.76%, HON: 0.25%, IBM: 0.43%, INTC: 0.19%, INTU: 0.34%, ISRG: 0.31%, JNJ: 0.78%, JPM: 1.47%, KO: 0.47%, LIN: 0.40%, LLY: 1.05%, LMT: 0.17%, LOW: 0.28%, MA: 0.86%, MCD: 0.41%, MDLZ: 0.15%, MDT: 0.22%, MET: 0.08%, META: 2.96%, MMM: 0.15%, MO: 0.20%, MRK: 0.38%, MS: 0.33%, MSFT: 6.71%, NEE: 0.26%, NFLX: 0.96%, NKE: 0.16%, NOW: 0.35%, NVDA: 7.43%, ORCL: 0.70%, PEP: 0.35%, PFE: 0.25%, PG: 0.68%, PLTR: 0.60%, PM: 0.46%, PYPL: 0.12%, QCOM: 0.32%, RTX: 0.37%, SBUX: 0.17%, SCHW: 0.29%, SO: 0.18%, SPGI: 0.31%, T: 0.38%, TGT: 0.08%, TJX: 0.28%, TMO: 0.33%, TSLA: 1.76%, TXN: 0.31%, UBER: 0.36%, UNH: 0.53%, UNP: 0.24%, UPS: 0.11%, USB: 0.14%, V: 1.06%, VZ: 0.33%, WFC: 0.47%, WM: 0.15%, WMT: 0.80%, XOM: 0.86%</t>
  </si>
  <si>
    <t>(NVDA, 8.70%), (MSFT, 7.71%), (AAPL, 7.37%)</t>
  </si>
  <si>
    <t>(NVDA, 8.24%), (MSFT, 7.31%), (AAPL, 6.99%)</t>
  </si>
  <si>
    <t>(NVDA, 8.22%), (MSFT, 7.29%), (AAPL, 6.97%)</t>
  </si>
  <si>
    <t>(NVDA, 9.12%), (MSFT, 8.10%), (AAPL, 7.74%)</t>
  </si>
  <si>
    <t>(NVDA, 8.66%), (MSFT, 7.68%), (AAPL, 7.35%)</t>
  </si>
  <si>
    <t>(NVDA, 8.08%), (MSFT, 7.16%), (AAPL, 6.85%)</t>
  </si>
  <si>
    <t>AAPL: 6.43%, ABT: 0.42%, ACN: 0.29%, ADM: 0.05%, ADP: 0.22%, AFL: 0.09%, ALL: 0.10%, AMAT: 0.24%, AMP: 0.09%, AXP: 0.33%, BK: 0.13%, BKNG: 0.33%, BKR: 0.08%, BLK: 0.29%, CB: 0.19%, CF: 0.02%, CINF: 0.04%, COST: 0.78%, CRM: 0.44%, CSCO: 0.48%, CTSH: 0.06%, DHI: 0.09%, DOV: 0.04%, EA: 0.07%, EBAY: 0.08%, EG: 0.03%, ELV: 0.13%, EOG: 0.12%, FANG: 0.05%, GE: 0.53%, GEV: 0.30%, GOOGL: 2.47%, HIG: 0.07%, JNJ: 0.78%, JPM: 1.47%, KLAC: 0.22%, LEN: 0.06%, LRCX: 0.24%, MA: 0.86%, MCK: 0.16%, META: 2.96%, MPWR: 0.07%, MSFT: 6.71%, MTB: 0.06%, NKE: 0.16%, NTRS: 0.04%, NUE: 0.06%, NVDA: 7.43%, ODFL: 0.05%, PAYC: 0.02%, PCAR: 0.09%, PGR: 0.26%, PHM: 0.05%, PNC: 0.15%, QCOM: 0.32%, RJF: 0.05%, ROST: 0.09%, SNA: 0.03%, STT: 0.06%, SYF: 0.05%, TRV: 0.11%, V: 1.06%, WSM: 0.05%, XOM: 0.86%</t>
  </si>
  <si>
    <t>LEN (1.87%)</t>
  </si>
  <si>
    <t>SNA (1.85%)</t>
  </si>
  <si>
    <t>(NVDA, 8.67%), (MSFT, 7.69%), (AAPL, 7.36%)</t>
  </si>
  <si>
    <t>(NVDA, 8.48%), (MSFT, 7.52%), (AAPL, 7.19%)</t>
  </si>
  <si>
    <t>(NVDA, 8.79%), (MSFT, 7.80%), (AAPL, 7.46%)</t>
  </si>
  <si>
    <t>(NVDA, 9.24%), (MSFT, 7.95%), (AAPL, 7.36%)</t>
  </si>
  <si>
    <t>AAPL: 6.32%, ABBV: 0.67%, ABT: 0.41%, ACN: 0.28%, ADBE: 0.27%, AMAT: 0.24%, AMD: 0.46%, AMGN: 0.27%, AMT: 0.16%, AMZN: 4.07%, AVGO: 2.86%, AXP: 0.32%, BA: 0.31%, BAC: 0.60%, BKNG: 0.33%, BLK: 0.29%, BMY: 0.17%, BRK/B: 1.63%, C: 0.33%, CAT: 0.36%, CB: 0.19%, CL: 0.12%, CMCSA: 0.23%, COP: 0.21%, COST: 0.78%, CRM: 0.44%, CSCO: 0.48%, CVS: 0.16%, CVX: 0.54%, DE: 0.22%, DHR: 0.22%, DIS: 0.38%, DUK: 0.17%, ELV: 0.13%, EMR: 0.13%, ETN: 0.25%, FDX: 0.09%, GE: 0.53%, GILD: 0.26%, GOOG: 2.03%, GS: 0.42%, HD: 0.75%, HON: 0.25%, IBM: 0.43%, INTC: 0.19%, INTU: 0.34%, ISRG: 0.30%, JNJ: 0.77%, JPM: 1.49%, KO: 0.47%, LIN: 0.40%, LLY: 1.07%, LMT: 0.17%, LOW: 0.27%, MA: 0.86%, MCD: 0.40%, MDLZ: 0.15%, MDT: 0.22%, MET: 0.08%, META: 3.00%, MMM: 0.15%, MO: 0.20%, MRK: 0.38%, MS: 0.34%, MSFT: 6.69%, NEE: 0.26%, NFLX: 0.97%, NKE: 0.16%, NOW: 0.35%, NVDA: 7.52%, ORCL: 0.71%, PEP: 0.35%, PFE: 0.25%, PG: 0.68%, PLTR: 0.62%, PM: 0.46%, PYPL: 0.12%, QCOM: 0.31%, RTX: 0.37%, SBUX: 0.17%, SCHW: 0.29%, SO: 0.18%, SPGI: 0.31%, T: 0.38%, TGT: 0.07%, TJX: 0.28%, TMO: 0.33%, TSLA: 1.76%, TXN: 0.30%, UBER: 0.36%, UNH: 0.57%, UNP: 0.23%, UPS: 0.11%, USB: 0.14%, V: 1.06%, VZ: 0.33%, WFC: 0.47%, WM: 0.14%, WMT: 0.80%, XOM: 0.86%</t>
  </si>
  <si>
    <t>(NVDA, 8.99%), (MSFT, 7.72%), (AAPL, 7.13%)</t>
  </si>
  <si>
    <t>(NVDA, 8.53%), (MSFT, 7.32%), (AAPL, 6.76%)</t>
  </si>
  <si>
    <t>(NVDA, 8.51%), (MSFT, 7.30%), (AAPL, 6.74%)</t>
  </si>
  <si>
    <t>(NVDA, 9.41%), (MSFT, 8.09%), (AAPL, 7.49%)</t>
  </si>
  <si>
    <t>(NVDA, 8.95%), (MSFT, 7.69%), (AAPL, 7.11%)</t>
  </si>
  <si>
    <t>(NVDA, 8.37%), (MSFT, 7.17%), (AAPL, 6.62%)</t>
  </si>
  <si>
    <t>AAPL: 6.32%, ABT: 0.41%, ACN: 0.28%, ADM: 0.05%, ADP: 0.22%, AFL: 0.09%, ALL: 0.10%, AMAT: 0.24%, AMP: 0.09%, AXP: 0.32%, BK: 0.14%, BKNG: 0.33%, BKR: 0.08%, BLK: 0.29%, CB: 0.19%, CF: 0.02%, CINF: 0.04%, COST: 0.78%, CRM: 0.44%, CSCO: 0.48%, CTSH: 0.06%, DHI: 0.09%, DOV: 0.04%, EA: 0.07%, EBAY: 0.08%, EG: 0.03%, ELV: 0.13%, EOG: 0.12%, FANG: 0.05%, GE: 0.53%, GEV: 0.30%, GOOGL: 2.52%, HIG: 0.07%, JNJ: 0.77%, JPM: 1.49%, KLAC: 0.22%, LEN: 0.06%, LRCX: 0.24%, MA: 0.86%, MCK: 0.16%, META: 3.00%, MPWR: 0.07%, MSFT: 6.69%, MTB: 0.06%, NKE: 0.16%, NTRS: 0.05%, NUE: 0.06%, NVDA: 7.52%, ODFL: 0.05%, PAYC: 0.02%, PCAR: 0.09%, PGR: 0.26%, PHM: 0.05%, PNC: 0.14%, QCOM: 0.31%, RJF: 0.05%, ROST: 0.09%, SNA: 0.03%, STT: 0.06%, SYF: 0.05%, TRV: 0.11%, V: 1.06%, WSM: 0.05%, XOM: 0.86%</t>
  </si>
  <si>
    <t>LEN (1.85%)</t>
  </si>
  <si>
    <t>(NVDA, 8.95%), (MSFT, 7.70%), (AAPL, 7.11%)</t>
  </si>
  <si>
    <t>(NVDA, 8.76%), (MSFT, 7.52%), (AAPL, 6.95%)</t>
  </si>
  <si>
    <t>(NVDA, 9.09%), (MSFT, 7.81%), (AAPL, 7.23%)</t>
  </si>
  <si>
    <t>(NVDA, 9.25%), (MSFT, 7.93%), (AAPL, 7.38%)</t>
  </si>
  <si>
    <t>AAPL: 6.10%, ABBV: 0.67%, ABT: 0.41%, ACN: 0.27%, ADBE: 0.27%, AMAT: 0.24%, AMD: 0.47%, AMGN: 0.27%, AMT: 0.16%, AMZN: 3.92%, AVGO: 3.13%, AXP: 0.32%, BA: 0.31%, BAC: 0.59%, BKNG: 0.32%, BLK: 0.29%, BMY: 0.17%, BRK/B: 1.62%, C: 0.33%, CAT: 0.36%, CB: 0.19%, CL: 0.12%, CMCSA: 0.22%, COP: 0.21%, COST: 0.76%, CRM: 0.42%, CSCO: 0.49%, CVS: 0.17%, CVX: 0.54%, DE: 0.21%, DHR: 0.22%, DIS: 0.37%, DUK: 0.17%, ELV: 0.12%, EMR: 0.14%, ETN: 0.26%, FDX: 0.09%, GE: 0.54%, GILD: 0.26%, GOOG: 2.03%, GS: 0.43%, HD: 0.74%, HON: 0.25%, IBM: 0.43%, INTC: 0.19%, INTU: 0.33%, ISRG: 0.29%, JNJ: 0.76%, JPM: 1.50%, KO: 0.47%, LIN: 0.40%, LLY: 1.07%, LMT: 0.17%, LOW: 0.27%, MA: 0.85%, MCD: 0.39%, MDLZ: 0.15%, MDT: 0.21%, MET: 0.08%, META: 2.94%, MMM: 0.15%, MO: 0.20%, MRK: 0.38%, MS: 0.34%, MSFT: 6.70%, NEE: 0.26%, NFLX: 0.96%, NKE: 0.16%, NOW: 0.34%, NVDA: 7.79%, ORCL: 0.96%, PEP: 0.35%, PFE: 0.25%, PG: 0.66%, PLTR: 0.64%, PM: 0.46%, PYPL: 0.11%, QCOM: 0.31%, RTX: 0.37%, SBUX: 0.17%, SCHW: 0.28%, SO: 0.18%, SPGI: 0.31%, T: 0.38%, TGT: 0.07%, TJX: 0.28%, TMO: 0.32%, TSLA: 1.75%, TXN: 0.30%, UBER: 0.35%, UNH: 0.57%, UNP: 0.23%, UPS: 0.11%, USB: 0.14%, V: 1.04%, VZ: 0.33%, WFC: 0.47%, WM: 0.14%, WMT: 0.78%, XOM: 0.87%</t>
  </si>
  <si>
    <t>(NVDA, 8.98%), (MSFT, 7.70%), (AAPL, 7.17%)</t>
  </si>
  <si>
    <t>(NVDA, 8.51%), (MSFT, 7.29%), (AAPL, 6.79%)</t>
  </si>
  <si>
    <t>(NVDA, 8.49%), (MSFT, 7.28%), (AAPL, 6.78%)</t>
  </si>
  <si>
    <t>(NVDA, 9.42%), (MSFT, 8.08%), (AAPL, 7.51%)</t>
  </si>
  <si>
    <t>(NVDA, 8.94%), (MSFT, 7.67%), (AAPL, 7.14%)</t>
  </si>
  <si>
    <t>(NVDA, 8.34%), (MSFT, 7.15%), (AAPL, 6.66%)</t>
  </si>
  <si>
    <t>AAPL: 6.10%, ABT: 0.41%, ACN: 0.27%, ADM: 0.05%, ADP: 0.21%, AFL: 0.09%, ALL: 0.10%, AMAT: 0.24%, AMP: 0.08%, AXP: 0.32%, BK: 0.13%, BKNG: 0.32%, BKR: 0.08%, BLK: 0.29%, CB: 0.19%, CF: 0.03%, CINF: 0.04%, COST: 0.76%, CRM: 0.42%, CSCO: 0.49%, CTSH: 0.06%, DHI: 0.09%, DOV: 0.04%, EA: 0.07%, EBAY: 0.08%, EG: 0.03%, ELV: 0.12%, EOG: 0.12%, FANG: 0.05%, GE: 0.54%, GEV: 0.32%, GOOGL: 2.51%, HIG: 0.07%, JNJ: 0.76%, JPM: 1.50%, KLAC: 0.22%, LEN: 0.06%, LRCX: 0.25%, MA: 0.85%, MCK: 0.16%, META: 2.94%, MPWR: 0.07%, MSFT: 6.70%, MTB: 0.06%, NKE: 0.16%, NTRS: 0.04%, NUE: 0.06%, NVDA: 7.79%, ODFL: 0.05%, PAYC: 0.02%, PCAR: 0.09%, PGR: 0.26%, PHM: 0.05%, PNC: 0.14%, QCOM: 0.31%, RJF: 0.05%, ROST: 0.09%, SNA: 0.03%, STT: 0.06%, SYF: 0.05%, TRV: 0.11%, V: 1.04%, WSM: 0.04%, XOM: 0.87%</t>
  </si>
  <si>
    <t>LEN (1.89%)</t>
  </si>
  <si>
    <t>(NVDA, 8.95%), (MSFT, 7.68%), (AAPL, 7.14%)</t>
  </si>
  <si>
    <t>(NVDA, 8.75%), (MSFT, 7.50%), (AAPL, 6.99%)</t>
  </si>
  <si>
    <t>(NVDA, 9.10%), (MSFT, 7.80%), (AAPL, 7.26%)</t>
  </si>
  <si>
    <t>(NVDA, 9.27%), (MSFT, 8.05%), (AAPL, 7.50%)</t>
  </si>
  <si>
    <t>AAPL: 6.14%, ABBV: 0.69%, ABT: 0.41%, ACN: 0.27%, ADBE: 0.27%, AMAT: 0.25%, AMD: 0.45%, AMGN: 0.27%, AMT: 0.16%, AMZN: 3.88%, AVGO: 3.02%, AXP: 0.33%, BA: 0.30%, BAC: 0.59%, BKNG: 0.32%, BLK: 0.30%, BMY: 0.17%, BRK/B: 1.63%, C: 0.33%, CAT: 0.36%, CB: 0.19%, CL: 0.12%, CMCSA: 0.22%, COP: 0.21%, COST: 0.76%, CRM: 0.42%, CSCO: 0.48%, CVS: 0.17%, CVX: 0.54%, DE: 0.21%, DHR: 0.22%, DIS: 0.38%, DUK: 0.17%, ELV: 0.13%, EMR: 0.14%, ETN: 0.25%, FDX: 0.09%, GE: 0.54%, GILD: 0.26%, GOOG: 2.02%, GS: 0.43%, HD: 0.75%, HON: 0.25%, IBM: 0.43%, INTC: 0.19%, INTU: 0.33%, ISRG: 0.29%, JNJ: 0.77%, JPM: 1.52%, KO: 0.47%, LIN: 0.41%, LLY: 1.06%, LMT: 0.18%, LOW: 0.27%, MA: 0.85%, MCD: 0.39%, MDLZ: 0.14%, MDT: 0.22%, MET: 0.08%, META: 2.91%, MMM: 0.15%, MO: 0.20%, MRK: 0.38%, MS: 0.35%, MSFT: 6.65%, NEE: 0.26%, NFLX: 0.91%, NKE: 0.16%, NOW: 0.35%, NVDA: 7.72%, ORCL: 0.89%, PEP: 0.35%, PFE: 0.25%, PG: 0.66%, PLTR: 0.62%, PM: 0.47%, PYPL: 0.12%, QCOM: 0.32%, RTX: 0.38%, SBUX: 0.17%, SCHW: 0.29%, SO: 0.18%, SPGI: 0.31%, T: 0.38%, TGT: 0.07%, TJX: 0.28%, TMO: 0.33%, TSLA: 1.85%, TXN: 0.30%, UBER: 0.35%, UNH: 0.57%, UNP: 0.23%, UPS: 0.11%, USB: 0.14%, V: 1.05%, VZ: 0.33%, WFC: 0.47%, WM: 0.14%, WMT: 0.79%, XOM: 0.86%</t>
  </si>
  <si>
    <t>(NVDA, 9.01%), (MSFT, 7.82%), (AAPL, 7.29%)</t>
  </si>
  <si>
    <t>(NVDA, 8.53%), (MSFT, 7.41%), (AAPL, 6.91%)</t>
  </si>
  <si>
    <t>CSCO (1.98%)</t>
  </si>
  <si>
    <t>(NVDA, 8.51%), (MSFT, 7.39%), (AAPL, 6.90%)</t>
  </si>
  <si>
    <t>CSCO (1.99%)</t>
  </si>
  <si>
    <t>(NVDA, 9.44%), (MSFT, 8.19%), (AAPL, 7.63%)</t>
  </si>
  <si>
    <t>(NVDA, 8.97%), (MSFT, 7.78%), (AAPL, 7.26%)</t>
  </si>
  <si>
    <t>CSCO (2.02%)</t>
  </si>
  <si>
    <t>(NVDA, 8.36%), (MSFT, 7.27%), (AAPL, 6.78%)</t>
  </si>
  <si>
    <t>AAPL: 6.14%, ABT: 0.41%, ACN: 0.27%, ADM: 0.05%, ADP: 0.21%, AFL: 0.09%, ALL: 0.10%, AMAT: 0.25%, AMP: 0.09%, AXP: 0.33%, BK: 0.13%, BKNG: 0.32%, BKR: 0.08%, BLK: 0.30%, CB: 0.19%, CF: 0.02%, CINF: 0.04%, COST: 0.76%, CRM: 0.42%, CSCO: 0.48%, CTSH: 0.06%, DHI: 0.09%, DOV: 0.04%, EA: 0.07%, EBAY: 0.08%, EG: 0.03%, ELV: 0.13%, EOG: 0.12%, FANG: 0.05%, GE: 0.54%, GEV: 0.31%, GOOGL: 2.50%, HIG: 0.07%, JNJ: 0.77%, JPM: 1.52%, KLAC: 0.23%, LEN: 0.06%, LRCX: 0.26%, MA: 0.85%, MCK: 0.16%, META: 2.91%, MPWR: 0.07%, MSFT: 6.65%, MTB: 0.06%, NKE: 0.16%, NTRS: 0.04%, NUE: 0.06%, NVDA: 7.72%, ODFL: 0.05%, PAYC: 0.02%, PCAR: 0.10%, PGR: 0.26%, PHM: 0.05%, PNC: 0.14%, QCOM: 0.32%, RJF: 0.06%, ROST: 0.09%, SNA: 0.03%, STT: 0.06%, SYF: 0.05%, TRV: 0.11%, V: 1.05%, WSM: 0.04%, XOM: 0.86%</t>
  </si>
  <si>
    <t>ROST (1.89%)</t>
  </si>
  <si>
    <t>PCAR (1.86%)</t>
  </si>
  <si>
    <t>(NVDA, 8.97%), (MSFT, 7.79%), (AAPL, 7.26%)</t>
  </si>
  <si>
    <t>CSCO (2.01%)</t>
  </si>
  <si>
    <t>(NVDA, 8.77%), (MSFT, 7.62%), (AAPL, 7.10%)</t>
  </si>
  <si>
    <t>(NVDA, 9.11%), (MSFT, 7.91%), (AAPL, 7.37%)</t>
  </si>
  <si>
    <t>(NVDA, 9.20%), (MSFT, 8.08%), (AAPL, 7.53%)</t>
  </si>
  <si>
    <t>AAPL: 6.25%, ABBV: 0.69%, ABT: 0.42%, ACN: 0.27%, ADBE: 0.27%, AMAT: 0.24%, AMD: 0.46%, AMGN: 0.27%, AMT: 0.16%, AMZN: 3.85%, AVGO: 3.02%, AXP: 0.32%, BA: 0.29%, BAC: 0.59%, BKNG: 0.32%, BLK: 0.29%, BMY: 0.17%, BRK/B: 1.62%, C: 0.33%, CAT: 0.36%, CB: 0.19%, CL: 0.12%, CMCSA: 0.22%, COP: 0.21%, COST: 0.77%, CRM: 0.42%, CSCO: 0.47%, CVS: 0.17%, CVX: 0.54%, DE: 0.21%, DHR: 0.22%, DIS: 0.37%, DUK: 0.17%, ELV: 0.13%, EMR: 0.14%, ETN: 0.26%, FDX: 0.09%, GE: 0.54%, GILD: 0.25%, GOOG: 2.02%, GS: 0.43%, HD: 0.75%, HON: 0.24%, IBM: 0.42%, INTC: 0.19%, INTU: 0.32%, ISRG: 0.29%, JNJ: 0.77%, JPM: 1.52%, KO: 0.46%, LIN: 0.41%, LLY: 1.06%, LMT: 0.18%, LOW: 0.27%, MA: 0.84%, MCD: 0.39%, MDLZ: 0.14%, MDT: 0.22%, MET: 0.08%, META: 2.93%, MMM: 0.15%, MO: 0.20%, MRK: 0.37%, MS: 0.35%, MSFT: 6.77%, NEE: 0.26%, NFLX: 0.90%, NKE: 0.15%, NOW: 0.34%, NVDA: 7.75%, ORCL: 0.85%, PEP: 0.35%, PFE: 0.24%, PG: 0.66%, PLTR: 0.65%, PM: 0.46%, PYPL: 0.12%, QCOM: 0.32%, RTX: 0.37%, SBUX: 0.17%, SCHW: 0.29%, SO: 0.18%, SPGI: 0.31%, T: 0.38%, TGT: 0.07%, TJX: 0.28%, TMO: 0.32%, TSLA: 1.98%, TXN: 0.30%, UBER: 0.36%, UNH: 0.57%, UNP: 0.23%, UPS: 0.11%, USB: 0.14%, V: 1.04%, VZ: 0.33%, WFC: 0.47%, WM: 0.14%, WMT: 0.80%, XOM: 0.86%</t>
  </si>
  <si>
    <t>(NVDA, 8.92%), (MSFT, 7.83%), (AAPL, 7.31%)</t>
  </si>
  <si>
    <t>(NVDA, 8.45%), (MSFT, 7.42%), (AAPL, 6.92%)</t>
  </si>
  <si>
    <t>(NVDA, 8.43%), (MSFT, 7.40%), (AAPL, 6.91%)</t>
  </si>
  <si>
    <t>(NVDA, 9.37%), (MSFT, 8.23%), (AAPL, 7.67%)</t>
  </si>
  <si>
    <t>(NVDA, 8.90%), (MSFT, 7.81%), (AAPL, 7.28%)</t>
  </si>
  <si>
    <t>(NVDA, 8.28%), (MSFT, 7.27%), (AAPL, 6.79%)</t>
  </si>
  <si>
    <t>AAPL: 6.25%, ABT: 0.42%, ACN: 0.27%, ADM: 0.05%, ADP: 0.21%, AFL: 0.09%, ALL: 0.09%, AMAT: 0.24%, AMP: 0.08%, AXP: 0.32%, BK: 0.14%, BKNG: 0.32%, BKR: 0.08%, BLK: 0.29%, CB: 0.19%, CF: 0.02%, CINF: 0.04%, COST: 0.77%, CRM: 0.42%, CSCO: 0.47%, CTSH: 0.06%, DHI: 0.09%, DOV: 0.04%, EA: 0.07%, EBAY: 0.07%, EG: 0.03%, ELV: 0.13%, EOG: 0.12%, FANG: 0.05%, GE: 0.54%, GEV: 0.31%, GOOGL: 2.50%, HIG: 0.07%, JNJ: 0.77%, JPM: 1.52%, KLAC: 0.23%, LEN: 0.06%, LRCX: 0.27%, MA: 0.84%, MCK: 0.16%, META: 2.93%, MPWR: 0.07%, MSFT: 6.77%, MTB: 0.06%, NKE: 0.15%, NTRS: 0.04%, NUE: 0.06%, NVDA: 7.75%, ODFL: 0.05%, PAYC: 0.02%, PCAR: 0.10%, PGR: 0.26%, PHM: 0.05%, PNC: 0.14%, QCOM: 0.32%, RJF: 0.06%, ROST: 0.09%, SNA: 0.03%, STT: 0.06%, SYF: 0.05%, TRV: 0.11%, V: 1.04%, WSM: 0.04%, XOM: 0.86%</t>
  </si>
  <si>
    <t>UNM (1.92%)</t>
  </si>
  <si>
    <t>AMAT (1.89%)</t>
  </si>
  <si>
    <t>(NVDA, 8.90%), (MSFT, 7.82%), (AAPL, 7.29%)</t>
  </si>
  <si>
    <t>LIN (2.00%)</t>
  </si>
  <si>
    <t>CSCO (2.00%)</t>
  </si>
  <si>
    <t>(NVDA, 8.70%), (MSFT, 7.64%), (AAPL, 7.13%)</t>
  </si>
  <si>
    <t>(NVDA, 9.04%), (MSFT, 7.93%), (AAPL, 7.40%)</t>
  </si>
  <si>
    <t>(NVDA, 9.07%), (MSFT, 8.01%), (AAPL, 7.58%)</t>
  </si>
  <si>
    <t>AAPL: 6.28%, ABBV: 0.68%, ABT: 0.41%, ACN: 0.26%, ADBE: 0.26%, AMAT: 0.25%, AMD: 0.46%, AMGN: 0.26%, AMT: 0.16%, AMZN: 3.89%, AVGO: 3.04%, AXP: 0.32%, BA: 0.29%, BAC: 0.59%, BKNG: 0.32%, BLK: 0.29%, BMY: 0.17%, BRK/B: 1.60%, C: 0.33%, CAT: 0.36%, CB: 0.18%, CL: 0.12%, CMCSA: 0.22%, COP: 0.21%, COST: 0.76%, CRM: 0.41%, CSCO: 0.47%, CVS: 0.17%, CVX: 0.54%, DE: 0.21%, DHR: 0.21%, DIS: 0.37%, DUK: 0.17%, ELV: 0.12%, EMR: 0.14%, ETN: 0.26%, FDX: 0.09%, GE: 0.54%, GILD: 0.25%, GOOG: 2.10%, GS: 0.43%, HD: 0.75%, HON: 0.24%, IBM: 0.42%, INTC: 0.19%, INTU: 0.32%, ISRG: 0.28%, JNJ: 0.76%, JPM: 1.53%, KO: 0.46%, LIN: 0.40%, LLY: 1.05%, LMT: 0.18%, LOW: 0.27%, MA: 0.84%, MCD: 0.38%, MDLZ: 0.14%, MDT: 0.21%, MET: 0.08%, META: 2.95%, MMM: 0.15%, MO: 0.19%, MRK: 0.36%, MS: 0.34%, MSFT: 6.81%, NEE: 0.26%, NFLX: 0.91%, NKE: 0.15%, NOW: 0.35%, NVDA: 7.71%, ORCL: 0.87%, PEP: 0.34%, PFE: 0.24%, PG: 0.65%, PLTR: 0.65%, PM: 0.45%, PYPL: 0.12%, QCOM: 0.31%, RTX: 0.38%, SBUX: 0.17%, SCHW: 0.28%, SO: 0.18%, SPGI: 0.30%, T: 0.38%, TGT: 0.07%, TJX: 0.28%, TMO: 0.32%, TSLA: 2.04%, TXN: 0.29%, UBER: 0.37%, UNH: 0.56%, UNP: 0.23%, UPS: 0.11%, USB: 0.14%, V: 1.03%, VZ: 0.33%, WFC: 0.47%, WM: 0.14%, WMT: 0.80%, XOM: 0.86%</t>
  </si>
  <si>
    <t>(NVDA, 8.79%), (MSFT, 7.76%), (AAPL, 7.35%)</t>
  </si>
  <si>
    <t>(NVDA, 8.32%), (MSFT, 7.34%), (AAPL, 6.97%)</t>
  </si>
  <si>
    <t>LIN (1.96%)</t>
  </si>
  <si>
    <t>(NVDA, 8.30%), (MSFT, 7.32%), (AAPL, 6.95%)</t>
  </si>
  <si>
    <t>LIN (1.97%)</t>
  </si>
  <si>
    <t>(NVDA, 9.24%), (MSFT, 8.15%), (AAPL, 7.72%)</t>
  </si>
  <si>
    <t>(NVDA, 8.77%), (MSFT, 7.74%), (AAPL, 7.33%)</t>
  </si>
  <si>
    <t>LIN (1.99%)</t>
  </si>
  <si>
    <t>(NVDA, 8.15%), (MSFT, 7.19%), (AAPL, 6.83%)</t>
  </si>
  <si>
    <t>AAPL: 6.28%, ABT: 0.41%, ACN: 0.26%, ADM: 0.05%, ADP: 0.21%, AFL: 0.09%, ALL: 0.09%, AMAT: 0.25%, AMP: 0.08%, AXP: 0.32%, BK: 0.14%, BKNG: 0.32%, BKR: 0.08%, BLK: 0.29%, CB: 0.18%, CF: 0.02%, CINF: 0.04%, COST: 0.76%, CRM: 0.41%, CSCO: 0.47%, CTSH: 0.06%, DHI: 0.08%, DOV: 0.04%, EA: 0.07%, EBAY: 0.07%, EG: 0.03%, ELV: 0.12%, EOG: 0.11%, FANG: 0.04%, GE: 0.54%, GEV: 0.31%, GOOGL: 2.60%, HIG: 0.07%, JNJ: 0.76%, JPM: 1.53%, KLAC: 0.23%, LEN: 0.06%, LRCX: 0.27%, MA: 0.84%, MCK: 0.16%, META: 2.95%, MPWR: 0.07%, MSFT: 6.81%, MTB: 0.06%, NKE: 0.15%, NTRS: 0.04%, NUE: 0.06%, NVDA: 7.71%, ODFL: 0.05%, PAYC: 0.02%, PCAR: 0.10%, PGR: 0.26%, PHM: 0.05%, PNC: 0.14%, QCOM: 0.31%, RJF: 0.05%, ROST: 0.09%, SNA: 0.03%, STT: 0.06%, SYF: 0.05%, TRV: 0.11%, V: 1.03%, WSM: 0.04%, XOM: 0.86%</t>
  </si>
  <si>
    <t>ROST (1.87%)</t>
  </si>
  <si>
    <t>(NVDA, 8.78%), (MSFT, 7.74%), (AAPL, 7.34%)</t>
  </si>
  <si>
    <t>LIN (1.98%)</t>
  </si>
  <si>
    <t>(NVDA, 8.57%), (MSFT, 7.56%), (AAPL, 7.17%)</t>
  </si>
  <si>
    <t>(NVDA, 8.91%), (MSFT, 7.86%), (AAPL, 7.44%)</t>
  </si>
  <si>
    <t>(nan, 13.38%), (nan, 7.69%), (NVDA, 7.43%), (nan, 7.28%), (MSFT, 6.74%), (AAPL, 6.39%), (nan, 6.05%)</t>
  </si>
  <si>
    <t>nan (6.05%)</t>
  </si>
  <si>
    <t>GOOG (4.98%)</t>
  </si>
  <si>
    <t>(nan, 13.92%), (nan, 8.26%), (NVDA, 7.63%), (MSFT, 6.92%), (AAPL, 6.55%)</t>
  </si>
  <si>
    <t>AMZN (4.41%)</t>
  </si>
  <si>
    <t>AVGO (4.10%)</t>
  </si>
  <si>
    <t>(nan, 7.84%), (NVDA, 7.41%), (MSFT, 6.72%), (AAPL, 6.37%)</t>
  </si>
  <si>
    <t>nan (3.85%)</t>
  </si>
  <si>
    <t>META (3.15%)</t>
  </si>
  <si>
    <t>(nan, 8.54%), (NVDA, 7.46%), (MSFT, 6.76%), (AAPL, 6.41%)</t>
  </si>
  <si>
    <t>nan (3.33%)</t>
  </si>
  <si>
    <t>META (3.17%)</t>
  </si>
  <si>
    <t>(nan, 18.43%), (nan, 12.07%), (NVDA, 7.62%), (MSFT, 6.91%), (AAPL, 6.56%)</t>
  </si>
  <si>
    <t>AAPL (6.56%)</t>
  </si>
  <si>
    <t>GOOG (5.11%)</t>
  </si>
  <si>
    <t>(nan, 13.38%), (nan, 8.36%), (NVDA, 7.45%), (MSFT, 6.76%), (AAPL, 6.41%)</t>
  </si>
  <si>
    <t>nan (4.88%)</t>
  </si>
  <si>
    <t>AMZN (4.31%)</t>
  </si>
  <si>
    <t>(NVDA, 7.51%), (nan, 7.20%), (MSFT, 6.81%), (AAPL, 6.45%)</t>
  </si>
  <si>
    <t>BRK/B (2.37%)</t>
  </si>
  <si>
    <t>TSLA (2.31%)</t>
  </si>
  <si>
    <t>(nan, 8.56%)</t>
  </si>
  <si>
    <t>KLAC (1.99%)</t>
  </si>
  <si>
    <t>TRV (1.99%)</t>
  </si>
  <si>
    <t>(nan, 12.16%), (NVDA, 7.41%), (nan, 7.19%), (MSFT, 6.72%), (AAPL, 6.37%), (nan, 6.33%)</t>
  </si>
  <si>
    <t>GOOG (4.96%)</t>
  </si>
  <si>
    <t>AMZN (4.29%)</t>
  </si>
  <si>
    <t>(nan, 11.27%), (NVDA, 7.49%), (nan, 6.89%), (MSFT, 6.79%), (AAPL, 6.44%)</t>
  </si>
  <si>
    <t>AVGO (4.03%)</t>
  </si>
  <si>
    <t>nan (3.90%)</t>
  </si>
  <si>
    <t>(nan, 15.14%), (nan, 9.26%), (NVDA, 7.44%), (MSFT, 6.75%), (AAPL, 6.39%), (nan, 6.21%)</t>
  </si>
  <si>
    <t>nan (6.21%)</t>
  </si>
  <si>
    <t>GOOG (4.99%)</t>
  </si>
  <si>
    <t>(nan, 13.59%), (nan, 7.87%), (NVDA, 7.67%), (nan, 7.18%), (MSFT, 6.71%), (AAPL, 6.36%), (nan, 5.98%)</t>
  </si>
  <si>
    <t>nan (5.98%)</t>
  </si>
  <si>
    <t>GOOG (5.02%)</t>
  </si>
  <si>
    <t>(nan, 14.08%), (nan, 8.42%), (NVDA, 7.88%), (MSFT, 6.89%), (AAPL, 6.52%)</t>
  </si>
  <si>
    <t>AMZN (4.40%)</t>
  </si>
  <si>
    <t>AVGO (4.09%)</t>
  </si>
  <si>
    <t>(nan, 7.98%), (NVDA, 7.66%), (MSFT, 6.70%), (AAPL, 6.34%)</t>
  </si>
  <si>
    <t>AVGO (3.97%)</t>
  </si>
  <si>
    <t>META (3.16%)</t>
  </si>
  <si>
    <t>(nan, 8.66%), (NVDA, 7.70%), (MSFT, 6.74%), (AAPL, 6.38%)</t>
  </si>
  <si>
    <t>nan (3.26%)</t>
  </si>
  <si>
    <t>META (3.18%)</t>
  </si>
  <si>
    <t>(nan, 18.62%), (nan, 12.26%), (NVDA, 7.87%), (MSFT, 6.88%), (AAPL, 6.52%)</t>
  </si>
  <si>
    <t>AAPL (6.52%)</t>
  </si>
  <si>
    <t>GOOG (5.15%)</t>
  </si>
  <si>
    <t>(nan, 13.54%), (nan, 8.50%), (NVDA, 7.69%), (MSFT, 6.73%), (AAPL, 6.37%)</t>
  </si>
  <si>
    <t>nan (4.81%)</t>
  </si>
  <si>
    <t>AMZN (4.30%)</t>
  </si>
  <si>
    <t>(NVDA, 7.75%), (nan, 7.30%), (MSFT, 6.78%), (AAPL, 6.41%)</t>
  </si>
  <si>
    <t>BRK/B (2.36%)</t>
  </si>
  <si>
    <t>TSLA (2.27%)</t>
  </si>
  <si>
    <t>(nan, 8.63%)</t>
  </si>
  <si>
    <t>BKNG (2.06%)</t>
  </si>
  <si>
    <t>AMAT (2.05%)</t>
  </si>
  <si>
    <t>(nan, 12.33%), (NVDA, 7.65%), (nan, 7.34%), (MSFT, 6.69%), (AAPL, 6.34%), (nan, 6.25%)</t>
  </si>
  <si>
    <t>GOOG (5.01%)</t>
  </si>
  <si>
    <t>AMZN (4.28%)</t>
  </si>
  <si>
    <t>(nan, 11.40%), (NVDA, 7.73%), (nan, 7.02%), (MSFT, 6.76%), (AAPL, 6.40%)</t>
  </si>
  <si>
    <t>AVGO (4.01%)</t>
  </si>
  <si>
    <t>nan (3.84%)</t>
  </si>
  <si>
    <t>(nan, 15.32%), (nan, 9.43%), (NVDA, 7.68%), (MSFT, 6.72%), (AAPL, 6.36%), (nan, 6.12%)</t>
  </si>
  <si>
    <t>nan (6.12%)</t>
  </si>
  <si>
    <t>GOOG (5.03%)</t>
  </si>
  <si>
    <t>(nan, 13.80%), (nan, 8.05%), (NVDA, 7.67%), (nan, 7.06%), (MSFT, 6.79%), (AAPL, 6.48%)</t>
  </si>
  <si>
    <t>nan (5.87%)</t>
  </si>
  <si>
    <t>GOOG (5.06%)</t>
  </si>
  <si>
    <t>(nan, 14.25%), (nan, 8.59%), (NVDA, 7.87%), (MSFT, 6.96%), (AAPL, 6.64%)</t>
  </si>
  <si>
    <t>AMZN (4.38%)</t>
  </si>
  <si>
    <t>AVGO (4.06%)</t>
  </si>
  <si>
    <t>(nan, 8.11%), (NVDA, 7.65%), (MSFT, 6.77%), (AAPL, 6.46%)</t>
  </si>
  <si>
    <t>AVGO (3.95%)</t>
  </si>
  <si>
    <t>META (3.14%)</t>
  </si>
  <si>
    <t>(nan, 8.77%), (NVDA, 7.70%), (MSFT, 6.81%), (AAPL, 6.50%)</t>
  </si>
  <si>
    <t>nan (3.19%)</t>
  </si>
  <si>
    <t>(nan, 18.80%), (nan, 12.44%), (NVDA, 7.86%), (MSFT, 6.96%), (AAPL, 6.65%)</t>
  </si>
  <si>
    <t>AAPL (6.65%)</t>
  </si>
  <si>
    <t>GOOG (5.18%)</t>
  </si>
  <si>
    <t>(nan, 13.68%), (nan, 8.65%), (NVDA, 7.68%), (MSFT, 6.80%), (AAPL, 6.50%)</t>
  </si>
  <si>
    <t>nan (4.73%)</t>
  </si>
  <si>
    <t>(NVDA, 7.74%), (nan, 7.40%), (MSFT, 6.85%), (AAPL, 6.54%)</t>
  </si>
  <si>
    <t>TSLA (2.29%)</t>
  </si>
  <si>
    <t>(nan, 8.81%)</t>
  </si>
  <si>
    <t>KLAC (2.09%)</t>
  </si>
  <si>
    <t>BKNG (2.07%)</t>
  </si>
  <si>
    <t>(nan, 12.49%), (NVDA, 7.64%), (nan, 7.49%), (MSFT, 6.77%), (AAPL, 6.47%), (nan, 6.14%)</t>
  </si>
  <si>
    <t>GOOG (5.04%)</t>
  </si>
  <si>
    <t>AMZN (4.26%)</t>
  </si>
  <si>
    <t>(nan, 11.53%), (NVDA, 7.72%), (nan, 7.15%), (MSFT, 6.84%), (AAPL, 6.53%)</t>
  </si>
  <si>
    <t>AVGO (3.99%)</t>
  </si>
  <si>
    <t>nan (3.78%)</t>
  </si>
  <si>
    <t>(nan, 15.49%), (nan, 9.61%), (NVDA, 7.68%), (MSFT, 6.80%), (AAPL, 6.48%), (nan, 5.99%)</t>
  </si>
  <si>
    <t>nan (5.99%)</t>
  </si>
  <si>
    <t>(nan, 14.06%), (nan, 8.30%), (NVDA, 7.69%), (nan, 7.00%), (AAPL, 6.73%), (MSFT, 6.67%)</t>
  </si>
  <si>
    <t>MSFT (6.67%)</t>
  </si>
  <si>
    <t>nan (5.80%)</t>
  </si>
  <si>
    <t>(nan, 14.43%), (nan, 8.79%), (NVDA, 7.87%), (AAPL, 6.88%), (MSFT, 6.83%)</t>
  </si>
  <si>
    <t>AMZN (4.20%)</t>
  </si>
  <si>
    <t>(nan, 8.26%), (NVDA, 7.66%), (AAPL, 6.69%), (MSFT, 6.65%)</t>
  </si>
  <si>
    <t>AVGO (3.89%)</t>
  </si>
  <si>
    <t>META (3.08%)</t>
  </si>
  <si>
    <t>(nan, 8.89%), (NVDA, 7.70%), (AAPL, 6.73%), (MSFT, 6.69%)</t>
  </si>
  <si>
    <t>nan (3.18%)</t>
  </si>
  <si>
    <t>META (3.10%)</t>
  </si>
  <si>
    <t>(nan, 19.02%), (nan, 12.68%), (NVDA, 7.89%), (AAPL, 6.90%), (MSFT, 6.84%)</t>
  </si>
  <si>
    <t>MSFT (6.84%)</t>
  </si>
  <si>
    <t>GOOG (5.10%)</t>
  </si>
  <si>
    <t>(nan, 13.85%), (nan, 8.84%), (NVDA, 7.71%), (AAPL, 6.74%), (MSFT, 6.68%)</t>
  </si>
  <si>
    <t>nan (4.71%)</t>
  </si>
  <si>
    <t>AMZN (4.11%)</t>
  </si>
  <si>
    <t>(NVDA, 7.74%), (nan, 7.50%), (AAPL, 6.77%), (MSFT, 6.72%)</t>
  </si>
  <si>
    <t>TSLA (2.35%)</t>
  </si>
  <si>
    <t>(nan, 8.95%)</t>
  </si>
  <si>
    <t>WSM (2.13%)</t>
  </si>
  <si>
    <t>PHM (2.12%)</t>
  </si>
  <si>
    <t>(nan, 12.69%), (nan, 7.69%), (NVDA, 7.67%), (AAPL, 6.71%), (MSFT, 6.65%), (nan, 6.10%)</t>
  </si>
  <si>
    <t>AMZN (4.09%)</t>
  </si>
  <si>
    <t>(nan, 11.67%), (NVDA, 7.74%), (nan, 7.30%), (AAPL, 6.77%), (MSFT, 6.71%)</t>
  </si>
  <si>
    <t>AVGO (3.92%)</t>
  </si>
  <si>
    <t>nan (3.77%)</t>
  </si>
  <si>
    <t>(nan, 15.70%), (nan, 9.82%), (NVDA, 7.69%), (AAPL, 6.72%), (MSFT, 6.67%), (nan, 5.96%)</t>
  </si>
  <si>
    <t>nan (5.96%)</t>
  </si>
  <si>
    <t>(nan, 13.80%), (nan, 8.09%), (NVDA, 7.76%), (nan, 7.21%), (AAPL, 6.76%), (MSFT, 6.70%), (nan, 5.97%)</t>
  </si>
  <si>
    <t>MSFT (6.70%)</t>
  </si>
  <si>
    <t>nan (5.97%)</t>
  </si>
  <si>
    <t>(nan, 14.23%), (nan, 8.60%), (NVDA, 7.95%), (AAPL, 6.92%), (MSFT, 6.87%)</t>
  </si>
  <si>
    <t>AMZN (4.22%)</t>
  </si>
  <si>
    <t>(nan, 8.11%), (NVDA, 7.73%), (AAPL, 6.72%), (MSFT, 6.68%)</t>
  </si>
  <si>
    <t>AVGO (3.90%)</t>
  </si>
  <si>
    <t>META (3.09%)</t>
  </si>
  <si>
    <t>(nan, 8.75%), (NVDA, 7.77%), (AAPL, 6.77%), (MSFT, 6.72%)</t>
  </si>
  <si>
    <t>META (3.11%)</t>
  </si>
  <si>
    <t>(nan, 18.78%), (nan, 12.45%), (NVDA, 7.95%), (AAPL, 6.93%), (MSFT, 6.87%)</t>
  </si>
  <si>
    <t>MSFT (6.87%)</t>
  </si>
  <si>
    <t>(nan, 13.66%), (nan, 8.66%), (NVDA, 7.77%), (AAPL, 6.77%), (MSFT, 6.72%)</t>
  </si>
  <si>
    <t>nan (4.86%)</t>
  </si>
  <si>
    <t>AMZN (4.12%)</t>
  </si>
  <si>
    <t>(NVDA, 7.82%), (nan, 7.38%), (AAPL, 6.80%), (MSFT, 6.75%)</t>
  </si>
  <si>
    <t>TSLA (2.37%)</t>
  </si>
  <si>
    <t>(nan, 8.76%)</t>
  </si>
  <si>
    <t>WSM (2.11%)</t>
  </si>
  <si>
    <t>(nan, 12.49%), (NVDA, 7.73%), (nan, 7.51%), (AAPL, 6.74%), (MSFT, 6.68%), (nan, 6.28%)</t>
  </si>
  <si>
    <t>GOOG (4.97%)</t>
  </si>
  <si>
    <t>AMZN (4.10%)</t>
  </si>
  <si>
    <t>(nan, 11.51%), (NVDA, 7.81%), (nan, 7.15%), (AAPL, 6.81%), (MSFT, 6.75%)</t>
  </si>
  <si>
    <t>AVGO (3.94%)</t>
  </si>
  <si>
    <t>nan (3.91%)</t>
  </si>
  <si>
    <t>(nan, 15.47%), (nan, 9.62%), (NVDA, 7.76%), (AAPL, 6.75%), (MSFT, 6.70%), (nan, 6.15%)</t>
  </si>
  <si>
    <t>nan (6.15%)</t>
  </si>
  <si>
    <t>(nan, 13.72%), (nan, 8.02%), (NVDA, 7.63%), (nan, 7.27%), (MSFT, 6.68%), (AAPL, 6.67%), (nan, 6.02%)</t>
  </si>
  <si>
    <t>nan (6.02%)</t>
  </si>
  <si>
    <t>GOOG (4.89%)</t>
  </si>
  <si>
    <t>(nan, 14.13%), (nan, 8.52%), (NVDA, 7.82%), (MSFT, 6.84%), (AAPL, 6.84%)</t>
  </si>
  <si>
    <t>AMZN (4.17%)</t>
  </si>
  <si>
    <t>(nan, 8.03%), (NVDA, 7.60%), (MSFT, 6.65%), (AAPL, 6.64%)</t>
  </si>
  <si>
    <t>AVGO (3.86%)</t>
  </si>
  <si>
    <t>(nan, 8.68%), (NVDA, 7.65%), (MSFT, 6.70%), (AAPL, 6.69%)</t>
  </si>
  <si>
    <t>nan (3.36%)</t>
  </si>
  <si>
    <t>(nan, 18.69%), (nan, 12.37%), (NVDA, 7.82%), (AAPL, 6.85%), (MSFT, 6.85%)</t>
  </si>
  <si>
    <t>MSFT (6.85%)</t>
  </si>
  <si>
    <t>(nan, 13.58%), (nan, 8.59%), (NVDA, 7.65%), (MSFT, 6.69%), (AAPL, 6.69%)</t>
  </si>
  <si>
    <t>GOOG (4.90%)</t>
  </si>
  <si>
    <t>AMZN (4.08%)</t>
  </si>
  <si>
    <t>(NVDA, 7.69%), (nan, 7.32%), (MSFT, 6.73%), (AAPL, 6.73%)</t>
  </si>
  <si>
    <t>TSLA (2.40%)</t>
  </si>
  <si>
    <t>(nan, 8.66%)</t>
  </si>
  <si>
    <t>AXP (2.08%)</t>
  </si>
  <si>
    <t>RJF (2.02%)</t>
  </si>
  <si>
    <t>(nan, 12.41%), (NVDA, 7.60%), (nan, 7.46%), (AAPL, 6.65%), (MSFT, 6.65%), (nan, 6.36%)</t>
  </si>
  <si>
    <t>GOOG (4.87%)</t>
  </si>
  <si>
    <t>AMZN (4.05%)</t>
  </si>
  <si>
    <t>(nan, 11.44%), (NVDA, 7.68%), (nan, 7.10%), (AAPL, 6.72%), (MSFT, 6.72%)</t>
  </si>
  <si>
    <t>nan (3.97%)</t>
  </si>
  <si>
    <t>(nan, 15.37%), (nan, 9.53%), (NVDA, 7.63%), (MSFT, 6.68%), (AAPL, 6.67%), (nan, 6.25%)</t>
  </si>
  <si>
    <t>nan (6.25%)</t>
  </si>
  <si>
    <t>(NVDA, 9.18%), (AAPL, 8.16%), (MSFT, 7.95%)</t>
  </si>
  <si>
    <t>AAPL: 6.77%, ABBV: 0.69%, ABT: 0.41%, ACN: 0.26%, ADBE: 0.27%, AMAT: 0.28%, AMD: 0.46%, AMGN: 0.26%, AMT: 0.16%, AMZN: 3.76%, AVGO: 2.81%, AXP: 0.33%, BA: 0.29%, BAC: 0.63%, BKNG: 0.32%, BLK: 0.29%, BMY: 0.16%, BRK/B: 1.61%, C: 0.33%, CAT: 0.39%, CB: 0.18%, CL: 0.11%, CMCSA: 0.21%, COP: 0.21%, COST: 0.74%, CRM: 0.41%, CSCO: 0.48%, CVS: 0.17%, CVX: 0.55%, DE: 0.21%, DHR: 0.20%, DIS: 0.36%, DUK: 0.17%, ELV: 0.13%, EMR: 0.13%, ETN: 0.25%, FDX: 0.09%, GE: 0.56%, GILD: 0.24%, GOOG: 2.04%, GS: 0.43%, HD: 0.72%, HON: 0.23%, IBM: 0.47%, INTC: 0.26%, INTU: 0.34%, ISRG: 0.28%, JNJ: 0.76%, JPM: 1.53%, KO: 0.45%, LIN: 0.39%, LLY: 1.01%, LMT: 0.18%, LOW: 0.25%, MA: 0.83%, MCD: 0.38%, MDLZ: 0.14%, MDT: 0.21%, MET: 0.08%, META: 2.88%, MMM: 0.14%, MO: 0.19%, MRK: 0.34%, MS: 0.34%, MSFT: 6.69%, NEE: 0.27%, NFLX: 0.91%, NKE: 0.15%, NOW: 0.34%, NVDA: 7.70%, ORCL: 0.86%, PEP: 0.34%, PFE: 0.24%, PG: 0.63%, PLTR: 0.72%, PM: 0.45%, PYPL: 0.11%, QCOM: 0.32%, RTX: 0.38%, SBUX: 0.17%, SCHW: 0.29%, SO: 0.18%, SPGI: 0.27%, T: 0.36%, TGT: 0.07%, TJX: 0.28%, TMO: 0.31%, TSLA: 2.11%, TXN: 0.29%, UBER: 0.36%, UNH: 0.56%, UNP: 0.24%, UPS: 0.11%, USB: 0.14%, V: 1.01%, VZ: 0.32%, WFC: 0.48%, WM: 0.14%, WMT: 0.80%, XOM: 0.87%</t>
  </si>
  <si>
    <t>(NVDA, 8.90%), (AAPL, 7.92%), (MSFT, 7.70%)</t>
  </si>
  <si>
    <t>(NVDA, 8.43%), (AAPL, 7.50%), (MSFT, 7.29%)</t>
  </si>
  <si>
    <t>(NVDA, 8.40%), (AAPL, 7.48%), (MSFT, 7.27%)</t>
  </si>
  <si>
    <t>(NVDA, 9.35%), (AAPL, 8.31%), (MSFT, 8.09%)</t>
  </si>
  <si>
    <t>(NVDA, 8.87%), (AAPL, 7.89%), (MSFT, 7.68%)</t>
  </si>
  <si>
    <t>(NVDA, 8.25%), (AAPL, 7.35%), (MSFT, 7.14%)</t>
  </si>
  <si>
    <t>AAPL: 6.77%, ABT: 0.41%, ACN: 0.26%, ADP: 0.21%, AFL: 0.09%, ALL: 0.10%, AMAT: 0.28%, AMP: 0.08%, AXP: 0.33%, BAC: 0.63%, BK: 0.14%, BKNG: 0.32%, BKR: 0.09%, BLK: 0.29%, CB: 0.18%, CF: 0.03%, CINF: 0.04%, COST: 0.74%, CRM: 0.41%, CSCO: 0.48%, CTSH: 0.06%, DHI: 0.08%, DOV: 0.04%, EA: 0.07%, EBAY: 0.08%, EG: 0.03%, ELV: 0.13%, EOG: 0.11%, FOXA: 0.02%, GE: 0.56%, GEV: 0.29%, GOOGL: 2.54%, HIG: 0.07%, JNJ: 0.76%, JPM: 1.53%, KLAC: 0.25%, LEN: 0.05%, LRCX: 0.29%, MA: 0.83%, MCK: 0.16%, MET: 0.08%, META: 2.88%, MPWR: 0.08%, MSFT: 6.69%, MTB: 0.06%, NTRS: 0.04%, NVDA: 7.70%, ODFL: 0.05%, PAYC: 0.02%, PCAR: 0.09%, PGR: 0.25%, PHM: 0.04%, PNC: 0.14%, QCOM: 0.32%, RJF: 0.05%, RMD: 0.07%, ROST: 0.09%, SNA: 0.03%, STT: 0.06%, SYF: 0.05%, TRV: 0.11%, V: 1.01%, VLTO: 0.05%, WSM: 0.04%, XOM: 0.87%</t>
  </si>
  <si>
    <t>TRV (1.94%)</t>
  </si>
  <si>
    <t>V (1.92%)</t>
  </si>
  <si>
    <t>(NVDA, 8.88%), (AAPL, 7.90%), (MSFT, 7.69%)</t>
  </si>
  <si>
    <t>(NVDA, 8.68%), (AAPL, 7.72%), (MSFT, 7.51%)</t>
  </si>
  <si>
    <t>(NVDA, 9.01%), (AAPL, 8.01%), (MSFT, 7.80%)</t>
  </si>
  <si>
    <t>(NVDA, 9.18%), (AAPL, 8.10%), (MSFT, 7.99%)</t>
  </si>
  <si>
    <t>(NVDA, 8.90%), (AAPL, 7.86%), (MSFT, 7.74%)</t>
  </si>
  <si>
    <t>(NVDA, 8.42%), (AAPL, 7.44%), (MSFT, 7.33%)</t>
  </si>
  <si>
    <t>(NVDA, 8.40%), (AAPL, 7.42%), (MSFT, 7.31%)</t>
  </si>
  <si>
    <t>(NVDA, 9.35%), (AAPL, 8.25%), (MSFT, 8.13%)</t>
  </si>
  <si>
    <t>JPM (2.23%)</t>
  </si>
  <si>
    <t>(NVDA, 8.88%), (AAPL, 7.84%), (MSFT, 7.72%)</t>
  </si>
  <si>
    <t>(NVDA, 8.25%), (AAPL, 7.28%), (MSFT, 7.17%)</t>
  </si>
  <si>
    <t>TRV (1.95%)</t>
  </si>
  <si>
    <t>V (1.91%)</t>
  </si>
  <si>
    <t>(NVDA, 8.88%), (AAPL, 7.84%), (MSFT, 7.73%)</t>
  </si>
  <si>
    <t>(NVDA, 8.68%), (AAPL, 7.66%), (MSFT, 7.55%)</t>
  </si>
  <si>
    <t>(NVDA, 9.01%), (AAPL, 7.96%), (MSFT, 7.84%)</t>
  </si>
  <si>
    <t>(NVDA, 9.30%), (AAPL, 8.04%), (MSFT, 8.02%)</t>
  </si>
  <si>
    <t>AAPL: 6.69%, ABBV: 0.69%, ABT: 0.41%, ACN: 0.26%, ADBE: 0.27%, AMAT: 0.29%, AMD: 0.46%, AMGN: 0.26%, AMT: 0.16%, AMZN: 3.76%, AVGO: 2.78%, AXP: 0.33%, BA: 0.30%, BAC: 0.63%, BKNG: 0.32%, BLK: 0.29%, BMY: 0.16%, BRK/B: 1.62%, C: 0.34%, CAT: 0.38%, CB: 0.18%, CL: 0.11%, CMCSA: 0.21%, COP: 0.22%, COST: 0.72%, CRM: 0.41%, CSCO: 0.47%, CVS: 0.17%, CVX: 0.54%, DE: 0.21%, DHR: 0.21%, DIS: 0.36%, DUK: 0.17%, ELV: 0.13%, EMR: 0.13%, ETN: 0.25%, FDX: 0.09%, GE: 0.55%, GILD: 0.25%, GOOG: 2.04%, GS: 0.43%, HD: 0.72%, HON: 0.23%, IBM: 0.47%, INTC: 0.27%, INTU: 0.34%, ISRG: 0.28%, JNJ: 0.76%, JPM: 1.53%, KO: 0.45%, LIN: 0.39%, LLY: 1.02%, LMT: 0.18%, LOW: 0.25%, MA: 0.82%, MCD: 0.38%, MDLZ: 0.14%, MDT: 0.21%, MET: 0.08%, META: 2.85%, MMM: 0.14%, MO: 0.19%, MRK: 0.35%, MS: 0.34%, MSFT: 6.71%, NEE: 0.28%, NFLX: 0.91%, NKE: 0.15%, NOW: 0.34%, NVDA: 7.67%, ORCL: 0.83%, PEP: 0.34%, PFE: 0.24%, PG: 0.63%, PLTR: 0.71%, PM: 0.45%, PYPL: 0.11%, QCOM: 0.32%, RTX: 0.39%, SBUX: 0.17%, SCHW: 0.29%, SO: 0.18%, SPGI: 0.27%, T: 0.36%, TGT: 0.07%, TJX: 0.28%, TMO: 0.31%, TSLA: 2.18%, TXN: 0.30%, UBER: 0.36%, UNH: 0.55%, UNP: 0.25%, UPS: 0.11%, USB: 0.14%, V: 1.01%, VZ: 0.32%, WFC: 0.48%, WM: 0.14%, WMT: 0.80%, XOM: 0.88%</t>
  </si>
  <si>
    <t>(NVDA, 9.03%), (MSFT, 8.79%), (AAPL, 7.79%)</t>
  </si>
  <si>
    <t>(NVDA, 8.55%), (MSFT, 7.42%), (AAPL, 7.38%)</t>
  </si>
  <si>
    <t>(NVDA, 8.53%), (AAPL, 7.36%), (MSFT, 7.34%)</t>
  </si>
  <si>
    <t>(NVDA, 9.48%), (AAPL, 8.18%), (MSFT, 8.17%)</t>
  </si>
  <si>
    <t>(NVDA, 9.00%), (AAPL, 7.77%), (MSFT, 7.75%)</t>
  </si>
  <si>
    <t>(NVDA, 8.38%), (AAPL, 7.23%), (MSFT, 7.21%)</t>
  </si>
  <si>
    <t>AAPL: 6.69%, ABT: 0.41%, ACN: 0.26%, ADP: 0.21%, AFL: 0.09%, ALL: 0.10%, AMAT: 0.29%, AMP: 0.08%, AXP: 0.33%, BAC: 0.63%, BK: 0.14%, BKNG: 0.32%, BKR: 0.09%, BLK: 0.29%, CB: 0.18%, CF: 0.03%, CINF: 0.04%, COST: 0.72%, CRM: 0.41%, CSCO: 0.47%, CTSH: 0.06%, DHI: 0.08%, DOV: 0.04%, EA: 0.08%, EBAY: 0.07%, EG: 0.03%, ELV: 0.13%, EOG: 0.11%, FOXA: 0.02%, GE: 0.55%, GEV: 0.29%, GOOGL: 2.53%, HIG: 0.07%, JNJ: 0.76%, JPM: 1.53%, KLAC: 0.25%, LEN: 0.05%, LRCX: 0.29%, MA: 0.82%, MCK: 0.17%, MET: 0.08%, META: 2.85%, MPWR: 0.08%, MSFT: 6.71%, MTB: 0.06%, NTRS: 0.04%, NVDA: 7.67%, ODFL: 0.05%, PAYC: 0.02%, PCAR: 0.09%, PGR: 0.25%, PHM: 0.05%, PNC: 0.14%, QCOM: 0.32%, RJF: 0.05%, RMD: 0.07%, ROST: 0.09%, SNA: 0.03%, STT: 0.06%, SYF: 0.05%, TRV: 0.11%, V: 1.01%, VLTO: 0.05%, WSM: 0.04%, XOM: 0.88%</t>
  </si>
  <si>
    <t>EA (1.93%)</t>
  </si>
  <si>
    <t>(NVDA, 9.01%), (AAPL, 7.78%), (MSFT, 7.76%)</t>
  </si>
  <si>
    <t>(NVDA, 8.81%), (AAPL, 7.60%), (MSFT, 7.58%)</t>
  </si>
  <si>
    <t>(NVDA, 9.17%), (MSFT, 8.98%), (AAPL, 7.89%)</t>
  </si>
  <si>
    <t>(NVDA, 9.55%), (MSFT, 8.07%), (AAPL, 8.05%)</t>
  </si>
  <si>
    <t>AAPL: 6.65%, ABBV: 0.69%, ABT: 0.41%, ACN: 0.27%, ADBE: 0.27%, AMAT: 0.29%, AMD: 0.46%, AMGN: 0.26%, AMT: 0.16%, AMZN: 3.80%, AVGO: 2.71%, AXP: 0.33%, BA: 0.29%, BAC: 0.63%, BKNG: 0.31%, BLK: 0.30%, BMY: 0.16%, BRK/B: 1.61%, C: 0.33%, CAT: 0.39%, CB: 0.18%, CL: 0.11%, CMCSA: 0.20%, COP: 0.21%, COST: 0.72%, CRM: 0.41%, CSCO: 0.47%, CVS: 0.17%, CVX: 0.53%, DE: 0.21%, DHR: 0.21%, DIS: 0.36%, DUK: 0.17%, ELV: 0.13%, EMR: 0.13%, ETN: 0.25%, FDX: 0.09%, GE: 0.55%, GILD: 0.25%, GOOG: 2.01%, GS: 0.43%, HD: 0.71%, HON: 0.23%, IBM: 0.46%, INTC: 0.27%, INTU: 0.34%, ISRG: 0.28%, JNJ: 0.77%, JPM: 1.53%, KO: 0.45%, LIN: 0.39%, LLY: 1.02%, LMT: 0.18%, LOW: 0.25%, MA: 0.83%, MCD: 0.38%, MDLZ: 0.14%, MDT: 0.21%, MET: 0.08%, META: 2.84%, MMM: 0.14%, MO: 0.19%, MRK: 0.35%, MS: 0.34%, MSFT: 6.73%, NEE: 0.28%, NFLX: 0.90%, NKE: 0.15%, NOW: 0.34%, NVDA: 7.81%, ORCL: 0.82%, PEP: 0.34%, PFE: 0.24%, PG: 0.63%, PLTR: 0.72%, PM: 0.45%, PYPL: 0.12%, QCOM: 0.31%, RTX: 0.39%, SBUX: 0.17%, SCHW: 0.29%, SO: 0.18%, SPGI: 0.27%, T: 0.35%, TGT: 0.07%, TJX: 0.28%, TMO: 0.31%, TSLA: 2.19%, TXN: 0.29%, UBER: 0.37%, UNH: 0.55%, UNP: 0.25%, UPS: 0.11%, USB: 0.13%, V: 1.02%, VZ: 0.32%, WFC: 0.48%, WM: 0.14%, WMT: 0.80%, XOM: 0.86%</t>
  </si>
  <si>
    <t>(NVDA, 9.27%), (MSFT, 7.82%), (AAPL, 7.81%)</t>
  </si>
  <si>
    <t>(NVDA, 8.78%), (MSFT, 7.40%), (AAPL, 7.39%)</t>
  </si>
  <si>
    <t>(NVDA, 8.75%), (MSFT, 7.38%), (AAPL, 7.37%)</t>
  </si>
  <si>
    <t>(NVDA, 9.74%), (MSFT, 8.22%), (AAPL, 8.20%)</t>
  </si>
  <si>
    <t>(NVDA, 9.24%), (MSFT, 7.80%), (AAPL, 7.78%)</t>
  </si>
  <si>
    <t>(NVDA, 8.60%), (MSFT, 7.24%), (AAPL, 7.24%)</t>
  </si>
  <si>
    <t>AAPL: 6.65%, ABT: 0.41%, ACN: 0.27%, ADP: 0.21%, AFL: 0.09%, ALL: 0.10%, AMAT: 0.29%, AMP: 0.08%, AXP: 0.33%, BAC: 0.63%, BK: 0.14%, BKNG: 0.31%, BKR: 0.09%, BLK: 0.30%, CB: 0.18%, CF: 0.03%, CINF: 0.04%, COST: 0.72%, CRM: 0.41%, CSCO: 0.47%, CTSH: 0.06%, DHI: 0.08%, DOV: 0.04%, EA: 0.08%, EBAY: 0.07%, EG: 0.03%, ELV: 0.13%, EOG: 0.11%, FOXA: 0.02%, GE: 0.55%, GEV: 0.29%, GOOGL: 2.50%, HIG: 0.07%, JNJ: 0.77%, JPM: 1.53%, KLAC: 0.25%, LEN: 0.05%, LRCX: 0.29%, MA: 0.83%, MCK: 0.17%, MET: 0.08%, META: 2.84%, MPWR: 0.07%, MSFT: 6.73%, MTB: 0.05%, NTRS: 0.04%, NVDA: 7.81%, ODFL: 0.05%, PAYC: 0.02%, PCAR: 0.09%, PGR: 0.25%, PHM: 0.05%, PNC: 0.14%, QCOM: 0.31%, RJF: 0.06%, RMD: 0.07%, ROST: 0.09%, SNA: 0.03%, STT: 0.06%, SYF: 0.05%, TRV: 0.11%, V: 1.02%, VLTO: 0.05%, WSM: 0.04%, XOM: 0.86%</t>
  </si>
  <si>
    <t>V (1.94%)</t>
  </si>
  <si>
    <t>(NVDA, 9.25%), (MSFT, 7.81%), (AAPL, 7.79%)</t>
  </si>
  <si>
    <t>(NVDA, 9.04%), (MSFT, 7.62%), (AAPL, 7.61%)</t>
  </si>
  <si>
    <t>(NVDA, 9.39%), (MSFT, 7.92%), (AAPL, 7.91%)</t>
  </si>
  <si>
    <t>* IRS Condition 1: 90% of income must come from qualifying sources.</t>
  </si>
  <si>
    <t>* IRS Condition 2a: At least 50% of assets must be allocated to qualifying securities.</t>
  </si>
  <si>
    <t>* IRS Condition 2a5: for 50% of portfolio, no issuer is more than 5% of fund assets.</t>
  </si>
  <si>
    <t>* IRS Condition 2a10: for 50% of portfolio, fund doesn't hold more than 10% of any issuer's outstanding float.</t>
  </si>
  <si>
    <t>* IRS Condition 2b: No single issuer may constitute more than 25% of assets.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</si>
</sst>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%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79"/>
  <sheetViews>
    <sheetView tabSelected="1" zoomScale="85" zoomScaleNormal="85" workbookViewId="0">
      <selection activeCell="F6" sqref="F6"/>
    </sheetView>
  </sheetViews>
  <sheetFormatPr defaultRowHeight="14.6" x14ac:dyDescent="0.4"/>
  <cols>
    <col min="1" max="1" width="12.53515625" customWidth="1"/>
    <col min="2" max="2" width="8" customWidth="1"/>
    <col min="3" max="3" width="19" customWidth="1"/>
    <col min="4" max="4" width="36" customWidth="1"/>
    <col min="5" max="5" width="27" customWidth="1"/>
    <col min="6" max="6" width="45" customWidth="1"/>
    <col min="7" max="7" width="50" customWidth="1"/>
    <col min="8" max="8" width="14" customWidth="1"/>
    <col min="9" max="9" width="30" customWidth="1"/>
    <col min="10" max="10" width="14" customWidth="1"/>
    <col min="11" max="11" width="10" customWidth="1"/>
    <col min="12" max="12" width="42" customWidth="1"/>
    <col min="13" max="14" width="50" customWidth="1"/>
    <col min="15" max="15" width="42" customWidth="1"/>
    <col min="16" max="16" width="43" customWidth="1"/>
    <col min="17" max="17" width="50" customWidth="1"/>
    <col min="18" max="18" width="40" customWidth="1"/>
    <col min="19" max="19" width="20" customWidth="1"/>
    <col min="20" max="20" width="23" customWidth="1"/>
    <col min="21" max="21" width="7" customWidth="1"/>
  </cols>
  <sheetData>
    <row r="1" spans="1:2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4">
      <c r="A2" s="2">
        <v>45839</v>
      </c>
      <c r="B2" t="s">
        <v>24</v>
      </c>
      <c r="C2" t="s">
        <v>22</v>
      </c>
      <c r="D2" s="3" t="str">
        <f t="shared" ref="D2:D36" si="0">IF(J2/H2&gt;=0.75,"PASS","FAIL")</f>
        <v>PASS</v>
      </c>
      <c r="E2" s="3" t="str">
        <f t="shared" ref="E2:E36" si="1">IF(L2=0,"PASS","FAIL")</f>
        <v>PASS</v>
      </c>
      <c r="F2" s="3" t="str">
        <f t="shared" ref="F2:F36" si="2">IF(R2="","",IF(R2&lt;=0.1,"PASS","FAIL"))</f>
        <v>PASS</v>
      </c>
      <c r="G2" s="3" t="str">
        <f t="shared" ref="G2:G36" si="3">IF(S2=0,"PASS",IF(S2&lt;=0.05*J2,"PASS","FAIL"))</f>
        <v>FAIL</v>
      </c>
      <c r="H2" s="3">
        <v>136543055.68000001</v>
      </c>
      <c r="I2" s="4">
        <v>0</v>
      </c>
      <c r="J2" s="3">
        <v>119048287.95</v>
      </c>
      <c r="K2" s="3">
        <v>8653.2000000000007</v>
      </c>
      <c r="L2" s="3">
        <v>0</v>
      </c>
      <c r="M2" t="s">
        <v>23</v>
      </c>
      <c r="N2" t="s">
        <v>35</v>
      </c>
      <c r="O2" s="4">
        <v>0.26502839094377761</v>
      </c>
      <c r="P2" s="4">
        <v>0.73497160905622239</v>
      </c>
      <c r="Q2" t="s">
        <v>36</v>
      </c>
      <c r="R2" s="4">
        <v>6.0077334749413968E-6</v>
      </c>
      <c r="S2" s="3">
        <v>67770021.74000001</v>
      </c>
      <c r="T2" s="4">
        <v>0.49632712115967792</v>
      </c>
    </row>
    <row r="3" spans="1:21" x14ac:dyDescent="0.4">
      <c r="A3" s="2">
        <v>45839</v>
      </c>
      <c r="B3" t="s">
        <v>25</v>
      </c>
      <c r="C3" t="s">
        <v>22</v>
      </c>
      <c r="D3" s="3" t="str">
        <f t="shared" si="0"/>
        <v>PASS</v>
      </c>
      <c r="E3" s="3" t="str">
        <f t="shared" si="1"/>
        <v>PASS</v>
      </c>
      <c r="F3" s="3" t="str">
        <f t="shared" si="2"/>
        <v>PASS</v>
      </c>
      <c r="G3" s="3" t="str">
        <f t="shared" si="3"/>
        <v>FAIL</v>
      </c>
      <c r="H3" s="3">
        <v>102314972.65000001</v>
      </c>
      <c r="I3" s="4">
        <v>0</v>
      </c>
      <c r="J3" s="3">
        <v>92056067.689999998</v>
      </c>
      <c r="K3" s="3">
        <v>6691.1</v>
      </c>
      <c r="L3" s="3">
        <v>0</v>
      </c>
      <c r="M3" t="s">
        <v>23</v>
      </c>
      <c r="N3" t="s">
        <v>37</v>
      </c>
      <c r="O3" s="4">
        <v>0.24577759584725101</v>
      </c>
      <c r="P3" s="4">
        <v>0.75422240415274899</v>
      </c>
      <c r="Q3" t="s">
        <v>38</v>
      </c>
      <c r="R3" s="4">
        <v>6.0077334749413968E-6</v>
      </c>
      <c r="S3" s="3">
        <v>67770021.74000001</v>
      </c>
      <c r="T3" s="4">
        <v>0.66236661150101972</v>
      </c>
    </row>
    <row r="4" spans="1:21" x14ac:dyDescent="0.4">
      <c r="A4" s="2">
        <v>45839</v>
      </c>
      <c r="B4" t="s">
        <v>26</v>
      </c>
      <c r="C4" t="s">
        <v>22</v>
      </c>
      <c r="D4" s="3" t="str">
        <f t="shared" si="0"/>
        <v>PASS</v>
      </c>
      <c r="E4" s="3" t="str">
        <f t="shared" si="1"/>
        <v>PASS</v>
      </c>
      <c r="F4" s="3" t="str">
        <f t="shared" si="2"/>
        <v>PASS</v>
      </c>
      <c r="G4" s="3" t="str">
        <f t="shared" si="3"/>
        <v>FAIL</v>
      </c>
      <c r="H4" s="3">
        <v>23722047.390000001</v>
      </c>
      <c r="I4" s="4">
        <v>0</v>
      </c>
      <c r="J4" s="3">
        <v>21386376.52</v>
      </c>
      <c r="K4" s="3">
        <v>1554.94</v>
      </c>
      <c r="L4" s="3">
        <v>0</v>
      </c>
      <c r="M4" t="s">
        <v>23</v>
      </c>
      <c r="N4" t="s">
        <v>39</v>
      </c>
      <c r="O4" s="4">
        <v>0.2430885042699136</v>
      </c>
      <c r="P4" s="4">
        <v>0.75691149573008643</v>
      </c>
      <c r="Q4" t="s">
        <v>40</v>
      </c>
      <c r="R4" s="4">
        <v>4.0478773102271809E-6</v>
      </c>
      <c r="S4" s="3">
        <v>4220768.6300000008</v>
      </c>
      <c r="T4" s="4">
        <v>0.17792598423773751</v>
      </c>
    </row>
    <row r="5" spans="1:21" x14ac:dyDescent="0.4">
      <c r="A5" s="2">
        <v>45839</v>
      </c>
      <c r="B5" t="s">
        <v>27</v>
      </c>
      <c r="C5" t="s">
        <v>22</v>
      </c>
      <c r="D5" s="3" t="str">
        <f t="shared" si="0"/>
        <v>PASS</v>
      </c>
      <c r="E5" s="3" t="str">
        <f t="shared" si="1"/>
        <v>PASS</v>
      </c>
      <c r="F5" s="3" t="str">
        <f t="shared" si="2"/>
        <v>PASS</v>
      </c>
      <c r="G5" s="3" t="str">
        <f t="shared" si="3"/>
        <v>FAIL</v>
      </c>
      <c r="H5" s="3">
        <v>48917423.100000001</v>
      </c>
      <c r="I5" s="4">
        <v>0</v>
      </c>
      <c r="J5" s="3">
        <v>41086423.909999996</v>
      </c>
      <c r="K5" s="3">
        <v>2986.97</v>
      </c>
      <c r="L5" s="3">
        <v>0</v>
      </c>
      <c r="M5" t="s">
        <v>23</v>
      </c>
      <c r="N5" t="s">
        <v>41</v>
      </c>
      <c r="O5" s="4">
        <v>0.28765747892513532</v>
      </c>
      <c r="P5" s="4">
        <v>0.71234252107486462</v>
      </c>
      <c r="Q5" t="s">
        <v>42</v>
      </c>
      <c r="R5" s="4">
        <v>7.9675896396556119E-6</v>
      </c>
      <c r="S5" s="3">
        <v>16450786.220000001</v>
      </c>
      <c r="T5" s="4">
        <v>0.33629707326099928</v>
      </c>
    </row>
    <row r="6" spans="1:21" x14ac:dyDescent="0.4">
      <c r="A6" s="2">
        <v>45839</v>
      </c>
      <c r="B6" t="s">
        <v>28</v>
      </c>
      <c r="C6" t="s">
        <v>22</v>
      </c>
      <c r="D6" s="3" t="str">
        <f t="shared" si="0"/>
        <v>PASS</v>
      </c>
      <c r="E6" s="3" t="str">
        <f t="shared" si="1"/>
        <v>FAIL</v>
      </c>
      <c r="F6" s="3" t="str">
        <f t="shared" si="2"/>
        <v>PASS</v>
      </c>
      <c r="G6" s="3" t="str">
        <f t="shared" si="3"/>
        <v>FAIL</v>
      </c>
      <c r="H6" s="3">
        <v>15400753.109999999</v>
      </c>
      <c r="I6" s="4">
        <v>0</v>
      </c>
      <c r="J6" s="3">
        <v>13534962.449999999</v>
      </c>
      <c r="K6" s="3">
        <v>984.5</v>
      </c>
      <c r="L6" s="3">
        <v>26708705.73</v>
      </c>
      <c r="M6" t="s">
        <v>43</v>
      </c>
      <c r="N6" t="s">
        <v>34</v>
      </c>
      <c r="O6" s="4">
        <v>0.33437224644830837</v>
      </c>
      <c r="P6" s="4">
        <v>0.66562775355169168</v>
      </c>
      <c r="Q6" t="s">
        <v>44</v>
      </c>
      <c r="R6" s="4">
        <v>6.0077334749413968E-6</v>
      </c>
      <c r="S6" s="3">
        <v>4210872.2</v>
      </c>
      <c r="T6" s="4">
        <v>0.27341988861997929</v>
      </c>
    </row>
    <row r="7" spans="1:21" x14ac:dyDescent="0.4">
      <c r="A7" s="2">
        <v>45839</v>
      </c>
      <c r="B7" t="s">
        <v>29</v>
      </c>
      <c r="C7" t="s">
        <v>22</v>
      </c>
      <c r="D7" s="3" t="str">
        <f t="shared" si="0"/>
        <v>PASS</v>
      </c>
      <c r="E7" s="3" t="str">
        <f t="shared" si="1"/>
        <v>FAIL</v>
      </c>
      <c r="F7" s="3" t="str">
        <f t="shared" si="2"/>
        <v>PASS</v>
      </c>
      <c r="G7" s="3" t="str">
        <f t="shared" si="3"/>
        <v>FAIL</v>
      </c>
      <c r="H7" s="3">
        <v>34670454.060000002</v>
      </c>
      <c r="I7" s="4">
        <v>0</v>
      </c>
      <c r="J7" s="3">
        <v>32113226.100000001</v>
      </c>
      <c r="K7" s="3">
        <v>2334.69</v>
      </c>
      <c r="L7" s="3">
        <v>17373038.399999999</v>
      </c>
      <c r="M7" t="s">
        <v>45</v>
      </c>
      <c r="N7" t="s">
        <v>34</v>
      </c>
      <c r="O7" s="4">
        <v>0.14089869967938221</v>
      </c>
      <c r="P7" s="4">
        <v>0.85910130032061782</v>
      </c>
      <c r="Q7" t="s">
        <v>46</v>
      </c>
      <c r="R7" s="4">
        <v>6.0077334749413968E-6</v>
      </c>
      <c r="S7" s="3">
        <v>4694642.62</v>
      </c>
      <c r="T7" s="4">
        <v>0.1354075897556907</v>
      </c>
    </row>
    <row r="8" spans="1:21" x14ac:dyDescent="0.4">
      <c r="A8" s="2">
        <v>45839</v>
      </c>
      <c r="B8" t="s">
        <v>30</v>
      </c>
      <c r="C8" t="s">
        <v>22</v>
      </c>
      <c r="D8" s="3" t="str">
        <f t="shared" si="0"/>
        <v>PASS</v>
      </c>
      <c r="E8" s="3" t="str">
        <f t="shared" si="1"/>
        <v>PASS</v>
      </c>
      <c r="F8" s="3" t="str">
        <f t="shared" si="2"/>
        <v>PASS</v>
      </c>
      <c r="G8" s="3" t="str">
        <f t="shared" si="3"/>
        <v>FAIL</v>
      </c>
      <c r="H8" s="3">
        <v>56630044.460000001</v>
      </c>
      <c r="I8" s="4">
        <v>0</v>
      </c>
      <c r="J8" s="3">
        <v>50716842.210000001</v>
      </c>
      <c r="K8" s="3">
        <v>3644.97</v>
      </c>
      <c r="L8" s="3">
        <v>0</v>
      </c>
      <c r="M8" t="s">
        <v>23</v>
      </c>
      <c r="N8" t="s">
        <v>47</v>
      </c>
      <c r="O8" s="4">
        <v>0.2506125327632065</v>
      </c>
      <c r="P8" s="4">
        <v>0.7493874672367935</v>
      </c>
      <c r="Q8" t="s">
        <v>48</v>
      </c>
      <c r="R8" s="4">
        <v>6.0077334749413968E-6</v>
      </c>
      <c r="S8" s="3">
        <v>9582182.4299999997</v>
      </c>
      <c r="T8" s="4">
        <v>0.16920669092478399</v>
      </c>
    </row>
    <row r="9" spans="1:21" x14ac:dyDescent="0.4">
      <c r="A9" s="2">
        <v>45839</v>
      </c>
      <c r="B9" t="s">
        <v>31</v>
      </c>
      <c r="C9" t="s">
        <v>22</v>
      </c>
      <c r="D9" s="3" t="str">
        <f t="shared" si="0"/>
        <v>PASS</v>
      </c>
      <c r="E9" s="3" t="str">
        <f t="shared" si="1"/>
        <v>FAIL</v>
      </c>
      <c r="F9" s="3" t="str">
        <f t="shared" si="2"/>
        <v>PASS</v>
      </c>
      <c r="G9" s="3" t="str">
        <f t="shared" si="3"/>
        <v>FAIL</v>
      </c>
      <c r="H9" s="3">
        <v>40403372.140000001</v>
      </c>
      <c r="I9" s="4">
        <v>0</v>
      </c>
      <c r="J9" s="3">
        <v>34699227.520000003</v>
      </c>
      <c r="K9" s="3">
        <v>2522.54</v>
      </c>
      <c r="L9" s="3">
        <v>10983536.720000001</v>
      </c>
      <c r="M9" t="s">
        <v>49</v>
      </c>
      <c r="N9" t="s">
        <v>50</v>
      </c>
      <c r="O9" s="4">
        <v>0.25722956497678251</v>
      </c>
      <c r="P9" s="4">
        <v>0.7427704350232176</v>
      </c>
      <c r="Q9" t="s">
        <v>51</v>
      </c>
      <c r="R9" s="4">
        <v>6.0077334749413968E-6</v>
      </c>
      <c r="S9" s="3">
        <v>11046534.24</v>
      </c>
      <c r="T9" s="4">
        <v>0.27340624445214928</v>
      </c>
    </row>
    <row r="10" spans="1:21" x14ac:dyDescent="0.4">
      <c r="A10" s="2">
        <v>45839</v>
      </c>
      <c r="B10" t="s">
        <v>32</v>
      </c>
      <c r="C10" t="s">
        <v>22</v>
      </c>
      <c r="D10" s="3" t="str">
        <f t="shared" si="0"/>
        <v>PASS</v>
      </c>
      <c r="E10" s="3" t="str">
        <f t="shared" si="1"/>
        <v>PASS</v>
      </c>
      <c r="F10" s="3" t="str">
        <f t="shared" si="2"/>
        <v>PASS</v>
      </c>
      <c r="G10" s="3" t="str">
        <f t="shared" si="3"/>
        <v>FAIL</v>
      </c>
      <c r="H10" s="3">
        <v>78560583.510000005</v>
      </c>
      <c r="I10" s="4">
        <v>0</v>
      </c>
      <c r="J10" s="3">
        <v>69792249.980000004</v>
      </c>
      <c r="K10" s="3">
        <v>5073.47</v>
      </c>
      <c r="L10" s="3">
        <v>0</v>
      </c>
      <c r="M10" t="s">
        <v>23</v>
      </c>
      <c r="N10" t="s">
        <v>41</v>
      </c>
      <c r="O10" s="4">
        <v>0.25530366201270299</v>
      </c>
      <c r="P10" s="4">
        <v>0.74469633798729706</v>
      </c>
      <c r="Q10" t="s">
        <v>52</v>
      </c>
      <c r="R10" s="4">
        <v>6.0077334749413968E-6</v>
      </c>
      <c r="S10" s="3">
        <v>17564235.399999999</v>
      </c>
      <c r="T10" s="4">
        <v>0.2235756738971299</v>
      </c>
    </row>
    <row r="11" spans="1:21" x14ac:dyDescent="0.4">
      <c r="A11" s="2">
        <v>45840</v>
      </c>
      <c r="B11" t="s">
        <v>24</v>
      </c>
      <c r="C11" t="s">
        <v>22</v>
      </c>
      <c r="D11" s="3" t="str">
        <f t="shared" si="0"/>
        <v>PASS</v>
      </c>
      <c r="E11" s="3" t="str">
        <f t="shared" si="1"/>
        <v>PASS</v>
      </c>
      <c r="F11" s="3" t="str">
        <f t="shared" si="2"/>
        <v>PASS</v>
      </c>
      <c r="G11" s="3" t="str">
        <f t="shared" si="3"/>
        <v>PASS</v>
      </c>
      <c r="H11" s="3">
        <v>136477480.15000001</v>
      </c>
      <c r="I11" s="4">
        <v>0</v>
      </c>
      <c r="J11" s="3">
        <v>119233278.31999999</v>
      </c>
      <c r="K11" s="3">
        <v>8643.7800000000007</v>
      </c>
      <c r="L11" s="3">
        <v>0</v>
      </c>
      <c r="M11" t="s">
        <v>23</v>
      </c>
      <c r="N11" t="s">
        <v>23</v>
      </c>
      <c r="O11" s="4">
        <v>0</v>
      </c>
      <c r="P11" s="4">
        <v>1</v>
      </c>
      <c r="Q11" t="s">
        <v>23</v>
      </c>
      <c r="R11" s="4">
        <v>0</v>
      </c>
      <c r="S11" s="3">
        <v>0</v>
      </c>
      <c r="T11" s="4">
        <v>0</v>
      </c>
    </row>
    <row r="12" spans="1:21" x14ac:dyDescent="0.4">
      <c r="A12" s="2">
        <v>45840</v>
      </c>
      <c r="B12" t="s">
        <v>25</v>
      </c>
      <c r="C12" t="s">
        <v>22</v>
      </c>
      <c r="D12" s="3" t="str">
        <f t="shared" si="0"/>
        <v>PASS</v>
      </c>
      <c r="E12" s="3" t="str">
        <f t="shared" si="1"/>
        <v>PASS</v>
      </c>
      <c r="F12" s="3" t="str">
        <f t="shared" si="2"/>
        <v>PASS</v>
      </c>
      <c r="G12" s="3" t="str">
        <f t="shared" si="3"/>
        <v>PASS</v>
      </c>
      <c r="H12" s="3">
        <v>102410707.72</v>
      </c>
      <c r="I12" s="4">
        <v>0</v>
      </c>
      <c r="J12" s="3">
        <v>92145435.049999997</v>
      </c>
      <c r="K12" s="3">
        <v>6684.2</v>
      </c>
      <c r="L12" s="3">
        <v>0</v>
      </c>
      <c r="M12" t="s">
        <v>23</v>
      </c>
      <c r="N12" t="s">
        <v>23</v>
      </c>
      <c r="O12" s="4">
        <v>0</v>
      </c>
      <c r="P12" s="4">
        <v>1</v>
      </c>
      <c r="Q12" t="s">
        <v>23</v>
      </c>
      <c r="R12" s="4">
        <v>0</v>
      </c>
      <c r="S12" s="3">
        <v>0</v>
      </c>
      <c r="T12" s="4">
        <v>0</v>
      </c>
    </row>
    <row r="13" spans="1:21" x14ac:dyDescent="0.4">
      <c r="A13" s="2">
        <v>45840</v>
      </c>
      <c r="B13" t="s">
        <v>26</v>
      </c>
      <c r="C13" t="s">
        <v>22</v>
      </c>
      <c r="D13" s="3" t="str">
        <f t="shared" si="0"/>
        <v>PASS</v>
      </c>
      <c r="E13" s="3" t="str">
        <f t="shared" si="1"/>
        <v>PASS</v>
      </c>
      <c r="F13" s="3" t="str">
        <f t="shared" si="2"/>
        <v>PASS</v>
      </c>
      <c r="G13" s="3" t="str">
        <f t="shared" si="3"/>
        <v>PASS</v>
      </c>
      <c r="H13" s="3">
        <v>23748411.390000001</v>
      </c>
      <c r="I13" s="4">
        <v>0</v>
      </c>
      <c r="J13" s="3">
        <v>21411257.989999998</v>
      </c>
      <c r="K13" s="3">
        <v>1553.42</v>
      </c>
      <c r="L13" s="3">
        <v>0</v>
      </c>
      <c r="M13" t="s">
        <v>23</v>
      </c>
      <c r="N13" t="s">
        <v>23</v>
      </c>
      <c r="O13" s="4">
        <v>0</v>
      </c>
      <c r="P13" s="4">
        <v>1</v>
      </c>
      <c r="Q13" t="s">
        <v>23</v>
      </c>
      <c r="R13" s="4">
        <v>0</v>
      </c>
      <c r="S13" s="3">
        <v>0</v>
      </c>
      <c r="T13" s="4">
        <v>0</v>
      </c>
    </row>
    <row r="14" spans="1:21" x14ac:dyDescent="0.4">
      <c r="A14" s="2">
        <v>45840</v>
      </c>
      <c r="B14" t="s">
        <v>27</v>
      </c>
      <c r="C14" t="s">
        <v>22</v>
      </c>
      <c r="D14" s="3" t="str">
        <f t="shared" si="0"/>
        <v>PASS</v>
      </c>
      <c r="E14" s="3" t="str">
        <f t="shared" si="1"/>
        <v>PASS</v>
      </c>
      <c r="F14" s="3" t="str">
        <f t="shared" si="2"/>
        <v>PASS</v>
      </c>
      <c r="G14" s="3" t="str">
        <f t="shared" si="3"/>
        <v>PASS</v>
      </c>
      <c r="H14" s="3">
        <v>48894485.57</v>
      </c>
      <c r="I14" s="4">
        <v>0</v>
      </c>
      <c r="J14" s="3">
        <v>41150754.32</v>
      </c>
      <c r="K14" s="3">
        <v>2983.54</v>
      </c>
      <c r="L14" s="3">
        <v>0</v>
      </c>
      <c r="M14" t="s">
        <v>23</v>
      </c>
      <c r="N14" t="s">
        <v>23</v>
      </c>
      <c r="O14" s="4">
        <v>0</v>
      </c>
      <c r="P14" s="4">
        <v>1</v>
      </c>
      <c r="Q14" t="s">
        <v>23</v>
      </c>
      <c r="R14" s="4">
        <v>0</v>
      </c>
      <c r="S14" s="3">
        <v>0</v>
      </c>
      <c r="T14" s="4">
        <v>0</v>
      </c>
    </row>
    <row r="15" spans="1:21" x14ac:dyDescent="0.4">
      <c r="A15" s="2">
        <v>45840</v>
      </c>
      <c r="B15" t="s">
        <v>28</v>
      </c>
      <c r="C15" t="s">
        <v>22</v>
      </c>
      <c r="D15" s="3" t="str">
        <f t="shared" si="0"/>
        <v>PASS</v>
      </c>
      <c r="E15" s="3" t="str">
        <f t="shared" si="1"/>
        <v>PASS</v>
      </c>
      <c r="F15" s="3" t="str">
        <f t="shared" si="2"/>
        <v>PASS</v>
      </c>
      <c r="G15" s="3" t="str">
        <f t="shared" si="3"/>
        <v>PASS</v>
      </c>
      <c r="H15" s="3">
        <v>15417710.720000001</v>
      </c>
      <c r="I15" s="4">
        <v>0</v>
      </c>
      <c r="J15" s="3">
        <v>13550972.470000001</v>
      </c>
      <c r="K15" s="3">
        <v>983.39</v>
      </c>
      <c r="L15" s="3">
        <v>0</v>
      </c>
      <c r="M15" t="s">
        <v>23</v>
      </c>
      <c r="N15" t="s">
        <v>23</v>
      </c>
      <c r="O15" s="4">
        <v>0</v>
      </c>
      <c r="P15" s="4">
        <v>1</v>
      </c>
      <c r="Q15" t="s">
        <v>23</v>
      </c>
      <c r="R15" s="4">
        <v>0</v>
      </c>
      <c r="S15" s="3">
        <v>0</v>
      </c>
      <c r="T15" s="4">
        <v>0</v>
      </c>
    </row>
    <row r="16" spans="1:21" x14ac:dyDescent="0.4">
      <c r="A16" s="2">
        <v>45840</v>
      </c>
      <c r="B16" t="s">
        <v>29</v>
      </c>
      <c r="C16" t="s">
        <v>22</v>
      </c>
      <c r="D16" s="3" t="str">
        <f t="shared" si="0"/>
        <v>PASS</v>
      </c>
      <c r="E16" s="3" t="str">
        <f t="shared" si="1"/>
        <v>PASS</v>
      </c>
      <c r="F16" s="3" t="str">
        <f t="shared" si="2"/>
        <v>PASS</v>
      </c>
      <c r="G16" s="3" t="str">
        <f t="shared" si="3"/>
        <v>PASS</v>
      </c>
      <c r="H16" s="3">
        <v>34722874.920000002</v>
      </c>
      <c r="I16" s="4">
        <v>0</v>
      </c>
      <c r="J16" s="3">
        <v>32163420.710000001</v>
      </c>
      <c r="K16" s="3">
        <v>2332.2199999999998</v>
      </c>
      <c r="L16" s="3">
        <v>0</v>
      </c>
      <c r="M16" t="s">
        <v>23</v>
      </c>
      <c r="N16" t="s">
        <v>23</v>
      </c>
      <c r="O16" s="4">
        <v>0</v>
      </c>
      <c r="P16" s="4">
        <v>1</v>
      </c>
      <c r="Q16" t="s">
        <v>23</v>
      </c>
      <c r="R16" s="4">
        <v>0</v>
      </c>
      <c r="S16" s="3">
        <v>0</v>
      </c>
      <c r="T16" s="4">
        <v>0</v>
      </c>
    </row>
    <row r="17" spans="1:20" x14ac:dyDescent="0.4">
      <c r="A17" s="2">
        <v>45840</v>
      </c>
      <c r="B17" t="s">
        <v>30</v>
      </c>
      <c r="C17" t="s">
        <v>22</v>
      </c>
      <c r="D17" s="3" t="str">
        <f t="shared" si="0"/>
        <v>PASS</v>
      </c>
      <c r="E17" s="3" t="str">
        <f t="shared" si="1"/>
        <v>PASS</v>
      </c>
      <c r="F17" s="3" t="str">
        <f t="shared" si="2"/>
        <v>PASS</v>
      </c>
      <c r="G17" s="3" t="str">
        <f t="shared" si="3"/>
        <v>PASS</v>
      </c>
      <c r="H17" s="3">
        <v>56439343.659999996</v>
      </c>
      <c r="I17" s="4">
        <v>0</v>
      </c>
      <c r="J17" s="3">
        <v>50630326.969999999</v>
      </c>
      <c r="K17" s="3">
        <v>3682.86</v>
      </c>
      <c r="L17" s="3">
        <v>0</v>
      </c>
      <c r="M17" t="s">
        <v>23</v>
      </c>
      <c r="N17" t="s">
        <v>23</v>
      </c>
      <c r="O17" s="4">
        <v>0</v>
      </c>
      <c r="P17" s="4">
        <v>1</v>
      </c>
      <c r="Q17" t="s">
        <v>23</v>
      </c>
      <c r="R17" s="4">
        <v>0</v>
      </c>
      <c r="S17" s="3">
        <v>0</v>
      </c>
      <c r="T17" s="4">
        <v>0</v>
      </c>
    </row>
    <row r="18" spans="1:20" x14ac:dyDescent="0.4">
      <c r="A18" s="2">
        <v>45840</v>
      </c>
      <c r="B18" t="s">
        <v>31</v>
      </c>
      <c r="C18" t="s">
        <v>22</v>
      </c>
      <c r="D18" s="3" t="str">
        <f t="shared" si="0"/>
        <v>PASS</v>
      </c>
      <c r="E18" s="3" t="str">
        <f t="shared" si="1"/>
        <v>PASS</v>
      </c>
      <c r="F18" s="3" t="str">
        <f t="shared" si="2"/>
        <v>PASS</v>
      </c>
      <c r="G18" s="3" t="str">
        <f t="shared" si="3"/>
        <v>PASS</v>
      </c>
      <c r="H18" s="3">
        <v>40444067.530000001</v>
      </c>
      <c r="I18" s="4">
        <v>0</v>
      </c>
      <c r="J18" s="3">
        <v>34737497.219999999</v>
      </c>
      <c r="K18" s="3">
        <v>2519.94</v>
      </c>
      <c r="L18" s="3">
        <v>0</v>
      </c>
      <c r="M18" t="s">
        <v>23</v>
      </c>
      <c r="N18" t="s">
        <v>23</v>
      </c>
      <c r="O18" s="4">
        <v>0</v>
      </c>
      <c r="P18" s="4">
        <v>1</v>
      </c>
      <c r="Q18" t="s">
        <v>23</v>
      </c>
      <c r="R18" s="4">
        <v>0</v>
      </c>
      <c r="S18" s="3">
        <v>0</v>
      </c>
      <c r="T18" s="4">
        <v>0</v>
      </c>
    </row>
    <row r="19" spans="1:20" x14ac:dyDescent="0.4">
      <c r="A19" s="2">
        <v>45840</v>
      </c>
      <c r="B19" t="s">
        <v>32</v>
      </c>
      <c r="C19" t="s">
        <v>22</v>
      </c>
      <c r="D19" s="3" t="str">
        <f t="shared" si="0"/>
        <v>PASS</v>
      </c>
      <c r="E19" s="3" t="str">
        <f t="shared" si="1"/>
        <v>PASS</v>
      </c>
      <c r="F19" s="3" t="str">
        <f t="shared" si="2"/>
        <v>PASS</v>
      </c>
      <c r="G19" s="3" t="str">
        <f t="shared" si="3"/>
        <v>PASS</v>
      </c>
      <c r="H19" s="3">
        <v>78672552.829999998</v>
      </c>
      <c r="I19" s="4">
        <v>0</v>
      </c>
      <c r="J19" s="3">
        <v>69899339.340000004</v>
      </c>
      <c r="K19" s="3">
        <v>5067.82</v>
      </c>
      <c r="L19" s="3">
        <v>0</v>
      </c>
      <c r="M19" t="s">
        <v>23</v>
      </c>
      <c r="N19" t="s">
        <v>23</v>
      </c>
      <c r="O19" s="4">
        <v>0</v>
      </c>
      <c r="P19" s="4">
        <v>1</v>
      </c>
      <c r="Q19" t="s">
        <v>23</v>
      </c>
      <c r="R19" s="4">
        <v>0</v>
      </c>
      <c r="S19" s="3">
        <v>0</v>
      </c>
      <c r="T19" s="4">
        <v>0</v>
      </c>
    </row>
    <row r="20" spans="1:20" x14ac:dyDescent="0.4">
      <c r="A20" s="2">
        <v>45841</v>
      </c>
      <c r="B20" t="s">
        <v>24</v>
      </c>
      <c r="C20" t="s">
        <v>22</v>
      </c>
      <c r="D20" s="3" t="str">
        <f t="shared" si="0"/>
        <v>PASS</v>
      </c>
      <c r="E20" s="3" t="str">
        <f t="shared" si="1"/>
        <v>PASS</v>
      </c>
      <c r="F20" s="3" t="str">
        <f t="shared" si="2"/>
        <v>PASS</v>
      </c>
      <c r="G20" s="3" t="str">
        <f t="shared" si="3"/>
        <v>PASS</v>
      </c>
      <c r="H20" s="3">
        <v>136891485.50999999</v>
      </c>
      <c r="I20" s="4">
        <v>0</v>
      </c>
      <c r="J20" s="3">
        <v>119634593.2</v>
      </c>
      <c r="K20" s="3">
        <v>34628.839999999997</v>
      </c>
      <c r="L20" s="3">
        <v>0</v>
      </c>
      <c r="M20" t="s">
        <v>23</v>
      </c>
      <c r="N20" t="s">
        <v>23</v>
      </c>
      <c r="O20" s="4">
        <v>0</v>
      </c>
      <c r="P20" s="4">
        <v>1</v>
      </c>
      <c r="Q20" t="s">
        <v>23</v>
      </c>
      <c r="R20" s="4">
        <v>0</v>
      </c>
      <c r="S20" s="3">
        <v>0</v>
      </c>
      <c r="T20" s="4">
        <v>0</v>
      </c>
    </row>
    <row r="21" spans="1:20" x14ac:dyDescent="0.4">
      <c r="A21" s="2">
        <v>45841</v>
      </c>
      <c r="B21" t="s">
        <v>25</v>
      </c>
      <c r="C21" t="s">
        <v>22</v>
      </c>
      <c r="D21" s="3" t="str">
        <f t="shared" si="0"/>
        <v>PASS</v>
      </c>
      <c r="E21" s="3" t="str">
        <f t="shared" si="1"/>
        <v>PASS</v>
      </c>
      <c r="F21" s="3" t="str">
        <f t="shared" si="2"/>
        <v>PASS</v>
      </c>
      <c r="G21" s="3" t="str">
        <f t="shared" si="3"/>
        <v>PASS</v>
      </c>
      <c r="H21" s="3">
        <v>102636930.90000001</v>
      </c>
      <c r="I21" s="4">
        <v>0</v>
      </c>
      <c r="J21" s="3">
        <v>92363332.189999998</v>
      </c>
      <c r="K21" s="3">
        <v>26762.76</v>
      </c>
      <c r="L21" s="3">
        <v>0</v>
      </c>
      <c r="M21" t="s">
        <v>23</v>
      </c>
      <c r="N21" t="s">
        <v>23</v>
      </c>
      <c r="O21" s="4">
        <v>0</v>
      </c>
      <c r="P21" s="4">
        <v>1</v>
      </c>
      <c r="Q21" t="s">
        <v>23</v>
      </c>
      <c r="R21" s="4">
        <v>0</v>
      </c>
      <c r="S21" s="3">
        <v>0</v>
      </c>
      <c r="T21" s="4">
        <v>0</v>
      </c>
    </row>
    <row r="22" spans="1:20" x14ac:dyDescent="0.4">
      <c r="A22" s="2">
        <v>45841</v>
      </c>
      <c r="B22" t="s">
        <v>26</v>
      </c>
      <c r="C22" t="s">
        <v>22</v>
      </c>
      <c r="D22" s="3" t="str">
        <f t="shared" si="0"/>
        <v>PASS</v>
      </c>
      <c r="E22" s="3" t="str">
        <f t="shared" si="1"/>
        <v>PASS</v>
      </c>
      <c r="F22" s="3" t="str">
        <f t="shared" si="2"/>
        <v>PASS</v>
      </c>
      <c r="G22" s="3" t="str">
        <f t="shared" si="3"/>
        <v>PASS</v>
      </c>
      <c r="H22" s="3">
        <v>23811981.359999999</v>
      </c>
      <c r="I22" s="4">
        <v>0</v>
      </c>
      <c r="J22" s="3">
        <v>21472802.27</v>
      </c>
      <c r="K22" s="3">
        <v>6220.92</v>
      </c>
      <c r="L22" s="3">
        <v>0</v>
      </c>
      <c r="M22" t="s">
        <v>23</v>
      </c>
      <c r="N22" t="s">
        <v>23</v>
      </c>
      <c r="O22" s="4">
        <v>0</v>
      </c>
      <c r="P22" s="4">
        <v>1</v>
      </c>
      <c r="Q22" t="s">
        <v>23</v>
      </c>
      <c r="R22" s="4">
        <v>0</v>
      </c>
      <c r="S22" s="3">
        <v>0</v>
      </c>
      <c r="T22" s="4">
        <v>0</v>
      </c>
    </row>
    <row r="23" spans="1:20" x14ac:dyDescent="0.4">
      <c r="A23" s="2">
        <v>45841</v>
      </c>
      <c r="B23" t="s">
        <v>27</v>
      </c>
      <c r="C23" t="s">
        <v>22</v>
      </c>
      <c r="D23" s="3" t="str">
        <f t="shared" si="0"/>
        <v>PASS</v>
      </c>
      <c r="E23" s="3" t="str">
        <f t="shared" si="1"/>
        <v>PASS</v>
      </c>
      <c r="F23" s="3" t="str">
        <f t="shared" si="2"/>
        <v>PASS</v>
      </c>
      <c r="G23" s="3" t="str">
        <f t="shared" si="3"/>
        <v>PASS</v>
      </c>
      <c r="H23" s="3">
        <v>49057601.939999998</v>
      </c>
      <c r="I23" s="4">
        <v>0</v>
      </c>
      <c r="J23" s="3">
        <v>41308790.659999996</v>
      </c>
      <c r="K23" s="3">
        <v>11952.84</v>
      </c>
      <c r="L23" s="3">
        <v>0</v>
      </c>
      <c r="M23" t="s">
        <v>23</v>
      </c>
      <c r="N23" t="s">
        <v>23</v>
      </c>
      <c r="O23" s="4">
        <v>0</v>
      </c>
      <c r="P23" s="4">
        <v>1</v>
      </c>
      <c r="Q23" t="s">
        <v>23</v>
      </c>
      <c r="R23" s="4">
        <v>0</v>
      </c>
      <c r="S23" s="3">
        <v>0</v>
      </c>
      <c r="T23" s="4">
        <v>0</v>
      </c>
    </row>
    <row r="24" spans="1:20" x14ac:dyDescent="0.4">
      <c r="A24" s="2">
        <v>45841</v>
      </c>
      <c r="B24" t="s">
        <v>28</v>
      </c>
      <c r="C24" t="s">
        <v>22</v>
      </c>
      <c r="D24" s="3" t="str">
        <f t="shared" si="0"/>
        <v>PASS</v>
      </c>
      <c r="E24" s="3" t="str">
        <f t="shared" si="1"/>
        <v>PASS</v>
      </c>
      <c r="F24" s="3" t="str">
        <f t="shared" si="2"/>
        <v>PASS</v>
      </c>
      <c r="G24" s="3" t="str">
        <f t="shared" si="3"/>
        <v>PASS</v>
      </c>
      <c r="H24" s="3">
        <v>15460727.779999999</v>
      </c>
      <c r="I24" s="4">
        <v>0</v>
      </c>
      <c r="J24" s="3">
        <v>13592575.73</v>
      </c>
      <c r="K24" s="3">
        <v>3938.2</v>
      </c>
      <c r="L24" s="3">
        <v>0</v>
      </c>
      <c r="M24" t="s">
        <v>23</v>
      </c>
      <c r="N24" t="s">
        <v>23</v>
      </c>
      <c r="O24" s="4">
        <v>0</v>
      </c>
      <c r="P24" s="4">
        <v>1</v>
      </c>
      <c r="Q24" t="s">
        <v>23</v>
      </c>
      <c r="R24" s="4">
        <v>0</v>
      </c>
      <c r="S24" s="3">
        <v>0</v>
      </c>
      <c r="T24" s="4">
        <v>0</v>
      </c>
    </row>
    <row r="25" spans="1:20" x14ac:dyDescent="0.4">
      <c r="A25" s="2">
        <v>45841</v>
      </c>
      <c r="B25" t="s">
        <v>29</v>
      </c>
      <c r="C25" t="s">
        <v>22</v>
      </c>
      <c r="D25" s="3" t="str">
        <f t="shared" si="0"/>
        <v>PASS</v>
      </c>
      <c r="E25" s="3" t="str">
        <f t="shared" si="1"/>
        <v>PASS</v>
      </c>
      <c r="F25" s="3" t="str">
        <f t="shared" si="2"/>
        <v>PASS</v>
      </c>
      <c r="G25" s="3" t="str">
        <f t="shared" si="3"/>
        <v>PASS</v>
      </c>
      <c r="H25" s="3">
        <v>34844474.310000002</v>
      </c>
      <c r="I25" s="4">
        <v>0</v>
      </c>
      <c r="J25" s="3">
        <v>32282393.440000001</v>
      </c>
      <c r="K25" s="3">
        <v>9343.44</v>
      </c>
      <c r="L25" s="3">
        <v>0</v>
      </c>
      <c r="M25" t="s">
        <v>23</v>
      </c>
      <c r="N25" t="s">
        <v>23</v>
      </c>
      <c r="O25" s="4">
        <v>0</v>
      </c>
      <c r="P25" s="4">
        <v>1</v>
      </c>
      <c r="Q25" t="s">
        <v>23</v>
      </c>
      <c r="R25" s="4">
        <v>0</v>
      </c>
      <c r="S25" s="3">
        <v>0</v>
      </c>
      <c r="T25" s="4">
        <v>0</v>
      </c>
    </row>
    <row r="26" spans="1:20" x14ac:dyDescent="0.4">
      <c r="A26" s="2">
        <v>45841</v>
      </c>
      <c r="B26" t="s">
        <v>30</v>
      </c>
      <c r="C26" t="s">
        <v>22</v>
      </c>
      <c r="D26" s="3" t="str">
        <f t="shared" si="0"/>
        <v>PASS</v>
      </c>
      <c r="E26" s="3" t="str">
        <f t="shared" si="1"/>
        <v>PASS</v>
      </c>
      <c r="F26" s="3" t="str">
        <f t="shared" si="2"/>
        <v>PASS</v>
      </c>
      <c r="G26" s="3" t="str">
        <f t="shared" si="3"/>
        <v>PASS</v>
      </c>
      <c r="H26" s="3">
        <v>55725283.299999997</v>
      </c>
      <c r="I26" s="4">
        <v>0</v>
      </c>
      <c r="J26" s="3">
        <v>50526708.100000001</v>
      </c>
      <c r="K26" s="3">
        <v>14706.32</v>
      </c>
      <c r="L26" s="3">
        <v>0</v>
      </c>
      <c r="M26" t="s">
        <v>23</v>
      </c>
      <c r="N26" t="s">
        <v>23</v>
      </c>
      <c r="O26" s="4">
        <v>0</v>
      </c>
      <c r="P26" s="4">
        <v>1</v>
      </c>
      <c r="Q26" t="s">
        <v>23</v>
      </c>
      <c r="R26" s="4">
        <v>0</v>
      </c>
      <c r="S26" s="3">
        <v>0</v>
      </c>
      <c r="T26" s="4">
        <v>0</v>
      </c>
    </row>
    <row r="27" spans="1:20" x14ac:dyDescent="0.4">
      <c r="A27" s="2">
        <v>45841</v>
      </c>
      <c r="B27" t="s">
        <v>31</v>
      </c>
      <c r="C27" t="s">
        <v>22</v>
      </c>
      <c r="D27" s="3" t="str">
        <f t="shared" si="0"/>
        <v>PASS</v>
      </c>
      <c r="E27" s="3" t="str">
        <f t="shared" si="1"/>
        <v>PASS</v>
      </c>
      <c r="F27" s="3" t="str">
        <f t="shared" si="2"/>
        <v>PASS</v>
      </c>
      <c r="G27" s="3" t="str">
        <f t="shared" si="3"/>
        <v>PASS</v>
      </c>
      <c r="H27" s="3">
        <v>40545149.350000001</v>
      </c>
      <c r="I27" s="4">
        <v>0</v>
      </c>
      <c r="J27" s="3">
        <v>34834447.75</v>
      </c>
      <c r="K27" s="3">
        <v>10090.879999999999</v>
      </c>
      <c r="L27" s="3">
        <v>0</v>
      </c>
      <c r="M27" t="s">
        <v>23</v>
      </c>
      <c r="N27" t="s">
        <v>23</v>
      </c>
      <c r="O27" s="4">
        <v>0</v>
      </c>
      <c r="P27" s="4">
        <v>1</v>
      </c>
      <c r="Q27" t="s">
        <v>23</v>
      </c>
      <c r="R27" s="4">
        <v>0</v>
      </c>
      <c r="S27" s="3">
        <v>0</v>
      </c>
      <c r="T27" s="4">
        <v>0</v>
      </c>
    </row>
    <row r="28" spans="1:20" x14ac:dyDescent="0.4">
      <c r="A28" s="2">
        <v>45841</v>
      </c>
      <c r="B28" t="s">
        <v>32</v>
      </c>
      <c r="C28" t="s">
        <v>22</v>
      </c>
      <c r="D28" s="3" t="str">
        <f t="shared" si="0"/>
        <v>PASS</v>
      </c>
      <c r="E28" s="3" t="str">
        <f t="shared" si="1"/>
        <v>PASS</v>
      </c>
      <c r="F28" s="3" t="str">
        <f t="shared" si="2"/>
        <v>PASS</v>
      </c>
      <c r="G28" s="3" t="str">
        <f t="shared" si="3"/>
        <v>PASS</v>
      </c>
      <c r="H28" s="3">
        <v>78944570.549999997</v>
      </c>
      <c r="I28" s="4">
        <v>0</v>
      </c>
      <c r="J28" s="3">
        <v>70162542.590000004</v>
      </c>
      <c r="K28" s="3">
        <v>20302.36</v>
      </c>
      <c r="L28" s="3">
        <v>0</v>
      </c>
      <c r="M28" t="s">
        <v>23</v>
      </c>
      <c r="N28" t="s">
        <v>23</v>
      </c>
      <c r="O28" s="4">
        <v>0</v>
      </c>
      <c r="P28" s="4">
        <v>1</v>
      </c>
      <c r="Q28" t="s">
        <v>23</v>
      </c>
      <c r="R28" s="4">
        <v>0</v>
      </c>
      <c r="S28" s="3">
        <v>0</v>
      </c>
      <c r="T28" s="4">
        <v>0</v>
      </c>
    </row>
    <row r="29" spans="1:20" x14ac:dyDescent="0.4">
      <c r="A29" s="2">
        <v>45845</v>
      </c>
      <c r="B29" t="s">
        <v>24</v>
      </c>
      <c r="C29" t="s">
        <v>22</v>
      </c>
      <c r="D29" s="3" t="str">
        <f t="shared" si="0"/>
        <v>PASS</v>
      </c>
      <c r="E29" s="3" t="str">
        <f t="shared" si="1"/>
        <v>PASS</v>
      </c>
      <c r="F29" s="3" t="str">
        <f t="shared" si="2"/>
        <v>PASS</v>
      </c>
      <c r="G29" s="3" t="str">
        <f t="shared" si="3"/>
        <v>PASS</v>
      </c>
      <c r="H29" s="3">
        <v>136555744.58000001</v>
      </c>
      <c r="I29" s="4">
        <v>0</v>
      </c>
      <c r="J29" s="3">
        <v>119349777.22</v>
      </c>
      <c r="K29" s="3">
        <v>8686.35</v>
      </c>
      <c r="L29" s="3">
        <v>0</v>
      </c>
      <c r="M29" t="s">
        <v>23</v>
      </c>
      <c r="N29" t="s">
        <v>23</v>
      </c>
      <c r="O29" s="4">
        <v>0</v>
      </c>
      <c r="P29" s="4">
        <v>1</v>
      </c>
      <c r="Q29" t="s">
        <v>23</v>
      </c>
      <c r="R29" s="4">
        <v>0</v>
      </c>
      <c r="S29" s="3">
        <v>0</v>
      </c>
      <c r="T29" s="4">
        <v>0</v>
      </c>
    </row>
    <row r="30" spans="1:20" x14ac:dyDescent="0.4">
      <c r="A30" s="2">
        <v>45845</v>
      </c>
      <c r="B30" t="s">
        <v>25</v>
      </c>
      <c r="C30" t="s">
        <v>22</v>
      </c>
      <c r="D30" s="3" t="str">
        <f t="shared" si="0"/>
        <v>PASS</v>
      </c>
      <c r="E30" s="3" t="str">
        <f t="shared" si="1"/>
        <v>PASS</v>
      </c>
      <c r="F30" s="3" t="str">
        <f t="shared" si="2"/>
        <v>PASS</v>
      </c>
      <c r="G30" s="3" t="str">
        <f t="shared" si="3"/>
        <v>PASS</v>
      </c>
      <c r="H30" s="3">
        <v>102477420.83</v>
      </c>
      <c r="I30" s="4">
        <v>0</v>
      </c>
      <c r="J30" s="3">
        <v>92236078.019999996</v>
      </c>
      <c r="K30" s="3">
        <v>6706.51</v>
      </c>
      <c r="L30" s="3">
        <v>0</v>
      </c>
      <c r="M30" t="s">
        <v>23</v>
      </c>
      <c r="N30" t="s">
        <v>23</v>
      </c>
      <c r="O30" s="4">
        <v>0</v>
      </c>
      <c r="P30" s="4">
        <v>1</v>
      </c>
      <c r="Q30" t="s">
        <v>23</v>
      </c>
      <c r="R30" s="4">
        <v>0</v>
      </c>
      <c r="S30" s="3">
        <v>0</v>
      </c>
      <c r="T30" s="4">
        <v>0</v>
      </c>
    </row>
    <row r="31" spans="1:20" x14ac:dyDescent="0.4">
      <c r="A31" s="2">
        <v>45845</v>
      </c>
      <c r="B31" t="s">
        <v>26</v>
      </c>
      <c r="C31" t="s">
        <v>22</v>
      </c>
      <c r="D31" s="3" t="str">
        <f t="shared" si="0"/>
        <v>PASS</v>
      </c>
      <c r="E31" s="3" t="str">
        <f t="shared" si="1"/>
        <v>PASS</v>
      </c>
      <c r="F31" s="3" t="str">
        <f t="shared" si="2"/>
        <v>PASS</v>
      </c>
      <c r="G31" s="3" t="str">
        <f t="shared" si="3"/>
        <v>PASS</v>
      </c>
      <c r="H31" s="3">
        <v>23767256.859999999</v>
      </c>
      <c r="I31" s="4">
        <v>0</v>
      </c>
      <c r="J31" s="3">
        <v>21437073.870000001</v>
      </c>
      <c r="K31" s="3">
        <v>1559.69</v>
      </c>
      <c r="L31" s="3">
        <v>0</v>
      </c>
      <c r="M31" t="s">
        <v>23</v>
      </c>
      <c r="N31" t="s">
        <v>23</v>
      </c>
      <c r="O31" s="4">
        <v>0</v>
      </c>
      <c r="P31" s="4">
        <v>1</v>
      </c>
      <c r="Q31" t="s">
        <v>23</v>
      </c>
      <c r="R31" s="4">
        <v>0</v>
      </c>
      <c r="S31" s="3">
        <v>0</v>
      </c>
      <c r="T31" s="4">
        <v>0</v>
      </c>
    </row>
    <row r="32" spans="1:20" x14ac:dyDescent="0.4">
      <c r="A32" s="2">
        <v>45845</v>
      </c>
      <c r="B32" t="s">
        <v>27</v>
      </c>
      <c r="C32" t="s">
        <v>22</v>
      </c>
      <c r="D32" s="3" t="str">
        <f t="shared" si="0"/>
        <v>PASS</v>
      </c>
      <c r="E32" s="3" t="str">
        <f t="shared" si="1"/>
        <v>PASS</v>
      </c>
      <c r="F32" s="3" t="str">
        <f t="shared" si="2"/>
        <v>PASS</v>
      </c>
      <c r="G32" s="3" t="str">
        <f t="shared" si="3"/>
        <v>PASS</v>
      </c>
      <c r="H32" s="3">
        <v>48916880.200000003</v>
      </c>
      <c r="I32" s="4">
        <v>0</v>
      </c>
      <c r="J32" s="3">
        <v>41180752.390000001</v>
      </c>
      <c r="K32" s="3">
        <v>2999.68</v>
      </c>
      <c r="L32" s="3">
        <v>0</v>
      </c>
      <c r="M32" t="s">
        <v>23</v>
      </c>
      <c r="N32" t="s">
        <v>23</v>
      </c>
      <c r="O32" s="4">
        <v>0</v>
      </c>
      <c r="P32" s="4">
        <v>1</v>
      </c>
      <c r="Q32" t="s">
        <v>23</v>
      </c>
      <c r="R32" s="4">
        <v>0</v>
      </c>
      <c r="S32" s="3">
        <v>0</v>
      </c>
      <c r="T32" s="4">
        <v>0</v>
      </c>
    </row>
    <row r="33" spans="1:20" x14ac:dyDescent="0.4">
      <c r="A33" s="2">
        <v>45845</v>
      </c>
      <c r="B33" t="s">
        <v>28</v>
      </c>
      <c r="C33" t="s">
        <v>22</v>
      </c>
      <c r="D33" s="3" t="str">
        <f t="shared" si="0"/>
        <v>PASS</v>
      </c>
      <c r="E33" s="3" t="str">
        <f t="shared" si="1"/>
        <v>PASS</v>
      </c>
      <c r="F33" s="3" t="str">
        <f t="shared" si="2"/>
        <v>PASS</v>
      </c>
      <c r="G33" s="3" t="str">
        <f t="shared" si="3"/>
        <v>PASS</v>
      </c>
      <c r="H33" s="3">
        <v>15426847.99</v>
      </c>
      <c r="I33" s="4">
        <v>0</v>
      </c>
      <c r="J33" s="3">
        <v>13562433.949999999</v>
      </c>
      <c r="K33" s="3">
        <v>987.57</v>
      </c>
      <c r="L33" s="3">
        <v>0</v>
      </c>
      <c r="M33" t="s">
        <v>23</v>
      </c>
      <c r="N33" t="s">
        <v>23</v>
      </c>
      <c r="O33" s="4">
        <v>0</v>
      </c>
      <c r="P33" s="4">
        <v>1</v>
      </c>
      <c r="Q33" t="s">
        <v>23</v>
      </c>
      <c r="R33" s="4">
        <v>0</v>
      </c>
      <c r="S33" s="3">
        <v>0</v>
      </c>
      <c r="T33" s="4">
        <v>0</v>
      </c>
    </row>
    <row r="34" spans="1:20" x14ac:dyDescent="0.4">
      <c r="A34" s="2">
        <v>45845</v>
      </c>
      <c r="B34" t="s">
        <v>29</v>
      </c>
      <c r="C34" t="s">
        <v>22</v>
      </c>
      <c r="D34" s="3" t="str">
        <f t="shared" si="0"/>
        <v>PASS</v>
      </c>
      <c r="E34" s="3" t="str">
        <f t="shared" si="1"/>
        <v>PASS</v>
      </c>
      <c r="F34" s="3" t="str">
        <f t="shared" si="2"/>
        <v>PASS</v>
      </c>
      <c r="G34" s="3" t="str">
        <f t="shared" si="3"/>
        <v>PASS</v>
      </c>
      <c r="H34" s="3">
        <v>34747693.200000003</v>
      </c>
      <c r="I34" s="4">
        <v>0</v>
      </c>
      <c r="J34" s="3">
        <v>32197416.920000002</v>
      </c>
      <c r="K34" s="3">
        <v>2344.5</v>
      </c>
      <c r="L34" s="3">
        <v>0</v>
      </c>
      <c r="M34" t="s">
        <v>23</v>
      </c>
      <c r="N34" t="s">
        <v>23</v>
      </c>
      <c r="O34" s="4">
        <v>0</v>
      </c>
      <c r="P34" s="4">
        <v>1</v>
      </c>
      <c r="Q34" t="s">
        <v>23</v>
      </c>
      <c r="R34" s="4">
        <v>0</v>
      </c>
      <c r="S34" s="3">
        <v>0</v>
      </c>
      <c r="T34" s="4">
        <v>0</v>
      </c>
    </row>
    <row r="35" spans="1:20" x14ac:dyDescent="0.4">
      <c r="A35" s="2">
        <v>45845</v>
      </c>
      <c r="B35" t="s">
        <v>30</v>
      </c>
      <c r="C35" t="s">
        <v>22</v>
      </c>
      <c r="D35" s="3" t="str">
        <f t="shared" si="0"/>
        <v>PASS</v>
      </c>
      <c r="E35" s="3" t="str">
        <f t="shared" si="1"/>
        <v>PASS</v>
      </c>
      <c r="F35" s="3" t="str">
        <f t="shared" si="2"/>
        <v>PASS</v>
      </c>
      <c r="G35" s="3" t="str">
        <f t="shared" si="3"/>
        <v>PASS</v>
      </c>
      <c r="H35" s="3">
        <v>55604661.090000004</v>
      </c>
      <c r="I35" s="4">
        <v>0</v>
      </c>
      <c r="J35" s="3">
        <v>50361358.310000002</v>
      </c>
      <c r="K35" s="3">
        <v>3669.06</v>
      </c>
      <c r="L35" s="3">
        <v>0</v>
      </c>
      <c r="M35" t="s">
        <v>23</v>
      </c>
      <c r="N35" t="s">
        <v>23</v>
      </c>
      <c r="O35" s="4">
        <v>0</v>
      </c>
      <c r="P35" s="4">
        <v>1</v>
      </c>
      <c r="Q35" t="s">
        <v>23</v>
      </c>
      <c r="R35" s="4">
        <v>0</v>
      </c>
      <c r="S35" s="3">
        <v>0</v>
      </c>
      <c r="T35" s="4">
        <v>0</v>
      </c>
    </row>
    <row r="36" spans="1:20" x14ac:dyDescent="0.4">
      <c r="A36" s="2">
        <v>45845</v>
      </c>
      <c r="B36" t="s">
        <v>31</v>
      </c>
      <c r="C36" t="s">
        <v>22</v>
      </c>
      <c r="D36" s="3" t="str">
        <f t="shared" si="0"/>
        <v>PASS</v>
      </c>
      <c r="E36" s="3" t="str">
        <f t="shared" si="1"/>
        <v>PASS</v>
      </c>
      <c r="F36" s="3" t="str">
        <f t="shared" si="2"/>
        <v>PASS</v>
      </c>
      <c r="G36" s="3" t="str">
        <f t="shared" si="3"/>
        <v>PASS</v>
      </c>
      <c r="H36" s="3">
        <v>40464457.259999998</v>
      </c>
      <c r="I36" s="4">
        <v>0</v>
      </c>
      <c r="J36" s="3">
        <v>34761319.310000002</v>
      </c>
      <c r="K36" s="3">
        <v>2529.7600000000002</v>
      </c>
      <c r="L36" s="3">
        <v>0</v>
      </c>
      <c r="M36" t="s">
        <v>23</v>
      </c>
      <c r="N36" t="s">
        <v>23</v>
      </c>
      <c r="O36" s="4">
        <v>0</v>
      </c>
      <c r="P36" s="4">
        <v>1</v>
      </c>
      <c r="Q36" t="s">
        <v>23</v>
      </c>
      <c r="R36" s="4">
        <v>0</v>
      </c>
      <c r="S36" s="3">
        <v>0</v>
      </c>
      <c r="T36" s="4">
        <v>0</v>
      </c>
    </row>
    <row r="37" spans="1:20" x14ac:dyDescent="0.4">
      <c r="A37" s="2">
        <v>45845</v>
      </c>
      <c r="B37" t="s">
        <v>32</v>
      </c>
      <c r="C37" t="s">
        <v>22</v>
      </c>
      <c r="D37" s="3" t="str">
        <f t="shared" ref="D37:D88" si="4">IF(J37/H37&gt;=0.75,"PASS","FAIL")</f>
        <v>PASS</v>
      </c>
      <c r="E37" s="3" t="str">
        <f t="shared" ref="E37:E88" si="5">IF(L37=0,"PASS","FAIL")</f>
        <v>PASS</v>
      </c>
      <c r="F37" s="3" t="str">
        <f t="shared" ref="F37:F88" si="6">IF(R37="","",IF(R37&lt;=0.1,"PASS","FAIL"))</f>
        <v>PASS</v>
      </c>
      <c r="G37" s="3" t="str">
        <f t="shared" ref="G37:G88" si="7">IF(S37=0,"PASS",IF(S37&lt;=0.05*J37,"PASS","FAIL"))</f>
        <v>PASS</v>
      </c>
      <c r="H37" s="3">
        <v>78723430.109999999</v>
      </c>
      <c r="I37" s="4">
        <v>0</v>
      </c>
      <c r="J37" s="3">
        <v>69958207.769999996</v>
      </c>
      <c r="K37" s="3">
        <v>5094.7</v>
      </c>
      <c r="L37" s="3">
        <v>0</v>
      </c>
      <c r="M37" t="s">
        <v>23</v>
      </c>
      <c r="N37" t="s">
        <v>23</v>
      </c>
      <c r="O37" s="4">
        <v>0</v>
      </c>
      <c r="P37" s="4">
        <v>1</v>
      </c>
      <c r="Q37" t="s">
        <v>23</v>
      </c>
      <c r="R37" s="4">
        <v>0</v>
      </c>
      <c r="S37" s="3">
        <v>0</v>
      </c>
      <c r="T37" s="4">
        <v>0</v>
      </c>
    </row>
    <row r="38" spans="1:20" x14ac:dyDescent="0.4">
      <c r="A38" s="2">
        <v>45846</v>
      </c>
      <c r="B38" t="s">
        <v>24</v>
      </c>
      <c r="C38" t="s">
        <v>22</v>
      </c>
      <c r="D38" s="3" t="str">
        <f t="shared" si="4"/>
        <v>PASS</v>
      </c>
      <c r="E38" s="3" t="str">
        <f t="shared" si="5"/>
        <v>PASS</v>
      </c>
      <c r="F38" s="3" t="str">
        <f t="shared" si="6"/>
        <v>PASS</v>
      </c>
      <c r="G38" s="3" t="str">
        <f t="shared" si="7"/>
        <v>PASS</v>
      </c>
      <c r="H38" s="3">
        <v>136276948.97999999</v>
      </c>
      <c r="I38" s="4">
        <v>0</v>
      </c>
      <c r="J38" s="3">
        <v>119062316.5</v>
      </c>
      <c r="K38" s="3">
        <v>8665.67</v>
      </c>
      <c r="L38" s="3">
        <v>0</v>
      </c>
      <c r="M38" t="s">
        <v>23</v>
      </c>
      <c r="N38" t="s">
        <v>23</v>
      </c>
      <c r="O38" s="4">
        <v>0</v>
      </c>
      <c r="P38" s="4">
        <v>1</v>
      </c>
      <c r="Q38" t="s">
        <v>23</v>
      </c>
      <c r="R38" s="4">
        <v>0</v>
      </c>
      <c r="S38" s="3">
        <v>0</v>
      </c>
      <c r="T38" s="4">
        <v>0</v>
      </c>
    </row>
    <row r="39" spans="1:20" x14ac:dyDescent="0.4">
      <c r="A39" s="2">
        <v>45846</v>
      </c>
      <c r="B39" t="s">
        <v>25</v>
      </c>
      <c r="C39" t="s">
        <v>22</v>
      </c>
      <c r="D39" s="3" t="str">
        <f t="shared" si="4"/>
        <v>PASS</v>
      </c>
      <c r="E39" s="3" t="str">
        <f t="shared" si="5"/>
        <v>PASS</v>
      </c>
      <c r="F39" s="3" t="str">
        <f t="shared" si="6"/>
        <v>PASS</v>
      </c>
      <c r="G39" s="3" t="str">
        <f t="shared" si="7"/>
        <v>PASS</v>
      </c>
      <c r="H39" s="3">
        <v>102246271.92</v>
      </c>
      <c r="I39" s="4">
        <v>0</v>
      </c>
      <c r="J39" s="3">
        <v>91998232.519999996</v>
      </c>
      <c r="K39" s="3">
        <v>6697.27</v>
      </c>
      <c r="L39" s="3">
        <v>0</v>
      </c>
      <c r="M39" t="s">
        <v>23</v>
      </c>
      <c r="N39" t="s">
        <v>23</v>
      </c>
      <c r="O39" s="4">
        <v>0</v>
      </c>
      <c r="P39" s="4">
        <v>1</v>
      </c>
      <c r="Q39" t="s">
        <v>23</v>
      </c>
      <c r="R39" s="4">
        <v>0</v>
      </c>
      <c r="S39" s="3">
        <v>0</v>
      </c>
      <c r="T39" s="4">
        <v>0</v>
      </c>
    </row>
    <row r="40" spans="1:20" x14ac:dyDescent="0.4">
      <c r="A40" s="2">
        <v>45846</v>
      </c>
      <c r="B40" t="s">
        <v>26</v>
      </c>
      <c r="C40" t="s">
        <v>22</v>
      </c>
      <c r="D40" s="3" t="str">
        <f t="shared" si="4"/>
        <v>PASS</v>
      </c>
      <c r="E40" s="3" t="str">
        <f t="shared" si="5"/>
        <v>PASS</v>
      </c>
      <c r="F40" s="3" t="str">
        <f t="shared" si="6"/>
        <v>PASS</v>
      </c>
      <c r="G40" s="3" t="str">
        <f t="shared" si="7"/>
        <v>PASS</v>
      </c>
      <c r="H40" s="3">
        <v>23711914</v>
      </c>
      <c r="I40" s="4">
        <v>0</v>
      </c>
      <c r="J40" s="3">
        <v>21380174.620000001</v>
      </c>
      <c r="K40" s="3">
        <v>1557.1</v>
      </c>
      <c r="L40" s="3">
        <v>0</v>
      </c>
      <c r="M40" t="s">
        <v>23</v>
      </c>
      <c r="N40" t="s">
        <v>23</v>
      </c>
      <c r="O40" s="4">
        <v>0</v>
      </c>
      <c r="P40" s="4">
        <v>1</v>
      </c>
      <c r="Q40" t="s">
        <v>23</v>
      </c>
      <c r="R40" s="4">
        <v>0</v>
      </c>
      <c r="S40" s="3">
        <v>0</v>
      </c>
      <c r="T40" s="4">
        <v>0</v>
      </c>
    </row>
    <row r="41" spans="1:20" x14ac:dyDescent="0.4">
      <c r="A41" s="2">
        <v>45846</v>
      </c>
      <c r="B41" t="s">
        <v>27</v>
      </c>
      <c r="C41" t="s">
        <v>22</v>
      </c>
      <c r="D41" s="3" t="str">
        <f t="shared" si="4"/>
        <v>PASS</v>
      </c>
      <c r="E41" s="3" t="str">
        <f t="shared" si="5"/>
        <v>PASS</v>
      </c>
      <c r="F41" s="3" t="str">
        <f t="shared" si="6"/>
        <v>PASS</v>
      </c>
      <c r="G41" s="3" t="str">
        <f t="shared" si="7"/>
        <v>PASS</v>
      </c>
      <c r="H41" s="3">
        <v>48820055.969999999</v>
      </c>
      <c r="I41" s="4">
        <v>0</v>
      </c>
      <c r="J41" s="3">
        <v>41080938.32</v>
      </c>
      <c r="K41" s="3">
        <v>2990.39</v>
      </c>
      <c r="L41" s="3">
        <v>0</v>
      </c>
      <c r="M41" t="s">
        <v>23</v>
      </c>
      <c r="N41" t="s">
        <v>23</v>
      </c>
      <c r="O41" s="4">
        <v>0</v>
      </c>
      <c r="P41" s="4">
        <v>1</v>
      </c>
      <c r="Q41" t="s">
        <v>23</v>
      </c>
      <c r="R41" s="4">
        <v>0</v>
      </c>
      <c r="S41" s="3">
        <v>0</v>
      </c>
      <c r="T41" s="4">
        <v>0</v>
      </c>
    </row>
    <row r="42" spans="1:20" x14ac:dyDescent="0.4">
      <c r="A42" s="2">
        <v>45846</v>
      </c>
      <c r="B42" t="s">
        <v>28</v>
      </c>
      <c r="C42" t="s">
        <v>22</v>
      </c>
      <c r="D42" s="3" t="str">
        <f t="shared" si="4"/>
        <v>PASS</v>
      </c>
      <c r="E42" s="3" t="str">
        <f t="shared" si="5"/>
        <v>PASS</v>
      </c>
      <c r="F42" s="3" t="str">
        <f t="shared" si="6"/>
        <v>PASS</v>
      </c>
      <c r="G42" s="3" t="str">
        <f t="shared" si="7"/>
        <v>PASS</v>
      </c>
      <c r="H42" s="3">
        <v>15388358.51</v>
      </c>
      <c r="I42" s="4">
        <v>0</v>
      </c>
      <c r="J42" s="3">
        <v>13525674.789999999</v>
      </c>
      <c r="K42" s="3">
        <v>985.38</v>
      </c>
      <c r="L42" s="3">
        <v>0</v>
      </c>
      <c r="M42" t="s">
        <v>23</v>
      </c>
      <c r="N42" t="s">
        <v>23</v>
      </c>
      <c r="O42" s="4">
        <v>0</v>
      </c>
      <c r="P42" s="4">
        <v>1</v>
      </c>
      <c r="Q42" t="s">
        <v>23</v>
      </c>
      <c r="R42" s="4">
        <v>0</v>
      </c>
      <c r="S42" s="3">
        <v>0</v>
      </c>
      <c r="T42" s="4">
        <v>0</v>
      </c>
    </row>
    <row r="43" spans="1:20" x14ac:dyDescent="0.4">
      <c r="A43" s="2">
        <v>45846</v>
      </c>
      <c r="B43" t="s">
        <v>29</v>
      </c>
      <c r="C43" t="s">
        <v>22</v>
      </c>
      <c r="D43" s="3" t="str">
        <f t="shared" si="4"/>
        <v>PASS</v>
      </c>
      <c r="E43" s="3" t="str">
        <f t="shared" si="5"/>
        <v>PASS</v>
      </c>
      <c r="F43" s="3" t="str">
        <f t="shared" si="6"/>
        <v>PASS</v>
      </c>
      <c r="G43" s="3" t="str">
        <f t="shared" si="7"/>
        <v>PASS</v>
      </c>
      <c r="H43" s="3">
        <v>34668064.659999996</v>
      </c>
      <c r="I43" s="4">
        <v>0</v>
      </c>
      <c r="J43" s="3">
        <v>32115450.760000002</v>
      </c>
      <c r="K43" s="3">
        <v>2338.33</v>
      </c>
      <c r="L43" s="3">
        <v>0</v>
      </c>
      <c r="M43" t="s">
        <v>23</v>
      </c>
      <c r="N43" t="s">
        <v>23</v>
      </c>
      <c r="O43" s="4">
        <v>0</v>
      </c>
      <c r="P43" s="4">
        <v>1</v>
      </c>
      <c r="Q43" t="s">
        <v>23</v>
      </c>
      <c r="R43" s="4">
        <v>0</v>
      </c>
      <c r="S43" s="3">
        <v>0</v>
      </c>
      <c r="T43" s="4">
        <v>0</v>
      </c>
    </row>
    <row r="44" spans="1:20" x14ac:dyDescent="0.4">
      <c r="A44" s="2">
        <v>45846</v>
      </c>
      <c r="B44" t="s">
        <v>30</v>
      </c>
      <c r="C44" t="s">
        <v>22</v>
      </c>
      <c r="D44" s="3" t="str">
        <f t="shared" si="4"/>
        <v>PASS</v>
      </c>
      <c r="E44" s="3" t="str">
        <f t="shared" si="5"/>
        <v>PASS</v>
      </c>
      <c r="F44" s="3" t="str">
        <f t="shared" si="6"/>
        <v>PASS</v>
      </c>
      <c r="G44" s="3" t="str">
        <f t="shared" si="7"/>
        <v>PASS</v>
      </c>
      <c r="H44" s="3">
        <v>55653828.789999999</v>
      </c>
      <c r="I44" s="4">
        <v>0</v>
      </c>
      <c r="J44" s="3">
        <v>50406869.640000001</v>
      </c>
      <c r="K44" s="3">
        <v>3657.05</v>
      </c>
      <c r="L44" s="3">
        <v>0</v>
      </c>
      <c r="M44" t="s">
        <v>23</v>
      </c>
      <c r="N44" t="s">
        <v>23</v>
      </c>
      <c r="O44" s="4">
        <v>0</v>
      </c>
      <c r="P44" s="4">
        <v>1</v>
      </c>
      <c r="Q44" t="s">
        <v>23</v>
      </c>
      <c r="R44" s="4">
        <v>0</v>
      </c>
      <c r="S44" s="3">
        <v>0</v>
      </c>
      <c r="T44" s="4">
        <v>0</v>
      </c>
    </row>
    <row r="45" spans="1:20" x14ac:dyDescent="0.4">
      <c r="A45" s="2">
        <v>45846</v>
      </c>
      <c r="B45" t="s">
        <v>31</v>
      </c>
      <c r="C45" t="s">
        <v>22</v>
      </c>
      <c r="D45" s="3" t="str">
        <f t="shared" si="4"/>
        <v>PASS</v>
      </c>
      <c r="E45" s="3" t="str">
        <f t="shared" si="5"/>
        <v>PASS</v>
      </c>
      <c r="F45" s="3" t="str">
        <f t="shared" si="6"/>
        <v>PASS</v>
      </c>
      <c r="G45" s="3" t="str">
        <f t="shared" si="7"/>
        <v>PASS</v>
      </c>
      <c r="H45" s="3">
        <v>40374740.659999996</v>
      </c>
      <c r="I45" s="4">
        <v>0</v>
      </c>
      <c r="J45" s="3">
        <v>34669078.939999998</v>
      </c>
      <c r="K45" s="3">
        <v>2524.4499999999998</v>
      </c>
      <c r="L45" s="3">
        <v>0</v>
      </c>
      <c r="M45" t="s">
        <v>23</v>
      </c>
      <c r="N45" t="s">
        <v>23</v>
      </c>
      <c r="O45" s="4">
        <v>0</v>
      </c>
      <c r="P45" s="4">
        <v>1</v>
      </c>
      <c r="Q45" t="s">
        <v>23</v>
      </c>
      <c r="R45" s="4">
        <v>0</v>
      </c>
      <c r="S45" s="3">
        <v>0</v>
      </c>
      <c r="T45" s="4">
        <v>0</v>
      </c>
    </row>
    <row r="46" spans="1:20" x14ac:dyDescent="0.4">
      <c r="A46" s="2">
        <v>45846</v>
      </c>
      <c r="B46" t="s">
        <v>32</v>
      </c>
      <c r="C46" t="s">
        <v>22</v>
      </c>
      <c r="D46" s="3" t="str">
        <f t="shared" si="4"/>
        <v>PASS</v>
      </c>
      <c r="E46" s="3" t="str">
        <f t="shared" si="5"/>
        <v>PASS</v>
      </c>
      <c r="F46" s="3" t="str">
        <f t="shared" si="6"/>
        <v>PASS</v>
      </c>
      <c r="G46" s="3" t="str">
        <f t="shared" si="7"/>
        <v>PASS</v>
      </c>
      <c r="H46" s="3">
        <v>78549789.030000001</v>
      </c>
      <c r="I46" s="4">
        <v>0</v>
      </c>
      <c r="J46" s="3">
        <v>69779487.530000001</v>
      </c>
      <c r="K46" s="3">
        <v>5079.87</v>
      </c>
      <c r="L46" s="3">
        <v>0</v>
      </c>
      <c r="M46" t="s">
        <v>23</v>
      </c>
      <c r="N46" t="s">
        <v>23</v>
      </c>
      <c r="O46" s="4">
        <v>0</v>
      </c>
      <c r="P46" s="4">
        <v>1</v>
      </c>
      <c r="Q46" t="s">
        <v>23</v>
      </c>
      <c r="R46" s="4">
        <v>0</v>
      </c>
      <c r="S46" s="3">
        <v>0</v>
      </c>
      <c r="T46" s="4">
        <v>0</v>
      </c>
    </row>
    <row r="47" spans="1:20" x14ac:dyDescent="0.4">
      <c r="A47" s="2">
        <v>45847</v>
      </c>
      <c r="B47" t="s">
        <v>24</v>
      </c>
      <c r="C47" t="s">
        <v>22</v>
      </c>
      <c r="D47" s="3" t="str">
        <f t="shared" si="4"/>
        <v>PASS</v>
      </c>
      <c r="E47" s="3" t="str">
        <f t="shared" si="5"/>
        <v>PASS</v>
      </c>
      <c r="F47" s="3" t="str">
        <f t="shared" si="6"/>
        <v>PASS</v>
      </c>
      <c r="G47" s="3" t="str">
        <f t="shared" si="7"/>
        <v>FAIL</v>
      </c>
      <c r="H47" s="3">
        <v>136853639.97</v>
      </c>
      <c r="I47" s="4">
        <v>0</v>
      </c>
      <c r="J47" s="3">
        <v>119630363.23999999</v>
      </c>
      <c r="K47" s="3">
        <v>8644.7999999999993</v>
      </c>
      <c r="L47" s="3">
        <v>0</v>
      </c>
      <c r="M47" t="s">
        <v>23</v>
      </c>
      <c r="N47" t="s">
        <v>39</v>
      </c>
      <c r="O47" s="4">
        <v>0.25599093165471848</v>
      </c>
      <c r="P47" s="4">
        <v>0.74400906834528147</v>
      </c>
      <c r="Q47" t="s">
        <v>53</v>
      </c>
      <c r="R47" s="4">
        <v>2.312523470212109E-5</v>
      </c>
      <c r="S47" s="3">
        <v>35250452.810000002</v>
      </c>
      <c r="T47" s="4">
        <v>0.25757775107572828</v>
      </c>
    </row>
    <row r="48" spans="1:20" x14ac:dyDescent="0.4">
      <c r="A48" s="2">
        <v>45847</v>
      </c>
      <c r="B48" t="s">
        <v>25</v>
      </c>
      <c r="C48" t="s">
        <v>22</v>
      </c>
      <c r="D48" s="3" t="str">
        <f t="shared" si="4"/>
        <v>PASS</v>
      </c>
      <c r="E48" s="3" t="str">
        <f t="shared" si="5"/>
        <v>PASS</v>
      </c>
      <c r="F48" s="3" t="str">
        <f t="shared" si="6"/>
        <v>PASS</v>
      </c>
      <c r="G48" s="3" t="str">
        <f t="shared" si="7"/>
        <v>FAIL</v>
      </c>
      <c r="H48" s="3">
        <v>102650184.27</v>
      </c>
      <c r="I48" s="4">
        <v>0</v>
      </c>
      <c r="J48" s="3">
        <v>92395465.549999997</v>
      </c>
      <c r="K48" s="3">
        <v>6680</v>
      </c>
      <c r="L48" s="3">
        <v>0</v>
      </c>
      <c r="M48" t="s">
        <v>23</v>
      </c>
      <c r="N48" t="s">
        <v>39</v>
      </c>
      <c r="O48" s="4">
        <v>0.2460277881028545</v>
      </c>
      <c r="P48" s="4">
        <v>0.75397221189714547</v>
      </c>
      <c r="Q48" t="s">
        <v>54</v>
      </c>
      <c r="R48" s="4">
        <v>1.716556309497922E-5</v>
      </c>
      <c r="S48" s="3">
        <v>19257993.34</v>
      </c>
      <c r="T48" s="4">
        <v>0.1876079763222426</v>
      </c>
    </row>
    <row r="49" spans="1:20" x14ac:dyDescent="0.4">
      <c r="A49" s="2">
        <v>45847</v>
      </c>
      <c r="B49" t="s">
        <v>26</v>
      </c>
      <c r="C49" t="s">
        <v>22</v>
      </c>
      <c r="D49" s="3" t="str">
        <f t="shared" si="4"/>
        <v>PASS</v>
      </c>
      <c r="E49" s="3" t="str">
        <f t="shared" si="5"/>
        <v>PASS</v>
      </c>
      <c r="F49" s="3" t="str">
        <f t="shared" si="6"/>
        <v>PASS</v>
      </c>
      <c r="G49" s="3" t="str">
        <f t="shared" si="7"/>
        <v>FAIL</v>
      </c>
      <c r="H49" s="3">
        <v>23807626.629999999</v>
      </c>
      <c r="I49" s="4">
        <v>0</v>
      </c>
      <c r="J49" s="3">
        <v>21474334.989999998</v>
      </c>
      <c r="K49" s="3">
        <v>1552.97</v>
      </c>
      <c r="L49" s="3">
        <v>0</v>
      </c>
      <c r="M49" t="s">
        <v>23</v>
      </c>
      <c r="N49" t="s">
        <v>39</v>
      </c>
      <c r="O49" s="4">
        <v>0.2481372500001221</v>
      </c>
      <c r="P49" s="4">
        <v>0.7518627499998779</v>
      </c>
      <c r="Q49" t="s">
        <v>55</v>
      </c>
      <c r="R49" s="4">
        <v>4.0243803970807433E-6</v>
      </c>
      <c r="S49" s="3">
        <v>4268267.51</v>
      </c>
      <c r="T49" s="4">
        <v>0.17928152084767471</v>
      </c>
    </row>
    <row r="50" spans="1:20" x14ac:dyDescent="0.4">
      <c r="A50" s="2">
        <v>45847</v>
      </c>
      <c r="B50" t="s">
        <v>27</v>
      </c>
      <c r="C50" t="s">
        <v>22</v>
      </c>
      <c r="D50" s="3" t="str">
        <f t="shared" si="4"/>
        <v>PASS</v>
      </c>
      <c r="E50" s="3" t="str">
        <f t="shared" si="5"/>
        <v>PASS</v>
      </c>
      <c r="F50" s="3" t="str">
        <f t="shared" si="6"/>
        <v>PASS</v>
      </c>
      <c r="G50" s="3" t="str">
        <f t="shared" si="7"/>
        <v>FAIL</v>
      </c>
      <c r="H50" s="3">
        <v>49024745.530000001</v>
      </c>
      <c r="I50" s="4">
        <v>0</v>
      </c>
      <c r="J50" s="3">
        <v>41282645.289999999</v>
      </c>
      <c r="K50" s="3">
        <v>2983.14</v>
      </c>
      <c r="L50" s="3">
        <v>0</v>
      </c>
      <c r="M50" t="s">
        <v>23</v>
      </c>
      <c r="N50" t="s">
        <v>41</v>
      </c>
      <c r="O50" s="4">
        <v>0.29266497689591242</v>
      </c>
      <c r="P50" s="4">
        <v>0.70733502310408758</v>
      </c>
      <c r="Q50" t="s">
        <v>56</v>
      </c>
      <c r="R50" s="4">
        <v>7.9291401454159866E-6</v>
      </c>
      <c r="S50" s="3">
        <v>16670169.710000001</v>
      </c>
      <c r="T50" s="4">
        <v>0.340035823333319</v>
      </c>
    </row>
    <row r="51" spans="1:20" x14ac:dyDescent="0.4">
      <c r="A51" s="2">
        <v>45847</v>
      </c>
      <c r="B51" t="s">
        <v>28</v>
      </c>
      <c r="C51" t="s">
        <v>22</v>
      </c>
      <c r="D51" s="3" t="str">
        <f t="shared" si="4"/>
        <v>PASS</v>
      </c>
      <c r="E51" s="3" t="str">
        <f t="shared" si="5"/>
        <v>PASS</v>
      </c>
      <c r="F51" s="3" t="str">
        <f t="shared" si="6"/>
        <v>PASS</v>
      </c>
      <c r="G51" s="3" t="str">
        <f t="shared" si="7"/>
        <v>FAIL</v>
      </c>
      <c r="H51" s="3">
        <v>15451111.109999999</v>
      </c>
      <c r="I51" s="4">
        <v>0</v>
      </c>
      <c r="J51" s="3">
        <v>13587445.390000001</v>
      </c>
      <c r="K51" s="3">
        <v>982.71</v>
      </c>
      <c r="L51" s="3">
        <v>0</v>
      </c>
      <c r="M51" t="s">
        <v>23</v>
      </c>
      <c r="N51" t="s">
        <v>39</v>
      </c>
      <c r="O51" s="4">
        <v>0.24799263756231371</v>
      </c>
      <c r="P51" s="4">
        <v>0.75200736243768629</v>
      </c>
      <c r="Q51" t="s">
        <v>57</v>
      </c>
      <c r="R51" s="4">
        <v>2.5440748688551829E-6</v>
      </c>
      <c r="S51" s="3">
        <v>4248305.0999999996</v>
      </c>
      <c r="T51" s="4">
        <v>0.27495143033762048</v>
      </c>
    </row>
    <row r="52" spans="1:20" x14ac:dyDescent="0.4">
      <c r="A52" s="2">
        <v>45847</v>
      </c>
      <c r="B52" t="s">
        <v>29</v>
      </c>
      <c r="C52" t="s">
        <v>22</v>
      </c>
      <c r="D52" s="3" t="str">
        <f t="shared" si="4"/>
        <v>PASS</v>
      </c>
      <c r="E52" s="3" t="str">
        <f t="shared" si="5"/>
        <v>PASS</v>
      </c>
      <c r="F52" s="3" t="str">
        <f t="shared" si="6"/>
        <v>PASS</v>
      </c>
      <c r="G52" s="3" t="str">
        <f t="shared" si="7"/>
        <v>FAIL</v>
      </c>
      <c r="H52" s="3">
        <v>34819587.170000002</v>
      </c>
      <c r="I52" s="4">
        <v>0</v>
      </c>
      <c r="J52" s="3">
        <v>32264641.600000001</v>
      </c>
      <c r="K52" s="3">
        <v>2332.38</v>
      </c>
      <c r="L52" s="3">
        <v>0</v>
      </c>
      <c r="M52" t="s">
        <v>23</v>
      </c>
      <c r="N52" t="s">
        <v>39</v>
      </c>
      <c r="O52" s="4">
        <v>0.25095663917122202</v>
      </c>
      <c r="P52" s="4">
        <v>0.74904336082877798</v>
      </c>
      <c r="Q52" t="s">
        <v>58</v>
      </c>
      <c r="R52" s="4">
        <v>6.1134695841003664E-6</v>
      </c>
      <c r="S52" s="3">
        <v>4779596.5900000008</v>
      </c>
      <c r="T52" s="4">
        <v>0.13726746864242051</v>
      </c>
    </row>
    <row r="53" spans="1:20" x14ac:dyDescent="0.4">
      <c r="A53" s="2">
        <v>45847</v>
      </c>
      <c r="B53" t="s">
        <v>30</v>
      </c>
      <c r="C53" t="s">
        <v>22</v>
      </c>
      <c r="D53" s="3" t="str">
        <f t="shared" si="4"/>
        <v>PASS</v>
      </c>
      <c r="E53" s="3" t="str">
        <f t="shared" si="5"/>
        <v>PASS</v>
      </c>
      <c r="F53" s="3" t="str">
        <f t="shared" si="6"/>
        <v>PASS</v>
      </c>
      <c r="G53" s="3" t="str">
        <f t="shared" si="7"/>
        <v>FAIL</v>
      </c>
      <c r="H53" s="3">
        <v>55728246.5</v>
      </c>
      <c r="I53" s="4">
        <v>0</v>
      </c>
      <c r="J53" s="3">
        <v>50477627.670000002</v>
      </c>
      <c r="K53" s="3">
        <v>3660.36</v>
      </c>
      <c r="L53" s="3">
        <v>0</v>
      </c>
      <c r="M53" t="s">
        <v>23</v>
      </c>
      <c r="N53" t="s">
        <v>59</v>
      </c>
      <c r="O53" s="4">
        <v>0.26259420899603458</v>
      </c>
      <c r="P53" s="4">
        <v>0.73740579100396542</v>
      </c>
      <c r="Q53" t="s">
        <v>60</v>
      </c>
      <c r="R53" s="4">
        <v>1.115989392290674E-4</v>
      </c>
      <c r="S53" s="3">
        <v>10402904.199999999</v>
      </c>
      <c r="T53" s="4">
        <v>0.186672017394267</v>
      </c>
    </row>
    <row r="54" spans="1:20" x14ac:dyDescent="0.4">
      <c r="A54" s="2">
        <v>45847</v>
      </c>
      <c r="B54" t="s">
        <v>31</v>
      </c>
      <c r="C54" t="s">
        <v>22</v>
      </c>
      <c r="D54" s="3" t="str">
        <f t="shared" si="4"/>
        <v>PASS</v>
      </c>
      <c r="E54" s="3" t="str">
        <f t="shared" si="5"/>
        <v>PASS</v>
      </c>
      <c r="F54" s="3" t="str">
        <f t="shared" si="6"/>
        <v>PASS</v>
      </c>
      <c r="G54" s="3" t="str">
        <f t="shared" si="7"/>
        <v>FAIL</v>
      </c>
      <c r="H54" s="3">
        <v>40535610.719999999</v>
      </c>
      <c r="I54" s="4">
        <v>0</v>
      </c>
      <c r="J54" s="3">
        <v>34827431.93</v>
      </c>
      <c r="K54" s="3">
        <v>2517.75</v>
      </c>
      <c r="L54" s="3">
        <v>0</v>
      </c>
      <c r="M54" t="s">
        <v>23</v>
      </c>
      <c r="N54" t="s">
        <v>41</v>
      </c>
      <c r="O54" s="4">
        <v>0.28245188160217022</v>
      </c>
      <c r="P54" s="4">
        <v>0.71754811839782984</v>
      </c>
      <c r="Q54" t="s">
        <v>61</v>
      </c>
      <c r="R54" s="4">
        <v>6.4552428662303649E-6</v>
      </c>
      <c r="S54" s="3">
        <v>11079648.699999999</v>
      </c>
      <c r="T54" s="4">
        <v>0.27333123895758588</v>
      </c>
    </row>
    <row r="55" spans="1:20" x14ac:dyDescent="0.4">
      <c r="A55" s="2">
        <v>45847</v>
      </c>
      <c r="B55" t="s">
        <v>32</v>
      </c>
      <c r="C55" t="s">
        <v>22</v>
      </c>
      <c r="D55" s="3" t="str">
        <f t="shared" si="4"/>
        <v>PASS</v>
      </c>
      <c r="E55" s="3" t="str">
        <f t="shared" si="5"/>
        <v>PASS</v>
      </c>
      <c r="F55" s="3" t="str">
        <f t="shared" si="6"/>
        <v>PASS</v>
      </c>
      <c r="G55" s="3" t="str">
        <f t="shared" si="7"/>
        <v>FAIL</v>
      </c>
      <c r="H55" s="3">
        <v>78888122.010000005</v>
      </c>
      <c r="I55" s="4">
        <v>0</v>
      </c>
      <c r="J55" s="3">
        <v>70112754.329999998</v>
      </c>
      <c r="K55" s="3">
        <v>5066.8900000000003</v>
      </c>
      <c r="L55" s="3">
        <v>0</v>
      </c>
      <c r="M55" t="s">
        <v>23</v>
      </c>
      <c r="N55" t="s">
        <v>39</v>
      </c>
      <c r="O55" s="4">
        <v>0.24974531092565619</v>
      </c>
      <c r="P55" s="4">
        <v>0.75025468907434378</v>
      </c>
      <c r="Q55" t="s">
        <v>62</v>
      </c>
      <c r="R55" s="4">
        <v>1.32138095203511E-5</v>
      </c>
      <c r="S55" s="3">
        <v>17753062.379999999</v>
      </c>
      <c r="T55" s="4">
        <v>0.22504100652503281</v>
      </c>
    </row>
    <row r="56" spans="1:20" x14ac:dyDescent="0.4">
      <c r="A56" s="2">
        <v>45848</v>
      </c>
      <c r="B56" t="s">
        <v>24</v>
      </c>
      <c r="C56" t="s">
        <v>22</v>
      </c>
      <c r="D56" s="3" t="str">
        <f t="shared" si="4"/>
        <v>PASS</v>
      </c>
      <c r="E56" s="3" t="str">
        <f t="shared" si="5"/>
        <v>PASS</v>
      </c>
      <c r="F56" s="3" t="str">
        <f t="shared" si="6"/>
        <v>PASS</v>
      </c>
      <c r="G56" s="3" t="str">
        <f t="shared" si="7"/>
        <v>FAIL</v>
      </c>
      <c r="H56" s="3">
        <v>137008555.46000001</v>
      </c>
      <c r="I56" s="4">
        <v>0</v>
      </c>
      <c r="J56" s="3">
        <v>119776593.23999999</v>
      </c>
      <c r="K56" s="3">
        <v>8686.0400000000009</v>
      </c>
      <c r="L56" s="3">
        <v>0</v>
      </c>
      <c r="M56" t="s">
        <v>23</v>
      </c>
      <c r="N56" t="s">
        <v>39</v>
      </c>
      <c r="O56" s="4">
        <v>0.25568872229179801</v>
      </c>
      <c r="P56" s="4">
        <v>0.74431127770820205</v>
      </c>
      <c r="Q56" t="s">
        <v>63</v>
      </c>
      <c r="R56" s="4">
        <v>2.3069696543774962E-5</v>
      </c>
      <c r="S56" s="3">
        <v>35344110.029999986</v>
      </c>
      <c r="T56" s="4">
        <v>0.25797009472389332</v>
      </c>
    </row>
    <row r="57" spans="1:20" x14ac:dyDescent="0.4">
      <c r="A57" s="2">
        <v>45848</v>
      </c>
      <c r="B57" t="s">
        <v>25</v>
      </c>
      <c r="C57" t="s">
        <v>22</v>
      </c>
      <c r="D57" s="3" t="str">
        <f t="shared" si="4"/>
        <v>PASS</v>
      </c>
      <c r="E57" s="3" t="str">
        <f t="shared" si="5"/>
        <v>PASS</v>
      </c>
      <c r="F57" s="3" t="str">
        <f t="shared" si="6"/>
        <v>PASS</v>
      </c>
      <c r="G57" s="3" t="str">
        <f t="shared" si="7"/>
        <v>FAIL</v>
      </c>
      <c r="H57" s="3">
        <v>102496999.77</v>
      </c>
      <c r="I57" s="4">
        <v>0</v>
      </c>
      <c r="J57" s="3">
        <v>92436005.760000005</v>
      </c>
      <c r="K57" s="3">
        <v>6708.84</v>
      </c>
      <c r="L57" s="3">
        <v>0</v>
      </c>
      <c r="M57" t="s">
        <v>23</v>
      </c>
      <c r="N57" t="s">
        <v>39</v>
      </c>
      <c r="O57" s="4">
        <v>0.24652795953956189</v>
      </c>
      <c r="P57" s="4">
        <v>0.75347204046043803</v>
      </c>
      <c r="Q57" t="s">
        <v>64</v>
      </c>
      <c r="R57" s="4">
        <v>1.716556309497922E-5</v>
      </c>
      <c r="S57" s="3">
        <v>19219363.879999999</v>
      </c>
      <c r="T57" s="4">
        <v>0.18751147763473711</v>
      </c>
    </row>
    <row r="58" spans="1:20" x14ac:dyDescent="0.4">
      <c r="A58" s="2">
        <v>45848</v>
      </c>
      <c r="B58" t="s">
        <v>26</v>
      </c>
      <c r="C58" t="s">
        <v>22</v>
      </c>
      <c r="D58" s="3" t="str">
        <f t="shared" si="4"/>
        <v>PASS</v>
      </c>
      <c r="E58" s="3" t="str">
        <f t="shared" si="5"/>
        <v>PASS</v>
      </c>
      <c r="F58" s="3" t="str">
        <f t="shared" si="6"/>
        <v>PASS</v>
      </c>
      <c r="G58" s="3" t="str">
        <f t="shared" si="7"/>
        <v>FAIL</v>
      </c>
      <c r="H58" s="3">
        <v>23779193.329999998</v>
      </c>
      <c r="I58" s="4">
        <v>0</v>
      </c>
      <c r="J58" s="3">
        <v>21490918.059999999</v>
      </c>
      <c r="K58" s="3">
        <v>1559.81</v>
      </c>
      <c r="L58" s="3">
        <v>0</v>
      </c>
      <c r="M58" t="s">
        <v>23</v>
      </c>
      <c r="N58" t="s">
        <v>39</v>
      </c>
      <c r="O58" s="4">
        <v>0.24855692898212101</v>
      </c>
      <c r="P58" s="4">
        <v>0.75144307101787899</v>
      </c>
      <c r="Q58" t="s">
        <v>65</v>
      </c>
      <c r="R58" s="4">
        <v>4.0243803970807433E-6</v>
      </c>
      <c r="S58" s="3">
        <v>4271806.8900000006</v>
      </c>
      <c r="T58" s="4">
        <v>0.17964473524047839</v>
      </c>
    </row>
    <row r="59" spans="1:20" x14ac:dyDescent="0.4">
      <c r="A59" s="2">
        <v>45848</v>
      </c>
      <c r="B59" t="s">
        <v>27</v>
      </c>
      <c r="C59" t="s">
        <v>22</v>
      </c>
      <c r="D59" s="3" t="str">
        <f t="shared" si="4"/>
        <v>PASS</v>
      </c>
      <c r="E59" s="3" t="str">
        <f t="shared" si="5"/>
        <v>PASS</v>
      </c>
      <c r="F59" s="3" t="str">
        <f t="shared" si="6"/>
        <v>PASS</v>
      </c>
      <c r="G59" s="3" t="str">
        <f t="shared" si="7"/>
        <v>FAIL</v>
      </c>
      <c r="H59" s="3">
        <v>49081790.68</v>
      </c>
      <c r="I59" s="4">
        <v>0</v>
      </c>
      <c r="J59" s="3">
        <v>41336693.210000001</v>
      </c>
      <c r="K59" s="3">
        <v>2997.78</v>
      </c>
      <c r="L59" s="3">
        <v>0</v>
      </c>
      <c r="M59" t="s">
        <v>23</v>
      </c>
      <c r="N59" t="s">
        <v>41</v>
      </c>
      <c r="O59" s="4">
        <v>0.29312553005736658</v>
      </c>
      <c r="P59" s="4">
        <v>0.70687446994263337</v>
      </c>
      <c r="Q59" t="s">
        <v>66</v>
      </c>
      <c r="R59" s="4">
        <v>7.9291401454159866E-6</v>
      </c>
      <c r="S59" s="3">
        <v>16725026.779999999</v>
      </c>
      <c r="T59" s="4">
        <v>0.34075828424929833</v>
      </c>
    </row>
    <row r="60" spans="1:20" x14ac:dyDescent="0.4">
      <c r="A60" s="2">
        <v>45848</v>
      </c>
      <c r="B60" t="s">
        <v>28</v>
      </c>
      <c r="C60" t="s">
        <v>22</v>
      </c>
      <c r="D60" s="3" t="str">
        <f t="shared" si="4"/>
        <v>PASS</v>
      </c>
      <c r="E60" s="3" t="str">
        <f t="shared" si="5"/>
        <v>PASS</v>
      </c>
      <c r="F60" s="3" t="str">
        <f t="shared" si="6"/>
        <v>PASS</v>
      </c>
      <c r="G60" s="3" t="str">
        <f t="shared" si="7"/>
        <v>FAIL</v>
      </c>
      <c r="H60" s="3">
        <v>15433779.5</v>
      </c>
      <c r="I60" s="4">
        <v>0</v>
      </c>
      <c r="J60" s="3">
        <v>13598616.18</v>
      </c>
      <c r="K60" s="3">
        <v>987.2</v>
      </c>
      <c r="L60" s="3">
        <v>0</v>
      </c>
      <c r="M60" t="s">
        <v>23</v>
      </c>
      <c r="N60" t="s">
        <v>39</v>
      </c>
      <c r="O60" s="4">
        <v>0.24926204013208639</v>
      </c>
      <c r="P60" s="4">
        <v>0.75073795986791358</v>
      </c>
      <c r="Q60" t="s">
        <v>67</v>
      </c>
      <c r="R60" s="4">
        <v>2.5526192009084332E-6</v>
      </c>
      <c r="S60" s="3">
        <v>4256998.3399999989</v>
      </c>
      <c r="T60" s="4">
        <v>0.27582345205851871</v>
      </c>
    </row>
    <row r="61" spans="1:20" x14ac:dyDescent="0.4">
      <c r="A61" s="2">
        <v>45848</v>
      </c>
      <c r="B61" t="s">
        <v>29</v>
      </c>
      <c r="C61" t="s">
        <v>22</v>
      </c>
      <c r="D61" s="3" t="str">
        <f t="shared" si="4"/>
        <v>PASS</v>
      </c>
      <c r="E61" s="3" t="str">
        <f t="shared" si="5"/>
        <v>PASS</v>
      </c>
      <c r="F61" s="3" t="str">
        <f t="shared" si="6"/>
        <v>PASS</v>
      </c>
      <c r="G61" s="3" t="str">
        <f t="shared" si="7"/>
        <v>FAIL</v>
      </c>
      <c r="H61" s="3">
        <v>34798134.640000001</v>
      </c>
      <c r="I61" s="4">
        <v>0</v>
      </c>
      <c r="J61" s="3">
        <v>32310269.559999999</v>
      </c>
      <c r="K61" s="3">
        <v>2343.21</v>
      </c>
      <c r="L61" s="3">
        <v>0</v>
      </c>
      <c r="M61" t="s">
        <v>23</v>
      </c>
      <c r="N61" t="s">
        <v>39</v>
      </c>
      <c r="O61" s="4">
        <v>0.25122184161684852</v>
      </c>
      <c r="P61" s="4">
        <v>0.74877815838315154</v>
      </c>
      <c r="Q61" t="s">
        <v>68</v>
      </c>
      <c r="R61" s="4">
        <v>6.1134695841003664E-6</v>
      </c>
      <c r="S61" s="3">
        <v>4783696.2200000007</v>
      </c>
      <c r="T61" s="4">
        <v>0.1374699037603356</v>
      </c>
    </row>
    <row r="62" spans="1:20" x14ac:dyDescent="0.4">
      <c r="A62" s="2">
        <v>45848</v>
      </c>
      <c r="B62" t="s">
        <v>30</v>
      </c>
      <c r="C62" t="s">
        <v>22</v>
      </c>
      <c r="D62" s="3" t="str">
        <f t="shared" si="4"/>
        <v>PASS</v>
      </c>
      <c r="E62" s="3" t="str">
        <f t="shared" si="5"/>
        <v>PASS</v>
      </c>
      <c r="F62" s="3" t="str">
        <f t="shared" si="6"/>
        <v>PASS</v>
      </c>
      <c r="G62" s="3" t="str">
        <f t="shared" si="7"/>
        <v>FAIL</v>
      </c>
      <c r="H62" s="3">
        <v>55787421.93</v>
      </c>
      <c r="I62" s="4">
        <v>0</v>
      </c>
      <c r="J62" s="3">
        <v>50533138.289999999</v>
      </c>
      <c r="K62" s="3">
        <v>3665.49</v>
      </c>
      <c r="L62" s="3">
        <v>0</v>
      </c>
      <c r="M62" t="s">
        <v>23</v>
      </c>
      <c r="N62" t="s">
        <v>69</v>
      </c>
      <c r="O62" s="4">
        <v>0.26470246619626681</v>
      </c>
      <c r="P62" s="4">
        <v>0.73529753380373331</v>
      </c>
      <c r="Q62" t="s">
        <v>70</v>
      </c>
      <c r="R62" s="4">
        <v>6.2563928897243796E-5</v>
      </c>
      <c r="S62" s="3">
        <v>10409743.34</v>
      </c>
      <c r="T62" s="4">
        <v>0.1865966015253718</v>
      </c>
    </row>
    <row r="63" spans="1:20" x14ac:dyDescent="0.4">
      <c r="A63" s="2">
        <v>45848</v>
      </c>
      <c r="B63" t="s">
        <v>31</v>
      </c>
      <c r="C63" t="s">
        <v>22</v>
      </c>
      <c r="D63" s="3" t="str">
        <f t="shared" si="4"/>
        <v>PASS</v>
      </c>
      <c r="E63" s="3" t="str">
        <f t="shared" si="5"/>
        <v>PASS</v>
      </c>
      <c r="F63" s="3" t="str">
        <f t="shared" si="6"/>
        <v>PASS</v>
      </c>
      <c r="G63" s="3" t="str">
        <f t="shared" si="7"/>
        <v>FAIL</v>
      </c>
      <c r="H63" s="3">
        <v>40484563.039999999</v>
      </c>
      <c r="I63" s="4">
        <v>0</v>
      </c>
      <c r="J63" s="3">
        <v>34849448.619999997</v>
      </c>
      <c r="K63" s="3">
        <v>2529.25</v>
      </c>
      <c r="L63" s="3">
        <v>0</v>
      </c>
      <c r="M63" t="s">
        <v>23</v>
      </c>
      <c r="N63" t="s">
        <v>41</v>
      </c>
      <c r="O63" s="4">
        <v>0.28308578645167681</v>
      </c>
      <c r="P63" s="4">
        <v>0.7169142135483233</v>
      </c>
      <c r="Q63" t="s">
        <v>71</v>
      </c>
      <c r="R63" s="4">
        <v>6.4552428662303649E-6</v>
      </c>
      <c r="S63" s="3">
        <v>11084375.460000001</v>
      </c>
      <c r="T63" s="4">
        <v>0.27379264163104078</v>
      </c>
    </row>
    <row r="64" spans="1:20" x14ac:dyDescent="0.4">
      <c r="A64" s="2">
        <v>45848</v>
      </c>
      <c r="B64" t="s">
        <v>32</v>
      </c>
      <c r="C64" t="s">
        <v>22</v>
      </c>
      <c r="D64" s="3" t="str">
        <f t="shared" si="4"/>
        <v>PASS</v>
      </c>
      <c r="E64" s="3" t="str">
        <f t="shared" si="5"/>
        <v>PASS</v>
      </c>
      <c r="F64" s="3" t="str">
        <f t="shared" si="6"/>
        <v>PASS</v>
      </c>
      <c r="G64" s="3" t="str">
        <f t="shared" si="7"/>
        <v>FAIL</v>
      </c>
      <c r="H64" s="3">
        <v>78824433.579999998</v>
      </c>
      <c r="I64" s="4">
        <v>0</v>
      </c>
      <c r="J64" s="3">
        <v>70194769.760000005</v>
      </c>
      <c r="K64" s="3">
        <v>5091.09</v>
      </c>
      <c r="L64" s="3">
        <v>0</v>
      </c>
      <c r="M64" t="s">
        <v>23</v>
      </c>
      <c r="N64" t="s">
        <v>39</v>
      </c>
      <c r="O64" s="4">
        <v>0.24991553447614009</v>
      </c>
      <c r="P64" s="4">
        <v>0.75008446552385988</v>
      </c>
      <c r="Q64" t="s">
        <v>72</v>
      </c>
      <c r="R64" s="4">
        <v>1.320526518829785E-5</v>
      </c>
      <c r="S64" s="3">
        <v>17790514.739999998</v>
      </c>
      <c r="T64" s="4">
        <v>0.22569797120006149</v>
      </c>
    </row>
    <row r="65" spans="1:20" x14ac:dyDescent="0.4">
      <c r="A65" s="2">
        <v>45849</v>
      </c>
      <c r="B65" t="s">
        <v>24</v>
      </c>
      <c r="C65" t="s">
        <v>22</v>
      </c>
      <c r="D65" s="3" t="str">
        <f t="shared" si="4"/>
        <v>PASS</v>
      </c>
      <c r="E65" s="3" t="str">
        <f t="shared" si="5"/>
        <v>PASS</v>
      </c>
      <c r="F65" s="3" t="str">
        <f t="shared" si="6"/>
        <v>PASS</v>
      </c>
      <c r="G65" s="3" t="str">
        <f t="shared" si="7"/>
        <v>PASS</v>
      </c>
      <c r="H65" s="3">
        <v>136775727.5</v>
      </c>
      <c r="I65" s="4">
        <v>0</v>
      </c>
      <c r="J65" s="3">
        <v>119517676.95</v>
      </c>
      <c r="K65" s="3">
        <v>26089.98</v>
      </c>
      <c r="L65" s="3">
        <v>0</v>
      </c>
      <c r="M65" t="s">
        <v>23</v>
      </c>
      <c r="N65" t="s">
        <v>23</v>
      </c>
      <c r="O65" s="4">
        <v>0</v>
      </c>
      <c r="P65" s="4">
        <v>1</v>
      </c>
      <c r="Q65" t="s">
        <v>23</v>
      </c>
      <c r="R65" s="4">
        <v>0</v>
      </c>
      <c r="S65" s="3">
        <v>0</v>
      </c>
      <c r="T65" s="4">
        <v>0</v>
      </c>
    </row>
    <row r="66" spans="1:20" x14ac:dyDescent="0.4">
      <c r="A66" s="2">
        <v>45849</v>
      </c>
      <c r="B66" t="s">
        <v>25</v>
      </c>
      <c r="C66" t="s">
        <v>22</v>
      </c>
      <c r="D66" s="3" t="str">
        <f t="shared" si="4"/>
        <v>PASS</v>
      </c>
      <c r="E66" s="3" t="str">
        <f t="shared" si="5"/>
        <v>PASS</v>
      </c>
      <c r="F66" s="3" t="str">
        <f t="shared" si="6"/>
        <v>PASS</v>
      </c>
      <c r="G66" s="3" t="str">
        <f t="shared" si="7"/>
        <v>PASS</v>
      </c>
      <c r="H66" s="3">
        <v>102363424.38</v>
      </c>
      <c r="I66" s="4">
        <v>0</v>
      </c>
      <c r="J66" s="3">
        <v>92282297.040000007</v>
      </c>
      <c r="K66" s="3">
        <v>20135.37</v>
      </c>
      <c r="L66" s="3">
        <v>0</v>
      </c>
      <c r="M66" t="s">
        <v>23</v>
      </c>
      <c r="N66" t="s">
        <v>23</v>
      </c>
      <c r="O66" s="4">
        <v>0</v>
      </c>
      <c r="P66" s="4">
        <v>1</v>
      </c>
      <c r="Q66" t="s">
        <v>23</v>
      </c>
      <c r="R66" s="4">
        <v>0</v>
      </c>
      <c r="S66" s="3">
        <v>0</v>
      </c>
      <c r="T66" s="4">
        <v>0</v>
      </c>
    </row>
    <row r="67" spans="1:20" x14ac:dyDescent="0.4">
      <c r="A67" s="2">
        <v>45849</v>
      </c>
      <c r="B67" t="s">
        <v>26</v>
      </c>
      <c r="C67" t="s">
        <v>22</v>
      </c>
      <c r="D67" s="3" t="str">
        <f t="shared" si="4"/>
        <v>PASS</v>
      </c>
      <c r="E67" s="3" t="str">
        <f t="shared" si="5"/>
        <v>PASS</v>
      </c>
      <c r="F67" s="3" t="str">
        <f t="shared" si="6"/>
        <v>PASS</v>
      </c>
      <c r="G67" s="3" t="str">
        <f t="shared" si="7"/>
        <v>PASS</v>
      </c>
      <c r="H67" s="3">
        <v>23746473.300000001</v>
      </c>
      <c r="I67" s="4">
        <v>0</v>
      </c>
      <c r="J67" s="3">
        <v>21453517.129999999</v>
      </c>
      <c r="K67" s="3">
        <v>4683.03</v>
      </c>
      <c r="L67" s="3">
        <v>0</v>
      </c>
      <c r="M67" t="s">
        <v>23</v>
      </c>
      <c r="N67" t="s">
        <v>23</v>
      </c>
      <c r="O67" s="4">
        <v>0</v>
      </c>
      <c r="P67" s="4">
        <v>1</v>
      </c>
      <c r="Q67" t="s">
        <v>23</v>
      </c>
      <c r="R67" s="4">
        <v>0</v>
      </c>
      <c r="S67" s="3">
        <v>0</v>
      </c>
      <c r="T67" s="4">
        <v>0</v>
      </c>
    </row>
    <row r="68" spans="1:20" x14ac:dyDescent="0.4">
      <c r="A68" s="2">
        <v>45849</v>
      </c>
      <c r="B68" t="s">
        <v>27</v>
      </c>
      <c r="C68" t="s">
        <v>22</v>
      </c>
      <c r="D68" s="3" t="str">
        <f t="shared" si="4"/>
        <v>PASS</v>
      </c>
      <c r="E68" s="3" t="str">
        <f t="shared" si="5"/>
        <v>PASS</v>
      </c>
      <c r="F68" s="3" t="str">
        <f t="shared" si="6"/>
        <v>PASS</v>
      </c>
      <c r="G68" s="3" t="str">
        <f t="shared" si="7"/>
        <v>PASS</v>
      </c>
      <c r="H68" s="3">
        <v>48989468.490000002</v>
      </c>
      <c r="I68" s="4">
        <v>0</v>
      </c>
      <c r="J68" s="3">
        <v>41235367.539999999</v>
      </c>
      <c r="K68" s="3">
        <v>9005.1299999999992</v>
      </c>
      <c r="L68" s="3">
        <v>0</v>
      </c>
      <c r="M68" t="s">
        <v>23</v>
      </c>
      <c r="N68" t="s">
        <v>23</v>
      </c>
      <c r="O68" s="4">
        <v>0</v>
      </c>
      <c r="P68" s="4">
        <v>1</v>
      </c>
      <c r="Q68" t="s">
        <v>23</v>
      </c>
      <c r="R68" s="4">
        <v>0</v>
      </c>
      <c r="S68" s="3">
        <v>0</v>
      </c>
      <c r="T68" s="4">
        <v>0</v>
      </c>
    </row>
    <row r="69" spans="1:20" x14ac:dyDescent="0.4">
      <c r="A69" s="2">
        <v>45849</v>
      </c>
      <c r="B69" t="s">
        <v>28</v>
      </c>
      <c r="C69" t="s">
        <v>22</v>
      </c>
      <c r="D69" s="3" t="str">
        <f t="shared" si="4"/>
        <v>PASS</v>
      </c>
      <c r="E69" s="3" t="str">
        <f t="shared" si="5"/>
        <v>PASS</v>
      </c>
      <c r="F69" s="3" t="str">
        <f t="shared" si="6"/>
        <v>PASS</v>
      </c>
      <c r="G69" s="3" t="str">
        <f t="shared" si="7"/>
        <v>PASS</v>
      </c>
      <c r="H69" s="3">
        <v>15407775.539999999</v>
      </c>
      <c r="I69" s="4">
        <v>0</v>
      </c>
      <c r="J69" s="3">
        <v>13569650.32</v>
      </c>
      <c r="K69" s="3">
        <v>2964.03</v>
      </c>
      <c r="L69" s="3">
        <v>0</v>
      </c>
      <c r="M69" t="s">
        <v>23</v>
      </c>
      <c r="N69" t="s">
        <v>23</v>
      </c>
      <c r="O69" s="4">
        <v>0</v>
      </c>
      <c r="P69" s="4">
        <v>1</v>
      </c>
      <c r="Q69" t="s">
        <v>23</v>
      </c>
      <c r="R69" s="4">
        <v>0</v>
      </c>
      <c r="S69" s="3">
        <v>0</v>
      </c>
      <c r="T69" s="4">
        <v>0</v>
      </c>
    </row>
    <row r="70" spans="1:20" x14ac:dyDescent="0.4">
      <c r="A70" s="2">
        <v>45849</v>
      </c>
      <c r="B70" t="s">
        <v>29</v>
      </c>
      <c r="C70" t="s">
        <v>22</v>
      </c>
      <c r="D70" s="3" t="str">
        <f t="shared" si="4"/>
        <v>PASS</v>
      </c>
      <c r="E70" s="3" t="str">
        <f t="shared" si="5"/>
        <v>PASS</v>
      </c>
      <c r="F70" s="3" t="str">
        <f t="shared" si="6"/>
        <v>PASS</v>
      </c>
      <c r="G70" s="3" t="str">
        <f t="shared" si="7"/>
        <v>PASS</v>
      </c>
      <c r="H70" s="3">
        <v>34736933.549999997</v>
      </c>
      <c r="I70" s="4">
        <v>0</v>
      </c>
      <c r="J70" s="3">
        <v>32242031.039999999</v>
      </c>
      <c r="K70" s="3">
        <v>7039.56</v>
      </c>
      <c r="L70" s="3">
        <v>0</v>
      </c>
      <c r="M70" t="s">
        <v>23</v>
      </c>
      <c r="N70" t="s">
        <v>23</v>
      </c>
      <c r="O70" s="4">
        <v>0</v>
      </c>
      <c r="P70" s="4">
        <v>1</v>
      </c>
      <c r="Q70" t="s">
        <v>23</v>
      </c>
      <c r="R70" s="4">
        <v>0</v>
      </c>
      <c r="S70" s="3">
        <v>0</v>
      </c>
      <c r="T70" s="4">
        <v>0</v>
      </c>
    </row>
    <row r="71" spans="1:20" x14ac:dyDescent="0.4">
      <c r="A71" s="2">
        <v>45849</v>
      </c>
      <c r="B71" t="s">
        <v>30</v>
      </c>
      <c r="C71" t="s">
        <v>22</v>
      </c>
      <c r="D71" s="3" t="str">
        <f t="shared" si="4"/>
        <v>PASS</v>
      </c>
      <c r="E71" s="3" t="str">
        <f t="shared" si="5"/>
        <v>PASS</v>
      </c>
      <c r="F71" s="3" t="str">
        <f t="shared" si="6"/>
        <v>PASS</v>
      </c>
      <c r="G71" s="3" t="str">
        <f t="shared" si="7"/>
        <v>PASS</v>
      </c>
      <c r="H71" s="3">
        <v>55580213.079999998</v>
      </c>
      <c r="I71" s="4">
        <v>0</v>
      </c>
      <c r="J71" s="3">
        <v>50314922.920000002</v>
      </c>
      <c r="K71" s="3">
        <v>11008.56</v>
      </c>
      <c r="L71" s="3">
        <v>0</v>
      </c>
      <c r="M71" t="s">
        <v>23</v>
      </c>
      <c r="N71" t="s">
        <v>23</v>
      </c>
      <c r="O71" s="4">
        <v>0</v>
      </c>
      <c r="P71" s="4">
        <v>1</v>
      </c>
      <c r="Q71" t="s">
        <v>23</v>
      </c>
      <c r="R71" s="4">
        <v>0</v>
      </c>
      <c r="S71" s="3">
        <v>0</v>
      </c>
      <c r="T71" s="4">
        <v>0</v>
      </c>
    </row>
    <row r="72" spans="1:20" x14ac:dyDescent="0.4">
      <c r="A72" s="2">
        <v>45849</v>
      </c>
      <c r="B72" t="s">
        <v>31</v>
      </c>
      <c r="C72" t="s">
        <v>22</v>
      </c>
      <c r="D72" s="3" t="str">
        <f t="shared" si="4"/>
        <v>PASS</v>
      </c>
      <c r="E72" s="3" t="str">
        <f t="shared" si="5"/>
        <v>PASS</v>
      </c>
      <c r="F72" s="3" t="str">
        <f t="shared" si="6"/>
        <v>PASS</v>
      </c>
      <c r="G72" s="3" t="str">
        <f t="shared" si="7"/>
        <v>PASS</v>
      </c>
      <c r="H72" s="3">
        <v>40419449.509999998</v>
      </c>
      <c r="I72" s="4">
        <v>0</v>
      </c>
      <c r="J72" s="3">
        <v>34776744.579999998</v>
      </c>
      <c r="K72" s="3">
        <v>7592.55</v>
      </c>
      <c r="L72" s="3">
        <v>0</v>
      </c>
      <c r="M72" t="s">
        <v>23</v>
      </c>
      <c r="N72" t="s">
        <v>23</v>
      </c>
      <c r="O72" s="4">
        <v>0</v>
      </c>
      <c r="P72" s="4">
        <v>1</v>
      </c>
      <c r="Q72" t="s">
        <v>23</v>
      </c>
      <c r="R72" s="4">
        <v>0</v>
      </c>
      <c r="S72" s="3">
        <v>0</v>
      </c>
      <c r="T72" s="4">
        <v>0</v>
      </c>
    </row>
    <row r="73" spans="1:20" x14ac:dyDescent="0.4">
      <c r="A73" s="2">
        <v>45849</v>
      </c>
      <c r="B73" t="s">
        <v>32</v>
      </c>
      <c r="C73" t="s">
        <v>22</v>
      </c>
      <c r="D73" s="3" t="str">
        <f t="shared" si="4"/>
        <v>PASS</v>
      </c>
      <c r="E73" s="3" t="str">
        <f t="shared" si="5"/>
        <v>PASS</v>
      </c>
      <c r="F73" s="3" t="str">
        <f t="shared" si="6"/>
        <v>PASS</v>
      </c>
      <c r="G73" s="3" t="str">
        <f t="shared" si="7"/>
        <v>PASS</v>
      </c>
      <c r="H73" s="3">
        <v>78687938.969999999</v>
      </c>
      <c r="I73" s="4">
        <v>0</v>
      </c>
      <c r="J73" s="3">
        <v>70042986.159999996</v>
      </c>
      <c r="K73" s="3">
        <v>15291.12</v>
      </c>
      <c r="L73" s="3">
        <v>0</v>
      </c>
      <c r="M73" t="s">
        <v>23</v>
      </c>
      <c r="N73" t="s">
        <v>23</v>
      </c>
      <c r="O73" s="4">
        <v>0</v>
      </c>
      <c r="P73" s="4">
        <v>1</v>
      </c>
      <c r="Q73" t="s">
        <v>23</v>
      </c>
      <c r="R73" s="4">
        <v>0</v>
      </c>
      <c r="S73" s="3">
        <v>0</v>
      </c>
      <c r="T73" s="4">
        <v>0</v>
      </c>
    </row>
    <row r="74" spans="1:20" x14ac:dyDescent="0.4">
      <c r="A74" s="2">
        <v>45852</v>
      </c>
      <c r="B74" t="s">
        <v>24</v>
      </c>
      <c r="C74" t="s">
        <v>22</v>
      </c>
      <c r="D74" s="3" t="str">
        <f t="shared" si="4"/>
        <v>PASS</v>
      </c>
      <c r="E74" s="3" t="str">
        <f t="shared" si="5"/>
        <v>PASS</v>
      </c>
      <c r="F74" s="3" t="str">
        <f t="shared" si="6"/>
        <v>PASS</v>
      </c>
      <c r="G74" s="3" t="str">
        <f t="shared" si="7"/>
        <v>FAIL</v>
      </c>
      <c r="H74" s="3">
        <v>136970085.61000001</v>
      </c>
      <c r="I74" s="4">
        <v>0</v>
      </c>
      <c r="J74" s="3">
        <v>119705120.52</v>
      </c>
      <c r="K74" s="3">
        <v>8677.86</v>
      </c>
      <c r="L74" s="3">
        <v>0</v>
      </c>
      <c r="M74" t="s">
        <v>23</v>
      </c>
      <c r="N74" t="s">
        <v>39</v>
      </c>
      <c r="O74" s="4">
        <v>0.25464143474052292</v>
      </c>
      <c r="P74" s="4">
        <v>0.74535856525947719</v>
      </c>
      <c r="Q74" t="s">
        <v>73</v>
      </c>
      <c r="R74" s="4">
        <v>2.2994933638309029E-5</v>
      </c>
      <c r="S74" s="3">
        <v>35164779.560000002</v>
      </c>
      <c r="T74" s="4">
        <v>0.2567332816022761</v>
      </c>
    </row>
    <row r="75" spans="1:20" x14ac:dyDescent="0.4">
      <c r="A75" s="2">
        <v>45852</v>
      </c>
      <c r="B75" t="s">
        <v>25</v>
      </c>
      <c r="C75" t="s">
        <v>22</v>
      </c>
      <c r="D75" s="3" t="str">
        <f t="shared" si="4"/>
        <v>PASS</v>
      </c>
      <c r="E75" s="3" t="str">
        <f t="shared" si="5"/>
        <v>PASS</v>
      </c>
      <c r="F75" s="3" t="str">
        <f t="shared" si="6"/>
        <v>PASS</v>
      </c>
      <c r="G75" s="3" t="str">
        <f t="shared" si="7"/>
        <v>FAIL</v>
      </c>
      <c r="H75" s="3">
        <v>102485674.81999999</v>
      </c>
      <c r="I75" s="4">
        <v>0</v>
      </c>
      <c r="J75" s="3">
        <v>92402990.340000004</v>
      </c>
      <c r="K75" s="3">
        <v>6700.63</v>
      </c>
      <c r="L75" s="3">
        <v>0</v>
      </c>
      <c r="M75" t="s">
        <v>23</v>
      </c>
      <c r="N75" t="s">
        <v>39</v>
      </c>
      <c r="O75" s="4">
        <v>0.24568189180315661</v>
      </c>
      <c r="P75" s="4">
        <v>0.75431810819684342</v>
      </c>
      <c r="Q75" t="s">
        <v>74</v>
      </c>
      <c r="R75" s="4">
        <v>1.712497751772628E-5</v>
      </c>
      <c r="S75" s="3">
        <v>19209401.030000001</v>
      </c>
      <c r="T75" s="4">
        <v>0.18743498604793599</v>
      </c>
    </row>
    <row r="76" spans="1:20" x14ac:dyDescent="0.4">
      <c r="A76" s="2">
        <v>45852</v>
      </c>
      <c r="B76" t="s">
        <v>26</v>
      </c>
      <c r="C76" t="s">
        <v>22</v>
      </c>
      <c r="D76" s="3" t="str">
        <f t="shared" si="4"/>
        <v>PASS</v>
      </c>
      <c r="E76" s="3" t="str">
        <f t="shared" si="5"/>
        <v>PASS</v>
      </c>
      <c r="F76" s="3" t="str">
        <f t="shared" si="6"/>
        <v>PASS</v>
      </c>
      <c r="G76" s="3" t="str">
        <f t="shared" si="7"/>
        <v>FAIL</v>
      </c>
      <c r="H76" s="3">
        <v>23779205.300000001</v>
      </c>
      <c r="I76" s="4">
        <v>0</v>
      </c>
      <c r="J76" s="3">
        <v>21485898.039999999</v>
      </c>
      <c r="K76" s="3">
        <v>1558.29</v>
      </c>
      <c r="L76" s="3">
        <v>0</v>
      </c>
      <c r="M76" t="s">
        <v>23</v>
      </c>
      <c r="N76" t="s">
        <v>39</v>
      </c>
      <c r="O76" s="4">
        <v>0.24768684185750711</v>
      </c>
      <c r="P76" s="4">
        <v>0.75231315814249289</v>
      </c>
      <c r="Q76" t="s">
        <v>75</v>
      </c>
      <c r="R76" s="4">
        <v>4.0136999820141814E-6</v>
      </c>
      <c r="S76" s="3">
        <v>4261355.2999999989</v>
      </c>
      <c r="T76" s="4">
        <v>0.1792051183476682</v>
      </c>
    </row>
    <row r="77" spans="1:20" x14ac:dyDescent="0.4">
      <c r="A77" s="2">
        <v>45852</v>
      </c>
      <c r="B77" t="s">
        <v>27</v>
      </c>
      <c r="C77" t="s">
        <v>22</v>
      </c>
      <c r="D77" s="3" t="str">
        <f t="shared" si="4"/>
        <v>PASS</v>
      </c>
      <c r="E77" s="3" t="str">
        <f t="shared" si="5"/>
        <v>PASS</v>
      </c>
      <c r="F77" s="3" t="str">
        <f t="shared" si="6"/>
        <v>PASS</v>
      </c>
      <c r="G77" s="3" t="str">
        <f t="shared" si="7"/>
        <v>FAIL</v>
      </c>
      <c r="H77" s="3">
        <v>49056498.590000004</v>
      </c>
      <c r="I77" s="4">
        <v>0</v>
      </c>
      <c r="J77" s="3">
        <v>41299973.340000004</v>
      </c>
      <c r="K77" s="3">
        <v>2994.35</v>
      </c>
      <c r="L77" s="3">
        <v>0</v>
      </c>
      <c r="M77" t="s">
        <v>23</v>
      </c>
      <c r="N77" t="s">
        <v>41</v>
      </c>
      <c r="O77" s="4">
        <v>0.29308300093445039</v>
      </c>
      <c r="P77" s="4">
        <v>0.7069169990655495</v>
      </c>
      <c r="Q77" t="s">
        <v>76</v>
      </c>
      <c r="R77" s="4">
        <v>7.9141875643227998E-6</v>
      </c>
      <c r="S77" s="3">
        <v>16675207.470000001</v>
      </c>
      <c r="T77" s="4">
        <v>0.3399184195628504</v>
      </c>
    </row>
    <row r="78" spans="1:20" x14ac:dyDescent="0.4">
      <c r="A78" s="2">
        <v>45852</v>
      </c>
      <c r="B78" t="s">
        <v>28</v>
      </c>
      <c r="C78" t="s">
        <v>22</v>
      </c>
      <c r="D78" s="3" t="str">
        <f t="shared" si="4"/>
        <v>PASS</v>
      </c>
      <c r="E78" s="3" t="str">
        <f t="shared" si="5"/>
        <v>PASS</v>
      </c>
      <c r="F78" s="3" t="str">
        <f t="shared" si="6"/>
        <v>PASS</v>
      </c>
      <c r="G78" s="3" t="str">
        <f t="shared" si="7"/>
        <v>FAIL</v>
      </c>
      <c r="H78" s="3">
        <v>15428542.75</v>
      </c>
      <c r="I78" s="4">
        <v>0</v>
      </c>
      <c r="J78" s="3">
        <v>13589449.289999999</v>
      </c>
      <c r="K78" s="3">
        <v>985.9</v>
      </c>
      <c r="L78" s="3">
        <v>0</v>
      </c>
      <c r="M78" t="s">
        <v>23</v>
      </c>
      <c r="N78" t="s">
        <v>39</v>
      </c>
      <c r="O78" s="4">
        <v>0.24776334994513971</v>
      </c>
      <c r="P78" s="4">
        <v>0.75223665005486029</v>
      </c>
      <c r="Q78" t="s">
        <v>77</v>
      </c>
      <c r="R78" s="4">
        <v>2.539802702828558E-6</v>
      </c>
      <c r="S78" s="3">
        <v>4247153.05</v>
      </c>
      <c r="T78" s="4">
        <v>0.27527895011341891</v>
      </c>
    </row>
    <row r="79" spans="1:20" x14ac:dyDescent="0.4">
      <c r="A79" s="2">
        <v>45852</v>
      </c>
      <c r="B79" t="s">
        <v>29</v>
      </c>
      <c r="C79" t="s">
        <v>22</v>
      </c>
      <c r="D79" s="3" t="str">
        <f t="shared" si="4"/>
        <v>PASS</v>
      </c>
      <c r="E79" s="3" t="str">
        <f t="shared" si="5"/>
        <v>PASS</v>
      </c>
      <c r="F79" s="3" t="str">
        <f t="shared" si="6"/>
        <v>PASS</v>
      </c>
      <c r="G79" s="3" t="str">
        <f t="shared" si="7"/>
        <v>FAIL</v>
      </c>
      <c r="H79" s="3">
        <v>34791885.159999996</v>
      </c>
      <c r="I79" s="4">
        <v>0</v>
      </c>
      <c r="J79" s="3">
        <v>32295760.809999999</v>
      </c>
      <c r="K79" s="3">
        <v>2341.5700000000002</v>
      </c>
      <c r="L79" s="3">
        <v>0</v>
      </c>
      <c r="M79" t="s">
        <v>23</v>
      </c>
      <c r="N79" t="s">
        <v>39</v>
      </c>
      <c r="O79" s="4">
        <v>0.25042262458470321</v>
      </c>
      <c r="P79" s="4">
        <v>0.74957737541529679</v>
      </c>
      <c r="Q79" t="s">
        <v>78</v>
      </c>
      <c r="R79" s="4">
        <v>6.1006530860204899E-6</v>
      </c>
      <c r="S79" s="3">
        <v>4767194.6800000006</v>
      </c>
      <c r="T79" s="4">
        <v>0.13702030396101711</v>
      </c>
    </row>
    <row r="80" spans="1:20" x14ac:dyDescent="0.4">
      <c r="A80" s="2">
        <v>45852</v>
      </c>
      <c r="B80" t="s">
        <v>30</v>
      </c>
      <c r="C80" t="s">
        <v>22</v>
      </c>
      <c r="D80" s="3" t="str">
        <f t="shared" si="4"/>
        <v>PASS</v>
      </c>
      <c r="E80" s="3" t="str">
        <f t="shared" si="5"/>
        <v>PASS</v>
      </c>
      <c r="F80" s="3" t="str">
        <f t="shared" si="6"/>
        <v>PASS</v>
      </c>
      <c r="G80" s="3" t="str">
        <f t="shared" si="7"/>
        <v>FAIL</v>
      </c>
      <c r="H80" s="3">
        <v>55599519.789999999</v>
      </c>
      <c r="I80" s="4">
        <v>0</v>
      </c>
      <c r="J80" s="3">
        <v>50365826.630000003</v>
      </c>
      <c r="K80" s="3">
        <v>3653.68</v>
      </c>
      <c r="L80" s="3">
        <v>0</v>
      </c>
      <c r="M80" t="s">
        <v>23</v>
      </c>
      <c r="N80" t="s">
        <v>79</v>
      </c>
      <c r="O80" s="4">
        <v>0.2663585231818521</v>
      </c>
      <c r="P80" s="4">
        <v>0.73364147681814784</v>
      </c>
      <c r="Q80" t="s">
        <v>80</v>
      </c>
      <c r="R80" s="4">
        <v>6.2840378182622399E-5</v>
      </c>
      <c r="S80" s="3">
        <v>10347282.91</v>
      </c>
      <c r="T80" s="4">
        <v>0.1861038179660868</v>
      </c>
    </row>
    <row r="81" spans="1:20" x14ac:dyDescent="0.4">
      <c r="A81" s="2">
        <v>45852</v>
      </c>
      <c r="B81" t="s">
        <v>31</v>
      </c>
      <c r="C81" t="s">
        <v>22</v>
      </c>
      <c r="D81" s="3" t="str">
        <f t="shared" si="4"/>
        <v>PASS</v>
      </c>
      <c r="E81" s="3" t="str">
        <f t="shared" si="5"/>
        <v>PASS</v>
      </c>
      <c r="F81" s="3" t="str">
        <f t="shared" si="6"/>
        <v>PASS</v>
      </c>
      <c r="G81" s="3" t="str">
        <f t="shared" si="7"/>
        <v>FAIL</v>
      </c>
      <c r="H81" s="3">
        <v>40465790.909999996</v>
      </c>
      <c r="I81" s="4">
        <v>0</v>
      </c>
      <c r="J81" s="3">
        <v>34823447.090000004</v>
      </c>
      <c r="K81" s="3">
        <v>2525.5700000000002</v>
      </c>
      <c r="L81" s="3">
        <v>0</v>
      </c>
      <c r="M81" t="s">
        <v>23</v>
      </c>
      <c r="N81" t="s">
        <v>41</v>
      </c>
      <c r="O81" s="4">
        <v>0.283023736981806</v>
      </c>
      <c r="P81" s="4">
        <v>0.71697626301819395</v>
      </c>
      <c r="Q81" t="s">
        <v>81</v>
      </c>
      <c r="R81" s="4">
        <v>6.4424263681504892E-6</v>
      </c>
      <c r="S81" s="3">
        <v>11072740.140000001</v>
      </c>
      <c r="T81" s="4">
        <v>0.27363211964957979</v>
      </c>
    </row>
    <row r="82" spans="1:20" x14ac:dyDescent="0.4">
      <c r="A82" s="2">
        <v>45852</v>
      </c>
      <c r="B82" t="s">
        <v>32</v>
      </c>
      <c r="C82" t="s">
        <v>22</v>
      </c>
      <c r="D82" s="3" t="str">
        <f t="shared" si="4"/>
        <v>PASS</v>
      </c>
      <c r="E82" s="3" t="str">
        <f t="shared" si="5"/>
        <v>PASS</v>
      </c>
      <c r="F82" s="3" t="str">
        <f t="shared" si="6"/>
        <v>PASS</v>
      </c>
      <c r="G82" s="3" t="str">
        <f t="shared" si="7"/>
        <v>FAIL</v>
      </c>
      <c r="H82" s="3">
        <v>78794732.390000001</v>
      </c>
      <c r="I82" s="4">
        <v>0</v>
      </c>
      <c r="J82" s="3">
        <v>70147210.810000002</v>
      </c>
      <c r="K82" s="3">
        <v>5086.0200000000004</v>
      </c>
      <c r="L82" s="3">
        <v>0</v>
      </c>
      <c r="M82" t="s">
        <v>23</v>
      </c>
      <c r="N82" t="s">
        <v>39</v>
      </c>
      <c r="O82" s="4">
        <v>0.2491310665556597</v>
      </c>
      <c r="P82" s="4">
        <v>0.75086893344434036</v>
      </c>
      <c r="Q82" t="s">
        <v>82</v>
      </c>
      <c r="R82" s="4">
        <v>1.3175360026111479E-5</v>
      </c>
      <c r="S82" s="3">
        <v>17719610.48</v>
      </c>
      <c r="T82" s="4">
        <v>0.22488318625533951</v>
      </c>
    </row>
    <row r="83" spans="1:20" x14ac:dyDescent="0.4">
      <c r="A83" s="2">
        <v>45853</v>
      </c>
      <c r="B83" t="s">
        <v>24</v>
      </c>
      <c r="C83" t="s">
        <v>22</v>
      </c>
      <c r="D83" s="3" t="str">
        <f t="shared" si="4"/>
        <v>PASS</v>
      </c>
      <c r="E83" s="3" t="str">
        <f t="shared" si="5"/>
        <v>PASS</v>
      </c>
      <c r="F83" s="3" t="str">
        <f t="shared" si="6"/>
        <v>PASS</v>
      </c>
      <c r="G83" s="3" t="str">
        <f t="shared" si="7"/>
        <v>FAIL</v>
      </c>
      <c r="H83" s="3">
        <v>136768553.56999999</v>
      </c>
      <c r="I83" s="4">
        <v>0</v>
      </c>
      <c r="J83" s="3">
        <v>119494897.56</v>
      </c>
      <c r="K83" s="3">
        <v>8691.4699999999993</v>
      </c>
      <c r="L83" s="3">
        <v>0</v>
      </c>
      <c r="M83" t="s">
        <v>23</v>
      </c>
      <c r="N83" t="s">
        <v>39</v>
      </c>
      <c r="O83" s="4">
        <v>0.25856279858716341</v>
      </c>
      <c r="P83" s="4">
        <v>0.74143720141283664</v>
      </c>
      <c r="Q83" t="s">
        <v>83</v>
      </c>
      <c r="R83" s="4">
        <v>2.2994933638309029E-5</v>
      </c>
      <c r="S83" s="3">
        <v>35141553.940000013</v>
      </c>
      <c r="T83" s="4">
        <v>0.25694176784588191</v>
      </c>
    </row>
    <row r="84" spans="1:20" x14ac:dyDescent="0.4">
      <c r="A84" s="2">
        <v>45853</v>
      </c>
      <c r="B84" t="s">
        <v>25</v>
      </c>
      <c r="C84" t="s">
        <v>22</v>
      </c>
      <c r="D84" s="3" t="str">
        <f t="shared" si="4"/>
        <v>PASS</v>
      </c>
      <c r="E84" s="3" t="str">
        <f t="shared" si="5"/>
        <v>PASS</v>
      </c>
      <c r="F84" s="3" t="str">
        <f t="shared" si="6"/>
        <v>PASS</v>
      </c>
      <c r="G84" s="3" t="str">
        <f t="shared" si="7"/>
        <v>FAIL</v>
      </c>
      <c r="H84" s="3">
        <v>102367614.56</v>
      </c>
      <c r="I84" s="4">
        <v>0</v>
      </c>
      <c r="J84" s="3">
        <v>92278221.370000005</v>
      </c>
      <c r="K84" s="3">
        <v>6709.39</v>
      </c>
      <c r="L84" s="3">
        <v>0</v>
      </c>
      <c r="M84" t="s">
        <v>23</v>
      </c>
      <c r="N84" t="s">
        <v>39</v>
      </c>
      <c r="O84" s="4">
        <v>0.24936859161744801</v>
      </c>
      <c r="P84" s="4">
        <v>0.75063140838255193</v>
      </c>
      <c r="Q84" t="s">
        <v>84</v>
      </c>
      <c r="R84" s="4">
        <v>1.712497751772628E-5</v>
      </c>
      <c r="S84" s="3">
        <v>19193974.07</v>
      </c>
      <c r="T84" s="4">
        <v>0.18750045268222959</v>
      </c>
    </row>
    <row r="85" spans="1:20" x14ac:dyDescent="0.4">
      <c r="A85" s="2">
        <v>45853</v>
      </c>
      <c r="B85" t="s">
        <v>26</v>
      </c>
      <c r="C85" t="s">
        <v>22</v>
      </c>
      <c r="D85" s="3" t="str">
        <f t="shared" si="4"/>
        <v>PASS</v>
      </c>
      <c r="E85" s="3" t="str">
        <f t="shared" si="5"/>
        <v>PASS</v>
      </c>
      <c r="F85" s="3" t="str">
        <f t="shared" si="6"/>
        <v>PASS</v>
      </c>
      <c r="G85" s="3" t="str">
        <f t="shared" si="7"/>
        <v>FAIL</v>
      </c>
      <c r="H85" s="3">
        <v>23750645.699999999</v>
      </c>
      <c r="I85" s="4">
        <v>0</v>
      </c>
      <c r="J85" s="3">
        <v>21455778.5</v>
      </c>
      <c r="K85" s="3">
        <v>1560.65</v>
      </c>
      <c r="L85" s="3">
        <v>0</v>
      </c>
      <c r="M85" t="s">
        <v>23</v>
      </c>
      <c r="N85" t="s">
        <v>39</v>
      </c>
      <c r="O85" s="4">
        <v>0.25141839528218468</v>
      </c>
      <c r="P85" s="4">
        <v>0.74858160471781532</v>
      </c>
      <c r="Q85" t="s">
        <v>85</v>
      </c>
      <c r="R85" s="4">
        <v>4.0136999820141814E-6</v>
      </c>
      <c r="S85" s="3">
        <v>4257652.8</v>
      </c>
      <c r="T85" s="4">
        <v>0.17926471784301851</v>
      </c>
    </row>
    <row r="86" spans="1:20" x14ac:dyDescent="0.4">
      <c r="A86" s="2">
        <v>45853</v>
      </c>
      <c r="B86" t="s">
        <v>27</v>
      </c>
      <c r="C86" t="s">
        <v>22</v>
      </c>
      <c r="D86" s="3" t="str">
        <f t="shared" si="4"/>
        <v>PASS</v>
      </c>
      <c r="E86" s="3" t="str">
        <f t="shared" si="5"/>
        <v>PASS</v>
      </c>
      <c r="F86" s="3" t="str">
        <f t="shared" si="6"/>
        <v>PASS</v>
      </c>
      <c r="G86" s="3" t="str">
        <f t="shared" si="7"/>
        <v>FAIL</v>
      </c>
      <c r="H86" s="3">
        <v>48975733.939999998</v>
      </c>
      <c r="I86" s="4">
        <v>0</v>
      </c>
      <c r="J86" s="3">
        <v>41216210.200000003</v>
      </c>
      <c r="K86" s="3">
        <v>2999.04</v>
      </c>
      <c r="L86" s="3">
        <v>0</v>
      </c>
      <c r="M86" t="s">
        <v>23</v>
      </c>
      <c r="N86" t="s">
        <v>39</v>
      </c>
      <c r="O86" s="4">
        <v>0.2582414702456074</v>
      </c>
      <c r="P86" s="4">
        <v>0.7417585297543926</v>
      </c>
      <c r="Q86" t="s">
        <v>86</v>
      </c>
      <c r="R86" s="4">
        <v>7.9141875643227998E-6</v>
      </c>
      <c r="S86" s="3">
        <v>16638939.25</v>
      </c>
      <c r="T86" s="4">
        <v>0.33973843598514131</v>
      </c>
    </row>
    <row r="87" spans="1:20" x14ac:dyDescent="0.4">
      <c r="A87" s="2">
        <v>45853</v>
      </c>
      <c r="B87" t="s">
        <v>28</v>
      </c>
      <c r="C87" t="s">
        <v>22</v>
      </c>
      <c r="D87" s="3" t="str">
        <f t="shared" si="4"/>
        <v>PASS</v>
      </c>
      <c r="E87" s="3" t="str">
        <f t="shared" si="5"/>
        <v>PASS</v>
      </c>
      <c r="F87" s="3" t="str">
        <f t="shared" si="6"/>
        <v>PASS</v>
      </c>
      <c r="G87" s="3" t="str">
        <f t="shared" si="7"/>
        <v>FAIL</v>
      </c>
      <c r="H87" s="3">
        <v>15405728.48</v>
      </c>
      <c r="I87" s="4">
        <v>0</v>
      </c>
      <c r="J87" s="3">
        <v>13565648.390000001</v>
      </c>
      <c r="K87" s="3">
        <v>987.34</v>
      </c>
      <c r="L87" s="3">
        <v>0</v>
      </c>
      <c r="M87" t="s">
        <v>23</v>
      </c>
      <c r="N87" t="s">
        <v>39</v>
      </c>
      <c r="O87" s="4">
        <v>0.25164050931147569</v>
      </c>
      <c r="P87" s="4">
        <v>0.74835949068852425</v>
      </c>
      <c r="Q87" t="s">
        <v>87</v>
      </c>
      <c r="R87" s="4">
        <v>2.539802702828558E-6</v>
      </c>
      <c r="S87" s="3">
        <v>4243686.79</v>
      </c>
      <c r="T87" s="4">
        <v>0.27546161127720981</v>
      </c>
    </row>
    <row r="88" spans="1:20" x14ac:dyDescent="0.4">
      <c r="A88" s="2">
        <v>45853</v>
      </c>
      <c r="B88" t="s">
        <v>29</v>
      </c>
      <c r="C88" t="s">
        <v>22</v>
      </c>
      <c r="D88" s="3" t="str">
        <f t="shared" si="4"/>
        <v>PASS</v>
      </c>
      <c r="E88" s="3" t="str">
        <f t="shared" si="5"/>
        <v>PASS</v>
      </c>
      <c r="F88" s="3" t="str">
        <f t="shared" si="6"/>
        <v>PASS</v>
      </c>
      <c r="G88" s="3" t="str">
        <f t="shared" si="7"/>
        <v>FAIL</v>
      </c>
      <c r="H88" s="3">
        <v>34735284.490000002</v>
      </c>
      <c r="I88" s="4">
        <v>0</v>
      </c>
      <c r="J88" s="3">
        <v>32236815.379999999</v>
      </c>
      <c r="K88" s="3">
        <v>2345.4699999999998</v>
      </c>
      <c r="L88" s="3">
        <v>0</v>
      </c>
      <c r="M88" t="s">
        <v>23</v>
      </c>
      <c r="N88" t="s">
        <v>39</v>
      </c>
      <c r="O88" s="4">
        <v>0.2543145457564735</v>
      </c>
      <c r="P88" s="4">
        <v>0.7456854542435265</v>
      </c>
      <c r="Q88" t="s">
        <v>88</v>
      </c>
      <c r="R88" s="4">
        <v>6.1006530860204899E-6</v>
      </c>
      <c r="S88" s="3">
        <v>4751294.5600000015</v>
      </c>
      <c r="T88" s="4">
        <v>0.1367858254153024</v>
      </c>
    </row>
    <row r="89" spans="1:20" x14ac:dyDescent="0.4">
      <c r="A89" s="2">
        <v>45853</v>
      </c>
      <c r="B89" t="s">
        <v>30</v>
      </c>
      <c r="C89" t="s">
        <v>22</v>
      </c>
      <c r="D89" s="3" t="str">
        <f t="shared" ref="D89:D140" si="8">IF(J89/H89&gt;=0.75,"PASS","FAIL")</f>
        <v>PASS</v>
      </c>
      <c r="E89" s="3" t="str">
        <f t="shared" ref="E89:E140" si="9">IF(L89=0,"PASS","FAIL")</f>
        <v>PASS</v>
      </c>
      <c r="F89" s="3" t="str">
        <f t="shared" ref="F89:F140" si="10">IF(R89="","",IF(R89&lt;=0.1,"PASS","FAIL"))</f>
        <v>PASS</v>
      </c>
      <c r="G89" s="3" t="str">
        <f t="shared" ref="G89:G140" si="11">IF(S89=0,"PASS",IF(S89&lt;=0.05*J89,"PASS","FAIL"))</f>
        <v>FAIL</v>
      </c>
      <c r="H89" s="3">
        <v>54947598.159999996</v>
      </c>
      <c r="I89" s="4">
        <v>0</v>
      </c>
      <c r="J89" s="3">
        <v>49710248.299999997</v>
      </c>
      <c r="K89" s="3">
        <v>3657.38</v>
      </c>
      <c r="L89" s="3">
        <v>0</v>
      </c>
      <c r="M89" t="s">
        <v>23</v>
      </c>
      <c r="N89" t="s">
        <v>89</v>
      </c>
      <c r="O89" s="4">
        <v>0.26673982592036249</v>
      </c>
      <c r="P89" s="4">
        <v>0.73326017407963739</v>
      </c>
      <c r="Q89" t="s">
        <v>90</v>
      </c>
      <c r="R89" s="4">
        <v>6.2840378182622399E-5</v>
      </c>
      <c r="S89" s="3">
        <v>10389054.84</v>
      </c>
      <c r="T89" s="4">
        <v>0.18907204660244609</v>
      </c>
    </row>
    <row r="90" spans="1:20" x14ac:dyDescent="0.4">
      <c r="A90" s="2">
        <v>45853</v>
      </c>
      <c r="B90" t="s">
        <v>31</v>
      </c>
      <c r="C90" t="s">
        <v>22</v>
      </c>
      <c r="D90" s="3" t="str">
        <f t="shared" si="8"/>
        <v>PASS</v>
      </c>
      <c r="E90" s="3" t="str">
        <f t="shared" si="9"/>
        <v>PASS</v>
      </c>
      <c r="F90" s="3" t="str">
        <f t="shared" si="10"/>
        <v>PASS</v>
      </c>
      <c r="G90" s="3" t="str">
        <f t="shared" si="11"/>
        <v>FAIL</v>
      </c>
      <c r="H90" s="3">
        <v>40407677.479999997</v>
      </c>
      <c r="I90" s="4">
        <v>0</v>
      </c>
      <c r="J90" s="3">
        <v>34762805.380000003</v>
      </c>
      <c r="K90" s="3">
        <v>2528.96</v>
      </c>
      <c r="L90" s="3">
        <v>0</v>
      </c>
      <c r="M90" t="s">
        <v>23</v>
      </c>
      <c r="N90" t="s">
        <v>41</v>
      </c>
      <c r="O90" s="4">
        <v>0.28730429091738618</v>
      </c>
      <c r="P90" s="4">
        <v>0.71269570908261382</v>
      </c>
      <c r="Q90" t="s">
        <v>91</v>
      </c>
      <c r="R90" s="4">
        <v>6.4424263681504892E-6</v>
      </c>
      <c r="S90" s="3">
        <v>11051748.17</v>
      </c>
      <c r="T90" s="4">
        <v>0.27350614683237179</v>
      </c>
    </row>
    <row r="91" spans="1:20" x14ac:dyDescent="0.4">
      <c r="A91" s="2">
        <v>45853</v>
      </c>
      <c r="B91" t="s">
        <v>32</v>
      </c>
      <c r="C91" t="s">
        <v>22</v>
      </c>
      <c r="D91" s="3" t="str">
        <f t="shared" si="8"/>
        <v>PASS</v>
      </c>
      <c r="E91" s="3" t="str">
        <f t="shared" si="9"/>
        <v>PASS</v>
      </c>
      <c r="F91" s="3" t="str">
        <f t="shared" si="10"/>
        <v>PASS</v>
      </c>
      <c r="G91" s="3" t="str">
        <f t="shared" si="11"/>
        <v>FAIL</v>
      </c>
      <c r="H91" s="3">
        <v>78676402.310000002</v>
      </c>
      <c r="I91" s="4">
        <v>0</v>
      </c>
      <c r="J91" s="3">
        <v>70023787.849999994</v>
      </c>
      <c r="K91" s="3">
        <v>5093.59</v>
      </c>
      <c r="L91" s="3">
        <v>0</v>
      </c>
      <c r="M91" t="s">
        <v>23</v>
      </c>
      <c r="N91" t="s">
        <v>39</v>
      </c>
      <c r="O91" s="4">
        <v>0.2530726720748227</v>
      </c>
      <c r="P91" s="4">
        <v>0.74692732792517735</v>
      </c>
      <c r="Q91" t="s">
        <v>92</v>
      </c>
      <c r="R91" s="4">
        <v>1.3175360026111479E-5</v>
      </c>
      <c r="S91" s="3">
        <v>17722830.120000001</v>
      </c>
      <c r="T91" s="4">
        <v>0.2252623353336452</v>
      </c>
    </row>
    <row r="92" spans="1:20" x14ac:dyDescent="0.4">
      <c r="A92" s="2">
        <v>45854</v>
      </c>
      <c r="B92" t="s">
        <v>24</v>
      </c>
      <c r="C92" t="s">
        <v>22</v>
      </c>
      <c r="D92" s="3" t="str">
        <f t="shared" si="8"/>
        <v>PASS</v>
      </c>
      <c r="E92" s="3" t="str">
        <f t="shared" si="9"/>
        <v>PASS</v>
      </c>
      <c r="F92" s="3" t="str">
        <f t="shared" si="10"/>
        <v>PASS</v>
      </c>
      <c r="G92" s="3" t="str">
        <f t="shared" si="11"/>
        <v>FAIL</v>
      </c>
      <c r="H92" s="3">
        <v>137130234.97999999</v>
      </c>
      <c r="I92" s="4">
        <v>0</v>
      </c>
      <c r="J92" s="3">
        <v>119847903.31</v>
      </c>
      <c r="K92" s="3">
        <v>8676.2099999999991</v>
      </c>
      <c r="L92" s="3">
        <v>0</v>
      </c>
      <c r="M92" t="s">
        <v>23</v>
      </c>
      <c r="N92" t="s">
        <v>39</v>
      </c>
      <c r="O92" s="4">
        <v>0.2588789473083023</v>
      </c>
      <c r="P92" s="4">
        <v>0.7411210526916977</v>
      </c>
      <c r="Q92" t="s">
        <v>93</v>
      </c>
      <c r="R92" s="4">
        <v>2.3086785207881461E-5</v>
      </c>
      <c r="S92" s="3">
        <v>35315579.700000003</v>
      </c>
      <c r="T92" s="4">
        <v>0.25753313778796239</v>
      </c>
    </row>
    <row r="93" spans="1:20" x14ac:dyDescent="0.4">
      <c r="A93" s="2">
        <v>45854</v>
      </c>
      <c r="B93" t="s">
        <v>25</v>
      </c>
      <c r="C93" t="s">
        <v>22</v>
      </c>
      <c r="D93" s="3" t="str">
        <f t="shared" si="8"/>
        <v>PASS</v>
      </c>
      <c r="E93" s="3" t="str">
        <f t="shared" si="9"/>
        <v>PASS</v>
      </c>
      <c r="F93" s="3" t="str">
        <f t="shared" si="10"/>
        <v>PASS</v>
      </c>
      <c r="G93" s="3" t="str">
        <f t="shared" si="11"/>
        <v>FAIL</v>
      </c>
      <c r="H93" s="3">
        <v>102607783.69</v>
      </c>
      <c r="I93" s="4">
        <v>0</v>
      </c>
      <c r="J93" s="3">
        <v>92511690.849999994</v>
      </c>
      <c r="K93" s="3">
        <v>6700.33</v>
      </c>
      <c r="L93" s="3">
        <v>0</v>
      </c>
      <c r="M93" t="s">
        <v>23</v>
      </c>
      <c r="N93" t="s">
        <v>39</v>
      </c>
      <c r="O93" s="4">
        <v>0.2497680111421291</v>
      </c>
      <c r="P93" s="4">
        <v>0.7502319888578709</v>
      </c>
      <c r="Q93" t="s">
        <v>94</v>
      </c>
      <c r="R93" s="4">
        <v>1.7193332174152289E-5</v>
      </c>
      <c r="S93" s="3">
        <v>19260721.57</v>
      </c>
      <c r="T93" s="4">
        <v>0.18771209042182169</v>
      </c>
    </row>
    <row r="94" spans="1:20" x14ac:dyDescent="0.4">
      <c r="A94" s="2">
        <v>45854</v>
      </c>
      <c r="B94" t="s">
        <v>26</v>
      </c>
      <c r="C94" t="s">
        <v>22</v>
      </c>
      <c r="D94" s="3" t="str">
        <f t="shared" si="8"/>
        <v>PASS</v>
      </c>
      <c r="E94" s="3" t="str">
        <f t="shared" si="9"/>
        <v>PASS</v>
      </c>
      <c r="F94" s="3" t="str">
        <f t="shared" si="10"/>
        <v>PASS</v>
      </c>
      <c r="G94" s="3" t="str">
        <f t="shared" si="11"/>
        <v>FAIL</v>
      </c>
      <c r="H94" s="3">
        <v>23808224.370000001</v>
      </c>
      <c r="I94" s="4">
        <v>0</v>
      </c>
      <c r="J94" s="3">
        <v>21511799.420000002</v>
      </c>
      <c r="K94" s="3">
        <v>1558.46</v>
      </c>
      <c r="L94" s="3">
        <v>0</v>
      </c>
      <c r="M94" t="s">
        <v>23</v>
      </c>
      <c r="N94" t="s">
        <v>39</v>
      </c>
      <c r="O94" s="4">
        <v>0.25177198904916148</v>
      </c>
      <c r="P94" s="4">
        <v>0.74822801095083846</v>
      </c>
      <c r="Q94" t="s">
        <v>95</v>
      </c>
      <c r="R94" s="4">
        <v>4.0307886461206811E-6</v>
      </c>
      <c r="S94" s="3">
        <v>4274417.08</v>
      </c>
      <c r="T94" s="4">
        <v>0.17953531576197931</v>
      </c>
    </row>
    <row r="95" spans="1:20" x14ac:dyDescent="0.4">
      <c r="A95" s="2">
        <v>45854</v>
      </c>
      <c r="B95" t="s">
        <v>27</v>
      </c>
      <c r="C95" t="s">
        <v>22</v>
      </c>
      <c r="D95" s="3" t="str">
        <f t="shared" si="8"/>
        <v>PASS</v>
      </c>
      <c r="E95" s="3" t="str">
        <f t="shared" si="9"/>
        <v>PASS</v>
      </c>
      <c r="F95" s="3" t="str">
        <f t="shared" si="10"/>
        <v>PASS</v>
      </c>
      <c r="G95" s="3" t="str">
        <f t="shared" si="11"/>
        <v>FAIL</v>
      </c>
      <c r="H95" s="3">
        <v>49107279.079999998</v>
      </c>
      <c r="I95" s="4">
        <v>0</v>
      </c>
      <c r="J95" s="3">
        <v>41344762.93</v>
      </c>
      <c r="K95" s="3">
        <v>2992.96</v>
      </c>
      <c r="L95" s="3">
        <v>0</v>
      </c>
      <c r="M95" t="s">
        <v>23</v>
      </c>
      <c r="N95" t="s">
        <v>39</v>
      </c>
      <c r="O95" s="4">
        <v>0.25830516515674212</v>
      </c>
      <c r="P95" s="4">
        <v>0.74169483484325793</v>
      </c>
      <c r="Q95" t="s">
        <v>96</v>
      </c>
      <c r="R95" s="4">
        <v>7.9398205604825494E-6</v>
      </c>
      <c r="S95" s="3">
        <v>16701591.710000001</v>
      </c>
      <c r="T95" s="4">
        <v>0.34010419682979509</v>
      </c>
    </row>
    <row r="96" spans="1:20" x14ac:dyDescent="0.4">
      <c r="A96" s="2">
        <v>45854</v>
      </c>
      <c r="B96" t="s">
        <v>28</v>
      </c>
      <c r="C96" t="s">
        <v>22</v>
      </c>
      <c r="D96" s="3" t="str">
        <f t="shared" si="8"/>
        <v>PASS</v>
      </c>
      <c r="E96" s="3" t="str">
        <f t="shared" si="9"/>
        <v>PASS</v>
      </c>
      <c r="F96" s="3" t="str">
        <f t="shared" si="10"/>
        <v>PASS</v>
      </c>
      <c r="G96" s="3" t="str">
        <f t="shared" si="11"/>
        <v>FAIL</v>
      </c>
      <c r="H96" s="3">
        <v>15445946.17</v>
      </c>
      <c r="I96" s="4">
        <v>0</v>
      </c>
      <c r="J96" s="3">
        <v>13605322.380000001</v>
      </c>
      <c r="K96" s="3">
        <v>985.61</v>
      </c>
      <c r="L96" s="3">
        <v>0</v>
      </c>
      <c r="M96" t="s">
        <v>23</v>
      </c>
      <c r="N96" t="s">
        <v>39</v>
      </c>
      <c r="O96" s="4">
        <v>0.25167417355971528</v>
      </c>
      <c r="P96" s="4">
        <v>0.74832582644028467</v>
      </c>
      <c r="Q96" t="s">
        <v>97</v>
      </c>
      <c r="R96" s="4">
        <v>2.5462109518684958E-6</v>
      </c>
      <c r="S96" s="3">
        <v>4259282.6099999994</v>
      </c>
      <c r="T96" s="4">
        <v>0.27575407573753052</v>
      </c>
    </row>
    <row r="97" spans="1:20" x14ac:dyDescent="0.4">
      <c r="A97" s="2">
        <v>45854</v>
      </c>
      <c r="B97" t="s">
        <v>29</v>
      </c>
      <c r="C97" t="s">
        <v>22</v>
      </c>
      <c r="D97" s="3" t="str">
        <f t="shared" si="8"/>
        <v>PASS</v>
      </c>
      <c r="E97" s="3" t="str">
        <f t="shared" si="9"/>
        <v>PASS</v>
      </c>
      <c r="F97" s="3" t="str">
        <f t="shared" si="10"/>
        <v>PASS</v>
      </c>
      <c r="G97" s="3" t="str">
        <f t="shared" si="11"/>
        <v>FAIL</v>
      </c>
      <c r="H97" s="3">
        <v>34828542.359999999</v>
      </c>
      <c r="I97" s="4">
        <v>0</v>
      </c>
      <c r="J97" s="3">
        <v>32327732.77</v>
      </c>
      <c r="K97" s="3">
        <v>2341.19</v>
      </c>
      <c r="L97" s="3">
        <v>0</v>
      </c>
      <c r="M97" t="s">
        <v>23</v>
      </c>
      <c r="N97" t="s">
        <v>39</v>
      </c>
      <c r="O97" s="4">
        <v>0.25465123528982953</v>
      </c>
      <c r="P97" s="4">
        <v>0.74534876471017053</v>
      </c>
      <c r="Q97" t="s">
        <v>98</v>
      </c>
      <c r="R97" s="4">
        <v>6.1241499991669266E-6</v>
      </c>
      <c r="S97" s="3">
        <v>4780351.1900000004</v>
      </c>
      <c r="T97" s="4">
        <v>0.1372538402724012</v>
      </c>
    </row>
    <row r="98" spans="1:20" x14ac:dyDescent="0.4">
      <c r="A98" s="2">
        <v>45854</v>
      </c>
      <c r="B98" t="s">
        <v>30</v>
      </c>
      <c r="C98" t="s">
        <v>22</v>
      </c>
      <c r="D98" s="3" t="str">
        <f t="shared" si="8"/>
        <v>PASS</v>
      </c>
      <c r="E98" s="3" t="str">
        <f t="shared" si="9"/>
        <v>PASS</v>
      </c>
      <c r="F98" s="3" t="str">
        <f t="shared" si="10"/>
        <v>PASS</v>
      </c>
      <c r="G98" s="3" t="str">
        <f t="shared" si="11"/>
        <v>FAIL</v>
      </c>
      <c r="H98" s="3">
        <v>55101419.509999998</v>
      </c>
      <c r="I98" s="4">
        <v>0</v>
      </c>
      <c r="J98" s="3">
        <v>49860460.549999997</v>
      </c>
      <c r="K98" s="3">
        <v>3609.78</v>
      </c>
      <c r="L98" s="3">
        <v>0</v>
      </c>
      <c r="M98" t="s">
        <v>23</v>
      </c>
      <c r="N98" t="s">
        <v>99</v>
      </c>
      <c r="O98" s="4">
        <v>0.26652733615794888</v>
      </c>
      <c r="P98" s="4">
        <v>0.73347266384205101</v>
      </c>
      <c r="Q98" t="s">
        <v>100</v>
      </c>
      <c r="R98" s="4">
        <v>6.2840378182622399E-5</v>
      </c>
      <c r="S98" s="3">
        <v>10428911.560000001</v>
      </c>
      <c r="T98" s="4">
        <v>0.18926756611247239</v>
      </c>
    </row>
    <row r="99" spans="1:20" x14ac:dyDescent="0.4">
      <c r="A99" s="2">
        <v>45854</v>
      </c>
      <c r="B99" t="s">
        <v>31</v>
      </c>
      <c r="C99" t="s">
        <v>22</v>
      </c>
      <c r="D99" s="3" t="str">
        <f t="shared" si="8"/>
        <v>PASS</v>
      </c>
      <c r="E99" s="3" t="str">
        <f t="shared" si="9"/>
        <v>PASS</v>
      </c>
      <c r="F99" s="3" t="str">
        <f t="shared" si="10"/>
        <v>PASS</v>
      </c>
      <c r="G99" s="3" t="str">
        <f t="shared" si="11"/>
        <v>FAIL</v>
      </c>
      <c r="H99" s="3">
        <v>40514381.219999999</v>
      </c>
      <c r="I99" s="4">
        <v>0</v>
      </c>
      <c r="J99" s="3">
        <v>34866985.25</v>
      </c>
      <c r="K99" s="3">
        <v>2524.5500000000002</v>
      </c>
      <c r="L99" s="3">
        <v>0</v>
      </c>
      <c r="M99" t="s">
        <v>23</v>
      </c>
      <c r="N99" t="s">
        <v>41</v>
      </c>
      <c r="O99" s="4">
        <v>0.28757577261429568</v>
      </c>
      <c r="P99" s="4">
        <v>0.71242422738570432</v>
      </c>
      <c r="Q99" t="s">
        <v>101</v>
      </c>
      <c r="R99" s="4">
        <v>6.4637871982836148E-6</v>
      </c>
      <c r="S99" s="3">
        <v>11089984.449999999</v>
      </c>
      <c r="T99" s="4">
        <v>0.27372957740066411</v>
      </c>
    </row>
    <row r="100" spans="1:20" x14ac:dyDescent="0.4">
      <c r="A100" s="2">
        <v>45854</v>
      </c>
      <c r="B100" t="s">
        <v>32</v>
      </c>
      <c r="C100" t="s">
        <v>22</v>
      </c>
      <c r="D100" s="3" t="str">
        <f t="shared" si="8"/>
        <v>PASS</v>
      </c>
      <c r="E100" s="3" t="str">
        <f t="shared" si="9"/>
        <v>PASS</v>
      </c>
      <c r="F100" s="3" t="str">
        <f t="shared" si="10"/>
        <v>PASS</v>
      </c>
      <c r="G100" s="3" t="str">
        <f t="shared" si="11"/>
        <v>FAIL</v>
      </c>
      <c r="H100" s="3">
        <v>78891840.799999997</v>
      </c>
      <c r="I100" s="4">
        <v>0</v>
      </c>
      <c r="J100" s="3">
        <v>70234142.420000002</v>
      </c>
      <c r="K100" s="3">
        <v>5084.63</v>
      </c>
      <c r="L100" s="3">
        <v>0</v>
      </c>
      <c r="M100" t="s">
        <v>23</v>
      </c>
      <c r="N100" t="s">
        <v>39</v>
      </c>
      <c r="O100" s="4">
        <v>0.25315438909576432</v>
      </c>
      <c r="P100" s="4">
        <v>0.74684561090423573</v>
      </c>
      <c r="Q100" t="s">
        <v>102</v>
      </c>
      <c r="R100" s="4">
        <v>1.3218081686377731E-5</v>
      </c>
      <c r="S100" s="3">
        <v>17803492.780000001</v>
      </c>
      <c r="T100" s="4">
        <v>0.225669633253126</v>
      </c>
    </row>
    <row r="101" spans="1:20" x14ac:dyDescent="0.4">
      <c r="A101" s="2">
        <v>45855</v>
      </c>
      <c r="B101" t="s">
        <v>24</v>
      </c>
      <c r="C101" t="s">
        <v>22</v>
      </c>
      <c r="D101" s="3" t="str">
        <f t="shared" si="8"/>
        <v>PASS</v>
      </c>
      <c r="E101" s="3" t="str">
        <f t="shared" si="9"/>
        <v>PASS</v>
      </c>
      <c r="F101" s="3" t="str">
        <f t="shared" si="10"/>
        <v>PASS</v>
      </c>
      <c r="G101" s="3" t="str">
        <f t="shared" si="11"/>
        <v>FAIL</v>
      </c>
      <c r="H101" s="3">
        <v>137350114.94999999</v>
      </c>
      <c r="I101" s="4">
        <v>0</v>
      </c>
      <c r="J101" s="3">
        <v>120059081.98999999</v>
      </c>
      <c r="K101" s="3">
        <v>8701.84</v>
      </c>
      <c r="L101" s="3">
        <v>0</v>
      </c>
      <c r="M101" t="s">
        <v>23</v>
      </c>
      <c r="N101" t="s">
        <v>39</v>
      </c>
      <c r="O101" s="4">
        <v>0.25984304862999402</v>
      </c>
      <c r="P101" s="4">
        <v>0.74015695137000603</v>
      </c>
      <c r="Q101" t="s">
        <v>103</v>
      </c>
      <c r="R101" s="4">
        <v>2.3086785207881461E-5</v>
      </c>
      <c r="S101" s="3">
        <v>35541852.360000007</v>
      </c>
      <c r="T101" s="4">
        <v>0.25876827531552071</v>
      </c>
    </row>
    <row r="102" spans="1:20" x14ac:dyDescent="0.4">
      <c r="A102" s="2">
        <v>45855</v>
      </c>
      <c r="B102" t="s">
        <v>25</v>
      </c>
      <c r="C102" t="s">
        <v>22</v>
      </c>
      <c r="D102" s="3" t="str">
        <f t="shared" si="8"/>
        <v>PASS</v>
      </c>
      <c r="E102" s="3" t="str">
        <f t="shared" si="9"/>
        <v>PASS</v>
      </c>
      <c r="F102" s="3" t="str">
        <f t="shared" si="10"/>
        <v>PASS</v>
      </c>
      <c r="G102" s="3" t="str">
        <f t="shared" si="11"/>
        <v>FAIL</v>
      </c>
      <c r="H102" s="3">
        <v>102708196.01000001</v>
      </c>
      <c r="I102" s="4">
        <v>0</v>
      </c>
      <c r="J102" s="3">
        <v>92605386.569999993</v>
      </c>
      <c r="K102" s="3">
        <v>6717.28</v>
      </c>
      <c r="L102" s="3">
        <v>0</v>
      </c>
      <c r="M102" t="s">
        <v>23</v>
      </c>
      <c r="N102" t="s">
        <v>39</v>
      </c>
      <c r="O102" s="4">
        <v>0.25088712331477497</v>
      </c>
      <c r="P102" s="4">
        <v>0.74911287668522497</v>
      </c>
      <c r="Q102" t="s">
        <v>104</v>
      </c>
      <c r="R102" s="4">
        <v>1.7193332174152289E-5</v>
      </c>
      <c r="S102" s="3">
        <v>19201828.280000001</v>
      </c>
      <c r="T102" s="4">
        <v>0.18695517033645931</v>
      </c>
    </row>
    <row r="103" spans="1:20" x14ac:dyDescent="0.4">
      <c r="A103" s="2">
        <v>45855</v>
      </c>
      <c r="B103" t="s">
        <v>26</v>
      </c>
      <c r="C103" t="s">
        <v>22</v>
      </c>
      <c r="D103" s="3" t="str">
        <f t="shared" si="8"/>
        <v>PASS</v>
      </c>
      <c r="E103" s="3" t="str">
        <f t="shared" si="9"/>
        <v>PASS</v>
      </c>
      <c r="F103" s="3" t="str">
        <f t="shared" si="10"/>
        <v>PASS</v>
      </c>
      <c r="G103" s="3" t="str">
        <f t="shared" si="11"/>
        <v>FAIL</v>
      </c>
      <c r="H103" s="3">
        <v>23840865.23</v>
      </c>
      <c r="I103" s="4">
        <v>0</v>
      </c>
      <c r="J103" s="3">
        <v>21542878.460000001</v>
      </c>
      <c r="K103" s="3">
        <v>1562.53</v>
      </c>
      <c r="L103" s="3">
        <v>0</v>
      </c>
      <c r="M103" t="s">
        <v>23</v>
      </c>
      <c r="N103" t="s">
        <v>39</v>
      </c>
      <c r="O103" s="4">
        <v>0.25279688738493677</v>
      </c>
      <c r="P103" s="4">
        <v>0.74720311261506323</v>
      </c>
      <c r="Q103" t="s">
        <v>105</v>
      </c>
      <c r="R103" s="4">
        <v>4.0307886461206811E-6</v>
      </c>
      <c r="S103" s="3">
        <v>4291381.1000000006</v>
      </c>
      <c r="T103" s="4">
        <v>0.18000106366106081</v>
      </c>
    </row>
    <row r="104" spans="1:20" x14ac:dyDescent="0.4">
      <c r="A104" s="2">
        <v>45855</v>
      </c>
      <c r="B104" t="s">
        <v>27</v>
      </c>
      <c r="C104" t="s">
        <v>22</v>
      </c>
      <c r="D104" s="3" t="str">
        <f t="shared" si="8"/>
        <v>PASS</v>
      </c>
      <c r="E104" s="3" t="str">
        <f t="shared" si="9"/>
        <v>PASS</v>
      </c>
      <c r="F104" s="3" t="str">
        <f t="shared" si="10"/>
        <v>PASS</v>
      </c>
      <c r="G104" s="3" t="str">
        <f t="shared" si="11"/>
        <v>FAIL</v>
      </c>
      <c r="H104" s="3">
        <v>49190522.280000001</v>
      </c>
      <c r="I104" s="4">
        <v>0</v>
      </c>
      <c r="J104" s="3">
        <v>41425004.390000001</v>
      </c>
      <c r="K104" s="3">
        <v>3002.29</v>
      </c>
      <c r="L104" s="3">
        <v>0</v>
      </c>
      <c r="M104" t="s">
        <v>23</v>
      </c>
      <c r="N104" t="s">
        <v>39</v>
      </c>
      <c r="O104" s="4">
        <v>0.25928392713925308</v>
      </c>
      <c r="P104" s="4">
        <v>0.74071607286074692</v>
      </c>
      <c r="Q104" t="s">
        <v>106</v>
      </c>
      <c r="R104" s="4">
        <v>7.9398205604825494E-6</v>
      </c>
      <c r="S104" s="3">
        <v>16835752.600000001</v>
      </c>
      <c r="T104" s="4">
        <v>0.34225602452782089</v>
      </c>
    </row>
    <row r="105" spans="1:20" x14ac:dyDescent="0.4">
      <c r="A105" s="2">
        <v>45855</v>
      </c>
      <c r="B105" t="s">
        <v>28</v>
      </c>
      <c r="C105" t="s">
        <v>22</v>
      </c>
      <c r="D105" s="3" t="str">
        <f t="shared" si="8"/>
        <v>PASS</v>
      </c>
      <c r="E105" s="3" t="str">
        <f t="shared" si="9"/>
        <v>PASS</v>
      </c>
      <c r="F105" s="3" t="str">
        <f t="shared" si="10"/>
        <v>PASS</v>
      </c>
      <c r="G105" s="3" t="str">
        <f t="shared" si="11"/>
        <v>FAIL</v>
      </c>
      <c r="H105" s="3">
        <v>15464614.029999999</v>
      </c>
      <c r="I105" s="4">
        <v>0</v>
      </c>
      <c r="J105" s="3">
        <v>13623002.460000001</v>
      </c>
      <c r="K105" s="3">
        <v>988.49</v>
      </c>
      <c r="L105" s="3">
        <v>0</v>
      </c>
      <c r="M105" t="s">
        <v>23</v>
      </c>
      <c r="N105" t="s">
        <v>39</v>
      </c>
      <c r="O105" s="4">
        <v>0.25274913882677219</v>
      </c>
      <c r="P105" s="4">
        <v>0.74725086117322781</v>
      </c>
      <c r="Q105" t="s">
        <v>107</v>
      </c>
      <c r="R105" s="4">
        <v>2.5462109518684958E-6</v>
      </c>
      <c r="S105" s="3">
        <v>4279363.9399999985</v>
      </c>
      <c r="T105" s="4">
        <v>0.27671973782846487</v>
      </c>
    </row>
    <row r="106" spans="1:20" x14ac:dyDescent="0.4">
      <c r="A106" s="2">
        <v>45855</v>
      </c>
      <c r="B106" t="s">
        <v>29</v>
      </c>
      <c r="C106" t="s">
        <v>22</v>
      </c>
      <c r="D106" s="3" t="str">
        <f t="shared" si="8"/>
        <v>PASS</v>
      </c>
      <c r="E106" s="3" t="str">
        <f t="shared" si="9"/>
        <v>PASS</v>
      </c>
      <c r="F106" s="3" t="str">
        <f t="shared" si="10"/>
        <v>PASS</v>
      </c>
      <c r="G106" s="3" t="str">
        <f t="shared" si="11"/>
        <v>FAIL</v>
      </c>
      <c r="H106" s="3">
        <v>34897319.880000003</v>
      </c>
      <c r="I106" s="4">
        <v>0</v>
      </c>
      <c r="J106" s="3">
        <v>32394163.210000001</v>
      </c>
      <c r="K106" s="3">
        <v>2347.79</v>
      </c>
      <c r="L106" s="3">
        <v>0</v>
      </c>
      <c r="M106" t="s">
        <v>23</v>
      </c>
      <c r="N106" t="s">
        <v>39</v>
      </c>
      <c r="O106" s="4">
        <v>0.2555349865448801</v>
      </c>
      <c r="P106" s="4">
        <v>0.74446501345511984</v>
      </c>
      <c r="Q106" t="s">
        <v>108</v>
      </c>
      <c r="R106" s="4">
        <v>6.1241499991669266E-6</v>
      </c>
      <c r="S106" s="3">
        <v>4806334.1899999985</v>
      </c>
      <c r="T106" s="4">
        <v>0.13772788874696809</v>
      </c>
    </row>
    <row r="107" spans="1:20" x14ac:dyDescent="0.4">
      <c r="A107" s="2">
        <v>45855</v>
      </c>
      <c r="B107" t="s">
        <v>30</v>
      </c>
      <c r="C107" t="s">
        <v>22</v>
      </c>
      <c r="D107" s="3" t="str">
        <f t="shared" si="8"/>
        <v>PASS</v>
      </c>
      <c r="E107" s="3" t="str">
        <f t="shared" si="9"/>
        <v>PASS</v>
      </c>
      <c r="F107" s="3" t="str">
        <f t="shared" si="10"/>
        <v>PASS</v>
      </c>
      <c r="G107" s="3" t="str">
        <f t="shared" si="11"/>
        <v>FAIL</v>
      </c>
      <c r="H107" s="3">
        <v>55242924.799999997</v>
      </c>
      <c r="I107" s="4">
        <v>0</v>
      </c>
      <c r="J107" s="3">
        <v>49998345.829999998</v>
      </c>
      <c r="K107" s="3">
        <v>3620.69</v>
      </c>
      <c r="L107" s="3">
        <v>0</v>
      </c>
      <c r="M107" t="s">
        <v>23</v>
      </c>
      <c r="N107" t="s">
        <v>109</v>
      </c>
      <c r="O107" s="4">
        <v>0.26827381580995802</v>
      </c>
      <c r="P107" s="4">
        <v>0.73172618419004198</v>
      </c>
      <c r="Q107" t="s">
        <v>110</v>
      </c>
      <c r="R107" s="4">
        <v>6.2840378182622399E-5</v>
      </c>
      <c r="S107" s="3">
        <v>10378476.859999999</v>
      </c>
      <c r="T107" s="4">
        <v>0.18786979323730521</v>
      </c>
    </row>
    <row r="108" spans="1:20" x14ac:dyDescent="0.4">
      <c r="A108" s="2">
        <v>45855</v>
      </c>
      <c r="B108" t="s">
        <v>31</v>
      </c>
      <c r="C108" t="s">
        <v>22</v>
      </c>
      <c r="D108" s="3" t="str">
        <f t="shared" si="8"/>
        <v>PASS</v>
      </c>
      <c r="E108" s="3" t="str">
        <f t="shared" si="9"/>
        <v>PASS</v>
      </c>
      <c r="F108" s="3" t="str">
        <f t="shared" si="10"/>
        <v>PASS</v>
      </c>
      <c r="G108" s="3" t="str">
        <f t="shared" si="11"/>
        <v>FAIL</v>
      </c>
      <c r="H108" s="3">
        <v>40561608.82</v>
      </c>
      <c r="I108" s="4">
        <v>0</v>
      </c>
      <c r="J108" s="3">
        <v>34911681.409999996</v>
      </c>
      <c r="K108" s="3">
        <v>2532.12</v>
      </c>
      <c r="L108" s="3">
        <v>0</v>
      </c>
      <c r="M108" t="s">
        <v>23</v>
      </c>
      <c r="N108" t="s">
        <v>41</v>
      </c>
      <c r="O108" s="4">
        <v>0.28880451793742468</v>
      </c>
      <c r="P108" s="4">
        <v>0.71119548206257532</v>
      </c>
      <c r="Q108" t="s">
        <v>111</v>
      </c>
      <c r="R108" s="4">
        <v>6.4637871982836148E-6</v>
      </c>
      <c r="S108" s="3">
        <v>11125231.51</v>
      </c>
      <c r="T108" s="4">
        <v>0.27427983834098818</v>
      </c>
    </row>
    <row r="109" spans="1:20" x14ac:dyDescent="0.4">
      <c r="A109" s="2">
        <v>45855</v>
      </c>
      <c r="B109" t="s">
        <v>32</v>
      </c>
      <c r="C109" t="s">
        <v>22</v>
      </c>
      <c r="D109" s="3" t="str">
        <f t="shared" si="8"/>
        <v>PASS</v>
      </c>
      <c r="E109" s="3" t="str">
        <f t="shared" si="9"/>
        <v>PASS</v>
      </c>
      <c r="F109" s="3" t="str">
        <f t="shared" si="10"/>
        <v>PASS</v>
      </c>
      <c r="G109" s="3" t="str">
        <f t="shared" si="11"/>
        <v>FAIL</v>
      </c>
      <c r="H109" s="3">
        <v>79015994.519999996</v>
      </c>
      <c r="I109" s="4">
        <v>0</v>
      </c>
      <c r="J109" s="3">
        <v>70353196.950000003</v>
      </c>
      <c r="K109" s="3">
        <v>5099.8999999999996</v>
      </c>
      <c r="L109" s="3">
        <v>0</v>
      </c>
      <c r="M109" t="s">
        <v>23</v>
      </c>
      <c r="N109" t="s">
        <v>39</v>
      </c>
      <c r="O109" s="4">
        <v>0.25417238441500561</v>
      </c>
      <c r="P109" s="4">
        <v>0.74582761558499433</v>
      </c>
      <c r="Q109" t="s">
        <v>112</v>
      </c>
      <c r="R109" s="4">
        <v>1.3218081686377731E-5</v>
      </c>
      <c r="S109" s="3">
        <v>17879224.800000001</v>
      </c>
      <c r="T109" s="4">
        <v>0.2262734894195951</v>
      </c>
    </row>
    <row r="110" spans="1:20" x14ac:dyDescent="0.4">
      <c r="A110" s="2">
        <v>45856</v>
      </c>
      <c r="B110" t="s">
        <v>24</v>
      </c>
      <c r="C110" t="s">
        <v>22</v>
      </c>
      <c r="D110" s="3" t="str">
        <f t="shared" si="8"/>
        <v>PASS</v>
      </c>
      <c r="E110" s="3" t="str">
        <f t="shared" si="9"/>
        <v>PASS</v>
      </c>
      <c r="F110" s="3" t="str">
        <f t="shared" si="10"/>
        <v>PASS</v>
      </c>
      <c r="G110" s="3" t="str">
        <f t="shared" si="11"/>
        <v>FAIL</v>
      </c>
      <c r="H110" s="3">
        <v>137320890.16999999</v>
      </c>
      <c r="I110" s="4">
        <v>0</v>
      </c>
      <c r="J110" s="3">
        <v>120003707.34999999</v>
      </c>
      <c r="K110" s="3">
        <v>26151.51</v>
      </c>
      <c r="L110" s="3">
        <v>0</v>
      </c>
      <c r="M110" t="s">
        <v>23</v>
      </c>
      <c r="N110" t="s">
        <v>39</v>
      </c>
      <c r="O110" s="4">
        <v>0.26040440899761919</v>
      </c>
      <c r="P110" s="4">
        <v>0.73959559100238081</v>
      </c>
      <c r="Q110" t="s">
        <v>113</v>
      </c>
      <c r="R110" s="4">
        <v>2.3086785207881461E-5</v>
      </c>
      <c r="S110" s="3">
        <v>35575314.799999997</v>
      </c>
      <c r="T110" s="4">
        <v>0.25906702728156372</v>
      </c>
    </row>
    <row r="111" spans="1:20" x14ac:dyDescent="0.4">
      <c r="A111" s="2">
        <v>45856</v>
      </c>
      <c r="B111" t="s">
        <v>25</v>
      </c>
      <c r="C111" t="s">
        <v>22</v>
      </c>
      <c r="D111" s="3" t="str">
        <f t="shared" si="8"/>
        <v>PASS</v>
      </c>
      <c r="E111" s="3" t="str">
        <f t="shared" si="9"/>
        <v>PASS</v>
      </c>
      <c r="F111" s="3" t="str">
        <f t="shared" si="10"/>
        <v>PASS</v>
      </c>
      <c r="G111" s="3" t="str">
        <f t="shared" si="11"/>
        <v>FAIL</v>
      </c>
      <c r="H111" s="3">
        <v>102700777.92</v>
      </c>
      <c r="I111" s="4">
        <v>0</v>
      </c>
      <c r="J111" s="3">
        <v>92577798.280000001</v>
      </c>
      <c r="K111" s="3">
        <v>20172.240000000002</v>
      </c>
      <c r="L111" s="3">
        <v>0</v>
      </c>
      <c r="M111" t="s">
        <v>23</v>
      </c>
      <c r="N111" t="s">
        <v>39</v>
      </c>
      <c r="O111" s="4">
        <v>0.25138731231878669</v>
      </c>
      <c r="P111" s="4">
        <v>0.74861268768121325</v>
      </c>
      <c r="Q111" t="s">
        <v>114</v>
      </c>
      <c r="R111" s="4">
        <v>1.7193332174152289E-5</v>
      </c>
      <c r="S111" s="3">
        <v>19256604.57</v>
      </c>
      <c r="T111" s="4">
        <v>0.18750203221440209</v>
      </c>
    </row>
    <row r="112" spans="1:20" x14ac:dyDescent="0.4">
      <c r="A112" s="2">
        <v>45856</v>
      </c>
      <c r="B112" t="s">
        <v>26</v>
      </c>
      <c r="C112" t="s">
        <v>22</v>
      </c>
      <c r="D112" s="3" t="str">
        <f t="shared" si="8"/>
        <v>PASS</v>
      </c>
      <c r="E112" s="3" t="str">
        <f t="shared" si="9"/>
        <v>PASS</v>
      </c>
      <c r="F112" s="3" t="str">
        <f t="shared" si="10"/>
        <v>PASS</v>
      </c>
      <c r="G112" s="3" t="str">
        <f t="shared" si="11"/>
        <v>FAIL</v>
      </c>
      <c r="H112" s="3">
        <v>23831275.920000002</v>
      </c>
      <c r="I112" s="4">
        <v>0</v>
      </c>
      <c r="J112" s="3">
        <v>21528596.940000001</v>
      </c>
      <c r="K112" s="3">
        <v>4694.34</v>
      </c>
      <c r="L112" s="3">
        <v>0</v>
      </c>
      <c r="M112" t="s">
        <v>23</v>
      </c>
      <c r="N112" t="s">
        <v>39</v>
      </c>
      <c r="O112" s="4">
        <v>0.2533910340373533</v>
      </c>
      <c r="P112" s="4">
        <v>0.7466089659626467</v>
      </c>
      <c r="Q112" t="s">
        <v>115</v>
      </c>
      <c r="R112" s="4">
        <v>4.0307886461206811E-6</v>
      </c>
      <c r="S112" s="3">
        <v>4286445.08</v>
      </c>
      <c r="T112" s="4">
        <v>0.1798663694881176</v>
      </c>
    </row>
    <row r="113" spans="1:20" x14ac:dyDescent="0.4">
      <c r="A113" s="2">
        <v>45856</v>
      </c>
      <c r="B113" t="s">
        <v>27</v>
      </c>
      <c r="C113" t="s">
        <v>22</v>
      </c>
      <c r="D113" s="3" t="str">
        <f t="shared" si="8"/>
        <v>PASS</v>
      </c>
      <c r="E113" s="3" t="str">
        <f t="shared" si="9"/>
        <v>PASS</v>
      </c>
      <c r="F113" s="3" t="str">
        <f t="shared" si="10"/>
        <v>PASS</v>
      </c>
      <c r="G113" s="3" t="str">
        <f t="shared" si="11"/>
        <v>FAIL</v>
      </c>
      <c r="H113" s="3">
        <v>49180956.75</v>
      </c>
      <c r="I113" s="4">
        <v>0</v>
      </c>
      <c r="J113" s="3">
        <v>41406416.149999999</v>
      </c>
      <c r="K113" s="3">
        <v>9024.36</v>
      </c>
      <c r="L113" s="3">
        <v>0</v>
      </c>
      <c r="M113" t="s">
        <v>23</v>
      </c>
      <c r="N113" t="s">
        <v>39</v>
      </c>
      <c r="O113" s="4">
        <v>0.25980843454378511</v>
      </c>
      <c r="P113" s="4">
        <v>0.74019156545621489</v>
      </c>
      <c r="Q113" t="s">
        <v>116</v>
      </c>
      <c r="R113" s="4">
        <v>7.9398205604825494E-6</v>
      </c>
      <c r="S113" s="3">
        <v>16848148.510000002</v>
      </c>
      <c r="T113" s="4">
        <v>0.34257463911577929</v>
      </c>
    </row>
    <row r="114" spans="1:20" x14ac:dyDescent="0.4">
      <c r="A114" s="2">
        <v>45856</v>
      </c>
      <c r="B114" t="s">
        <v>28</v>
      </c>
      <c r="C114" t="s">
        <v>22</v>
      </c>
      <c r="D114" s="3" t="str">
        <f t="shared" si="8"/>
        <v>PASS</v>
      </c>
      <c r="E114" s="3" t="str">
        <f t="shared" si="9"/>
        <v>PASS</v>
      </c>
      <c r="F114" s="3" t="str">
        <f t="shared" si="10"/>
        <v>PASS</v>
      </c>
      <c r="G114" s="3" t="str">
        <f t="shared" si="11"/>
        <v>FAIL</v>
      </c>
      <c r="H114" s="3">
        <v>15460794.34</v>
      </c>
      <c r="I114" s="4">
        <v>0</v>
      </c>
      <c r="J114" s="3">
        <v>13616215.560000001</v>
      </c>
      <c r="K114" s="3">
        <v>2969.34</v>
      </c>
      <c r="L114" s="3">
        <v>0</v>
      </c>
      <c r="M114" t="s">
        <v>23</v>
      </c>
      <c r="N114" t="s">
        <v>39</v>
      </c>
      <c r="O114" s="4">
        <v>0.25329140206414302</v>
      </c>
      <c r="P114" s="4">
        <v>0.74670859793585698</v>
      </c>
      <c r="Q114" t="s">
        <v>117</v>
      </c>
      <c r="R114" s="4">
        <v>2.5462109518684958E-6</v>
      </c>
      <c r="S114" s="3">
        <v>4281298.72</v>
      </c>
      <c r="T114" s="4">
        <v>0.27691324429065522</v>
      </c>
    </row>
    <row r="115" spans="1:20" x14ac:dyDescent="0.4">
      <c r="A115" s="2">
        <v>45856</v>
      </c>
      <c r="B115" t="s">
        <v>29</v>
      </c>
      <c r="C115" t="s">
        <v>22</v>
      </c>
      <c r="D115" s="3" t="str">
        <f t="shared" si="8"/>
        <v>PASS</v>
      </c>
      <c r="E115" s="3" t="str">
        <f t="shared" si="9"/>
        <v>PASS</v>
      </c>
      <c r="F115" s="3" t="str">
        <f t="shared" si="10"/>
        <v>PASS</v>
      </c>
      <c r="G115" s="3" t="str">
        <f t="shared" si="11"/>
        <v>FAIL</v>
      </c>
      <c r="H115" s="3">
        <v>34885590.460000001</v>
      </c>
      <c r="I115" s="4">
        <v>0</v>
      </c>
      <c r="J115" s="3">
        <v>32375378.059999999</v>
      </c>
      <c r="K115" s="3">
        <v>7057.86</v>
      </c>
      <c r="L115" s="3">
        <v>0</v>
      </c>
      <c r="M115" t="s">
        <v>23</v>
      </c>
      <c r="N115" t="s">
        <v>39</v>
      </c>
      <c r="O115" s="4">
        <v>0.25611176075328901</v>
      </c>
      <c r="P115" s="4">
        <v>0.74388823924671099</v>
      </c>
      <c r="Q115" t="s">
        <v>118</v>
      </c>
      <c r="R115" s="4">
        <v>6.1241499991669266E-6</v>
      </c>
      <c r="S115" s="3">
        <v>4814120.7</v>
      </c>
      <c r="T115" s="4">
        <v>0.13799739767970659</v>
      </c>
    </row>
    <row r="116" spans="1:20" x14ac:dyDescent="0.4">
      <c r="A116" s="2">
        <v>45856</v>
      </c>
      <c r="B116" t="s">
        <v>30</v>
      </c>
      <c r="C116" t="s">
        <v>22</v>
      </c>
      <c r="D116" s="3" t="str">
        <f t="shared" si="8"/>
        <v>PASS</v>
      </c>
      <c r="E116" s="3" t="str">
        <f t="shared" si="9"/>
        <v>PASS</v>
      </c>
      <c r="F116" s="3" t="str">
        <f t="shared" si="10"/>
        <v>PASS</v>
      </c>
      <c r="G116" s="3" t="str">
        <f t="shared" si="11"/>
        <v>FAIL</v>
      </c>
      <c r="H116" s="3">
        <v>55318246.640000001</v>
      </c>
      <c r="I116" s="4">
        <v>0</v>
      </c>
      <c r="J116" s="3">
        <v>50062777.609999999</v>
      </c>
      <c r="K116" s="3">
        <v>10892.1</v>
      </c>
      <c r="L116" s="3">
        <v>0</v>
      </c>
      <c r="M116" t="s">
        <v>23</v>
      </c>
      <c r="N116" t="s">
        <v>119</v>
      </c>
      <c r="O116" s="4">
        <v>0.26872317482665548</v>
      </c>
      <c r="P116" s="4">
        <v>0.73127682517334458</v>
      </c>
      <c r="Q116" t="s">
        <v>120</v>
      </c>
      <c r="R116" s="4">
        <v>1.121123898333177E-4</v>
      </c>
      <c r="S116" s="3">
        <v>10407397.439999999</v>
      </c>
      <c r="T116" s="4">
        <v>0.188136791603849</v>
      </c>
    </row>
    <row r="117" spans="1:20" x14ac:dyDescent="0.4">
      <c r="A117" s="2">
        <v>45856</v>
      </c>
      <c r="B117" t="s">
        <v>31</v>
      </c>
      <c r="C117" t="s">
        <v>22</v>
      </c>
      <c r="D117" s="3" t="str">
        <f t="shared" si="8"/>
        <v>PASS</v>
      </c>
      <c r="E117" s="3" t="str">
        <f t="shared" si="9"/>
        <v>PASS</v>
      </c>
      <c r="F117" s="3" t="str">
        <f t="shared" si="10"/>
        <v>PASS</v>
      </c>
      <c r="G117" s="3" t="str">
        <f t="shared" si="11"/>
        <v>FAIL</v>
      </c>
      <c r="H117" s="3">
        <v>40560421.240000002</v>
      </c>
      <c r="I117" s="4">
        <v>0</v>
      </c>
      <c r="J117" s="3">
        <v>34902889.789999999</v>
      </c>
      <c r="K117" s="3">
        <v>7606.08</v>
      </c>
      <c r="L117" s="3">
        <v>0</v>
      </c>
      <c r="M117" t="s">
        <v>23</v>
      </c>
      <c r="N117" t="s">
        <v>41</v>
      </c>
      <c r="O117" s="4">
        <v>0.28955083807689491</v>
      </c>
      <c r="P117" s="4">
        <v>0.71044916192310503</v>
      </c>
      <c r="Q117" t="s">
        <v>121</v>
      </c>
      <c r="R117" s="4">
        <v>6.4637871982836148E-6</v>
      </c>
      <c r="S117" s="3">
        <v>11136677.199999999</v>
      </c>
      <c r="T117" s="4">
        <v>0.27457005769499249</v>
      </c>
    </row>
    <row r="118" spans="1:20" x14ac:dyDescent="0.4">
      <c r="A118" s="2">
        <v>45856</v>
      </c>
      <c r="B118" t="s">
        <v>32</v>
      </c>
      <c r="C118" t="s">
        <v>22</v>
      </c>
      <c r="D118" s="3" t="str">
        <f t="shared" si="8"/>
        <v>PASS</v>
      </c>
      <c r="E118" s="3" t="str">
        <f t="shared" si="9"/>
        <v>PASS</v>
      </c>
      <c r="F118" s="3" t="str">
        <f t="shared" si="10"/>
        <v>PASS</v>
      </c>
      <c r="G118" s="3" t="str">
        <f t="shared" si="11"/>
        <v>FAIL</v>
      </c>
      <c r="H118" s="3">
        <v>78992388.469999999</v>
      </c>
      <c r="I118" s="4">
        <v>0</v>
      </c>
      <c r="J118" s="3">
        <v>70314267.409999996</v>
      </c>
      <c r="K118" s="3">
        <v>15325.62</v>
      </c>
      <c r="L118" s="3">
        <v>0</v>
      </c>
      <c r="M118" t="s">
        <v>23</v>
      </c>
      <c r="N118" t="s">
        <v>39</v>
      </c>
      <c r="O118" s="4">
        <v>0.25471411407257089</v>
      </c>
      <c r="P118" s="4">
        <v>0.74528588592742906</v>
      </c>
      <c r="Q118" t="s">
        <v>122</v>
      </c>
      <c r="R118" s="4">
        <v>1.3218081686377731E-5</v>
      </c>
      <c r="S118" s="3">
        <v>17897990.359999999</v>
      </c>
      <c r="T118" s="4">
        <v>0.2265786705107336</v>
      </c>
    </row>
    <row r="119" spans="1:20" x14ac:dyDescent="0.4">
      <c r="A119" s="2">
        <v>45859</v>
      </c>
      <c r="B119" t="s">
        <v>24</v>
      </c>
      <c r="C119" t="s">
        <v>22</v>
      </c>
      <c r="D119" s="3" t="str">
        <f t="shared" si="8"/>
        <v>PASS</v>
      </c>
      <c r="E119" s="3" t="str">
        <f t="shared" si="9"/>
        <v>PASS</v>
      </c>
      <c r="F119" s="3" t="str">
        <f t="shared" si="10"/>
        <v>PASS</v>
      </c>
      <c r="G119" s="3" t="str">
        <f t="shared" si="11"/>
        <v>FAIL</v>
      </c>
      <c r="H119" s="3">
        <v>137595285.30000001</v>
      </c>
      <c r="I119" s="4">
        <v>0</v>
      </c>
      <c r="J119" s="3">
        <v>120273711.67</v>
      </c>
      <c r="K119" s="3">
        <v>8713.15</v>
      </c>
      <c r="L119" s="3">
        <v>0</v>
      </c>
      <c r="M119" t="s">
        <v>23</v>
      </c>
      <c r="N119" t="s">
        <v>39</v>
      </c>
      <c r="O119" s="4">
        <v>0.25999494750605467</v>
      </c>
      <c r="P119" s="4">
        <v>0.74000505249394533</v>
      </c>
      <c r="Q119" t="s">
        <v>123</v>
      </c>
      <c r="R119" s="4">
        <v>2.2954348061056089E-5</v>
      </c>
      <c r="S119" s="3">
        <v>35636215.590000004</v>
      </c>
      <c r="T119" s="4">
        <v>0.25899299901375328</v>
      </c>
    </row>
    <row r="120" spans="1:20" x14ac:dyDescent="0.4">
      <c r="A120" s="2">
        <v>45859</v>
      </c>
      <c r="B120" t="s">
        <v>25</v>
      </c>
      <c r="C120" t="s">
        <v>22</v>
      </c>
      <c r="D120" s="3" t="str">
        <f t="shared" si="8"/>
        <v>PASS</v>
      </c>
      <c r="E120" s="3" t="str">
        <f t="shared" si="9"/>
        <v>PASS</v>
      </c>
      <c r="F120" s="3" t="str">
        <f t="shared" si="10"/>
        <v>PASS</v>
      </c>
      <c r="G120" s="3" t="str">
        <f t="shared" si="11"/>
        <v>FAIL</v>
      </c>
      <c r="H120" s="3">
        <v>102882373.98</v>
      </c>
      <c r="I120" s="4">
        <v>0</v>
      </c>
      <c r="J120" s="3">
        <v>92755872.310000002</v>
      </c>
      <c r="K120" s="3">
        <v>6722.08</v>
      </c>
      <c r="L120" s="3">
        <v>0</v>
      </c>
      <c r="M120" t="s">
        <v>23</v>
      </c>
      <c r="N120" t="s">
        <v>39</v>
      </c>
      <c r="O120" s="4">
        <v>0.25107129978970932</v>
      </c>
      <c r="P120" s="4">
        <v>0.74892870021029068</v>
      </c>
      <c r="Q120" t="s">
        <v>124</v>
      </c>
      <c r="R120" s="4">
        <v>1.709507235553991E-5</v>
      </c>
      <c r="S120" s="3">
        <v>19094365.859999999</v>
      </c>
      <c r="T120" s="4">
        <v>0.18559414136100591</v>
      </c>
    </row>
    <row r="121" spans="1:20" x14ac:dyDescent="0.4">
      <c r="A121" s="2">
        <v>45859</v>
      </c>
      <c r="B121" t="s">
        <v>26</v>
      </c>
      <c r="C121" t="s">
        <v>22</v>
      </c>
      <c r="D121" s="3" t="str">
        <f t="shared" si="8"/>
        <v>PASS</v>
      </c>
      <c r="E121" s="3" t="str">
        <f t="shared" si="9"/>
        <v>PASS</v>
      </c>
      <c r="F121" s="3" t="str">
        <f t="shared" si="10"/>
        <v>PASS</v>
      </c>
      <c r="G121" s="3" t="str">
        <f t="shared" si="11"/>
        <v>FAIL</v>
      </c>
      <c r="H121" s="3">
        <v>23876842.84</v>
      </c>
      <c r="I121" s="4">
        <v>0</v>
      </c>
      <c r="J121" s="3">
        <v>21569653.84</v>
      </c>
      <c r="K121" s="3">
        <v>1563.75</v>
      </c>
      <c r="L121" s="3">
        <v>0</v>
      </c>
      <c r="M121" t="s">
        <v>23</v>
      </c>
      <c r="N121" t="s">
        <v>39</v>
      </c>
      <c r="O121" s="4">
        <v>0.25312885280870129</v>
      </c>
      <c r="P121" s="4">
        <v>0.74687114719129866</v>
      </c>
      <c r="Q121" t="s">
        <v>125</v>
      </c>
      <c r="R121" s="4">
        <v>4.0072917329742444E-6</v>
      </c>
      <c r="S121" s="3">
        <v>4263969.3600000003</v>
      </c>
      <c r="T121" s="4">
        <v>0.1785817910924441</v>
      </c>
    </row>
    <row r="122" spans="1:20" x14ac:dyDescent="0.4">
      <c r="A122" s="2">
        <v>45859</v>
      </c>
      <c r="B122" t="s">
        <v>27</v>
      </c>
      <c r="C122" t="s">
        <v>22</v>
      </c>
      <c r="D122" s="3" t="str">
        <f t="shared" si="8"/>
        <v>PASS</v>
      </c>
      <c r="E122" s="3" t="str">
        <f t="shared" si="9"/>
        <v>PASS</v>
      </c>
      <c r="F122" s="3" t="str">
        <f t="shared" si="10"/>
        <v>PASS</v>
      </c>
      <c r="G122" s="3" t="str">
        <f t="shared" si="11"/>
        <v>FAIL</v>
      </c>
      <c r="H122" s="3">
        <v>49284490.960000001</v>
      </c>
      <c r="I122" s="4">
        <v>0</v>
      </c>
      <c r="J122" s="3">
        <v>41506618.100000001</v>
      </c>
      <c r="K122" s="3">
        <v>3006.77</v>
      </c>
      <c r="L122" s="3">
        <v>0</v>
      </c>
      <c r="M122" t="s">
        <v>23</v>
      </c>
      <c r="N122" t="s">
        <v>39</v>
      </c>
      <c r="O122" s="4">
        <v>0.25949749235291231</v>
      </c>
      <c r="P122" s="4">
        <v>0.74050250764708769</v>
      </c>
      <c r="Q122" t="s">
        <v>126</v>
      </c>
      <c r="R122" s="4">
        <v>7.8992349832296129E-6</v>
      </c>
      <c r="S122" s="3">
        <v>16891089.949999999</v>
      </c>
      <c r="T122" s="4">
        <v>0.34272627394506422</v>
      </c>
    </row>
    <row r="123" spans="1:20" x14ac:dyDescent="0.4">
      <c r="A123" s="2">
        <v>45859</v>
      </c>
      <c r="B123" t="s">
        <v>28</v>
      </c>
      <c r="C123" t="s">
        <v>22</v>
      </c>
      <c r="D123" s="3" t="str">
        <f t="shared" si="8"/>
        <v>PASS</v>
      </c>
      <c r="E123" s="3" t="str">
        <f t="shared" si="9"/>
        <v>PASS</v>
      </c>
      <c r="F123" s="3" t="str">
        <f t="shared" si="10"/>
        <v>PASS</v>
      </c>
      <c r="G123" s="3" t="str">
        <f t="shared" si="11"/>
        <v>FAIL</v>
      </c>
      <c r="H123" s="3">
        <v>15489836.689999999</v>
      </c>
      <c r="I123" s="4">
        <v>0</v>
      </c>
      <c r="J123" s="3">
        <v>13645863.09</v>
      </c>
      <c r="K123" s="3">
        <v>989.28</v>
      </c>
      <c r="L123" s="3">
        <v>0</v>
      </c>
      <c r="M123" t="s">
        <v>23</v>
      </c>
      <c r="N123" t="s">
        <v>39</v>
      </c>
      <c r="O123" s="4">
        <v>0.25311930430631341</v>
      </c>
      <c r="P123" s="4">
        <v>0.74688069569368665</v>
      </c>
      <c r="Q123" t="s">
        <v>127</v>
      </c>
      <c r="R123" s="4">
        <v>2.533394453788621E-6</v>
      </c>
      <c r="S123" s="3">
        <v>4284904.3100000015</v>
      </c>
      <c r="T123" s="4">
        <v>0.27662682284870499</v>
      </c>
    </row>
    <row r="124" spans="1:20" x14ac:dyDescent="0.4">
      <c r="A124" s="2">
        <v>45859</v>
      </c>
      <c r="B124" t="s">
        <v>29</v>
      </c>
      <c r="C124" t="s">
        <v>22</v>
      </c>
      <c r="D124" s="3" t="str">
        <f t="shared" si="8"/>
        <v>PASS</v>
      </c>
      <c r="E124" s="3" t="str">
        <f t="shared" si="9"/>
        <v>PASS</v>
      </c>
      <c r="F124" s="3" t="str">
        <f t="shared" si="10"/>
        <v>PASS</v>
      </c>
      <c r="G124" s="3" t="str">
        <f t="shared" si="11"/>
        <v>FAIL</v>
      </c>
      <c r="H124" s="3">
        <v>34956461.579999998</v>
      </c>
      <c r="I124" s="4">
        <v>0</v>
      </c>
      <c r="J124" s="3">
        <v>32444119.32</v>
      </c>
      <c r="K124" s="3">
        <v>2351.25</v>
      </c>
      <c r="L124" s="3">
        <v>0</v>
      </c>
      <c r="M124" t="s">
        <v>23</v>
      </c>
      <c r="N124" t="s">
        <v>39</v>
      </c>
      <c r="O124" s="4">
        <v>0.25571284275501183</v>
      </c>
      <c r="P124" s="4">
        <v>0.74428715724498817</v>
      </c>
      <c r="Q124" t="s">
        <v>128</v>
      </c>
      <c r="R124" s="4">
        <v>6.089972670953928E-6</v>
      </c>
      <c r="S124" s="3">
        <v>4793092.6399999997</v>
      </c>
      <c r="T124" s="4">
        <v>0.1371160702015195</v>
      </c>
    </row>
    <row r="125" spans="1:20" x14ac:dyDescent="0.4">
      <c r="A125" s="2">
        <v>45859</v>
      </c>
      <c r="B125" t="s">
        <v>30</v>
      </c>
      <c r="C125" t="s">
        <v>22</v>
      </c>
      <c r="D125" s="3" t="str">
        <f t="shared" si="8"/>
        <v>PASS</v>
      </c>
      <c r="E125" s="3" t="str">
        <f t="shared" si="9"/>
        <v>PASS</v>
      </c>
      <c r="F125" s="3" t="str">
        <f t="shared" si="10"/>
        <v>PASS</v>
      </c>
      <c r="G125" s="3" t="str">
        <f t="shared" si="11"/>
        <v>FAIL</v>
      </c>
      <c r="H125" s="3">
        <v>55216439.420000002</v>
      </c>
      <c r="I125" s="4">
        <v>0</v>
      </c>
      <c r="J125" s="3">
        <v>49950939.600000001</v>
      </c>
      <c r="K125" s="3">
        <v>3635.37</v>
      </c>
      <c r="L125" s="3">
        <v>0</v>
      </c>
      <c r="M125" t="s">
        <v>23</v>
      </c>
      <c r="N125" t="s">
        <v>129</v>
      </c>
      <c r="O125" s="4">
        <v>0.27122669518312731</v>
      </c>
      <c r="P125" s="4">
        <v>0.72877330481687275</v>
      </c>
      <c r="Q125" t="s">
        <v>130</v>
      </c>
      <c r="R125" s="4">
        <v>1.121123898333177E-4</v>
      </c>
      <c r="S125" s="3">
        <v>10241868.939999999</v>
      </c>
      <c r="T125" s="4">
        <v>0.18548586340556911</v>
      </c>
    </row>
    <row r="126" spans="1:20" x14ac:dyDescent="0.4">
      <c r="A126" s="2">
        <v>45859</v>
      </c>
      <c r="B126" t="s">
        <v>31</v>
      </c>
      <c r="C126" t="s">
        <v>22</v>
      </c>
      <c r="D126" s="3" t="str">
        <f t="shared" si="8"/>
        <v>PASS</v>
      </c>
      <c r="E126" s="3" t="str">
        <f t="shared" si="9"/>
        <v>PASS</v>
      </c>
      <c r="F126" s="3" t="str">
        <f t="shared" si="10"/>
        <v>PASS</v>
      </c>
      <c r="G126" s="3" t="str">
        <f t="shared" si="11"/>
        <v>FAIL</v>
      </c>
      <c r="H126" s="3">
        <v>40640201.759999998</v>
      </c>
      <c r="I126" s="4">
        <v>0</v>
      </c>
      <c r="J126" s="3">
        <v>34978917.590000004</v>
      </c>
      <c r="K126" s="3">
        <v>2534.73</v>
      </c>
      <c r="L126" s="3">
        <v>0</v>
      </c>
      <c r="M126" t="s">
        <v>23</v>
      </c>
      <c r="N126" t="s">
        <v>41</v>
      </c>
      <c r="O126" s="4">
        <v>0.2898866880288733</v>
      </c>
      <c r="P126" s="4">
        <v>0.7101133119711267</v>
      </c>
      <c r="Q126" t="s">
        <v>131</v>
      </c>
      <c r="R126" s="4">
        <v>6.4317459530839273E-6</v>
      </c>
      <c r="S126" s="3">
        <v>11105047.539999999</v>
      </c>
      <c r="T126" s="4">
        <v>0.27325276595772491</v>
      </c>
    </row>
    <row r="127" spans="1:20" x14ac:dyDescent="0.4">
      <c r="A127" s="2">
        <v>45859</v>
      </c>
      <c r="B127" t="s">
        <v>32</v>
      </c>
      <c r="C127" t="s">
        <v>22</v>
      </c>
      <c r="D127" s="3" t="str">
        <f t="shared" si="8"/>
        <v>PASS</v>
      </c>
      <c r="E127" s="3" t="str">
        <f t="shared" si="9"/>
        <v>PASS</v>
      </c>
      <c r="F127" s="3" t="str">
        <f t="shared" si="10"/>
        <v>PASS</v>
      </c>
      <c r="G127" s="3" t="str">
        <f t="shared" si="11"/>
        <v>FAIL</v>
      </c>
      <c r="H127" s="3">
        <v>79154239.280000001</v>
      </c>
      <c r="I127" s="4">
        <v>0</v>
      </c>
      <c r="J127" s="3">
        <v>70475476.680000007</v>
      </c>
      <c r="K127" s="3">
        <v>5105.72</v>
      </c>
      <c r="L127" s="3">
        <v>0</v>
      </c>
      <c r="M127" t="s">
        <v>23</v>
      </c>
      <c r="N127" t="s">
        <v>39</v>
      </c>
      <c r="O127" s="4">
        <v>0.25444422855658222</v>
      </c>
      <c r="P127" s="4">
        <v>0.74555577144341778</v>
      </c>
      <c r="Q127" t="s">
        <v>132</v>
      </c>
      <c r="R127" s="4">
        <v>1.3151863112965039E-5</v>
      </c>
      <c r="S127" s="3">
        <v>17899965.16</v>
      </c>
      <c r="T127" s="4">
        <v>0.2261403220196547</v>
      </c>
    </row>
    <row r="128" spans="1:20" x14ac:dyDescent="0.4">
      <c r="A128" s="2">
        <v>45860</v>
      </c>
      <c r="B128" t="s">
        <v>24</v>
      </c>
      <c r="C128" t="s">
        <v>22</v>
      </c>
      <c r="D128" s="3" t="str">
        <f t="shared" si="8"/>
        <v>PASS</v>
      </c>
      <c r="E128" s="3" t="str">
        <f t="shared" si="9"/>
        <v>PASS</v>
      </c>
      <c r="F128" s="3" t="str">
        <f t="shared" si="10"/>
        <v>PASS</v>
      </c>
      <c r="G128" s="3" t="str">
        <f t="shared" si="11"/>
        <v>FAIL</v>
      </c>
      <c r="H128" s="3">
        <v>137553621.34</v>
      </c>
      <c r="I128" s="4">
        <v>0</v>
      </c>
      <c r="J128" s="3">
        <v>120223315.51000001</v>
      </c>
      <c r="K128" s="3">
        <v>8732.75</v>
      </c>
      <c r="L128" s="3">
        <v>0</v>
      </c>
      <c r="M128" t="s">
        <v>23</v>
      </c>
      <c r="N128" t="s">
        <v>39</v>
      </c>
      <c r="O128" s="4">
        <v>0.2574865439676311</v>
      </c>
      <c r="P128" s="4">
        <v>0.74251345603236896</v>
      </c>
      <c r="Q128" t="s">
        <v>133</v>
      </c>
      <c r="R128" s="4">
        <v>2.2954348061056089E-5</v>
      </c>
      <c r="S128" s="3">
        <v>35655269.460000001</v>
      </c>
      <c r="T128" s="4">
        <v>0.25920996563128362</v>
      </c>
    </row>
    <row r="129" spans="1:20" x14ac:dyDescent="0.4">
      <c r="A129" s="2">
        <v>45860</v>
      </c>
      <c r="B129" t="s">
        <v>25</v>
      </c>
      <c r="C129" t="s">
        <v>22</v>
      </c>
      <c r="D129" s="3" t="str">
        <f t="shared" si="8"/>
        <v>PASS</v>
      </c>
      <c r="E129" s="3" t="str">
        <f t="shared" si="9"/>
        <v>PASS</v>
      </c>
      <c r="F129" s="3" t="str">
        <f t="shared" si="10"/>
        <v>PASS</v>
      </c>
      <c r="G129" s="3" t="str">
        <f t="shared" si="11"/>
        <v>FAIL</v>
      </c>
      <c r="H129" s="3">
        <v>102849408.63</v>
      </c>
      <c r="I129" s="4">
        <v>0</v>
      </c>
      <c r="J129" s="3">
        <v>92716172.629999995</v>
      </c>
      <c r="K129" s="3">
        <v>6735.01</v>
      </c>
      <c r="L129" s="3">
        <v>0</v>
      </c>
      <c r="M129" t="s">
        <v>23</v>
      </c>
      <c r="N129" t="s">
        <v>39</v>
      </c>
      <c r="O129" s="4">
        <v>0.24864626153194561</v>
      </c>
      <c r="P129" s="4">
        <v>0.75135373846805442</v>
      </c>
      <c r="Q129" t="s">
        <v>134</v>
      </c>
      <c r="R129" s="4">
        <v>1.709507235553991E-5</v>
      </c>
      <c r="S129" s="3">
        <v>19239675.600000001</v>
      </c>
      <c r="T129" s="4">
        <v>0.18706646791927209</v>
      </c>
    </row>
    <row r="130" spans="1:20" x14ac:dyDescent="0.4">
      <c r="A130" s="2">
        <v>45860</v>
      </c>
      <c r="B130" t="s">
        <v>26</v>
      </c>
      <c r="C130" t="s">
        <v>22</v>
      </c>
      <c r="D130" s="3" t="str">
        <f t="shared" si="8"/>
        <v>PASS</v>
      </c>
      <c r="E130" s="3" t="str">
        <f t="shared" si="9"/>
        <v>PASS</v>
      </c>
      <c r="F130" s="3" t="str">
        <f t="shared" si="10"/>
        <v>PASS</v>
      </c>
      <c r="G130" s="3" t="str">
        <f t="shared" si="11"/>
        <v>FAIL</v>
      </c>
      <c r="H130" s="3">
        <v>23867579.609999999</v>
      </c>
      <c r="I130" s="4">
        <v>0</v>
      </c>
      <c r="J130" s="3">
        <v>21558824.59</v>
      </c>
      <c r="K130" s="3">
        <v>1566.73</v>
      </c>
      <c r="L130" s="3">
        <v>0</v>
      </c>
      <c r="M130" t="s">
        <v>23</v>
      </c>
      <c r="N130" t="s">
        <v>39</v>
      </c>
      <c r="O130" s="4">
        <v>0.25070238335289508</v>
      </c>
      <c r="P130" s="4">
        <v>0.74929761664710492</v>
      </c>
      <c r="Q130" t="s">
        <v>135</v>
      </c>
      <c r="R130" s="4">
        <v>4.0072917329742444E-6</v>
      </c>
      <c r="S130" s="3">
        <v>4280796.7699999996</v>
      </c>
      <c r="T130" s="4">
        <v>0.1793561324587114</v>
      </c>
    </row>
    <row r="131" spans="1:20" x14ac:dyDescent="0.4">
      <c r="A131" s="2">
        <v>45860</v>
      </c>
      <c r="B131" t="s">
        <v>27</v>
      </c>
      <c r="C131" t="s">
        <v>22</v>
      </c>
      <c r="D131" s="3" t="str">
        <f t="shared" si="8"/>
        <v>PASS</v>
      </c>
      <c r="E131" s="3" t="str">
        <f t="shared" si="9"/>
        <v>PASS</v>
      </c>
      <c r="F131" s="3" t="str">
        <f t="shared" si="10"/>
        <v>PASS</v>
      </c>
      <c r="G131" s="3" t="str">
        <f t="shared" si="11"/>
        <v>FAIL</v>
      </c>
      <c r="H131" s="3">
        <v>48287877.990000002</v>
      </c>
      <c r="I131" s="4">
        <v>0</v>
      </c>
      <c r="J131" s="3">
        <v>41489668.289999999</v>
      </c>
      <c r="K131" s="3">
        <v>3014.04</v>
      </c>
      <c r="L131" s="3">
        <v>0</v>
      </c>
      <c r="M131" t="s">
        <v>23</v>
      </c>
      <c r="N131" t="s">
        <v>41</v>
      </c>
      <c r="O131" s="4">
        <v>0.2632056362241888</v>
      </c>
      <c r="P131" s="4">
        <v>0.7367943637758112</v>
      </c>
      <c r="Q131" t="s">
        <v>136</v>
      </c>
      <c r="R131" s="4">
        <v>6.9828553705185512E-6</v>
      </c>
      <c r="S131" s="3">
        <v>16886692.329999998</v>
      </c>
      <c r="T131" s="4">
        <v>0.34970872676362141</v>
      </c>
    </row>
    <row r="132" spans="1:20" x14ac:dyDescent="0.4">
      <c r="A132" s="2">
        <v>45860</v>
      </c>
      <c r="B132" t="s">
        <v>28</v>
      </c>
      <c r="C132" t="s">
        <v>22</v>
      </c>
      <c r="D132" s="3" t="str">
        <f t="shared" si="8"/>
        <v>PASS</v>
      </c>
      <c r="E132" s="3" t="str">
        <f t="shared" si="9"/>
        <v>PASS</v>
      </c>
      <c r="F132" s="3" t="str">
        <f t="shared" si="10"/>
        <v>PASS</v>
      </c>
      <c r="G132" s="3" t="str">
        <f t="shared" si="11"/>
        <v>FAIL</v>
      </c>
      <c r="H132" s="3">
        <v>15485520.210000001</v>
      </c>
      <c r="I132" s="4">
        <v>0</v>
      </c>
      <c r="J132" s="3">
        <v>13640555.880000001</v>
      </c>
      <c r="K132" s="3">
        <v>991.44</v>
      </c>
      <c r="L132" s="3">
        <v>0</v>
      </c>
      <c r="M132" t="s">
        <v>23</v>
      </c>
      <c r="N132" t="s">
        <v>39</v>
      </c>
      <c r="O132" s="4">
        <v>0.25055529005317928</v>
      </c>
      <c r="P132" s="4">
        <v>0.74944470994682066</v>
      </c>
      <c r="Q132" t="s">
        <v>137</v>
      </c>
      <c r="R132" s="4">
        <v>2.533394453788621E-6</v>
      </c>
      <c r="S132" s="3">
        <v>4288150.5900000008</v>
      </c>
      <c r="T132" s="4">
        <v>0.27691356388730581</v>
      </c>
    </row>
    <row r="133" spans="1:20" x14ac:dyDescent="0.4">
      <c r="A133" s="2">
        <v>45860</v>
      </c>
      <c r="B133" t="s">
        <v>29</v>
      </c>
      <c r="C133" t="s">
        <v>22</v>
      </c>
      <c r="D133" s="3" t="str">
        <f t="shared" si="8"/>
        <v>PASS</v>
      </c>
      <c r="E133" s="3" t="str">
        <f t="shared" si="9"/>
        <v>PASS</v>
      </c>
      <c r="F133" s="3" t="str">
        <f t="shared" si="10"/>
        <v>PASS</v>
      </c>
      <c r="G133" s="3" t="str">
        <f t="shared" si="11"/>
        <v>FAIL</v>
      </c>
      <c r="H133" s="3">
        <v>34938997.82</v>
      </c>
      <c r="I133" s="4">
        <v>0</v>
      </c>
      <c r="J133" s="3">
        <v>32424300.030000001</v>
      </c>
      <c r="K133" s="3">
        <v>2356.2399999999998</v>
      </c>
      <c r="L133" s="3">
        <v>0</v>
      </c>
      <c r="M133" t="s">
        <v>23</v>
      </c>
      <c r="N133" t="s">
        <v>39</v>
      </c>
      <c r="O133" s="4">
        <v>0.25328920153715961</v>
      </c>
      <c r="P133" s="4">
        <v>0.74671079846284039</v>
      </c>
      <c r="Q133" t="s">
        <v>138</v>
      </c>
      <c r="R133" s="4">
        <v>6.089972670953928E-6</v>
      </c>
      <c r="S133" s="3">
        <v>4810325.0999999996</v>
      </c>
      <c r="T133" s="4">
        <v>0.13767782134971379</v>
      </c>
    </row>
    <row r="134" spans="1:20" x14ac:dyDescent="0.4">
      <c r="A134" s="2">
        <v>45860</v>
      </c>
      <c r="B134" t="s">
        <v>30</v>
      </c>
      <c r="C134" t="s">
        <v>22</v>
      </c>
      <c r="D134" s="3" t="str">
        <f t="shared" si="8"/>
        <v>PASS</v>
      </c>
      <c r="E134" s="3" t="str">
        <f t="shared" si="9"/>
        <v>PASS</v>
      </c>
      <c r="F134" s="3" t="str">
        <f t="shared" si="10"/>
        <v>PASS</v>
      </c>
      <c r="G134" s="3" t="str">
        <f t="shared" si="11"/>
        <v>FAIL</v>
      </c>
      <c r="H134" s="3">
        <v>55875916.729999997</v>
      </c>
      <c r="I134" s="4">
        <v>0</v>
      </c>
      <c r="J134" s="3">
        <v>50606790.329999998</v>
      </c>
      <c r="K134" s="3">
        <v>3627.26</v>
      </c>
      <c r="L134" s="3">
        <v>0</v>
      </c>
      <c r="M134" t="s">
        <v>23</v>
      </c>
      <c r="N134" t="s">
        <v>139</v>
      </c>
      <c r="O134" s="4">
        <v>0.26666076996786292</v>
      </c>
      <c r="P134" s="4">
        <v>0.73333923003213708</v>
      </c>
      <c r="Q134" t="s">
        <v>140</v>
      </c>
      <c r="R134" s="4">
        <v>1.121123898333177E-4</v>
      </c>
      <c r="S134" s="3">
        <v>10381329.710000001</v>
      </c>
      <c r="T134" s="4">
        <v>0.1857925617608028</v>
      </c>
    </row>
    <row r="135" spans="1:20" x14ac:dyDescent="0.4">
      <c r="A135" s="2">
        <v>45860</v>
      </c>
      <c r="B135" t="s">
        <v>31</v>
      </c>
      <c r="C135" t="s">
        <v>22</v>
      </c>
      <c r="D135" s="3" t="str">
        <f t="shared" si="8"/>
        <v>PASS</v>
      </c>
      <c r="E135" s="3" t="str">
        <f t="shared" si="9"/>
        <v>PASS</v>
      </c>
      <c r="F135" s="3" t="str">
        <f t="shared" si="10"/>
        <v>PASS</v>
      </c>
      <c r="G135" s="3" t="str">
        <f t="shared" si="11"/>
        <v>FAIL</v>
      </c>
      <c r="H135" s="3">
        <v>40629855.560000002</v>
      </c>
      <c r="I135" s="4">
        <v>0</v>
      </c>
      <c r="J135" s="3">
        <v>34966031.82</v>
      </c>
      <c r="K135" s="3">
        <v>2540.25</v>
      </c>
      <c r="L135" s="3">
        <v>0</v>
      </c>
      <c r="M135" t="s">
        <v>23</v>
      </c>
      <c r="N135" t="s">
        <v>41</v>
      </c>
      <c r="O135" s="4">
        <v>0.28766420901804229</v>
      </c>
      <c r="P135" s="4">
        <v>0.71233579098195765</v>
      </c>
      <c r="Q135" t="s">
        <v>141</v>
      </c>
      <c r="R135" s="4">
        <v>6.4317459530839273E-6</v>
      </c>
      <c r="S135" s="3">
        <v>11138314</v>
      </c>
      <c r="T135" s="4">
        <v>0.27414111732569502</v>
      </c>
    </row>
    <row r="136" spans="1:20" x14ac:dyDescent="0.4">
      <c r="A136" s="2">
        <v>45860</v>
      </c>
      <c r="B136" t="s">
        <v>32</v>
      </c>
      <c r="C136" t="s">
        <v>22</v>
      </c>
      <c r="D136" s="3" t="str">
        <f t="shared" si="8"/>
        <v>PASS</v>
      </c>
      <c r="E136" s="3" t="str">
        <f t="shared" si="9"/>
        <v>PASS</v>
      </c>
      <c r="F136" s="3" t="str">
        <f t="shared" si="10"/>
        <v>PASS</v>
      </c>
      <c r="G136" s="3" t="str">
        <f t="shared" si="11"/>
        <v>FAIL</v>
      </c>
      <c r="H136" s="3">
        <v>79132529.489999995</v>
      </c>
      <c r="I136" s="4">
        <v>0</v>
      </c>
      <c r="J136" s="3">
        <v>70448650.180000007</v>
      </c>
      <c r="K136" s="3">
        <v>5117.42</v>
      </c>
      <c r="L136" s="3">
        <v>0</v>
      </c>
      <c r="M136" t="s">
        <v>23</v>
      </c>
      <c r="N136" t="s">
        <v>39</v>
      </c>
      <c r="O136" s="4">
        <v>0.2519022218971918</v>
      </c>
      <c r="P136" s="4">
        <v>0.7480977781028082</v>
      </c>
      <c r="Q136" t="s">
        <v>142</v>
      </c>
      <c r="R136" s="4">
        <v>1.3151863112965039E-5</v>
      </c>
      <c r="S136" s="3">
        <v>17935063.039999999</v>
      </c>
      <c r="T136" s="4">
        <v>0.22664589588617229</v>
      </c>
    </row>
    <row r="137" spans="1:20" x14ac:dyDescent="0.4">
      <c r="A137" s="2">
        <v>45861</v>
      </c>
      <c r="B137" t="s">
        <v>24</v>
      </c>
      <c r="C137" t="s">
        <v>22</v>
      </c>
      <c r="D137" s="3" t="str">
        <f t="shared" si="8"/>
        <v>PASS</v>
      </c>
      <c r="E137" s="3" t="str">
        <f t="shared" si="9"/>
        <v>PASS</v>
      </c>
      <c r="F137" s="3" t="str">
        <f t="shared" si="10"/>
        <v>PASS</v>
      </c>
      <c r="G137" s="3" t="str">
        <f t="shared" si="11"/>
        <v>FAIL</v>
      </c>
      <c r="H137" s="3">
        <v>137996542.68000001</v>
      </c>
      <c r="I137" s="4">
        <v>0</v>
      </c>
      <c r="J137" s="3">
        <v>120658659.09999999</v>
      </c>
      <c r="K137" s="3">
        <v>8729.09</v>
      </c>
      <c r="L137" s="3">
        <v>0</v>
      </c>
      <c r="M137" t="s">
        <v>23</v>
      </c>
      <c r="N137" t="s">
        <v>39</v>
      </c>
      <c r="O137" s="4">
        <v>0.25638140561765949</v>
      </c>
      <c r="P137" s="4">
        <v>0.74361859438234057</v>
      </c>
      <c r="Q137" t="s">
        <v>143</v>
      </c>
      <c r="R137" s="4">
        <v>2.2954348061056089E-5</v>
      </c>
      <c r="S137" s="3">
        <v>35708797.979999997</v>
      </c>
      <c r="T137" s="4">
        <v>0.25876588852522991</v>
      </c>
    </row>
    <row r="138" spans="1:20" x14ac:dyDescent="0.4">
      <c r="A138" s="2">
        <v>45861</v>
      </c>
      <c r="B138" t="s">
        <v>25</v>
      </c>
      <c r="C138" t="s">
        <v>22</v>
      </c>
      <c r="D138" s="3" t="str">
        <f t="shared" si="8"/>
        <v>PASS</v>
      </c>
      <c r="E138" s="3" t="str">
        <f t="shared" si="9"/>
        <v>PASS</v>
      </c>
      <c r="F138" s="3" t="str">
        <f t="shared" si="10"/>
        <v>PASS</v>
      </c>
      <c r="G138" s="3" t="str">
        <f t="shared" si="11"/>
        <v>FAIL</v>
      </c>
      <c r="H138" s="3">
        <v>103083110.14</v>
      </c>
      <c r="I138" s="4">
        <v>0</v>
      </c>
      <c r="J138" s="3">
        <v>92944005.790000007</v>
      </c>
      <c r="K138" s="3">
        <v>6732.13</v>
      </c>
      <c r="L138" s="3">
        <v>0</v>
      </c>
      <c r="M138" t="s">
        <v>23</v>
      </c>
      <c r="N138" t="s">
        <v>39</v>
      </c>
      <c r="O138" s="4">
        <v>0.24786588644620969</v>
      </c>
      <c r="P138" s="4">
        <v>0.75213411355379023</v>
      </c>
      <c r="Q138" t="s">
        <v>144</v>
      </c>
      <c r="R138" s="4">
        <v>1.709507235553991E-5</v>
      </c>
      <c r="S138" s="3">
        <v>19204049.149999999</v>
      </c>
      <c r="T138" s="4">
        <v>0.18629675728563541</v>
      </c>
    </row>
    <row r="139" spans="1:20" x14ac:dyDescent="0.4">
      <c r="A139" s="2">
        <v>45861</v>
      </c>
      <c r="B139" t="s">
        <v>26</v>
      </c>
      <c r="C139" t="s">
        <v>22</v>
      </c>
      <c r="D139" s="3" t="str">
        <f t="shared" si="8"/>
        <v>PASS</v>
      </c>
      <c r="E139" s="3" t="str">
        <f t="shared" si="9"/>
        <v>PASS</v>
      </c>
      <c r="F139" s="3" t="str">
        <f t="shared" si="10"/>
        <v>PASS</v>
      </c>
      <c r="G139" s="3" t="str">
        <f t="shared" si="11"/>
        <v>FAIL</v>
      </c>
      <c r="H139" s="3">
        <v>23930144.469999999</v>
      </c>
      <c r="I139" s="4">
        <v>0</v>
      </c>
      <c r="J139" s="3">
        <v>21620111.920000002</v>
      </c>
      <c r="K139" s="3">
        <v>1565.94</v>
      </c>
      <c r="L139" s="3">
        <v>0</v>
      </c>
      <c r="M139" t="s">
        <v>23</v>
      </c>
      <c r="N139" t="s">
        <v>39</v>
      </c>
      <c r="O139" s="4">
        <v>0.2498174017315633</v>
      </c>
      <c r="P139" s="4">
        <v>0.7501825982684367</v>
      </c>
      <c r="Q139" t="s">
        <v>145</v>
      </c>
      <c r="R139" s="4">
        <v>4.0072917329742444E-6</v>
      </c>
      <c r="S139" s="3">
        <v>4274642.3600000003</v>
      </c>
      <c r="T139" s="4">
        <v>0.1786300273012936</v>
      </c>
    </row>
    <row r="140" spans="1:20" x14ac:dyDescent="0.4">
      <c r="A140" s="2">
        <v>45861</v>
      </c>
      <c r="B140" t="s">
        <v>27</v>
      </c>
      <c r="C140" t="s">
        <v>22</v>
      </c>
      <c r="D140" s="3" t="str">
        <f t="shared" si="8"/>
        <v>PASS</v>
      </c>
      <c r="E140" s="3" t="str">
        <f t="shared" si="9"/>
        <v>PASS</v>
      </c>
      <c r="F140" s="3" t="str">
        <f t="shared" si="10"/>
        <v>PASS</v>
      </c>
      <c r="G140" s="3" t="str">
        <f t="shared" si="11"/>
        <v>FAIL</v>
      </c>
      <c r="H140" s="3">
        <v>48426770.460000001</v>
      </c>
      <c r="I140" s="4">
        <v>0</v>
      </c>
      <c r="J140" s="3">
        <v>41625836.200000003</v>
      </c>
      <c r="K140" s="3">
        <v>3012.81</v>
      </c>
      <c r="L140" s="3">
        <v>0</v>
      </c>
      <c r="M140" t="s">
        <v>23</v>
      </c>
      <c r="N140" t="s">
        <v>41</v>
      </c>
      <c r="O140" s="4">
        <v>0.26212560974330651</v>
      </c>
      <c r="P140" s="4">
        <v>0.73787439025669355</v>
      </c>
      <c r="Q140" t="s">
        <v>146</v>
      </c>
      <c r="R140" s="4">
        <v>6.9828553705185512E-6</v>
      </c>
      <c r="S140" s="3">
        <v>14748833.880000001</v>
      </c>
      <c r="T140" s="4">
        <v>0.3045595182148762</v>
      </c>
    </row>
    <row r="141" spans="1:20" x14ac:dyDescent="0.4">
      <c r="A141" s="2">
        <v>45861</v>
      </c>
      <c r="B141" t="s">
        <v>28</v>
      </c>
      <c r="C141" t="s">
        <v>22</v>
      </c>
      <c r="D141" s="3" t="str">
        <f t="shared" ref="D141:D199" si="12">IF(J141/H141&gt;=0.75,"PASS","FAIL")</f>
        <v>PASS</v>
      </c>
      <c r="E141" s="3" t="str">
        <f t="shared" ref="E141:E199" si="13">IF(L141=0,"PASS","FAIL")</f>
        <v>PASS</v>
      </c>
      <c r="F141" s="3" t="str">
        <f t="shared" ref="F141:F199" si="14">IF(R141="","",IF(R141&lt;=0.1,"PASS","FAIL"))</f>
        <v>PASS</v>
      </c>
      <c r="G141" s="3" t="str">
        <f t="shared" ref="G141:G199" si="15">IF(S141=0,"PASS",IF(S141&lt;=0.05*J141,"PASS","FAIL"))</f>
        <v>FAIL</v>
      </c>
      <c r="H141" s="3">
        <v>15528165.380000001</v>
      </c>
      <c r="I141" s="4">
        <v>0</v>
      </c>
      <c r="J141" s="3">
        <v>13682210.710000001</v>
      </c>
      <c r="K141" s="3">
        <v>991.05</v>
      </c>
      <c r="L141" s="3">
        <v>0</v>
      </c>
      <c r="M141" t="s">
        <v>23</v>
      </c>
      <c r="N141" t="s">
        <v>39</v>
      </c>
      <c r="O141" s="4">
        <v>0.24963591757168599</v>
      </c>
      <c r="P141" s="4">
        <v>0.75036408242831398</v>
      </c>
      <c r="Q141" t="s">
        <v>147</v>
      </c>
      <c r="R141" s="4">
        <v>2.533394453788621E-6</v>
      </c>
      <c r="S141" s="3">
        <v>4292257.28</v>
      </c>
      <c r="T141" s="4">
        <v>0.2764175403185975</v>
      </c>
    </row>
    <row r="142" spans="1:20" x14ac:dyDescent="0.4">
      <c r="A142" s="2">
        <v>45861</v>
      </c>
      <c r="B142" t="s">
        <v>29</v>
      </c>
      <c r="C142" t="s">
        <v>22</v>
      </c>
      <c r="D142" s="3" t="str">
        <f t="shared" si="12"/>
        <v>PASS</v>
      </c>
      <c r="E142" s="3" t="str">
        <f t="shared" si="13"/>
        <v>PASS</v>
      </c>
      <c r="F142" s="3" t="str">
        <f t="shared" si="14"/>
        <v>PASS</v>
      </c>
      <c r="G142" s="3" t="str">
        <f t="shared" si="15"/>
        <v>FAIL</v>
      </c>
      <c r="H142" s="3">
        <v>35063414.520000003</v>
      </c>
      <c r="I142" s="4">
        <v>0</v>
      </c>
      <c r="J142" s="3">
        <v>32546650.34</v>
      </c>
      <c r="K142" s="3">
        <v>2362.04</v>
      </c>
      <c r="L142" s="3">
        <v>0</v>
      </c>
      <c r="M142" t="s">
        <v>23</v>
      </c>
      <c r="N142" t="s">
        <v>39</v>
      </c>
      <c r="O142" s="4">
        <v>0.25216366397968321</v>
      </c>
      <c r="P142" s="4">
        <v>0.74783633602031685</v>
      </c>
      <c r="Q142" t="s">
        <v>148</v>
      </c>
      <c r="R142" s="4">
        <v>6.089972670953928E-6</v>
      </c>
      <c r="S142" s="3">
        <v>4805438.9200000009</v>
      </c>
      <c r="T142" s="4">
        <v>0.13704994182066901</v>
      </c>
    </row>
    <row r="143" spans="1:20" x14ac:dyDescent="0.4">
      <c r="A143" s="2">
        <v>45861</v>
      </c>
      <c r="B143" t="s">
        <v>30</v>
      </c>
      <c r="C143" t="s">
        <v>22</v>
      </c>
      <c r="D143" s="3" t="str">
        <f t="shared" si="12"/>
        <v>PASS</v>
      </c>
      <c r="E143" s="3" t="str">
        <f t="shared" si="13"/>
        <v>PASS</v>
      </c>
      <c r="F143" s="3" t="str">
        <f t="shared" si="14"/>
        <v>PASS</v>
      </c>
      <c r="G143" s="3" t="str">
        <f t="shared" si="15"/>
        <v>FAIL</v>
      </c>
      <c r="H143" s="3">
        <v>55854512.740000002</v>
      </c>
      <c r="I143" s="4">
        <v>0</v>
      </c>
      <c r="J143" s="3">
        <v>50581712.149999999</v>
      </c>
      <c r="K143" s="3">
        <v>3674.87</v>
      </c>
      <c r="L143" s="3">
        <v>0</v>
      </c>
      <c r="M143" t="s">
        <v>23</v>
      </c>
      <c r="N143" t="s">
        <v>149</v>
      </c>
      <c r="O143" s="4">
        <v>0.26712226149901103</v>
      </c>
      <c r="P143" s="4">
        <v>0.73287773850098903</v>
      </c>
      <c r="Q143" t="s">
        <v>150</v>
      </c>
      <c r="R143" s="4">
        <v>6.2840378182622399E-5</v>
      </c>
      <c r="S143" s="3">
        <v>10319265.699999999</v>
      </c>
      <c r="T143" s="4">
        <v>0.18475258656423471</v>
      </c>
    </row>
    <row r="144" spans="1:20" x14ac:dyDescent="0.4">
      <c r="A144" s="2">
        <v>45861</v>
      </c>
      <c r="B144" t="s">
        <v>31</v>
      </c>
      <c r="C144" t="s">
        <v>22</v>
      </c>
      <c r="D144" s="3" t="str">
        <f t="shared" si="12"/>
        <v>PASS</v>
      </c>
      <c r="E144" s="3" t="str">
        <f t="shared" si="13"/>
        <v>PASS</v>
      </c>
      <c r="F144" s="3" t="str">
        <f t="shared" si="14"/>
        <v>PASS</v>
      </c>
      <c r="G144" s="3" t="str">
        <f t="shared" si="15"/>
        <v>FAIL</v>
      </c>
      <c r="H144" s="3">
        <v>40728119.039999999</v>
      </c>
      <c r="I144" s="4">
        <v>0</v>
      </c>
      <c r="J144" s="3">
        <v>35062044.369999997</v>
      </c>
      <c r="K144" s="3">
        <v>2539.31</v>
      </c>
      <c r="L144" s="3">
        <v>0</v>
      </c>
      <c r="M144" t="s">
        <v>23</v>
      </c>
      <c r="N144" t="s">
        <v>41</v>
      </c>
      <c r="O144" s="4">
        <v>0.28664011085443741</v>
      </c>
      <c r="P144" s="4">
        <v>0.71335988914556259</v>
      </c>
      <c r="Q144" t="s">
        <v>151</v>
      </c>
      <c r="R144" s="4">
        <v>6.4317459530839273E-6</v>
      </c>
      <c r="S144" s="3">
        <v>11126909.34</v>
      </c>
      <c r="T144" s="4">
        <v>0.27319968616945001</v>
      </c>
    </row>
    <row r="145" spans="1:20" x14ac:dyDescent="0.4">
      <c r="A145" s="2">
        <v>45861</v>
      </c>
      <c r="B145" t="s">
        <v>32</v>
      </c>
      <c r="C145" t="s">
        <v>22</v>
      </c>
      <c r="D145" s="3" t="str">
        <f t="shared" si="12"/>
        <v>PASS</v>
      </c>
      <c r="E145" s="3" t="str">
        <f t="shared" si="13"/>
        <v>PASS</v>
      </c>
      <c r="F145" s="3" t="str">
        <f t="shared" si="14"/>
        <v>PASS</v>
      </c>
      <c r="G145" s="3" t="str">
        <f t="shared" si="15"/>
        <v>FAIL</v>
      </c>
      <c r="H145" s="3">
        <v>79390717.519999996</v>
      </c>
      <c r="I145" s="4">
        <v>0</v>
      </c>
      <c r="J145" s="3">
        <v>70702298.840000004</v>
      </c>
      <c r="K145" s="3">
        <v>5117.75</v>
      </c>
      <c r="L145" s="3">
        <v>0</v>
      </c>
      <c r="M145" t="s">
        <v>23</v>
      </c>
      <c r="N145" t="s">
        <v>39</v>
      </c>
      <c r="O145" s="4">
        <v>0.25081304188043568</v>
      </c>
      <c r="P145" s="4">
        <v>0.74918695811956426</v>
      </c>
      <c r="Q145" t="s">
        <v>152</v>
      </c>
      <c r="R145" s="4">
        <v>1.3151863112965039E-5</v>
      </c>
      <c r="S145" s="3">
        <v>17952747.640000001</v>
      </c>
      <c r="T145" s="4">
        <v>0.22613157055139821</v>
      </c>
    </row>
    <row r="146" spans="1:20" x14ac:dyDescent="0.4">
      <c r="A146" s="2">
        <v>45862</v>
      </c>
      <c r="B146" t="s">
        <v>24</v>
      </c>
      <c r="C146" t="s">
        <v>22</v>
      </c>
      <c r="D146" s="3" t="str">
        <f t="shared" si="12"/>
        <v>PASS</v>
      </c>
      <c r="E146" s="3" t="str">
        <f t="shared" si="13"/>
        <v>PASS</v>
      </c>
      <c r="F146" s="3" t="str">
        <f t="shared" si="14"/>
        <v>PASS</v>
      </c>
      <c r="G146" s="3" t="str">
        <f t="shared" si="15"/>
        <v>FAIL</v>
      </c>
      <c r="H146" s="3">
        <v>138057713.55000001</v>
      </c>
      <c r="I146" s="4">
        <v>0</v>
      </c>
      <c r="J146" s="3">
        <v>120711069.81999999</v>
      </c>
      <c r="K146" s="3">
        <v>8760.7000000000007</v>
      </c>
      <c r="L146" s="3">
        <v>0</v>
      </c>
      <c r="M146" t="s">
        <v>23</v>
      </c>
      <c r="N146" t="s">
        <v>39</v>
      </c>
      <c r="O146" s="4">
        <v>0.25945441376422063</v>
      </c>
      <c r="P146" s="4">
        <v>0.74054558623577948</v>
      </c>
      <c r="Q146" t="s">
        <v>153</v>
      </c>
      <c r="R146" s="4">
        <v>2.2954348061056089E-5</v>
      </c>
      <c r="S146" s="3">
        <v>35889579.219999999</v>
      </c>
      <c r="T146" s="4">
        <v>0.25996069540150663</v>
      </c>
    </row>
    <row r="147" spans="1:20" x14ac:dyDescent="0.4">
      <c r="A147" s="2">
        <v>45862</v>
      </c>
      <c r="B147" t="s">
        <v>25</v>
      </c>
      <c r="C147" t="s">
        <v>22</v>
      </c>
      <c r="D147" s="3" t="str">
        <f t="shared" si="12"/>
        <v>PASS</v>
      </c>
      <c r="E147" s="3" t="str">
        <f t="shared" si="13"/>
        <v>PASS</v>
      </c>
      <c r="F147" s="3" t="str">
        <f t="shared" si="14"/>
        <v>PASS</v>
      </c>
      <c r="G147" s="3" t="str">
        <f t="shared" si="15"/>
        <v>FAIL</v>
      </c>
      <c r="H147" s="3">
        <v>103108796.25</v>
      </c>
      <c r="I147" s="4">
        <v>0</v>
      </c>
      <c r="J147" s="3">
        <v>92962943.909999996</v>
      </c>
      <c r="K147" s="3">
        <v>6748.67</v>
      </c>
      <c r="L147" s="3">
        <v>0</v>
      </c>
      <c r="M147" t="s">
        <v>23</v>
      </c>
      <c r="N147" t="s">
        <v>39</v>
      </c>
      <c r="O147" s="4">
        <v>0.25089730561438278</v>
      </c>
      <c r="P147" s="4">
        <v>0.74910269438561716</v>
      </c>
      <c r="Q147" t="s">
        <v>154</v>
      </c>
      <c r="R147" s="4">
        <v>1.709507235553991E-5</v>
      </c>
      <c r="S147" s="3">
        <v>19055590.469999999</v>
      </c>
      <c r="T147" s="4">
        <v>0.18481052211876639</v>
      </c>
    </row>
    <row r="148" spans="1:20" x14ac:dyDescent="0.4">
      <c r="A148" s="2">
        <v>45862</v>
      </c>
      <c r="B148" t="s">
        <v>26</v>
      </c>
      <c r="C148" t="s">
        <v>22</v>
      </c>
      <c r="D148" s="3" t="str">
        <f t="shared" si="12"/>
        <v>PASS</v>
      </c>
      <c r="E148" s="3" t="str">
        <f t="shared" si="13"/>
        <v>PASS</v>
      </c>
      <c r="F148" s="3" t="str">
        <f t="shared" si="14"/>
        <v>PASS</v>
      </c>
      <c r="G148" s="3" t="str">
        <f t="shared" si="15"/>
        <v>FAIL</v>
      </c>
      <c r="H148" s="3">
        <v>23938557.890000001</v>
      </c>
      <c r="I148" s="4">
        <v>0</v>
      </c>
      <c r="J148" s="3">
        <v>21626955.66</v>
      </c>
      <c r="K148" s="3">
        <v>1570.39</v>
      </c>
      <c r="L148" s="3">
        <v>0</v>
      </c>
      <c r="M148" t="s">
        <v>23</v>
      </c>
      <c r="N148" t="s">
        <v>39</v>
      </c>
      <c r="O148" s="4">
        <v>0.25284414954037038</v>
      </c>
      <c r="P148" s="4">
        <v>0.74715585045962962</v>
      </c>
      <c r="Q148" t="s">
        <v>155</v>
      </c>
      <c r="R148" s="4">
        <v>4.0072917329742444E-6</v>
      </c>
      <c r="S148" s="3">
        <v>4276442.71</v>
      </c>
      <c r="T148" s="4">
        <v>0.17864245330277079</v>
      </c>
    </row>
    <row r="149" spans="1:20" x14ac:dyDescent="0.4">
      <c r="A149" s="2">
        <v>45862</v>
      </c>
      <c r="B149" t="s">
        <v>27</v>
      </c>
      <c r="C149" t="s">
        <v>22</v>
      </c>
      <c r="D149" s="3" t="str">
        <f t="shared" si="12"/>
        <v>PASS</v>
      </c>
      <c r="E149" s="3" t="str">
        <f t="shared" si="13"/>
        <v>PASS</v>
      </c>
      <c r="F149" s="3" t="str">
        <f t="shared" si="14"/>
        <v>PASS</v>
      </c>
      <c r="G149" s="3" t="str">
        <f t="shared" si="15"/>
        <v>FAIL</v>
      </c>
      <c r="H149" s="3">
        <v>43724613.07</v>
      </c>
      <c r="I149" s="4">
        <v>0</v>
      </c>
      <c r="J149" s="3">
        <v>36920656.659999996</v>
      </c>
      <c r="K149" s="3">
        <v>3022.7</v>
      </c>
      <c r="L149" s="3">
        <v>0</v>
      </c>
      <c r="M149" t="s">
        <v>23</v>
      </c>
      <c r="N149" t="s">
        <v>39</v>
      </c>
      <c r="O149" s="4">
        <v>0.25824184371372988</v>
      </c>
      <c r="P149" s="4">
        <v>0.74175815628627007</v>
      </c>
      <c r="Q149" t="s">
        <v>156</v>
      </c>
      <c r="R149" s="4">
        <v>6.9828553705185512E-6</v>
      </c>
      <c r="S149" s="3">
        <v>14849414.76</v>
      </c>
      <c r="T149" s="4">
        <v>0.33961226223379359</v>
      </c>
    </row>
    <row r="150" spans="1:20" x14ac:dyDescent="0.4">
      <c r="A150" s="2">
        <v>45862</v>
      </c>
      <c r="B150" t="s">
        <v>28</v>
      </c>
      <c r="C150" t="s">
        <v>22</v>
      </c>
      <c r="D150" s="3" t="str">
        <f t="shared" si="12"/>
        <v>PASS</v>
      </c>
      <c r="E150" s="3" t="str">
        <f t="shared" si="13"/>
        <v>PASS</v>
      </c>
      <c r="F150" s="3" t="str">
        <f t="shared" si="14"/>
        <v>PASS</v>
      </c>
      <c r="G150" s="3" t="str">
        <f t="shared" si="15"/>
        <v>FAIL</v>
      </c>
      <c r="H150" s="3">
        <v>15533477.439999999</v>
      </c>
      <c r="I150" s="4">
        <v>0</v>
      </c>
      <c r="J150" s="3">
        <v>13686529.4</v>
      </c>
      <c r="K150" s="3">
        <v>994.08</v>
      </c>
      <c r="L150" s="3">
        <v>0</v>
      </c>
      <c r="M150" t="s">
        <v>23</v>
      </c>
      <c r="N150" t="s">
        <v>39</v>
      </c>
      <c r="O150" s="4">
        <v>0.2527497847628194</v>
      </c>
      <c r="P150" s="4">
        <v>0.7472502152371806</v>
      </c>
      <c r="Q150" t="s">
        <v>157</v>
      </c>
      <c r="R150" s="4">
        <v>2.533394453788621E-6</v>
      </c>
      <c r="S150" s="3">
        <v>4302934.01</v>
      </c>
      <c r="T150" s="4">
        <v>0.2770103492035586</v>
      </c>
    </row>
    <row r="151" spans="1:20" x14ac:dyDescent="0.4">
      <c r="A151" s="2">
        <v>45862</v>
      </c>
      <c r="B151" t="s">
        <v>29</v>
      </c>
      <c r="C151" t="s">
        <v>22</v>
      </c>
      <c r="D151" s="3" t="str">
        <f t="shared" si="12"/>
        <v>PASS</v>
      </c>
      <c r="E151" s="3" t="str">
        <f t="shared" si="13"/>
        <v>PASS</v>
      </c>
      <c r="F151" s="3" t="str">
        <f t="shared" si="14"/>
        <v>PASS</v>
      </c>
      <c r="G151" s="3" t="str">
        <f t="shared" si="15"/>
        <v>FAIL</v>
      </c>
      <c r="H151" s="3">
        <v>35079621.640000001</v>
      </c>
      <c r="I151" s="4">
        <v>0</v>
      </c>
      <c r="J151" s="3">
        <v>32560494.48</v>
      </c>
      <c r="K151" s="3">
        <v>2362.98</v>
      </c>
      <c r="L151" s="3">
        <v>0</v>
      </c>
      <c r="M151" t="s">
        <v>23</v>
      </c>
      <c r="N151" t="s">
        <v>39</v>
      </c>
      <c r="O151" s="4">
        <v>0.25519232240480388</v>
      </c>
      <c r="P151" s="4">
        <v>0.74480767759519606</v>
      </c>
      <c r="Q151" t="s">
        <v>158</v>
      </c>
      <c r="R151" s="4">
        <v>6.089972670953928E-6</v>
      </c>
      <c r="S151" s="3">
        <v>4805022.5</v>
      </c>
      <c r="T151" s="4">
        <v>0.1369747527299727</v>
      </c>
    </row>
    <row r="152" spans="1:20" x14ac:dyDescent="0.4">
      <c r="A152" s="2">
        <v>45862</v>
      </c>
      <c r="B152" t="s">
        <v>30</v>
      </c>
      <c r="C152" t="s">
        <v>22</v>
      </c>
      <c r="D152" s="3" t="str">
        <f t="shared" si="12"/>
        <v>PASS</v>
      </c>
      <c r="E152" s="3" t="str">
        <f t="shared" si="13"/>
        <v>PASS</v>
      </c>
      <c r="F152" s="3" t="str">
        <f t="shared" si="14"/>
        <v>PASS</v>
      </c>
      <c r="G152" s="3" t="str">
        <f t="shared" si="15"/>
        <v>FAIL</v>
      </c>
      <c r="H152" s="3">
        <v>55676257.229999997</v>
      </c>
      <c r="I152" s="4">
        <v>0</v>
      </c>
      <c r="J152" s="3">
        <v>50399784.270000003</v>
      </c>
      <c r="K152" s="3">
        <v>3673.05</v>
      </c>
      <c r="L152" s="3">
        <v>0</v>
      </c>
      <c r="M152" t="s">
        <v>23</v>
      </c>
      <c r="N152" t="s">
        <v>159</v>
      </c>
      <c r="O152" s="4">
        <v>0.27093518327077548</v>
      </c>
      <c r="P152" s="4">
        <v>0.72906481672922441</v>
      </c>
      <c r="Q152" t="s">
        <v>160</v>
      </c>
      <c r="R152" s="4">
        <v>6.2840378182622399E-5</v>
      </c>
      <c r="S152" s="3">
        <v>10168164.289999999</v>
      </c>
      <c r="T152" s="4">
        <v>0.18263016940946769</v>
      </c>
    </row>
    <row r="153" spans="1:20" x14ac:dyDescent="0.4">
      <c r="A153" s="2">
        <v>45862</v>
      </c>
      <c r="B153" t="s">
        <v>31</v>
      </c>
      <c r="C153" t="s">
        <v>22</v>
      </c>
      <c r="D153" s="3" t="str">
        <f t="shared" si="12"/>
        <v>PASS</v>
      </c>
      <c r="E153" s="3" t="str">
        <f t="shared" si="13"/>
        <v>PASS</v>
      </c>
      <c r="F153" s="3" t="str">
        <f t="shared" si="14"/>
        <v>PASS</v>
      </c>
      <c r="G153" s="3" t="str">
        <f t="shared" si="15"/>
        <v>FAIL</v>
      </c>
      <c r="H153" s="3">
        <v>40735885.759999998</v>
      </c>
      <c r="I153" s="4">
        <v>0</v>
      </c>
      <c r="J153" s="3">
        <v>35067265.490000002</v>
      </c>
      <c r="K153" s="3">
        <v>2546.2800000000002</v>
      </c>
      <c r="L153" s="3">
        <v>0</v>
      </c>
      <c r="M153" t="s">
        <v>23</v>
      </c>
      <c r="N153" t="s">
        <v>41</v>
      </c>
      <c r="O153" s="4">
        <v>0.29024913359447679</v>
      </c>
      <c r="P153" s="4">
        <v>0.70975086640552321</v>
      </c>
      <c r="Q153" t="s">
        <v>161</v>
      </c>
      <c r="R153" s="4">
        <v>6.4317459530839273E-6</v>
      </c>
      <c r="S153" s="3">
        <v>11117760.289999999</v>
      </c>
      <c r="T153" s="4">
        <v>0.27292300345453441</v>
      </c>
    </row>
    <row r="154" spans="1:20" x14ac:dyDescent="0.4">
      <c r="A154" s="2">
        <v>45862</v>
      </c>
      <c r="B154" t="s">
        <v>32</v>
      </c>
      <c r="C154" t="s">
        <v>22</v>
      </c>
      <c r="D154" s="3" t="str">
        <f t="shared" si="12"/>
        <v>PASS</v>
      </c>
      <c r="E154" s="3" t="str">
        <f t="shared" si="13"/>
        <v>PASS</v>
      </c>
      <c r="F154" s="3" t="str">
        <f t="shared" si="14"/>
        <v>PASS</v>
      </c>
      <c r="G154" s="3" t="str">
        <f t="shared" si="15"/>
        <v>FAIL</v>
      </c>
      <c r="H154" s="3">
        <v>79418594.75</v>
      </c>
      <c r="I154" s="4">
        <v>0</v>
      </c>
      <c r="J154" s="3">
        <v>70725042.890000001</v>
      </c>
      <c r="K154" s="3">
        <v>5133.18</v>
      </c>
      <c r="L154" s="3">
        <v>0</v>
      </c>
      <c r="M154" t="s">
        <v>23</v>
      </c>
      <c r="N154" t="s">
        <v>39</v>
      </c>
      <c r="O154" s="4">
        <v>0.25390583103540337</v>
      </c>
      <c r="P154" s="4">
        <v>0.74609416896459657</v>
      </c>
      <c r="Q154" t="s">
        <v>162</v>
      </c>
      <c r="R154" s="4">
        <v>1.3151863112965039E-5</v>
      </c>
      <c r="S154" s="3">
        <v>17993355.359999999</v>
      </c>
      <c r="T154" s="4">
        <v>0.2265635071564899</v>
      </c>
    </row>
    <row r="155" spans="1:20" x14ac:dyDescent="0.4">
      <c r="A155" s="2">
        <v>45863</v>
      </c>
      <c r="B155" t="s">
        <v>24</v>
      </c>
      <c r="C155" t="s">
        <v>22</v>
      </c>
      <c r="D155" s="3" t="str">
        <f t="shared" si="12"/>
        <v>PASS</v>
      </c>
      <c r="E155" s="3" t="str">
        <f t="shared" si="13"/>
        <v>PASS</v>
      </c>
      <c r="F155" s="3" t="str">
        <f t="shared" si="14"/>
        <v>PASS</v>
      </c>
      <c r="G155" s="3" t="str">
        <f t="shared" si="15"/>
        <v>FAIL</v>
      </c>
      <c r="H155" s="3">
        <v>138374029.58000001</v>
      </c>
      <c r="I155" s="4">
        <v>0</v>
      </c>
      <c r="J155" s="3">
        <v>121001908.13</v>
      </c>
      <c r="K155" s="3">
        <v>26293.5</v>
      </c>
      <c r="L155" s="3">
        <v>0</v>
      </c>
      <c r="M155" t="s">
        <v>23</v>
      </c>
      <c r="N155" t="s">
        <v>39</v>
      </c>
      <c r="O155" s="4">
        <v>0.26074635952106617</v>
      </c>
      <c r="P155" s="4">
        <v>0.73925364047893383</v>
      </c>
      <c r="Q155" t="s">
        <v>163</v>
      </c>
      <c r="R155" s="4">
        <v>2.2954348061056089E-5</v>
      </c>
      <c r="S155" s="3">
        <v>35945587.479999997</v>
      </c>
      <c r="T155" s="4">
        <v>0.25977119831737139</v>
      </c>
    </row>
    <row r="156" spans="1:20" x14ac:dyDescent="0.4">
      <c r="A156" s="2">
        <v>45863</v>
      </c>
      <c r="B156" t="s">
        <v>25</v>
      </c>
      <c r="C156" t="s">
        <v>22</v>
      </c>
      <c r="D156" s="3" t="str">
        <f t="shared" si="12"/>
        <v>PASS</v>
      </c>
      <c r="E156" s="3" t="str">
        <f t="shared" si="13"/>
        <v>PASS</v>
      </c>
      <c r="F156" s="3" t="str">
        <f t="shared" si="14"/>
        <v>PASS</v>
      </c>
      <c r="G156" s="3" t="str">
        <f t="shared" si="15"/>
        <v>FAIL</v>
      </c>
      <c r="H156" s="3">
        <v>103298680.42</v>
      </c>
      <c r="I156" s="4">
        <v>0</v>
      </c>
      <c r="J156" s="3">
        <v>93133181.75</v>
      </c>
      <c r="K156" s="3">
        <v>20250.12</v>
      </c>
      <c r="L156" s="3">
        <v>0</v>
      </c>
      <c r="M156" t="s">
        <v>23</v>
      </c>
      <c r="N156" t="s">
        <v>39</v>
      </c>
      <c r="O156" s="4">
        <v>0.25229323629330419</v>
      </c>
      <c r="P156" s="4">
        <v>0.74770676370669575</v>
      </c>
      <c r="Q156" t="s">
        <v>164</v>
      </c>
      <c r="R156" s="4">
        <v>1.709507235553991E-5</v>
      </c>
      <c r="S156" s="3">
        <v>18992376.469999999</v>
      </c>
      <c r="T156" s="4">
        <v>0.18385884885246631</v>
      </c>
    </row>
    <row r="157" spans="1:20" x14ac:dyDescent="0.4">
      <c r="A157" s="2">
        <v>45863</v>
      </c>
      <c r="B157" t="s">
        <v>26</v>
      </c>
      <c r="C157" t="s">
        <v>22</v>
      </c>
      <c r="D157" s="3" t="str">
        <f t="shared" si="12"/>
        <v>PASS</v>
      </c>
      <c r="E157" s="3" t="str">
        <f t="shared" si="13"/>
        <v>PASS</v>
      </c>
      <c r="F157" s="3" t="str">
        <f t="shared" si="14"/>
        <v>PASS</v>
      </c>
      <c r="G157" s="3" t="str">
        <f t="shared" si="15"/>
        <v>FAIL</v>
      </c>
      <c r="H157" s="3">
        <v>23986864.170000002</v>
      </c>
      <c r="I157" s="4">
        <v>0</v>
      </c>
      <c r="J157" s="3">
        <v>21670692.989999998</v>
      </c>
      <c r="K157" s="3">
        <v>4712.67</v>
      </c>
      <c r="L157" s="3">
        <v>0</v>
      </c>
      <c r="M157" t="s">
        <v>23</v>
      </c>
      <c r="N157" t="s">
        <v>39</v>
      </c>
      <c r="O157" s="4">
        <v>0.25420162578751021</v>
      </c>
      <c r="P157" s="4">
        <v>0.74579837421248985</v>
      </c>
      <c r="Q157" t="s">
        <v>165</v>
      </c>
      <c r="R157" s="4">
        <v>4.0072917329742444E-6</v>
      </c>
      <c r="S157" s="3">
        <v>4267510.59</v>
      </c>
      <c r="T157" s="4">
        <v>0.17791031623622189</v>
      </c>
    </row>
    <row r="158" spans="1:20" x14ac:dyDescent="0.4">
      <c r="A158" s="2">
        <v>45863</v>
      </c>
      <c r="B158" t="s">
        <v>27</v>
      </c>
      <c r="C158" t="s">
        <v>22</v>
      </c>
      <c r="D158" s="3" t="str">
        <f t="shared" si="12"/>
        <v>PASS</v>
      </c>
      <c r="E158" s="3" t="str">
        <f t="shared" si="13"/>
        <v>PASS</v>
      </c>
      <c r="F158" s="3" t="str">
        <f t="shared" si="14"/>
        <v>PASS</v>
      </c>
      <c r="G158" s="3" t="str">
        <f t="shared" si="15"/>
        <v>FAIL</v>
      </c>
      <c r="H158" s="3">
        <v>43825012.810000002</v>
      </c>
      <c r="I158" s="4">
        <v>0</v>
      </c>
      <c r="J158" s="3">
        <v>37013209.460000001</v>
      </c>
      <c r="K158" s="3">
        <v>8043.27</v>
      </c>
      <c r="L158" s="3">
        <v>0</v>
      </c>
      <c r="M158" t="s">
        <v>23</v>
      </c>
      <c r="N158" t="s">
        <v>39</v>
      </c>
      <c r="O158" s="4">
        <v>0.25951644318714528</v>
      </c>
      <c r="P158" s="4">
        <v>0.74048355681285472</v>
      </c>
      <c r="Q158" t="s">
        <v>166</v>
      </c>
      <c r="R158" s="4">
        <v>6.9828553705185512E-6</v>
      </c>
      <c r="S158" s="3">
        <v>14882368.1</v>
      </c>
      <c r="T158" s="4">
        <v>0.33958616656933732</v>
      </c>
    </row>
    <row r="159" spans="1:20" x14ac:dyDescent="0.4">
      <c r="A159" s="2">
        <v>45863</v>
      </c>
      <c r="B159" t="s">
        <v>28</v>
      </c>
      <c r="C159" t="s">
        <v>22</v>
      </c>
      <c r="D159" s="3" t="str">
        <f t="shared" si="12"/>
        <v>PASS</v>
      </c>
      <c r="E159" s="3" t="str">
        <f t="shared" si="13"/>
        <v>PASS</v>
      </c>
      <c r="F159" s="3" t="str">
        <f t="shared" si="14"/>
        <v>PASS</v>
      </c>
      <c r="G159" s="3" t="str">
        <f t="shared" si="15"/>
        <v>FAIL</v>
      </c>
      <c r="H159" s="3">
        <v>15564960.35</v>
      </c>
      <c r="I159" s="4">
        <v>0</v>
      </c>
      <c r="J159" s="3">
        <v>13715102.060000001</v>
      </c>
      <c r="K159" s="3">
        <v>2983.17</v>
      </c>
      <c r="L159" s="3">
        <v>0</v>
      </c>
      <c r="M159" t="s">
        <v>23</v>
      </c>
      <c r="N159" t="s">
        <v>39</v>
      </c>
      <c r="O159" s="4">
        <v>0.2540802200927989</v>
      </c>
      <c r="P159" s="4">
        <v>0.74591977990720104</v>
      </c>
      <c r="Q159" t="s">
        <v>167</v>
      </c>
      <c r="R159" s="4">
        <v>2.533394453788621E-6</v>
      </c>
      <c r="S159" s="3">
        <v>4307288.13</v>
      </c>
      <c r="T159" s="4">
        <v>0.27672978492360889</v>
      </c>
    </row>
    <row r="160" spans="1:20" x14ac:dyDescent="0.4">
      <c r="A160" s="2">
        <v>45863</v>
      </c>
      <c r="B160" t="s">
        <v>29</v>
      </c>
      <c r="C160" t="s">
        <v>22</v>
      </c>
      <c r="D160" s="3" t="str">
        <f t="shared" si="12"/>
        <v>PASS</v>
      </c>
      <c r="E160" s="3" t="str">
        <f t="shared" si="13"/>
        <v>PASS</v>
      </c>
      <c r="F160" s="3" t="str">
        <f t="shared" si="14"/>
        <v>PASS</v>
      </c>
      <c r="G160" s="3" t="str">
        <f t="shared" si="15"/>
        <v>FAIL</v>
      </c>
      <c r="H160" s="3">
        <v>35167181.890000001</v>
      </c>
      <c r="I160" s="4">
        <v>0</v>
      </c>
      <c r="J160" s="3">
        <v>32641175.170000002</v>
      </c>
      <c r="K160" s="3">
        <v>7091.94</v>
      </c>
      <c r="L160" s="3">
        <v>0</v>
      </c>
      <c r="M160" t="s">
        <v>23</v>
      </c>
      <c r="N160" t="s">
        <v>39</v>
      </c>
      <c r="O160" s="4">
        <v>0.25644672951889919</v>
      </c>
      <c r="P160" s="4">
        <v>0.74355327048110076</v>
      </c>
      <c r="Q160" t="s">
        <v>168</v>
      </c>
      <c r="R160" s="4">
        <v>6.089972670953928E-6</v>
      </c>
      <c r="S160" s="3">
        <v>4805736.3000000007</v>
      </c>
      <c r="T160" s="4">
        <v>0.1366540064265582</v>
      </c>
    </row>
    <row r="161" spans="1:20" x14ac:dyDescent="0.4">
      <c r="A161" s="2">
        <v>45863</v>
      </c>
      <c r="B161" t="s">
        <v>30</v>
      </c>
      <c r="C161" t="s">
        <v>22</v>
      </c>
      <c r="D161" s="3" t="str">
        <f t="shared" si="12"/>
        <v>PASS</v>
      </c>
      <c r="E161" s="3" t="str">
        <f t="shared" si="13"/>
        <v>PASS</v>
      </c>
      <c r="F161" s="3" t="str">
        <f t="shared" si="14"/>
        <v>PASS</v>
      </c>
      <c r="G161" s="3" t="str">
        <f t="shared" si="15"/>
        <v>FAIL</v>
      </c>
      <c r="H161" s="3">
        <v>55739047.219999999</v>
      </c>
      <c r="I161" s="4">
        <v>0</v>
      </c>
      <c r="J161" s="3">
        <v>50451596.780000001</v>
      </c>
      <c r="K161" s="3">
        <v>10979.52</v>
      </c>
      <c r="L161" s="3">
        <v>0</v>
      </c>
      <c r="M161" t="s">
        <v>23</v>
      </c>
      <c r="N161" t="s">
        <v>169</v>
      </c>
      <c r="O161" s="4">
        <v>0.27054799057244028</v>
      </c>
      <c r="P161" s="4">
        <v>0.72945200942755961</v>
      </c>
      <c r="Q161" t="s">
        <v>170</v>
      </c>
      <c r="R161" s="4">
        <v>7.4567303576067068E-5</v>
      </c>
      <c r="S161" s="3">
        <v>10061198.99</v>
      </c>
      <c r="T161" s="4">
        <v>0.1805053995682562</v>
      </c>
    </row>
    <row r="162" spans="1:20" x14ac:dyDescent="0.4">
      <c r="A162" s="2">
        <v>45863</v>
      </c>
      <c r="B162" t="s">
        <v>31</v>
      </c>
      <c r="C162" t="s">
        <v>22</v>
      </c>
      <c r="D162" s="3" t="str">
        <f t="shared" si="12"/>
        <v>PASS</v>
      </c>
      <c r="E162" s="3" t="str">
        <f t="shared" si="13"/>
        <v>PASS</v>
      </c>
      <c r="F162" s="3" t="str">
        <f t="shared" si="14"/>
        <v>PASS</v>
      </c>
      <c r="G162" s="3" t="str">
        <f t="shared" si="15"/>
        <v>FAIL</v>
      </c>
      <c r="H162" s="3">
        <v>40813568.289999999</v>
      </c>
      <c r="I162" s="4">
        <v>0</v>
      </c>
      <c r="J162" s="3">
        <v>35137504.759999998</v>
      </c>
      <c r="K162" s="3">
        <v>7639.98</v>
      </c>
      <c r="L162" s="3">
        <v>0</v>
      </c>
      <c r="M162" t="s">
        <v>23</v>
      </c>
      <c r="N162" t="s">
        <v>39</v>
      </c>
      <c r="O162" s="4">
        <v>0.25179103952969478</v>
      </c>
      <c r="P162" s="4">
        <v>0.74820896047030516</v>
      </c>
      <c r="Q162" t="s">
        <v>171</v>
      </c>
      <c r="R162" s="4">
        <v>6.4317459530839273E-6</v>
      </c>
      <c r="S162" s="3">
        <v>11115627.51</v>
      </c>
      <c r="T162" s="4">
        <v>0.27235127864876041</v>
      </c>
    </row>
    <row r="163" spans="1:20" x14ac:dyDescent="0.4">
      <c r="A163" s="2">
        <v>45863</v>
      </c>
      <c r="B163" t="s">
        <v>32</v>
      </c>
      <c r="C163" t="s">
        <v>22</v>
      </c>
      <c r="D163" s="3" t="str">
        <f t="shared" si="12"/>
        <v>PASS</v>
      </c>
      <c r="E163" s="3" t="str">
        <f t="shared" si="13"/>
        <v>PASS</v>
      </c>
      <c r="F163" s="3" t="str">
        <f t="shared" si="14"/>
        <v>PASS</v>
      </c>
      <c r="G163" s="3" t="str">
        <f t="shared" si="15"/>
        <v>FAIL</v>
      </c>
      <c r="H163" s="3">
        <v>79603132.969999999</v>
      </c>
      <c r="I163" s="4">
        <v>0</v>
      </c>
      <c r="J163" s="3">
        <v>70894548.290000007</v>
      </c>
      <c r="K163" s="3">
        <v>15404.49</v>
      </c>
      <c r="L163" s="3">
        <v>0</v>
      </c>
      <c r="M163" t="s">
        <v>23</v>
      </c>
      <c r="N163" t="s">
        <v>39</v>
      </c>
      <c r="O163" s="4">
        <v>0.25518738120730611</v>
      </c>
      <c r="P163" s="4">
        <v>0.744812618792694</v>
      </c>
      <c r="Q163" t="s">
        <v>172</v>
      </c>
      <c r="R163" s="4">
        <v>1.3151863112965039E-5</v>
      </c>
      <c r="S163" s="3">
        <v>18007218</v>
      </c>
      <c r="T163" s="4">
        <v>0.2262124281815186</v>
      </c>
    </row>
    <row r="164" spans="1:20" x14ac:dyDescent="0.4">
      <c r="A164" s="2">
        <v>45866</v>
      </c>
      <c r="B164" t="s">
        <v>21</v>
      </c>
      <c r="C164" t="s">
        <v>22</v>
      </c>
      <c r="D164" s="3" t="str">
        <f t="shared" si="12"/>
        <v>PASS</v>
      </c>
      <c r="E164" s="3" t="str">
        <f t="shared" si="13"/>
        <v>FAIL</v>
      </c>
      <c r="F164" s="3" t="str">
        <f t="shared" si="14"/>
        <v>PASS</v>
      </c>
      <c r="G164" s="3" t="str">
        <f t="shared" si="15"/>
        <v>FAIL</v>
      </c>
      <c r="H164" s="3">
        <v>24547957.16</v>
      </c>
      <c r="I164" s="4">
        <v>0</v>
      </c>
      <c r="J164" s="3">
        <v>20594449.16</v>
      </c>
      <c r="K164" s="3">
        <v>2.2000000000000002</v>
      </c>
      <c r="L164" s="3">
        <v>2751088779.1999998</v>
      </c>
      <c r="M164" t="s">
        <v>173</v>
      </c>
      <c r="N164" t="s">
        <v>34</v>
      </c>
      <c r="O164" s="4">
        <v>1.696165441892304</v>
      </c>
      <c r="P164" s="4">
        <v>-0.69616544189230423</v>
      </c>
      <c r="Q164" t="s">
        <v>174</v>
      </c>
      <c r="R164" s="4">
        <v>1.114548127436638E-4</v>
      </c>
      <c r="S164" s="3">
        <v>122753784.04000001</v>
      </c>
      <c r="T164" s="4">
        <v>5.0005702405258718</v>
      </c>
    </row>
    <row r="165" spans="1:20" x14ac:dyDescent="0.4">
      <c r="A165" s="2">
        <v>45866</v>
      </c>
      <c r="B165" t="s">
        <v>24</v>
      </c>
      <c r="C165" t="s">
        <v>22</v>
      </c>
      <c r="D165" s="3" t="str">
        <f t="shared" si="12"/>
        <v>PASS</v>
      </c>
      <c r="E165" s="3" t="str">
        <f t="shared" si="13"/>
        <v>PASS</v>
      </c>
      <c r="F165" s="3" t="str">
        <f t="shared" si="14"/>
        <v>PASS</v>
      </c>
      <c r="G165" s="3" t="str">
        <f t="shared" si="15"/>
        <v>FAIL</v>
      </c>
      <c r="H165" s="3">
        <v>138431396.83000001</v>
      </c>
      <c r="I165" s="4">
        <v>0</v>
      </c>
      <c r="J165" s="3">
        <v>121032076.8</v>
      </c>
      <c r="K165" s="3">
        <v>8785.6200000000008</v>
      </c>
      <c r="L165" s="3">
        <v>0</v>
      </c>
      <c r="M165" t="s">
        <v>23</v>
      </c>
      <c r="N165" t="s">
        <v>39</v>
      </c>
      <c r="O165" s="4">
        <v>0.25983201330971462</v>
      </c>
      <c r="P165" s="4">
        <v>0.74016798669028538</v>
      </c>
      <c r="Q165" t="s">
        <v>175</v>
      </c>
      <c r="R165" s="4">
        <v>2.2871040823536902E-5</v>
      </c>
      <c r="S165" s="3">
        <v>36010343.5</v>
      </c>
      <c r="T165" s="4">
        <v>0.26013133093081708</v>
      </c>
    </row>
    <row r="166" spans="1:20" x14ac:dyDescent="0.4">
      <c r="A166" s="2">
        <v>45866</v>
      </c>
      <c r="B166" t="s">
        <v>25</v>
      </c>
      <c r="C166" t="s">
        <v>22</v>
      </c>
      <c r="D166" s="3" t="str">
        <f t="shared" si="12"/>
        <v>PASS</v>
      </c>
      <c r="E166" s="3" t="str">
        <f t="shared" si="13"/>
        <v>PASS</v>
      </c>
      <c r="F166" s="3" t="str">
        <f t="shared" si="14"/>
        <v>PASS</v>
      </c>
      <c r="G166" s="3" t="str">
        <f t="shared" si="15"/>
        <v>FAIL</v>
      </c>
      <c r="H166" s="3">
        <v>103329545.06999999</v>
      </c>
      <c r="I166" s="4">
        <v>0</v>
      </c>
      <c r="J166" s="3">
        <v>93143529.010000005</v>
      </c>
      <c r="K166" s="3">
        <v>6762.4</v>
      </c>
      <c r="L166" s="3">
        <v>0</v>
      </c>
      <c r="M166" t="s">
        <v>23</v>
      </c>
      <c r="N166" t="s">
        <v>39</v>
      </c>
      <c r="O166" s="4">
        <v>0.25147514378036129</v>
      </c>
      <c r="P166" s="4">
        <v>0.74852485621963871</v>
      </c>
      <c r="Q166" t="s">
        <v>176</v>
      </c>
      <c r="R166" s="4">
        <v>1.7033125948153851E-5</v>
      </c>
      <c r="S166" s="3">
        <v>18993536.850000001</v>
      </c>
      <c r="T166" s="4">
        <v>0.1838151599054553</v>
      </c>
    </row>
    <row r="167" spans="1:20" x14ac:dyDescent="0.4">
      <c r="A167" s="2">
        <v>45866</v>
      </c>
      <c r="B167" t="s">
        <v>26</v>
      </c>
      <c r="C167" t="s">
        <v>22</v>
      </c>
      <c r="D167" s="3" t="str">
        <f t="shared" si="12"/>
        <v>PASS</v>
      </c>
      <c r="E167" s="3" t="str">
        <f t="shared" si="13"/>
        <v>PASS</v>
      </c>
      <c r="F167" s="3" t="str">
        <f t="shared" si="14"/>
        <v>PASS</v>
      </c>
      <c r="G167" s="3" t="str">
        <f t="shared" si="15"/>
        <v>FAIL</v>
      </c>
      <c r="H167" s="3">
        <v>23991191.260000002</v>
      </c>
      <c r="I167" s="4">
        <v>0</v>
      </c>
      <c r="J167" s="3">
        <v>21672220.699999999</v>
      </c>
      <c r="K167" s="3">
        <v>1574.06</v>
      </c>
      <c r="L167" s="3">
        <v>0</v>
      </c>
      <c r="M167" t="s">
        <v>23</v>
      </c>
      <c r="N167" t="s">
        <v>39</v>
      </c>
      <c r="O167" s="4">
        <v>0.25326511832726029</v>
      </c>
      <c r="P167" s="4">
        <v>0.74673488167273971</v>
      </c>
      <c r="Q167" t="s">
        <v>177</v>
      </c>
      <c r="R167" s="4">
        <v>3.9923391518810558E-6</v>
      </c>
      <c r="S167" s="3">
        <v>4276257.01</v>
      </c>
      <c r="T167" s="4">
        <v>0.178242796018625</v>
      </c>
    </row>
    <row r="168" spans="1:20" x14ac:dyDescent="0.4">
      <c r="A168" s="2">
        <v>45866</v>
      </c>
      <c r="B168" t="s">
        <v>27</v>
      </c>
      <c r="C168" t="s">
        <v>22</v>
      </c>
      <c r="D168" s="3" t="str">
        <f t="shared" si="12"/>
        <v>PASS</v>
      </c>
      <c r="E168" s="3" t="str">
        <f t="shared" si="13"/>
        <v>PASS</v>
      </c>
      <c r="F168" s="3" t="str">
        <f t="shared" si="14"/>
        <v>PASS</v>
      </c>
      <c r="G168" s="3" t="str">
        <f t="shared" si="15"/>
        <v>FAIL</v>
      </c>
      <c r="H168" s="3">
        <v>43832302.990000002</v>
      </c>
      <c r="I168" s="4">
        <v>0</v>
      </c>
      <c r="J168" s="3">
        <v>37017421.859999999</v>
      </c>
      <c r="K168" s="3">
        <v>2687.81</v>
      </c>
      <c r="L168" s="3">
        <v>0</v>
      </c>
      <c r="M168" t="s">
        <v>23</v>
      </c>
      <c r="N168" t="s">
        <v>39</v>
      </c>
      <c r="O168" s="4">
        <v>0.25914055674324588</v>
      </c>
      <c r="P168" s="4">
        <v>0.74085944325675412</v>
      </c>
      <c r="Q168" t="s">
        <v>178</v>
      </c>
      <c r="R168" s="4">
        <v>6.9700388724386764E-6</v>
      </c>
      <c r="S168" s="3">
        <v>14900060.9</v>
      </c>
      <c r="T168" s="4">
        <v>0.33993333417592342</v>
      </c>
    </row>
    <row r="169" spans="1:20" x14ac:dyDescent="0.4">
      <c r="A169" s="2">
        <v>45866</v>
      </c>
      <c r="B169" t="s">
        <v>28</v>
      </c>
      <c r="C169" t="s">
        <v>22</v>
      </c>
      <c r="D169" s="3" t="str">
        <f t="shared" si="12"/>
        <v>PASS</v>
      </c>
      <c r="E169" s="3" t="str">
        <f t="shared" si="13"/>
        <v>PASS</v>
      </c>
      <c r="F169" s="3" t="str">
        <f t="shared" si="14"/>
        <v>PASS</v>
      </c>
      <c r="G169" s="3" t="str">
        <f t="shared" si="15"/>
        <v>FAIL</v>
      </c>
      <c r="H169" s="3">
        <v>15570220.92</v>
      </c>
      <c r="I169" s="4">
        <v>0</v>
      </c>
      <c r="J169" s="3">
        <v>13716365.82</v>
      </c>
      <c r="K169" s="3">
        <v>996.46</v>
      </c>
      <c r="L169" s="3">
        <v>0</v>
      </c>
      <c r="M169" t="s">
        <v>23</v>
      </c>
      <c r="N169" t="s">
        <v>39</v>
      </c>
      <c r="O169" s="4">
        <v>0.25347807251760801</v>
      </c>
      <c r="P169" s="4">
        <v>0.74652192748239199</v>
      </c>
      <c r="Q169" t="s">
        <v>179</v>
      </c>
      <c r="R169" s="4">
        <v>2.526986204748684E-6</v>
      </c>
      <c r="S169" s="3">
        <v>4308793.8699999992</v>
      </c>
      <c r="T169" s="4">
        <v>0.27673299512824118</v>
      </c>
    </row>
    <row r="170" spans="1:20" x14ac:dyDescent="0.4">
      <c r="A170" s="2">
        <v>45866</v>
      </c>
      <c r="B170" t="s">
        <v>29</v>
      </c>
      <c r="C170" t="s">
        <v>22</v>
      </c>
      <c r="D170" s="3" t="str">
        <f t="shared" si="12"/>
        <v>PASS</v>
      </c>
      <c r="E170" s="3" t="str">
        <f t="shared" si="13"/>
        <v>PASS</v>
      </c>
      <c r="F170" s="3" t="str">
        <f t="shared" si="14"/>
        <v>PASS</v>
      </c>
      <c r="G170" s="3" t="str">
        <f t="shared" si="15"/>
        <v>FAIL</v>
      </c>
      <c r="H170" s="3">
        <v>35177957.039999999</v>
      </c>
      <c r="I170" s="4">
        <v>0</v>
      </c>
      <c r="J170" s="3">
        <v>32645046.579999998</v>
      </c>
      <c r="K170" s="3">
        <v>2369.84</v>
      </c>
      <c r="L170" s="3">
        <v>0</v>
      </c>
      <c r="M170" t="s">
        <v>23</v>
      </c>
      <c r="N170" t="s">
        <v>39</v>
      </c>
      <c r="O170" s="4">
        <v>0.25563290588510479</v>
      </c>
      <c r="P170" s="4">
        <v>0.74436709411489521</v>
      </c>
      <c r="Q170" t="s">
        <v>180</v>
      </c>
      <c r="R170" s="4">
        <v>6.0686118408208016E-6</v>
      </c>
      <c r="S170" s="3">
        <v>4814351.4700000007</v>
      </c>
      <c r="T170" s="4">
        <v>0.13685705126439601</v>
      </c>
    </row>
    <row r="171" spans="1:20" x14ac:dyDescent="0.4">
      <c r="A171" s="2">
        <v>45866</v>
      </c>
      <c r="B171" t="s">
        <v>30</v>
      </c>
      <c r="C171" t="s">
        <v>22</v>
      </c>
      <c r="D171" s="3" t="str">
        <f t="shared" si="12"/>
        <v>PASS</v>
      </c>
      <c r="E171" s="3" t="str">
        <f t="shared" si="13"/>
        <v>PASS</v>
      </c>
      <c r="F171" s="3" t="str">
        <f t="shared" si="14"/>
        <v>PASS</v>
      </c>
      <c r="G171" s="3" t="str">
        <f t="shared" si="15"/>
        <v>FAIL</v>
      </c>
      <c r="H171" s="3">
        <v>55651241.159999996</v>
      </c>
      <c r="I171" s="4">
        <v>0</v>
      </c>
      <c r="J171" s="3">
        <v>50357638.689999998</v>
      </c>
      <c r="K171" s="3">
        <v>3663.6</v>
      </c>
      <c r="L171" s="3">
        <v>0</v>
      </c>
      <c r="M171" t="s">
        <v>23</v>
      </c>
      <c r="N171" t="s">
        <v>181</v>
      </c>
      <c r="O171" s="4">
        <v>0.2685108625374269</v>
      </c>
      <c r="P171" s="4">
        <v>0.73148913746257316</v>
      </c>
      <c r="Q171" t="s">
        <v>182</v>
      </c>
      <c r="R171" s="4">
        <v>7.4131958804775442E-5</v>
      </c>
      <c r="S171" s="3">
        <v>10310296.52</v>
      </c>
      <c r="T171" s="4">
        <v>0.18526624573129291</v>
      </c>
    </row>
    <row r="172" spans="1:20" x14ac:dyDescent="0.4">
      <c r="A172" s="2">
        <v>45866</v>
      </c>
      <c r="B172" t="s">
        <v>31</v>
      </c>
      <c r="C172" t="s">
        <v>22</v>
      </c>
      <c r="D172" s="3" t="str">
        <f t="shared" si="12"/>
        <v>FAIL</v>
      </c>
      <c r="E172" s="3" t="str">
        <f t="shared" si="13"/>
        <v>PASS</v>
      </c>
      <c r="F172" s="3" t="str">
        <f t="shared" si="14"/>
        <v>PASS</v>
      </c>
      <c r="G172" s="3" t="str">
        <f t="shared" si="15"/>
        <v>FAIL</v>
      </c>
      <c r="H172" s="3">
        <v>46980745.979999997</v>
      </c>
      <c r="I172" s="4">
        <v>0</v>
      </c>
      <c r="J172" s="3">
        <v>35141466.299999997</v>
      </c>
      <c r="K172" s="3">
        <v>2551.7600000000002</v>
      </c>
      <c r="L172" s="3">
        <v>0</v>
      </c>
      <c r="M172" t="s">
        <v>23</v>
      </c>
      <c r="N172" t="s">
        <v>183</v>
      </c>
      <c r="O172" s="4">
        <v>0.32508786493066738</v>
      </c>
      <c r="P172" s="4">
        <v>0.67491213506933256</v>
      </c>
      <c r="Q172" t="s">
        <v>184</v>
      </c>
      <c r="R172" s="4">
        <v>6.4146572889774284E-6</v>
      </c>
      <c r="S172" s="3">
        <v>11115622.960000001</v>
      </c>
      <c r="T172" s="4">
        <v>0.2365995415383994</v>
      </c>
    </row>
    <row r="173" spans="1:20" x14ac:dyDescent="0.4">
      <c r="A173" s="2">
        <v>45866</v>
      </c>
      <c r="B173" t="s">
        <v>32</v>
      </c>
      <c r="C173" t="s">
        <v>22</v>
      </c>
      <c r="D173" s="3" t="str">
        <f t="shared" si="12"/>
        <v>PASS</v>
      </c>
      <c r="E173" s="3" t="str">
        <f t="shared" si="13"/>
        <v>PASS</v>
      </c>
      <c r="F173" s="3" t="str">
        <f t="shared" si="14"/>
        <v>PASS</v>
      </c>
      <c r="G173" s="3" t="str">
        <f t="shared" si="15"/>
        <v>FAIL</v>
      </c>
      <c r="H173" s="3">
        <v>79634765.689999998</v>
      </c>
      <c r="I173" s="4">
        <v>0</v>
      </c>
      <c r="J173" s="3">
        <v>70909245.430000007</v>
      </c>
      <c r="K173" s="3">
        <v>5147.1400000000003</v>
      </c>
      <c r="L173" s="3">
        <v>0</v>
      </c>
      <c r="M173" t="s">
        <v>23</v>
      </c>
      <c r="N173" t="s">
        <v>39</v>
      </c>
      <c r="O173" s="4">
        <v>0.25463742887836283</v>
      </c>
      <c r="P173" s="4">
        <v>0.74536257112163717</v>
      </c>
      <c r="Q173" t="s">
        <v>185</v>
      </c>
      <c r="R173" s="4">
        <v>1.311768578475204E-5</v>
      </c>
      <c r="S173" s="3">
        <v>18024520.960000001</v>
      </c>
      <c r="T173" s="4">
        <v>0.22633985048898561</v>
      </c>
    </row>
    <row r="174" spans="1:20" x14ac:dyDescent="0.4">
      <c r="A174" s="2">
        <v>45866</v>
      </c>
      <c r="B174" t="s">
        <v>33</v>
      </c>
      <c r="C174" t="s">
        <v>22</v>
      </c>
      <c r="D174" s="3" t="str">
        <f t="shared" si="12"/>
        <v>PASS</v>
      </c>
      <c r="E174" s="3" t="str">
        <f t="shared" si="13"/>
        <v>FAIL</v>
      </c>
      <c r="F174" s="3" t="str">
        <f t="shared" si="14"/>
        <v>PASS</v>
      </c>
      <c r="G174" s="3" t="str">
        <f t="shared" si="15"/>
        <v>FAIL</v>
      </c>
      <c r="H174" s="3">
        <v>166579068.12</v>
      </c>
      <c r="I174" s="4">
        <v>0</v>
      </c>
      <c r="J174" s="3">
        <v>142493367.97999999</v>
      </c>
      <c r="K174" s="3">
        <v>10773.2</v>
      </c>
      <c r="L174" s="3">
        <v>1114676506.26</v>
      </c>
      <c r="M174" t="s">
        <v>186</v>
      </c>
      <c r="N174" t="s">
        <v>34</v>
      </c>
      <c r="O174" s="4">
        <v>0.2451453948713101</v>
      </c>
      <c r="P174" s="4">
        <v>0.75485460512868996</v>
      </c>
      <c r="Q174" t="s">
        <v>187</v>
      </c>
      <c r="R174" s="4">
        <v>1.114548127436638E-4</v>
      </c>
      <c r="S174" s="3">
        <v>122753784.04000001</v>
      </c>
      <c r="T174" s="4">
        <v>0.73691001771945797</v>
      </c>
    </row>
    <row r="175" spans="1:20" x14ac:dyDescent="0.4">
      <c r="A175" s="2">
        <v>45867</v>
      </c>
      <c r="B175" t="s">
        <v>21</v>
      </c>
      <c r="C175" t="s">
        <v>22</v>
      </c>
      <c r="D175" s="3" t="str">
        <f t="shared" si="12"/>
        <v>PASS</v>
      </c>
      <c r="E175" s="3" t="str">
        <f t="shared" si="13"/>
        <v>PASS</v>
      </c>
      <c r="F175" s="3" t="str">
        <f t="shared" si="14"/>
        <v>PASS</v>
      </c>
      <c r="G175" s="3" t="str">
        <f t="shared" si="15"/>
        <v>PASS</v>
      </c>
      <c r="H175" s="3">
        <v>24509189.300000001</v>
      </c>
      <c r="I175" s="4">
        <v>0</v>
      </c>
      <c r="J175" s="3">
        <v>20554225.050000001</v>
      </c>
      <c r="K175" s="3">
        <v>1495.76</v>
      </c>
      <c r="L175" s="3">
        <v>0</v>
      </c>
      <c r="M175" t="s">
        <v>23</v>
      </c>
      <c r="N175" t="s">
        <v>41</v>
      </c>
      <c r="O175" s="4">
        <v>0.29120825890733348</v>
      </c>
      <c r="P175" s="4">
        <v>0.70879174109266652</v>
      </c>
      <c r="Q175" t="s">
        <v>188</v>
      </c>
      <c r="R175" s="4">
        <v>3.7637782694566191E-6</v>
      </c>
      <c r="S175" s="3">
        <v>58594</v>
      </c>
      <c r="T175" s="4">
        <v>2.3906951504103812E-3</v>
      </c>
    </row>
    <row r="176" spans="1:20" x14ac:dyDescent="0.4">
      <c r="A176" s="2">
        <v>45867</v>
      </c>
      <c r="B176" t="s">
        <v>24</v>
      </c>
      <c r="C176" t="s">
        <v>22</v>
      </c>
      <c r="D176" s="3" t="str">
        <f t="shared" si="12"/>
        <v>PASS</v>
      </c>
      <c r="E176" s="3" t="str">
        <f t="shared" si="13"/>
        <v>PASS</v>
      </c>
      <c r="F176" s="3" t="str">
        <f t="shared" si="14"/>
        <v>PASS</v>
      </c>
      <c r="G176" s="3" t="str">
        <f t="shared" si="15"/>
        <v>FAIL</v>
      </c>
      <c r="H176" s="3">
        <v>138150963.63</v>
      </c>
      <c r="I176" s="4">
        <v>0</v>
      </c>
      <c r="J176" s="3">
        <v>120742856.34</v>
      </c>
      <c r="K176" s="3">
        <v>8787.81</v>
      </c>
      <c r="L176" s="3">
        <v>0</v>
      </c>
      <c r="M176" t="s">
        <v>23</v>
      </c>
      <c r="N176" t="s">
        <v>39</v>
      </c>
      <c r="O176" s="4">
        <v>0.25935557290295591</v>
      </c>
      <c r="P176" s="4">
        <v>0.74064442709704414</v>
      </c>
      <c r="Q176" t="s">
        <v>189</v>
      </c>
      <c r="R176" s="4">
        <v>2.2871040823536902E-5</v>
      </c>
      <c r="S176" s="3">
        <v>35926238.439999998</v>
      </c>
      <c r="T176" s="4">
        <v>0.26005058159578759</v>
      </c>
    </row>
    <row r="177" spans="1:20" x14ac:dyDescent="0.4">
      <c r="A177" s="2">
        <v>45867</v>
      </c>
      <c r="B177" t="s">
        <v>25</v>
      </c>
      <c r="C177" t="s">
        <v>22</v>
      </c>
      <c r="D177" s="3" t="str">
        <f t="shared" si="12"/>
        <v>PASS</v>
      </c>
      <c r="E177" s="3" t="str">
        <f t="shared" si="13"/>
        <v>PASS</v>
      </c>
      <c r="F177" s="3" t="str">
        <f t="shared" si="14"/>
        <v>PASS</v>
      </c>
      <c r="G177" s="3" t="str">
        <f t="shared" si="15"/>
        <v>FAIL</v>
      </c>
      <c r="H177" s="3">
        <v>103149449.34999999</v>
      </c>
      <c r="I177" s="4">
        <v>0</v>
      </c>
      <c r="J177" s="3">
        <v>92956931.510000005</v>
      </c>
      <c r="K177" s="3">
        <v>6763.16</v>
      </c>
      <c r="L177" s="3">
        <v>0</v>
      </c>
      <c r="M177" t="s">
        <v>23</v>
      </c>
      <c r="N177" t="s">
        <v>39</v>
      </c>
      <c r="O177" s="4">
        <v>0.25091654598657692</v>
      </c>
      <c r="P177" s="4">
        <v>0.74908345401342302</v>
      </c>
      <c r="Q177" t="s">
        <v>190</v>
      </c>
      <c r="R177" s="4">
        <v>1.7033125948153851E-5</v>
      </c>
      <c r="S177" s="3">
        <v>19057321.5</v>
      </c>
      <c r="T177" s="4">
        <v>0.1847544666509652</v>
      </c>
    </row>
    <row r="178" spans="1:20" x14ac:dyDescent="0.4">
      <c r="A178" s="2">
        <v>45867</v>
      </c>
      <c r="B178" t="s">
        <v>26</v>
      </c>
      <c r="C178" t="s">
        <v>22</v>
      </c>
      <c r="D178" s="3" t="str">
        <f t="shared" si="12"/>
        <v>PASS</v>
      </c>
      <c r="E178" s="3" t="str">
        <f t="shared" si="13"/>
        <v>PASS</v>
      </c>
      <c r="F178" s="3" t="str">
        <f t="shared" si="14"/>
        <v>PASS</v>
      </c>
      <c r="G178" s="3" t="str">
        <f t="shared" si="15"/>
        <v>FAIL</v>
      </c>
      <c r="H178" s="3">
        <v>23947329.82</v>
      </c>
      <c r="I178" s="4">
        <v>0</v>
      </c>
      <c r="J178" s="3">
        <v>21626785.800000001</v>
      </c>
      <c r="K178" s="3">
        <v>1574.17</v>
      </c>
      <c r="L178" s="3">
        <v>0</v>
      </c>
      <c r="M178" t="s">
        <v>23</v>
      </c>
      <c r="N178" t="s">
        <v>39</v>
      </c>
      <c r="O178" s="4">
        <v>0.25272784733457709</v>
      </c>
      <c r="P178" s="4">
        <v>0.74727215266542291</v>
      </c>
      <c r="Q178" t="s">
        <v>191</v>
      </c>
      <c r="R178" s="4">
        <v>3.9923391518810558E-6</v>
      </c>
      <c r="S178" s="3">
        <v>4282277.1099999994</v>
      </c>
      <c r="T178" s="4">
        <v>0.17882065107833381</v>
      </c>
    </row>
    <row r="179" spans="1:20" x14ac:dyDescent="0.4">
      <c r="A179" s="2">
        <v>45867</v>
      </c>
      <c r="B179" t="s">
        <v>27</v>
      </c>
      <c r="C179" t="s">
        <v>22</v>
      </c>
      <c r="D179" s="3" t="str">
        <f t="shared" si="12"/>
        <v>PASS</v>
      </c>
      <c r="E179" s="3" t="str">
        <f t="shared" si="13"/>
        <v>PASS</v>
      </c>
      <c r="F179" s="3" t="str">
        <f t="shared" si="14"/>
        <v>PASS</v>
      </c>
      <c r="G179" s="3" t="str">
        <f t="shared" si="15"/>
        <v>FAIL</v>
      </c>
      <c r="H179" s="3">
        <v>43746916.990000002</v>
      </c>
      <c r="I179" s="4">
        <v>0</v>
      </c>
      <c r="J179" s="3">
        <v>36929348.289999999</v>
      </c>
      <c r="K179" s="3">
        <v>2688.12</v>
      </c>
      <c r="L179" s="3">
        <v>0</v>
      </c>
      <c r="M179" t="s">
        <v>23</v>
      </c>
      <c r="N179" t="s">
        <v>39</v>
      </c>
      <c r="O179" s="4">
        <v>0.25864513895541591</v>
      </c>
      <c r="P179" s="4">
        <v>0.74135486104458415</v>
      </c>
      <c r="Q179" t="s">
        <v>192</v>
      </c>
      <c r="R179" s="4">
        <v>6.9700388724386764E-6</v>
      </c>
      <c r="S179" s="3">
        <v>14857939.02</v>
      </c>
      <c r="T179" s="4">
        <v>0.33963396834104542</v>
      </c>
    </row>
    <row r="180" spans="1:20" x14ac:dyDescent="0.4">
      <c r="A180" s="2">
        <v>45867</v>
      </c>
      <c r="B180" t="s">
        <v>28</v>
      </c>
      <c r="C180" t="s">
        <v>22</v>
      </c>
      <c r="D180" s="3" t="str">
        <f t="shared" si="12"/>
        <v>PASS</v>
      </c>
      <c r="E180" s="3" t="str">
        <f t="shared" si="13"/>
        <v>PASS</v>
      </c>
      <c r="F180" s="3" t="str">
        <f t="shared" si="14"/>
        <v>PASS</v>
      </c>
      <c r="G180" s="3" t="str">
        <f t="shared" si="15"/>
        <v>FAIL</v>
      </c>
      <c r="H180" s="3">
        <v>15543418.449999999</v>
      </c>
      <c r="I180" s="4">
        <v>0</v>
      </c>
      <c r="J180" s="3">
        <v>13688567.5</v>
      </c>
      <c r="K180" s="3">
        <v>996.56</v>
      </c>
      <c r="L180" s="3">
        <v>0</v>
      </c>
      <c r="M180" t="s">
        <v>23</v>
      </c>
      <c r="N180" t="s">
        <v>39</v>
      </c>
      <c r="O180" s="4">
        <v>0.25290604732745042</v>
      </c>
      <c r="P180" s="4">
        <v>0.74709395267254952</v>
      </c>
      <c r="Q180" t="s">
        <v>193</v>
      </c>
      <c r="R180" s="4">
        <v>2.526986204748684E-6</v>
      </c>
      <c r="S180" s="3">
        <v>4304919.8400000008</v>
      </c>
      <c r="T180" s="4">
        <v>0.27696094355614548</v>
      </c>
    </row>
    <row r="181" spans="1:20" x14ac:dyDescent="0.4">
      <c r="A181" s="2">
        <v>45867</v>
      </c>
      <c r="B181" t="s">
        <v>29</v>
      </c>
      <c r="C181" t="s">
        <v>22</v>
      </c>
      <c r="D181" s="3" t="str">
        <f t="shared" si="12"/>
        <v>PASS</v>
      </c>
      <c r="E181" s="3" t="str">
        <f t="shared" si="13"/>
        <v>PASS</v>
      </c>
      <c r="F181" s="3" t="str">
        <f t="shared" si="14"/>
        <v>PASS</v>
      </c>
      <c r="G181" s="3" t="str">
        <f t="shared" si="15"/>
        <v>FAIL</v>
      </c>
      <c r="H181" s="3">
        <v>35101677.240000002</v>
      </c>
      <c r="I181" s="4">
        <v>0</v>
      </c>
      <c r="J181" s="3">
        <v>32566396.66</v>
      </c>
      <c r="K181" s="3">
        <v>2370.12</v>
      </c>
      <c r="L181" s="3">
        <v>0</v>
      </c>
      <c r="M181" t="s">
        <v>23</v>
      </c>
      <c r="N181" t="s">
        <v>39</v>
      </c>
      <c r="O181" s="4">
        <v>0.25516603193028847</v>
      </c>
      <c r="P181" s="4">
        <v>0.74483396806971158</v>
      </c>
      <c r="Q181" t="s">
        <v>194</v>
      </c>
      <c r="R181" s="4">
        <v>6.0686118408208016E-6</v>
      </c>
      <c r="S181" s="3">
        <v>4819276.21</v>
      </c>
      <c r="T181" s="4">
        <v>0.1372947559471093</v>
      </c>
    </row>
    <row r="182" spans="1:20" x14ac:dyDescent="0.4">
      <c r="A182" s="2">
        <v>45867</v>
      </c>
      <c r="B182" t="s">
        <v>30</v>
      </c>
      <c r="C182" t="s">
        <v>22</v>
      </c>
      <c r="D182" s="3" t="str">
        <f t="shared" si="12"/>
        <v>PASS</v>
      </c>
      <c r="E182" s="3" t="str">
        <f t="shared" si="13"/>
        <v>PASS</v>
      </c>
      <c r="F182" s="3" t="str">
        <f t="shared" si="14"/>
        <v>PASS</v>
      </c>
      <c r="G182" s="3" t="str">
        <f t="shared" si="15"/>
        <v>FAIL</v>
      </c>
      <c r="H182" s="3">
        <v>55695857.060000002</v>
      </c>
      <c r="I182" s="4">
        <v>0</v>
      </c>
      <c r="J182" s="3">
        <v>50398598.490000002</v>
      </c>
      <c r="K182" s="3">
        <v>3656.78</v>
      </c>
      <c r="L182" s="3">
        <v>0</v>
      </c>
      <c r="M182" t="s">
        <v>23</v>
      </c>
      <c r="N182" t="s">
        <v>195</v>
      </c>
      <c r="O182" s="4">
        <v>0.26783896605137519</v>
      </c>
      <c r="P182" s="4">
        <v>0.73216103394862486</v>
      </c>
      <c r="Q182" t="s">
        <v>196</v>
      </c>
      <c r="R182" s="4">
        <v>7.4131958804775442E-5</v>
      </c>
      <c r="S182" s="3">
        <v>10378126.65</v>
      </c>
      <c r="T182" s="4">
        <v>0.18633570247100889</v>
      </c>
    </row>
    <row r="183" spans="1:20" x14ac:dyDescent="0.4">
      <c r="A183" s="2">
        <v>45867</v>
      </c>
      <c r="B183" t="s">
        <v>31</v>
      </c>
      <c r="C183" t="s">
        <v>22</v>
      </c>
      <c r="D183" s="3" t="str">
        <f t="shared" si="12"/>
        <v>PASS</v>
      </c>
      <c r="E183" s="3" t="str">
        <f t="shared" si="13"/>
        <v>PASS</v>
      </c>
      <c r="F183" s="3" t="str">
        <f t="shared" si="14"/>
        <v>PASS</v>
      </c>
      <c r="G183" s="3" t="str">
        <f t="shared" si="15"/>
        <v>FAIL</v>
      </c>
      <c r="H183" s="3">
        <v>40754343.380000003</v>
      </c>
      <c r="I183" s="4">
        <v>0</v>
      </c>
      <c r="J183" s="3">
        <v>35070206.039999999</v>
      </c>
      <c r="K183" s="3">
        <v>2552.0500000000002</v>
      </c>
      <c r="L183" s="3">
        <v>0</v>
      </c>
      <c r="M183" t="s">
        <v>23</v>
      </c>
      <c r="N183" t="s">
        <v>39</v>
      </c>
      <c r="O183" s="4">
        <v>0.25067307759678048</v>
      </c>
      <c r="P183" s="4">
        <v>0.74932692240321952</v>
      </c>
      <c r="Q183" t="s">
        <v>197</v>
      </c>
      <c r="R183" s="4">
        <v>6.4146572889774284E-6</v>
      </c>
      <c r="S183" s="3">
        <v>11119553.890000001</v>
      </c>
      <c r="T183" s="4">
        <v>0.27284340680745378</v>
      </c>
    </row>
    <row r="184" spans="1:20" x14ac:dyDescent="0.4">
      <c r="A184" s="2">
        <v>45867</v>
      </c>
      <c r="B184" t="s">
        <v>32</v>
      </c>
      <c r="C184" t="s">
        <v>22</v>
      </c>
      <c r="D184" s="3" t="str">
        <f t="shared" si="12"/>
        <v>PASS</v>
      </c>
      <c r="E184" s="3" t="str">
        <f t="shared" si="13"/>
        <v>PASS</v>
      </c>
      <c r="F184" s="3" t="str">
        <f t="shared" si="14"/>
        <v>PASS</v>
      </c>
      <c r="G184" s="3" t="str">
        <f t="shared" si="15"/>
        <v>FAIL</v>
      </c>
      <c r="H184" s="3">
        <v>79475406.989999995</v>
      </c>
      <c r="I184" s="4">
        <v>0</v>
      </c>
      <c r="J184" s="3">
        <v>70744738.519999996</v>
      </c>
      <c r="K184" s="3">
        <v>5148.21</v>
      </c>
      <c r="L184" s="3">
        <v>0</v>
      </c>
      <c r="M184" t="s">
        <v>23</v>
      </c>
      <c r="N184" t="s">
        <v>39</v>
      </c>
      <c r="O184" s="4">
        <v>0.25413684050747132</v>
      </c>
      <c r="P184" s="4">
        <v>0.74586315949252868</v>
      </c>
      <c r="Q184" t="s">
        <v>198</v>
      </c>
      <c r="R184" s="4">
        <v>1.311768578475204E-5</v>
      </c>
      <c r="S184" s="3">
        <v>18011649.539999999</v>
      </c>
      <c r="T184" s="4">
        <v>0.2266317370638482</v>
      </c>
    </row>
    <row r="185" spans="1:20" x14ac:dyDescent="0.4">
      <c r="A185" s="2">
        <v>45867</v>
      </c>
      <c r="B185" t="s">
        <v>33</v>
      </c>
      <c r="C185" t="s">
        <v>22</v>
      </c>
      <c r="D185" s="3" t="str">
        <f t="shared" si="12"/>
        <v>PASS</v>
      </c>
      <c r="E185" s="3" t="str">
        <f t="shared" si="13"/>
        <v>PASS</v>
      </c>
      <c r="F185" s="3" t="str">
        <f t="shared" si="14"/>
        <v>PASS</v>
      </c>
      <c r="G185" s="3" t="str">
        <f t="shared" si="15"/>
        <v>PASS</v>
      </c>
      <c r="H185" s="3">
        <v>166314669.03</v>
      </c>
      <c r="I185" s="4">
        <v>0</v>
      </c>
      <c r="J185" s="3">
        <v>142218844.88</v>
      </c>
      <c r="K185" s="3">
        <v>10345.959999999999</v>
      </c>
      <c r="L185" s="3">
        <v>0</v>
      </c>
      <c r="M185" t="s">
        <v>23</v>
      </c>
      <c r="N185" t="s">
        <v>41</v>
      </c>
      <c r="O185" s="4">
        <v>0.29074730957693878</v>
      </c>
      <c r="P185" s="4">
        <v>0.70925269042306116</v>
      </c>
      <c r="Q185" t="s">
        <v>199</v>
      </c>
      <c r="R185" s="4">
        <v>2.602603543419946E-5</v>
      </c>
      <c r="S185" s="3">
        <v>492893</v>
      </c>
      <c r="T185" s="4">
        <v>2.9636171173277048E-3</v>
      </c>
    </row>
    <row r="186" spans="1:20" x14ac:dyDescent="0.4">
      <c r="A186" s="2">
        <v>45868</v>
      </c>
      <c r="B186" t="s">
        <v>21</v>
      </c>
      <c r="C186" t="s">
        <v>22</v>
      </c>
      <c r="D186" s="3" t="str">
        <f t="shared" si="12"/>
        <v>PASS</v>
      </c>
      <c r="E186" s="3" t="str">
        <f t="shared" si="13"/>
        <v>PASS</v>
      </c>
      <c r="F186" s="3" t="str">
        <f t="shared" si="14"/>
        <v>PASS</v>
      </c>
      <c r="G186" s="3" t="str">
        <f t="shared" si="15"/>
        <v>PASS</v>
      </c>
      <c r="H186" s="3">
        <v>24477663.719999999</v>
      </c>
      <c r="I186" s="4">
        <v>0</v>
      </c>
      <c r="J186" s="3">
        <v>20515213.68</v>
      </c>
      <c r="K186" s="3">
        <v>7486.34</v>
      </c>
      <c r="L186" s="3">
        <v>0</v>
      </c>
      <c r="M186" t="s">
        <v>23</v>
      </c>
      <c r="N186" t="s">
        <v>41</v>
      </c>
      <c r="O186" s="4">
        <v>0.29273227828256287</v>
      </c>
      <c r="P186" s="4">
        <v>0.70726772171743713</v>
      </c>
      <c r="Q186" t="s">
        <v>200</v>
      </c>
      <c r="R186" s="4">
        <v>3.7637782694566191E-6</v>
      </c>
      <c r="S186" s="3">
        <v>57977</v>
      </c>
      <c r="T186" s="4">
        <v>2.368567550530921E-3</v>
      </c>
    </row>
    <row r="187" spans="1:20" x14ac:dyDescent="0.4">
      <c r="A187" s="2">
        <v>45868</v>
      </c>
      <c r="B187" t="s">
        <v>24</v>
      </c>
      <c r="C187" t="s">
        <v>22</v>
      </c>
      <c r="D187" s="3" t="str">
        <f t="shared" si="12"/>
        <v>PASS</v>
      </c>
      <c r="E187" s="3" t="str">
        <f t="shared" si="13"/>
        <v>PASS</v>
      </c>
      <c r="F187" s="3" t="str">
        <f t="shared" si="14"/>
        <v>PASS</v>
      </c>
      <c r="G187" s="3" t="str">
        <f t="shared" si="15"/>
        <v>FAIL</v>
      </c>
      <c r="H187" s="3">
        <v>137999660.41999999</v>
      </c>
      <c r="I187" s="4">
        <v>0</v>
      </c>
      <c r="J187" s="3">
        <v>120582786.87</v>
      </c>
      <c r="K187" s="3">
        <v>8766.81</v>
      </c>
      <c r="L187" s="3">
        <v>0</v>
      </c>
      <c r="M187" t="s">
        <v>23</v>
      </c>
      <c r="N187" t="s">
        <v>39</v>
      </c>
      <c r="O187" s="4">
        <v>0.26043606177270301</v>
      </c>
      <c r="P187" s="4">
        <v>0.73956393822729705</v>
      </c>
      <c r="Q187" t="s">
        <v>201</v>
      </c>
      <c r="R187" s="4">
        <v>2.2871040823536902E-5</v>
      </c>
      <c r="S187" s="3">
        <v>35944875.139999993</v>
      </c>
      <c r="T187" s="4">
        <v>0.26047075065693842</v>
      </c>
    </row>
    <row r="188" spans="1:20" x14ac:dyDescent="0.4">
      <c r="A188" s="2">
        <v>45868</v>
      </c>
      <c r="B188" t="s">
        <v>25</v>
      </c>
      <c r="C188" t="s">
        <v>22</v>
      </c>
      <c r="D188" s="3" t="str">
        <f t="shared" si="12"/>
        <v>PASS</v>
      </c>
      <c r="E188" s="3" t="str">
        <f t="shared" si="13"/>
        <v>PASS</v>
      </c>
      <c r="F188" s="3" t="str">
        <f t="shared" si="14"/>
        <v>PASS</v>
      </c>
      <c r="G188" s="3" t="str">
        <f t="shared" si="15"/>
        <v>FAIL</v>
      </c>
      <c r="H188" s="3">
        <v>103031141.08</v>
      </c>
      <c r="I188" s="4">
        <v>0</v>
      </c>
      <c r="J188" s="3">
        <v>92831874.310000002</v>
      </c>
      <c r="K188" s="3">
        <v>6749.61</v>
      </c>
      <c r="L188" s="3">
        <v>0</v>
      </c>
      <c r="M188" t="s">
        <v>23</v>
      </c>
      <c r="N188" t="s">
        <v>39</v>
      </c>
      <c r="O188" s="4">
        <v>0.25196651337546389</v>
      </c>
      <c r="P188" s="4">
        <v>0.74803348662453617</v>
      </c>
      <c r="Q188" t="s">
        <v>202</v>
      </c>
      <c r="R188" s="4">
        <v>1.7033125948153851E-5</v>
      </c>
      <c r="S188" s="3">
        <v>19112643.68</v>
      </c>
      <c r="T188" s="4">
        <v>0.185503562123608</v>
      </c>
    </row>
    <row r="189" spans="1:20" x14ac:dyDescent="0.4">
      <c r="A189" s="2">
        <v>45868</v>
      </c>
      <c r="B189" t="s">
        <v>26</v>
      </c>
      <c r="C189" t="s">
        <v>22</v>
      </c>
      <c r="D189" s="3" t="str">
        <f t="shared" si="12"/>
        <v>PASS</v>
      </c>
      <c r="E189" s="3" t="str">
        <f t="shared" si="13"/>
        <v>PASS</v>
      </c>
      <c r="F189" s="3" t="str">
        <f t="shared" si="14"/>
        <v>PASS</v>
      </c>
      <c r="G189" s="3" t="str">
        <f t="shared" si="15"/>
        <v>FAIL</v>
      </c>
      <c r="H189" s="3">
        <v>23919832.670000002</v>
      </c>
      <c r="I189" s="4">
        <v>0</v>
      </c>
      <c r="J189" s="3">
        <v>21597718.489999998</v>
      </c>
      <c r="K189" s="3">
        <v>1570.87</v>
      </c>
      <c r="L189" s="3">
        <v>0</v>
      </c>
      <c r="M189" t="s">
        <v>23</v>
      </c>
      <c r="N189" t="s">
        <v>39</v>
      </c>
      <c r="O189" s="4">
        <v>0.25378227207368331</v>
      </c>
      <c r="P189" s="4">
        <v>0.74621772792631669</v>
      </c>
      <c r="Q189" t="s">
        <v>203</v>
      </c>
      <c r="R189" s="4">
        <v>3.9923391518810558E-6</v>
      </c>
      <c r="S189" s="3">
        <v>4286054.88</v>
      </c>
      <c r="T189" s="4">
        <v>0.1791841497861113</v>
      </c>
    </row>
    <row r="190" spans="1:20" x14ac:dyDescent="0.4">
      <c r="A190" s="2">
        <v>45868</v>
      </c>
      <c r="B190" t="s">
        <v>27</v>
      </c>
      <c r="C190" t="s">
        <v>22</v>
      </c>
      <c r="D190" s="3" t="str">
        <f t="shared" si="12"/>
        <v>PASS</v>
      </c>
      <c r="E190" s="3" t="str">
        <f t="shared" si="13"/>
        <v>PASS</v>
      </c>
      <c r="F190" s="3" t="str">
        <f t="shared" si="14"/>
        <v>PASS</v>
      </c>
      <c r="G190" s="3" t="str">
        <f t="shared" si="15"/>
        <v>FAIL</v>
      </c>
      <c r="H190" s="3">
        <v>43696649.899999999</v>
      </c>
      <c r="I190" s="4">
        <v>0</v>
      </c>
      <c r="J190" s="3">
        <v>36876400.030000001</v>
      </c>
      <c r="K190" s="3">
        <v>2681.72</v>
      </c>
      <c r="L190" s="3">
        <v>0</v>
      </c>
      <c r="M190" t="s">
        <v>23</v>
      </c>
      <c r="N190" t="s">
        <v>39</v>
      </c>
      <c r="O190" s="4">
        <v>0.25976313718820448</v>
      </c>
      <c r="P190" s="4">
        <v>0.74023686281179546</v>
      </c>
      <c r="Q190" t="s">
        <v>204</v>
      </c>
      <c r="R190" s="4">
        <v>6.9700388724386764E-6</v>
      </c>
      <c r="S190" s="3">
        <v>14843724.859999999</v>
      </c>
      <c r="T190" s="4">
        <v>0.33969937956273388</v>
      </c>
    </row>
    <row r="191" spans="1:20" x14ac:dyDescent="0.4">
      <c r="A191" s="2">
        <v>45868</v>
      </c>
      <c r="B191" t="s">
        <v>28</v>
      </c>
      <c r="C191" t="s">
        <v>22</v>
      </c>
      <c r="D191" s="3" t="str">
        <f t="shared" si="12"/>
        <v>PASS</v>
      </c>
      <c r="E191" s="3" t="str">
        <f t="shared" si="13"/>
        <v>PASS</v>
      </c>
      <c r="F191" s="3" t="str">
        <f t="shared" si="14"/>
        <v>PASS</v>
      </c>
      <c r="G191" s="3" t="str">
        <f t="shared" si="15"/>
        <v>FAIL</v>
      </c>
      <c r="H191" s="3">
        <v>15525103.6</v>
      </c>
      <c r="I191" s="4">
        <v>0</v>
      </c>
      <c r="J191" s="3">
        <v>13669258.82</v>
      </c>
      <c r="K191" s="3">
        <v>994.54</v>
      </c>
      <c r="L191" s="3">
        <v>0</v>
      </c>
      <c r="M191" t="s">
        <v>23</v>
      </c>
      <c r="N191" t="s">
        <v>39</v>
      </c>
      <c r="O191" s="4">
        <v>0.25398440001152889</v>
      </c>
      <c r="P191" s="4">
        <v>0.746015599988471</v>
      </c>
      <c r="Q191" t="s">
        <v>205</v>
      </c>
      <c r="R191" s="4">
        <v>2.526986204748684E-6</v>
      </c>
      <c r="S191" s="3">
        <v>4309697.96</v>
      </c>
      <c r="T191" s="4">
        <v>0.27759543968518191</v>
      </c>
    </row>
    <row r="192" spans="1:20" x14ac:dyDescent="0.4">
      <c r="A192" s="2">
        <v>45868</v>
      </c>
      <c r="B192" t="s">
        <v>29</v>
      </c>
      <c r="C192" t="s">
        <v>22</v>
      </c>
      <c r="D192" s="3" t="str">
        <f t="shared" si="12"/>
        <v>PASS</v>
      </c>
      <c r="E192" s="3" t="str">
        <f t="shared" si="13"/>
        <v>PASS</v>
      </c>
      <c r="F192" s="3" t="str">
        <f t="shared" si="14"/>
        <v>PASS</v>
      </c>
      <c r="G192" s="3" t="str">
        <f t="shared" si="15"/>
        <v>FAIL</v>
      </c>
      <c r="H192" s="3">
        <v>35057183.700000003</v>
      </c>
      <c r="I192" s="4">
        <v>0</v>
      </c>
      <c r="J192" s="3">
        <v>32519538.710000001</v>
      </c>
      <c r="K192" s="3">
        <v>2364.41</v>
      </c>
      <c r="L192" s="3">
        <v>0</v>
      </c>
      <c r="M192" t="s">
        <v>23</v>
      </c>
      <c r="N192" t="s">
        <v>39</v>
      </c>
      <c r="O192" s="4">
        <v>0.25625588770843921</v>
      </c>
      <c r="P192" s="4">
        <v>0.7437441122915609</v>
      </c>
      <c r="Q192" t="s">
        <v>206</v>
      </c>
      <c r="R192" s="4">
        <v>6.0686118408208016E-6</v>
      </c>
      <c r="S192" s="3">
        <v>4817593.54</v>
      </c>
      <c r="T192" s="4">
        <v>0.13742100852214209</v>
      </c>
    </row>
    <row r="193" spans="1:20" x14ac:dyDescent="0.4">
      <c r="A193" s="2">
        <v>45868</v>
      </c>
      <c r="B193" t="s">
        <v>30</v>
      </c>
      <c r="C193" t="s">
        <v>22</v>
      </c>
      <c r="D193" s="3" t="str">
        <f t="shared" si="12"/>
        <v>PASS</v>
      </c>
      <c r="E193" s="3" t="str">
        <f t="shared" si="13"/>
        <v>PASS</v>
      </c>
      <c r="F193" s="3" t="str">
        <f t="shared" si="14"/>
        <v>PASS</v>
      </c>
      <c r="G193" s="3" t="str">
        <f t="shared" si="15"/>
        <v>FAIL</v>
      </c>
      <c r="H193" s="3">
        <v>55353192.68</v>
      </c>
      <c r="I193" s="4">
        <v>0</v>
      </c>
      <c r="J193" s="3">
        <v>50052275.030000001</v>
      </c>
      <c r="K193" s="3">
        <v>3659.76</v>
      </c>
      <c r="L193" s="3">
        <v>0</v>
      </c>
      <c r="M193" t="s">
        <v>23</v>
      </c>
      <c r="N193" t="s">
        <v>207</v>
      </c>
      <c r="O193" s="4">
        <v>0.2688360657319756</v>
      </c>
      <c r="P193" s="4">
        <v>0.7311639342680244</v>
      </c>
      <c r="Q193" t="s">
        <v>208</v>
      </c>
      <c r="R193" s="4">
        <v>7.8067936014354725E-5</v>
      </c>
      <c r="S193" s="3">
        <v>10439065.609999999</v>
      </c>
      <c r="T193" s="4">
        <v>0.1885901265054184</v>
      </c>
    </row>
    <row r="194" spans="1:20" x14ac:dyDescent="0.4">
      <c r="A194" s="2">
        <v>45868</v>
      </c>
      <c r="B194" t="s">
        <v>31</v>
      </c>
      <c r="C194" t="s">
        <v>22</v>
      </c>
      <c r="D194" s="3" t="str">
        <f t="shared" si="12"/>
        <v>PASS</v>
      </c>
      <c r="E194" s="3" t="str">
        <f t="shared" si="13"/>
        <v>PASS</v>
      </c>
      <c r="F194" s="3" t="str">
        <f t="shared" si="14"/>
        <v>PASS</v>
      </c>
      <c r="G194" s="3" t="str">
        <f t="shared" si="15"/>
        <v>FAIL</v>
      </c>
      <c r="H194" s="3">
        <v>40706285.100000001</v>
      </c>
      <c r="I194" s="4">
        <v>0</v>
      </c>
      <c r="J194" s="3">
        <v>35019601.57</v>
      </c>
      <c r="K194" s="3">
        <v>2546.87</v>
      </c>
      <c r="L194" s="3">
        <v>0</v>
      </c>
      <c r="M194" t="s">
        <v>23</v>
      </c>
      <c r="N194" t="s">
        <v>39</v>
      </c>
      <c r="O194" s="4">
        <v>0.25175890486294872</v>
      </c>
      <c r="P194" s="4">
        <v>0.74824109513705128</v>
      </c>
      <c r="Q194" t="s">
        <v>209</v>
      </c>
      <c r="R194" s="4">
        <v>6.4146572889774284E-6</v>
      </c>
      <c r="S194" s="3">
        <v>11122649.779999999</v>
      </c>
      <c r="T194" s="4">
        <v>0.27324158303013502</v>
      </c>
    </row>
    <row r="195" spans="1:20" x14ac:dyDescent="0.4">
      <c r="A195" s="2">
        <v>45868</v>
      </c>
      <c r="B195" t="s">
        <v>32</v>
      </c>
      <c r="C195" t="s">
        <v>22</v>
      </c>
      <c r="D195" s="3" t="str">
        <f t="shared" si="12"/>
        <v>PASS</v>
      </c>
      <c r="E195" s="3" t="str">
        <f t="shared" si="13"/>
        <v>PASS</v>
      </c>
      <c r="F195" s="3" t="str">
        <f t="shared" si="14"/>
        <v>PASS</v>
      </c>
      <c r="G195" s="3" t="str">
        <f t="shared" si="15"/>
        <v>FAIL</v>
      </c>
      <c r="H195" s="3">
        <v>79381863.219999999</v>
      </c>
      <c r="I195" s="4">
        <v>0</v>
      </c>
      <c r="J195" s="3">
        <v>70646058.489999995</v>
      </c>
      <c r="K195" s="3">
        <v>5136.26</v>
      </c>
      <c r="L195" s="3">
        <v>0</v>
      </c>
      <c r="M195" t="s">
        <v>23</v>
      </c>
      <c r="N195" t="s">
        <v>39</v>
      </c>
      <c r="O195" s="4">
        <v>0.25522652976531263</v>
      </c>
      <c r="P195" s="4">
        <v>0.74477347023468732</v>
      </c>
      <c r="Q195" t="s">
        <v>210</v>
      </c>
      <c r="R195" s="4">
        <v>1.311768578475204E-5</v>
      </c>
      <c r="S195" s="3">
        <v>18032678.640000001</v>
      </c>
      <c r="T195" s="4">
        <v>0.227163711061102</v>
      </c>
    </row>
    <row r="196" spans="1:20" x14ac:dyDescent="0.4">
      <c r="A196" s="2">
        <v>45868</v>
      </c>
      <c r="B196" t="s">
        <v>33</v>
      </c>
      <c r="C196" t="s">
        <v>22</v>
      </c>
      <c r="D196" s="3" t="str">
        <f t="shared" si="12"/>
        <v>PASS</v>
      </c>
      <c r="E196" s="3" t="str">
        <f t="shared" si="13"/>
        <v>PASS</v>
      </c>
      <c r="F196" s="3" t="str">
        <f t="shared" si="14"/>
        <v>PASS</v>
      </c>
      <c r="G196" s="3" t="str">
        <f t="shared" si="15"/>
        <v>PASS</v>
      </c>
      <c r="H196" s="3">
        <v>166135916.94999999</v>
      </c>
      <c r="I196" s="4">
        <v>0</v>
      </c>
      <c r="J196" s="3">
        <v>141988353.5</v>
      </c>
      <c r="K196" s="3">
        <v>51739.85</v>
      </c>
      <c r="L196" s="3">
        <v>0</v>
      </c>
      <c r="M196" t="s">
        <v>23</v>
      </c>
      <c r="N196" t="s">
        <v>41</v>
      </c>
      <c r="O196" s="4">
        <v>0.29217586004333801</v>
      </c>
      <c r="P196" s="4">
        <v>0.70782413995666205</v>
      </c>
      <c r="Q196" t="s">
        <v>211</v>
      </c>
      <c r="R196" s="4">
        <v>2.602603543419946E-5</v>
      </c>
      <c r="S196" s="3">
        <v>489276</v>
      </c>
      <c r="T196" s="4">
        <v>2.9450344572224669E-3</v>
      </c>
    </row>
    <row r="197" spans="1:20" x14ac:dyDescent="0.4">
      <c r="A197" s="2">
        <v>45869</v>
      </c>
      <c r="B197" t="s">
        <v>21</v>
      </c>
      <c r="C197" t="s">
        <v>22</v>
      </c>
      <c r="D197" s="3" t="str">
        <f t="shared" si="12"/>
        <v>PASS</v>
      </c>
      <c r="E197" s="3" t="str">
        <f t="shared" si="13"/>
        <v>PASS</v>
      </c>
      <c r="F197" s="3" t="str">
        <f t="shared" si="14"/>
        <v>PASS</v>
      </c>
      <c r="G197" s="3" t="str">
        <f t="shared" si="15"/>
        <v>PASS</v>
      </c>
      <c r="H197" s="3">
        <v>24438087.949999999</v>
      </c>
      <c r="I197" s="4">
        <v>0</v>
      </c>
      <c r="J197" s="3">
        <v>20427231.280000001</v>
      </c>
      <c r="K197" s="3">
        <v>1421.39</v>
      </c>
      <c r="L197" s="3">
        <v>0</v>
      </c>
      <c r="M197" t="s">
        <v>23</v>
      </c>
      <c r="N197" t="s">
        <v>41</v>
      </c>
      <c r="O197" s="4">
        <v>0.29639472608937928</v>
      </c>
      <c r="P197" s="4">
        <v>0.70360527391062067</v>
      </c>
      <c r="Q197" t="s">
        <v>212</v>
      </c>
      <c r="R197" s="4">
        <v>3.7466896053501189E-6</v>
      </c>
      <c r="S197" s="3">
        <v>77918</v>
      </c>
      <c r="T197" s="4">
        <v>3.1883836476658562E-3</v>
      </c>
    </row>
    <row r="198" spans="1:20" x14ac:dyDescent="0.4">
      <c r="A198" s="2">
        <v>45869</v>
      </c>
      <c r="B198" t="s">
        <v>24</v>
      </c>
      <c r="C198" t="s">
        <v>22</v>
      </c>
      <c r="D198" s="3" t="str">
        <f t="shared" si="12"/>
        <v>PASS</v>
      </c>
      <c r="E198" s="3" t="str">
        <f t="shared" si="13"/>
        <v>PASS</v>
      </c>
      <c r="F198" s="3" t="str">
        <f t="shared" si="14"/>
        <v>PASS</v>
      </c>
      <c r="G198" s="3" t="str">
        <f t="shared" si="15"/>
        <v>FAIL</v>
      </c>
      <c r="H198" s="3">
        <v>137652420.90000001</v>
      </c>
      <c r="I198" s="4">
        <v>0</v>
      </c>
      <c r="J198" s="3">
        <v>118693327.92</v>
      </c>
      <c r="K198" s="3">
        <v>7664.17</v>
      </c>
      <c r="L198" s="3">
        <v>0</v>
      </c>
      <c r="M198" t="s">
        <v>23</v>
      </c>
      <c r="N198" t="s">
        <v>39</v>
      </c>
      <c r="O198" s="4">
        <v>0.26684312265089949</v>
      </c>
      <c r="P198" s="4">
        <v>0.7331568773491004</v>
      </c>
      <c r="Q198" t="s">
        <v>213</v>
      </c>
      <c r="R198" s="4">
        <v>2.2689473767405341E-5</v>
      </c>
      <c r="S198" s="3">
        <v>36106363.990000002</v>
      </c>
      <c r="T198" s="4">
        <v>0.26230097337866731</v>
      </c>
    </row>
    <row r="199" spans="1:20" x14ac:dyDescent="0.4">
      <c r="A199" s="2">
        <v>45869</v>
      </c>
      <c r="B199" t="s">
        <v>25</v>
      </c>
      <c r="C199" t="s">
        <v>22</v>
      </c>
      <c r="D199" s="3" t="str">
        <f t="shared" si="12"/>
        <v>PASS</v>
      </c>
      <c r="E199" s="3" t="str">
        <f t="shared" si="13"/>
        <v>PASS</v>
      </c>
      <c r="F199" s="3" t="str">
        <f t="shared" si="14"/>
        <v>PASS</v>
      </c>
      <c r="G199" s="3" t="str">
        <f t="shared" si="15"/>
        <v>FAIL</v>
      </c>
      <c r="H199" s="3">
        <v>102824095.43000001</v>
      </c>
      <c r="I199" s="4">
        <v>0</v>
      </c>
      <c r="J199" s="3">
        <v>91439587.969999999</v>
      </c>
      <c r="K199" s="3">
        <v>5227.93</v>
      </c>
      <c r="L199" s="3">
        <v>0</v>
      </c>
      <c r="M199" t="s">
        <v>23</v>
      </c>
      <c r="N199" t="s">
        <v>39</v>
      </c>
      <c r="O199" s="4">
        <v>0.25787788630167863</v>
      </c>
      <c r="P199" s="4">
        <v>0.74212211369832137</v>
      </c>
      <c r="Q199" t="s">
        <v>214</v>
      </c>
      <c r="R199" s="4">
        <v>1.6890008386261909E-5</v>
      </c>
      <c r="S199" s="3">
        <v>18981490.870000001</v>
      </c>
      <c r="T199" s="4">
        <v>0.1846015838079714</v>
      </c>
    </row>
    <row r="200" spans="1:20" x14ac:dyDescent="0.4">
      <c r="A200" s="2">
        <v>45869</v>
      </c>
      <c r="B200" t="s">
        <v>26</v>
      </c>
      <c r="C200" t="s">
        <v>22</v>
      </c>
      <c r="D200" s="3" t="str">
        <f t="shared" ref="D200:D263" si="16">IF(J200/H200&gt;=0.75,"PASS","FAIL")</f>
        <v>PASS</v>
      </c>
      <c r="E200" s="3" t="str">
        <f t="shared" ref="E200:E263" si="17">IF(L200=0,"PASS","FAIL")</f>
        <v>PASS</v>
      </c>
      <c r="F200" s="3" t="str">
        <f t="shared" ref="F200:F263" si="18">IF(R200="","",IF(R200&lt;=0.1,"PASS","FAIL"))</f>
        <v>PASS</v>
      </c>
      <c r="G200" s="3" t="str">
        <f t="shared" ref="G200:G263" si="19">IF(S200=0,"PASS",IF(S200&lt;=0.05*J200,"PASS","FAIL"))</f>
        <v>FAIL</v>
      </c>
      <c r="H200" s="3">
        <v>23868974.66</v>
      </c>
      <c r="I200" s="4">
        <v>0</v>
      </c>
      <c r="J200" s="3">
        <v>21270934.390000001</v>
      </c>
      <c r="K200" s="3">
        <v>1227.55</v>
      </c>
      <c r="L200" s="3">
        <v>0</v>
      </c>
      <c r="M200" t="s">
        <v>23</v>
      </c>
      <c r="N200" t="s">
        <v>39</v>
      </c>
      <c r="O200" s="4">
        <v>0.25975405634260901</v>
      </c>
      <c r="P200" s="4">
        <v>0.74024594365739094</v>
      </c>
      <c r="Q200" t="s">
        <v>215</v>
      </c>
      <c r="R200" s="4">
        <v>3.9581618236680563E-6</v>
      </c>
      <c r="S200" s="3">
        <v>4278915.3100000015</v>
      </c>
      <c r="T200" s="4">
        <v>0.17926682528054599</v>
      </c>
    </row>
    <row r="201" spans="1:20" x14ac:dyDescent="0.4">
      <c r="A201" s="2">
        <v>45869</v>
      </c>
      <c r="B201" t="s">
        <v>27</v>
      </c>
      <c r="C201" t="s">
        <v>22</v>
      </c>
      <c r="D201" s="3" t="str">
        <f t="shared" si="16"/>
        <v>PASS</v>
      </c>
      <c r="E201" s="3" t="str">
        <f t="shared" si="17"/>
        <v>PASS</v>
      </c>
      <c r="F201" s="3" t="str">
        <f t="shared" si="18"/>
        <v>PASS</v>
      </c>
      <c r="G201" s="3" t="str">
        <f t="shared" si="19"/>
        <v>FAIL</v>
      </c>
      <c r="H201" s="3">
        <v>43606039.579999998</v>
      </c>
      <c r="I201" s="4">
        <v>0</v>
      </c>
      <c r="J201" s="3">
        <v>36416696.520000003</v>
      </c>
      <c r="K201" s="3">
        <v>6372.57</v>
      </c>
      <c r="L201" s="3">
        <v>0</v>
      </c>
      <c r="M201" t="s">
        <v>23</v>
      </c>
      <c r="N201" t="s">
        <v>39</v>
      </c>
      <c r="O201" s="4">
        <v>0.26590760654750351</v>
      </c>
      <c r="P201" s="4">
        <v>0.73409239345249655</v>
      </c>
      <c r="Q201" t="s">
        <v>216</v>
      </c>
      <c r="R201" s="4">
        <v>6.9273172121724262E-6</v>
      </c>
      <c r="S201" s="3">
        <v>14954470.02</v>
      </c>
      <c r="T201" s="4">
        <v>0.34294492607072019</v>
      </c>
    </row>
    <row r="202" spans="1:20" x14ac:dyDescent="0.4">
      <c r="A202" s="2">
        <v>45869</v>
      </c>
      <c r="B202" t="s">
        <v>28</v>
      </c>
      <c r="C202" t="s">
        <v>22</v>
      </c>
      <c r="D202" s="3" t="str">
        <f t="shared" si="16"/>
        <v>PASS</v>
      </c>
      <c r="E202" s="3" t="str">
        <f t="shared" si="17"/>
        <v>PASS</v>
      </c>
      <c r="F202" s="3" t="str">
        <f t="shared" si="18"/>
        <v>PASS</v>
      </c>
      <c r="G202" s="3" t="str">
        <f t="shared" si="19"/>
        <v>FAIL</v>
      </c>
      <c r="H202" s="3">
        <v>15492286.5</v>
      </c>
      <c r="I202" s="4">
        <v>0</v>
      </c>
      <c r="J202" s="3">
        <v>13496604.539999999</v>
      </c>
      <c r="K202" s="3">
        <v>859.83</v>
      </c>
      <c r="L202" s="3">
        <v>0</v>
      </c>
      <c r="M202" t="s">
        <v>23</v>
      </c>
      <c r="N202" t="s">
        <v>39</v>
      </c>
      <c r="O202" s="4">
        <v>0.25995300296469981</v>
      </c>
      <c r="P202" s="4">
        <v>0.7400469970353003</v>
      </c>
      <c r="Q202" t="s">
        <v>217</v>
      </c>
      <c r="R202" s="4">
        <v>2.509897540642183E-6</v>
      </c>
      <c r="S202" s="3">
        <v>4323040.5500000007</v>
      </c>
      <c r="T202" s="4">
        <v>0.27904470718379759</v>
      </c>
    </row>
    <row r="203" spans="1:20" x14ac:dyDescent="0.4">
      <c r="A203" s="2">
        <v>45869</v>
      </c>
      <c r="B203" t="s">
        <v>29</v>
      </c>
      <c r="C203" t="s">
        <v>22</v>
      </c>
      <c r="D203" s="3" t="str">
        <f t="shared" si="16"/>
        <v>PASS</v>
      </c>
      <c r="E203" s="3" t="str">
        <f t="shared" si="17"/>
        <v>PASS</v>
      </c>
      <c r="F203" s="3" t="str">
        <f t="shared" si="18"/>
        <v>PASS</v>
      </c>
      <c r="G203" s="3" t="str">
        <f t="shared" si="19"/>
        <v>FAIL</v>
      </c>
      <c r="H203" s="3">
        <v>34969033.469999999</v>
      </c>
      <c r="I203" s="4">
        <v>0</v>
      </c>
      <c r="J203" s="3">
        <v>32015446.359999999</v>
      </c>
      <c r="K203" s="3">
        <v>2527.5300000000002</v>
      </c>
      <c r="L203" s="3">
        <v>0</v>
      </c>
      <c r="M203" t="s">
        <v>23</v>
      </c>
      <c r="N203" t="s">
        <v>39</v>
      </c>
      <c r="O203" s="4">
        <v>0.26247846541034447</v>
      </c>
      <c r="P203" s="4">
        <v>0.73752153458965553</v>
      </c>
      <c r="Q203" t="s">
        <v>218</v>
      </c>
      <c r="R203" s="4">
        <v>6.0173458485013032E-6</v>
      </c>
      <c r="S203" s="3">
        <v>4813681.7699999996</v>
      </c>
      <c r="T203" s="4">
        <v>0.1376555567121884</v>
      </c>
    </row>
    <row r="204" spans="1:20" x14ac:dyDescent="0.4">
      <c r="A204" s="2">
        <v>45869</v>
      </c>
      <c r="B204" t="s">
        <v>30</v>
      </c>
      <c r="C204" t="s">
        <v>22</v>
      </c>
      <c r="D204" s="3" t="str">
        <f t="shared" si="16"/>
        <v>PASS</v>
      </c>
      <c r="E204" s="3" t="str">
        <f t="shared" si="17"/>
        <v>PASS</v>
      </c>
      <c r="F204" s="3" t="str">
        <f t="shared" si="18"/>
        <v>PASS</v>
      </c>
      <c r="G204" s="3" t="str">
        <f t="shared" si="19"/>
        <v>FAIL</v>
      </c>
      <c r="H204" s="3">
        <v>55237543.68</v>
      </c>
      <c r="I204" s="4">
        <v>0</v>
      </c>
      <c r="J204" s="3">
        <v>49296156.009999998</v>
      </c>
      <c r="K204" s="3">
        <v>2852.53</v>
      </c>
      <c r="L204" s="3">
        <v>0</v>
      </c>
      <c r="M204" t="s">
        <v>23</v>
      </c>
      <c r="N204" t="s">
        <v>219</v>
      </c>
      <c r="O204" s="4">
        <v>0.27609657652087588</v>
      </c>
      <c r="P204" s="4">
        <v>0.72390342347912418</v>
      </c>
      <c r="Q204" t="s">
        <v>220</v>
      </c>
      <c r="R204" s="4">
        <v>7.7122618798777787E-5</v>
      </c>
      <c r="S204" s="3">
        <v>10390602.01</v>
      </c>
      <c r="T204" s="4">
        <v>0.188107604316992</v>
      </c>
    </row>
    <row r="205" spans="1:20" x14ac:dyDescent="0.4">
      <c r="A205" s="2">
        <v>45869</v>
      </c>
      <c r="B205" t="s">
        <v>31</v>
      </c>
      <c r="C205" t="s">
        <v>22</v>
      </c>
      <c r="D205" s="3" t="str">
        <f t="shared" si="16"/>
        <v>PASS</v>
      </c>
      <c r="E205" s="3" t="str">
        <f t="shared" si="17"/>
        <v>PASS</v>
      </c>
      <c r="F205" s="3" t="str">
        <f t="shared" si="18"/>
        <v>PASS</v>
      </c>
      <c r="G205" s="3" t="str">
        <f t="shared" si="19"/>
        <v>FAIL</v>
      </c>
      <c r="H205" s="3">
        <v>40630262.390000001</v>
      </c>
      <c r="I205" s="4">
        <v>0</v>
      </c>
      <c r="J205" s="3">
        <v>34585124.899999999</v>
      </c>
      <c r="K205" s="3">
        <v>2179.35</v>
      </c>
      <c r="L205" s="3">
        <v>0</v>
      </c>
      <c r="M205" t="s">
        <v>23</v>
      </c>
      <c r="N205" t="s">
        <v>39</v>
      </c>
      <c r="O205" s="4">
        <v>0.25759654434557211</v>
      </c>
      <c r="P205" s="4">
        <v>0.74240345565442789</v>
      </c>
      <c r="Q205" t="s">
        <v>221</v>
      </c>
      <c r="R205" s="4">
        <v>6.3719356287111773E-6</v>
      </c>
      <c r="S205" s="3">
        <v>11142788.99</v>
      </c>
      <c r="T205" s="4">
        <v>0.27424851168922021</v>
      </c>
    </row>
    <row r="206" spans="1:20" x14ac:dyDescent="0.4">
      <c r="A206" s="2">
        <v>45869</v>
      </c>
      <c r="B206" t="s">
        <v>32</v>
      </c>
      <c r="C206" t="s">
        <v>22</v>
      </c>
      <c r="D206" s="3" t="str">
        <f t="shared" si="16"/>
        <v>PASS</v>
      </c>
      <c r="E206" s="3" t="str">
        <f t="shared" si="17"/>
        <v>PASS</v>
      </c>
      <c r="F206" s="3" t="str">
        <f t="shared" si="18"/>
        <v>PASS</v>
      </c>
      <c r="G206" s="3" t="str">
        <f t="shared" si="19"/>
        <v>FAIL</v>
      </c>
      <c r="H206" s="3">
        <v>79177910.349999994</v>
      </c>
      <c r="I206" s="4">
        <v>0</v>
      </c>
      <c r="J206" s="3">
        <v>69716402.379999995</v>
      </c>
      <c r="K206" s="3">
        <v>5998.77</v>
      </c>
      <c r="L206" s="3">
        <v>0</v>
      </c>
      <c r="M206" t="s">
        <v>23</v>
      </c>
      <c r="N206" t="s">
        <v>39</v>
      </c>
      <c r="O206" s="4">
        <v>0.26137168539877831</v>
      </c>
      <c r="P206" s="4">
        <v>0.73862831460122169</v>
      </c>
      <c r="Q206" t="s">
        <v>222</v>
      </c>
      <c r="R206" s="4">
        <v>1.3032242464219539E-5</v>
      </c>
      <c r="S206" s="3">
        <v>18078833.059999999</v>
      </c>
      <c r="T206" s="4">
        <v>0.2283317781447361</v>
      </c>
    </row>
    <row r="207" spans="1:20" x14ac:dyDescent="0.4">
      <c r="A207" s="2">
        <v>45869</v>
      </c>
      <c r="B207" t="s">
        <v>33</v>
      </c>
      <c r="C207" t="s">
        <v>22</v>
      </c>
      <c r="D207" s="3" t="str">
        <f t="shared" si="16"/>
        <v>PASS</v>
      </c>
      <c r="E207" s="3" t="str">
        <f t="shared" si="17"/>
        <v>PASS</v>
      </c>
      <c r="F207" s="3" t="str">
        <f t="shared" si="18"/>
        <v>PASS</v>
      </c>
      <c r="G207" s="3" t="str">
        <f t="shared" si="19"/>
        <v>PASS</v>
      </c>
      <c r="H207" s="3">
        <v>165824292.84999999</v>
      </c>
      <c r="I207" s="4">
        <v>0</v>
      </c>
      <c r="J207" s="3">
        <v>141260476.81999999</v>
      </c>
      <c r="K207" s="3">
        <v>9866.01</v>
      </c>
      <c r="L207" s="3">
        <v>0</v>
      </c>
      <c r="M207" t="s">
        <v>23</v>
      </c>
      <c r="N207" t="s">
        <v>39</v>
      </c>
      <c r="O207" s="4">
        <v>0.25540245532352579</v>
      </c>
      <c r="P207" s="4">
        <v>0.74459754467647421</v>
      </c>
      <c r="Q207" t="s">
        <v>223</v>
      </c>
      <c r="R207" s="4">
        <v>2.5846604461081211E-5</v>
      </c>
      <c r="S207" s="3">
        <v>650603</v>
      </c>
      <c r="T207" s="4">
        <v>3.9234480594982383E-3</v>
      </c>
    </row>
    <row r="208" spans="1:20" x14ac:dyDescent="0.4">
      <c r="A208" s="2">
        <v>45870</v>
      </c>
      <c r="B208" t="s">
        <v>21</v>
      </c>
      <c r="C208" t="s">
        <v>22</v>
      </c>
      <c r="D208" s="3" t="str">
        <f t="shared" si="16"/>
        <v>PASS</v>
      </c>
      <c r="E208" s="3" t="str">
        <f t="shared" si="17"/>
        <v>PASS</v>
      </c>
      <c r="F208" s="3" t="str">
        <f t="shared" si="18"/>
        <v>PASS</v>
      </c>
      <c r="G208" s="3" t="str">
        <f t="shared" si="19"/>
        <v>PASS</v>
      </c>
      <c r="H208" s="3">
        <v>24267984.550000001</v>
      </c>
      <c r="I208" s="4">
        <v>0</v>
      </c>
      <c r="J208" s="3">
        <v>20299370.879999999</v>
      </c>
      <c r="K208" s="3">
        <v>4450.8599999999997</v>
      </c>
      <c r="L208" s="3">
        <v>0</v>
      </c>
      <c r="M208" t="s">
        <v>23</v>
      </c>
      <c r="N208" t="s">
        <v>41</v>
      </c>
      <c r="O208" s="4">
        <v>0.2888601545665242</v>
      </c>
      <c r="P208" s="4">
        <v>0.71113984543347586</v>
      </c>
      <c r="Q208" t="s">
        <v>224</v>
      </c>
      <c r="R208" s="4">
        <v>3.7466896053501189E-6</v>
      </c>
      <c r="S208" s="3">
        <v>15404</v>
      </c>
      <c r="T208" s="4">
        <v>6.3474574776750464E-4</v>
      </c>
    </row>
    <row r="209" spans="1:20" x14ac:dyDescent="0.4">
      <c r="A209" s="2">
        <v>45870</v>
      </c>
      <c r="B209" t="s">
        <v>24</v>
      </c>
      <c r="C209" t="s">
        <v>22</v>
      </c>
      <c r="D209" s="3" t="str">
        <f t="shared" si="16"/>
        <v>PASS</v>
      </c>
      <c r="E209" s="3" t="str">
        <f t="shared" si="17"/>
        <v>PASS</v>
      </c>
      <c r="F209" s="3" t="str">
        <f t="shared" si="18"/>
        <v>PASS</v>
      </c>
      <c r="G209" s="3" t="str">
        <f t="shared" si="19"/>
        <v>FAIL</v>
      </c>
      <c r="H209" s="3">
        <v>135096626.05000001</v>
      </c>
      <c r="I209" s="4">
        <v>0</v>
      </c>
      <c r="J209" s="3">
        <v>117647879.11</v>
      </c>
      <c r="K209" s="3">
        <v>25854.03</v>
      </c>
      <c r="L209" s="3">
        <v>0</v>
      </c>
      <c r="M209" t="s">
        <v>23</v>
      </c>
      <c r="N209" t="s">
        <v>39</v>
      </c>
      <c r="O209" s="4">
        <v>0.26070889770415678</v>
      </c>
      <c r="P209" s="4">
        <v>0.73929110229584316</v>
      </c>
      <c r="Q209" t="s">
        <v>225</v>
      </c>
      <c r="R209" s="4">
        <v>2.2689473767405341E-5</v>
      </c>
      <c r="S209" s="3">
        <v>35416405.119999997</v>
      </c>
      <c r="T209" s="4">
        <v>0.26215610378672372</v>
      </c>
    </row>
    <row r="210" spans="1:20" x14ac:dyDescent="0.4">
      <c r="A210" s="2">
        <v>45870</v>
      </c>
      <c r="B210" t="s">
        <v>25</v>
      </c>
      <c r="C210" t="s">
        <v>22</v>
      </c>
      <c r="D210" s="3" t="str">
        <f t="shared" si="16"/>
        <v>PASS</v>
      </c>
      <c r="E210" s="3" t="str">
        <f t="shared" si="17"/>
        <v>PASS</v>
      </c>
      <c r="F210" s="3" t="str">
        <f t="shared" si="18"/>
        <v>PASS</v>
      </c>
      <c r="G210" s="3" t="str">
        <f t="shared" si="19"/>
        <v>FAIL</v>
      </c>
      <c r="H210" s="3">
        <v>101125976.40000001</v>
      </c>
      <c r="I210" s="4">
        <v>0</v>
      </c>
      <c r="J210" s="3">
        <v>90904045.560000002</v>
      </c>
      <c r="K210" s="3">
        <v>19918.32</v>
      </c>
      <c r="L210" s="3">
        <v>0</v>
      </c>
      <c r="M210" t="s">
        <v>23</v>
      </c>
      <c r="N210" t="s">
        <v>39</v>
      </c>
      <c r="O210" s="4">
        <v>0.25118707962154202</v>
      </c>
      <c r="P210" s="4">
        <v>0.74881292037845804</v>
      </c>
      <c r="Q210" t="s">
        <v>226</v>
      </c>
      <c r="R210" s="4">
        <v>1.6890008386261909E-5</v>
      </c>
      <c r="S210" s="3">
        <v>19510693.73</v>
      </c>
      <c r="T210" s="4">
        <v>0.19293453991312959</v>
      </c>
    </row>
    <row r="211" spans="1:20" x14ac:dyDescent="0.4">
      <c r="A211" s="2">
        <v>45870</v>
      </c>
      <c r="B211" t="s">
        <v>26</v>
      </c>
      <c r="C211" t="s">
        <v>22</v>
      </c>
      <c r="D211" s="3" t="str">
        <f t="shared" si="16"/>
        <v>PASS</v>
      </c>
      <c r="E211" s="3" t="str">
        <f t="shared" si="17"/>
        <v>PASS</v>
      </c>
      <c r="F211" s="3" t="str">
        <f t="shared" si="18"/>
        <v>PASS</v>
      </c>
      <c r="G211" s="3" t="str">
        <f t="shared" si="19"/>
        <v>FAIL</v>
      </c>
      <c r="H211" s="3">
        <v>23446523.09</v>
      </c>
      <c r="I211" s="4">
        <v>0</v>
      </c>
      <c r="J211" s="3">
        <v>21119030.129999999</v>
      </c>
      <c r="K211" s="3">
        <v>4635.12</v>
      </c>
      <c r="L211" s="3">
        <v>0</v>
      </c>
      <c r="M211" t="s">
        <v>23</v>
      </c>
      <c r="N211" t="s">
        <v>39</v>
      </c>
      <c r="O211" s="4">
        <v>0.253418353828543</v>
      </c>
      <c r="P211" s="4">
        <v>0.74658164617145695</v>
      </c>
      <c r="Q211" t="s">
        <v>227</v>
      </c>
      <c r="R211" s="4">
        <v>3.9581618236680563E-6</v>
      </c>
      <c r="S211" s="3">
        <v>4306366.3</v>
      </c>
      <c r="T211" s="4">
        <v>0.18366758616916959</v>
      </c>
    </row>
    <row r="212" spans="1:20" x14ac:dyDescent="0.4">
      <c r="A212" s="2">
        <v>45870</v>
      </c>
      <c r="B212" t="s">
        <v>27</v>
      </c>
      <c r="C212" t="s">
        <v>22</v>
      </c>
      <c r="D212" s="3" t="str">
        <f t="shared" si="16"/>
        <v>PASS</v>
      </c>
      <c r="E212" s="3" t="str">
        <f t="shared" si="17"/>
        <v>PASS</v>
      </c>
      <c r="F212" s="3" t="str">
        <f t="shared" si="18"/>
        <v>PASS</v>
      </c>
      <c r="G212" s="3" t="str">
        <f t="shared" si="19"/>
        <v>FAIL</v>
      </c>
      <c r="H212" s="3">
        <v>42901273.020000003</v>
      </c>
      <c r="I212" s="4">
        <v>0</v>
      </c>
      <c r="J212" s="3">
        <v>36079895.850000001</v>
      </c>
      <c r="K212" s="3">
        <v>7933.5</v>
      </c>
      <c r="L212" s="3">
        <v>0</v>
      </c>
      <c r="M212" t="s">
        <v>23</v>
      </c>
      <c r="N212" t="s">
        <v>39</v>
      </c>
      <c r="O212" s="4">
        <v>0.25955166358940579</v>
      </c>
      <c r="P212" s="4">
        <v>0.74044833641059415</v>
      </c>
      <c r="Q212" t="s">
        <v>228</v>
      </c>
      <c r="R212" s="4">
        <v>6.9273172121724262E-6</v>
      </c>
      <c r="S212" s="3">
        <v>14604628.32</v>
      </c>
      <c r="T212" s="4">
        <v>0.34042412478509709</v>
      </c>
    </row>
    <row r="213" spans="1:20" x14ac:dyDescent="0.4">
      <c r="A213" s="2">
        <v>45870</v>
      </c>
      <c r="B213" t="s">
        <v>28</v>
      </c>
      <c r="C213" t="s">
        <v>22</v>
      </c>
      <c r="D213" s="3" t="str">
        <f t="shared" si="16"/>
        <v>PASS</v>
      </c>
      <c r="E213" s="3" t="str">
        <f t="shared" si="17"/>
        <v>PASS</v>
      </c>
      <c r="F213" s="3" t="str">
        <f t="shared" si="18"/>
        <v>PASS</v>
      </c>
      <c r="G213" s="3" t="str">
        <f t="shared" si="19"/>
        <v>FAIL</v>
      </c>
      <c r="H213" s="3">
        <v>15256128.6</v>
      </c>
      <c r="I213" s="4">
        <v>0</v>
      </c>
      <c r="J213" s="3">
        <v>13396833.43</v>
      </c>
      <c r="K213" s="3">
        <v>2941.8</v>
      </c>
      <c r="L213" s="3">
        <v>0</v>
      </c>
      <c r="M213" t="s">
        <v>23</v>
      </c>
      <c r="N213" t="s">
        <v>39</v>
      </c>
      <c r="O213" s="4">
        <v>0.25334593265895372</v>
      </c>
      <c r="P213" s="4">
        <v>0.74665406734104622</v>
      </c>
      <c r="Q213" t="s">
        <v>229</v>
      </c>
      <c r="R213" s="4">
        <v>2.509897540642183E-6</v>
      </c>
      <c r="S213" s="3">
        <v>4278176.84</v>
      </c>
      <c r="T213" s="4">
        <v>0.28042349092416541</v>
      </c>
    </row>
    <row r="214" spans="1:20" x14ac:dyDescent="0.4">
      <c r="A214" s="2">
        <v>45870</v>
      </c>
      <c r="B214" t="s">
        <v>29</v>
      </c>
      <c r="C214" t="s">
        <v>22</v>
      </c>
      <c r="D214" s="3" t="str">
        <f t="shared" si="16"/>
        <v>PASS</v>
      </c>
      <c r="E214" s="3" t="str">
        <f t="shared" si="17"/>
        <v>PASS</v>
      </c>
      <c r="F214" s="3" t="str">
        <f t="shared" si="18"/>
        <v>PASS</v>
      </c>
      <c r="G214" s="3" t="str">
        <f t="shared" si="19"/>
        <v>FAIL</v>
      </c>
      <c r="H214" s="3">
        <v>34264244.549999997</v>
      </c>
      <c r="I214" s="4">
        <v>0</v>
      </c>
      <c r="J214" s="3">
        <v>31717928.300000001</v>
      </c>
      <c r="K214" s="3">
        <v>6973.23</v>
      </c>
      <c r="L214" s="3">
        <v>0</v>
      </c>
      <c r="M214" t="s">
        <v>23</v>
      </c>
      <c r="N214" t="s">
        <v>39</v>
      </c>
      <c r="O214" s="4">
        <v>0.25652217172078029</v>
      </c>
      <c r="P214" s="4">
        <v>0.7434778282792196</v>
      </c>
      <c r="Q214" t="s">
        <v>230</v>
      </c>
      <c r="R214" s="4">
        <v>6.0173458485013032E-6</v>
      </c>
      <c r="S214" s="3">
        <v>4836555.41</v>
      </c>
      <c r="T214" s="4">
        <v>0.14115459055115809</v>
      </c>
    </row>
    <row r="215" spans="1:20" x14ac:dyDescent="0.4">
      <c r="A215" s="2">
        <v>45870</v>
      </c>
      <c r="B215" t="s">
        <v>30</v>
      </c>
      <c r="C215" t="s">
        <v>22</v>
      </c>
      <c r="D215" s="3" t="str">
        <f t="shared" si="16"/>
        <v>PASS</v>
      </c>
      <c r="E215" s="3" t="str">
        <f t="shared" si="17"/>
        <v>PASS</v>
      </c>
      <c r="F215" s="3" t="str">
        <f t="shared" si="18"/>
        <v>PASS</v>
      </c>
      <c r="G215" s="3" t="str">
        <f t="shared" si="19"/>
        <v>FAIL</v>
      </c>
      <c r="H215" s="3">
        <v>55088718.119999997</v>
      </c>
      <c r="I215" s="4">
        <v>0</v>
      </c>
      <c r="J215" s="3">
        <v>49136593.329999998</v>
      </c>
      <c r="K215" s="3">
        <v>10739.16</v>
      </c>
      <c r="L215" s="3">
        <v>0</v>
      </c>
      <c r="M215" t="s">
        <v>23</v>
      </c>
      <c r="N215" t="s">
        <v>231</v>
      </c>
      <c r="O215" s="4">
        <v>0.27111804435710563</v>
      </c>
      <c r="P215" s="4">
        <v>0.72888195564289437</v>
      </c>
      <c r="Q215" t="s">
        <v>232</v>
      </c>
      <c r="R215" s="4">
        <v>7.7122618798777787E-5</v>
      </c>
      <c r="S215" s="3">
        <v>10483515.710000001</v>
      </c>
      <c r="T215" s="4">
        <v>0.1903024079660687</v>
      </c>
    </row>
    <row r="216" spans="1:20" x14ac:dyDescent="0.4">
      <c r="A216" s="2">
        <v>45870</v>
      </c>
      <c r="B216" t="s">
        <v>31</v>
      </c>
      <c r="C216" t="s">
        <v>22</v>
      </c>
      <c r="D216" s="3" t="str">
        <f t="shared" si="16"/>
        <v>PASS</v>
      </c>
      <c r="E216" s="3" t="str">
        <f t="shared" si="17"/>
        <v>PASS</v>
      </c>
      <c r="F216" s="3" t="str">
        <f t="shared" si="18"/>
        <v>PASS</v>
      </c>
      <c r="G216" s="3" t="str">
        <f t="shared" si="19"/>
        <v>FAIL</v>
      </c>
      <c r="H216" s="3">
        <v>40048657.799999997</v>
      </c>
      <c r="I216" s="4">
        <v>0</v>
      </c>
      <c r="J216" s="3">
        <v>34352959.490000002</v>
      </c>
      <c r="K216" s="3">
        <v>7534.95</v>
      </c>
      <c r="L216" s="3">
        <v>0</v>
      </c>
      <c r="M216" t="s">
        <v>23</v>
      </c>
      <c r="N216" t="s">
        <v>41</v>
      </c>
      <c r="O216" s="4">
        <v>0.29026974700397201</v>
      </c>
      <c r="P216" s="4">
        <v>0.70973025299602799</v>
      </c>
      <c r="Q216" t="s">
        <v>233</v>
      </c>
      <c r="R216" s="4">
        <v>6.3719356287111773E-6</v>
      </c>
      <c r="S216" s="3">
        <v>11163183.99</v>
      </c>
      <c r="T216" s="4">
        <v>0.2787405272293545</v>
      </c>
    </row>
    <row r="217" spans="1:20" x14ac:dyDescent="0.4">
      <c r="A217" s="2">
        <v>45870</v>
      </c>
      <c r="B217" t="s">
        <v>32</v>
      </c>
      <c r="C217" t="s">
        <v>22</v>
      </c>
      <c r="D217" s="3" t="str">
        <f t="shared" si="16"/>
        <v>PASS</v>
      </c>
      <c r="E217" s="3" t="str">
        <f t="shared" si="17"/>
        <v>PASS</v>
      </c>
      <c r="F217" s="3" t="str">
        <f t="shared" si="18"/>
        <v>PASS</v>
      </c>
      <c r="G217" s="3" t="str">
        <f t="shared" si="19"/>
        <v>FAIL</v>
      </c>
      <c r="H217" s="3">
        <v>77872184.700000003</v>
      </c>
      <c r="I217" s="4">
        <v>0</v>
      </c>
      <c r="J217" s="3">
        <v>69115412.099999994</v>
      </c>
      <c r="K217" s="3">
        <v>15184.8</v>
      </c>
      <c r="L217" s="3">
        <v>0</v>
      </c>
      <c r="M217" t="s">
        <v>23</v>
      </c>
      <c r="N217" t="s">
        <v>39</v>
      </c>
      <c r="O217" s="4">
        <v>0.25494791848314829</v>
      </c>
      <c r="P217" s="4">
        <v>0.74505208151685176</v>
      </c>
      <c r="Q217" t="s">
        <v>234</v>
      </c>
      <c r="R217" s="4">
        <v>1.3032242464219539E-5</v>
      </c>
      <c r="S217" s="3">
        <v>17904710.34</v>
      </c>
      <c r="T217" s="4">
        <v>0.2299243357429524</v>
      </c>
    </row>
    <row r="218" spans="1:20" x14ac:dyDescent="0.4">
      <c r="A218" s="2">
        <v>45870</v>
      </c>
      <c r="B218" t="s">
        <v>33</v>
      </c>
      <c r="C218" t="s">
        <v>22</v>
      </c>
      <c r="D218" s="3" t="str">
        <f t="shared" si="16"/>
        <v>PASS</v>
      </c>
      <c r="E218" s="3" t="str">
        <f t="shared" si="17"/>
        <v>PASS</v>
      </c>
      <c r="F218" s="3" t="str">
        <f t="shared" si="18"/>
        <v>PASS</v>
      </c>
      <c r="G218" s="3" t="str">
        <f t="shared" si="19"/>
        <v>PASS</v>
      </c>
      <c r="H218" s="3">
        <v>164708693.21000001</v>
      </c>
      <c r="I218" s="4">
        <v>0</v>
      </c>
      <c r="J218" s="3">
        <v>140522527.88999999</v>
      </c>
      <c r="K218" s="3">
        <v>30769.35</v>
      </c>
      <c r="L218" s="3">
        <v>0</v>
      </c>
      <c r="M218" t="s">
        <v>23</v>
      </c>
      <c r="N218" t="s">
        <v>41</v>
      </c>
      <c r="O218" s="4">
        <v>0.28779067077171411</v>
      </c>
      <c r="P218" s="4">
        <v>0.71220932922828584</v>
      </c>
      <c r="Q218" t="s">
        <v>235</v>
      </c>
      <c r="R218" s="4">
        <v>2.5846604461081211E-5</v>
      </c>
      <c r="S218" s="3">
        <v>133010</v>
      </c>
      <c r="T218" s="4">
        <v>8.0754693275609407E-4</v>
      </c>
    </row>
    <row r="219" spans="1:20" x14ac:dyDescent="0.4">
      <c r="A219" s="2">
        <v>45873</v>
      </c>
      <c r="B219" t="s">
        <v>21</v>
      </c>
      <c r="C219" t="s">
        <v>22</v>
      </c>
      <c r="D219" s="3" t="str">
        <f t="shared" si="16"/>
        <v>PASS</v>
      </c>
      <c r="E219" s="3" t="str">
        <f t="shared" si="17"/>
        <v>PASS</v>
      </c>
      <c r="F219" s="3" t="str">
        <f t="shared" si="18"/>
        <v>PASS</v>
      </c>
      <c r="G219" s="3" t="str">
        <f t="shared" si="19"/>
        <v>PASS</v>
      </c>
      <c r="H219" s="3">
        <v>24407194.73</v>
      </c>
      <c r="I219" s="4">
        <v>0</v>
      </c>
      <c r="J219" s="3">
        <v>20438211.52</v>
      </c>
      <c r="K219" s="3">
        <v>1474.34</v>
      </c>
      <c r="L219" s="3">
        <v>0</v>
      </c>
      <c r="M219" t="s">
        <v>23</v>
      </c>
      <c r="N219" t="s">
        <v>41</v>
      </c>
      <c r="O219" s="4">
        <v>0.29290500757083859</v>
      </c>
      <c r="P219" s="4">
        <v>0.70709499242916141</v>
      </c>
      <c r="Q219" t="s">
        <v>236</v>
      </c>
      <c r="R219" s="4">
        <v>3.768050435483244E-6</v>
      </c>
      <c r="S219" s="3">
        <v>0</v>
      </c>
      <c r="T219" s="4">
        <v>0</v>
      </c>
    </row>
    <row r="220" spans="1:20" x14ac:dyDescent="0.4">
      <c r="A220" s="2">
        <v>45873</v>
      </c>
      <c r="B220" t="s">
        <v>24</v>
      </c>
      <c r="C220" t="s">
        <v>22</v>
      </c>
      <c r="D220" s="3" t="str">
        <f t="shared" si="16"/>
        <v>PASS</v>
      </c>
      <c r="E220" s="3" t="str">
        <f t="shared" si="17"/>
        <v>PASS</v>
      </c>
      <c r="F220" s="3" t="str">
        <f t="shared" si="18"/>
        <v>PASS</v>
      </c>
      <c r="G220" s="3" t="str">
        <f t="shared" si="19"/>
        <v>FAIL</v>
      </c>
      <c r="H220" s="3">
        <v>136047537.03</v>
      </c>
      <c r="I220" s="4">
        <v>0</v>
      </c>
      <c r="J220" s="3">
        <v>118606436.95</v>
      </c>
      <c r="K220" s="3">
        <v>8542.11</v>
      </c>
      <c r="L220" s="3">
        <v>0</v>
      </c>
      <c r="M220" t="s">
        <v>23</v>
      </c>
      <c r="N220" t="s">
        <v>39</v>
      </c>
      <c r="O220" s="4">
        <v>0.26030132481776741</v>
      </c>
      <c r="P220" s="4">
        <v>0.73969867518223253</v>
      </c>
      <c r="Q220" t="s">
        <v>237</v>
      </c>
      <c r="R220" s="4">
        <v>2.2668112937272209E-5</v>
      </c>
      <c r="S220" s="3">
        <v>35094309.649999999</v>
      </c>
      <c r="T220" s="4">
        <v>0.25795622924258682</v>
      </c>
    </row>
    <row r="221" spans="1:20" x14ac:dyDescent="0.4">
      <c r="A221" s="2">
        <v>45873</v>
      </c>
      <c r="B221" t="s">
        <v>25</v>
      </c>
      <c r="C221" t="s">
        <v>22</v>
      </c>
      <c r="D221" s="3" t="str">
        <f t="shared" si="16"/>
        <v>PASS</v>
      </c>
      <c r="E221" s="3" t="str">
        <f t="shared" si="17"/>
        <v>PASS</v>
      </c>
      <c r="F221" s="3" t="str">
        <f t="shared" si="18"/>
        <v>PASS</v>
      </c>
      <c r="G221" s="3" t="str">
        <f t="shared" si="19"/>
        <v>FAIL</v>
      </c>
      <c r="H221" s="3">
        <v>101647676.73</v>
      </c>
      <c r="I221" s="4">
        <v>0</v>
      </c>
      <c r="J221" s="3">
        <v>91430338.620000005</v>
      </c>
      <c r="K221" s="3">
        <v>6600.56</v>
      </c>
      <c r="L221" s="3">
        <v>0</v>
      </c>
      <c r="M221" t="s">
        <v>23</v>
      </c>
      <c r="N221" t="s">
        <v>39</v>
      </c>
      <c r="O221" s="4">
        <v>0.25141695018256938</v>
      </c>
      <c r="P221" s="4">
        <v>0.74858304981743062</v>
      </c>
      <c r="Q221" t="s">
        <v>238</v>
      </c>
      <c r="R221" s="4">
        <v>1.6877191888182039E-5</v>
      </c>
      <c r="S221" s="3">
        <v>18884183.59</v>
      </c>
      <c r="T221" s="4">
        <v>0.18578076939388199</v>
      </c>
    </row>
    <row r="222" spans="1:20" x14ac:dyDescent="0.4">
      <c r="A222" s="2">
        <v>45873</v>
      </c>
      <c r="B222" t="s">
        <v>26</v>
      </c>
      <c r="C222" t="s">
        <v>22</v>
      </c>
      <c r="D222" s="3" t="str">
        <f t="shared" si="16"/>
        <v>PASS</v>
      </c>
      <c r="E222" s="3" t="str">
        <f t="shared" si="17"/>
        <v>PASS</v>
      </c>
      <c r="F222" s="3" t="str">
        <f t="shared" si="18"/>
        <v>PASS</v>
      </c>
      <c r="G222" s="3" t="str">
        <f t="shared" si="19"/>
        <v>FAIL</v>
      </c>
      <c r="H222" s="3">
        <v>23586731.77</v>
      </c>
      <c r="I222" s="4">
        <v>0</v>
      </c>
      <c r="J222" s="3">
        <v>21260642.690000001</v>
      </c>
      <c r="K222" s="3">
        <v>1534.01</v>
      </c>
      <c r="L222" s="3">
        <v>0</v>
      </c>
      <c r="M222" t="s">
        <v>23</v>
      </c>
      <c r="N222" t="s">
        <v>39</v>
      </c>
      <c r="O222" s="4">
        <v>0.25336712198891659</v>
      </c>
      <c r="P222" s="4">
        <v>0.74663287801108336</v>
      </c>
      <c r="Q222" t="s">
        <v>239</v>
      </c>
      <c r="R222" s="4">
        <v>3.9560257406547426E-6</v>
      </c>
      <c r="S222" s="3">
        <v>4196840.57</v>
      </c>
      <c r="T222" s="4">
        <v>0.17793226339810109</v>
      </c>
    </row>
    <row r="223" spans="1:20" x14ac:dyDescent="0.4">
      <c r="A223" s="2">
        <v>45873</v>
      </c>
      <c r="B223" t="s">
        <v>27</v>
      </c>
      <c r="C223" t="s">
        <v>22</v>
      </c>
      <c r="D223" s="3" t="str">
        <f t="shared" si="16"/>
        <v>PASS</v>
      </c>
      <c r="E223" s="3" t="str">
        <f t="shared" si="17"/>
        <v>PASS</v>
      </c>
      <c r="F223" s="3" t="str">
        <f t="shared" si="18"/>
        <v>PASS</v>
      </c>
      <c r="G223" s="3" t="str">
        <f t="shared" si="19"/>
        <v>FAIL</v>
      </c>
      <c r="H223" s="3">
        <v>43209752.149999999</v>
      </c>
      <c r="I223" s="4">
        <v>0</v>
      </c>
      <c r="J223" s="3">
        <v>36390866.649999999</v>
      </c>
      <c r="K223" s="3">
        <v>2620.0500000000002</v>
      </c>
      <c r="L223" s="3">
        <v>0</v>
      </c>
      <c r="M223" t="s">
        <v>23</v>
      </c>
      <c r="N223" t="s">
        <v>39</v>
      </c>
      <c r="O223" s="4">
        <v>0.25936786146861379</v>
      </c>
      <c r="P223" s="4">
        <v>0.7406321385313861</v>
      </c>
      <c r="Q223" t="s">
        <v>240</v>
      </c>
      <c r="R223" s="4">
        <v>6.9209089631324892E-6</v>
      </c>
      <c r="S223" s="3">
        <v>14578209.539999999</v>
      </c>
      <c r="T223" s="4">
        <v>0.33738239204410708</v>
      </c>
    </row>
    <row r="224" spans="1:20" x14ac:dyDescent="0.4">
      <c r="A224" s="2">
        <v>45873</v>
      </c>
      <c r="B224" t="s">
        <v>28</v>
      </c>
      <c r="C224" t="s">
        <v>22</v>
      </c>
      <c r="D224" s="3" t="str">
        <f t="shared" si="16"/>
        <v>PASS</v>
      </c>
      <c r="E224" s="3" t="str">
        <f t="shared" si="17"/>
        <v>PASS</v>
      </c>
      <c r="F224" s="3" t="str">
        <f t="shared" si="18"/>
        <v>PASS</v>
      </c>
      <c r="G224" s="3" t="str">
        <f t="shared" si="19"/>
        <v>FAIL</v>
      </c>
      <c r="H224" s="3">
        <v>15353468.640000001</v>
      </c>
      <c r="I224" s="4">
        <v>0</v>
      </c>
      <c r="J224" s="3">
        <v>13493255.08</v>
      </c>
      <c r="K224" s="3">
        <v>973.36</v>
      </c>
      <c r="L224" s="3">
        <v>0</v>
      </c>
      <c r="M224" t="s">
        <v>23</v>
      </c>
      <c r="N224" t="s">
        <v>39</v>
      </c>
      <c r="O224" s="4">
        <v>0.25344086580478398</v>
      </c>
      <c r="P224" s="4">
        <v>0.74655913419521602</v>
      </c>
      <c r="Q224" t="s">
        <v>241</v>
      </c>
      <c r="R224" s="4">
        <v>2.5077614576288709E-6</v>
      </c>
      <c r="S224" s="3">
        <v>4233417.03</v>
      </c>
      <c r="T224" s="4">
        <v>0.27573033359841481</v>
      </c>
    </row>
    <row r="225" spans="1:20" x14ac:dyDescent="0.4">
      <c r="A225" s="2">
        <v>45873</v>
      </c>
      <c r="B225" t="s">
        <v>29</v>
      </c>
      <c r="C225" t="s">
        <v>22</v>
      </c>
      <c r="D225" s="3" t="str">
        <f t="shared" si="16"/>
        <v>PASS</v>
      </c>
      <c r="E225" s="3" t="str">
        <f t="shared" si="17"/>
        <v>PASS</v>
      </c>
      <c r="F225" s="3" t="str">
        <f t="shared" si="18"/>
        <v>PASS</v>
      </c>
      <c r="G225" s="3" t="str">
        <f t="shared" si="19"/>
        <v>FAIL</v>
      </c>
      <c r="H225" s="3">
        <v>34524015.630000003</v>
      </c>
      <c r="I225" s="4">
        <v>0</v>
      </c>
      <c r="J225" s="3">
        <v>31979739.219999999</v>
      </c>
      <c r="K225" s="3">
        <v>2302.81</v>
      </c>
      <c r="L225" s="3">
        <v>0</v>
      </c>
      <c r="M225" t="s">
        <v>23</v>
      </c>
      <c r="N225" t="s">
        <v>39</v>
      </c>
      <c r="O225" s="4">
        <v>0.2560722416672665</v>
      </c>
      <c r="P225" s="4">
        <v>0.7439277583327335</v>
      </c>
      <c r="Q225" t="s">
        <v>242</v>
      </c>
      <c r="R225" s="4">
        <v>6.0130736824746782E-6</v>
      </c>
      <c r="S225" s="3">
        <v>4683557.2699999996</v>
      </c>
      <c r="T225" s="4">
        <v>0.13566084896364641</v>
      </c>
    </row>
    <row r="226" spans="1:20" x14ac:dyDescent="0.4">
      <c r="A226" s="2">
        <v>45873</v>
      </c>
      <c r="B226" t="s">
        <v>30</v>
      </c>
      <c r="C226" t="s">
        <v>22</v>
      </c>
      <c r="D226" s="3" t="str">
        <f t="shared" si="16"/>
        <v>PASS</v>
      </c>
      <c r="E226" s="3" t="str">
        <f t="shared" si="17"/>
        <v>PASS</v>
      </c>
      <c r="F226" s="3" t="str">
        <f t="shared" si="18"/>
        <v>PASS</v>
      </c>
      <c r="G226" s="3" t="str">
        <f t="shared" si="19"/>
        <v>FAIL</v>
      </c>
      <c r="H226" s="3">
        <v>55474085.130000003</v>
      </c>
      <c r="I226" s="4">
        <v>0</v>
      </c>
      <c r="J226" s="3">
        <v>49517067.270000003</v>
      </c>
      <c r="K226" s="3">
        <v>3568.13</v>
      </c>
      <c r="L226" s="3">
        <v>0</v>
      </c>
      <c r="M226" t="s">
        <v>23</v>
      </c>
      <c r="N226" t="s">
        <v>243</v>
      </c>
      <c r="O226" s="4">
        <v>0.27304672742990582</v>
      </c>
      <c r="P226" s="4">
        <v>0.72695327257009423</v>
      </c>
      <c r="Q226" t="s">
        <v>244</v>
      </c>
      <c r="R226" s="4">
        <v>7.7410324038301202E-5</v>
      </c>
      <c r="S226" s="3">
        <v>10122329.970000001</v>
      </c>
      <c r="T226" s="4">
        <v>0.1824695251175204</v>
      </c>
    </row>
    <row r="227" spans="1:20" x14ac:dyDescent="0.4">
      <c r="A227" s="2">
        <v>45873</v>
      </c>
      <c r="B227" t="s">
        <v>31</v>
      </c>
      <c r="C227" t="s">
        <v>22</v>
      </c>
      <c r="D227" s="3" t="str">
        <f t="shared" si="16"/>
        <v>PASS</v>
      </c>
      <c r="E227" s="3" t="str">
        <f t="shared" si="17"/>
        <v>PASS</v>
      </c>
      <c r="F227" s="3" t="str">
        <f t="shared" si="18"/>
        <v>PASS</v>
      </c>
      <c r="G227" s="3" t="str">
        <f t="shared" si="19"/>
        <v>FAIL</v>
      </c>
      <c r="H227" s="3">
        <v>40282826.130000003</v>
      </c>
      <c r="I227" s="4">
        <v>0</v>
      </c>
      <c r="J227" s="3">
        <v>34587610.390000001</v>
      </c>
      <c r="K227" s="3">
        <v>2494.8000000000002</v>
      </c>
      <c r="L227" s="3">
        <v>0</v>
      </c>
      <c r="M227" t="s">
        <v>23</v>
      </c>
      <c r="N227" t="s">
        <v>39</v>
      </c>
      <c r="O227" s="4">
        <v>0.25109992167920908</v>
      </c>
      <c r="P227" s="4">
        <v>0.74890007832079086</v>
      </c>
      <c r="Q227" t="s">
        <v>245</v>
      </c>
      <c r="R227" s="4">
        <v>6.3676634626845524E-6</v>
      </c>
      <c r="S227" s="3">
        <v>11002264.23</v>
      </c>
      <c r="T227" s="4">
        <v>0.27312543053691651</v>
      </c>
    </row>
    <row r="228" spans="1:20" x14ac:dyDescent="0.4">
      <c r="A228" s="2">
        <v>45873</v>
      </c>
      <c r="B228" t="s">
        <v>32</v>
      </c>
      <c r="C228" t="s">
        <v>22</v>
      </c>
      <c r="D228" s="3" t="str">
        <f t="shared" si="16"/>
        <v>PASS</v>
      </c>
      <c r="E228" s="3" t="str">
        <f t="shared" si="17"/>
        <v>PASS</v>
      </c>
      <c r="F228" s="3" t="str">
        <f t="shared" si="18"/>
        <v>PASS</v>
      </c>
      <c r="G228" s="3" t="str">
        <f t="shared" si="19"/>
        <v>FAIL</v>
      </c>
      <c r="H228" s="3">
        <v>78432478.260000005</v>
      </c>
      <c r="I228" s="4">
        <v>0</v>
      </c>
      <c r="J228" s="3">
        <v>69677886.129999995</v>
      </c>
      <c r="K228" s="3">
        <v>5017.97</v>
      </c>
      <c r="L228" s="3">
        <v>0</v>
      </c>
      <c r="M228" t="s">
        <v>23</v>
      </c>
      <c r="N228" t="s">
        <v>39</v>
      </c>
      <c r="O228" s="4">
        <v>0.25490016153565542</v>
      </c>
      <c r="P228" s="4">
        <v>0.74509983846434458</v>
      </c>
      <c r="Q228" t="s">
        <v>246</v>
      </c>
      <c r="R228" s="4">
        <v>1.3023698132166289E-5</v>
      </c>
      <c r="S228" s="3">
        <v>17672445.059999999</v>
      </c>
      <c r="T228" s="4">
        <v>0.2253204979883037</v>
      </c>
    </row>
    <row r="229" spans="1:20" x14ac:dyDescent="0.4">
      <c r="A229" s="2">
        <v>45873</v>
      </c>
      <c r="B229" t="s">
        <v>33</v>
      </c>
      <c r="C229" t="s">
        <v>22</v>
      </c>
      <c r="D229" s="3" t="str">
        <f t="shared" si="16"/>
        <v>PASS</v>
      </c>
      <c r="E229" s="3" t="str">
        <f t="shared" si="17"/>
        <v>PASS</v>
      </c>
      <c r="F229" s="3" t="str">
        <f t="shared" si="18"/>
        <v>PASS</v>
      </c>
      <c r="G229" s="3" t="str">
        <f t="shared" si="19"/>
        <v>PASS</v>
      </c>
      <c r="H229" s="3">
        <v>165497173.00999999</v>
      </c>
      <c r="I229" s="4">
        <v>0</v>
      </c>
      <c r="J229" s="3">
        <v>141314829.59999999</v>
      </c>
      <c r="K229" s="3">
        <v>10202.870000000001</v>
      </c>
      <c r="L229" s="3">
        <v>0</v>
      </c>
      <c r="M229" t="s">
        <v>23</v>
      </c>
      <c r="N229" t="s">
        <v>39</v>
      </c>
      <c r="O229" s="4">
        <v>0.25302118511700772</v>
      </c>
      <c r="P229" s="4">
        <v>0.74697881488299234</v>
      </c>
      <c r="Q229" t="s">
        <v>247</v>
      </c>
      <c r="R229" s="4">
        <v>2.6081573592545578E-5</v>
      </c>
      <c r="S229" s="3">
        <v>0</v>
      </c>
      <c r="T229" s="4">
        <v>0</v>
      </c>
    </row>
    <row r="230" spans="1:20" x14ac:dyDescent="0.4">
      <c r="A230" s="2">
        <v>45874</v>
      </c>
      <c r="B230" t="s">
        <v>21</v>
      </c>
      <c r="C230" t="s">
        <v>22</v>
      </c>
      <c r="D230" s="3" t="str">
        <f t="shared" si="16"/>
        <v>PASS</v>
      </c>
      <c r="E230" s="3" t="str">
        <f t="shared" si="17"/>
        <v>PASS</v>
      </c>
      <c r="F230" s="3" t="str">
        <f t="shared" si="18"/>
        <v>PASS</v>
      </c>
      <c r="G230" s="3" t="str">
        <f t="shared" si="19"/>
        <v>PASS</v>
      </c>
      <c r="H230" s="3">
        <v>24369470.620000001</v>
      </c>
      <c r="I230" s="4">
        <v>0</v>
      </c>
      <c r="J230" s="3">
        <v>20399003.539999999</v>
      </c>
      <c r="K230" s="3">
        <v>1484.42</v>
      </c>
      <c r="L230" s="3">
        <v>0</v>
      </c>
      <c r="M230" t="s">
        <v>23</v>
      </c>
      <c r="N230" t="s">
        <v>41</v>
      </c>
      <c r="O230" s="4">
        <v>0.29184430201829359</v>
      </c>
      <c r="P230" s="4">
        <v>0.70815569798170641</v>
      </c>
      <c r="Q230" t="s">
        <v>248</v>
      </c>
      <c r="R230" s="4">
        <v>3.768050435483244E-6</v>
      </c>
      <c r="S230" s="3">
        <v>78620</v>
      </c>
      <c r="T230" s="4">
        <v>3.226167741841575E-3</v>
      </c>
    </row>
    <row r="231" spans="1:20" x14ac:dyDescent="0.4">
      <c r="A231" s="2">
        <v>45874</v>
      </c>
      <c r="B231" t="s">
        <v>24</v>
      </c>
      <c r="C231" t="s">
        <v>22</v>
      </c>
      <c r="D231" s="3" t="str">
        <f t="shared" si="16"/>
        <v>PASS</v>
      </c>
      <c r="E231" s="3" t="str">
        <f t="shared" si="17"/>
        <v>PASS</v>
      </c>
      <c r="F231" s="3" t="str">
        <f t="shared" si="18"/>
        <v>PASS</v>
      </c>
      <c r="G231" s="3" t="str">
        <f t="shared" si="19"/>
        <v>FAIL</v>
      </c>
      <c r="H231" s="3">
        <v>135804460.88</v>
      </c>
      <c r="I231" s="4">
        <v>0</v>
      </c>
      <c r="J231" s="3">
        <v>118354749.63</v>
      </c>
      <c r="K231" s="3">
        <v>8611.7000000000007</v>
      </c>
      <c r="L231" s="3">
        <v>0</v>
      </c>
      <c r="M231" t="s">
        <v>23</v>
      </c>
      <c r="N231" t="s">
        <v>39</v>
      </c>
      <c r="O231" s="4">
        <v>0.2602617124052633</v>
      </c>
      <c r="P231" s="4">
        <v>0.7397382875947367</v>
      </c>
      <c r="Q231" t="s">
        <v>249</v>
      </c>
      <c r="R231" s="4">
        <v>2.2668112937272209E-5</v>
      </c>
      <c r="S231" s="3">
        <v>35083236.409999996</v>
      </c>
      <c r="T231" s="4">
        <v>0.25833640649698808</v>
      </c>
    </row>
    <row r="232" spans="1:20" x14ac:dyDescent="0.4">
      <c r="A232" s="2">
        <v>45874</v>
      </c>
      <c r="B232" t="s">
        <v>25</v>
      </c>
      <c r="C232" t="s">
        <v>22</v>
      </c>
      <c r="D232" s="3" t="str">
        <f t="shared" si="16"/>
        <v>PASS</v>
      </c>
      <c r="E232" s="3" t="str">
        <f t="shared" si="17"/>
        <v>PASS</v>
      </c>
      <c r="F232" s="3" t="str">
        <f t="shared" si="18"/>
        <v>PASS</v>
      </c>
      <c r="G232" s="3" t="str">
        <f t="shared" si="19"/>
        <v>FAIL</v>
      </c>
      <c r="H232" s="3">
        <v>101514286.91</v>
      </c>
      <c r="I232" s="4">
        <v>0</v>
      </c>
      <c r="J232" s="3">
        <v>91290310.709999993</v>
      </c>
      <c r="K232" s="3">
        <v>6638.77</v>
      </c>
      <c r="L232" s="3">
        <v>0</v>
      </c>
      <c r="M232" t="s">
        <v>23</v>
      </c>
      <c r="N232" t="s">
        <v>39</v>
      </c>
      <c r="O232" s="4">
        <v>0.25122632677695272</v>
      </c>
      <c r="P232" s="4">
        <v>0.74877367322304722</v>
      </c>
      <c r="Q232" t="s">
        <v>250</v>
      </c>
      <c r="R232" s="4">
        <v>1.6877191888182039E-5</v>
      </c>
      <c r="S232" s="3">
        <v>18891943.829999998</v>
      </c>
      <c r="T232" s="4">
        <v>0.18610133021718531</v>
      </c>
    </row>
    <row r="233" spans="1:20" x14ac:dyDescent="0.4">
      <c r="A233" s="2">
        <v>45874</v>
      </c>
      <c r="B233" t="s">
        <v>26</v>
      </c>
      <c r="C233" t="s">
        <v>22</v>
      </c>
      <c r="D233" s="3" t="str">
        <f t="shared" si="16"/>
        <v>PASS</v>
      </c>
      <c r="E233" s="3" t="str">
        <f t="shared" si="17"/>
        <v>PASS</v>
      </c>
      <c r="F233" s="3" t="str">
        <f t="shared" si="18"/>
        <v>PASS</v>
      </c>
      <c r="G233" s="3" t="str">
        <f t="shared" si="19"/>
        <v>FAIL</v>
      </c>
      <c r="H233" s="3">
        <v>23549999.82</v>
      </c>
      <c r="I233" s="4">
        <v>0</v>
      </c>
      <c r="J233" s="3">
        <v>21222367.210000001</v>
      </c>
      <c r="K233" s="3">
        <v>1544.29</v>
      </c>
      <c r="L233" s="3">
        <v>0</v>
      </c>
      <c r="M233" t="s">
        <v>23</v>
      </c>
      <c r="N233" t="s">
        <v>39</v>
      </c>
      <c r="O233" s="4">
        <v>0.25325571161860982</v>
      </c>
      <c r="P233" s="4">
        <v>0.74674428838139018</v>
      </c>
      <c r="Q233" t="s">
        <v>251</v>
      </c>
      <c r="R233" s="4">
        <v>3.9560257406547426E-6</v>
      </c>
      <c r="S233" s="3">
        <v>4204096.0699999994</v>
      </c>
      <c r="T233" s="4">
        <v>0.17851788119461651</v>
      </c>
    </row>
    <row r="234" spans="1:20" x14ac:dyDescent="0.4">
      <c r="A234" s="2">
        <v>45874</v>
      </c>
      <c r="B234" t="s">
        <v>27</v>
      </c>
      <c r="C234" t="s">
        <v>22</v>
      </c>
      <c r="D234" s="3" t="str">
        <f t="shared" si="16"/>
        <v>PASS</v>
      </c>
      <c r="E234" s="3" t="str">
        <f t="shared" si="17"/>
        <v>PASS</v>
      </c>
      <c r="F234" s="3" t="str">
        <f t="shared" si="18"/>
        <v>PASS</v>
      </c>
      <c r="G234" s="3" t="str">
        <f t="shared" si="19"/>
        <v>FAIL</v>
      </c>
      <c r="H234" s="3">
        <v>43121992.310000002</v>
      </c>
      <c r="I234" s="4">
        <v>0</v>
      </c>
      <c r="J234" s="3">
        <v>36300464.729999997</v>
      </c>
      <c r="K234" s="3">
        <v>2642.63</v>
      </c>
      <c r="L234" s="3">
        <v>0</v>
      </c>
      <c r="M234" t="s">
        <v>23</v>
      </c>
      <c r="N234" t="s">
        <v>39</v>
      </c>
      <c r="O234" s="4">
        <v>0.25937658732558061</v>
      </c>
      <c r="P234" s="4">
        <v>0.74062341267441945</v>
      </c>
      <c r="Q234" t="s">
        <v>252</v>
      </c>
      <c r="R234" s="4">
        <v>6.9209089631324892E-6</v>
      </c>
      <c r="S234" s="3">
        <v>14567842.779999999</v>
      </c>
      <c r="T234" s="4">
        <v>0.33782861133300912</v>
      </c>
    </row>
    <row r="235" spans="1:20" x14ac:dyDescent="0.4">
      <c r="A235" s="2">
        <v>45874</v>
      </c>
      <c r="B235" t="s">
        <v>28</v>
      </c>
      <c r="C235" t="s">
        <v>22</v>
      </c>
      <c r="D235" s="3" t="str">
        <f t="shared" si="16"/>
        <v>PASS</v>
      </c>
      <c r="E235" s="3" t="str">
        <f t="shared" si="17"/>
        <v>PASS</v>
      </c>
      <c r="F235" s="3" t="str">
        <f t="shared" si="18"/>
        <v>PASS</v>
      </c>
      <c r="G235" s="3" t="str">
        <f t="shared" si="19"/>
        <v>FAIL</v>
      </c>
      <c r="H235" s="3">
        <v>15324734.970000001</v>
      </c>
      <c r="I235" s="4">
        <v>0</v>
      </c>
      <c r="J235" s="3">
        <v>13463541.76</v>
      </c>
      <c r="K235" s="3">
        <v>980.36</v>
      </c>
      <c r="L235" s="3">
        <v>0</v>
      </c>
      <c r="M235" t="s">
        <v>23</v>
      </c>
      <c r="N235" t="s">
        <v>39</v>
      </c>
      <c r="O235" s="4">
        <v>0.2533897551486482</v>
      </c>
      <c r="P235" s="4">
        <v>0.74661024485135186</v>
      </c>
      <c r="Q235" t="s">
        <v>253</v>
      </c>
      <c r="R235" s="4">
        <v>2.5077614576288709E-6</v>
      </c>
      <c r="S235" s="3">
        <v>4232202.4899999993</v>
      </c>
      <c r="T235" s="4">
        <v>0.27616807065734189</v>
      </c>
    </row>
    <row r="236" spans="1:20" x14ac:dyDescent="0.4">
      <c r="A236" s="2">
        <v>45874</v>
      </c>
      <c r="B236" t="s">
        <v>29</v>
      </c>
      <c r="C236" t="s">
        <v>22</v>
      </c>
      <c r="D236" s="3" t="str">
        <f t="shared" si="16"/>
        <v>PASS</v>
      </c>
      <c r="E236" s="3" t="str">
        <f t="shared" si="17"/>
        <v>PASS</v>
      </c>
      <c r="F236" s="3" t="str">
        <f t="shared" si="18"/>
        <v>PASS</v>
      </c>
      <c r="G236" s="3" t="str">
        <f t="shared" si="19"/>
        <v>FAIL</v>
      </c>
      <c r="H236" s="3">
        <v>34454079.609999999</v>
      </c>
      <c r="I236" s="4">
        <v>0</v>
      </c>
      <c r="J236" s="3">
        <v>31907481.379999999</v>
      </c>
      <c r="K236" s="3">
        <v>2321.8200000000002</v>
      </c>
      <c r="L236" s="3">
        <v>0</v>
      </c>
      <c r="M236" t="s">
        <v>23</v>
      </c>
      <c r="N236" t="s">
        <v>39</v>
      </c>
      <c r="O236" s="4">
        <v>0.25606910281302808</v>
      </c>
      <c r="P236" s="4">
        <v>0.74393089718697192</v>
      </c>
      <c r="Q236" t="s">
        <v>254</v>
      </c>
      <c r="R236" s="4">
        <v>6.0130736824746782E-6</v>
      </c>
      <c r="S236" s="3">
        <v>4693886.5599999996</v>
      </c>
      <c r="T236" s="4">
        <v>0.13623601655107451</v>
      </c>
    </row>
    <row r="237" spans="1:20" x14ac:dyDescent="0.4">
      <c r="A237" s="2">
        <v>45874</v>
      </c>
      <c r="B237" t="s">
        <v>30</v>
      </c>
      <c r="C237" t="s">
        <v>22</v>
      </c>
      <c r="D237" s="3" t="str">
        <f t="shared" si="16"/>
        <v>PASS</v>
      </c>
      <c r="E237" s="3" t="str">
        <f t="shared" si="17"/>
        <v>PASS</v>
      </c>
      <c r="F237" s="3" t="str">
        <f t="shared" si="18"/>
        <v>PASS</v>
      </c>
      <c r="G237" s="3" t="str">
        <f t="shared" si="19"/>
        <v>FAIL</v>
      </c>
      <c r="H237" s="3">
        <v>54851621.439999998</v>
      </c>
      <c r="I237" s="4">
        <v>0</v>
      </c>
      <c r="J237" s="3">
        <v>49528626.68</v>
      </c>
      <c r="K237" s="3">
        <v>3595.75</v>
      </c>
      <c r="L237" s="3">
        <v>0</v>
      </c>
      <c r="M237" t="s">
        <v>23</v>
      </c>
      <c r="N237" t="s">
        <v>255</v>
      </c>
      <c r="O237" s="4">
        <v>0.27275631438929288</v>
      </c>
      <c r="P237" s="4">
        <v>0.72724368561070718</v>
      </c>
      <c r="Q237" t="s">
        <v>256</v>
      </c>
      <c r="R237" s="4">
        <v>7.7410324038301202E-5</v>
      </c>
      <c r="S237" s="3">
        <v>10146157.880000001</v>
      </c>
      <c r="T237" s="4">
        <v>0.18497462087056951</v>
      </c>
    </row>
    <row r="238" spans="1:20" x14ac:dyDescent="0.4">
      <c r="A238" s="2">
        <v>45874</v>
      </c>
      <c r="B238" t="s">
        <v>31</v>
      </c>
      <c r="C238" t="s">
        <v>22</v>
      </c>
      <c r="D238" s="3" t="str">
        <f t="shared" si="16"/>
        <v>PASS</v>
      </c>
      <c r="E238" s="3" t="str">
        <f t="shared" si="17"/>
        <v>PASS</v>
      </c>
      <c r="F238" s="3" t="str">
        <f t="shared" si="18"/>
        <v>PASS</v>
      </c>
      <c r="G238" s="3" t="str">
        <f t="shared" si="19"/>
        <v>FAIL</v>
      </c>
      <c r="H238" s="3">
        <v>40215570.5</v>
      </c>
      <c r="I238" s="4">
        <v>0</v>
      </c>
      <c r="J238" s="3">
        <v>34517843.600000001</v>
      </c>
      <c r="K238" s="3">
        <v>2511.84</v>
      </c>
      <c r="L238" s="3">
        <v>0</v>
      </c>
      <c r="M238" t="s">
        <v>23</v>
      </c>
      <c r="N238" t="s">
        <v>39</v>
      </c>
      <c r="O238" s="4">
        <v>0.25098799914604158</v>
      </c>
      <c r="P238" s="4">
        <v>0.74901200085395836</v>
      </c>
      <c r="Q238" t="s">
        <v>257</v>
      </c>
      <c r="R238" s="4">
        <v>6.3676634626845524E-6</v>
      </c>
      <c r="S238" s="3">
        <v>11001821.470000001</v>
      </c>
      <c r="T238" s="4">
        <v>0.2735711897957534</v>
      </c>
    </row>
    <row r="239" spans="1:20" x14ac:dyDescent="0.4">
      <c r="A239" s="2">
        <v>45874</v>
      </c>
      <c r="B239" t="s">
        <v>32</v>
      </c>
      <c r="C239" t="s">
        <v>22</v>
      </c>
      <c r="D239" s="3" t="str">
        <f t="shared" si="16"/>
        <v>PASS</v>
      </c>
      <c r="E239" s="3" t="str">
        <f t="shared" si="17"/>
        <v>PASS</v>
      </c>
      <c r="F239" s="3" t="str">
        <f t="shared" si="18"/>
        <v>PASS</v>
      </c>
      <c r="G239" s="3" t="str">
        <f t="shared" si="19"/>
        <v>FAIL</v>
      </c>
      <c r="H239" s="3">
        <v>78279887.719999999</v>
      </c>
      <c r="I239" s="4">
        <v>0</v>
      </c>
      <c r="J239" s="3">
        <v>69520236.780000001</v>
      </c>
      <c r="K239" s="3">
        <v>5058.8100000000004</v>
      </c>
      <c r="L239" s="3">
        <v>0</v>
      </c>
      <c r="M239" t="s">
        <v>23</v>
      </c>
      <c r="N239" t="s">
        <v>39</v>
      </c>
      <c r="O239" s="4">
        <v>0.25484696817225078</v>
      </c>
      <c r="P239" s="4">
        <v>0.74515303182774917</v>
      </c>
      <c r="Q239" t="s">
        <v>258</v>
      </c>
      <c r="R239" s="4">
        <v>1.3023698132166289E-5</v>
      </c>
      <c r="S239" s="3">
        <v>17673617.539999999</v>
      </c>
      <c r="T239" s="4">
        <v>0.22577469200284131</v>
      </c>
    </row>
    <row r="240" spans="1:20" x14ac:dyDescent="0.4">
      <c r="A240" s="2">
        <v>45874</v>
      </c>
      <c r="B240" t="s">
        <v>33</v>
      </c>
      <c r="C240" t="s">
        <v>22</v>
      </c>
      <c r="D240" s="3" t="str">
        <f t="shared" si="16"/>
        <v>PASS</v>
      </c>
      <c r="E240" s="3" t="str">
        <f t="shared" si="17"/>
        <v>PASS</v>
      </c>
      <c r="F240" s="3" t="str">
        <f t="shared" si="18"/>
        <v>PASS</v>
      </c>
      <c r="G240" s="3" t="str">
        <f t="shared" si="19"/>
        <v>PASS</v>
      </c>
      <c r="H240" s="3">
        <v>165305076.34999999</v>
      </c>
      <c r="I240" s="4">
        <v>0</v>
      </c>
      <c r="J240" s="3">
        <v>141103382.75999999</v>
      </c>
      <c r="K240" s="3">
        <v>10260.39</v>
      </c>
      <c r="L240" s="3">
        <v>0</v>
      </c>
      <c r="M240" t="s">
        <v>23</v>
      </c>
      <c r="N240" t="s">
        <v>41</v>
      </c>
      <c r="O240" s="4">
        <v>0.29177773838368332</v>
      </c>
      <c r="P240" s="4">
        <v>0.70822226161631674</v>
      </c>
      <c r="Q240" t="s">
        <v>259</v>
      </c>
      <c r="R240" s="4">
        <v>2.6081573592545578E-5</v>
      </c>
      <c r="S240" s="3">
        <v>669816</v>
      </c>
      <c r="T240" s="4">
        <v>4.0519989754083559E-3</v>
      </c>
    </row>
    <row r="241" spans="1:20" x14ac:dyDescent="0.4">
      <c r="A241" s="2">
        <v>45875</v>
      </c>
      <c r="B241" t="s">
        <v>21</v>
      </c>
      <c r="C241" t="s">
        <v>22</v>
      </c>
      <c r="D241" s="3" t="str">
        <f t="shared" si="16"/>
        <v>PASS</v>
      </c>
      <c r="E241" s="3" t="str">
        <f t="shared" si="17"/>
        <v>PASS</v>
      </c>
      <c r="F241" s="3" t="str">
        <f t="shared" si="18"/>
        <v>PASS</v>
      </c>
      <c r="G241" s="3" t="str">
        <f t="shared" si="19"/>
        <v>PASS</v>
      </c>
      <c r="H241" s="3">
        <v>24482754.010000002</v>
      </c>
      <c r="I241" s="4">
        <v>0</v>
      </c>
      <c r="J241" s="3">
        <v>20510805.91</v>
      </c>
      <c r="K241" s="3">
        <v>1481.57</v>
      </c>
      <c r="L241" s="3">
        <v>0</v>
      </c>
      <c r="M241" t="s">
        <v>23</v>
      </c>
      <c r="N241" t="s">
        <v>41</v>
      </c>
      <c r="O241" s="4">
        <v>0.29452780483163371</v>
      </c>
      <c r="P241" s="4">
        <v>0.70547219516836623</v>
      </c>
      <c r="Q241" t="s">
        <v>260</v>
      </c>
      <c r="R241" s="4">
        <v>3.7765947675364939E-6</v>
      </c>
      <c r="S241" s="3">
        <v>95160</v>
      </c>
      <c r="T241" s="4">
        <v>3.8868176333892749E-3</v>
      </c>
    </row>
    <row r="242" spans="1:20" x14ac:dyDescent="0.4">
      <c r="A242" s="2">
        <v>45875</v>
      </c>
      <c r="B242" t="s">
        <v>24</v>
      </c>
      <c r="C242" t="s">
        <v>22</v>
      </c>
      <c r="D242" s="3" t="str">
        <f t="shared" si="16"/>
        <v>PASS</v>
      </c>
      <c r="E242" s="3" t="str">
        <f t="shared" si="17"/>
        <v>PASS</v>
      </c>
      <c r="F242" s="3" t="str">
        <f t="shared" si="18"/>
        <v>PASS</v>
      </c>
      <c r="G242" s="3" t="str">
        <f t="shared" si="19"/>
        <v>FAIL</v>
      </c>
      <c r="H242" s="3">
        <v>136528632.44999999</v>
      </c>
      <c r="I242" s="4">
        <v>0</v>
      </c>
      <c r="J242" s="3">
        <v>119070328.31999999</v>
      </c>
      <c r="K242" s="3">
        <v>8593.43</v>
      </c>
      <c r="L242" s="3">
        <v>0</v>
      </c>
      <c r="M242" t="s">
        <v>23</v>
      </c>
      <c r="N242" t="s">
        <v>39</v>
      </c>
      <c r="O242" s="4">
        <v>0.26290586564832608</v>
      </c>
      <c r="P242" s="4">
        <v>0.73709413435167392</v>
      </c>
      <c r="Q242" t="s">
        <v>261</v>
      </c>
      <c r="R242" s="4">
        <v>2.2736467593698211E-5</v>
      </c>
      <c r="S242" s="3">
        <v>35214570.969999999</v>
      </c>
      <c r="T242" s="4">
        <v>0.25792810151303908</v>
      </c>
    </row>
    <row r="243" spans="1:20" x14ac:dyDescent="0.4">
      <c r="A243" s="2">
        <v>45875</v>
      </c>
      <c r="B243" t="s">
        <v>25</v>
      </c>
      <c r="C243" t="s">
        <v>22</v>
      </c>
      <c r="D243" s="3" t="str">
        <f t="shared" si="16"/>
        <v>PASS</v>
      </c>
      <c r="E243" s="3" t="str">
        <f t="shared" si="17"/>
        <v>PASS</v>
      </c>
      <c r="F243" s="3" t="str">
        <f t="shared" si="18"/>
        <v>PASS</v>
      </c>
      <c r="G243" s="3" t="str">
        <f t="shared" si="19"/>
        <v>FAIL</v>
      </c>
      <c r="H243" s="3">
        <v>101967636.5</v>
      </c>
      <c r="I243" s="4">
        <v>0</v>
      </c>
      <c r="J243" s="3">
        <v>91737032.370000005</v>
      </c>
      <c r="K243" s="3">
        <v>6628.61</v>
      </c>
      <c r="L243" s="3">
        <v>0</v>
      </c>
      <c r="M243" t="s">
        <v>23</v>
      </c>
      <c r="N243" t="s">
        <v>39</v>
      </c>
      <c r="O243" s="4">
        <v>0.2540700212101269</v>
      </c>
      <c r="P243" s="4">
        <v>0.7459299787898731</v>
      </c>
      <c r="Q243" t="s">
        <v>262</v>
      </c>
      <c r="R243" s="4">
        <v>1.692632179748822E-5</v>
      </c>
      <c r="S243" s="3">
        <v>18725875.850000001</v>
      </c>
      <c r="T243" s="4">
        <v>0.1836452868062701</v>
      </c>
    </row>
    <row r="244" spans="1:20" x14ac:dyDescent="0.4">
      <c r="A244" s="2">
        <v>45875</v>
      </c>
      <c r="B244" t="s">
        <v>26</v>
      </c>
      <c r="C244" t="s">
        <v>22</v>
      </c>
      <c r="D244" s="3" t="str">
        <f t="shared" si="16"/>
        <v>PASS</v>
      </c>
      <c r="E244" s="3" t="str">
        <f t="shared" si="17"/>
        <v>PASS</v>
      </c>
      <c r="F244" s="3" t="str">
        <f t="shared" si="18"/>
        <v>PASS</v>
      </c>
      <c r="G244" s="3" t="str">
        <f t="shared" si="19"/>
        <v>FAIL</v>
      </c>
      <c r="H244" s="3">
        <v>23661074.609999999</v>
      </c>
      <c r="I244" s="4">
        <v>0</v>
      </c>
      <c r="J244" s="3">
        <v>21331901.199999999</v>
      </c>
      <c r="K244" s="3">
        <v>1541.51</v>
      </c>
      <c r="L244" s="3">
        <v>0</v>
      </c>
      <c r="M244" t="s">
        <v>23</v>
      </c>
      <c r="N244" t="s">
        <v>39</v>
      </c>
      <c r="O244" s="4">
        <v>0.25596108517509919</v>
      </c>
      <c r="P244" s="4">
        <v>0.74403891482490081</v>
      </c>
      <c r="Q244" t="s">
        <v>263</v>
      </c>
      <c r="R244" s="4">
        <v>3.9667061557213062E-6</v>
      </c>
      <c r="S244" s="3">
        <v>4186859.25</v>
      </c>
      <c r="T244" s="4">
        <v>0.1769513565639359</v>
      </c>
    </row>
    <row r="245" spans="1:20" x14ac:dyDescent="0.4">
      <c r="A245" s="2">
        <v>45875</v>
      </c>
      <c r="B245" t="s">
        <v>27</v>
      </c>
      <c r="C245" t="s">
        <v>22</v>
      </c>
      <c r="D245" s="3" t="str">
        <f t="shared" si="16"/>
        <v>PASS</v>
      </c>
      <c r="E245" s="3" t="str">
        <f t="shared" si="17"/>
        <v>PASS</v>
      </c>
      <c r="F245" s="3" t="str">
        <f t="shared" si="18"/>
        <v>PASS</v>
      </c>
      <c r="G245" s="3" t="str">
        <f t="shared" si="19"/>
        <v>FAIL</v>
      </c>
      <c r="H245" s="3">
        <v>43353866.039999999</v>
      </c>
      <c r="I245" s="4">
        <v>0</v>
      </c>
      <c r="J245" s="3">
        <v>36529702.950000003</v>
      </c>
      <c r="K245" s="3">
        <v>2636.06</v>
      </c>
      <c r="L245" s="3">
        <v>0</v>
      </c>
      <c r="M245" t="s">
        <v>23</v>
      </c>
      <c r="N245" t="s">
        <v>39</v>
      </c>
      <c r="O245" s="4">
        <v>0.26190731507166548</v>
      </c>
      <c r="P245" s="4">
        <v>0.73809268492833446</v>
      </c>
      <c r="Q245" t="s">
        <v>264</v>
      </c>
      <c r="R245" s="4">
        <v>6.9379976272389889E-6</v>
      </c>
      <c r="S245" s="3">
        <v>14634067.119999999</v>
      </c>
      <c r="T245" s="4">
        <v>0.33754929967486702</v>
      </c>
    </row>
    <row r="246" spans="1:20" x14ac:dyDescent="0.4">
      <c r="A246" s="2">
        <v>45875</v>
      </c>
      <c r="B246" t="s">
        <v>28</v>
      </c>
      <c r="C246" t="s">
        <v>22</v>
      </c>
      <c r="D246" s="3" t="str">
        <f t="shared" si="16"/>
        <v>PASS</v>
      </c>
      <c r="E246" s="3" t="str">
        <f t="shared" si="17"/>
        <v>PASS</v>
      </c>
      <c r="F246" s="3" t="str">
        <f t="shared" si="18"/>
        <v>PASS</v>
      </c>
      <c r="G246" s="3" t="str">
        <f t="shared" si="19"/>
        <v>FAIL</v>
      </c>
      <c r="H246" s="3">
        <v>15402911.49</v>
      </c>
      <c r="I246" s="4">
        <v>0</v>
      </c>
      <c r="J246" s="3">
        <v>13540740.789999999</v>
      </c>
      <c r="K246" s="3">
        <v>978.2</v>
      </c>
      <c r="L246" s="3">
        <v>0</v>
      </c>
      <c r="M246" t="s">
        <v>23</v>
      </c>
      <c r="N246" t="s">
        <v>39</v>
      </c>
      <c r="O246" s="4">
        <v>0.25600727713213978</v>
      </c>
      <c r="P246" s="4">
        <v>0.74399272286786022</v>
      </c>
      <c r="Q246" t="s">
        <v>265</v>
      </c>
      <c r="R246" s="4">
        <v>2.5141697066688079E-6</v>
      </c>
      <c r="S246" s="3">
        <v>4240026.91</v>
      </c>
      <c r="T246" s="4">
        <v>0.275274379960746</v>
      </c>
    </row>
    <row r="247" spans="1:20" x14ac:dyDescent="0.4">
      <c r="A247" s="2">
        <v>45875</v>
      </c>
      <c r="B247" t="s">
        <v>29</v>
      </c>
      <c r="C247" t="s">
        <v>22</v>
      </c>
      <c r="D247" s="3" t="str">
        <f t="shared" si="16"/>
        <v>PASS</v>
      </c>
      <c r="E247" s="3" t="str">
        <f t="shared" si="17"/>
        <v>PASS</v>
      </c>
      <c r="F247" s="3" t="str">
        <f t="shared" si="18"/>
        <v>PASS</v>
      </c>
      <c r="G247" s="3" t="str">
        <f t="shared" si="19"/>
        <v>FAIL</v>
      </c>
      <c r="H247" s="3">
        <v>34646834.020000003</v>
      </c>
      <c r="I247" s="4">
        <v>0</v>
      </c>
      <c r="J247" s="3">
        <v>32097919.219999999</v>
      </c>
      <c r="K247" s="3">
        <v>2316.5700000000002</v>
      </c>
      <c r="L247" s="3">
        <v>0</v>
      </c>
      <c r="M247" t="s">
        <v>23</v>
      </c>
      <c r="N247" t="s">
        <v>39</v>
      </c>
      <c r="O247" s="4">
        <v>0.25868548434835281</v>
      </c>
      <c r="P247" s="4">
        <v>0.74131451565164719</v>
      </c>
      <c r="Q247" t="s">
        <v>266</v>
      </c>
      <c r="R247" s="4">
        <v>6.030162346581178E-6</v>
      </c>
      <c r="S247" s="3">
        <v>4678238.0199999996</v>
      </c>
      <c r="T247" s="4">
        <v>0.13502642167245271</v>
      </c>
    </row>
    <row r="248" spans="1:20" x14ac:dyDescent="0.4">
      <c r="A248" s="2">
        <v>45875</v>
      </c>
      <c r="B248" t="s">
        <v>30</v>
      </c>
      <c r="C248" t="s">
        <v>22</v>
      </c>
      <c r="D248" s="3" t="str">
        <f t="shared" si="16"/>
        <v>PASS</v>
      </c>
      <c r="E248" s="3" t="str">
        <f t="shared" si="17"/>
        <v>PASS</v>
      </c>
      <c r="F248" s="3" t="str">
        <f t="shared" si="18"/>
        <v>PASS</v>
      </c>
      <c r="G248" s="3" t="str">
        <f t="shared" si="19"/>
        <v>FAIL</v>
      </c>
      <c r="H248" s="3">
        <v>54857099.450000003</v>
      </c>
      <c r="I248" s="4">
        <v>0</v>
      </c>
      <c r="J248" s="3">
        <v>49530508.780000001</v>
      </c>
      <c r="K248" s="3">
        <v>3596.59</v>
      </c>
      <c r="L248" s="3">
        <v>0</v>
      </c>
      <c r="M248" t="s">
        <v>23</v>
      </c>
      <c r="N248" t="s">
        <v>267</v>
      </c>
      <c r="O248" s="4">
        <v>0.27552896984394759</v>
      </c>
      <c r="P248" s="4">
        <v>0.72447103015605241</v>
      </c>
      <c r="Q248" t="s">
        <v>268</v>
      </c>
      <c r="R248" s="4">
        <v>7.7410324038301202E-5</v>
      </c>
      <c r="S248" s="3">
        <v>10058203.369999999</v>
      </c>
      <c r="T248" s="4">
        <v>0.18335281068164461</v>
      </c>
    </row>
    <row r="249" spans="1:20" x14ac:dyDescent="0.4">
      <c r="A249" s="2">
        <v>45875</v>
      </c>
      <c r="B249" t="s">
        <v>31</v>
      </c>
      <c r="C249" t="s">
        <v>22</v>
      </c>
      <c r="D249" s="3" t="str">
        <f t="shared" si="16"/>
        <v>PASS</v>
      </c>
      <c r="E249" s="3" t="str">
        <f t="shared" si="17"/>
        <v>PASS</v>
      </c>
      <c r="F249" s="3" t="str">
        <f t="shared" si="18"/>
        <v>PASS</v>
      </c>
      <c r="G249" s="3" t="str">
        <f t="shared" si="19"/>
        <v>FAIL</v>
      </c>
      <c r="H249" s="3">
        <v>40406391.140000001</v>
      </c>
      <c r="I249" s="4">
        <v>0</v>
      </c>
      <c r="J249" s="3">
        <v>34706158.149999999</v>
      </c>
      <c r="K249" s="3">
        <v>2506.77</v>
      </c>
      <c r="L249" s="3">
        <v>0</v>
      </c>
      <c r="M249" t="s">
        <v>23</v>
      </c>
      <c r="N249" t="s">
        <v>39</v>
      </c>
      <c r="O249" s="4">
        <v>0.25363244995182499</v>
      </c>
      <c r="P249" s="4">
        <v>0.74636755004817501</v>
      </c>
      <c r="Q249" t="s">
        <v>269</v>
      </c>
      <c r="R249" s="4">
        <v>6.3826160437777401E-6</v>
      </c>
      <c r="S249" s="3">
        <v>10990469.369999999</v>
      </c>
      <c r="T249" s="4">
        <v>0.27199829185240132</v>
      </c>
    </row>
    <row r="250" spans="1:20" x14ac:dyDescent="0.4">
      <c r="A250" s="2">
        <v>45875</v>
      </c>
      <c r="B250" t="s">
        <v>32</v>
      </c>
      <c r="C250" t="s">
        <v>22</v>
      </c>
      <c r="D250" s="3" t="str">
        <f t="shared" si="16"/>
        <v>PASS</v>
      </c>
      <c r="E250" s="3" t="str">
        <f t="shared" si="17"/>
        <v>PASS</v>
      </c>
      <c r="F250" s="3" t="str">
        <f t="shared" si="18"/>
        <v>PASS</v>
      </c>
      <c r="G250" s="3" t="str">
        <f t="shared" si="19"/>
        <v>FAIL</v>
      </c>
      <c r="H250" s="3">
        <v>78713311.599999994</v>
      </c>
      <c r="I250" s="4">
        <v>0</v>
      </c>
      <c r="J250" s="3">
        <v>69948613.299999997</v>
      </c>
      <c r="K250" s="3">
        <v>5047.3599999999997</v>
      </c>
      <c r="L250" s="3">
        <v>0</v>
      </c>
      <c r="M250" t="s">
        <v>23</v>
      </c>
      <c r="N250" t="s">
        <v>39</v>
      </c>
      <c r="O250" s="4">
        <v>0.25739657786754161</v>
      </c>
      <c r="P250" s="4">
        <v>0.74260342213245845</v>
      </c>
      <c r="Q250" t="s">
        <v>270</v>
      </c>
      <c r="R250" s="4">
        <v>1.3055739377365979E-5</v>
      </c>
      <c r="S250" s="3">
        <v>17709252.379999999</v>
      </c>
      <c r="T250" s="4">
        <v>0.2249842119461786</v>
      </c>
    </row>
    <row r="251" spans="1:20" x14ac:dyDescent="0.4">
      <c r="A251" s="2">
        <v>45875</v>
      </c>
      <c r="B251" t="s">
        <v>33</v>
      </c>
      <c r="C251" t="s">
        <v>22</v>
      </c>
      <c r="D251" s="3" t="str">
        <f t="shared" si="16"/>
        <v>PASS</v>
      </c>
      <c r="E251" s="3" t="str">
        <f t="shared" si="17"/>
        <v>PASS</v>
      </c>
      <c r="F251" s="3" t="str">
        <f t="shared" si="18"/>
        <v>PASS</v>
      </c>
      <c r="G251" s="3" t="str">
        <f t="shared" si="19"/>
        <v>PASS</v>
      </c>
      <c r="H251" s="3">
        <v>165997447.84</v>
      </c>
      <c r="I251" s="4">
        <v>0</v>
      </c>
      <c r="J251" s="3">
        <v>141785509.75999999</v>
      </c>
      <c r="K251" s="3">
        <v>10245.040000000001</v>
      </c>
      <c r="L251" s="3">
        <v>0</v>
      </c>
      <c r="M251" t="s">
        <v>23</v>
      </c>
      <c r="N251" t="s">
        <v>39</v>
      </c>
      <c r="O251" s="4">
        <v>0.25402326564234662</v>
      </c>
      <c r="P251" s="4">
        <v>0.74597673435765344</v>
      </c>
      <c r="Q251" t="s">
        <v>271</v>
      </c>
      <c r="R251" s="4">
        <v>2.616060866403815E-5</v>
      </c>
      <c r="S251" s="3">
        <v>836413</v>
      </c>
      <c r="T251" s="4">
        <v>5.0387099975548631E-3</v>
      </c>
    </row>
    <row r="252" spans="1:20" x14ac:dyDescent="0.4">
      <c r="A252" s="2">
        <v>45876</v>
      </c>
      <c r="B252" t="s">
        <v>21</v>
      </c>
      <c r="C252" t="s">
        <v>22</v>
      </c>
      <c r="D252" s="3" t="str">
        <f t="shared" si="16"/>
        <v>PASS</v>
      </c>
      <c r="E252" s="3" t="str">
        <f t="shared" si="17"/>
        <v>PASS</v>
      </c>
      <c r="F252" s="3" t="str">
        <f t="shared" si="18"/>
        <v>PASS</v>
      </c>
      <c r="G252" s="3" t="str">
        <f t="shared" si="19"/>
        <v>FAIL</v>
      </c>
      <c r="H252" s="3">
        <v>24463920.07</v>
      </c>
      <c r="I252" s="4">
        <v>0</v>
      </c>
      <c r="J252" s="3">
        <v>20490482.829999998</v>
      </c>
      <c r="K252" s="3">
        <v>1489.69</v>
      </c>
      <c r="L252" s="3">
        <v>0</v>
      </c>
      <c r="M252" t="s">
        <v>23</v>
      </c>
      <c r="N252" t="s">
        <v>41</v>
      </c>
      <c r="O252" s="4">
        <v>0.2964619126058925</v>
      </c>
      <c r="P252" s="4">
        <v>0.7035380873941075</v>
      </c>
      <c r="Q252" t="s">
        <v>272</v>
      </c>
      <c r="R252" s="4">
        <v>3.7765947675364939E-6</v>
      </c>
      <c r="S252" s="3">
        <v>7692820.3200000003</v>
      </c>
      <c r="T252" s="4">
        <v>0.31445574944604537</v>
      </c>
    </row>
    <row r="253" spans="1:20" x14ac:dyDescent="0.4">
      <c r="A253" s="2">
        <v>45876</v>
      </c>
      <c r="B253" t="s">
        <v>24</v>
      </c>
      <c r="C253" t="s">
        <v>22</v>
      </c>
      <c r="D253" s="3" t="str">
        <f t="shared" si="16"/>
        <v>PASS</v>
      </c>
      <c r="E253" s="3" t="str">
        <f t="shared" si="17"/>
        <v>PASS</v>
      </c>
      <c r="F253" s="3" t="str">
        <f t="shared" si="18"/>
        <v>PASS</v>
      </c>
      <c r="G253" s="3" t="str">
        <f t="shared" si="19"/>
        <v>FAIL</v>
      </c>
      <c r="H253" s="3">
        <v>136414495.44999999</v>
      </c>
      <c r="I253" s="4">
        <v>0</v>
      </c>
      <c r="J253" s="3">
        <v>118947546.48999999</v>
      </c>
      <c r="K253" s="3">
        <v>8645.3799999999992</v>
      </c>
      <c r="L253" s="3">
        <v>0</v>
      </c>
      <c r="M253" t="s">
        <v>23</v>
      </c>
      <c r="N253" t="s">
        <v>39</v>
      </c>
      <c r="O253" s="4">
        <v>0.26465465492091128</v>
      </c>
      <c r="P253" s="4">
        <v>0.73534534507908877</v>
      </c>
      <c r="Q253" t="s">
        <v>273</v>
      </c>
      <c r="R253" s="4">
        <v>2.2736467593698211E-5</v>
      </c>
      <c r="S253" s="3">
        <v>35120922.909999996</v>
      </c>
      <c r="T253" s="4">
        <v>0.25745741164928382</v>
      </c>
    </row>
    <row r="254" spans="1:20" x14ac:dyDescent="0.4">
      <c r="A254" s="2">
        <v>45876</v>
      </c>
      <c r="B254" t="s">
        <v>25</v>
      </c>
      <c r="C254" t="s">
        <v>22</v>
      </c>
      <c r="D254" s="3" t="str">
        <f t="shared" si="16"/>
        <v>PASS</v>
      </c>
      <c r="E254" s="3" t="str">
        <f t="shared" si="17"/>
        <v>PASS</v>
      </c>
      <c r="F254" s="3" t="str">
        <f t="shared" si="18"/>
        <v>PASS</v>
      </c>
      <c r="G254" s="3" t="str">
        <f t="shared" si="19"/>
        <v>FAIL</v>
      </c>
      <c r="H254" s="3">
        <v>101897399.8</v>
      </c>
      <c r="I254" s="4">
        <v>0</v>
      </c>
      <c r="J254" s="3">
        <v>91660135.310000002</v>
      </c>
      <c r="K254" s="3">
        <v>6661.04</v>
      </c>
      <c r="L254" s="3">
        <v>0</v>
      </c>
      <c r="M254" t="s">
        <v>23</v>
      </c>
      <c r="N254" t="s">
        <v>39</v>
      </c>
      <c r="O254" s="4">
        <v>0.2557228561874354</v>
      </c>
      <c r="P254" s="4">
        <v>0.7442771438125646</v>
      </c>
      <c r="Q254" t="s">
        <v>274</v>
      </c>
      <c r="R254" s="4">
        <v>1.692632179748822E-5</v>
      </c>
      <c r="S254" s="3">
        <v>18711495.789999999</v>
      </c>
      <c r="T254" s="4">
        <v>0.1836307484462425</v>
      </c>
    </row>
    <row r="255" spans="1:20" x14ac:dyDescent="0.4">
      <c r="A255" s="2">
        <v>45876</v>
      </c>
      <c r="B255" t="s">
        <v>26</v>
      </c>
      <c r="C255" t="s">
        <v>22</v>
      </c>
      <c r="D255" s="3" t="str">
        <f t="shared" si="16"/>
        <v>PASS</v>
      </c>
      <c r="E255" s="3" t="str">
        <f t="shared" si="17"/>
        <v>PASS</v>
      </c>
      <c r="F255" s="3" t="str">
        <f t="shared" si="18"/>
        <v>PASS</v>
      </c>
      <c r="G255" s="3" t="str">
        <f t="shared" si="19"/>
        <v>FAIL</v>
      </c>
      <c r="H255" s="3">
        <v>23641430.530000001</v>
      </c>
      <c r="I255" s="4">
        <v>0</v>
      </c>
      <c r="J255" s="3">
        <v>21310708.370000001</v>
      </c>
      <c r="K255" s="3">
        <v>1549.46</v>
      </c>
      <c r="L255" s="3">
        <v>0</v>
      </c>
      <c r="M255" t="s">
        <v>23</v>
      </c>
      <c r="N255" t="s">
        <v>39</v>
      </c>
      <c r="O255" s="4">
        <v>0.25760883189262102</v>
      </c>
      <c r="P255" s="4">
        <v>0.74239116810737904</v>
      </c>
      <c r="Q255" t="s">
        <v>275</v>
      </c>
      <c r="R255" s="4">
        <v>3.9667061557213062E-6</v>
      </c>
      <c r="S255" s="3">
        <v>4172546.06</v>
      </c>
      <c r="T255" s="4">
        <v>0.17649296030141709</v>
      </c>
    </row>
    <row r="256" spans="1:20" x14ac:dyDescent="0.4">
      <c r="A256" s="2">
        <v>45876</v>
      </c>
      <c r="B256" t="s">
        <v>27</v>
      </c>
      <c r="C256" t="s">
        <v>22</v>
      </c>
      <c r="D256" s="3" t="str">
        <f t="shared" si="16"/>
        <v>PASS</v>
      </c>
      <c r="E256" s="3" t="str">
        <f t="shared" si="17"/>
        <v>PASS</v>
      </c>
      <c r="F256" s="3" t="str">
        <f t="shared" si="18"/>
        <v>PASS</v>
      </c>
      <c r="G256" s="3" t="str">
        <f t="shared" si="19"/>
        <v>FAIL</v>
      </c>
      <c r="H256" s="3">
        <v>43316755.030000001</v>
      </c>
      <c r="I256" s="4">
        <v>0</v>
      </c>
      <c r="J256" s="3">
        <v>36489939.780000001</v>
      </c>
      <c r="K256" s="3">
        <v>2652.71</v>
      </c>
      <c r="L256" s="3">
        <v>0</v>
      </c>
      <c r="M256" t="s">
        <v>23</v>
      </c>
      <c r="N256" t="s">
        <v>39</v>
      </c>
      <c r="O256" s="4">
        <v>0.26379819035152158</v>
      </c>
      <c r="P256" s="4">
        <v>0.73620180964847837</v>
      </c>
      <c r="Q256" t="s">
        <v>276</v>
      </c>
      <c r="R256" s="4">
        <v>6.9379976272389889E-6</v>
      </c>
      <c r="S256" s="3">
        <v>14594847.439999999</v>
      </c>
      <c r="T256" s="4">
        <v>0.33693307427788638</v>
      </c>
    </row>
    <row r="257" spans="1:20" x14ac:dyDescent="0.4">
      <c r="A257" s="2">
        <v>45876</v>
      </c>
      <c r="B257" t="s">
        <v>28</v>
      </c>
      <c r="C257" t="s">
        <v>22</v>
      </c>
      <c r="D257" s="3" t="str">
        <f t="shared" si="16"/>
        <v>PASS</v>
      </c>
      <c r="E257" s="3" t="str">
        <f t="shared" si="17"/>
        <v>PASS</v>
      </c>
      <c r="F257" s="3" t="str">
        <f t="shared" si="18"/>
        <v>PASS</v>
      </c>
      <c r="G257" s="3" t="str">
        <f t="shared" si="19"/>
        <v>FAIL</v>
      </c>
      <c r="H257" s="3">
        <v>15391144.42</v>
      </c>
      <c r="I257" s="4">
        <v>0</v>
      </c>
      <c r="J257" s="3">
        <v>13527990.630000001</v>
      </c>
      <c r="K257" s="3">
        <v>983.8</v>
      </c>
      <c r="L257" s="3">
        <v>0</v>
      </c>
      <c r="M257" t="s">
        <v>23</v>
      </c>
      <c r="N257" t="s">
        <v>39</v>
      </c>
      <c r="O257" s="4">
        <v>0.25779708645466443</v>
      </c>
      <c r="P257" s="4">
        <v>0.74220291354533563</v>
      </c>
      <c r="Q257" t="s">
        <v>277</v>
      </c>
      <c r="R257" s="4">
        <v>2.5141697066688079E-6</v>
      </c>
      <c r="S257" s="3">
        <v>4231872.21</v>
      </c>
      <c r="T257" s="4">
        <v>0.27495500623728147</v>
      </c>
    </row>
    <row r="258" spans="1:20" x14ac:dyDescent="0.4">
      <c r="A258" s="2">
        <v>45876</v>
      </c>
      <c r="B258" t="s">
        <v>29</v>
      </c>
      <c r="C258" t="s">
        <v>22</v>
      </c>
      <c r="D258" s="3" t="str">
        <f t="shared" si="16"/>
        <v>PASS</v>
      </c>
      <c r="E258" s="3" t="str">
        <f t="shared" si="17"/>
        <v>PASS</v>
      </c>
      <c r="F258" s="3" t="str">
        <f t="shared" si="18"/>
        <v>PASS</v>
      </c>
      <c r="G258" s="3" t="str">
        <f t="shared" si="19"/>
        <v>FAIL</v>
      </c>
      <c r="H258" s="3">
        <v>34614536.399999999</v>
      </c>
      <c r="I258" s="4">
        <v>0</v>
      </c>
      <c r="J258" s="3">
        <v>32063291.199999999</v>
      </c>
      <c r="K258" s="3">
        <v>2330.4</v>
      </c>
      <c r="L258" s="3">
        <v>0</v>
      </c>
      <c r="M258" t="s">
        <v>23</v>
      </c>
      <c r="N258" t="s">
        <v>39</v>
      </c>
      <c r="O258" s="4">
        <v>0.26042190827871098</v>
      </c>
      <c r="P258" s="4">
        <v>0.73957809172128908</v>
      </c>
      <c r="Q258" t="s">
        <v>278</v>
      </c>
      <c r="R258" s="4">
        <v>6.030162346581178E-6</v>
      </c>
      <c r="S258" s="3">
        <v>4652099.6499999994</v>
      </c>
      <c r="T258" s="4">
        <v>0.13439728315991539</v>
      </c>
    </row>
    <row r="259" spans="1:20" x14ac:dyDescent="0.4">
      <c r="A259" s="2">
        <v>45876</v>
      </c>
      <c r="B259" t="s">
        <v>30</v>
      </c>
      <c r="C259" t="s">
        <v>22</v>
      </c>
      <c r="D259" s="3" t="str">
        <f t="shared" si="16"/>
        <v>PASS</v>
      </c>
      <c r="E259" s="3" t="str">
        <f t="shared" si="17"/>
        <v>PASS</v>
      </c>
      <c r="F259" s="3" t="str">
        <f t="shared" si="18"/>
        <v>PASS</v>
      </c>
      <c r="G259" s="3" t="str">
        <f t="shared" si="19"/>
        <v>FAIL</v>
      </c>
      <c r="H259" s="3">
        <v>54619620.82</v>
      </c>
      <c r="I259" s="4">
        <v>0</v>
      </c>
      <c r="J259" s="3">
        <v>49289434.100000001</v>
      </c>
      <c r="K259" s="3">
        <v>3596.73</v>
      </c>
      <c r="L259" s="3">
        <v>0</v>
      </c>
      <c r="M259" t="s">
        <v>23</v>
      </c>
      <c r="N259" t="s">
        <v>279</v>
      </c>
      <c r="O259" s="4">
        <v>0.27567324961436313</v>
      </c>
      <c r="P259" s="4">
        <v>0.72432675038563699</v>
      </c>
      <c r="Q259" t="s">
        <v>280</v>
      </c>
      <c r="R259" s="4">
        <v>7.7410324038301202E-5</v>
      </c>
      <c r="S259" s="3">
        <v>10092237.41</v>
      </c>
      <c r="T259" s="4">
        <v>0.18477311373616381</v>
      </c>
    </row>
    <row r="260" spans="1:20" x14ac:dyDescent="0.4">
      <c r="A260" s="2">
        <v>45876</v>
      </c>
      <c r="B260" t="s">
        <v>31</v>
      </c>
      <c r="C260" t="s">
        <v>22</v>
      </c>
      <c r="D260" s="3" t="str">
        <f t="shared" si="16"/>
        <v>PASS</v>
      </c>
      <c r="E260" s="3" t="str">
        <f t="shared" si="17"/>
        <v>PASS</v>
      </c>
      <c r="F260" s="3" t="str">
        <f t="shared" si="18"/>
        <v>PASS</v>
      </c>
      <c r="G260" s="3" t="str">
        <f t="shared" si="19"/>
        <v>FAIL</v>
      </c>
      <c r="H260" s="3">
        <v>40374981.780000001</v>
      </c>
      <c r="I260" s="4">
        <v>0</v>
      </c>
      <c r="J260" s="3">
        <v>34672229.030000001</v>
      </c>
      <c r="K260" s="3">
        <v>2520.44</v>
      </c>
      <c r="L260" s="3">
        <v>0</v>
      </c>
      <c r="M260" t="s">
        <v>23</v>
      </c>
      <c r="N260" t="s">
        <v>39</v>
      </c>
      <c r="O260" s="4">
        <v>0.25543914215428221</v>
      </c>
      <c r="P260" s="4">
        <v>0.74456085784571779</v>
      </c>
      <c r="Q260" t="s">
        <v>281</v>
      </c>
      <c r="R260" s="4">
        <v>6.3826160437777401E-6</v>
      </c>
      <c r="S260" s="3">
        <v>10973098.029999999</v>
      </c>
      <c r="T260" s="4">
        <v>0.27177964041671943</v>
      </c>
    </row>
    <row r="261" spans="1:20" x14ac:dyDescent="0.4">
      <c r="A261" s="2">
        <v>45876</v>
      </c>
      <c r="B261" t="s">
        <v>32</v>
      </c>
      <c r="C261" t="s">
        <v>22</v>
      </c>
      <c r="D261" s="3" t="str">
        <f t="shared" si="16"/>
        <v>PASS</v>
      </c>
      <c r="E261" s="3" t="str">
        <f t="shared" si="17"/>
        <v>PASS</v>
      </c>
      <c r="F261" s="3" t="str">
        <f t="shared" si="18"/>
        <v>PASS</v>
      </c>
      <c r="G261" s="3" t="str">
        <f t="shared" si="19"/>
        <v>FAIL</v>
      </c>
      <c r="H261" s="3">
        <v>78650869.870000005</v>
      </c>
      <c r="I261" s="4">
        <v>0</v>
      </c>
      <c r="J261" s="3">
        <v>69881093.109999999</v>
      </c>
      <c r="K261" s="3">
        <v>5078.46</v>
      </c>
      <c r="L261" s="3">
        <v>0</v>
      </c>
      <c r="M261" t="s">
        <v>23</v>
      </c>
      <c r="N261" t="s">
        <v>39</v>
      </c>
      <c r="O261" s="4">
        <v>0.25923648820839118</v>
      </c>
      <c r="P261" s="4">
        <v>0.74076351179160882</v>
      </c>
      <c r="Q261" t="s">
        <v>282</v>
      </c>
      <c r="R261" s="4">
        <v>1.3055739377365979E-5</v>
      </c>
      <c r="S261" s="3">
        <v>17674411.48</v>
      </c>
      <c r="T261" s="4">
        <v>0.22471984746276269</v>
      </c>
    </row>
    <row r="262" spans="1:20" x14ac:dyDescent="0.4">
      <c r="A262" s="2">
        <v>45876</v>
      </c>
      <c r="B262" t="s">
        <v>33</v>
      </c>
      <c r="C262" t="s">
        <v>22</v>
      </c>
      <c r="D262" s="3" t="str">
        <f t="shared" si="16"/>
        <v>PASS</v>
      </c>
      <c r="E262" s="3" t="str">
        <f t="shared" si="17"/>
        <v>PASS</v>
      </c>
      <c r="F262" s="3" t="str">
        <f t="shared" si="18"/>
        <v>PASS</v>
      </c>
      <c r="G262" s="3" t="str">
        <f t="shared" si="19"/>
        <v>FAIL</v>
      </c>
      <c r="H262" s="3">
        <v>165870976.43000001</v>
      </c>
      <c r="I262" s="4">
        <v>0</v>
      </c>
      <c r="J262" s="3">
        <v>141647885.13</v>
      </c>
      <c r="K262" s="3">
        <v>10294.57</v>
      </c>
      <c r="L262" s="3">
        <v>0</v>
      </c>
      <c r="M262" t="s">
        <v>23</v>
      </c>
      <c r="N262" t="s">
        <v>39</v>
      </c>
      <c r="O262" s="4">
        <v>0.25569389177084989</v>
      </c>
      <c r="P262" s="4">
        <v>0.74430610822915011</v>
      </c>
      <c r="Q262" t="s">
        <v>283</v>
      </c>
      <c r="R262" s="4">
        <v>2.616060866403815E-5</v>
      </c>
      <c r="S262" s="3">
        <v>45766336.700000003</v>
      </c>
      <c r="T262" s="4">
        <v>0.27591527876074251</v>
      </c>
    </row>
    <row r="263" spans="1:20" x14ac:dyDescent="0.4">
      <c r="A263" s="2">
        <v>45877</v>
      </c>
      <c r="B263" t="s">
        <v>21</v>
      </c>
      <c r="C263" t="s">
        <v>22</v>
      </c>
      <c r="D263" s="3" t="str">
        <f t="shared" si="16"/>
        <v>PASS</v>
      </c>
      <c r="E263" s="3" t="str">
        <f t="shared" si="17"/>
        <v>PASS</v>
      </c>
      <c r="F263" s="3" t="str">
        <f t="shared" si="18"/>
        <v>PASS</v>
      </c>
      <c r="G263" s="3" t="str">
        <f t="shared" si="19"/>
        <v>PASS</v>
      </c>
      <c r="H263" s="3">
        <v>24578107.93</v>
      </c>
      <c r="I263" s="4">
        <v>0</v>
      </c>
      <c r="J263" s="3">
        <v>20600207.68</v>
      </c>
      <c r="K263" s="3">
        <v>4464.66</v>
      </c>
      <c r="L263" s="3">
        <v>0</v>
      </c>
      <c r="M263" t="s">
        <v>23</v>
      </c>
      <c r="N263" t="s">
        <v>23</v>
      </c>
      <c r="O263" s="4">
        <v>0</v>
      </c>
      <c r="P263" s="4">
        <v>1</v>
      </c>
      <c r="Q263" t="s">
        <v>23</v>
      </c>
      <c r="R263" s="4">
        <v>0</v>
      </c>
      <c r="S263" s="3">
        <v>0</v>
      </c>
      <c r="T263" s="4">
        <v>0</v>
      </c>
    </row>
    <row r="264" spans="1:20" x14ac:dyDescent="0.4">
      <c r="A264" s="2">
        <v>45877</v>
      </c>
      <c r="B264" t="s">
        <v>24</v>
      </c>
      <c r="C264" t="s">
        <v>22</v>
      </c>
      <c r="D264" s="3" t="str">
        <f t="shared" ref="D264:D327" si="20">IF(J264/H264&gt;=0.75,"PASS","FAIL")</f>
        <v>PASS</v>
      </c>
      <c r="E264" s="3" t="str">
        <f t="shared" ref="E264:E327" si="21">IF(L264=0,"PASS","FAIL")</f>
        <v>PASS</v>
      </c>
      <c r="F264" s="3" t="str">
        <f t="shared" ref="F264:F327" si="22">IF(R264="","",IF(R264&lt;=0.1,"PASS","FAIL"))</f>
        <v>PASS</v>
      </c>
      <c r="G264" s="3" t="str">
        <f t="shared" ref="G264:G327" si="23">IF(S264=0,"PASS",IF(S264&lt;=0.05*J264,"PASS","FAIL"))</f>
        <v>PASS</v>
      </c>
      <c r="H264" s="3">
        <v>137144001.50999999</v>
      </c>
      <c r="I264" s="4">
        <v>0</v>
      </c>
      <c r="J264" s="3">
        <v>119651144.79000001</v>
      </c>
      <c r="K264" s="3">
        <v>25909.41</v>
      </c>
      <c r="L264" s="3">
        <v>0</v>
      </c>
      <c r="M264" t="s">
        <v>23</v>
      </c>
      <c r="N264" t="s">
        <v>23</v>
      </c>
      <c r="O264" s="4">
        <v>0</v>
      </c>
      <c r="P264" s="4">
        <v>1</v>
      </c>
      <c r="Q264" t="s">
        <v>23</v>
      </c>
      <c r="R264" s="4">
        <v>0</v>
      </c>
      <c r="S264" s="3">
        <v>0</v>
      </c>
      <c r="T264" s="4">
        <v>0</v>
      </c>
    </row>
    <row r="265" spans="1:20" x14ac:dyDescent="0.4">
      <c r="A265" s="2">
        <v>45877</v>
      </c>
      <c r="B265" t="s">
        <v>25</v>
      </c>
      <c r="C265" t="s">
        <v>22</v>
      </c>
      <c r="D265" s="3" t="str">
        <f t="shared" si="20"/>
        <v>PASS</v>
      </c>
      <c r="E265" s="3" t="str">
        <f t="shared" si="21"/>
        <v>PASS</v>
      </c>
      <c r="F265" s="3" t="str">
        <f t="shared" si="22"/>
        <v>PASS</v>
      </c>
      <c r="G265" s="3" t="str">
        <f t="shared" si="23"/>
        <v>PASS</v>
      </c>
      <c r="H265" s="3">
        <v>102356429.02</v>
      </c>
      <c r="I265" s="4">
        <v>0</v>
      </c>
      <c r="J265" s="3">
        <v>92099200.189999998</v>
      </c>
      <c r="K265" s="3">
        <v>19966.38</v>
      </c>
      <c r="L265" s="3">
        <v>0</v>
      </c>
      <c r="M265" t="s">
        <v>23</v>
      </c>
      <c r="N265" t="s">
        <v>23</v>
      </c>
      <c r="O265" s="4">
        <v>0</v>
      </c>
      <c r="P265" s="4">
        <v>1</v>
      </c>
      <c r="Q265" t="s">
        <v>23</v>
      </c>
      <c r="R265" s="4">
        <v>0</v>
      </c>
      <c r="S265" s="3">
        <v>0</v>
      </c>
      <c r="T265" s="4">
        <v>0</v>
      </c>
    </row>
    <row r="266" spans="1:20" x14ac:dyDescent="0.4">
      <c r="A266" s="2">
        <v>45877</v>
      </c>
      <c r="B266" t="s">
        <v>26</v>
      </c>
      <c r="C266" t="s">
        <v>22</v>
      </c>
      <c r="D266" s="3" t="str">
        <f t="shared" si="20"/>
        <v>PASS</v>
      </c>
      <c r="E266" s="3" t="str">
        <f t="shared" si="21"/>
        <v>PASS</v>
      </c>
      <c r="F266" s="3" t="str">
        <f t="shared" si="22"/>
        <v>PASS</v>
      </c>
      <c r="G266" s="3" t="str">
        <f t="shared" si="23"/>
        <v>PASS</v>
      </c>
      <c r="H266" s="3">
        <v>23756099.629999999</v>
      </c>
      <c r="I266" s="4">
        <v>0</v>
      </c>
      <c r="J266" s="3">
        <v>21420735.809999999</v>
      </c>
      <c r="K266" s="3">
        <v>4643.79</v>
      </c>
      <c r="L266" s="3">
        <v>0</v>
      </c>
      <c r="M266" t="s">
        <v>23</v>
      </c>
      <c r="N266" t="s">
        <v>23</v>
      </c>
      <c r="O266" s="4">
        <v>0</v>
      </c>
      <c r="P266" s="4">
        <v>1</v>
      </c>
      <c r="Q266" t="s">
        <v>23</v>
      </c>
      <c r="R266" s="4">
        <v>0</v>
      </c>
      <c r="S266" s="3">
        <v>0</v>
      </c>
      <c r="T266" s="4">
        <v>0</v>
      </c>
    </row>
    <row r="267" spans="1:20" x14ac:dyDescent="0.4">
      <c r="A267" s="2">
        <v>45877</v>
      </c>
      <c r="B267" t="s">
        <v>27</v>
      </c>
      <c r="C267" t="s">
        <v>22</v>
      </c>
      <c r="D267" s="3" t="str">
        <f t="shared" si="20"/>
        <v>PASS</v>
      </c>
      <c r="E267" s="3" t="str">
        <f t="shared" si="21"/>
        <v>PASS</v>
      </c>
      <c r="F267" s="3" t="str">
        <f t="shared" si="22"/>
        <v>PASS</v>
      </c>
      <c r="G267" s="3" t="str">
        <f t="shared" si="23"/>
        <v>PASS</v>
      </c>
      <c r="H267" s="3">
        <v>43557457.640000001</v>
      </c>
      <c r="I267" s="4">
        <v>0</v>
      </c>
      <c r="J267" s="3">
        <v>36722694.579999998</v>
      </c>
      <c r="K267" s="3">
        <v>7949.46</v>
      </c>
      <c r="L267" s="3">
        <v>0</v>
      </c>
      <c r="M267" t="s">
        <v>23</v>
      </c>
      <c r="N267" t="s">
        <v>23</v>
      </c>
      <c r="O267" s="4">
        <v>0</v>
      </c>
      <c r="P267" s="4">
        <v>1</v>
      </c>
      <c r="Q267" t="s">
        <v>23</v>
      </c>
      <c r="R267" s="4">
        <v>0</v>
      </c>
      <c r="S267" s="3">
        <v>0</v>
      </c>
      <c r="T267" s="4">
        <v>0</v>
      </c>
    </row>
    <row r="268" spans="1:20" x14ac:dyDescent="0.4">
      <c r="A268" s="2">
        <v>45877</v>
      </c>
      <c r="B268" t="s">
        <v>28</v>
      </c>
      <c r="C268" t="s">
        <v>22</v>
      </c>
      <c r="D268" s="3" t="str">
        <f t="shared" si="20"/>
        <v>PASS</v>
      </c>
      <c r="E268" s="3" t="str">
        <f t="shared" si="21"/>
        <v>PASS</v>
      </c>
      <c r="F268" s="3" t="str">
        <f t="shared" si="22"/>
        <v>PASS</v>
      </c>
      <c r="G268" s="3" t="str">
        <f t="shared" si="23"/>
        <v>PASS</v>
      </c>
      <c r="H268" s="3">
        <v>15469378.76</v>
      </c>
      <c r="I268" s="4">
        <v>0</v>
      </c>
      <c r="J268" s="3">
        <v>13603278.460000001</v>
      </c>
      <c r="K268" s="3">
        <v>2948.64</v>
      </c>
      <c r="L268" s="3">
        <v>0</v>
      </c>
      <c r="M268" t="s">
        <v>23</v>
      </c>
      <c r="N268" t="s">
        <v>23</v>
      </c>
      <c r="O268" s="4">
        <v>0</v>
      </c>
      <c r="P268" s="4">
        <v>1</v>
      </c>
      <c r="Q268" t="s">
        <v>23</v>
      </c>
      <c r="R268" s="4">
        <v>0</v>
      </c>
      <c r="S268" s="3">
        <v>0</v>
      </c>
      <c r="T268" s="4">
        <v>0</v>
      </c>
    </row>
    <row r="269" spans="1:20" x14ac:dyDescent="0.4">
      <c r="A269" s="2">
        <v>45877</v>
      </c>
      <c r="B269" t="s">
        <v>29</v>
      </c>
      <c r="C269" t="s">
        <v>22</v>
      </c>
      <c r="D269" s="3" t="str">
        <f t="shared" si="20"/>
        <v>PASS</v>
      </c>
      <c r="E269" s="3" t="str">
        <f t="shared" si="21"/>
        <v>PASS</v>
      </c>
      <c r="F269" s="3" t="str">
        <f t="shared" si="22"/>
        <v>PASS</v>
      </c>
      <c r="G269" s="3" t="str">
        <f t="shared" si="23"/>
        <v>PASS</v>
      </c>
      <c r="H269" s="3">
        <v>34816372.810000002</v>
      </c>
      <c r="I269" s="4">
        <v>0</v>
      </c>
      <c r="J269" s="3">
        <v>32258143.969999999</v>
      </c>
      <c r="K269" s="3">
        <v>6983.64</v>
      </c>
      <c r="L269" s="3">
        <v>0</v>
      </c>
      <c r="M269" t="s">
        <v>23</v>
      </c>
      <c r="N269" t="s">
        <v>23</v>
      </c>
      <c r="O269" s="4">
        <v>0</v>
      </c>
      <c r="P269" s="4">
        <v>1</v>
      </c>
      <c r="Q269" t="s">
        <v>23</v>
      </c>
      <c r="R269" s="4">
        <v>0</v>
      </c>
      <c r="S269" s="3">
        <v>0</v>
      </c>
      <c r="T269" s="4">
        <v>0</v>
      </c>
    </row>
    <row r="270" spans="1:20" x14ac:dyDescent="0.4">
      <c r="A270" s="2">
        <v>45877</v>
      </c>
      <c r="B270" t="s">
        <v>30</v>
      </c>
      <c r="C270" t="s">
        <v>22</v>
      </c>
      <c r="D270" s="3" t="str">
        <f t="shared" si="20"/>
        <v>PASS</v>
      </c>
      <c r="E270" s="3" t="str">
        <f t="shared" si="21"/>
        <v>PASS</v>
      </c>
      <c r="F270" s="3" t="str">
        <f t="shared" si="22"/>
        <v>PASS</v>
      </c>
      <c r="G270" s="3" t="str">
        <f t="shared" si="23"/>
        <v>PASS</v>
      </c>
      <c r="H270" s="3">
        <v>54806741.280000001</v>
      </c>
      <c r="I270" s="4">
        <v>0</v>
      </c>
      <c r="J270" s="3">
        <v>49465818.909999996</v>
      </c>
      <c r="K270" s="3">
        <v>10737.69</v>
      </c>
      <c r="L270" s="3">
        <v>0</v>
      </c>
      <c r="M270" t="s">
        <v>23</v>
      </c>
      <c r="N270" t="s">
        <v>23</v>
      </c>
      <c r="O270" s="4">
        <v>0</v>
      </c>
      <c r="P270" s="4">
        <v>1</v>
      </c>
      <c r="Q270" t="s">
        <v>23</v>
      </c>
      <c r="R270" s="4">
        <v>0</v>
      </c>
      <c r="S270" s="3">
        <v>0</v>
      </c>
      <c r="T270" s="4">
        <v>0</v>
      </c>
    </row>
    <row r="271" spans="1:20" x14ac:dyDescent="0.4">
      <c r="A271" s="2">
        <v>45877</v>
      </c>
      <c r="B271" t="s">
        <v>31</v>
      </c>
      <c r="C271" t="s">
        <v>22</v>
      </c>
      <c r="D271" s="3" t="str">
        <f t="shared" si="20"/>
        <v>PASS</v>
      </c>
      <c r="E271" s="3" t="str">
        <f t="shared" si="21"/>
        <v>PASS</v>
      </c>
      <c r="F271" s="3" t="str">
        <f t="shared" si="22"/>
        <v>PASS</v>
      </c>
      <c r="G271" s="3" t="str">
        <f t="shared" si="23"/>
        <v>PASS</v>
      </c>
      <c r="H271" s="3">
        <v>40572721.869999997</v>
      </c>
      <c r="I271" s="4">
        <v>0</v>
      </c>
      <c r="J271" s="3">
        <v>34862417.219999999</v>
      </c>
      <c r="K271" s="3">
        <v>7553.94</v>
      </c>
      <c r="L271" s="3">
        <v>0</v>
      </c>
      <c r="M271" t="s">
        <v>23</v>
      </c>
      <c r="N271" t="s">
        <v>23</v>
      </c>
      <c r="O271" s="4">
        <v>0</v>
      </c>
      <c r="P271" s="4">
        <v>1</v>
      </c>
      <c r="Q271" t="s">
        <v>23</v>
      </c>
      <c r="R271" s="4">
        <v>0</v>
      </c>
      <c r="S271" s="3">
        <v>0</v>
      </c>
      <c r="T271" s="4">
        <v>0</v>
      </c>
    </row>
    <row r="272" spans="1:20" x14ac:dyDescent="0.4">
      <c r="A272" s="2">
        <v>45877</v>
      </c>
      <c r="B272" t="s">
        <v>32</v>
      </c>
      <c r="C272" t="s">
        <v>22</v>
      </c>
      <c r="D272" s="3" t="str">
        <f t="shared" si="20"/>
        <v>PASS</v>
      </c>
      <c r="E272" s="3" t="str">
        <f t="shared" si="21"/>
        <v>PASS</v>
      </c>
      <c r="F272" s="3" t="str">
        <f t="shared" si="22"/>
        <v>PASS</v>
      </c>
      <c r="G272" s="3" t="str">
        <f t="shared" si="23"/>
        <v>PASS</v>
      </c>
      <c r="H272" s="3">
        <v>79086344.680000007</v>
      </c>
      <c r="I272" s="4">
        <v>0</v>
      </c>
      <c r="J272" s="3">
        <v>70301347.239999995</v>
      </c>
      <c r="K272" s="3">
        <v>15220.68</v>
      </c>
      <c r="L272" s="3">
        <v>0</v>
      </c>
      <c r="M272" t="s">
        <v>23</v>
      </c>
      <c r="N272" t="s">
        <v>23</v>
      </c>
      <c r="O272" s="4">
        <v>0</v>
      </c>
      <c r="P272" s="4">
        <v>1</v>
      </c>
      <c r="Q272" t="s">
        <v>23</v>
      </c>
      <c r="R272" s="4">
        <v>0</v>
      </c>
      <c r="S272" s="3">
        <v>0</v>
      </c>
      <c r="T272" s="4">
        <v>0</v>
      </c>
    </row>
    <row r="273" spans="1:20" x14ac:dyDescent="0.4">
      <c r="A273" s="2">
        <v>45877</v>
      </c>
      <c r="B273" t="s">
        <v>33</v>
      </c>
      <c r="C273" t="s">
        <v>22</v>
      </c>
      <c r="D273" s="3" t="str">
        <f t="shared" si="20"/>
        <v>PASS</v>
      </c>
      <c r="E273" s="3" t="str">
        <f t="shared" si="21"/>
        <v>PASS</v>
      </c>
      <c r="F273" s="3" t="str">
        <f t="shared" si="22"/>
        <v>PASS</v>
      </c>
      <c r="G273" s="3" t="str">
        <f t="shared" si="23"/>
        <v>PASS</v>
      </c>
      <c r="H273" s="3">
        <v>166556962.78999999</v>
      </c>
      <c r="I273" s="4">
        <v>0</v>
      </c>
      <c r="J273" s="3">
        <v>142303878.63</v>
      </c>
      <c r="K273" s="3">
        <v>30853.71</v>
      </c>
      <c r="L273" s="3">
        <v>0</v>
      </c>
      <c r="M273" t="s">
        <v>23</v>
      </c>
      <c r="N273" t="s">
        <v>23</v>
      </c>
      <c r="O273" s="4">
        <v>0</v>
      </c>
      <c r="P273" s="4">
        <v>1</v>
      </c>
      <c r="Q273" t="s">
        <v>23</v>
      </c>
      <c r="R273" s="4">
        <v>0</v>
      </c>
      <c r="S273" s="3">
        <v>0</v>
      </c>
      <c r="T273" s="4">
        <v>0</v>
      </c>
    </row>
    <row r="274" spans="1:20" x14ac:dyDescent="0.4">
      <c r="A274" s="2">
        <v>45880</v>
      </c>
      <c r="B274" t="s">
        <v>21</v>
      </c>
      <c r="C274" t="s">
        <v>22</v>
      </c>
      <c r="D274" s="3" t="str">
        <f t="shared" si="20"/>
        <v>PASS</v>
      </c>
      <c r="E274" s="3" t="str">
        <f t="shared" si="21"/>
        <v>PASS</v>
      </c>
      <c r="F274" s="3" t="str">
        <f t="shared" si="22"/>
        <v>PASS</v>
      </c>
      <c r="G274" s="3" t="str">
        <f t="shared" si="23"/>
        <v>FAIL</v>
      </c>
      <c r="H274" s="3">
        <v>24520444.370000001</v>
      </c>
      <c r="I274" s="4">
        <v>0</v>
      </c>
      <c r="J274" s="3">
        <v>20554150.579999998</v>
      </c>
      <c r="K274" s="3">
        <v>1496.18</v>
      </c>
      <c r="L274" s="3">
        <v>0</v>
      </c>
      <c r="M274" t="s">
        <v>23</v>
      </c>
      <c r="N274" t="s">
        <v>41</v>
      </c>
      <c r="O274" s="4">
        <v>0.29821574460801681</v>
      </c>
      <c r="P274" s="4">
        <v>0.7017842553919833</v>
      </c>
      <c r="Q274" t="s">
        <v>284</v>
      </c>
      <c r="R274" s="4">
        <v>3.7509617713767438E-6</v>
      </c>
      <c r="S274" s="3">
        <v>7744911.6600000001</v>
      </c>
      <c r="T274" s="4">
        <v>0.31585527338467229</v>
      </c>
    </row>
    <row r="275" spans="1:20" x14ac:dyDescent="0.4">
      <c r="A275" s="2">
        <v>45880</v>
      </c>
      <c r="B275" t="s">
        <v>24</v>
      </c>
      <c r="C275" t="s">
        <v>22</v>
      </c>
      <c r="D275" s="3" t="str">
        <f t="shared" si="20"/>
        <v>PASS</v>
      </c>
      <c r="E275" s="3" t="str">
        <f t="shared" si="21"/>
        <v>PASS</v>
      </c>
      <c r="F275" s="3" t="str">
        <f t="shared" si="22"/>
        <v>PASS</v>
      </c>
      <c r="G275" s="3" t="str">
        <f t="shared" si="23"/>
        <v>FAIL</v>
      </c>
      <c r="H275" s="3">
        <v>136588281.86000001</v>
      </c>
      <c r="I275" s="4">
        <v>0</v>
      </c>
      <c r="J275" s="3">
        <v>119370978</v>
      </c>
      <c r="K275" s="3">
        <v>8687.5499999999993</v>
      </c>
      <c r="L275" s="3">
        <v>0</v>
      </c>
      <c r="M275" t="s">
        <v>23</v>
      </c>
      <c r="N275" t="s">
        <v>39</v>
      </c>
      <c r="O275" s="4">
        <v>0.265533644031969</v>
      </c>
      <c r="P275" s="4">
        <v>0.734466355968031</v>
      </c>
      <c r="Q275" t="s">
        <v>285</v>
      </c>
      <c r="R275" s="4">
        <v>2.2514314960313711E-5</v>
      </c>
      <c r="S275" s="3">
        <v>35797618.829999998</v>
      </c>
      <c r="T275" s="4">
        <v>0.26208411397027292</v>
      </c>
    </row>
    <row r="276" spans="1:20" x14ac:dyDescent="0.4">
      <c r="A276" s="2">
        <v>45880</v>
      </c>
      <c r="B276" t="s">
        <v>25</v>
      </c>
      <c r="C276" t="s">
        <v>22</v>
      </c>
      <c r="D276" s="3" t="str">
        <f t="shared" si="20"/>
        <v>PASS</v>
      </c>
      <c r="E276" s="3" t="str">
        <f t="shared" si="21"/>
        <v>PASS</v>
      </c>
      <c r="F276" s="3" t="str">
        <f t="shared" si="22"/>
        <v>PASS</v>
      </c>
      <c r="G276" s="3" t="str">
        <f t="shared" si="23"/>
        <v>FAIL</v>
      </c>
      <c r="H276" s="3">
        <v>101970644.69</v>
      </c>
      <c r="I276" s="4">
        <v>0</v>
      </c>
      <c r="J276" s="3">
        <v>91925036.409999996</v>
      </c>
      <c r="K276" s="3">
        <v>6687.33</v>
      </c>
      <c r="L276" s="3">
        <v>0</v>
      </c>
      <c r="M276" t="s">
        <v>23</v>
      </c>
      <c r="N276" t="s">
        <v>39</v>
      </c>
      <c r="O276" s="4">
        <v>0.25672749146099583</v>
      </c>
      <c r="P276" s="4">
        <v>0.74327250853900417</v>
      </c>
      <c r="Q276" t="s">
        <v>286</v>
      </c>
      <c r="R276" s="4">
        <v>1.6761843405463159E-5</v>
      </c>
      <c r="S276" s="3">
        <v>18924350</v>
      </c>
      <c r="T276" s="4">
        <v>0.1855862543336049</v>
      </c>
    </row>
    <row r="277" spans="1:20" x14ac:dyDescent="0.4">
      <c r="A277" s="2">
        <v>45880</v>
      </c>
      <c r="B277" t="s">
        <v>26</v>
      </c>
      <c r="C277" t="s">
        <v>22</v>
      </c>
      <c r="D277" s="3" t="str">
        <f t="shared" si="20"/>
        <v>PASS</v>
      </c>
      <c r="E277" s="3" t="str">
        <f t="shared" si="21"/>
        <v>PASS</v>
      </c>
      <c r="F277" s="3" t="str">
        <f t="shared" si="22"/>
        <v>PASS</v>
      </c>
      <c r="G277" s="3" t="str">
        <f t="shared" si="23"/>
        <v>FAIL</v>
      </c>
      <c r="H277" s="3">
        <v>23661572.07</v>
      </c>
      <c r="I277" s="4">
        <v>0</v>
      </c>
      <c r="J277" s="3">
        <v>21374482.460000001</v>
      </c>
      <c r="K277" s="3">
        <v>1555.91</v>
      </c>
      <c r="L277" s="3">
        <v>0</v>
      </c>
      <c r="M277" t="s">
        <v>23</v>
      </c>
      <c r="N277" t="s">
        <v>39</v>
      </c>
      <c r="O277" s="4">
        <v>0.25873839660677328</v>
      </c>
      <c r="P277" s="4">
        <v>0.74126160339322666</v>
      </c>
      <c r="Q277" t="s">
        <v>287</v>
      </c>
      <c r="R277" s="4">
        <v>3.9282566614816809E-6</v>
      </c>
      <c r="S277" s="3">
        <v>4254729.51</v>
      </c>
      <c r="T277" s="4">
        <v>0.17981601126978711</v>
      </c>
    </row>
    <row r="278" spans="1:20" x14ac:dyDescent="0.4">
      <c r="A278" s="2">
        <v>45880</v>
      </c>
      <c r="B278" t="s">
        <v>27</v>
      </c>
      <c r="C278" t="s">
        <v>22</v>
      </c>
      <c r="D278" s="3" t="str">
        <f t="shared" si="20"/>
        <v>PASS</v>
      </c>
      <c r="E278" s="3" t="str">
        <f t="shared" si="21"/>
        <v>PASS</v>
      </c>
      <c r="F278" s="3" t="str">
        <f t="shared" si="22"/>
        <v>PASS</v>
      </c>
      <c r="G278" s="3" t="str">
        <f t="shared" si="23"/>
        <v>FAIL</v>
      </c>
      <c r="H278" s="3">
        <v>43377784.609999999</v>
      </c>
      <c r="I278" s="4">
        <v>0</v>
      </c>
      <c r="J278" s="3">
        <v>36625213.210000001</v>
      </c>
      <c r="K278" s="3">
        <v>2666.72</v>
      </c>
      <c r="L278" s="3">
        <v>0</v>
      </c>
      <c r="M278" t="s">
        <v>23</v>
      </c>
      <c r="N278" t="s">
        <v>39</v>
      </c>
      <c r="O278" s="4">
        <v>0.26464740244443202</v>
      </c>
      <c r="P278" s="4">
        <v>0.73535259755556792</v>
      </c>
      <c r="Q278" t="s">
        <v>288</v>
      </c>
      <c r="R278" s="4">
        <v>6.880323385879551E-6</v>
      </c>
      <c r="S278" s="3">
        <v>14843162.74</v>
      </c>
      <c r="T278" s="4">
        <v>0.34218351336868802</v>
      </c>
    </row>
    <row r="279" spans="1:20" x14ac:dyDescent="0.4">
      <c r="A279" s="2">
        <v>45880</v>
      </c>
      <c r="B279" t="s">
        <v>28</v>
      </c>
      <c r="C279" t="s">
        <v>22</v>
      </c>
      <c r="D279" s="3" t="str">
        <f t="shared" si="20"/>
        <v>PASS</v>
      </c>
      <c r="E279" s="3" t="str">
        <f t="shared" si="21"/>
        <v>PASS</v>
      </c>
      <c r="F279" s="3" t="str">
        <f t="shared" si="22"/>
        <v>PASS</v>
      </c>
      <c r="G279" s="3" t="str">
        <f t="shared" si="23"/>
        <v>FAIL</v>
      </c>
      <c r="H279" s="3">
        <v>15403317.48</v>
      </c>
      <c r="I279" s="4">
        <v>0</v>
      </c>
      <c r="J279" s="3">
        <v>13569668.449999999</v>
      </c>
      <c r="K279" s="3">
        <v>988.35</v>
      </c>
      <c r="L279" s="3">
        <v>0</v>
      </c>
      <c r="M279" t="s">
        <v>23</v>
      </c>
      <c r="N279" t="s">
        <v>39</v>
      </c>
      <c r="O279" s="4">
        <v>0.25878068376829061</v>
      </c>
      <c r="P279" s="4">
        <v>0.74121931623170934</v>
      </c>
      <c r="Q279" t="s">
        <v>289</v>
      </c>
      <c r="R279" s="4">
        <v>2.4928088765356841E-6</v>
      </c>
      <c r="S279" s="3">
        <v>4294467.0299999993</v>
      </c>
      <c r="T279" s="4">
        <v>0.27880143583199057</v>
      </c>
    </row>
    <row r="280" spans="1:20" x14ac:dyDescent="0.4">
      <c r="A280" s="2">
        <v>45880</v>
      </c>
      <c r="B280" t="s">
        <v>29</v>
      </c>
      <c r="C280" t="s">
        <v>22</v>
      </c>
      <c r="D280" s="3" t="str">
        <f t="shared" si="20"/>
        <v>PASS</v>
      </c>
      <c r="E280" s="3" t="str">
        <f t="shared" si="21"/>
        <v>PASS</v>
      </c>
      <c r="F280" s="3" t="str">
        <f t="shared" si="22"/>
        <v>PASS</v>
      </c>
      <c r="G280" s="3" t="str">
        <f t="shared" si="23"/>
        <v>FAIL</v>
      </c>
      <c r="H280" s="3">
        <v>34664573.579999998</v>
      </c>
      <c r="I280" s="4">
        <v>0</v>
      </c>
      <c r="J280" s="3">
        <v>32181176.239999998</v>
      </c>
      <c r="K280" s="3">
        <v>2342.0300000000002</v>
      </c>
      <c r="L280" s="3">
        <v>0</v>
      </c>
      <c r="M280" t="s">
        <v>23</v>
      </c>
      <c r="N280" t="s">
        <v>39</v>
      </c>
      <c r="O280" s="4">
        <v>0.26127318520909348</v>
      </c>
      <c r="P280" s="4">
        <v>0.73872681479090652</v>
      </c>
      <c r="Q280" t="s">
        <v>290</v>
      </c>
      <c r="R280" s="4">
        <v>5.970352022208428E-6</v>
      </c>
      <c r="S280" s="3">
        <v>4784294.2399999993</v>
      </c>
      <c r="T280" s="4">
        <v>0.1380168208029057</v>
      </c>
    </row>
    <row r="281" spans="1:20" x14ac:dyDescent="0.4">
      <c r="A281" s="2">
        <v>45880</v>
      </c>
      <c r="B281" t="s">
        <v>30</v>
      </c>
      <c r="C281" t="s">
        <v>22</v>
      </c>
      <c r="D281" s="3" t="str">
        <f t="shared" si="20"/>
        <v>PASS</v>
      </c>
      <c r="E281" s="3" t="str">
        <f t="shared" si="21"/>
        <v>PASS</v>
      </c>
      <c r="F281" s="3" t="str">
        <f t="shared" si="22"/>
        <v>PASS</v>
      </c>
      <c r="G281" s="3" t="str">
        <f t="shared" si="23"/>
        <v>FAIL</v>
      </c>
      <c r="H281" s="3">
        <v>54704624.990000002</v>
      </c>
      <c r="I281" s="4">
        <v>0</v>
      </c>
      <c r="J281" s="3">
        <v>49469453.25</v>
      </c>
      <c r="K281" s="3">
        <v>3592.03</v>
      </c>
      <c r="L281" s="3">
        <v>0</v>
      </c>
      <c r="M281" t="s">
        <v>23</v>
      </c>
      <c r="N281" t="s">
        <v>291</v>
      </c>
      <c r="O281" s="4">
        <v>0.25565703235258619</v>
      </c>
      <c r="P281" s="4">
        <v>0.74434296764741381</v>
      </c>
      <c r="Q281" t="s">
        <v>292</v>
      </c>
      <c r="R281" s="4">
        <v>7.6829042023753881E-5</v>
      </c>
      <c r="S281" s="3">
        <v>10259190.279999999</v>
      </c>
      <c r="T281" s="4">
        <v>0.18753789614452851</v>
      </c>
    </row>
    <row r="282" spans="1:20" x14ac:dyDescent="0.4">
      <c r="A282" s="2">
        <v>45880</v>
      </c>
      <c r="B282" t="s">
        <v>31</v>
      </c>
      <c r="C282" t="s">
        <v>22</v>
      </c>
      <c r="D282" s="3" t="str">
        <f t="shared" si="20"/>
        <v>PASS</v>
      </c>
      <c r="E282" s="3" t="str">
        <f t="shared" si="21"/>
        <v>PASS</v>
      </c>
      <c r="F282" s="3" t="str">
        <f t="shared" si="22"/>
        <v>PASS</v>
      </c>
      <c r="G282" s="3" t="str">
        <f t="shared" si="23"/>
        <v>FAIL</v>
      </c>
      <c r="H282" s="3">
        <v>40404877.539999999</v>
      </c>
      <c r="I282" s="4">
        <v>0</v>
      </c>
      <c r="J282" s="3">
        <v>34774426.939999998</v>
      </c>
      <c r="K282" s="3">
        <v>2531.79</v>
      </c>
      <c r="L282" s="3">
        <v>0</v>
      </c>
      <c r="M282" t="s">
        <v>23</v>
      </c>
      <c r="N282" t="s">
        <v>39</v>
      </c>
      <c r="O282" s="4">
        <v>0.25640617673971661</v>
      </c>
      <c r="P282" s="4">
        <v>0.74359382326028345</v>
      </c>
      <c r="Q282" t="s">
        <v>293</v>
      </c>
      <c r="R282" s="4">
        <v>6.3292139684449271E-6</v>
      </c>
      <c r="S282" s="3">
        <v>11094385.23</v>
      </c>
      <c r="T282" s="4">
        <v>0.27458034538074733</v>
      </c>
    </row>
    <row r="283" spans="1:20" x14ac:dyDescent="0.4">
      <c r="A283" s="2">
        <v>45880</v>
      </c>
      <c r="B283" t="s">
        <v>32</v>
      </c>
      <c r="C283" t="s">
        <v>22</v>
      </c>
      <c r="D283" s="3" t="str">
        <f t="shared" si="20"/>
        <v>PASS</v>
      </c>
      <c r="E283" s="3" t="str">
        <f t="shared" si="21"/>
        <v>PASS</v>
      </c>
      <c r="F283" s="3" t="str">
        <f t="shared" si="22"/>
        <v>PASS</v>
      </c>
      <c r="G283" s="3" t="str">
        <f t="shared" si="23"/>
        <v>FAIL</v>
      </c>
      <c r="H283" s="3">
        <v>78749667.900000006</v>
      </c>
      <c r="I283" s="4">
        <v>0</v>
      </c>
      <c r="J283" s="3">
        <v>70127062.560000002</v>
      </c>
      <c r="K283" s="3">
        <v>5104.07</v>
      </c>
      <c r="L283" s="3">
        <v>0</v>
      </c>
      <c r="M283" t="s">
        <v>23</v>
      </c>
      <c r="N283" t="s">
        <v>39</v>
      </c>
      <c r="O283" s="4">
        <v>0.26008265930709762</v>
      </c>
      <c r="P283" s="4">
        <v>0.73991734069290249</v>
      </c>
      <c r="Q283" t="s">
        <v>294</v>
      </c>
      <c r="R283" s="4">
        <v>1.2946799143687041E-5</v>
      </c>
      <c r="S283" s="3">
        <v>17940369.420000002</v>
      </c>
      <c r="T283" s="4">
        <v>0.22781517558628331</v>
      </c>
    </row>
    <row r="284" spans="1:20" x14ac:dyDescent="0.4">
      <c r="A284" s="2">
        <v>45880</v>
      </c>
      <c r="B284" t="s">
        <v>33</v>
      </c>
      <c r="C284" t="s">
        <v>22</v>
      </c>
      <c r="D284" s="3" t="str">
        <f t="shared" si="20"/>
        <v>PASS</v>
      </c>
      <c r="E284" s="3" t="str">
        <f t="shared" si="21"/>
        <v>PASS</v>
      </c>
      <c r="F284" s="3" t="str">
        <f t="shared" si="22"/>
        <v>PASS</v>
      </c>
      <c r="G284" s="3" t="str">
        <f t="shared" si="23"/>
        <v>FAIL</v>
      </c>
      <c r="H284" s="3">
        <v>166208714.66999999</v>
      </c>
      <c r="I284" s="4">
        <v>0</v>
      </c>
      <c r="J284" s="3">
        <v>142035671.58000001</v>
      </c>
      <c r="K284" s="3">
        <v>10332.200000000001</v>
      </c>
      <c r="L284" s="3">
        <v>0</v>
      </c>
      <c r="M284" t="s">
        <v>23</v>
      </c>
      <c r="N284" t="s">
        <v>39</v>
      </c>
      <c r="O284" s="4">
        <v>0.25718324624828731</v>
      </c>
      <c r="P284" s="4">
        <v>0.74281675375171274</v>
      </c>
      <c r="Q284" t="s">
        <v>295</v>
      </c>
      <c r="R284" s="4">
        <v>2.594486427969358E-5</v>
      </c>
      <c r="S284" s="3">
        <v>46363341.180000007</v>
      </c>
      <c r="T284" s="4">
        <v>0.2789465117521206</v>
      </c>
    </row>
    <row r="285" spans="1:20" x14ac:dyDescent="0.4">
      <c r="A285" s="2">
        <v>45881</v>
      </c>
      <c r="B285" t="s">
        <v>21</v>
      </c>
      <c r="C285" t="s">
        <v>22</v>
      </c>
      <c r="D285" s="3" t="str">
        <f t="shared" si="20"/>
        <v>PASS</v>
      </c>
      <c r="E285" s="3" t="str">
        <f t="shared" si="21"/>
        <v>PASS</v>
      </c>
      <c r="F285" s="3" t="str">
        <f t="shared" si="22"/>
        <v>PASS</v>
      </c>
      <c r="G285" s="3" t="str">
        <f t="shared" si="23"/>
        <v>FAIL</v>
      </c>
      <c r="H285" s="3">
        <v>24643522.77</v>
      </c>
      <c r="I285" s="4">
        <v>0</v>
      </c>
      <c r="J285" s="3">
        <v>20675736.690000001</v>
      </c>
      <c r="K285" s="3">
        <v>1492.84</v>
      </c>
      <c r="L285" s="3">
        <v>0</v>
      </c>
      <c r="M285" t="s">
        <v>23</v>
      </c>
      <c r="N285" t="s">
        <v>39</v>
      </c>
      <c r="O285" s="4">
        <v>0.25787084735794241</v>
      </c>
      <c r="P285" s="4">
        <v>0.74212915264205759</v>
      </c>
      <c r="Q285" t="s">
        <v>296</v>
      </c>
      <c r="R285" s="4">
        <v>3.7509617713767438E-6</v>
      </c>
      <c r="S285" s="3">
        <v>7759683.4100000001</v>
      </c>
      <c r="T285" s="4">
        <v>0.3148771984598856</v>
      </c>
    </row>
    <row r="286" spans="1:20" x14ac:dyDescent="0.4">
      <c r="A286" s="2">
        <v>45881</v>
      </c>
      <c r="B286" t="s">
        <v>24</v>
      </c>
      <c r="C286" t="s">
        <v>22</v>
      </c>
      <c r="D286" s="3" t="str">
        <f t="shared" si="20"/>
        <v>PASS</v>
      </c>
      <c r="E286" s="3" t="str">
        <f t="shared" si="21"/>
        <v>PASS</v>
      </c>
      <c r="F286" s="3" t="str">
        <f t="shared" si="22"/>
        <v>PASS</v>
      </c>
      <c r="G286" s="3" t="str">
        <f t="shared" si="23"/>
        <v>FAIL</v>
      </c>
      <c r="H286" s="3">
        <v>137423599.83000001</v>
      </c>
      <c r="I286" s="4">
        <v>0</v>
      </c>
      <c r="J286" s="3">
        <v>120197629.31</v>
      </c>
      <c r="K286" s="3">
        <v>8667.2099999999991</v>
      </c>
      <c r="L286" s="3">
        <v>0</v>
      </c>
      <c r="M286" t="s">
        <v>23</v>
      </c>
      <c r="N286" t="s">
        <v>39</v>
      </c>
      <c r="O286" s="4">
        <v>0.26602018104311981</v>
      </c>
      <c r="P286" s="4">
        <v>0.73397981895688025</v>
      </c>
      <c r="Q286" t="s">
        <v>297</v>
      </c>
      <c r="R286" s="4">
        <v>2.2514314960313711E-5</v>
      </c>
      <c r="S286" s="3">
        <v>36186616.919999987</v>
      </c>
      <c r="T286" s="4">
        <v>0.26332170722324749</v>
      </c>
    </row>
    <row r="287" spans="1:20" x14ac:dyDescent="0.4">
      <c r="A287" s="2">
        <v>45881</v>
      </c>
      <c r="B287" t="s">
        <v>25</v>
      </c>
      <c r="C287" t="s">
        <v>22</v>
      </c>
      <c r="D287" s="3" t="str">
        <f t="shared" si="20"/>
        <v>PASS</v>
      </c>
      <c r="E287" s="3" t="str">
        <f t="shared" si="21"/>
        <v>PASS</v>
      </c>
      <c r="F287" s="3" t="str">
        <f t="shared" si="22"/>
        <v>PASS</v>
      </c>
      <c r="G287" s="3" t="str">
        <f t="shared" si="23"/>
        <v>FAIL</v>
      </c>
      <c r="H287" s="3">
        <v>102487664.55</v>
      </c>
      <c r="I287" s="4">
        <v>0</v>
      </c>
      <c r="J287" s="3">
        <v>92435382.260000005</v>
      </c>
      <c r="K287" s="3">
        <v>6674.69</v>
      </c>
      <c r="L287" s="3">
        <v>0</v>
      </c>
      <c r="M287" t="s">
        <v>23</v>
      </c>
      <c r="N287" t="s">
        <v>39</v>
      </c>
      <c r="O287" s="4">
        <v>0.2575502282560691</v>
      </c>
      <c r="P287" s="4">
        <v>0.7424497717439309</v>
      </c>
      <c r="Q287" t="s">
        <v>298</v>
      </c>
      <c r="R287" s="4">
        <v>1.6761843405463159E-5</v>
      </c>
      <c r="S287" s="3">
        <v>18962192.620000001</v>
      </c>
      <c r="T287" s="4">
        <v>0.1850192674724189</v>
      </c>
    </row>
    <row r="288" spans="1:20" x14ac:dyDescent="0.4">
      <c r="A288" s="2">
        <v>45881</v>
      </c>
      <c r="B288" t="s">
        <v>26</v>
      </c>
      <c r="C288" t="s">
        <v>22</v>
      </c>
      <c r="D288" s="3" t="str">
        <f t="shared" si="20"/>
        <v>PASS</v>
      </c>
      <c r="E288" s="3" t="str">
        <f t="shared" si="21"/>
        <v>PASS</v>
      </c>
      <c r="F288" s="3" t="str">
        <f t="shared" si="22"/>
        <v>PASS</v>
      </c>
      <c r="G288" s="3" t="str">
        <f t="shared" si="23"/>
        <v>FAIL</v>
      </c>
      <c r="H288" s="3">
        <v>23794259.170000002</v>
      </c>
      <c r="I288" s="4">
        <v>0</v>
      </c>
      <c r="J288" s="3">
        <v>21505617.710000001</v>
      </c>
      <c r="K288" s="3">
        <v>1552.56</v>
      </c>
      <c r="L288" s="3">
        <v>0</v>
      </c>
      <c r="M288" t="s">
        <v>23</v>
      </c>
      <c r="N288" t="s">
        <v>39</v>
      </c>
      <c r="O288" s="4">
        <v>0.25941676055209673</v>
      </c>
      <c r="P288" s="4">
        <v>0.74058323944790327</v>
      </c>
      <c r="Q288" t="s">
        <v>299</v>
      </c>
      <c r="R288" s="4">
        <v>3.9282566614816809E-6</v>
      </c>
      <c r="S288" s="3">
        <v>4282128.709999999</v>
      </c>
      <c r="T288" s="4">
        <v>0.17996478391724599</v>
      </c>
    </row>
    <row r="289" spans="1:20" x14ac:dyDescent="0.4">
      <c r="A289" s="2">
        <v>45881</v>
      </c>
      <c r="B289" t="s">
        <v>27</v>
      </c>
      <c r="C289" t="s">
        <v>22</v>
      </c>
      <c r="D289" s="3" t="str">
        <f t="shared" si="20"/>
        <v>PASS</v>
      </c>
      <c r="E289" s="3" t="str">
        <f t="shared" si="21"/>
        <v>PASS</v>
      </c>
      <c r="F289" s="3" t="str">
        <f t="shared" si="22"/>
        <v>PASS</v>
      </c>
      <c r="G289" s="3" t="str">
        <f t="shared" si="23"/>
        <v>FAIL</v>
      </c>
      <c r="H289" s="3">
        <v>43642940.780000001</v>
      </c>
      <c r="I289" s="4">
        <v>0</v>
      </c>
      <c r="J289" s="3">
        <v>36887710.289999999</v>
      </c>
      <c r="K289" s="3">
        <v>2659.64</v>
      </c>
      <c r="L289" s="3">
        <v>0</v>
      </c>
      <c r="M289" t="s">
        <v>23</v>
      </c>
      <c r="N289" t="s">
        <v>39</v>
      </c>
      <c r="O289" s="4">
        <v>0.26507667928228029</v>
      </c>
      <c r="P289" s="4">
        <v>0.73492332071771971</v>
      </c>
      <c r="Q289" t="s">
        <v>300</v>
      </c>
      <c r="R289" s="4">
        <v>6.880323385879551E-6</v>
      </c>
      <c r="S289" s="3">
        <v>14970332.779999999</v>
      </c>
      <c r="T289" s="4">
        <v>0.34301842434184382</v>
      </c>
    </row>
    <row r="290" spans="1:20" x14ac:dyDescent="0.4">
      <c r="A290" s="2">
        <v>45881</v>
      </c>
      <c r="B290" t="s">
        <v>28</v>
      </c>
      <c r="C290" t="s">
        <v>22</v>
      </c>
      <c r="D290" s="3" t="str">
        <f t="shared" si="20"/>
        <v>PASS</v>
      </c>
      <c r="E290" s="3" t="str">
        <f t="shared" si="21"/>
        <v>PASS</v>
      </c>
      <c r="F290" s="3" t="str">
        <f t="shared" si="22"/>
        <v>PASS</v>
      </c>
      <c r="G290" s="3" t="str">
        <f t="shared" si="23"/>
        <v>FAIL</v>
      </c>
      <c r="H290" s="3">
        <v>15492584.9</v>
      </c>
      <c r="I290" s="4">
        <v>0</v>
      </c>
      <c r="J290" s="3">
        <v>13657950.67</v>
      </c>
      <c r="K290" s="3">
        <v>985.91</v>
      </c>
      <c r="L290" s="3">
        <v>0</v>
      </c>
      <c r="M290" t="s">
        <v>23</v>
      </c>
      <c r="N290" t="s">
        <v>39</v>
      </c>
      <c r="O290" s="4">
        <v>0.25936573103759791</v>
      </c>
      <c r="P290" s="4">
        <v>0.74063426896240214</v>
      </c>
      <c r="Q290" t="s">
        <v>301</v>
      </c>
      <c r="R290" s="4">
        <v>2.4928088765356841E-6</v>
      </c>
      <c r="S290" s="3">
        <v>4325795.6500000004</v>
      </c>
      <c r="T290" s="4">
        <v>0.27921716601340041</v>
      </c>
    </row>
    <row r="291" spans="1:20" x14ac:dyDescent="0.4">
      <c r="A291" s="2">
        <v>45881</v>
      </c>
      <c r="B291" t="s">
        <v>29</v>
      </c>
      <c r="C291" t="s">
        <v>22</v>
      </c>
      <c r="D291" s="3" t="str">
        <f t="shared" si="20"/>
        <v>PASS</v>
      </c>
      <c r="E291" s="3" t="str">
        <f t="shared" si="21"/>
        <v>PASS</v>
      </c>
      <c r="F291" s="3" t="str">
        <f t="shared" si="22"/>
        <v>PASS</v>
      </c>
      <c r="G291" s="3" t="str">
        <f t="shared" si="23"/>
        <v>FAIL</v>
      </c>
      <c r="H291" s="3">
        <v>34895278.43</v>
      </c>
      <c r="I291" s="4">
        <v>0</v>
      </c>
      <c r="J291" s="3">
        <v>32409544.649999999</v>
      </c>
      <c r="K291" s="3">
        <v>2336.44</v>
      </c>
      <c r="L291" s="3">
        <v>0</v>
      </c>
      <c r="M291" t="s">
        <v>23</v>
      </c>
      <c r="N291" t="s">
        <v>39</v>
      </c>
      <c r="O291" s="4">
        <v>0.2617117291094061</v>
      </c>
      <c r="P291" s="4">
        <v>0.7382882708905939</v>
      </c>
      <c r="Q291" t="s">
        <v>302</v>
      </c>
      <c r="R291" s="4">
        <v>5.970352022208428E-6</v>
      </c>
      <c r="S291" s="3">
        <v>4822943.5</v>
      </c>
      <c r="T291" s="4">
        <v>0.13821192198465571</v>
      </c>
    </row>
    <row r="292" spans="1:20" x14ac:dyDescent="0.4">
      <c r="A292" s="2">
        <v>45881</v>
      </c>
      <c r="B292" t="s">
        <v>30</v>
      </c>
      <c r="C292" t="s">
        <v>22</v>
      </c>
      <c r="D292" s="3" t="str">
        <f t="shared" si="20"/>
        <v>PASS</v>
      </c>
      <c r="E292" s="3" t="str">
        <f t="shared" si="21"/>
        <v>PASS</v>
      </c>
      <c r="F292" s="3" t="str">
        <f t="shared" si="22"/>
        <v>PASS</v>
      </c>
      <c r="G292" s="3" t="str">
        <f t="shared" si="23"/>
        <v>FAIL</v>
      </c>
      <c r="H292" s="3">
        <v>55130368.969999999</v>
      </c>
      <c r="I292" s="4">
        <v>0</v>
      </c>
      <c r="J292" s="3">
        <v>49891605.609999999</v>
      </c>
      <c r="K292" s="3">
        <v>3592.3</v>
      </c>
      <c r="L292" s="3">
        <v>0</v>
      </c>
      <c r="M292" t="s">
        <v>23</v>
      </c>
      <c r="N292" t="s">
        <v>303</v>
      </c>
      <c r="O292" s="4">
        <v>0.25851362954362128</v>
      </c>
      <c r="P292" s="4">
        <v>0.74148637045637866</v>
      </c>
      <c r="Q292" t="s">
        <v>304</v>
      </c>
      <c r="R292" s="4">
        <v>7.6829042023753881E-5</v>
      </c>
      <c r="S292" s="3">
        <v>10228716.07</v>
      </c>
      <c r="T292" s="4">
        <v>0.18553686944424599</v>
      </c>
    </row>
    <row r="293" spans="1:20" x14ac:dyDescent="0.4">
      <c r="A293" s="2">
        <v>45881</v>
      </c>
      <c r="B293" t="s">
        <v>31</v>
      </c>
      <c r="C293" t="s">
        <v>22</v>
      </c>
      <c r="D293" s="3" t="str">
        <f t="shared" si="20"/>
        <v>PASS</v>
      </c>
      <c r="E293" s="3" t="str">
        <f t="shared" si="21"/>
        <v>PASS</v>
      </c>
      <c r="F293" s="3" t="str">
        <f t="shared" si="22"/>
        <v>PASS</v>
      </c>
      <c r="G293" s="3" t="str">
        <f t="shared" si="23"/>
        <v>FAIL</v>
      </c>
      <c r="H293" s="3">
        <v>40621849.460000001</v>
      </c>
      <c r="I293" s="4">
        <v>0</v>
      </c>
      <c r="J293" s="3">
        <v>34988874.140000001</v>
      </c>
      <c r="K293" s="3">
        <v>2525.4</v>
      </c>
      <c r="L293" s="3">
        <v>0</v>
      </c>
      <c r="M293" t="s">
        <v>23</v>
      </c>
      <c r="N293" t="s">
        <v>39</v>
      </c>
      <c r="O293" s="4">
        <v>0.25707738505700878</v>
      </c>
      <c r="P293" s="4">
        <v>0.74292261494299117</v>
      </c>
      <c r="Q293" t="s">
        <v>305</v>
      </c>
      <c r="R293" s="4">
        <v>6.3292139684449271E-6</v>
      </c>
      <c r="S293" s="3">
        <v>11141142.24</v>
      </c>
      <c r="T293" s="4">
        <v>0.27426477100631741</v>
      </c>
    </row>
    <row r="294" spans="1:20" x14ac:dyDescent="0.4">
      <c r="A294" s="2">
        <v>45881</v>
      </c>
      <c r="B294" t="s">
        <v>32</v>
      </c>
      <c r="C294" t="s">
        <v>22</v>
      </c>
      <c r="D294" s="3" t="str">
        <f t="shared" si="20"/>
        <v>PASS</v>
      </c>
      <c r="E294" s="3" t="str">
        <f t="shared" si="21"/>
        <v>PASS</v>
      </c>
      <c r="F294" s="3" t="str">
        <f t="shared" si="22"/>
        <v>PASS</v>
      </c>
      <c r="G294" s="3" t="str">
        <f t="shared" si="23"/>
        <v>FAIL</v>
      </c>
      <c r="H294" s="3">
        <v>79242609.920000002</v>
      </c>
      <c r="I294" s="4">
        <v>0</v>
      </c>
      <c r="J294" s="3">
        <v>70614913.159999996</v>
      </c>
      <c r="K294" s="3">
        <v>5091.42</v>
      </c>
      <c r="L294" s="3">
        <v>0</v>
      </c>
      <c r="M294" t="s">
        <v>23</v>
      </c>
      <c r="N294" t="s">
        <v>39</v>
      </c>
      <c r="O294" s="4">
        <v>0.26055938719786431</v>
      </c>
      <c r="P294" s="4">
        <v>0.7394406128021358</v>
      </c>
      <c r="Q294" t="s">
        <v>306</v>
      </c>
      <c r="R294" s="4">
        <v>1.2946799143687041E-5</v>
      </c>
      <c r="S294" s="3">
        <v>18091356.239999998</v>
      </c>
      <c r="T294" s="4">
        <v>0.2283033870068675</v>
      </c>
    </row>
    <row r="295" spans="1:20" x14ac:dyDescent="0.4">
      <c r="A295" s="2">
        <v>45881</v>
      </c>
      <c r="B295" t="s">
        <v>33</v>
      </c>
      <c r="C295" t="s">
        <v>22</v>
      </c>
      <c r="D295" s="3" t="str">
        <f t="shared" si="20"/>
        <v>PASS</v>
      </c>
      <c r="E295" s="3" t="str">
        <f t="shared" si="21"/>
        <v>PASS</v>
      </c>
      <c r="F295" s="3" t="str">
        <f t="shared" si="22"/>
        <v>PASS</v>
      </c>
      <c r="G295" s="3" t="str">
        <f t="shared" si="23"/>
        <v>FAIL</v>
      </c>
      <c r="H295" s="3">
        <v>166983604.78</v>
      </c>
      <c r="I295" s="4">
        <v>0</v>
      </c>
      <c r="J295" s="3">
        <v>142800249.50999999</v>
      </c>
      <c r="K295" s="3">
        <v>10312.73</v>
      </c>
      <c r="L295" s="3">
        <v>0</v>
      </c>
      <c r="M295" t="s">
        <v>23</v>
      </c>
      <c r="N295" t="s">
        <v>39</v>
      </c>
      <c r="O295" s="4">
        <v>0.25804936837606512</v>
      </c>
      <c r="P295" s="4">
        <v>0.74195063162393482</v>
      </c>
      <c r="Q295" t="s">
        <v>307</v>
      </c>
      <c r="R295" s="4">
        <v>2.594486427969358E-5</v>
      </c>
      <c r="S295" s="3">
        <v>46653687.859999999</v>
      </c>
      <c r="T295" s="4">
        <v>0.27939082954560712</v>
      </c>
    </row>
    <row r="296" spans="1:20" x14ac:dyDescent="0.4">
      <c r="A296" s="2">
        <v>45882</v>
      </c>
      <c r="B296" t="s">
        <v>21</v>
      </c>
      <c r="C296" t="s">
        <v>22</v>
      </c>
      <c r="D296" s="3" t="str">
        <f t="shared" si="20"/>
        <v>PASS</v>
      </c>
      <c r="E296" s="3" t="str">
        <f t="shared" si="21"/>
        <v>PASS</v>
      </c>
      <c r="F296" s="3" t="str">
        <f t="shared" si="22"/>
        <v>PASS</v>
      </c>
      <c r="G296" s="3" t="str">
        <f t="shared" si="23"/>
        <v>FAIL</v>
      </c>
      <c r="H296" s="3">
        <v>24667269.309999999</v>
      </c>
      <c r="I296" s="4">
        <v>0</v>
      </c>
      <c r="J296" s="3">
        <v>20697982.109999999</v>
      </c>
      <c r="K296" s="3">
        <v>1501.67</v>
      </c>
      <c r="L296" s="3">
        <v>0</v>
      </c>
      <c r="M296" t="s">
        <v>23</v>
      </c>
      <c r="N296" t="s">
        <v>39</v>
      </c>
      <c r="O296" s="4">
        <v>0.25741476496038962</v>
      </c>
      <c r="P296" s="4">
        <v>0.74258523503961038</v>
      </c>
      <c r="Q296" t="s">
        <v>308</v>
      </c>
      <c r="R296" s="4">
        <v>3.7509617713767438E-6</v>
      </c>
      <c r="S296" s="3">
        <v>7790817.5100000007</v>
      </c>
      <c r="T296" s="4">
        <v>0.31583623675935779</v>
      </c>
    </row>
    <row r="297" spans="1:20" x14ac:dyDescent="0.4">
      <c r="A297" s="2">
        <v>45882</v>
      </c>
      <c r="B297" t="s">
        <v>24</v>
      </c>
      <c r="C297" t="s">
        <v>22</v>
      </c>
      <c r="D297" s="3" t="str">
        <f t="shared" si="20"/>
        <v>PASS</v>
      </c>
      <c r="E297" s="3" t="str">
        <f t="shared" si="21"/>
        <v>PASS</v>
      </c>
      <c r="F297" s="3" t="str">
        <f t="shared" si="22"/>
        <v>PASS</v>
      </c>
      <c r="G297" s="3" t="str">
        <f t="shared" si="23"/>
        <v>FAIL</v>
      </c>
      <c r="H297" s="3">
        <v>137577697.63</v>
      </c>
      <c r="I297" s="4">
        <v>0</v>
      </c>
      <c r="J297" s="3">
        <v>120343452.73999999</v>
      </c>
      <c r="K297" s="3">
        <v>8727.23</v>
      </c>
      <c r="L297" s="3">
        <v>0</v>
      </c>
      <c r="M297" t="s">
        <v>23</v>
      </c>
      <c r="N297" t="s">
        <v>39</v>
      </c>
      <c r="O297" s="4">
        <v>0.26551293753415373</v>
      </c>
      <c r="P297" s="4">
        <v>0.73448706246584627</v>
      </c>
      <c r="Q297" t="s">
        <v>309</v>
      </c>
      <c r="R297" s="4">
        <v>2.2514314960313711E-5</v>
      </c>
      <c r="S297" s="3">
        <v>36434428.970000014</v>
      </c>
      <c r="T297" s="4">
        <v>0.2648280178956503</v>
      </c>
    </row>
    <row r="298" spans="1:20" x14ac:dyDescent="0.4">
      <c r="A298" s="2">
        <v>45882</v>
      </c>
      <c r="B298" t="s">
        <v>25</v>
      </c>
      <c r="C298" t="s">
        <v>22</v>
      </c>
      <c r="D298" s="3" t="str">
        <f t="shared" si="20"/>
        <v>PASS</v>
      </c>
      <c r="E298" s="3" t="str">
        <f t="shared" si="21"/>
        <v>PASS</v>
      </c>
      <c r="F298" s="3" t="str">
        <f t="shared" si="22"/>
        <v>PASS</v>
      </c>
      <c r="G298" s="3" t="str">
        <f t="shared" si="23"/>
        <v>FAIL</v>
      </c>
      <c r="H298" s="3">
        <v>102579625.45999999</v>
      </c>
      <c r="I298" s="4">
        <v>0</v>
      </c>
      <c r="J298" s="3">
        <v>92520933.650000006</v>
      </c>
      <c r="K298" s="3">
        <v>6711.74</v>
      </c>
      <c r="L298" s="3">
        <v>0</v>
      </c>
      <c r="M298" t="s">
        <v>23</v>
      </c>
      <c r="N298" t="s">
        <v>39</v>
      </c>
      <c r="O298" s="4">
        <v>0.25713199868903391</v>
      </c>
      <c r="P298" s="4">
        <v>0.74286800131096609</v>
      </c>
      <c r="Q298" t="s">
        <v>310</v>
      </c>
      <c r="R298" s="4">
        <v>1.6761843405463159E-5</v>
      </c>
      <c r="S298" s="3">
        <v>19062005.41</v>
      </c>
      <c r="T298" s="4">
        <v>0.18582642824556869</v>
      </c>
    </row>
    <row r="299" spans="1:20" x14ac:dyDescent="0.4">
      <c r="A299" s="2">
        <v>45882</v>
      </c>
      <c r="B299" t="s">
        <v>26</v>
      </c>
      <c r="C299" t="s">
        <v>22</v>
      </c>
      <c r="D299" s="3" t="str">
        <f t="shared" si="20"/>
        <v>PASS</v>
      </c>
      <c r="E299" s="3" t="str">
        <f t="shared" si="21"/>
        <v>PASS</v>
      </c>
      <c r="F299" s="3" t="str">
        <f t="shared" si="22"/>
        <v>PASS</v>
      </c>
      <c r="G299" s="3" t="str">
        <f t="shared" si="23"/>
        <v>FAIL</v>
      </c>
      <c r="H299" s="3">
        <v>23816542.239999998</v>
      </c>
      <c r="I299" s="4">
        <v>0</v>
      </c>
      <c r="J299" s="3">
        <v>21526490.18</v>
      </c>
      <c r="K299" s="3">
        <v>1562.08</v>
      </c>
      <c r="L299" s="3">
        <v>0</v>
      </c>
      <c r="M299" t="s">
        <v>23</v>
      </c>
      <c r="N299" t="s">
        <v>39</v>
      </c>
      <c r="O299" s="4">
        <v>0.25897819260752342</v>
      </c>
      <c r="P299" s="4">
        <v>0.74102180739247658</v>
      </c>
      <c r="Q299" t="s">
        <v>311</v>
      </c>
      <c r="R299" s="4">
        <v>3.9282566614816809E-6</v>
      </c>
      <c r="S299" s="3">
        <v>4311899.9800000004</v>
      </c>
      <c r="T299" s="4">
        <v>0.1810464313647572</v>
      </c>
    </row>
    <row r="300" spans="1:20" x14ac:dyDescent="0.4">
      <c r="A300" s="2">
        <v>45882</v>
      </c>
      <c r="B300" t="s">
        <v>27</v>
      </c>
      <c r="C300" t="s">
        <v>22</v>
      </c>
      <c r="D300" s="3" t="str">
        <f t="shared" si="20"/>
        <v>PASS</v>
      </c>
      <c r="E300" s="3" t="str">
        <f t="shared" si="21"/>
        <v>PASS</v>
      </c>
      <c r="F300" s="3" t="str">
        <f t="shared" si="22"/>
        <v>PASS</v>
      </c>
      <c r="G300" s="3" t="str">
        <f t="shared" si="23"/>
        <v>FAIL</v>
      </c>
      <c r="H300" s="3">
        <v>43693467.939999998</v>
      </c>
      <c r="I300" s="4">
        <v>0</v>
      </c>
      <c r="J300" s="3">
        <v>36935710.07</v>
      </c>
      <c r="K300" s="3">
        <v>2678.7</v>
      </c>
      <c r="L300" s="3">
        <v>0</v>
      </c>
      <c r="M300" t="s">
        <v>23</v>
      </c>
      <c r="N300" t="s">
        <v>39</v>
      </c>
      <c r="O300" s="4">
        <v>0.26454406728561369</v>
      </c>
      <c r="P300" s="4">
        <v>0.73545593271438625</v>
      </c>
      <c r="Q300" t="s">
        <v>312</v>
      </c>
      <c r="R300" s="4">
        <v>6.880323385879551E-6</v>
      </c>
      <c r="S300" s="3">
        <v>15051531.300000001</v>
      </c>
      <c r="T300" s="4">
        <v>0.34448012505367648</v>
      </c>
    </row>
    <row r="301" spans="1:20" x14ac:dyDescent="0.4">
      <c r="A301" s="2">
        <v>45882</v>
      </c>
      <c r="B301" t="s">
        <v>28</v>
      </c>
      <c r="C301" t="s">
        <v>22</v>
      </c>
      <c r="D301" s="3" t="str">
        <f t="shared" si="20"/>
        <v>PASS</v>
      </c>
      <c r="E301" s="3" t="str">
        <f t="shared" si="21"/>
        <v>PASS</v>
      </c>
      <c r="F301" s="3" t="str">
        <f t="shared" si="22"/>
        <v>PASS</v>
      </c>
      <c r="G301" s="3" t="str">
        <f t="shared" si="23"/>
        <v>FAIL</v>
      </c>
      <c r="H301" s="3">
        <v>15508747.98</v>
      </c>
      <c r="I301" s="4">
        <v>0</v>
      </c>
      <c r="J301" s="3">
        <v>13673122.15</v>
      </c>
      <c r="K301" s="3">
        <v>992.31</v>
      </c>
      <c r="L301" s="3">
        <v>0</v>
      </c>
      <c r="M301" t="s">
        <v>23</v>
      </c>
      <c r="N301" t="s">
        <v>39</v>
      </c>
      <c r="O301" s="4">
        <v>0.25890831817076981</v>
      </c>
      <c r="P301" s="4">
        <v>0.74109168182923024</v>
      </c>
      <c r="Q301" t="s">
        <v>313</v>
      </c>
      <c r="R301" s="4">
        <v>2.4928088765356841E-6</v>
      </c>
      <c r="S301" s="3">
        <v>4348528.01</v>
      </c>
      <c r="T301" s="4">
        <v>0.28039194495956982</v>
      </c>
    </row>
    <row r="302" spans="1:20" x14ac:dyDescent="0.4">
      <c r="A302" s="2">
        <v>45882</v>
      </c>
      <c r="B302" t="s">
        <v>29</v>
      </c>
      <c r="C302" t="s">
        <v>22</v>
      </c>
      <c r="D302" s="3" t="str">
        <f t="shared" si="20"/>
        <v>PASS</v>
      </c>
      <c r="E302" s="3" t="str">
        <f t="shared" si="21"/>
        <v>PASS</v>
      </c>
      <c r="F302" s="3" t="str">
        <f t="shared" si="22"/>
        <v>PASS</v>
      </c>
      <c r="G302" s="3" t="str">
        <f t="shared" si="23"/>
        <v>FAIL</v>
      </c>
      <c r="H302" s="3">
        <v>34932199.079999998</v>
      </c>
      <c r="I302" s="4">
        <v>0</v>
      </c>
      <c r="J302" s="3">
        <v>32444263.050000001</v>
      </c>
      <c r="K302" s="3">
        <v>2353.02</v>
      </c>
      <c r="L302" s="3">
        <v>0</v>
      </c>
      <c r="M302" t="s">
        <v>23</v>
      </c>
      <c r="N302" t="s">
        <v>39</v>
      </c>
      <c r="O302" s="4">
        <v>0.26124544074056261</v>
      </c>
      <c r="P302" s="4">
        <v>0.73875455925943745</v>
      </c>
      <c r="Q302" t="s">
        <v>314</v>
      </c>
      <c r="R302" s="4">
        <v>5.970352022208428E-6</v>
      </c>
      <c r="S302" s="3">
        <v>4852437.92</v>
      </c>
      <c r="T302" s="4">
        <v>0.13891017593502161</v>
      </c>
    </row>
    <row r="303" spans="1:20" x14ac:dyDescent="0.4">
      <c r="A303" s="2">
        <v>45882</v>
      </c>
      <c r="B303" t="s">
        <v>30</v>
      </c>
      <c r="C303" t="s">
        <v>22</v>
      </c>
      <c r="D303" s="3" t="str">
        <f t="shared" si="20"/>
        <v>PASS</v>
      </c>
      <c r="E303" s="3" t="str">
        <f t="shared" si="21"/>
        <v>PASS</v>
      </c>
      <c r="F303" s="3" t="str">
        <f t="shared" si="22"/>
        <v>PASS</v>
      </c>
      <c r="G303" s="3" t="str">
        <f t="shared" si="23"/>
        <v>FAIL</v>
      </c>
      <c r="H303" s="3">
        <v>55565609.350000001</v>
      </c>
      <c r="I303" s="4">
        <v>0</v>
      </c>
      <c r="J303" s="3">
        <v>50323223.719999999</v>
      </c>
      <c r="K303" s="3">
        <v>3622.95</v>
      </c>
      <c r="L303" s="3">
        <v>0</v>
      </c>
      <c r="M303" t="s">
        <v>23</v>
      </c>
      <c r="N303" t="s">
        <v>315</v>
      </c>
      <c r="O303" s="4">
        <v>0.25567335275634451</v>
      </c>
      <c r="P303" s="4">
        <v>0.74432664724365549</v>
      </c>
      <c r="Q303" t="s">
        <v>316</v>
      </c>
      <c r="R303" s="4">
        <v>7.6829042023753881E-5</v>
      </c>
      <c r="S303" s="3">
        <v>10258545.220000001</v>
      </c>
      <c r="T303" s="4">
        <v>0.18462040351942979</v>
      </c>
    </row>
    <row r="304" spans="1:20" x14ac:dyDescent="0.4">
      <c r="A304" s="2">
        <v>45882</v>
      </c>
      <c r="B304" t="s">
        <v>31</v>
      </c>
      <c r="C304" t="s">
        <v>22</v>
      </c>
      <c r="D304" s="3" t="str">
        <f t="shared" si="20"/>
        <v>PASS</v>
      </c>
      <c r="E304" s="3" t="str">
        <f t="shared" si="21"/>
        <v>PASS</v>
      </c>
      <c r="F304" s="3" t="str">
        <f t="shared" si="22"/>
        <v>PASS</v>
      </c>
      <c r="G304" s="3" t="str">
        <f t="shared" si="23"/>
        <v>FAIL</v>
      </c>
      <c r="H304" s="3">
        <v>40662985.090000004</v>
      </c>
      <c r="I304" s="4">
        <v>0</v>
      </c>
      <c r="J304" s="3">
        <v>35027620.25</v>
      </c>
      <c r="K304" s="3">
        <v>2540.9699999999998</v>
      </c>
      <c r="L304" s="3">
        <v>0</v>
      </c>
      <c r="M304" t="s">
        <v>23</v>
      </c>
      <c r="N304" t="s">
        <v>39</v>
      </c>
      <c r="O304" s="4">
        <v>0.2566127374867837</v>
      </c>
      <c r="P304" s="4">
        <v>0.7433872625132163</v>
      </c>
      <c r="Q304" t="s">
        <v>317</v>
      </c>
      <c r="R304" s="4">
        <v>6.3292139684449271E-6</v>
      </c>
      <c r="S304" s="3">
        <v>11194151.539999999</v>
      </c>
      <c r="T304" s="4">
        <v>0.27529094372249879</v>
      </c>
    </row>
    <row r="305" spans="1:20" x14ac:dyDescent="0.4">
      <c r="A305" s="2">
        <v>45882</v>
      </c>
      <c r="B305" t="s">
        <v>32</v>
      </c>
      <c r="C305" t="s">
        <v>22</v>
      </c>
      <c r="D305" s="3" t="str">
        <f t="shared" si="20"/>
        <v>PASS</v>
      </c>
      <c r="E305" s="3" t="str">
        <f t="shared" si="21"/>
        <v>PASS</v>
      </c>
      <c r="F305" s="3" t="str">
        <f t="shared" si="22"/>
        <v>PASS</v>
      </c>
      <c r="G305" s="3" t="str">
        <f t="shared" si="23"/>
        <v>FAIL</v>
      </c>
      <c r="H305" s="3">
        <v>79337383.75</v>
      </c>
      <c r="I305" s="4">
        <v>0</v>
      </c>
      <c r="J305" s="3">
        <v>70704861.689999998</v>
      </c>
      <c r="K305" s="3">
        <v>5126.84</v>
      </c>
      <c r="L305" s="3">
        <v>0</v>
      </c>
      <c r="M305" t="s">
        <v>23</v>
      </c>
      <c r="N305" t="s">
        <v>39</v>
      </c>
      <c r="O305" s="4">
        <v>0.26004235141019189</v>
      </c>
      <c r="P305" s="4">
        <v>0.73995764858980806</v>
      </c>
      <c r="Q305" t="s">
        <v>318</v>
      </c>
      <c r="R305" s="4">
        <v>1.2946799143687041E-5</v>
      </c>
      <c r="S305" s="3">
        <v>18197381.5</v>
      </c>
      <c r="T305" s="4">
        <v>0.22936704791453369</v>
      </c>
    </row>
    <row r="306" spans="1:20" x14ac:dyDescent="0.4">
      <c r="A306" s="2">
        <v>45882</v>
      </c>
      <c r="B306" t="s">
        <v>33</v>
      </c>
      <c r="C306" t="s">
        <v>22</v>
      </c>
      <c r="D306" s="3" t="str">
        <f t="shared" si="20"/>
        <v>PASS</v>
      </c>
      <c r="E306" s="3" t="str">
        <f t="shared" si="21"/>
        <v>PASS</v>
      </c>
      <c r="F306" s="3" t="str">
        <f t="shared" si="22"/>
        <v>PASS</v>
      </c>
      <c r="G306" s="3" t="str">
        <f t="shared" si="23"/>
        <v>FAIL</v>
      </c>
      <c r="H306" s="3">
        <v>167130197.78</v>
      </c>
      <c r="I306" s="4">
        <v>0</v>
      </c>
      <c r="J306" s="3">
        <v>142937077.90000001</v>
      </c>
      <c r="K306" s="3">
        <v>10368.24</v>
      </c>
      <c r="L306" s="3">
        <v>0</v>
      </c>
      <c r="M306" t="s">
        <v>23</v>
      </c>
      <c r="N306" t="s">
        <v>39</v>
      </c>
      <c r="O306" s="4">
        <v>0.2576232655725782</v>
      </c>
      <c r="P306" s="4">
        <v>0.7423767344274218</v>
      </c>
      <c r="Q306" t="s">
        <v>319</v>
      </c>
      <c r="R306" s="4">
        <v>2.594486427969358E-5</v>
      </c>
      <c r="S306" s="3">
        <v>46899912.5</v>
      </c>
      <c r="T306" s="4">
        <v>0.28061902111631659</v>
      </c>
    </row>
    <row r="307" spans="1:20" x14ac:dyDescent="0.4">
      <c r="A307" s="2">
        <v>45883</v>
      </c>
      <c r="B307" t="s">
        <v>21</v>
      </c>
      <c r="C307" t="s">
        <v>22</v>
      </c>
      <c r="D307" s="3" t="str">
        <f t="shared" si="20"/>
        <v>PASS</v>
      </c>
      <c r="E307" s="3" t="str">
        <f t="shared" si="21"/>
        <v>PASS</v>
      </c>
      <c r="F307" s="3" t="str">
        <f t="shared" si="22"/>
        <v>PASS</v>
      </c>
      <c r="G307" s="3" t="str">
        <f t="shared" si="23"/>
        <v>FAIL</v>
      </c>
      <c r="H307" s="3">
        <v>24687125.530000001</v>
      </c>
      <c r="I307" s="4">
        <v>0</v>
      </c>
      <c r="J307" s="3">
        <v>20716430.91</v>
      </c>
      <c r="K307" s="3">
        <v>1503.28</v>
      </c>
      <c r="L307" s="3">
        <v>0</v>
      </c>
      <c r="M307" t="s">
        <v>23</v>
      </c>
      <c r="N307" t="s">
        <v>39</v>
      </c>
      <c r="O307" s="4">
        <v>0.25848898312957519</v>
      </c>
      <c r="P307" s="4">
        <v>0.74151101687042487</v>
      </c>
      <c r="Q307" t="s">
        <v>320</v>
      </c>
      <c r="R307" s="4">
        <v>3.7509617713767438E-6</v>
      </c>
      <c r="S307" s="3">
        <v>7787327.6699999999</v>
      </c>
      <c r="T307" s="4">
        <v>0.31544084225345609</v>
      </c>
    </row>
    <row r="308" spans="1:20" x14ac:dyDescent="0.4">
      <c r="A308" s="2">
        <v>45883</v>
      </c>
      <c r="B308" t="s">
        <v>24</v>
      </c>
      <c r="C308" t="s">
        <v>22</v>
      </c>
      <c r="D308" s="3" t="str">
        <f t="shared" si="20"/>
        <v>PASS</v>
      </c>
      <c r="E308" s="3" t="str">
        <f t="shared" si="21"/>
        <v>PASS</v>
      </c>
      <c r="F308" s="3" t="str">
        <f t="shared" si="22"/>
        <v>PASS</v>
      </c>
      <c r="G308" s="3" t="str">
        <f t="shared" si="23"/>
        <v>FAIL</v>
      </c>
      <c r="H308" s="3">
        <v>137739169.83000001</v>
      </c>
      <c r="I308" s="4">
        <v>0</v>
      </c>
      <c r="J308" s="3">
        <v>120496950.17</v>
      </c>
      <c r="K308" s="3">
        <v>8737.81</v>
      </c>
      <c r="L308" s="3">
        <v>0</v>
      </c>
      <c r="M308" t="s">
        <v>23</v>
      </c>
      <c r="N308" t="s">
        <v>39</v>
      </c>
      <c r="O308" s="4">
        <v>0.26647894668453082</v>
      </c>
      <c r="P308" s="4">
        <v>0.73352105331546924</v>
      </c>
      <c r="Q308" t="s">
        <v>321</v>
      </c>
      <c r="R308" s="4">
        <v>2.2514314960313711E-5</v>
      </c>
      <c r="S308" s="3">
        <v>36526700.919999987</v>
      </c>
      <c r="T308" s="4">
        <v>0.26518746239781937</v>
      </c>
    </row>
    <row r="309" spans="1:20" x14ac:dyDescent="0.4">
      <c r="A309" s="2">
        <v>45883</v>
      </c>
      <c r="B309" t="s">
        <v>25</v>
      </c>
      <c r="C309" t="s">
        <v>22</v>
      </c>
      <c r="D309" s="3" t="str">
        <f t="shared" si="20"/>
        <v>PASS</v>
      </c>
      <c r="E309" s="3" t="str">
        <f t="shared" si="21"/>
        <v>PASS</v>
      </c>
      <c r="F309" s="3" t="str">
        <f t="shared" si="22"/>
        <v>PASS</v>
      </c>
      <c r="G309" s="3" t="str">
        <f t="shared" si="23"/>
        <v>FAIL</v>
      </c>
      <c r="H309" s="3">
        <v>102686190.28</v>
      </c>
      <c r="I309" s="4">
        <v>0</v>
      </c>
      <c r="J309" s="3">
        <v>92621257.75</v>
      </c>
      <c r="K309" s="3">
        <v>6717.95</v>
      </c>
      <c r="L309" s="3">
        <v>0</v>
      </c>
      <c r="M309" t="s">
        <v>23</v>
      </c>
      <c r="N309" t="s">
        <v>39</v>
      </c>
      <c r="O309" s="4">
        <v>0.2590600486636126</v>
      </c>
      <c r="P309" s="4">
        <v>0.74093995133638746</v>
      </c>
      <c r="Q309" t="s">
        <v>322</v>
      </c>
      <c r="R309" s="4">
        <v>1.6761843405463159E-5</v>
      </c>
      <c r="S309" s="3">
        <v>19471788.699999999</v>
      </c>
      <c r="T309" s="4">
        <v>0.18962421964341281</v>
      </c>
    </row>
    <row r="310" spans="1:20" x14ac:dyDescent="0.4">
      <c r="A310" s="2">
        <v>45883</v>
      </c>
      <c r="B310" t="s">
        <v>26</v>
      </c>
      <c r="C310" t="s">
        <v>22</v>
      </c>
      <c r="D310" s="3" t="str">
        <f t="shared" si="20"/>
        <v>PASS</v>
      </c>
      <c r="E310" s="3" t="str">
        <f t="shared" si="21"/>
        <v>PASS</v>
      </c>
      <c r="F310" s="3" t="str">
        <f t="shared" si="22"/>
        <v>PASS</v>
      </c>
      <c r="G310" s="3" t="str">
        <f t="shared" si="23"/>
        <v>FAIL</v>
      </c>
      <c r="H310" s="3">
        <v>23844178.210000001</v>
      </c>
      <c r="I310" s="4">
        <v>0</v>
      </c>
      <c r="J310" s="3">
        <v>21552658.579999998</v>
      </c>
      <c r="K310" s="3">
        <v>1563.59</v>
      </c>
      <c r="L310" s="3">
        <v>0</v>
      </c>
      <c r="M310" t="s">
        <v>23</v>
      </c>
      <c r="N310" t="s">
        <v>39</v>
      </c>
      <c r="O310" s="4">
        <v>0.25992712032280518</v>
      </c>
      <c r="P310" s="4">
        <v>0.74007287967719482</v>
      </c>
      <c r="Q310" t="s">
        <v>323</v>
      </c>
      <c r="R310" s="4">
        <v>3.9282566614816809E-6</v>
      </c>
      <c r="S310" s="3">
        <v>4313663.91</v>
      </c>
      <c r="T310" s="4">
        <v>0.18091057162921609</v>
      </c>
    </row>
    <row r="311" spans="1:20" x14ac:dyDescent="0.4">
      <c r="A311" s="2">
        <v>45883</v>
      </c>
      <c r="B311" t="s">
        <v>27</v>
      </c>
      <c r="C311" t="s">
        <v>22</v>
      </c>
      <c r="D311" s="3" t="str">
        <f t="shared" si="20"/>
        <v>PASS</v>
      </c>
      <c r="E311" s="3" t="str">
        <f t="shared" si="21"/>
        <v>PASS</v>
      </c>
      <c r="F311" s="3" t="str">
        <f t="shared" si="22"/>
        <v>PASS</v>
      </c>
      <c r="G311" s="3" t="str">
        <f t="shared" si="23"/>
        <v>FAIL</v>
      </c>
      <c r="H311" s="3">
        <v>43736908.579999998</v>
      </c>
      <c r="I311" s="4">
        <v>0</v>
      </c>
      <c r="J311" s="3">
        <v>36976659.700000003</v>
      </c>
      <c r="K311" s="3">
        <v>2682.18</v>
      </c>
      <c r="L311" s="3">
        <v>0</v>
      </c>
      <c r="M311" t="s">
        <v>23</v>
      </c>
      <c r="N311" t="s">
        <v>39</v>
      </c>
      <c r="O311" s="4">
        <v>0.26557329839071431</v>
      </c>
      <c r="P311" s="4">
        <v>0.73442670160928569</v>
      </c>
      <c r="Q311" t="s">
        <v>324</v>
      </c>
      <c r="R311" s="4">
        <v>6.880323385879551E-6</v>
      </c>
      <c r="S311" s="3">
        <v>15091357.1</v>
      </c>
      <c r="T311" s="4">
        <v>0.34504855486976449</v>
      </c>
    </row>
    <row r="312" spans="1:20" x14ac:dyDescent="0.4">
      <c r="A312" s="2">
        <v>45883</v>
      </c>
      <c r="B312" t="s">
        <v>28</v>
      </c>
      <c r="C312" t="s">
        <v>22</v>
      </c>
      <c r="D312" s="3" t="str">
        <f t="shared" si="20"/>
        <v>PASS</v>
      </c>
      <c r="E312" s="3" t="str">
        <f t="shared" si="21"/>
        <v>PASS</v>
      </c>
      <c r="F312" s="3" t="str">
        <f t="shared" si="22"/>
        <v>PASS</v>
      </c>
      <c r="G312" s="3" t="str">
        <f t="shared" si="23"/>
        <v>FAIL</v>
      </c>
      <c r="H312" s="3">
        <v>15523839.119999999</v>
      </c>
      <c r="I312" s="4">
        <v>0</v>
      </c>
      <c r="J312" s="3">
        <v>13687315.890000001</v>
      </c>
      <c r="K312" s="3">
        <v>993.42</v>
      </c>
      <c r="L312" s="3">
        <v>0</v>
      </c>
      <c r="M312" t="s">
        <v>23</v>
      </c>
      <c r="N312" t="s">
        <v>39</v>
      </c>
      <c r="O312" s="4">
        <v>0.25995323470246873</v>
      </c>
      <c r="P312" s="4">
        <v>0.74004676529753133</v>
      </c>
      <c r="Q312" t="s">
        <v>325</v>
      </c>
      <c r="R312" s="4">
        <v>2.4928088765356841E-6</v>
      </c>
      <c r="S312" s="3">
        <v>4356109.1100000003</v>
      </c>
      <c r="T312" s="4">
        <v>0.28060772057266731</v>
      </c>
    </row>
    <row r="313" spans="1:20" x14ac:dyDescent="0.4">
      <c r="A313" s="2">
        <v>45883</v>
      </c>
      <c r="B313" t="s">
        <v>29</v>
      </c>
      <c r="C313" t="s">
        <v>22</v>
      </c>
      <c r="D313" s="3" t="str">
        <f t="shared" si="20"/>
        <v>PASS</v>
      </c>
      <c r="E313" s="3" t="str">
        <f t="shared" si="21"/>
        <v>PASS</v>
      </c>
      <c r="F313" s="3" t="str">
        <f t="shared" si="22"/>
        <v>PASS</v>
      </c>
      <c r="G313" s="3" t="str">
        <f t="shared" si="23"/>
        <v>FAIL</v>
      </c>
      <c r="H313" s="3">
        <v>34975579.340000004</v>
      </c>
      <c r="I313" s="4">
        <v>0</v>
      </c>
      <c r="J313" s="3">
        <v>32485478.390000001</v>
      </c>
      <c r="K313" s="3">
        <v>2355.54</v>
      </c>
      <c r="L313" s="3">
        <v>0</v>
      </c>
      <c r="M313" t="s">
        <v>23</v>
      </c>
      <c r="N313" t="s">
        <v>39</v>
      </c>
      <c r="O313" s="4">
        <v>0.26219003327412599</v>
      </c>
      <c r="P313" s="4">
        <v>0.73780996672587396</v>
      </c>
      <c r="Q313" t="s">
        <v>326</v>
      </c>
      <c r="R313" s="4">
        <v>5.970352022208428E-6</v>
      </c>
      <c r="S313" s="3">
        <v>4861067.6100000003</v>
      </c>
      <c r="T313" s="4">
        <v>0.13898462017584409</v>
      </c>
    </row>
    <row r="314" spans="1:20" x14ac:dyDescent="0.4">
      <c r="A314" s="2">
        <v>45883</v>
      </c>
      <c r="B314" t="s">
        <v>30</v>
      </c>
      <c r="C314" t="s">
        <v>22</v>
      </c>
      <c r="D314" s="3" t="str">
        <f t="shared" si="20"/>
        <v>PASS</v>
      </c>
      <c r="E314" s="3" t="str">
        <f t="shared" si="21"/>
        <v>PASS</v>
      </c>
      <c r="F314" s="3" t="str">
        <f t="shared" si="22"/>
        <v>PASS</v>
      </c>
      <c r="G314" s="3" t="str">
        <f t="shared" si="23"/>
        <v>FAIL</v>
      </c>
      <c r="H314" s="3">
        <v>55447250.049999997</v>
      </c>
      <c r="I314" s="4">
        <v>0</v>
      </c>
      <c r="J314" s="3">
        <v>50201210.82</v>
      </c>
      <c r="K314" s="3">
        <v>3654.28</v>
      </c>
      <c r="L314" s="3">
        <v>0</v>
      </c>
      <c r="M314" t="s">
        <v>23</v>
      </c>
      <c r="N314" t="s">
        <v>327</v>
      </c>
      <c r="O314" s="4">
        <v>0.25656936734419589</v>
      </c>
      <c r="P314" s="4">
        <v>0.74343063265580411</v>
      </c>
      <c r="Q314" t="s">
        <v>328</v>
      </c>
      <c r="R314" s="4">
        <v>7.6829042023753881E-5</v>
      </c>
      <c r="S314" s="3">
        <v>10232927.890000001</v>
      </c>
      <c r="T314" s="4">
        <v>0.1845524869271673</v>
      </c>
    </row>
    <row r="315" spans="1:20" x14ac:dyDescent="0.4">
      <c r="A315" s="2">
        <v>45883</v>
      </c>
      <c r="B315" t="s">
        <v>31</v>
      </c>
      <c r="C315" t="s">
        <v>22</v>
      </c>
      <c r="D315" s="3" t="str">
        <f t="shared" si="20"/>
        <v>PASS</v>
      </c>
      <c r="E315" s="3" t="str">
        <f t="shared" si="21"/>
        <v>PASS</v>
      </c>
      <c r="F315" s="3" t="str">
        <f t="shared" si="22"/>
        <v>PASS</v>
      </c>
      <c r="G315" s="3" t="str">
        <f t="shared" si="23"/>
        <v>FAIL</v>
      </c>
      <c r="H315" s="3">
        <v>40703366.57</v>
      </c>
      <c r="I315" s="4">
        <v>0</v>
      </c>
      <c r="J315" s="3">
        <v>35065458.630000003</v>
      </c>
      <c r="K315" s="3">
        <v>2543.7800000000002</v>
      </c>
      <c r="L315" s="3">
        <v>0</v>
      </c>
      <c r="M315" t="s">
        <v>23</v>
      </c>
      <c r="N315" t="s">
        <v>39</v>
      </c>
      <c r="O315" s="4">
        <v>0.25762923209768379</v>
      </c>
      <c r="P315" s="4">
        <v>0.74237076790231615</v>
      </c>
      <c r="Q315" t="s">
        <v>329</v>
      </c>
      <c r="R315" s="4">
        <v>6.3292139684449271E-6</v>
      </c>
      <c r="S315" s="3">
        <v>11202698.34</v>
      </c>
      <c r="T315" s="4">
        <v>0.27522780752629028</v>
      </c>
    </row>
    <row r="316" spans="1:20" x14ac:dyDescent="0.4">
      <c r="A316" s="2">
        <v>45883</v>
      </c>
      <c r="B316" t="s">
        <v>32</v>
      </c>
      <c r="C316" t="s">
        <v>22</v>
      </c>
      <c r="D316" s="3" t="str">
        <f t="shared" si="20"/>
        <v>PASS</v>
      </c>
      <c r="E316" s="3" t="str">
        <f t="shared" si="21"/>
        <v>PASS</v>
      </c>
      <c r="F316" s="3" t="str">
        <f t="shared" si="22"/>
        <v>PASS</v>
      </c>
      <c r="G316" s="3" t="str">
        <f t="shared" si="23"/>
        <v>FAIL</v>
      </c>
      <c r="H316" s="3">
        <v>79429720.640000001</v>
      </c>
      <c r="I316" s="4">
        <v>0</v>
      </c>
      <c r="J316" s="3">
        <v>70792446.450000003</v>
      </c>
      <c r="K316" s="3">
        <v>5133.37</v>
      </c>
      <c r="L316" s="3">
        <v>0</v>
      </c>
      <c r="M316" t="s">
        <v>23</v>
      </c>
      <c r="N316" t="s">
        <v>39</v>
      </c>
      <c r="O316" s="4">
        <v>0.26102694378631691</v>
      </c>
      <c r="P316" s="4">
        <v>0.73897305621368314</v>
      </c>
      <c r="Q316" t="s">
        <v>330</v>
      </c>
      <c r="R316" s="4">
        <v>1.2946799143687041E-5</v>
      </c>
      <c r="S316" s="3">
        <v>18238281.699999999</v>
      </c>
      <c r="T316" s="4">
        <v>0.2296153323094452</v>
      </c>
    </row>
    <row r="317" spans="1:20" x14ac:dyDescent="0.4">
      <c r="A317" s="2">
        <v>45883</v>
      </c>
      <c r="B317" t="s">
        <v>33</v>
      </c>
      <c r="C317" t="s">
        <v>22</v>
      </c>
      <c r="D317" s="3" t="str">
        <f t="shared" si="20"/>
        <v>PASS</v>
      </c>
      <c r="E317" s="3" t="str">
        <f t="shared" si="21"/>
        <v>PASS</v>
      </c>
      <c r="F317" s="3" t="str">
        <f t="shared" si="22"/>
        <v>PASS</v>
      </c>
      <c r="G317" s="3" t="str">
        <f t="shared" si="23"/>
        <v>FAIL</v>
      </c>
      <c r="H317" s="3">
        <v>167285412.21000001</v>
      </c>
      <c r="I317" s="4">
        <v>0</v>
      </c>
      <c r="J317" s="3">
        <v>143082772.50999999</v>
      </c>
      <c r="K317" s="3">
        <v>10378.17</v>
      </c>
      <c r="L317" s="3">
        <v>0</v>
      </c>
      <c r="M317" t="s">
        <v>23</v>
      </c>
      <c r="N317" t="s">
        <v>39</v>
      </c>
      <c r="O317" s="4">
        <v>0.25863067265777012</v>
      </c>
      <c r="P317" s="4">
        <v>0.74136932734222993</v>
      </c>
      <c r="Q317" t="s">
        <v>331</v>
      </c>
      <c r="R317" s="4">
        <v>2.594486427969358E-5</v>
      </c>
      <c r="S317" s="3">
        <v>46943606.380000003</v>
      </c>
      <c r="T317" s="4">
        <v>0.28061984461065759</v>
      </c>
    </row>
    <row r="318" spans="1:20" x14ac:dyDescent="0.4">
      <c r="A318" s="2">
        <v>45884</v>
      </c>
      <c r="B318" t="s">
        <v>21</v>
      </c>
      <c r="C318" t="s">
        <v>22</v>
      </c>
      <c r="D318" s="3" t="str">
        <f t="shared" si="20"/>
        <v>PASS</v>
      </c>
      <c r="E318" s="3" t="str">
        <f t="shared" si="21"/>
        <v>PASS</v>
      </c>
      <c r="F318" s="3" t="str">
        <f t="shared" si="22"/>
        <v>PASS</v>
      </c>
      <c r="G318" s="3" t="str">
        <f t="shared" si="23"/>
        <v>FAIL</v>
      </c>
      <c r="H318" s="3">
        <v>24673328.960000001</v>
      </c>
      <c r="I318" s="4">
        <v>0</v>
      </c>
      <c r="J318" s="3">
        <v>20699536.93</v>
      </c>
      <c r="K318" s="3">
        <v>4513.8599999999997</v>
      </c>
      <c r="L318" s="3">
        <v>0</v>
      </c>
      <c r="M318" t="s">
        <v>23</v>
      </c>
      <c r="N318" t="s">
        <v>39</v>
      </c>
      <c r="O318" s="4">
        <v>0.25767652426415899</v>
      </c>
      <c r="P318" s="4">
        <v>0.74232347573584101</v>
      </c>
      <c r="Q318" t="s">
        <v>332</v>
      </c>
      <c r="R318" s="4">
        <v>3.7509617713767438E-6</v>
      </c>
      <c r="S318" s="3">
        <v>7761253.0899999999</v>
      </c>
      <c r="T318" s="4">
        <v>0.31456043497747782</v>
      </c>
    </row>
    <row r="319" spans="1:20" x14ac:dyDescent="0.4">
      <c r="A319" s="2">
        <v>45884</v>
      </c>
      <c r="B319" t="s">
        <v>24</v>
      </c>
      <c r="C319" t="s">
        <v>22</v>
      </c>
      <c r="D319" s="3" t="str">
        <f t="shared" si="20"/>
        <v>PASS</v>
      </c>
      <c r="E319" s="3" t="str">
        <f t="shared" si="21"/>
        <v>PASS</v>
      </c>
      <c r="F319" s="3" t="str">
        <f t="shared" si="22"/>
        <v>PASS</v>
      </c>
      <c r="G319" s="3" t="str">
        <f t="shared" si="23"/>
        <v>FAIL</v>
      </c>
      <c r="H319" s="3">
        <v>135759686.16</v>
      </c>
      <c r="I319" s="4">
        <v>0</v>
      </c>
      <c r="J319" s="3">
        <v>120392381.33</v>
      </c>
      <c r="K319" s="3">
        <v>26246.880000000001</v>
      </c>
      <c r="L319" s="3">
        <v>0</v>
      </c>
      <c r="M319" t="s">
        <v>23</v>
      </c>
      <c r="N319" t="s">
        <v>39</v>
      </c>
      <c r="O319" s="4">
        <v>0.26571303911926702</v>
      </c>
      <c r="P319" s="4">
        <v>0.73428696088073298</v>
      </c>
      <c r="Q319" t="s">
        <v>333</v>
      </c>
      <c r="R319" s="4">
        <v>2.2514314960313711E-5</v>
      </c>
      <c r="S319" s="3">
        <v>36289618.170000002</v>
      </c>
      <c r="T319" s="4">
        <v>0.26730776415636942</v>
      </c>
    </row>
    <row r="320" spans="1:20" x14ac:dyDescent="0.4">
      <c r="A320" s="2">
        <v>45884</v>
      </c>
      <c r="B320" t="s">
        <v>25</v>
      </c>
      <c r="C320" t="s">
        <v>22</v>
      </c>
      <c r="D320" s="3" t="str">
        <f t="shared" si="20"/>
        <v>PASS</v>
      </c>
      <c r="E320" s="3" t="str">
        <f t="shared" si="21"/>
        <v>PASS</v>
      </c>
      <c r="F320" s="3" t="str">
        <f t="shared" si="22"/>
        <v>PASS</v>
      </c>
      <c r="G320" s="3" t="str">
        <f t="shared" si="23"/>
        <v>FAIL</v>
      </c>
      <c r="H320" s="3">
        <v>101497508.09</v>
      </c>
      <c r="I320" s="4">
        <v>0</v>
      </c>
      <c r="J320" s="3">
        <v>92578082.340000004</v>
      </c>
      <c r="K320" s="3">
        <v>20175.72</v>
      </c>
      <c r="L320" s="3">
        <v>0</v>
      </c>
      <c r="M320" t="s">
        <v>23</v>
      </c>
      <c r="N320" t="s">
        <v>39</v>
      </c>
      <c r="O320" s="4">
        <v>0.25726785172033412</v>
      </c>
      <c r="P320" s="4">
        <v>0.74273214827966594</v>
      </c>
      <c r="Q320" t="s">
        <v>334</v>
      </c>
      <c r="R320" s="4">
        <v>1.6761843405463159E-5</v>
      </c>
      <c r="S320" s="3">
        <v>19015620.350000001</v>
      </c>
      <c r="T320" s="4">
        <v>0.18735061291493429</v>
      </c>
    </row>
    <row r="321" spans="1:20" x14ac:dyDescent="0.4">
      <c r="A321" s="2">
        <v>45884</v>
      </c>
      <c r="B321" t="s">
        <v>26</v>
      </c>
      <c r="C321" t="s">
        <v>22</v>
      </c>
      <c r="D321" s="3" t="str">
        <f t="shared" si="20"/>
        <v>PASS</v>
      </c>
      <c r="E321" s="3" t="str">
        <f t="shared" si="21"/>
        <v>PASS</v>
      </c>
      <c r="F321" s="3" t="str">
        <f t="shared" si="22"/>
        <v>PASS</v>
      </c>
      <c r="G321" s="3" t="str">
        <f t="shared" si="23"/>
        <v>FAIL</v>
      </c>
      <c r="H321" s="3">
        <v>23467122.73</v>
      </c>
      <c r="I321" s="4">
        <v>0</v>
      </c>
      <c r="J321" s="3">
        <v>21537689.93</v>
      </c>
      <c r="K321" s="3">
        <v>4696.47</v>
      </c>
      <c r="L321" s="3">
        <v>0</v>
      </c>
      <c r="M321" t="s">
        <v>23</v>
      </c>
      <c r="N321" t="s">
        <v>39</v>
      </c>
      <c r="O321" s="4">
        <v>0.25912922314969922</v>
      </c>
      <c r="P321" s="4">
        <v>0.74087077685030078</v>
      </c>
      <c r="Q321" t="s">
        <v>335</v>
      </c>
      <c r="R321" s="4">
        <v>3.9282566614816809E-6</v>
      </c>
      <c r="S321" s="3">
        <v>4295032.5199999996</v>
      </c>
      <c r="T321" s="4">
        <v>0.18302339700594389</v>
      </c>
    </row>
    <row r="322" spans="1:20" x14ac:dyDescent="0.4">
      <c r="A322" s="2">
        <v>45884</v>
      </c>
      <c r="B322" t="s">
        <v>27</v>
      </c>
      <c r="C322" t="s">
        <v>22</v>
      </c>
      <c r="D322" s="3" t="str">
        <f t="shared" si="20"/>
        <v>PASS</v>
      </c>
      <c r="E322" s="3" t="str">
        <f t="shared" si="21"/>
        <v>PASS</v>
      </c>
      <c r="F322" s="3" t="str">
        <f t="shared" si="22"/>
        <v>PASS</v>
      </c>
      <c r="G322" s="3" t="str">
        <f t="shared" si="23"/>
        <v>FAIL</v>
      </c>
      <c r="H322" s="3">
        <v>43317718.32</v>
      </c>
      <c r="I322" s="4">
        <v>0</v>
      </c>
      <c r="J322" s="3">
        <v>36941030.399999999</v>
      </c>
      <c r="K322" s="3">
        <v>8055.48</v>
      </c>
      <c r="L322" s="3">
        <v>0</v>
      </c>
      <c r="M322" t="s">
        <v>23</v>
      </c>
      <c r="N322" t="s">
        <v>39</v>
      </c>
      <c r="O322" s="4">
        <v>0.26476402266245391</v>
      </c>
      <c r="P322" s="4">
        <v>0.73523597733754609</v>
      </c>
      <c r="Q322" t="s">
        <v>336</v>
      </c>
      <c r="R322" s="4">
        <v>6.880323385879551E-6</v>
      </c>
      <c r="S322" s="3">
        <v>14996719.560000001</v>
      </c>
      <c r="T322" s="4">
        <v>0.34620289668110099</v>
      </c>
    </row>
    <row r="323" spans="1:20" x14ac:dyDescent="0.4">
      <c r="A323" s="2">
        <v>45884</v>
      </c>
      <c r="B323" t="s">
        <v>28</v>
      </c>
      <c r="C323" t="s">
        <v>22</v>
      </c>
      <c r="D323" s="3" t="str">
        <f t="shared" si="20"/>
        <v>PASS</v>
      </c>
      <c r="E323" s="3" t="str">
        <f t="shared" si="21"/>
        <v>PASS</v>
      </c>
      <c r="F323" s="3" t="str">
        <f t="shared" si="22"/>
        <v>PASS</v>
      </c>
      <c r="G323" s="3" t="str">
        <f t="shared" si="23"/>
        <v>FAIL</v>
      </c>
      <c r="H323" s="3">
        <v>15335080.57</v>
      </c>
      <c r="I323" s="4">
        <v>0</v>
      </c>
      <c r="J323" s="3">
        <v>13675441.470000001</v>
      </c>
      <c r="K323" s="3">
        <v>2983.35</v>
      </c>
      <c r="L323" s="3">
        <v>0</v>
      </c>
      <c r="M323" t="s">
        <v>23</v>
      </c>
      <c r="N323" t="s">
        <v>39</v>
      </c>
      <c r="O323" s="4">
        <v>0.25915160675248022</v>
      </c>
      <c r="P323" s="4">
        <v>0.74084839324751983</v>
      </c>
      <c r="Q323" t="s">
        <v>337</v>
      </c>
      <c r="R323" s="4">
        <v>2.4928088765356841E-6</v>
      </c>
      <c r="S323" s="3">
        <v>4335464.28</v>
      </c>
      <c r="T323" s="4">
        <v>0.28271545494723149</v>
      </c>
    </row>
    <row r="324" spans="1:20" x14ac:dyDescent="0.4">
      <c r="A324" s="2">
        <v>45884</v>
      </c>
      <c r="B324" t="s">
        <v>29</v>
      </c>
      <c r="C324" t="s">
        <v>22</v>
      </c>
      <c r="D324" s="3" t="str">
        <f t="shared" si="20"/>
        <v>PASS</v>
      </c>
      <c r="E324" s="3" t="str">
        <f t="shared" si="21"/>
        <v>PASS</v>
      </c>
      <c r="F324" s="3" t="str">
        <f t="shared" si="22"/>
        <v>PASS</v>
      </c>
      <c r="G324" s="3" t="str">
        <f t="shared" si="23"/>
        <v>FAIL</v>
      </c>
      <c r="H324" s="3">
        <v>34639203.710000001</v>
      </c>
      <c r="I324" s="4">
        <v>0</v>
      </c>
      <c r="J324" s="3">
        <v>32458132.850000001</v>
      </c>
      <c r="K324" s="3">
        <v>7075.59</v>
      </c>
      <c r="L324" s="3">
        <v>0</v>
      </c>
      <c r="M324" t="s">
        <v>23</v>
      </c>
      <c r="N324" t="s">
        <v>39</v>
      </c>
      <c r="O324" s="4">
        <v>0.26141753036789361</v>
      </c>
      <c r="P324" s="4">
        <v>0.73858246963210639</v>
      </c>
      <c r="Q324" t="s">
        <v>338</v>
      </c>
      <c r="R324" s="4">
        <v>5.970352022208428E-6</v>
      </c>
      <c r="S324" s="3">
        <v>4839461.2699999996</v>
      </c>
      <c r="T324" s="4">
        <v>0.13971052309735671</v>
      </c>
    </row>
    <row r="325" spans="1:20" x14ac:dyDescent="0.4">
      <c r="A325" s="2">
        <v>45884</v>
      </c>
      <c r="B325" t="s">
        <v>30</v>
      </c>
      <c r="C325" t="s">
        <v>22</v>
      </c>
      <c r="D325" s="3" t="str">
        <f t="shared" si="20"/>
        <v>PASS</v>
      </c>
      <c r="E325" s="3" t="str">
        <f t="shared" si="21"/>
        <v>PASS</v>
      </c>
      <c r="F325" s="3" t="str">
        <f t="shared" si="22"/>
        <v>PASS</v>
      </c>
      <c r="G325" s="3" t="str">
        <f t="shared" si="23"/>
        <v>FAIL</v>
      </c>
      <c r="H325" s="3">
        <v>54285267.359999999</v>
      </c>
      <c r="I325" s="4">
        <v>0</v>
      </c>
      <c r="J325" s="3">
        <v>49769599.880000003</v>
      </c>
      <c r="K325" s="3">
        <v>10936.29</v>
      </c>
      <c r="L325" s="3">
        <v>0</v>
      </c>
      <c r="M325" t="s">
        <v>23</v>
      </c>
      <c r="N325" t="s">
        <v>339</v>
      </c>
      <c r="O325" s="4">
        <v>0.25545605611969407</v>
      </c>
      <c r="P325" s="4">
        <v>0.74454394388030587</v>
      </c>
      <c r="Q325" t="s">
        <v>340</v>
      </c>
      <c r="R325" s="4">
        <v>7.6318218435212298E-5</v>
      </c>
      <c r="S325" s="3">
        <v>10263868.92</v>
      </c>
      <c r="T325" s="4">
        <v>0.18907282618567181</v>
      </c>
    </row>
    <row r="326" spans="1:20" x14ac:dyDescent="0.4">
      <c r="A326" s="2">
        <v>45884</v>
      </c>
      <c r="B326" t="s">
        <v>31</v>
      </c>
      <c r="C326" t="s">
        <v>22</v>
      </c>
      <c r="D326" s="3" t="str">
        <f t="shared" si="20"/>
        <v>PASS</v>
      </c>
      <c r="E326" s="3" t="str">
        <f t="shared" si="21"/>
        <v>PASS</v>
      </c>
      <c r="F326" s="3" t="str">
        <f t="shared" si="22"/>
        <v>PASS</v>
      </c>
      <c r="G326" s="3" t="str">
        <f t="shared" si="23"/>
        <v>FAIL</v>
      </c>
      <c r="H326" s="3">
        <v>40270098.68</v>
      </c>
      <c r="I326" s="4">
        <v>0</v>
      </c>
      <c r="J326" s="3">
        <v>35034787.579999998</v>
      </c>
      <c r="K326" s="3">
        <v>7639.59</v>
      </c>
      <c r="L326" s="3">
        <v>0</v>
      </c>
      <c r="M326" t="s">
        <v>23</v>
      </c>
      <c r="N326" t="s">
        <v>39</v>
      </c>
      <c r="O326" s="4">
        <v>0.25681971638773099</v>
      </c>
      <c r="P326" s="4">
        <v>0.74318028361226895</v>
      </c>
      <c r="Q326" t="s">
        <v>341</v>
      </c>
      <c r="R326" s="4">
        <v>6.3292139684449271E-6</v>
      </c>
      <c r="S326" s="3">
        <v>11146359.09</v>
      </c>
      <c r="T326" s="4">
        <v>0.27678996216455259</v>
      </c>
    </row>
    <row r="327" spans="1:20" x14ac:dyDescent="0.4">
      <c r="A327" s="2">
        <v>45884</v>
      </c>
      <c r="B327" t="s">
        <v>32</v>
      </c>
      <c r="C327" t="s">
        <v>22</v>
      </c>
      <c r="D327" s="3" t="str">
        <f t="shared" si="20"/>
        <v>PASS</v>
      </c>
      <c r="E327" s="3" t="str">
        <f t="shared" si="21"/>
        <v>PASS</v>
      </c>
      <c r="F327" s="3" t="str">
        <f t="shared" si="22"/>
        <v>PASS</v>
      </c>
      <c r="G327" s="3" t="str">
        <f t="shared" si="23"/>
        <v>FAIL</v>
      </c>
      <c r="H327" s="3">
        <v>78609434.439999998</v>
      </c>
      <c r="I327" s="4">
        <v>0</v>
      </c>
      <c r="J327" s="3">
        <v>70723330.760000005</v>
      </c>
      <c r="K327" s="3">
        <v>15419.19</v>
      </c>
      <c r="L327" s="3">
        <v>0</v>
      </c>
      <c r="M327" t="s">
        <v>23</v>
      </c>
      <c r="N327" t="s">
        <v>39</v>
      </c>
      <c r="O327" s="4">
        <v>0.26023180274774721</v>
      </c>
      <c r="P327" s="4">
        <v>0.73976819725225285</v>
      </c>
      <c r="Q327" t="s">
        <v>342</v>
      </c>
      <c r="R327" s="4">
        <v>1.2946799143687041E-5</v>
      </c>
      <c r="S327" s="3">
        <v>18140059.260000002</v>
      </c>
      <c r="T327" s="4">
        <v>0.23076185942853611</v>
      </c>
    </row>
    <row r="328" spans="1:20" x14ac:dyDescent="0.4">
      <c r="A328" s="2">
        <v>45884</v>
      </c>
      <c r="B328" t="s">
        <v>33</v>
      </c>
      <c r="C328" t="s">
        <v>22</v>
      </c>
      <c r="D328" s="3" t="str">
        <f t="shared" ref="D328:D391" si="24">IF(J328/H328&gt;=0.75,"PASS","FAIL")</f>
        <v>PASS</v>
      </c>
      <c r="E328" s="3" t="str">
        <f t="shared" ref="E328:E391" si="25">IF(L328=0,"PASS","FAIL")</f>
        <v>PASS</v>
      </c>
      <c r="F328" s="3" t="str">
        <f t="shared" ref="F328:F391" si="26">IF(R328="","",IF(R328&lt;=0.1,"PASS","FAIL"))</f>
        <v>PASS</v>
      </c>
      <c r="G328" s="3" t="str">
        <f t="shared" ref="G328:G391" si="27">IF(S328=0,"PASS",IF(S328&lt;=0.05*J328,"PASS","FAIL"))</f>
        <v>FAIL</v>
      </c>
      <c r="H328" s="3">
        <v>167232880.87</v>
      </c>
      <c r="I328" s="4">
        <v>0</v>
      </c>
      <c r="J328" s="3">
        <v>143009593.69999999</v>
      </c>
      <c r="K328" s="3">
        <v>31166.25</v>
      </c>
      <c r="L328" s="3">
        <v>0</v>
      </c>
      <c r="M328" t="s">
        <v>23</v>
      </c>
      <c r="N328" t="s">
        <v>39</v>
      </c>
      <c r="O328" s="4">
        <v>0.25779169233455418</v>
      </c>
      <c r="P328" s="4">
        <v>0.74220830766544577</v>
      </c>
      <c r="Q328" t="s">
        <v>343</v>
      </c>
      <c r="R328" s="4">
        <v>2.594486427969358E-5</v>
      </c>
      <c r="S328" s="3">
        <v>46758691.68</v>
      </c>
      <c r="T328" s="4">
        <v>0.27960226144969841</v>
      </c>
    </row>
    <row r="329" spans="1:20" x14ac:dyDescent="0.4">
      <c r="A329" s="2">
        <v>45887</v>
      </c>
      <c r="B329" t="s">
        <v>21</v>
      </c>
      <c r="C329" t="s">
        <v>22</v>
      </c>
      <c r="D329" s="3" t="str">
        <f t="shared" si="24"/>
        <v>PASS</v>
      </c>
      <c r="E329" s="3" t="str">
        <f t="shared" si="25"/>
        <v>PASS</v>
      </c>
      <c r="F329" s="3" t="str">
        <f t="shared" si="26"/>
        <v>PASS</v>
      </c>
      <c r="G329" s="3" t="str">
        <f t="shared" si="27"/>
        <v>FAIL</v>
      </c>
      <c r="H329" s="3">
        <v>24676467.460000001</v>
      </c>
      <c r="I329" s="4">
        <v>0</v>
      </c>
      <c r="J329" s="3">
        <v>20695508.850000001</v>
      </c>
      <c r="K329" s="3">
        <v>1503.39</v>
      </c>
      <c r="L329" s="3">
        <v>0</v>
      </c>
      <c r="M329" t="s">
        <v>23</v>
      </c>
      <c r="N329" t="s">
        <v>344</v>
      </c>
      <c r="O329" s="4">
        <v>0.27470782338362271</v>
      </c>
      <c r="P329" s="4">
        <v>0.72529217661637735</v>
      </c>
      <c r="Q329" t="s">
        <v>345</v>
      </c>
      <c r="R329" s="4">
        <v>3.7466896053501189E-6</v>
      </c>
      <c r="S329" s="3">
        <v>7753625.4899999993</v>
      </c>
      <c r="T329" s="4">
        <v>0.31421132309835081</v>
      </c>
    </row>
    <row r="330" spans="1:20" x14ac:dyDescent="0.4">
      <c r="A330" s="2">
        <v>45887</v>
      </c>
      <c r="B330" t="s">
        <v>24</v>
      </c>
      <c r="C330" t="s">
        <v>22</v>
      </c>
      <c r="D330" s="3" t="str">
        <f t="shared" si="24"/>
        <v>PASS</v>
      </c>
      <c r="E330" s="3" t="str">
        <f t="shared" si="25"/>
        <v>PASS</v>
      </c>
      <c r="F330" s="3" t="str">
        <f t="shared" si="26"/>
        <v>PASS</v>
      </c>
      <c r="G330" s="3" t="str">
        <f t="shared" si="27"/>
        <v>FAIL</v>
      </c>
      <c r="H330" s="3">
        <v>135777661.97999999</v>
      </c>
      <c r="I330" s="4">
        <v>0</v>
      </c>
      <c r="J330" s="3">
        <v>120360324.62</v>
      </c>
      <c r="K330" s="3">
        <v>8741.3700000000008</v>
      </c>
      <c r="L330" s="3">
        <v>0</v>
      </c>
      <c r="M330" t="s">
        <v>23</v>
      </c>
      <c r="N330" t="s">
        <v>346</v>
      </c>
      <c r="O330" s="4">
        <v>0.24012056980774871</v>
      </c>
      <c r="P330" s="4">
        <v>0.75987943019225135</v>
      </c>
      <c r="Q330" t="s">
        <v>347</v>
      </c>
      <c r="R330" s="4">
        <v>2.2428871639781209E-5</v>
      </c>
      <c r="S330" s="3">
        <v>32660834.289999999</v>
      </c>
      <c r="T330" s="4">
        <v>0.24054644787454749</v>
      </c>
    </row>
    <row r="331" spans="1:20" x14ac:dyDescent="0.4">
      <c r="A331" s="2">
        <v>45887</v>
      </c>
      <c r="B331" t="s">
        <v>25</v>
      </c>
      <c r="C331" t="s">
        <v>22</v>
      </c>
      <c r="D331" s="3" t="str">
        <f t="shared" si="24"/>
        <v>PASS</v>
      </c>
      <c r="E331" s="3" t="str">
        <f t="shared" si="25"/>
        <v>PASS</v>
      </c>
      <c r="F331" s="3" t="str">
        <f t="shared" si="26"/>
        <v>PASS</v>
      </c>
      <c r="G331" s="3" t="str">
        <f t="shared" si="27"/>
        <v>FAIL</v>
      </c>
      <c r="H331" s="3">
        <v>101490868.86</v>
      </c>
      <c r="I331" s="4">
        <v>0</v>
      </c>
      <c r="J331" s="3">
        <v>92533443.319999993</v>
      </c>
      <c r="K331" s="3">
        <v>6722.1</v>
      </c>
      <c r="L331" s="3">
        <v>0</v>
      </c>
      <c r="M331" t="s">
        <v>23</v>
      </c>
      <c r="N331" t="s">
        <v>346</v>
      </c>
      <c r="O331" s="4">
        <v>0.23229181827446549</v>
      </c>
      <c r="P331" s="4">
        <v>0.76770818172553446</v>
      </c>
      <c r="Q331" t="s">
        <v>348</v>
      </c>
      <c r="R331" s="4">
        <v>1.671057741314366E-5</v>
      </c>
      <c r="S331" s="3">
        <v>17164983.48</v>
      </c>
      <c r="T331" s="4">
        <v>0.16912835285387071</v>
      </c>
    </row>
    <row r="332" spans="1:20" x14ac:dyDescent="0.4">
      <c r="A332" s="2">
        <v>45887</v>
      </c>
      <c r="B332" t="s">
        <v>26</v>
      </c>
      <c r="C332" t="s">
        <v>22</v>
      </c>
      <c r="D332" s="3" t="str">
        <f t="shared" si="24"/>
        <v>PASS</v>
      </c>
      <c r="E332" s="3" t="str">
        <f t="shared" si="25"/>
        <v>PASS</v>
      </c>
      <c r="F332" s="3" t="str">
        <f t="shared" si="26"/>
        <v>PASS</v>
      </c>
      <c r="G332" s="3" t="str">
        <f t="shared" si="27"/>
        <v>FAIL</v>
      </c>
      <c r="H332" s="3">
        <v>23466942.350000001</v>
      </c>
      <c r="I332" s="4">
        <v>0</v>
      </c>
      <c r="J332" s="3">
        <v>21529098.719999999</v>
      </c>
      <c r="K332" s="3">
        <v>1564.41</v>
      </c>
      <c r="L332" s="3">
        <v>0</v>
      </c>
      <c r="M332" t="s">
        <v>23</v>
      </c>
      <c r="N332" t="s">
        <v>346</v>
      </c>
      <c r="O332" s="4">
        <v>0.23351332981392919</v>
      </c>
      <c r="P332" s="4">
        <v>0.76648667018607086</v>
      </c>
      <c r="Q332" t="s">
        <v>349</v>
      </c>
      <c r="R332" s="4">
        <v>3.9154401634018061E-6</v>
      </c>
      <c r="S332" s="3">
        <v>3705911.13</v>
      </c>
      <c r="T332" s="4">
        <v>0.15792049406044581</v>
      </c>
    </row>
    <row r="333" spans="1:20" x14ac:dyDescent="0.4">
      <c r="A333" s="2">
        <v>45887</v>
      </c>
      <c r="B333" t="s">
        <v>27</v>
      </c>
      <c r="C333" t="s">
        <v>22</v>
      </c>
      <c r="D333" s="3" t="str">
        <f t="shared" si="24"/>
        <v>PASS</v>
      </c>
      <c r="E333" s="3" t="str">
        <f t="shared" si="25"/>
        <v>PASS</v>
      </c>
      <c r="F333" s="3" t="str">
        <f t="shared" si="26"/>
        <v>PASS</v>
      </c>
      <c r="G333" s="3" t="str">
        <f t="shared" si="27"/>
        <v>FAIL</v>
      </c>
      <c r="H333" s="3">
        <v>43325302.509999998</v>
      </c>
      <c r="I333" s="4">
        <v>0</v>
      </c>
      <c r="J333" s="3">
        <v>36933712.159999996</v>
      </c>
      <c r="K333" s="3">
        <v>2682.57</v>
      </c>
      <c r="L333" s="3">
        <v>0</v>
      </c>
      <c r="M333" t="s">
        <v>23</v>
      </c>
      <c r="N333" t="s">
        <v>344</v>
      </c>
      <c r="O333" s="4">
        <v>0.28117939526390678</v>
      </c>
      <c r="P333" s="4">
        <v>0.71882060473609322</v>
      </c>
      <c r="Q333" t="s">
        <v>350</v>
      </c>
      <c r="R333" s="4">
        <v>6.8717790538263011E-6</v>
      </c>
      <c r="S333" s="3">
        <v>14232828.640000001</v>
      </c>
      <c r="T333" s="4">
        <v>0.32851077350734931</v>
      </c>
    </row>
    <row r="334" spans="1:20" x14ac:dyDescent="0.4">
      <c r="A334" s="2">
        <v>45887</v>
      </c>
      <c r="B334" t="s">
        <v>28</v>
      </c>
      <c r="C334" t="s">
        <v>22</v>
      </c>
      <c r="D334" s="3" t="str">
        <f t="shared" si="24"/>
        <v>PASS</v>
      </c>
      <c r="E334" s="3" t="str">
        <f t="shared" si="25"/>
        <v>PASS</v>
      </c>
      <c r="F334" s="3" t="str">
        <f t="shared" si="26"/>
        <v>PASS</v>
      </c>
      <c r="G334" s="3" t="str">
        <f t="shared" si="27"/>
        <v>FAIL</v>
      </c>
      <c r="H334" s="3">
        <v>15337230.18</v>
      </c>
      <c r="I334" s="4">
        <v>0</v>
      </c>
      <c r="J334" s="3">
        <v>13671991.779999999</v>
      </c>
      <c r="K334" s="3">
        <v>993.58</v>
      </c>
      <c r="L334" s="3">
        <v>0</v>
      </c>
      <c r="M334" t="s">
        <v>23</v>
      </c>
      <c r="N334" t="s">
        <v>344</v>
      </c>
      <c r="O334" s="4">
        <v>0.27705565516365449</v>
      </c>
      <c r="P334" s="4">
        <v>0.72294434483634551</v>
      </c>
      <c r="Q334" t="s">
        <v>351</v>
      </c>
      <c r="R334" s="4">
        <v>2.4842645444824329E-6</v>
      </c>
      <c r="S334" s="3">
        <v>3975917.830000001</v>
      </c>
      <c r="T334" s="4">
        <v>0.259233106847719</v>
      </c>
    </row>
    <row r="335" spans="1:20" x14ac:dyDescent="0.4">
      <c r="A335" s="2">
        <v>45887</v>
      </c>
      <c r="B335" t="s">
        <v>29</v>
      </c>
      <c r="C335" t="s">
        <v>22</v>
      </c>
      <c r="D335" s="3" t="str">
        <f t="shared" si="24"/>
        <v>PASS</v>
      </c>
      <c r="E335" s="3" t="str">
        <f t="shared" si="25"/>
        <v>PASS</v>
      </c>
      <c r="F335" s="3" t="str">
        <f t="shared" si="26"/>
        <v>PASS</v>
      </c>
      <c r="G335" s="3" t="str">
        <f t="shared" si="27"/>
        <v>FAIL</v>
      </c>
      <c r="H335" s="3">
        <v>34641542.770000003</v>
      </c>
      <c r="I335" s="4">
        <v>0</v>
      </c>
      <c r="J335" s="3">
        <v>32445546.52</v>
      </c>
      <c r="K335" s="3">
        <v>2356.5500000000002</v>
      </c>
      <c r="L335" s="3">
        <v>0</v>
      </c>
      <c r="M335" t="s">
        <v>23</v>
      </c>
      <c r="N335" t="s">
        <v>346</v>
      </c>
      <c r="O335" s="4">
        <v>0.23550888857088051</v>
      </c>
      <c r="P335" s="4">
        <v>0.76449111142911952</v>
      </c>
      <c r="Q335" t="s">
        <v>352</v>
      </c>
      <c r="R335" s="4">
        <v>5.9596716071418652E-6</v>
      </c>
      <c r="S335" s="3">
        <v>4276694.53</v>
      </c>
      <c r="T335" s="4">
        <v>0.1234556601129113</v>
      </c>
    </row>
    <row r="336" spans="1:20" x14ac:dyDescent="0.4">
      <c r="A336" s="2">
        <v>45887</v>
      </c>
      <c r="B336" t="s">
        <v>30</v>
      </c>
      <c r="C336" t="s">
        <v>22</v>
      </c>
      <c r="D336" s="3" t="str">
        <f t="shared" si="24"/>
        <v>PASS</v>
      </c>
      <c r="E336" s="3" t="str">
        <f t="shared" si="25"/>
        <v>PASS</v>
      </c>
      <c r="F336" s="3" t="str">
        <f t="shared" si="26"/>
        <v>PASS</v>
      </c>
      <c r="G336" s="3" t="str">
        <f t="shared" si="27"/>
        <v>FAIL</v>
      </c>
      <c r="H336" s="3">
        <v>54287795.560000002</v>
      </c>
      <c r="I336" s="4">
        <v>0</v>
      </c>
      <c r="J336" s="3">
        <v>49770633.369999997</v>
      </c>
      <c r="K336" s="3">
        <v>3614.09</v>
      </c>
      <c r="L336" s="3">
        <v>0</v>
      </c>
      <c r="M336" t="s">
        <v>23</v>
      </c>
      <c r="N336" t="s">
        <v>353</v>
      </c>
      <c r="O336" s="4">
        <v>0.25366020332001249</v>
      </c>
      <c r="P336" s="4">
        <v>0.7463397966799874</v>
      </c>
      <c r="Q336" t="s">
        <v>354</v>
      </c>
      <c r="R336" s="4">
        <v>7.6106843157195097E-5</v>
      </c>
      <c r="S336" s="3">
        <v>9139459.5199999996</v>
      </c>
      <c r="T336" s="4">
        <v>0.1683520103500773</v>
      </c>
    </row>
    <row r="337" spans="1:20" x14ac:dyDescent="0.4">
      <c r="A337" s="2">
        <v>45887</v>
      </c>
      <c r="B337" t="s">
        <v>31</v>
      </c>
      <c r="C337" t="s">
        <v>22</v>
      </c>
      <c r="D337" s="3" t="str">
        <f t="shared" si="24"/>
        <v>PASS</v>
      </c>
      <c r="E337" s="3" t="str">
        <f t="shared" si="25"/>
        <v>PASS</v>
      </c>
      <c r="F337" s="3" t="str">
        <f t="shared" si="26"/>
        <v>PASS</v>
      </c>
      <c r="G337" s="3" t="str">
        <f t="shared" si="27"/>
        <v>FAIL</v>
      </c>
      <c r="H337" s="3">
        <v>40278255.460000001</v>
      </c>
      <c r="I337" s="4">
        <v>0</v>
      </c>
      <c r="J337" s="3">
        <v>35029956.390000001</v>
      </c>
      <c r="K337" s="3">
        <v>2544.3000000000002</v>
      </c>
      <c r="L337" s="3">
        <v>0</v>
      </c>
      <c r="M337" t="s">
        <v>23</v>
      </c>
      <c r="N337" t="s">
        <v>344</v>
      </c>
      <c r="O337" s="4">
        <v>0.27212868163093928</v>
      </c>
      <c r="P337" s="4">
        <v>0.7278713183690606</v>
      </c>
      <c r="Q337" t="s">
        <v>355</v>
      </c>
      <c r="R337" s="4">
        <v>6.3078531383118024E-6</v>
      </c>
      <c r="S337" s="3">
        <v>10494891.140000001</v>
      </c>
      <c r="T337" s="4">
        <v>0.26055972435108038</v>
      </c>
    </row>
    <row r="338" spans="1:20" x14ac:dyDescent="0.4">
      <c r="A338" s="2">
        <v>45887</v>
      </c>
      <c r="B338" t="s">
        <v>32</v>
      </c>
      <c r="C338" t="s">
        <v>22</v>
      </c>
      <c r="D338" s="3" t="str">
        <f t="shared" si="24"/>
        <v>PASS</v>
      </c>
      <c r="E338" s="3" t="str">
        <f t="shared" si="25"/>
        <v>PASS</v>
      </c>
      <c r="F338" s="3" t="str">
        <f t="shared" si="26"/>
        <v>PASS</v>
      </c>
      <c r="G338" s="3" t="str">
        <f t="shared" si="27"/>
        <v>FAIL</v>
      </c>
      <c r="H338" s="3">
        <v>78617927.930000007</v>
      </c>
      <c r="I338" s="4">
        <v>0</v>
      </c>
      <c r="J338" s="3">
        <v>70705936.790000007</v>
      </c>
      <c r="K338" s="3">
        <v>5134.71</v>
      </c>
      <c r="L338" s="3">
        <v>0</v>
      </c>
      <c r="M338" t="s">
        <v>23</v>
      </c>
      <c r="N338" t="s">
        <v>344</v>
      </c>
      <c r="O338" s="4">
        <v>0.27576777517157047</v>
      </c>
      <c r="P338" s="4">
        <v>0.72423222482842942</v>
      </c>
      <c r="Q338" t="s">
        <v>356</v>
      </c>
      <c r="R338" s="4">
        <v>1.2921166147527289E-5</v>
      </c>
      <c r="S338" s="3">
        <v>16749408.300000001</v>
      </c>
      <c r="T338" s="4">
        <v>0.21304820339342159</v>
      </c>
    </row>
    <row r="339" spans="1:20" x14ac:dyDescent="0.4">
      <c r="A339" s="2">
        <v>45887</v>
      </c>
      <c r="B339" t="s">
        <v>33</v>
      </c>
      <c r="C339" t="s">
        <v>22</v>
      </c>
      <c r="D339" s="3" t="str">
        <f t="shared" si="24"/>
        <v>PASS</v>
      </c>
      <c r="E339" s="3" t="str">
        <f t="shared" si="25"/>
        <v>PASS</v>
      </c>
      <c r="F339" s="3" t="str">
        <f t="shared" si="26"/>
        <v>PASS</v>
      </c>
      <c r="G339" s="3" t="str">
        <f t="shared" si="27"/>
        <v>FAIL</v>
      </c>
      <c r="H339" s="3">
        <v>167246407.99000001</v>
      </c>
      <c r="I339" s="4">
        <v>0</v>
      </c>
      <c r="J339" s="3">
        <v>142969939.44</v>
      </c>
      <c r="K339" s="3">
        <v>10383.44</v>
      </c>
      <c r="L339" s="3">
        <v>0</v>
      </c>
      <c r="M339" t="s">
        <v>23</v>
      </c>
      <c r="N339" t="s">
        <v>344</v>
      </c>
      <c r="O339" s="4">
        <v>0.27723455885377968</v>
      </c>
      <c r="P339" s="4">
        <v>0.72276544114622032</v>
      </c>
      <c r="Q339" t="s">
        <v>357</v>
      </c>
      <c r="R339" s="4">
        <v>2.590855086846727E-5</v>
      </c>
      <c r="S339" s="3">
        <v>46767338.159999996</v>
      </c>
      <c r="T339" s="4">
        <v>0.27963134588096089</v>
      </c>
    </row>
    <row r="340" spans="1:20" x14ac:dyDescent="0.4">
      <c r="A340" s="2">
        <v>45888</v>
      </c>
      <c r="B340" t="s">
        <v>21</v>
      </c>
      <c r="C340" t="s">
        <v>22</v>
      </c>
      <c r="D340" s="3" t="str">
        <f t="shared" si="24"/>
        <v>PASS</v>
      </c>
      <c r="E340" s="3" t="str">
        <f t="shared" si="25"/>
        <v>PASS</v>
      </c>
      <c r="F340" s="3" t="str">
        <f t="shared" si="26"/>
        <v>PASS</v>
      </c>
      <c r="G340" s="3" t="str">
        <f t="shared" si="27"/>
        <v>FAIL</v>
      </c>
      <c r="H340" s="3">
        <v>24585274.66</v>
      </c>
      <c r="I340" s="4">
        <v>0</v>
      </c>
      <c r="J340" s="3">
        <v>20602813.5</v>
      </c>
      <c r="K340" s="3">
        <v>1503.1</v>
      </c>
      <c r="L340" s="3">
        <v>0</v>
      </c>
      <c r="M340" t="s">
        <v>23</v>
      </c>
      <c r="N340" t="s">
        <v>41</v>
      </c>
      <c r="O340" s="4">
        <v>0.29555970207661197</v>
      </c>
      <c r="P340" s="4">
        <v>0.70444029792338791</v>
      </c>
      <c r="Q340" t="s">
        <v>358</v>
      </c>
      <c r="R340" s="4">
        <v>3.7466896053501189E-6</v>
      </c>
      <c r="S340" s="3">
        <v>7766212.3699999992</v>
      </c>
      <c r="T340" s="4">
        <v>0.31588877803490839</v>
      </c>
    </row>
    <row r="341" spans="1:20" x14ac:dyDescent="0.4">
      <c r="A341" s="2">
        <v>45888</v>
      </c>
      <c r="B341" t="s">
        <v>24</v>
      </c>
      <c r="C341" t="s">
        <v>22</v>
      </c>
      <c r="D341" s="3" t="str">
        <f t="shared" si="24"/>
        <v>PASS</v>
      </c>
      <c r="E341" s="3" t="str">
        <f t="shared" si="25"/>
        <v>PASS</v>
      </c>
      <c r="F341" s="3" t="str">
        <f t="shared" si="26"/>
        <v>PASS</v>
      </c>
      <c r="G341" s="3" t="str">
        <f t="shared" si="27"/>
        <v>FAIL</v>
      </c>
      <c r="H341" s="3">
        <v>135149641.22</v>
      </c>
      <c r="I341" s="4">
        <v>0</v>
      </c>
      <c r="J341" s="3">
        <v>119723565.37</v>
      </c>
      <c r="K341" s="3">
        <v>8739.0400000000009</v>
      </c>
      <c r="L341" s="3">
        <v>0</v>
      </c>
      <c r="M341" t="s">
        <v>23</v>
      </c>
      <c r="N341" t="s">
        <v>39</v>
      </c>
      <c r="O341" s="4">
        <v>0.26189692700094702</v>
      </c>
      <c r="P341" s="4">
        <v>0.73810307299905298</v>
      </c>
      <c r="Q341" t="s">
        <v>359</v>
      </c>
      <c r="R341" s="4">
        <v>2.2428871639781209E-5</v>
      </c>
      <c r="S341" s="3">
        <v>32476394.48</v>
      </c>
      <c r="T341" s="4">
        <v>0.24029952419284711</v>
      </c>
    </row>
    <row r="342" spans="1:20" x14ac:dyDescent="0.4">
      <c r="A342" s="2">
        <v>45888</v>
      </c>
      <c r="B342" t="s">
        <v>25</v>
      </c>
      <c r="C342" t="s">
        <v>22</v>
      </c>
      <c r="D342" s="3" t="str">
        <f t="shared" si="24"/>
        <v>PASS</v>
      </c>
      <c r="E342" s="3" t="str">
        <f t="shared" si="25"/>
        <v>PASS</v>
      </c>
      <c r="F342" s="3" t="str">
        <f t="shared" si="26"/>
        <v>PASS</v>
      </c>
      <c r="G342" s="3" t="str">
        <f t="shared" si="27"/>
        <v>FAIL</v>
      </c>
      <c r="H342" s="3">
        <v>101086404.78</v>
      </c>
      <c r="I342" s="4">
        <v>0</v>
      </c>
      <c r="J342" s="3">
        <v>92122261.060000002</v>
      </c>
      <c r="K342" s="3">
        <v>6718.86</v>
      </c>
      <c r="L342" s="3">
        <v>0</v>
      </c>
      <c r="M342" t="s">
        <v>23</v>
      </c>
      <c r="N342" t="s">
        <v>39</v>
      </c>
      <c r="O342" s="4">
        <v>0.25359642491606033</v>
      </c>
      <c r="P342" s="4">
        <v>0.74640357508393973</v>
      </c>
      <c r="Q342" t="s">
        <v>360</v>
      </c>
      <c r="R342" s="4">
        <v>1.671057741314366E-5</v>
      </c>
      <c r="S342" s="3">
        <v>17259805.32</v>
      </c>
      <c r="T342" s="4">
        <v>0.17074309208605731</v>
      </c>
    </row>
    <row r="343" spans="1:20" x14ac:dyDescent="0.4">
      <c r="A343" s="2">
        <v>45888</v>
      </c>
      <c r="B343" t="s">
        <v>26</v>
      </c>
      <c r="C343" t="s">
        <v>22</v>
      </c>
      <c r="D343" s="3" t="str">
        <f t="shared" si="24"/>
        <v>PASS</v>
      </c>
      <c r="E343" s="3" t="str">
        <f t="shared" si="25"/>
        <v>PASS</v>
      </c>
      <c r="F343" s="3" t="str">
        <f t="shared" si="26"/>
        <v>PASS</v>
      </c>
      <c r="G343" s="3" t="str">
        <f t="shared" si="27"/>
        <v>FAIL</v>
      </c>
      <c r="H343" s="3">
        <v>23367308.5</v>
      </c>
      <c r="I343" s="4">
        <v>0</v>
      </c>
      <c r="J343" s="3">
        <v>21427901.800000001</v>
      </c>
      <c r="K343" s="3">
        <v>1563.78</v>
      </c>
      <c r="L343" s="3">
        <v>0</v>
      </c>
      <c r="M343" t="s">
        <v>23</v>
      </c>
      <c r="N343" t="s">
        <v>39</v>
      </c>
      <c r="O343" s="4">
        <v>0.25552683557659378</v>
      </c>
      <c r="P343" s="4">
        <v>0.74447316442340616</v>
      </c>
      <c r="Q343" t="s">
        <v>361</v>
      </c>
      <c r="R343" s="4">
        <v>3.9154401634018061E-6</v>
      </c>
      <c r="S343" s="3">
        <v>3711780.709999999</v>
      </c>
      <c r="T343" s="4">
        <v>0.15884502530533201</v>
      </c>
    </row>
    <row r="344" spans="1:20" x14ac:dyDescent="0.4">
      <c r="A344" s="2">
        <v>45888</v>
      </c>
      <c r="B344" t="s">
        <v>27</v>
      </c>
      <c r="C344" t="s">
        <v>22</v>
      </c>
      <c r="D344" s="3" t="str">
        <f t="shared" si="24"/>
        <v>PASS</v>
      </c>
      <c r="E344" s="3" t="str">
        <f t="shared" si="25"/>
        <v>PASS</v>
      </c>
      <c r="F344" s="3" t="str">
        <f t="shared" si="26"/>
        <v>PASS</v>
      </c>
      <c r="G344" s="3" t="str">
        <f t="shared" si="27"/>
        <v>FAIL</v>
      </c>
      <c r="H344" s="3">
        <v>43133520.450000003</v>
      </c>
      <c r="I344" s="4">
        <v>0</v>
      </c>
      <c r="J344" s="3">
        <v>36739248.609999999</v>
      </c>
      <c r="K344" s="3">
        <v>2682.04</v>
      </c>
      <c r="L344" s="3">
        <v>0</v>
      </c>
      <c r="M344" t="s">
        <v>23</v>
      </c>
      <c r="N344" t="s">
        <v>39</v>
      </c>
      <c r="O344" s="4">
        <v>0.26154987985749117</v>
      </c>
      <c r="P344" s="4">
        <v>0.73845012014250888</v>
      </c>
      <c r="Q344" t="s">
        <v>362</v>
      </c>
      <c r="R344" s="4">
        <v>6.8717790538263011E-6</v>
      </c>
      <c r="S344" s="3">
        <v>14160629.9</v>
      </c>
      <c r="T344" s="4">
        <v>0.32829756885749389</v>
      </c>
    </row>
    <row r="345" spans="1:20" x14ac:dyDescent="0.4">
      <c r="A345" s="2">
        <v>45888</v>
      </c>
      <c r="B345" t="s">
        <v>28</v>
      </c>
      <c r="C345" t="s">
        <v>22</v>
      </c>
      <c r="D345" s="3" t="str">
        <f t="shared" si="24"/>
        <v>PASS</v>
      </c>
      <c r="E345" s="3" t="str">
        <f t="shared" si="25"/>
        <v>PASS</v>
      </c>
      <c r="F345" s="3" t="str">
        <f t="shared" si="26"/>
        <v>PASS</v>
      </c>
      <c r="G345" s="3" t="str">
        <f t="shared" si="27"/>
        <v>FAIL</v>
      </c>
      <c r="H345" s="3">
        <v>15270757.35</v>
      </c>
      <c r="I345" s="4">
        <v>0</v>
      </c>
      <c r="J345" s="3">
        <v>13604526.33</v>
      </c>
      <c r="K345" s="3">
        <v>993.33</v>
      </c>
      <c r="L345" s="3">
        <v>0</v>
      </c>
      <c r="M345" t="s">
        <v>23</v>
      </c>
      <c r="N345" t="s">
        <v>39</v>
      </c>
      <c r="O345" s="4">
        <v>0.25532961793312209</v>
      </c>
      <c r="P345" s="4">
        <v>0.74467038206687786</v>
      </c>
      <c r="Q345" t="s">
        <v>363</v>
      </c>
      <c r="R345" s="4">
        <v>2.4842645444824329E-6</v>
      </c>
      <c r="S345" s="3">
        <v>3964544.66</v>
      </c>
      <c r="T345" s="4">
        <v>0.25961676746831419</v>
      </c>
    </row>
    <row r="346" spans="1:20" x14ac:dyDescent="0.4">
      <c r="A346" s="2">
        <v>45888</v>
      </c>
      <c r="B346" t="s">
        <v>29</v>
      </c>
      <c r="C346" t="s">
        <v>22</v>
      </c>
      <c r="D346" s="3" t="str">
        <f t="shared" si="24"/>
        <v>PASS</v>
      </c>
      <c r="E346" s="3" t="str">
        <f t="shared" si="25"/>
        <v>PASS</v>
      </c>
      <c r="F346" s="3" t="str">
        <f t="shared" si="26"/>
        <v>PASS</v>
      </c>
      <c r="G346" s="3" t="str">
        <f t="shared" si="27"/>
        <v>FAIL</v>
      </c>
      <c r="H346" s="3">
        <v>34469876.969999999</v>
      </c>
      <c r="I346" s="4">
        <v>0</v>
      </c>
      <c r="J346" s="3">
        <v>32271525.079999998</v>
      </c>
      <c r="K346" s="3">
        <v>2355.64</v>
      </c>
      <c r="L346" s="3">
        <v>0</v>
      </c>
      <c r="M346" t="s">
        <v>23</v>
      </c>
      <c r="N346" t="s">
        <v>39</v>
      </c>
      <c r="O346" s="4">
        <v>0.25818012595765433</v>
      </c>
      <c r="P346" s="4">
        <v>0.74181987404234562</v>
      </c>
      <c r="Q346" t="s">
        <v>364</v>
      </c>
      <c r="R346" s="4">
        <v>5.9596716071418652E-6</v>
      </c>
      <c r="S346" s="3">
        <v>4273878.03</v>
      </c>
      <c r="T346" s="4">
        <v>0.1239887810948575</v>
      </c>
    </row>
    <row r="347" spans="1:20" x14ac:dyDescent="0.4">
      <c r="A347" s="2">
        <v>45888</v>
      </c>
      <c r="B347" t="s">
        <v>30</v>
      </c>
      <c r="C347" t="s">
        <v>22</v>
      </c>
      <c r="D347" s="3" t="str">
        <f t="shared" si="24"/>
        <v>PASS</v>
      </c>
      <c r="E347" s="3" t="str">
        <f t="shared" si="25"/>
        <v>PASS</v>
      </c>
      <c r="F347" s="3" t="str">
        <f t="shared" si="26"/>
        <v>PASS</v>
      </c>
      <c r="G347" s="3" t="str">
        <f t="shared" si="27"/>
        <v>FAIL</v>
      </c>
      <c r="H347" s="3">
        <v>54591282.280000001</v>
      </c>
      <c r="I347" s="4">
        <v>0</v>
      </c>
      <c r="J347" s="3">
        <v>50070506.609999999</v>
      </c>
      <c r="K347" s="3">
        <v>3614.16</v>
      </c>
      <c r="L347" s="3">
        <v>0</v>
      </c>
      <c r="M347" t="s">
        <v>23</v>
      </c>
      <c r="N347" t="s">
        <v>365</v>
      </c>
      <c r="O347" s="4">
        <v>0.25166104285997759</v>
      </c>
      <c r="P347" s="4">
        <v>0.74833895714002241</v>
      </c>
      <c r="Q347" t="s">
        <v>366</v>
      </c>
      <c r="R347" s="4">
        <v>7.6106843157195097E-5</v>
      </c>
      <c r="S347" s="3">
        <v>9205902.2499999981</v>
      </c>
      <c r="T347" s="4">
        <v>0.16863319316777911</v>
      </c>
    </row>
    <row r="348" spans="1:20" x14ac:dyDescent="0.4">
      <c r="A348" s="2">
        <v>45888</v>
      </c>
      <c r="B348" t="s">
        <v>31</v>
      </c>
      <c r="C348" t="s">
        <v>22</v>
      </c>
      <c r="D348" s="3" t="str">
        <f t="shared" si="24"/>
        <v>PASS</v>
      </c>
      <c r="E348" s="3" t="str">
        <f t="shared" si="25"/>
        <v>PASS</v>
      </c>
      <c r="F348" s="3" t="str">
        <f t="shared" si="26"/>
        <v>PASS</v>
      </c>
      <c r="G348" s="3" t="str">
        <f t="shared" si="27"/>
        <v>FAIL</v>
      </c>
      <c r="H348" s="3">
        <v>40119486.079999998</v>
      </c>
      <c r="I348" s="4">
        <v>0</v>
      </c>
      <c r="J348" s="3">
        <v>34868643.740000002</v>
      </c>
      <c r="K348" s="3">
        <v>2543.9499999999998</v>
      </c>
      <c r="L348" s="3">
        <v>0</v>
      </c>
      <c r="M348" t="s">
        <v>23</v>
      </c>
      <c r="N348" t="s">
        <v>39</v>
      </c>
      <c r="O348" s="4">
        <v>0.25298969170631702</v>
      </c>
      <c r="P348" s="4">
        <v>0.74701030829368298</v>
      </c>
      <c r="Q348" t="s">
        <v>367</v>
      </c>
      <c r="R348" s="4">
        <v>6.3078531383118024E-6</v>
      </c>
      <c r="S348" s="3">
        <v>10503211.01</v>
      </c>
      <c r="T348" s="4">
        <v>0.26179824410153563</v>
      </c>
    </row>
    <row r="349" spans="1:20" x14ac:dyDescent="0.4">
      <c r="A349" s="2">
        <v>45888</v>
      </c>
      <c r="B349" t="s">
        <v>32</v>
      </c>
      <c r="C349" t="s">
        <v>22</v>
      </c>
      <c r="D349" s="3" t="str">
        <f t="shared" si="24"/>
        <v>PASS</v>
      </c>
      <c r="E349" s="3" t="str">
        <f t="shared" si="25"/>
        <v>PASS</v>
      </c>
      <c r="F349" s="3" t="str">
        <f t="shared" si="26"/>
        <v>PASS</v>
      </c>
      <c r="G349" s="3" t="str">
        <f t="shared" si="27"/>
        <v>FAIL</v>
      </c>
      <c r="H349" s="3">
        <v>78247529.840000004</v>
      </c>
      <c r="I349" s="4">
        <v>0</v>
      </c>
      <c r="J349" s="3">
        <v>70330405.260000005</v>
      </c>
      <c r="K349" s="3">
        <v>5133.4399999999996</v>
      </c>
      <c r="L349" s="3">
        <v>0</v>
      </c>
      <c r="M349" t="s">
        <v>23</v>
      </c>
      <c r="N349" t="s">
        <v>39</v>
      </c>
      <c r="O349" s="4">
        <v>0.25691148136006059</v>
      </c>
      <c r="P349" s="4">
        <v>0.74308851863993941</v>
      </c>
      <c r="Q349" t="s">
        <v>368</v>
      </c>
      <c r="R349" s="4">
        <v>1.2921166147527289E-5</v>
      </c>
      <c r="S349" s="3">
        <v>16692071.380000001</v>
      </c>
      <c r="T349" s="4">
        <v>0.21332394024618839</v>
      </c>
    </row>
    <row r="350" spans="1:20" x14ac:dyDescent="0.4">
      <c r="A350" s="2">
        <v>45888</v>
      </c>
      <c r="B350" t="s">
        <v>33</v>
      </c>
      <c r="C350" t="s">
        <v>22</v>
      </c>
      <c r="D350" s="3" t="str">
        <f t="shared" si="24"/>
        <v>PASS</v>
      </c>
      <c r="E350" s="3" t="str">
        <f t="shared" si="25"/>
        <v>PASS</v>
      </c>
      <c r="F350" s="3" t="str">
        <f t="shared" si="26"/>
        <v>PASS</v>
      </c>
      <c r="G350" s="3" t="str">
        <f t="shared" si="27"/>
        <v>FAIL</v>
      </c>
      <c r="H350" s="3">
        <v>166627224.40000001</v>
      </c>
      <c r="I350" s="4">
        <v>0</v>
      </c>
      <c r="J350" s="3">
        <v>142340375.84</v>
      </c>
      <c r="K350" s="3">
        <v>10380.56</v>
      </c>
      <c r="L350" s="3">
        <v>0</v>
      </c>
      <c r="M350" t="s">
        <v>23</v>
      </c>
      <c r="N350" t="s">
        <v>39</v>
      </c>
      <c r="O350" s="4">
        <v>0.25447589523520819</v>
      </c>
      <c r="P350" s="4">
        <v>0.74552410476479181</v>
      </c>
      <c r="Q350" t="s">
        <v>369</v>
      </c>
      <c r="R350" s="4">
        <v>2.590855086846727E-5</v>
      </c>
      <c r="S350" s="3">
        <v>46649472.219999999</v>
      </c>
      <c r="T350" s="4">
        <v>0.2799630875925459</v>
      </c>
    </row>
    <row r="351" spans="1:20" x14ac:dyDescent="0.4">
      <c r="A351" s="2">
        <v>45889</v>
      </c>
      <c r="B351" t="s">
        <v>21</v>
      </c>
      <c r="C351" t="s">
        <v>22</v>
      </c>
      <c r="D351" s="3" t="str">
        <f t="shared" si="24"/>
        <v>PASS</v>
      </c>
      <c r="E351" s="3" t="str">
        <f t="shared" si="25"/>
        <v>PASS</v>
      </c>
      <c r="F351" s="3" t="str">
        <f t="shared" si="26"/>
        <v>PASS</v>
      </c>
      <c r="G351" s="3" t="str">
        <f t="shared" si="27"/>
        <v>FAIL</v>
      </c>
      <c r="H351" s="3">
        <v>24577663.379999999</v>
      </c>
      <c r="I351" s="4">
        <v>0</v>
      </c>
      <c r="J351" s="3">
        <v>20593706.399999999</v>
      </c>
      <c r="K351" s="3">
        <v>1496.37</v>
      </c>
      <c r="L351" s="3">
        <v>0</v>
      </c>
      <c r="M351" t="s">
        <v>23</v>
      </c>
      <c r="N351" t="s">
        <v>41</v>
      </c>
      <c r="O351" s="4">
        <v>0.29349489463441131</v>
      </c>
      <c r="P351" s="4">
        <v>0.70650510536558875</v>
      </c>
      <c r="Q351" t="s">
        <v>370</v>
      </c>
      <c r="R351" s="4">
        <v>3.7573700204166808E-6</v>
      </c>
      <c r="S351" s="3">
        <v>7758848.6000000006</v>
      </c>
      <c r="T351" s="4">
        <v>0.31568699107148412</v>
      </c>
    </row>
    <row r="352" spans="1:20" x14ac:dyDescent="0.4">
      <c r="A352" s="2">
        <v>45889</v>
      </c>
      <c r="B352" t="s">
        <v>24</v>
      </c>
      <c r="C352" t="s">
        <v>22</v>
      </c>
      <c r="D352" s="3" t="str">
        <f t="shared" si="24"/>
        <v>PASS</v>
      </c>
      <c r="E352" s="3" t="str">
        <f t="shared" si="25"/>
        <v>PASS</v>
      </c>
      <c r="F352" s="3" t="str">
        <f t="shared" si="26"/>
        <v>PASS</v>
      </c>
      <c r="G352" s="3" t="str">
        <f t="shared" si="27"/>
        <v>FAIL</v>
      </c>
      <c r="H352" s="3">
        <v>135066113.87</v>
      </c>
      <c r="I352" s="4">
        <v>0</v>
      </c>
      <c r="J352" s="3">
        <v>119631345.76000001</v>
      </c>
      <c r="K352" s="3">
        <v>8692.81</v>
      </c>
      <c r="L352" s="3">
        <v>0</v>
      </c>
      <c r="M352" t="s">
        <v>23</v>
      </c>
      <c r="N352" t="s">
        <v>39</v>
      </c>
      <c r="O352" s="4">
        <v>0.26027264762586078</v>
      </c>
      <c r="P352" s="4">
        <v>0.73972735237413922</v>
      </c>
      <c r="Q352" t="s">
        <v>371</v>
      </c>
      <c r="R352" s="4">
        <v>2.2492954130180589E-5</v>
      </c>
      <c r="S352" s="3">
        <v>32379791.940000001</v>
      </c>
      <c r="T352" s="4">
        <v>0.23973290570250119</v>
      </c>
    </row>
    <row r="353" spans="1:20" x14ac:dyDescent="0.4">
      <c r="A353" s="2">
        <v>45889</v>
      </c>
      <c r="B353" t="s">
        <v>25</v>
      </c>
      <c r="C353" t="s">
        <v>22</v>
      </c>
      <c r="D353" s="3" t="str">
        <f t="shared" si="24"/>
        <v>PASS</v>
      </c>
      <c r="E353" s="3" t="str">
        <f t="shared" si="25"/>
        <v>PASS</v>
      </c>
      <c r="F353" s="3" t="str">
        <f t="shared" si="26"/>
        <v>PASS</v>
      </c>
      <c r="G353" s="3" t="str">
        <f t="shared" si="27"/>
        <v>FAIL</v>
      </c>
      <c r="H353" s="3">
        <v>101053018</v>
      </c>
      <c r="I353" s="4">
        <v>0</v>
      </c>
      <c r="J353" s="3">
        <v>92082185.950000003</v>
      </c>
      <c r="K353" s="3">
        <v>6689.01</v>
      </c>
      <c r="L353" s="3">
        <v>0</v>
      </c>
      <c r="M353" t="s">
        <v>23</v>
      </c>
      <c r="N353" t="s">
        <v>39</v>
      </c>
      <c r="O353" s="4">
        <v>0.25204625270953401</v>
      </c>
      <c r="P353" s="4">
        <v>0.74795374729046604</v>
      </c>
      <c r="Q353" t="s">
        <v>372</v>
      </c>
      <c r="R353" s="4">
        <v>1.6766115571489788E-5</v>
      </c>
      <c r="S353" s="3">
        <v>17251884.5</v>
      </c>
      <c r="T353" s="4">
        <v>0.17072112086746391</v>
      </c>
    </row>
    <row r="354" spans="1:20" x14ac:dyDescent="0.4">
      <c r="A354" s="2">
        <v>45889</v>
      </c>
      <c r="B354" t="s">
        <v>26</v>
      </c>
      <c r="C354" t="s">
        <v>22</v>
      </c>
      <c r="D354" s="3" t="str">
        <f t="shared" si="24"/>
        <v>PASS</v>
      </c>
      <c r="E354" s="3" t="str">
        <f t="shared" si="25"/>
        <v>PASS</v>
      </c>
      <c r="F354" s="3" t="str">
        <f t="shared" si="26"/>
        <v>PASS</v>
      </c>
      <c r="G354" s="3" t="str">
        <f t="shared" si="27"/>
        <v>FAIL</v>
      </c>
      <c r="H354" s="3">
        <v>23355135.109999999</v>
      </c>
      <c r="I354" s="4">
        <v>0</v>
      </c>
      <c r="J354" s="3">
        <v>21414172.690000001</v>
      </c>
      <c r="K354" s="3">
        <v>1556.43</v>
      </c>
      <c r="L354" s="3">
        <v>0</v>
      </c>
      <c r="M354" t="s">
        <v>23</v>
      </c>
      <c r="N354" t="s">
        <v>39</v>
      </c>
      <c r="O354" s="4">
        <v>0.25405483129126671</v>
      </c>
      <c r="P354" s="4">
        <v>0.74594516870873329</v>
      </c>
      <c r="Q354" t="s">
        <v>373</v>
      </c>
      <c r="R354" s="4">
        <v>3.9303927444949938E-6</v>
      </c>
      <c r="S354" s="3">
        <v>3704410.85</v>
      </c>
      <c r="T354" s="4">
        <v>0.1586122637506763</v>
      </c>
    </row>
    <row r="355" spans="1:20" x14ac:dyDescent="0.4">
      <c r="A355" s="2">
        <v>45889</v>
      </c>
      <c r="B355" t="s">
        <v>27</v>
      </c>
      <c r="C355" t="s">
        <v>22</v>
      </c>
      <c r="D355" s="3" t="str">
        <f t="shared" si="24"/>
        <v>PASS</v>
      </c>
      <c r="E355" s="3" t="str">
        <f t="shared" si="25"/>
        <v>PASS</v>
      </c>
      <c r="F355" s="3" t="str">
        <f t="shared" si="26"/>
        <v>PASS</v>
      </c>
      <c r="G355" s="3" t="str">
        <f t="shared" si="27"/>
        <v>FAIL</v>
      </c>
      <c r="H355" s="3">
        <v>43100524.549999997</v>
      </c>
      <c r="I355" s="4">
        <v>0</v>
      </c>
      <c r="J355" s="3">
        <v>36703585.340000004</v>
      </c>
      <c r="K355" s="3">
        <v>2667.92</v>
      </c>
      <c r="L355" s="3">
        <v>0</v>
      </c>
      <c r="M355" t="s">
        <v>23</v>
      </c>
      <c r="N355" t="s">
        <v>39</v>
      </c>
      <c r="O355" s="4">
        <v>0.25993169854179698</v>
      </c>
      <c r="P355" s="4">
        <v>0.74006830145820302</v>
      </c>
      <c r="Q355" t="s">
        <v>374</v>
      </c>
      <c r="R355" s="4">
        <v>6.8910038009461138E-6</v>
      </c>
      <c r="S355" s="3">
        <v>14114240.880000001</v>
      </c>
      <c r="T355" s="4">
        <v>0.32747260102661557</v>
      </c>
    </row>
    <row r="356" spans="1:20" x14ac:dyDescent="0.4">
      <c r="A356" s="2">
        <v>45889</v>
      </c>
      <c r="B356" t="s">
        <v>28</v>
      </c>
      <c r="C356" t="s">
        <v>22</v>
      </c>
      <c r="D356" s="3" t="str">
        <f t="shared" si="24"/>
        <v>PASS</v>
      </c>
      <c r="E356" s="3" t="str">
        <f t="shared" si="25"/>
        <v>PASS</v>
      </c>
      <c r="F356" s="3" t="str">
        <f t="shared" si="26"/>
        <v>PASS</v>
      </c>
      <c r="G356" s="3" t="str">
        <f t="shared" si="27"/>
        <v>FAIL</v>
      </c>
      <c r="H356" s="3">
        <v>15261733.18</v>
      </c>
      <c r="I356" s="4">
        <v>0</v>
      </c>
      <c r="J356" s="3">
        <v>13594514.43</v>
      </c>
      <c r="K356" s="3">
        <v>988.44</v>
      </c>
      <c r="L356" s="3">
        <v>0</v>
      </c>
      <c r="M356" t="s">
        <v>23</v>
      </c>
      <c r="N356" t="s">
        <v>39</v>
      </c>
      <c r="O356" s="4">
        <v>0.25364875647125268</v>
      </c>
      <c r="P356" s="4">
        <v>0.74635124352874738</v>
      </c>
      <c r="Q356" t="s">
        <v>375</v>
      </c>
      <c r="R356" s="4">
        <v>2.4906727935223712E-6</v>
      </c>
      <c r="S356" s="3">
        <v>3954382.040000001</v>
      </c>
      <c r="T356" s="4">
        <v>0.25910438829988769</v>
      </c>
    </row>
    <row r="357" spans="1:20" x14ac:dyDescent="0.4">
      <c r="A357" s="2">
        <v>45889</v>
      </c>
      <c r="B357" t="s">
        <v>29</v>
      </c>
      <c r="C357" t="s">
        <v>22</v>
      </c>
      <c r="D357" s="3" t="str">
        <f t="shared" si="24"/>
        <v>PASS</v>
      </c>
      <c r="E357" s="3" t="str">
        <f t="shared" si="25"/>
        <v>PASS</v>
      </c>
      <c r="F357" s="3" t="str">
        <f t="shared" si="26"/>
        <v>PASS</v>
      </c>
      <c r="G357" s="3" t="str">
        <f t="shared" si="27"/>
        <v>FAIL</v>
      </c>
      <c r="H357" s="3">
        <v>34440299.079999998</v>
      </c>
      <c r="I357" s="4">
        <v>0</v>
      </c>
      <c r="J357" s="3">
        <v>32239604.190000001</v>
      </c>
      <c r="K357" s="3">
        <v>2343</v>
      </c>
      <c r="L357" s="3">
        <v>0</v>
      </c>
      <c r="M357" t="s">
        <v>23</v>
      </c>
      <c r="N357" t="s">
        <v>39</v>
      </c>
      <c r="O357" s="4">
        <v>0.25589037202134463</v>
      </c>
      <c r="P357" s="4">
        <v>0.74410962797865543</v>
      </c>
      <c r="Q357" t="s">
        <v>376</v>
      </c>
      <c r="R357" s="4">
        <v>5.9596716071418652E-6</v>
      </c>
      <c r="S357" s="3">
        <v>4262182.5999999996</v>
      </c>
      <c r="T357" s="4">
        <v>0.1237556790694397</v>
      </c>
    </row>
    <row r="358" spans="1:20" x14ac:dyDescent="0.4">
      <c r="A358" s="2">
        <v>45889</v>
      </c>
      <c r="B358" t="s">
        <v>30</v>
      </c>
      <c r="C358" t="s">
        <v>22</v>
      </c>
      <c r="D358" s="3" t="str">
        <f t="shared" si="24"/>
        <v>PASS</v>
      </c>
      <c r="E358" s="3" t="str">
        <f t="shared" si="25"/>
        <v>PASS</v>
      </c>
      <c r="F358" s="3" t="str">
        <f t="shared" si="26"/>
        <v>PASS</v>
      </c>
      <c r="G358" s="3" t="str">
        <f t="shared" si="27"/>
        <v>FAIL</v>
      </c>
      <c r="H358" s="3">
        <v>54618565.159999996</v>
      </c>
      <c r="I358" s="4">
        <v>0</v>
      </c>
      <c r="J358" s="3">
        <v>50094154.229999997</v>
      </c>
      <c r="K358" s="3">
        <v>3635.94</v>
      </c>
      <c r="L358" s="3">
        <v>0</v>
      </c>
      <c r="M358" t="s">
        <v>23</v>
      </c>
      <c r="N358" t="s">
        <v>377</v>
      </c>
      <c r="O358" s="4">
        <v>0.27127072487555598</v>
      </c>
      <c r="P358" s="4">
        <v>0.72872927512444408</v>
      </c>
      <c r="Q358" t="s">
        <v>378</v>
      </c>
      <c r="R358" s="4">
        <v>7.6106843157195097E-5</v>
      </c>
      <c r="S358" s="3">
        <v>9232725.9299999997</v>
      </c>
      <c r="T358" s="4">
        <v>0.16904006729128801</v>
      </c>
    </row>
    <row r="359" spans="1:20" x14ac:dyDescent="0.4">
      <c r="A359" s="2">
        <v>45889</v>
      </c>
      <c r="B359" t="s">
        <v>31</v>
      </c>
      <c r="C359" t="s">
        <v>22</v>
      </c>
      <c r="D359" s="3" t="str">
        <f t="shared" si="24"/>
        <v>PASS</v>
      </c>
      <c r="E359" s="3" t="str">
        <f t="shared" si="25"/>
        <v>PASS</v>
      </c>
      <c r="F359" s="3" t="str">
        <f t="shared" si="26"/>
        <v>PASS</v>
      </c>
      <c r="G359" s="3" t="str">
        <f t="shared" si="27"/>
        <v>FAIL</v>
      </c>
      <c r="H359" s="3">
        <v>40098586.670000002</v>
      </c>
      <c r="I359" s="4">
        <v>0</v>
      </c>
      <c r="J359" s="3">
        <v>34845212.770000003</v>
      </c>
      <c r="K359" s="3">
        <v>2532.2399999999998</v>
      </c>
      <c r="L359" s="3">
        <v>0</v>
      </c>
      <c r="M359" t="s">
        <v>23</v>
      </c>
      <c r="N359" t="s">
        <v>39</v>
      </c>
      <c r="O359" s="4">
        <v>0.25183342480706572</v>
      </c>
      <c r="P359" s="4">
        <v>0.74816657519293428</v>
      </c>
      <c r="Q359" t="s">
        <v>379</v>
      </c>
      <c r="R359" s="4">
        <v>6.337758300498177E-6</v>
      </c>
      <c r="S359" s="3">
        <v>10482369.98</v>
      </c>
      <c r="T359" s="4">
        <v>0.26141494876781901</v>
      </c>
    </row>
    <row r="360" spans="1:20" x14ac:dyDescent="0.4">
      <c r="A360" s="2">
        <v>45889</v>
      </c>
      <c r="B360" t="s">
        <v>32</v>
      </c>
      <c r="C360" t="s">
        <v>22</v>
      </c>
      <c r="D360" s="3" t="str">
        <f t="shared" si="24"/>
        <v>PASS</v>
      </c>
      <c r="E360" s="3" t="str">
        <f t="shared" si="25"/>
        <v>PASS</v>
      </c>
      <c r="F360" s="3" t="str">
        <f t="shared" si="26"/>
        <v>PASS</v>
      </c>
      <c r="G360" s="3" t="str">
        <f t="shared" si="27"/>
        <v>FAIL</v>
      </c>
      <c r="H360" s="3">
        <v>78198631.969999999</v>
      </c>
      <c r="I360" s="4">
        <v>0</v>
      </c>
      <c r="J360" s="3">
        <v>70276401.209999993</v>
      </c>
      <c r="K360" s="3">
        <v>5106.18</v>
      </c>
      <c r="L360" s="3">
        <v>0</v>
      </c>
      <c r="M360" t="s">
        <v>23</v>
      </c>
      <c r="N360" t="s">
        <v>39</v>
      </c>
      <c r="O360" s="4">
        <v>0.25523179817363328</v>
      </c>
      <c r="P360" s="4">
        <v>0.7447682018263666</v>
      </c>
      <c r="Q360" t="s">
        <v>380</v>
      </c>
      <c r="R360" s="4">
        <v>1.295534347574029E-5</v>
      </c>
      <c r="S360" s="3">
        <v>16654010.720000001</v>
      </c>
      <c r="T360" s="4">
        <v>0.21297061470831249</v>
      </c>
    </row>
    <row r="361" spans="1:20" x14ac:dyDescent="0.4">
      <c r="A361" s="2">
        <v>45889</v>
      </c>
      <c r="B361" t="s">
        <v>33</v>
      </c>
      <c r="C361" t="s">
        <v>22</v>
      </c>
      <c r="D361" s="3" t="str">
        <f t="shared" si="24"/>
        <v>PASS</v>
      </c>
      <c r="E361" s="3" t="str">
        <f t="shared" si="25"/>
        <v>PASS</v>
      </c>
      <c r="F361" s="3" t="str">
        <f t="shared" si="26"/>
        <v>PASS</v>
      </c>
      <c r="G361" s="3" t="str">
        <f t="shared" si="27"/>
        <v>FAIL</v>
      </c>
      <c r="H361" s="3">
        <v>166565442.62</v>
      </c>
      <c r="I361" s="4">
        <v>0</v>
      </c>
      <c r="J361" s="3">
        <v>142268259.75999999</v>
      </c>
      <c r="K361" s="3">
        <v>10334.85</v>
      </c>
      <c r="L361" s="3">
        <v>0</v>
      </c>
      <c r="M361" t="s">
        <v>23</v>
      </c>
      <c r="N361" t="s">
        <v>39</v>
      </c>
      <c r="O361" s="4">
        <v>0.25290790096608973</v>
      </c>
      <c r="P361" s="4">
        <v>0.74709209903391027</v>
      </c>
      <c r="Q361" t="s">
        <v>381</v>
      </c>
      <c r="R361" s="4">
        <v>2.5991858105986461E-5</v>
      </c>
      <c r="S361" s="3">
        <v>46517150.580000013</v>
      </c>
      <c r="T361" s="4">
        <v>0.27927251804639669</v>
      </c>
    </row>
    <row r="362" spans="1:20" x14ac:dyDescent="0.4">
      <c r="A362" s="2">
        <v>45890</v>
      </c>
      <c r="B362" t="s">
        <v>21</v>
      </c>
      <c r="C362" t="s">
        <v>22</v>
      </c>
      <c r="D362" s="3" t="str">
        <f t="shared" si="24"/>
        <v>PASS</v>
      </c>
      <c r="E362" s="3" t="str">
        <f t="shared" si="25"/>
        <v>PASS</v>
      </c>
      <c r="F362" s="3" t="str">
        <f t="shared" si="26"/>
        <v>PASS</v>
      </c>
      <c r="G362" s="3" t="str">
        <f t="shared" si="27"/>
        <v>FAIL</v>
      </c>
      <c r="H362" s="3">
        <v>24537976.16</v>
      </c>
      <c r="I362" s="4">
        <v>0</v>
      </c>
      <c r="J362" s="3">
        <v>20552524.02</v>
      </c>
      <c r="K362" s="3">
        <v>1495.71</v>
      </c>
      <c r="L362" s="3">
        <v>0</v>
      </c>
      <c r="M362" t="s">
        <v>23</v>
      </c>
      <c r="N362" t="s">
        <v>41</v>
      </c>
      <c r="O362" s="4">
        <v>0.29319498053553422</v>
      </c>
      <c r="P362" s="4">
        <v>0.70680501946446572</v>
      </c>
      <c r="Q362" t="s">
        <v>382</v>
      </c>
      <c r="R362" s="4">
        <v>3.7573700204166808E-6</v>
      </c>
      <c r="S362" s="3">
        <v>7756227.2300000004</v>
      </c>
      <c r="T362" s="4">
        <v>0.31609074764053402</v>
      </c>
    </row>
    <row r="363" spans="1:20" x14ac:dyDescent="0.4">
      <c r="A363" s="2">
        <v>45890</v>
      </c>
      <c r="B363" t="s">
        <v>24</v>
      </c>
      <c r="C363" t="s">
        <v>22</v>
      </c>
      <c r="D363" s="3" t="str">
        <f t="shared" si="24"/>
        <v>PASS</v>
      </c>
      <c r="E363" s="3" t="str">
        <f t="shared" si="25"/>
        <v>PASS</v>
      </c>
      <c r="F363" s="3" t="str">
        <f t="shared" si="26"/>
        <v>PASS</v>
      </c>
      <c r="G363" s="3" t="str">
        <f t="shared" si="27"/>
        <v>FAIL</v>
      </c>
      <c r="H363" s="3">
        <v>134819980.75</v>
      </c>
      <c r="I363" s="4">
        <v>0</v>
      </c>
      <c r="J363" s="3">
        <v>119376527.08</v>
      </c>
      <c r="K363" s="3">
        <v>8686.11</v>
      </c>
      <c r="L363" s="3">
        <v>0</v>
      </c>
      <c r="M363" t="s">
        <v>23</v>
      </c>
      <c r="N363" t="s">
        <v>39</v>
      </c>
      <c r="O363" s="4">
        <v>0.25983493571741462</v>
      </c>
      <c r="P363" s="4">
        <v>0.74016506428258544</v>
      </c>
      <c r="Q363" t="s">
        <v>383</v>
      </c>
      <c r="R363" s="4">
        <v>2.2492954130180589E-5</v>
      </c>
      <c r="S363" s="3">
        <v>32266760.829999998</v>
      </c>
      <c r="T363" s="4">
        <v>0.2393321868947085</v>
      </c>
    </row>
    <row r="364" spans="1:20" x14ac:dyDescent="0.4">
      <c r="A364" s="2">
        <v>45890</v>
      </c>
      <c r="B364" t="s">
        <v>25</v>
      </c>
      <c r="C364" t="s">
        <v>22</v>
      </c>
      <c r="D364" s="3" t="str">
        <f t="shared" si="24"/>
        <v>PASS</v>
      </c>
      <c r="E364" s="3" t="str">
        <f t="shared" si="25"/>
        <v>PASS</v>
      </c>
      <c r="F364" s="3" t="str">
        <f t="shared" si="26"/>
        <v>PASS</v>
      </c>
      <c r="G364" s="3" t="str">
        <f t="shared" si="27"/>
        <v>FAIL</v>
      </c>
      <c r="H364" s="3">
        <v>100914387.16</v>
      </c>
      <c r="I364" s="4">
        <v>0</v>
      </c>
      <c r="J364" s="3">
        <v>91936869.689999998</v>
      </c>
      <c r="K364" s="3">
        <v>6686.1</v>
      </c>
      <c r="L364" s="3">
        <v>0</v>
      </c>
      <c r="M364" t="s">
        <v>23</v>
      </c>
      <c r="N364" t="s">
        <v>39</v>
      </c>
      <c r="O364" s="4">
        <v>0.25148156509960901</v>
      </c>
      <c r="P364" s="4">
        <v>0.74851843490039105</v>
      </c>
      <c r="Q364" t="s">
        <v>384</v>
      </c>
      <c r="R364" s="4">
        <v>1.6766115571489788E-5</v>
      </c>
      <c r="S364" s="3">
        <v>17349307.809999999</v>
      </c>
      <c r="T364" s="4">
        <v>0.1719210540563719</v>
      </c>
    </row>
    <row r="365" spans="1:20" x14ac:dyDescent="0.4">
      <c r="A365" s="2">
        <v>45890</v>
      </c>
      <c r="B365" t="s">
        <v>26</v>
      </c>
      <c r="C365" t="s">
        <v>22</v>
      </c>
      <c r="D365" s="3" t="str">
        <f t="shared" si="24"/>
        <v>PASS</v>
      </c>
      <c r="E365" s="3" t="str">
        <f t="shared" si="25"/>
        <v>PASS</v>
      </c>
      <c r="F365" s="3" t="str">
        <f t="shared" si="26"/>
        <v>PASS</v>
      </c>
      <c r="G365" s="3" t="str">
        <f t="shared" si="27"/>
        <v>FAIL</v>
      </c>
      <c r="H365" s="3">
        <v>23320271.82</v>
      </c>
      <c r="I365" s="4">
        <v>0</v>
      </c>
      <c r="J365" s="3">
        <v>21377754.670000002</v>
      </c>
      <c r="K365" s="3">
        <v>1555.44</v>
      </c>
      <c r="L365" s="3">
        <v>0</v>
      </c>
      <c r="M365" t="s">
        <v>23</v>
      </c>
      <c r="N365" t="s">
        <v>39</v>
      </c>
      <c r="O365" s="4">
        <v>0.25351604289881202</v>
      </c>
      <c r="P365" s="4">
        <v>0.74648395710118798</v>
      </c>
      <c r="Q365" t="s">
        <v>385</v>
      </c>
      <c r="R365" s="4">
        <v>3.9303927444949938E-6</v>
      </c>
      <c r="S365" s="3">
        <v>3712593.66</v>
      </c>
      <c r="T365" s="4">
        <v>0.1592002738499812</v>
      </c>
    </row>
    <row r="366" spans="1:20" x14ac:dyDescent="0.4">
      <c r="A366" s="2">
        <v>45890</v>
      </c>
      <c r="B366" t="s">
        <v>27</v>
      </c>
      <c r="C366" t="s">
        <v>22</v>
      </c>
      <c r="D366" s="3" t="str">
        <f t="shared" si="24"/>
        <v>PASS</v>
      </c>
      <c r="E366" s="3" t="str">
        <f t="shared" si="25"/>
        <v>PASS</v>
      </c>
      <c r="F366" s="3" t="str">
        <f t="shared" si="26"/>
        <v>PASS</v>
      </c>
      <c r="G366" s="3" t="str">
        <f t="shared" si="27"/>
        <v>FAIL</v>
      </c>
      <c r="H366" s="3">
        <v>43021107.899999999</v>
      </c>
      <c r="I366" s="4">
        <v>0</v>
      </c>
      <c r="J366" s="3">
        <v>36621503.909999996</v>
      </c>
      <c r="K366" s="3">
        <v>2665.33</v>
      </c>
      <c r="L366" s="3">
        <v>0</v>
      </c>
      <c r="M366" t="s">
        <v>23</v>
      </c>
      <c r="N366" t="s">
        <v>39</v>
      </c>
      <c r="O366" s="4">
        <v>0.2595034284598281</v>
      </c>
      <c r="P366" s="4">
        <v>0.7404965715401719</v>
      </c>
      <c r="Q366" t="s">
        <v>386</v>
      </c>
      <c r="R366" s="4">
        <v>6.8910038009461138E-6</v>
      </c>
      <c r="S366" s="3">
        <v>14045174.84</v>
      </c>
      <c r="T366" s="4">
        <v>0.3264717141326805</v>
      </c>
    </row>
    <row r="367" spans="1:20" x14ac:dyDescent="0.4">
      <c r="A367" s="2">
        <v>45890</v>
      </c>
      <c r="B367" t="s">
        <v>28</v>
      </c>
      <c r="C367" t="s">
        <v>22</v>
      </c>
      <c r="D367" s="3" t="str">
        <f t="shared" si="24"/>
        <v>PASS</v>
      </c>
      <c r="E367" s="3" t="str">
        <f t="shared" si="25"/>
        <v>PASS</v>
      </c>
      <c r="F367" s="3" t="str">
        <f t="shared" si="26"/>
        <v>PASS</v>
      </c>
      <c r="G367" s="3" t="str">
        <f t="shared" si="27"/>
        <v>FAIL</v>
      </c>
      <c r="H367" s="3">
        <v>15234919.630000001</v>
      </c>
      <c r="I367" s="4">
        <v>0</v>
      </c>
      <c r="J367" s="3">
        <v>13566713.880000001</v>
      </c>
      <c r="K367" s="3">
        <v>987.71</v>
      </c>
      <c r="L367" s="3">
        <v>0</v>
      </c>
      <c r="M367" t="s">
        <v>23</v>
      </c>
      <c r="N367" t="s">
        <v>39</v>
      </c>
      <c r="O367" s="4">
        <v>0.25318554001965882</v>
      </c>
      <c r="P367" s="4">
        <v>0.74681445998034124</v>
      </c>
      <c r="Q367" t="s">
        <v>387</v>
      </c>
      <c r="R367" s="4">
        <v>2.4906727935223712E-6</v>
      </c>
      <c r="S367" s="3">
        <v>3943703.97</v>
      </c>
      <c r="T367" s="4">
        <v>0.25885951916898953</v>
      </c>
    </row>
    <row r="368" spans="1:20" x14ac:dyDescent="0.4">
      <c r="A368" s="2">
        <v>45890</v>
      </c>
      <c r="B368" t="s">
        <v>29</v>
      </c>
      <c r="C368" t="s">
        <v>22</v>
      </c>
      <c r="D368" s="3" t="str">
        <f t="shared" si="24"/>
        <v>PASS</v>
      </c>
      <c r="E368" s="3" t="str">
        <f t="shared" si="25"/>
        <v>PASS</v>
      </c>
      <c r="F368" s="3" t="str">
        <f t="shared" si="26"/>
        <v>PASS</v>
      </c>
      <c r="G368" s="3" t="str">
        <f t="shared" si="27"/>
        <v>FAIL</v>
      </c>
      <c r="H368" s="3">
        <v>34374720.350000001</v>
      </c>
      <c r="I368" s="4">
        <v>0</v>
      </c>
      <c r="J368" s="3">
        <v>32171684.780000001</v>
      </c>
      <c r="K368" s="3">
        <v>2340.6799999999998</v>
      </c>
      <c r="L368" s="3">
        <v>0</v>
      </c>
      <c r="M368" t="s">
        <v>23</v>
      </c>
      <c r="N368" t="s">
        <v>39</v>
      </c>
      <c r="O368" s="4">
        <v>0.25545118684953122</v>
      </c>
      <c r="P368" s="4">
        <v>0.74454881315046884</v>
      </c>
      <c r="Q368" t="s">
        <v>388</v>
      </c>
      <c r="R368" s="4">
        <v>5.9596716071418652E-6</v>
      </c>
      <c r="S368" s="3">
        <v>4262323.12</v>
      </c>
      <c r="T368" s="4">
        <v>0.1239958631401637</v>
      </c>
    </row>
    <row r="369" spans="1:20" x14ac:dyDescent="0.4">
      <c r="A369" s="2">
        <v>45890</v>
      </c>
      <c r="B369" t="s">
        <v>30</v>
      </c>
      <c r="C369" t="s">
        <v>22</v>
      </c>
      <c r="D369" s="3" t="str">
        <f t="shared" si="24"/>
        <v>PASS</v>
      </c>
      <c r="E369" s="3" t="str">
        <f t="shared" si="25"/>
        <v>PASS</v>
      </c>
      <c r="F369" s="3" t="str">
        <f t="shared" si="26"/>
        <v>PASS</v>
      </c>
      <c r="G369" s="3" t="str">
        <f t="shared" si="27"/>
        <v>FAIL</v>
      </c>
      <c r="H369" s="3">
        <v>54567359.810000002</v>
      </c>
      <c r="I369" s="4">
        <v>0</v>
      </c>
      <c r="J369" s="3">
        <v>50039311.909999996</v>
      </c>
      <c r="K369" s="3">
        <v>3637.65</v>
      </c>
      <c r="L369" s="3">
        <v>0</v>
      </c>
      <c r="M369" t="s">
        <v>23</v>
      </c>
      <c r="N369" t="s">
        <v>389</v>
      </c>
      <c r="O369" s="4">
        <v>0.27105533713962698</v>
      </c>
      <c r="P369" s="4">
        <v>0.72894466286037307</v>
      </c>
      <c r="Q369" t="s">
        <v>390</v>
      </c>
      <c r="R369" s="4">
        <v>7.6106843157195097E-5</v>
      </c>
      <c r="S369" s="3">
        <v>9248273.9299999997</v>
      </c>
      <c r="T369" s="4">
        <v>0.16948362468336181</v>
      </c>
    </row>
    <row r="370" spans="1:20" x14ac:dyDescent="0.4">
      <c r="A370" s="2">
        <v>45890</v>
      </c>
      <c r="B370" t="s">
        <v>31</v>
      </c>
      <c r="C370" t="s">
        <v>22</v>
      </c>
      <c r="D370" s="3" t="str">
        <f t="shared" si="24"/>
        <v>PASS</v>
      </c>
      <c r="E370" s="3" t="str">
        <f t="shared" si="25"/>
        <v>PASS</v>
      </c>
      <c r="F370" s="3" t="str">
        <f t="shared" si="26"/>
        <v>PASS</v>
      </c>
      <c r="G370" s="3" t="str">
        <f t="shared" si="27"/>
        <v>FAIL</v>
      </c>
      <c r="H370" s="3">
        <v>40037196.399999999</v>
      </c>
      <c r="I370" s="4">
        <v>0</v>
      </c>
      <c r="J370" s="3">
        <v>34781292.640000001</v>
      </c>
      <c r="K370" s="3">
        <v>2530.54</v>
      </c>
      <c r="L370" s="3">
        <v>0</v>
      </c>
      <c r="M370" t="s">
        <v>23</v>
      </c>
      <c r="N370" t="s">
        <v>39</v>
      </c>
      <c r="O370" s="4">
        <v>0.25131773825873538</v>
      </c>
      <c r="P370" s="4">
        <v>0.74868226174126462</v>
      </c>
      <c r="Q370" t="s">
        <v>391</v>
      </c>
      <c r="R370" s="4">
        <v>6.337758300498177E-6</v>
      </c>
      <c r="S370" s="3">
        <v>10472740.050000001</v>
      </c>
      <c r="T370" s="4">
        <v>0.26157525980015928</v>
      </c>
    </row>
    <row r="371" spans="1:20" x14ac:dyDescent="0.4">
      <c r="A371" s="2">
        <v>45890</v>
      </c>
      <c r="B371" t="s">
        <v>32</v>
      </c>
      <c r="C371" t="s">
        <v>22</v>
      </c>
      <c r="D371" s="3" t="str">
        <f t="shared" si="24"/>
        <v>PASS</v>
      </c>
      <c r="E371" s="3" t="str">
        <f t="shared" si="25"/>
        <v>PASS</v>
      </c>
      <c r="F371" s="3" t="str">
        <f t="shared" si="26"/>
        <v>PASS</v>
      </c>
      <c r="G371" s="3" t="str">
        <f t="shared" si="27"/>
        <v>FAIL</v>
      </c>
      <c r="H371" s="3">
        <v>78049299.040000007</v>
      </c>
      <c r="I371" s="4">
        <v>0</v>
      </c>
      <c r="J371" s="3">
        <v>70121966.019999996</v>
      </c>
      <c r="K371" s="3">
        <v>5102.26</v>
      </c>
      <c r="L371" s="3">
        <v>0</v>
      </c>
      <c r="M371" t="s">
        <v>23</v>
      </c>
      <c r="N371" t="s">
        <v>39</v>
      </c>
      <c r="O371" s="4">
        <v>0.25480092707189622</v>
      </c>
      <c r="P371" s="4">
        <v>0.74519907292810383</v>
      </c>
      <c r="Q371" t="s">
        <v>392</v>
      </c>
      <c r="R371" s="4">
        <v>1.295534347574029E-5</v>
      </c>
      <c r="S371" s="3">
        <v>16617969.859999999</v>
      </c>
      <c r="T371" s="4">
        <v>0.21291632422583759</v>
      </c>
    </row>
    <row r="372" spans="1:20" x14ac:dyDescent="0.4">
      <c r="A372" s="2">
        <v>45890</v>
      </c>
      <c r="B372" t="s">
        <v>33</v>
      </c>
      <c r="C372" t="s">
        <v>22</v>
      </c>
      <c r="D372" s="3" t="str">
        <f t="shared" si="24"/>
        <v>PASS</v>
      </c>
      <c r="E372" s="3" t="str">
        <f t="shared" si="25"/>
        <v>PASS</v>
      </c>
      <c r="F372" s="3" t="str">
        <f t="shared" si="26"/>
        <v>PASS</v>
      </c>
      <c r="G372" s="3" t="str">
        <f t="shared" si="27"/>
        <v>FAIL</v>
      </c>
      <c r="H372" s="3">
        <v>166335364.99000001</v>
      </c>
      <c r="I372" s="4">
        <v>0</v>
      </c>
      <c r="J372" s="3">
        <v>142027853.06</v>
      </c>
      <c r="K372" s="3">
        <v>10329.620000000001</v>
      </c>
      <c r="L372" s="3">
        <v>0</v>
      </c>
      <c r="M372" t="s">
        <v>23</v>
      </c>
      <c r="N372" t="s">
        <v>39</v>
      </c>
      <c r="O372" s="4">
        <v>0.25236909048296208</v>
      </c>
      <c r="P372" s="4">
        <v>0.74763090951703792</v>
      </c>
      <c r="Q372" t="s">
        <v>393</v>
      </c>
      <c r="R372" s="4">
        <v>2.5991858105986461E-5</v>
      </c>
      <c r="S372" s="3">
        <v>46441776.240000002</v>
      </c>
      <c r="T372" s="4">
        <v>0.27920566527023322</v>
      </c>
    </row>
    <row r="373" spans="1:20" x14ac:dyDescent="0.4">
      <c r="A373" s="2">
        <v>45891</v>
      </c>
      <c r="B373" t="s">
        <v>21</v>
      </c>
      <c r="C373" t="s">
        <v>22</v>
      </c>
      <c r="D373" s="3" t="str">
        <f t="shared" si="24"/>
        <v>PASS</v>
      </c>
      <c r="E373" s="3" t="str">
        <f t="shared" si="25"/>
        <v>PASS</v>
      </c>
      <c r="F373" s="3" t="str">
        <f t="shared" si="26"/>
        <v>PASS</v>
      </c>
      <c r="G373" s="3" t="str">
        <f t="shared" si="27"/>
        <v>FAIL</v>
      </c>
      <c r="H373" s="3">
        <v>24706494.620000001</v>
      </c>
      <c r="I373" s="4">
        <v>0</v>
      </c>
      <c r="J373" s="3">
        <v>20716891.300000001</v>
      </c>
      <c r="K373" s="3">
        <v>4478.16</v>
      </c>
      <c r="L373" s="3">
        <v>0</v>
      </c>
      <c r="M373" t="s">
        <v>23</v>
      </c>
      <c r="N373" t="s">
        <v>41</v>
      </c>
      <c r="O373" s="4">
        <v>0.29601345497236831</v>
      </c>
      <c r="P373" s="4">
        <v>0.70398654502763169</v>
      </c>
      <c r="Q373" t="s">
        <v>394</v>
      </c>
      <c r="R373" s="4">
        <v>3.7573700204166808E-6</v>
      </c>
      <c r="S373" s="3">
        <v>7756423.3600000003</v>
      </c>
      <c r="T373" s="4">
        <v>0.31394268913086298</v>
      </c>
    </row>
    <row r="374" spans="1:20" x14ac:dyDescent="0.4">
      <c r="A374" s="2">
        <v>45891</v>
      </c>
      <c r="B374" t="s">
        <v>24</v>
      </c>
      <c r="C374" t="s">
        <v>22</v>
      </c>
      <c r="D374" s="3" t="str">
        <f t="shared" si="24"/>
        <v>PASS</v>
      </c>
      <c r="E374" s="3" t="str">
        <f t="shared" si="25"/>
        <v>PASS</v>
      </c>
      <c r="F374" s="3" t="str">
        <f t="shared" si="26"/>
        <v>PASS</v>
      </c>
      <c r="G374" s="3" t="str">
        <f t="shared" si="27"/>
        <v>FAIL</v>
      </c>
      <c r="H374" s="3">
        <v>135943273.15000001</v>
      </c>
      <c r="I374" s="4">
        <v>0</v>
      </c>
      <c r="J374" s="3">
        <v>120475119.62</v>
      </c>
      <c r="K374" s="3">
        <v>26002.83</v>
      </c>
      <c r="L374" s="3">
        <v>0</v>
      </c>
      <c r="M374" t="s">
        <v>23</v>
      </c>
      <c r="N374" t="s">
        <v>39</v>
      </c>
      <c r="O374" s="4">
        <v>0.26146048810206612</v>
      </c>
      <c r="P374" s="4">
        <v>0.73853951189793388</v>
      </c>
      <c r="Q374" t="s">
        <v>395</v>
      </c>
      <c r="R374" s="4">
        <v>2.2492954130180589E-5</v>
      </c>
      <c r="S374" s="3">
        <v>32681995.980000012</v>
      </c>
      <c r="T374" s="4">
        <v>0.24040907080366269</v>
      </c>
    </row>
    <row r="375" spans="1:20" x14ac:dyDescent="0.4">
      <c r="A375" s="2">
        <v>45891</v>
      </c>
      <c r="B375" t="s">
        <v>25</v>
      </c>
      <c r="C375" t="s">
        <v>22</v>
      </c>
      <c r="D375" s="3" t="str">
        <f t="shared" si="24"/>
        <v>PASS</v>
      </c>
      <c r="E375" s="3" t="str">
        <f t="shared" si="25"/>
        <v>PASS</v>
      </c>
      <c r="F375" s="3" t="str">
        <f t="shared" si="26"/>
        <v>PASS</v>
      </c>
      <c r="G375" s="3" t="str">
        <f t="shared" si="27"/>
        <v>FAIL</v>
      </c>
      <c r="H375" s="3">
        <v>101595006.53</v>
      </c>
      <c r="I375" s="4">
        <v>0</v>
      </c>
      <c r="J375" s="3">
        <v>92598440.439999998</v>
      </c>
      <c r="K375" s="3">
        <v>20026.650000000001</v>
      </c>
      <c r="L375" s="3">
        <v>0</v>
      </c>
      <c r="M375" t="s">
        <v>23</v>
      </c>
      <c r="N375" t="s">
        <v>39</v>
      </c>
      <c r="O375" s="4">
        <v>0.25355834059876531</v>
      </c>
      <c r="P375" s="4">
        <v>0.74644165940123475</v>
      </c>
      <c r="Q375" t="s">
        <v>396</v>
      </c>
      <c r="R375" s="4">
        <v>1.6766115571489788E-5</v>
      </c>
      <c r="S375" s="3">
        <v>17156866.120000001</v>
      </c>
      <c r="T375" s="4">
        <v>0.1688750924479123</v>
      </c>
    </row>
    <row r="376" spans="1:20" x14ac:dyDescent="0.4">
      <c r="A376" s="2">
        <v>45891</v>
      </c>
      <c r="B376" t="s">
        <v>26</v>
      </c>
      <c r="C376" t="s">
        <v>22</v>
      </c>
      <c r="D376" s="3" t="str">
        <f t="shared" si="24"/>
        <v>PASS</v>
      </c>
      <c r="E376" s="3" t="str">
        <f t="shared" si="25"/>
        <v>PASS</v>
      </c>
      <c r="F376" s="3" t="str">
        <f t="shared" si="26"/>
        <v>PASS</v>
      </c>
      <c r="G376" s="3" t="str">
        <f t="shared" si="27"/>
        <v>FAIL</v>
      </c>
      <c r="H376" s="3">
        <v>23493131.120000001</v>
      </c>
      <c r="I376" s="4">
        <v>0</v>
      </c>
      <c r="J376" s="3">
        <v>21546283.059999999</v>
      </c>
      <c r="K376" s="3">
        <v>4658.37</v>
      </c>
      <c r="L376" s="3">
        <v>0</v>
      </c>
      <c r="M376" t="s">
        <v>23</v>
      </c>
      <c r="N376" t="s">
        <v>39</v>
      </c>
      <c r="O376" s="4">
        <v>0.25543500076899112</v>
      </c>
      <c r="P376" s="4">
        <v>0.74456499923100883</v>
      </c>
      <c r="Q376" t="s">
        <v>397</v>
      </c>
      <c r="R376" s="4">
        <v>3.9303927444949938E-6</v>
      </c>
      <c r="S376" s="3">
        <v>3713133.7999999989</v>
      </c>
      <c r="T376" s="4">
        <v>0.15805189104141851</v>
      </c>
    </row>
    <row r="377" spans="1:20" x14ac:dyDescent="0.4">
      <c r="A377" s="2">
        <v>45891</v>
      </c>
      <c r="B377" t="s">
        <v>27</v>
      </c>
      <c r="C377" t="s">
        <v>22</v>
      </c>
      <c r="D377" s="3" t="str">
        <f t="shared" si="24"/>
        <v>PASS</v>
      </c>
      <c r="E377" s="3" t="str">
        <f t="shared" si="25"/>
        <v>PASS</v>
      </c>
      <c r="F377" s="3" t="str">
        <f t="shared" si="26"/>
        <v>PASS</v>
      </c>
      <c r="G377" s="3" t="str">
        <f t="shared" si="27"/>
        <v>FAIL</v>
      </c>
      <c r="H377" s="3">
        <v>43379713.079999998</v>
      </c>
      <c r="I377" s="4">
        <v>0</v>
      </c>
      <c r="J377" s="3">
        <v>36972457.960000001</v>
      </c>
      <c r="K377" s="3">
        <v>7978.11</v>
      </c>
      <c r="L377" s="3">
        <v>0</v>
      </c>
      <c r="M377" t="s">
        <v>23</v>
      </c>
      <c r="N377" t="s">
        <v>39</v>
      </c>
      <c r="O377" s="4">
        <v>0.26102045610386032</v>
      </c>
      <c r="P377" s="4">
        <v>0.73897954389613973</v>
      </c>
      <c r="Q377" t="s">
        <v>398</v>
      </c>
      <c r="R377" s="4">
        <v>6.8910038009461138E-6</v>
      </c>
      <c r="S377" s="3">
        <v>14256672.68</v>
      </c>
      <c r="T377" s="4">
        <v>0.32864838579517869</v>
      </c>
    </row>
    <row r="378" spans="1:20" x14ac:dyDescent="0.4">
      <c r="A378" s="2">
        <v>45891</v>
      </c>
      <c r="B378" t="s">
        <v>28</v>
      </c>
      <c r="C378" t="s">
        <v>22</v>
      </c>
      <c r="D378" s="3" t="str">
        <f t="shared" si="24"/>
        <v>PASS</v>
      </c>
      <c r="E378" s="3" t="str">
        <f t="shared" si="25"/>
        <v>PASS</v>
      </c>
      <c r="F378" s="3" t="str">
        <f t="shared" si="26"/>
        <v>PASS</v>
      </c>
      <c r="G378" s="3" t="str">
        <f t="shared" si="27"/>
        <v>FAIL</v>
      </c>
      <c r="H378" s="3">
        <v>15348443.07</v>
      </c>
      <c r="I378" s="4">
        <v>0</v>
      </c>
      <c r="J378" s="3">
        <v>13677282.380000001</v>
      </c>
      <c r="K378" s="3">
        <v>2957.07</v>
      </c>
      <c r="L378" s="3">
        <v>0</v>
      </c>
      <c r="M378" t="s">
        <v>23</v>
      </c>
      <c r="N378" t="s">
        <v>39</v>
      </c>
      <c r="O378" s="4">
        <v>0.25502936205372112</v>
      </c>
      <c r="P378" s="4">
        <v>0.74497063794627894</v>
      </c>
      <c r="Q378" t="s">
        <v>399</v>
      </c>
      <c r="R378" s="4">
        <v>2.4906727935223712E-6</v>
      </c>
      <c r="S378" s="3">
        <v>3972595.31</v>
      </c>
      <c r="T378" s="4">
        <v>0.25882724989642869</v>
      </c>
    </row>
    <row r="379" spans="1:20" x14ac:dyDescent="0.4">
      <c r="A379" s="2">
        <v>45891</v>
      </c>
      <c r="B379" t="s">
        <v>29</v>
      </c>
      <c r="C379" t="s">
        <v>22</v>
      </c>
      <c r="D379" s="3" t="str">
        <f t="shared" si="24"/>
        <v>PASS</v>
      </c>
      <c r="E379" s="3" t="str">
        <f t="shared" si="25"/>
        <v>PASS</v>
      </c>
      <c r="F379" s="3" t="str">
        <f t="shared" si="26"/>
        <v>PASS</v>
      </c>
      <c r="G379" s="3" t="str">
        <f t="shared" si="27"/>
        <v>FAIL</v>
      </c>
      <c r="H379" s="3">
        <v>34684836.049999997</v>
      </c>
      <c r="I379" s="4">
        <v>0</v>
      </c>
      <c r="J379" s="3">
        <v>32475118.559999999</v>
      </c>
      <c r="K379" s="3">
        <v>7007.25</v>
      </c>
      <c r="L379" s="3">
        <v>0</v>
      </c>
      <c r="M379" t="s">
        <v>23</v>
      </c>
      <c r="N379" t="s">
        <v>39</v>
      </c>
      <c r="O379" s="4">
        <v>0.2569897697087884</v>
      </c>
      <c r="P379" s="4">
        <v>0.7430102302912116</v>
      </c>
      <c r="Q379" t="s">
        <v>400</v>
      </c>
      <c r="R379" s="4">
        <v>5.9596716071418652E-6</v>
      </c>
      <c r="S379" s="3">
        <v>4284628.9399999985</v>
      </c>
      <c r="T379" s="4">
        <v>0.1235303212569171</v>
      </c>
    </row>
    <row r="380" spans="1:20" x14ac:dyDescent="0.4">
      <c r="A380" s="2">
        <v>45891</v>
      </c>
      <c r="B380" t="s">
        <v>30</v>
      </c>
      <c r="C380" t="s">
        <v>22</v>
      </c>
      <c r="D380" s="3" t="str">
        <f t="shared" si="24"/>
        <v>PASS</v>
      </c>
      <c r="E380" s="3" t="str">
        <f t="shared" si="25"/>
        <v>PASS</v>
      </c>
      <c r="F380" s="3" t="str">
        <f t="shared" si="26"/>
        <v>PASS</v>
      </c>
      <c r="G380" s="3" t="str">
        <f t="shared" si="27"/>
        <v>FAIL</v>
      </c>
      <c r="H380" s="3">
        <v>55230371.060000002</v>
      </c>
      <c r="I380" s="4">
        <v>0</v>
      </c>
      <c r="J380" s="3">
        <v>50691424.189999998</v>
      </c>
      <c r="K380" s="3">
        <v>10901.01</v>
      </c>
      <c r="L380" s="3">
        <v>0</v>
      </c>
      <c r="M380" t="s">
        <v>23</v>
      </c>
      <c r="N380" t="s">
        <v>401</v>
      </c>
      <c r="O380" s="4">
        <v>0.27233967067596021</v>
      </c>
      <c r="P380" s="4">
        <v>0.72766032932403979</v>
      </c>
      <c r="Q380" t="s">
        <v>402</v>
      </c>
      <c r="R380" s="4">
        <v>7.6106843157195097E-5</v>
      </c>
      <c r="S380" s="3">
        <v>9188889.2999999989</v>
      </c>
      <c r="T380" s="4">
        <v>0.1663738469187101</v>
      </c>
    </row>
    <row r="381" spans="1:20" x14ac:dyDescent="0.4">
      <c r="A381" s="2">
        <v>45891</v>
      </c>
      <c r="B381" t="s">
        <v>31</v>
      </c>
      <c r="C381" t="s">
        <v>22</v>
      </c>
      <c r="D381" s="3" t="str">
        <f t="shared" si="24"/>
        <v>PASS</v>
      </c>
      <c r="E381" s="3" t="str">
        <f t="shared" si="25"/>
        <v>PASS</v>
      </c>
      <c r="F381" s="3" t="str">
        <f t="shared" si="26"/>
        <v>PASS</v>
      </c>
      <c r="G381" s="3" t="str">
        <f t="shared" si="27"/>
        <v>FAIL</v>
      </c>
      <c r="H381" s="3">
        <v>40318852.640000001</v>
      </c>
      <c r="I381" s="4">
        <v>0</v>
      </c>
      <c r="J381" s="3">
        <v>35055698.549999997</v>
      </c>
      <c r="K381" s="3">
        <v>7577.7</v>
      </c>
      <c r="L381" s="3">
        <v>0</v>
      </c>
      <c r="M381" t="s">
        <v>23</v>
      </c>
      <c r="N381" t="s">
        <v>39</v>
      </c>
      <c r="O381" s="4">
        <v>0.25321199425934698</v>
      </c>
      <c r="P381" s="4">
        <v>0.74678800574065296</v>
      </c>
      <c r="Q381" t="s">
        <v>403</v>
      </c>
      <c r="R381" s="4">
        <v>6.337758300498177E-6</v>
      </c>
      <c r="S381" s="3">
        <v>10495428.789999999</v>
      </c>
      <c r="T381" s="4">
        <v>0.26031070089498459</v>
      </c>
    </row>
    <row r="382" spans="1:20" x14ac:dyDescent="0.4">
      <c r="A382" s="2">
        <v>45891</v>
      </c>
      <c r="B382" t="s">
        <v>32</v>
      </c>
      <c r="C382" t="s">
        <v>22</v>
      </c>
      <c r="D382" s="3" t="str">
        <f t="shared" si="24"/>
        <v>PASS</v>
      </c>
      <c r="E382" s="3" t="str">
        <f t="shared" si="25"/>
        <v>PASS</v>
      </c>
      <c r="F382" s="3" t="str">
        <f t="shared" si="26"/>
        <v>PASS</v>
      </c>
      <c r="G382" s="3" t="str">
        <f t="shared" si="27"/>
        <v>FAIL</v>
      </c>
      <c r="H382" s="3">
        <v>78700340.829999998</v>
      </c>
      <c r="I382" s="4">
        <v>0</v>
      </c>
      <c r="J382" s="3">
        <v>70757734.659999996</v>
      </c>
      <c r="K382" s="3">
        <v>15273.15</v>
      </c>
      <c r="L382" s="3">
        <v>0</v>
      </c>
      <c r="M382" t="s">
        <v>23</v>
      </c>
      <c r="N382" t="s">
        <v>39</v>
      </c>
      <c r="O382" s="4">
        <v>0.25642164191919598</v>
      </c>
      <c r="P382" s="4">
        <v>0.74357835808080397</v>
      </c>
      <c r="Q382" t="s">
        <v>404</v>
      </c>
      <c r="R382" s="4">
        <v>1.295534347574029E-5</v>
      </c>
      <c r="S382" s="3">
        <v>16745031.4</v>
      </c>
      <c r="T382" s="4">
        <v>0.21276949023855959</v>
      </c>
    </row>
    <row r="383" spans="1:20" x14ac:dyDescent="0.4">
      <c r="A383" s="2">
        <v>45891</v>
      </c>
      <c r="B383" t="s">
        <v>33</v>
      </c>
      <c r="C383" t="s">
        <v>22</v>
      </c>
      <c r="D383" s="3" t="str">
        <f t="shared" si="24"/>
        <v>PASS</v>
      </c>
      <c r="E383" s="3" t="str">
        <f t="shared" si="25"/>
        <v>PASS</v>
      </c>
      <c r="F383" s="3" t="str">
        <f t="shared" si="26"/>
        <v>PASS</v>
      </c>
      <c r="G383" s="3" t="str">
        <f t="shared" si="27"/>
        <v>FAIL</v>
      </c>
      <c r="H383" s="3">
        <v>167373373.53</v>
      </c>
      <c r="I383" s="4">
        <v>0</v>
      </c>
      <c r="J383" s="3">
        <v>143036553.41999999</v>
      </c>
      <c r="K383" s="3">
        <v>30936.48</v>
      </c>
      <c r="L383" s="3">
        <v>0</v>
      </c>
      <c r="M383" t="s">
        <v>23</v>
      </c>
      <c r="N383" t="s">
        <v>39</v>
      </c>
      <c r="O383" s="4">
        <v>0.25447670193170691</v>
      </c>
      <c r="P383" s="4">
        <v>0.74552329806829309</v>
      </c>
      <c r="Q383" t="s">
        <v>405</v>
      </c>
      <c r="R383" s="4">
        <v>2.5991858105986461E-5</v>
      </c>
      <c r="S383" s="3">
        <v>46746841.739999987</v>
      </c>
      <c r="T383" s="4">
        <v>0.2792967647964692</v>
      </c>
    </row>
    <row r="384" spans="1:20" x14ac:dyDescent="0.4">
      <c r="A384" s="2">
        <v>45894</v>
      </c>
      <c r="B384" t="s">
        <v>21</v>
      </c>
      <c r="C384" t="s">
        <v>22</v>
      </c>
      <c r="D384" s="3" t="str">
        <f t="shared" si="24"/>
        <v>PASS</v>
      </c>
      <c r="E384" s="3" t="str">
        <f t="shared" si="25"/>
        <v>PASS</v>
      </c>
      <c r="F384" s="3" t="str">
        <f t="shared" si="26"/>
        <v>PASS</v>
      </c>
      <c r="G384" s="3" t="str">
        <f t="shared" si="27"/>
        <v>FAIL</v>
      </c>
      <c r="H384" s="3">
        <v>24646236.640000001</v>
      </c>
      <c r="I384" s="4">
        <v>0</v>
      </c>
      <c r="J384" s="3">
        <v>20657857.859999999</v>
      </c>
      <c r="K384" s="3">
        <v>1504.65</v>
      </c>
      <c r="L384" s="3">
        <v>0</v>
      </c>
      <c r="M384" t="s">
        <v>23</v>
      </c>
      <c r="N384" t="s">
        <v>41</v>
      </c>
      <c r="O384" s="4">
        <v>0.29565251738061871</v>
      </c>
      <c r="P384" s="4">
        <v>0.7043474826193814</v>
      </c>
      <c r="Q384" t="s">
        <v>406</v>
      </c>
      <c r="R384" s="4">
        <v>3.7488256883634309E-6</v>
      </c>
      <c r="S384" s="3">
        <v>7708343.2599999998</v>
      </c>
      <c r="T384" s="4">
        <v>0.31275944366652803</v>
      </c>
    </row>
    <row r="385" spans="1:20" x14ac:dyDescent="0.4">
      <c r="A385" s="2">
        <v>45894</v>
      </c>
      <c r="B385" t="s">
        <v>24</v>
      </c>
      <c r="C385" t="s">
        <v>22</v>
      </c>
      <c r="D385" s="3" t="str">
        <f t="shared" si="24"/>
        <v>PASS</v>
      </c>
      <c r="E385" s="3" t="str">
        <f t="shared" si="25"/>
        <v>PASS</v>
      </c>
      <c r="F385" s="3" t="str">
        <f t="shared" si="26"/>
        <v>PASS</v>
      </c>
      <c r="G385" s="3" t="str">
        <f t="shared" si="27"/>
        <v>FAIL</v>
      </c>
      <c r="H385" s="3">
        <v>135593074.78</v>
      </c>
      <c r="I385" s="4">
        <v>0</v>
      </c>
      <c r="J385" s="3">
        <v>120137392.28</v>
      </c>
      <c r="K385" s="3">
        <v>8747.3700000000008</v>
      </c>
      <c r="L385" s="3">
        <v>0</v>
      </c>
      <c r="M385" t="s">
        <v>23</v>
      </c>
      <c r="N385" t="s">
        <v>39</v>
      </c>
      <c r="O385" s="4">
        <v>0.26024590168505701</v>
      </c>
      <c r="P385" s="4">
        <v>0.7397540983149431</v>
      </c>
      <c r="Q385" t="s">
        <v>407</v>
      </c>
      <c r="R385" s="4">
        <v>2.243100772279453E-5</v>
      </c>
      <c r="S385" s="3">
        <v>32372179.66</v>
      </c>
      <c r="T385" s="4">
        <v>0.23874508128474789</v>
      </c>
    </row>
    <row r="386" spans="1:20" x14ac:dyDescent="0.4">
      <c r="A386" s="2">
        <v>45894</v>
      </c>
      <c r="B386" t="s">
        <v>25</v>
      </c>
      <c r="C386" t="s">
        <v>22</v>
      </c>
      <c r="D386" s="3" t="str">
        <f t="shared" si="24"/>
        <v>PASS</v>
      </c>
      <c r="E386" s="3" t="str">
        <f t="shared" si="25"/>
        <v>PASS</v>
      </c>
      <c r="F386" s="3" t="str">
        <f t="shared" si="26"/>
        <v>PASS</v>
      </c>
      <c r="G386" s="3" t="str">
        <f t="shared" si="27"/>
        <v>FAIL</v>
      </c>
      <c r="H386" s="3">
        <v>101366496.51000001</v>
      </c>
      <c r="I386" s="4">
        <v>0</v>
      </c>
      <c r="J386" s="3">
        <v>92378583.609999999</v>
      </c>
      <c r="K386" s="3">
        <v>6723.58</v>
      </c>
      <c r="L386" s="3">
        <v>0</v>
      </c>
      <c r="M386" t="s">
        <v>23</v>
      </c>
      <c r="N386" t="s">
        <v>39</v>
      </c>
      <c r="O386" s="4">
        <v>0.25229903825324518</v>
      </c>
      <c r="P386" s="4">
        <v>0.74770096174675471</v>
      </c>
      <c r="Q386" t="s">
        <v>408</v>
      </c>
      <c r="R386" s="4">
        <v>1.6721257828210219E-5</v>
      </c>
      <c r="S386" s="3">
        <v>17050077.289999999</v>
      </c>
      <c r="T386" s="4">
        <v>0.16820229441705109</v>
      </c>
    </row>
    <row r="387" spans="1:20" x14ac:dyDescent="0.4">
      <c r="A387" s="2">
        <v>45894</v>
      </c>
      <c r="B387" t="s">
        <v>26</v>
      </c>
      <c r="C387" t="s">
        <v>22</v>
      </c>
      <c r="D387" s="3" t="str">
        <f t="shared" si="24"/>
        <v>PASS</v>
      </c>
      <c r="E387" s="3" t="str">
        <f t="shared" si="25"/>
        <v>PASS</v>
      </c>
      <c r="F387" s="3" t="str">
        <f t="shared" si="26"/>
        <v>PASS</v>
      </c>
      <c r="G387" s="3" t="str">
        <f t="shared" si="27"/>
        <v>FAIL</v>
      </c>
      <c r="H387" s="3">
        <v>23437026.350000001</v>
      </c>
      <c r="I387" s="4">
        <v>0</v>
      </c>
      <c r="J387" s="3">
        <v>21493079.219999999</v>
      </c>
      <c r="K387" s="3">
        <v>1565.03</v>
      </c>
      <c r="L387" s="3">
        <v>0</v>
      </c>
      <c r="M387" t="s">
        <v>23</v>
      </c>
      <c r="N387" t="s">
        <v>39</v>
      </c>
      <c r="O387" s="4">
        <v>0.25413154830404061</v>
      </c>
      <c r="P387" s="4">
        <v>0.7458684516959595</v>
      </c>
      <c r="Q387" t="s">
        <v>409</v>
      </c>
      <c r="R387" s="4">
        <v>3.919712329428431E-6</v>
      </c>
      <c r="S387" s="3">
        <v>3677142.55</v>
      </c>
      <c r="T387" s="4">
        <v>0.15689458615981799</v>
      </c>
    </row>
    <row r="388" spans="1:20" x14ac:dyDescent="0.4">
      <c r="A388" s="2">
        <v>45894</v>
      </c>
      <c r="B388" t="s">
        <v>27</v>
      </c>
      <c r="C388" t="s">
        <v>22</v>
      </c>
      <c r="D388" s="3" t="str">
        <f t="shared" si="24"/>
        <v>PASS</v>
      </c>
      <c r="E388" s="3" t="str">
        <f t="shared" si="25"/>
        <v>PASS</v>
      </c>
      <c r="F388" s="3" t="str">
        <f t="shared" si="26"/>
        <v>PASS</v>
      </c>
      <c r="G388" s="3" t="str">
        <f t="shared" si="27"/>
        <v>FAIL</v>
      </c>
      <c r="H388" s="3">
        <v>43261463.25</v>
      </c>
      <c r="I388" s="4">
        <v>0</v>
      </c>
      <c r="J388" s="3">
        <v>36858932.609999999</v>
      </c>
      <c r="K388" s="3">
        <v>2684.85</v>
      </c>
      <c r="L388" s="3">
        <v>0</v>
      </c>
      <c r="M388" t="s">
        <v>23</v>
      </c>
      <c r="N388" t="s">
        <v>39</v>
      </c>
      <c r="O388" s="4">
        <v>0.26024610781587137</v>
      </c>
      <c r="P388" s="4">
        <v>0.73975389218412857</v>
      </c>
      <c r="Q388" t="s">
        <v>410</v>
      </c>
      <c r="R388" s="4">
        <v>6.8760512198529261E-6</v>
      </c>
      <c r="S388" s="3">
        <v>14134564.960000001</v>
      </c>
      <c r="T388" s="4">
        <v>0.32672415351091938</v>
      </c>
    </row>
    <row r="389" spans="1:20" x14ac:dyDescent="0.4">
      <c r="A389" s="2">
        <v>45894</v>
      </c>
      <c r="B389" t="s">
        <v>28</v>
      </c>
      <c r="C389" t="s">
        <v>22</v>
      </c>
      <c r="D389" s="3" t="str">
        <f t="shared" si="24"/>
        <v>PASS</v>
      </c>
      <c r="E389" s="3" t="str">
        <f t="shared" si="25"/>
        <v>PASS</v>
      </c>
      <c r="F389" s="3" t="str">
        <f t="shared" si="26"/>
        <v>PASS</v>
      </c>
      <c r="G389" s="3" t="str">
        <f t="shared" si="27"/>
        <v>FAIL</v>
      </c>
      <c r="H389" s="3">
        <v>15310175.470000001</v>
      </c>
      <c r="I389" s="4">
        <v>0</v>
      </c>
      <c r="J389" s="3">
        <v>13639962.140000001</v>
      </c>
      <c r="K389" s="3">
        <v>993.72</v>
      </c>
      <c r="L389" s="3">
        <v>0</v>
      </c>
      <c r="M389" t="s">
        <v>23</v>
      </c>
      <c r="N389" t="s">
        <v>39</v>
      </c>
      <c r="O389" s="4">
        <v>0.25410529915151209</v>
      </c>
      <c r="P389" s="4">
        <v>0.74589470084848786</v>
      </c>
      <c r="Q389" t="s">
        <v>411</v>
      </c>
      <c r="R389" s="4">
        <v>2.4842645444824329E-6</v>
      </c>
      <c r="S389" s="3">
        <v>3945043.46</v>
      </c>
      <c r="T389" s="4">
        <v>0.25767460782733931</v>
      </c>
    </row>
    <row r="390" spans="1:20" x14ac:dyDescent="0.4">
      <c r="A390" s="2">
        <v>45894</v>
      </c>
      <c r="B390" t="s">
        <v>29</v>
      </c>
      <c r="C390" t="s">
        <v>22</v>
      </c>
      <c r="D390" s="3" t="str">
        <f t="shared" si="24"/>
        <v>PASS</v>
      </c>
      <c r="E390" s="3" t="str">
        <f t="shared" si="25"/>
        <v>PASS</v>
      </c>
      <c r="F390" s="3" t="str">
        <f t="shared" si="26"/>
        <v>PASS</v>
      </c>
      <c r="G390" s="3" t="str">
        <f t="shared" si="27"/>
        <v>FAIL</v>
      </c>
      <c r="H390" s="3">
        <v>34590535.460000001</v>
      </c>
      <c r="I390" s="4">
        <v>0</v>
      </c>
      <c r="J390" s="3">
        <v>32383659.859999999</v>
      </c>
      <c r="K390" s="3">
        <v>2357.7800000000002</v>
      </c>
      <c r="L390" s="3">
        <v>0</v>
      </c>
      <c r="M390" t="s">
        <v>23</v>
      </c>
      <c r="N390" t="s">
        <v>39</v>
      </c>
      <c r="O390" s="4">
        <v>0.255934205578702</v>
      </c>
      <c r="P390" s="4">
        <v>0.74406579442129805</v>
      </c>
      <c r="Q390" t="s">
        <v>412</v>
      </c>
      <c r="R390" s="4">
        <v>5.9468551090619904E-6</v>
      </c>
      <c r="S390" s="3">
        <v>4236671.38</v>
      </c>
      <c r="T390" s="4">
        <v>0.1224806532671119</v>
      </c>
    </row>
    <row r="391" spans="1:20" x14ac:dyDescent="0.4">
      <c r="A391" s="2">
        <v>45894</v>
      </c>
      <c r="B391" t="s">
        <v>30</v>
      </c>
      <c r="C391" t="s">
        <v>22</v>
      </c>
      <c r="D391" s="3" t="str">
        <f t="shared" si="24"/>
        <v>PASS</v>
      </c>
      <c r="E391" s="3" t="str">
        <f t="shared" si="25"/>
        <v>PASS</v>
      </c>
      <c r="F391" s="3" t="str">
        <f t="shared" si="26"/>
        <v>PASS</v>
      </c>
      <c r="G391" s="3" t="str">
        <f t="shared" si="27"/>
        <v>FAIL</v>
      </c>
      <c r="H391" s="3">
        <v>55153702.590000004</v>
      </c>
      <c r="I391" s="4">
        <v>0</v>
      </c>
      <c r="J391" s="3">
        <v>50600959.280000001</v>
      </c>
      <c r="K391" s="3">
        <v>3681.02</v>
      </c>
      <c r="L391" s="3">
        <v>0</v>
      </c>
      <c r="M391" t="s">
        <v>23</v>
      </c>
      <c r="N391" t="s">
        <v>413</v>
      </c>
      <c r="O391" s="4">
        <v>0.25245261931326768</v>
      </c>
      <c r="P391" s="4">
        <v>0.74754738068673232</v>
      </c>
      <c r="Q391" t="s">
        <v>414</v>
      </c>
      <c r="R391" s="4">
        <v>7.6324089970712775E-5</v>
      </c>
      <c r="S391" s="3">
        <v>9099527.9600000009</v>
      </c>
      <c r="T391" s="4">
        <v>0.16498489734485841</v>
      </c>
    </row>
    <row r="392" spans="1:20" x14ac:dyDescent="0.4">
      <c r="A392" s="2">
        <v>45894</v>
      </c>
      <c r="B392" t="s">
        <v>31</v>
      </c>
      <c r="C392" t="s">
        <v>22</v>
      </c>
      <c r="D392" s="3" t="str">
        <f t="shared" ref="D392:D444" si="28">IF(J392/H392&gt;=0.75,"PASS","FAIL")</f>
        <v>PASS</v>
      </c>
      <c r="E392" s="3" t="str">
        <f t="shared" ref="E392:E444" si="29">IF(L392=0,"PASS","FAIL")</f>
        <v>PASS</v>
      </c>
      <c r="F392" s="3" t="str">
        <f t="shared" ref="F392:F444" si="30">IF(R392="","",IF(R392&lt;=0.1,"PASS","FAIL"))</f>
        <v>PASS</v>
      </c>
      <c r="G392" s="3" t="str">
        <f t="shared" ref="G392:G444" si="31">IF(S392=0,"PASS",IF(S392&lt;=0.05*J392,"PASS","FAIL"))</f>
        <v>FAIL</v>
      </c>
      <c r="H392" s="3">
        <v>40220797.280000001</v>
      </c>
      <c r="I392" s="4">
        <v>0</v>
      </c>
      <c r="J392" s="3">
        <v>34960495.759999998</v>
      </c>
      <c r="K392" s="3">
        <v>2545.8200000000002</v>
      </c>
      <c r="L392" s="3">
        <v>0</v>
      </c>
      <c r="M392" t="s">
        <v>23</v>
      </c>
      <c r="N392" t="s">
        <v>39</v>
      </c>
      <c r="O392" s="4">
        <v>0.25240410520997719</v>
      </c>
      <c r="P392" s="4">
        <v>0.74759589479002275</v>
      </c>
      <c r="Q392" t="s">
        <v>415</v>
      </c>
      <c r="R392" s="4">
        <v>6.3249418024183022E-6</v>
      </c>
      <c r="S392" s="3">
        <v>10418560.25</v>
      </c>
      <c r="T392" s="4">
        <v>0.25903415532691798</v>
      </c>
    </row>
    <row r="393" spans="1:20" x14ac:dyDescent="0.4">
      <c r="A393" s="2">
        <v>45894</v>
      </c>
      <c r="B393" t="s">
        <v>32</v>
      </c>
      <c r="C393" t="s">
        <v>22</v>
      </c>
      <c r="D393" s="3" t="str">
        <f t="shared" si="28"/>
        <v>PASS</v>
      </c>
      <c r="E393" s="3" t="str">
        <f t="shared" si="29"/>
        <v>PASS</v>
      </c>
      <c r="F393" s="3" t="str">
        <f t="shared" si="30"/>
        <v>PASS</v>
      </c>
      <c r="G393" s="3" t="str">
        <f t="shared" si="31"/>
        <v>FAIL</v>
      </c>
      <c r="H393" s="3">
        <v>78495505.269999996</v>
      </c>
      <c r="I393" s="4">
        <v>0</v>
      </c>
      <c r="J393" s="3">
        <v>70557689.989999995</v>
      </c>
      <c r="K393" s="3">
        <v>5137.21</v>
      </c>
      <c r="L393" s="3">
        <v>0</v>
      </c>
      <c r="M393" t="s">
        <v>23</v>
      </c>
      <c r="N393" t="s">
        <v>39</v>
      </c>
      <c r="O393" s="4">
        <v>0.25564486369319139</v>
      </c>
      <c r="P393" s="4">
        <v>0.74435513630680861</v>
      </c>
      <c r="Q393" t="s">
        <v>416</v>
      </c>
      <c r="R393" s="4">
        <v>1.292757439656723E-5</v>
      </c>
      <c r="S393" s="3">
        <v>16608001.52</v>
      </c>
      <c r="T393" s="4">
        <v>0.21157901287307679</v>
      </c>
    </row>
    <row r="394" spans="1:20" x14ac:dyDescent="0.4">
      <c r="A394" s="2">
        <v>45894</v>
      </c>
      <c r="B394" t="s">
        <v>33</v>
      </c>
      <c r="C394" t="s">
        <v>22</v>
      </c>
      <c r="D394" s="3" t="str">
        <f t="shared" si="28"/>
        <v>PASS</v>
      </c>
      <c r="E394" s="3" t="str">
        <f t="shared" si="29"/>
        <v>PASS</v>
      </c>
      <c r="F394" s="3" t="str">
        <f t="shared" si="30"/>
        <v>PASS</v>
      </c>
      <c r="G394" s="3" t="str">
        <f t="shared" si="31"/>
        <v>FAIL</v>
      </c>
      <c r="H394" s="3">
        <v>167041380.37</v>
      </c>
      <c r="I394" s="4">
        <v>0</v>
      </c>
      <c r="J394" s="3">
        <v>142715843.21000001</v>
      </c>
      <c r="K394" s="3">
        <v>10385.4</v>
      </c>
      <c r="L394" s="3">
        <v>0</v>
      </c>
      <c r="M394" t="s">
        <v>23</v>
      </c>
      <c r="N394" t="s">
        <v>39</v>
      </c>
      <c r="O394" s="4">
        <v>0.25311849565885353</v>
      </c>
      <c r="P394" s="4">
        <v>0.74688150434114653</v>
      </c>
      <c r="Q394" t="s">
        <v>417</v>
      </c>
      <c r="R394" s="4">
        <v>2.5917095200520521E-5</v>
      </c>
      <c r="S394" s="3">
        <v>46438691.760000013</v>
      </c>
      <c r="T394" s="4">
        <v>0.27800711211280332</v>
      </c>
    </row>
    <row r="395" spans="1:20" x14ac:dyDescent="0.4">
      <c r="A395" s="2">
        <v>45895</v>
      </c>
      <c r="B395" t="s">
        <v>21</v>
      </c>
      <c r="C395" t="s">
        <v>22</v>
      </c>
      <c r="D395" s="3" t="str">
        <f t="shared" si="28"/>
        <v>PASS</v>
      </c>
      <c r="E395" s="3" t="str">
        <f t="shared" si="29"/>
        <v>PASS</v>
      </c>
      <c r="F395" s="3" t="str">
        <f t="shared" si="30"/>
        <v>PASS</v>
      </c>
      <c r="G395" s="3" t="str">
        <f t="shared" si="31"/>
        <v>FAIL</v>
      </c>
      <c r="H395" s="3">
        <v>24720340.25</v>
      </c>
      <c r="I395" s="4">
        <v>0</v>
      </c>
      <c r="J395" s="3">
        <v>20730461.649999999</v>
      </c>
      <c r="K395" s="3">
        <v>1500.37</v>
      </c>
      <c r="L395" s="3">
        <v>0</v>
      </c>
      <c r="M395" t="s">
        <v>23</v>
      </c>
      <c r="N395" t="s">
        <v>41</v>
      </c>
      <c r="O395" s="4">
        <v>0.29551905275587542</v>
      </c>
      <c r="P395" s="4">
        <v>0.70448094724412469</v>
      </c>
      <c r="Q395" t="s">
        <v>418</v>
      </c>
      <c r="R395" s="4">
        <v>3.7488256883634309E-6</v>
      </c>
      <c r="S395" s="3">
        <v>7755042.8899999997</v>
      </c>
      <c r="T395" s="4">
        <v>0.31371100929729312</v>
      </c>
    </row>
    <row r="396" spans="1:20" x14ac:dyDescent="0.4">
      <c r="A396" s="2">
        <v>45895</v>
      </c>
      <c r="B396" t="s">
        <v>24</v>
      </c>
      <c r="C396" t="s">
        <v>22</v>
      </c>
      <c r="D396" s="3" t="str">
        <f t="shared" si="28"/>
        <v>PASS</v>
      </c>
      <c r="E396" s="3" t="str">
        <f t="shared" si="29"/>
        <v>PASS</v>
      </c>
      <c r="F396" s="3" t="str">
        <f t="shared" si="30"/>
        <v>PASS</v>
      </c>
      <c r="G396" s="3" t="str">
        <f t="shared" si="31"/>
        <v>FAIL</v>
      </c>
      <c r="H396" s="3">
        <v>136038927.72</v>
      </c>
      <c r="I396" s="4">
        <v>0</v>
      </c>
      <c r="J396" s="3">
        <v>120574522.92</v>
      </c>
      <c r="K396" s="3">
        <v>8722.85</v>
      </c>
      <c r="L396" s="3">
        <v>0</v>
      </c>
      <c r="M396" t="s">
        <v>23</v>
      </c>
      <c r="N396" t="s">
        <v>39</v>
      </c>
      <c r="O396" s="4">
        <v>0.26047334079719198</v>
      </c>
      <c r="P396" s="4">
        <v>0.73952665920280802</v>
      </c>
      <c r="Q396" t="s">
        <v>419</v>
      </c>
      <c r="R396" s="4">
        <v>2.243100772279453E-5</v>
      </c>
      <c r="S396" s="3">
        <v>32666583.710000001</v>
      </c>
      <c r="T396" s="4">
        <v>0.2401267362032983</v>
      </c>
    </row>
    <row r="397" spans="1:20" x14ac:dyDescent="0.4">
      <c r="A397" s="2">
        <v>45895</v>
      </c>
      <c r="B397" t="s">
        <v>25</v>
      </c>
      <c r="C397" t="s">
        <v>22</v>
      </c>
      <c r="D397" s="3" t="str">
        <f t="shared" si="28"/>
        <v>PASS</v>
      </c>
      <c r="E397" s="3" t="str">
        <f t="shared" si="29"/>
        <v>PASS</v>
      </c>
      <c r="F397" s="3" t="str">
        <f t="shared" si="30"/>
        <v>PASS</v>
      </c>
      <c r="G397" s="3" t="str">
        <f t="shared" si="31"/>
        <v>FAIL</v>
      </c>
      <c r="H397" s="3">
        <v>101668825.65000001</v>
      </c>
      <c r="I397" s="4">
        <v>0</v>
      </c>
      <c r="J397" s="3">
        <v>92674205.810000002</v>
      </c>
      <c r="K397" s="3">
        <v>6707.62</v>
      </c>
      <c r="L397" s="3">
        <v>0</v>
      </c>
      <c r="M397" t="s">
        <v>23</v>
      </c>
      <c r="N397" t="s">
        <v>39</v>
      </c>
      <c r="O397" s="4">
        <v>0.25263082154704247</v>
      </c>
      <c r="P397" s="4">
        <v>0.74736917845295747</v>
      </c>
      <c r="Q397" t="s">
        <v>420</v>
      </c>
      <c r="R397" s="4">
        <v>1.6721257828210219E-5</v>
      </c>
      <c r="S397" s="3">
        <v>17132122.16</v>
      </c>
      <c r="T397" s="4">
        <v>0.1685090985409646</v>
      </c>
    </row>
    <row r="398" spans="1:20" x14ac:dyDescent="0.4">
      <c r="A398" s="2">
        <v>45895</v>
      </c>
      <c r="B398" t="s">
        <v>26</v>
      </c>
      <c r="C398" t="s">
        <v>22</v>
      </c>
      <c r="D398" s="3" t="str">
        <f t="shared" si="28"/>
        <v>PASS</v>
      </c>
      <c r="E398" s="3" t="str">
        <f t="shared" si="29"/>
        <v>PASS</v>
      </c>
      <c r="F398" s="3" t="str">
        <f t="shared" si="30"/>
        <v>PASS</v>
      </c>
      <c r="G398" s="3" t="str">
        <f t="shared" si="31"/>
        <v>FAIL</v>
      </c>
      <c r="H398" s="3">
        <v>23507716.82</v>
      </c>
      <c r="I398" s="4">
        <v>0</v>
      </c>
      <c r="J398" s="3">
        <v>21562209.23</v>
      </c>
      <c r="K398" s="3">
        <v>1561.17</v>
      </c>
      <c r="L398" s="3">
        <v>0</v>
      </c>
      <c r="M398" t="s">
        <v>23</v>
      </c>
      <c r="N398" t="s">
        <v>39</v>
      </c>
      <c r="O398" s="4">
        <v>0.25445785965040468</v>
      </c>
      <c r="P398" s="4">
        <v>0.74554214034959532</v>
      </c>
      <c r="Q398" t="s">
        <v>421</v>
      </c>
      <c r="R398" s="4">
        <v>3.919712329428431E-6</v>
      </c>
      <c r="S398" s="3">
        <v>3697893.68</v>
      </c>
      <c r="T398" s="4">
        <v>0.1573055226211458</v>
      </c>
    </row>
    <row r="399" spans="1:20" x14ac:dyDescent="0.4">
      <c r="A399" s="2">
        <v>45895</v>
      </c>
      <c r="B399" t="s">
        <v>27</v>
      </c>
      <c r="C399" t="s">
        <v>22</v>
      </c>
      <c r="D399" s="3" t="str">
        <f t="shared" si="28"/>
        <v>PASS</v>
      </c>
      <c r="E399" s="3" t="str">
        <f t="shared" si="29"/>
        <v>PASS</v>
      </c>
      <c r="F399" s="3" t="str">
        <f t="shared" si="30"/>
        <v>PASS</v>
      </c>
      <c r="G399" s="3" t="str">
        <f t="shared" si="31"/>
        <v>FAIL</v>
      </c>
      <c r="H399" s="3">
        <v>43405823.659999996</v>
      </c>
      <c r="I399" s="4">
        <v>0</v>
      </c>
      <c r="J399" s="3">
        <v>37000616.960000001</v>
      </c>
      <c r="K399" s="3">
        <v>2676.61</v>
      </c>
      <c r="L399" s="3">
        <v>0</v>
      </c>
      <c r="M399" t="s">
        <v>23</v>
      </c>
      <c r="N399" t="s">
        <v>39</v>
      </c>
      <c r="O399" s="4">
        <v>0.26045191247535349</v>
      </c>
      <c r="P399" s="4">
        <v>0.73954808752464651</v>
      </c>
      <c r="Q399" t="s">
        <v>422</v>
      </c>
      <c r="R399" s="4">
        <v>6.8760512198529261E-6</v>
      </c>
      <c r="S399" s="3">
        <v>14250142.359999999</v>
      </c>
      <c r="T399" s="4">
        <v>0.32830024080690368</v>
      </c>
    </row>
    <row r="400" spans="1:20" x14ac:dyDescent="0.4">
      <c r="A400" s="2">
        <v>45895</v>
      </c>
      <c r="B400" t="s">
        <v>28</v>
      </c>
      <c r="C400" t="s">
        <v>22</v>
      </c>
      <c r="D400" s="3" t="str">
        <f t="shared" si="28"/>
        <v>PASS</v>
      </c>
      <c r="E400" s="3" t="str">
        <f t="shared" si="29"/>
        <v>PASS</v>
      </c>
      <c r="F400" s="3" t="str">
        <f t="shared" si="30"/>
        <v>PASS</v>
      </c>
      <c r="G400" s="3" t="str">
        <f t="shared" si="31"/>
        <v>FAIL</v>
      </c>
      <c r="H400" s="3">
        <v>15359865.58</v>
      </c>
      <c r="I400" s="4">
        <v>0</v>
      </c>
      <c r="J400" s="3">
        <v>13688661.949999999</v>
      </c>
      <c r="K400" s="3">
        <v>991.01</v>
      </c>
      <c r="L400" s="3">
        <v>0</v>
      </c>
      <c r="M400" t="s">
        <v>23</v>
      </c>
      <c r="N400" t="s">
        <v>39</v>
      </c>
      <c r="O400" s="4">
        <v>0.25436595576092819</v>
      </c>
      <c r="P400" s="4">
        <v>0.74563404423907187</v>
      </c>
      <c r="Q400" t="s">
        <v>423</v>
      </c>
      <c r="R400" s="4">
        <v>2.4842645444824329E-6</v>
      </c>
      <c r="S400" s="3">
        <v>3976766.22</v>
      </c>
      <c r="T400" s="4">
        <v>0.25890631654863738</v>
      </c>
    </row>
    <row r="401" spans="1:20" x14ac:dyDescent="0.4">
      <c r="A401" s="2">
        <v>45895</v>
      </c>
      <c r="B401" t="s">
        <v>29</v>
      </c>
      <c r="C401" t="s">
        <v>22</v>
      </c>
      <c r="D401" s="3" t="str">
        <f t="shared" si="28"/>
        <v>PASS</v>
      </c>
      <c r="E401" s="3" t="str">
        <f t="shared" si="29"/>
        <v>PASS</v>
      </c>
      <c r="F401" s="3" t="str">
        <f t="shared" si="30"/>
        <v>PASS</v>
      </c>
      <c r="G401" s="3" t="str">
        <f t="shared" si="31"/>
        <v>FAIL</v>
      </c>
      <c r="H401" s="3">
        <v>34704483.859999999</v>
      </c>
      <c r="I401" s="4">
        <v>0</v>
      </c>
      <c r="J401" s="3">
        <v>32495257.120000001</v>
      </c>
      <c r="K401" s="3">
        <v>2351.14</v>
      </c>
      <c r="L401" s="3">
        <v>0</v>
      </c>
      <c r="M401" t="s">
        <v>23</v>
      </c>
      <c r="N401" t="s">
        <v>39</v>
      </c>
      <c r="O401" s="4">
        <v>0.25621080175653649</v>
      </c>
      <c r="P401" s="4">
        <v>0.74378919824346346</v>
      </c>
      <c r="Q401" t="s">
        <v>424</v>
      </c>
      <c r="R401" s="4">
        <v>5.9468551090619904E-6</v>
      </c>
      <c r="S401" s="3">
        <v>4263308.2300000004</v>
      </c>
      <c r="T401" s="4">
        <v>0.1228460347429008</v>
      </c>
    </row>
    <row r="402" spans="1:20" x14ac:dyDescent="0.4">
      <c r="A402" s="2">
        <v>45895</v>
      </c>
      <c r="B402" t="s">
        <v>30</v>
      </c>
      <c r="C402" t="s">
        <v>22</v>
      </c>
      <c r="D402" s="3" t="str">
        <f t="shared" si="28"/>
        <v>PASS</v>
      </c>
      <c r="E402" s="3" t="str">
        <f t="shared" si="29"/>
        <v>PASS</v>
      </c>
      <c r="F402" s="3" t="str">
        <f t="shared" si="30"/>
        <v>PASS</v>
      </c>
      <c r="G402" s="3" t="str">
        <f t="shared" si="31"/>
        <v>FAIL</v>
      </c>
      <c r="H402" s="3">
        <v>55196910.450000003</v>
      </c>
      <c r="I402" s="4">
        <v>0</v>
      </c>
      <c r="J402" s="3">
        <v>50640493.369999997</v>
      </c>
      <c r="K402" s="3">
        <v>3674.45</v>
      </c>
      <c r="L402" s="3">
        <v>0</v>
      </c>
      <c r="M402" t="s">
        <v>23</v>
      </c>
      <c r="N402" t="s">
        <v>425</v>
      </c>
      <c r="O402" s="4">
        <v>0.25183895300584042</v>
      </c>
      <c r="P402" s="4">
        <v>0.74816104699415964</v>
      </c>
      <c r="Q402" t="s">
        <v>426</v>
      </c>
      <c r="R402" s="4">
        <v>7.6324089970712775E-5</v>
      </c>
      <c r="S402" s="3">
        <v>9116725.8100000005</v>
      </c>
      <c r="T402" s="4">
        <v>0.16516732070100851</v>
      </c>
    </row>
    <row r="403" spans="1:20" x14ac:dyDescent="0.4">
      <c r="A403" s="2">
        <v>45895</v>
      </c>
      <c r="B403" t="s">
        <v>31</v>
      </c>
      <c r="C403" t="s">
        <v>22</v>
      </c>
      <c r="D403" s="3" t="str">
        <f t="shared" si="28"/>
        <v>PASS</v>
      </c>
      <c r="E403" s="3" t="str">
        <f t="shared" si="29"/>
        <v>PASS</v>
      </c>
      <c r="F403" s="3" t="str">
        <f t="shared" si="30"/>
        <v>PASS</v>
      </c>
      <c r="G403" s="3" t="str">
        <f t="shared" si="31"/>
        <v>FAIL</v>
      </c>
      <c r="H403" s="3">
        <v>40350330.670000002</v>
      </c>
      <c r="I403" s="4">
        <v>0</v>
      </c>
      <c r="J403" s="3">
        <v>35087490.920000002</v>
      </c>
      <c r="K403" s="3">
        <v>2538.91</v>
      </c>
      <c r="L403" s="3">
        <v>0</v>
      </c>
      <c r="M403" t="s">
        <v>23</v>
      </c>
      <c r="N403" t="s">
        <v>39</v>
      </c>
      <c r="O403" s="4">
        <v>0.25265701016389458</v>
      </c>
      <c r="P403" s="4">
        <v>0.74734298983610536</v>
      </c>
      <c r="Q403" t="s">
        <v>427</v>
      </c>
      <c r="R403" s="4">
        <v>6.3249418024183022E-6</v>
      </c>
      <c r="S403" s="3">
        <v>10499010.470000001</v>
      </c>
      <c r="T403" s="4">
        <v>0.26019639233851172</v>
      </c>
    </row>
    <row r="404" spans="1:20" x14ac:dyDescent="0.4">
      <c r="A404" s="2">
        <v>45895</v>
      </c>
      <c r="B404" t="s">
        <v>32</v>
      </c>
      <c r="C404" t="s">
        <v>22</v>
      </c>
      <c r="D404" s="3" t="str">
        <f t="shared" si="28"/>
        <v>PASS</v>
      </c>
      <c r="E404" s="3" t="str">
        <f t="shared" si="29"/>
        <v>PASS</v>
      </c>
      <c r="F404" s="3" t="str">
        <f t="shared" si="30"/>
        <v>PASS</v>
      </c>
      <c r="G404" s="3" t="str">
        <f t="shared" si="31"/>
        <v>FAIL</v>
      </c>
      <c r="H404" s="3">
        <v>78764206.709999993</v>
      </c>
      <c r="I404" s="4">
        <v>0</v>
      </c>
      <c r="J404" s="3">
        <v>70821268.75</v>
      </c>
      <c r="K404" s="3">
        <v>5122.68</v>
      </c>
      <c r="L404" s="3">
        <v>0</v>
      </c>
      <c r="M404" t="s">
        <v>23</v>
      </c>
      <c r="N404" t="s">
        <v>39</v>
      </c>
      <c r="O404" s="4">
        <v>0.25587625158155608</v>
      </c>
      <c r="P404" s="4">
        <v>0.74412374841844386</v>
      </c>
      <c r="Q404" t="s">
        <v>428</v>
      </c>
      <c r="R404" s="4">
        <v>1.292757439656723E-5</v>
      </c>
      <c r="S404" s="3">
        <v>16753455.779999999</v>
      </c>
      <c r="T404" s="4">
        <v>0.21270392326408041</v>
      </c>
    </row>
    <row r="405" spans="1:20" x14ac:dyDescent="0.4">
      <c r="A405" s="2">
        <v>45895</v>
      </c>
      <c r="B405" t="s">
        <v>33</v>
      </c>
      <c r="C405" t="s">
        <v>22</v>
      </c>
      <c r="D405" s="3" t="str">
        <f t="shared" si="28"/>
        <v>PASS</v>
      </c>
      <c r="E405" s="3" t="str">
        <f t="shared" si="29"/>
        <v>PASS</v>
      </c>
      <c r="F405" s="3" t="str">
        <f t="shared" si="30"/>
        <v>PASS</v>
      </c>
      <c r="G405" s="3" t="str">
        <f t="shared" si="31"/>
        <v>FAIL</v>
      </c>
      <c r="H405" s="3">
        <v>167509633.66</v>
      </c>
      <c r="I405" s="4">
        <v>0</v>
      </c>
      <c r="J405" s="3">
        <v>143173734.94</v>
      </c>
      <c r="K405" s="3">
        <v>10362.11</v>
      </c>
      <c r="L405" s="3">
        <v>0</v>
      </c>
      <c r="M405" t="s">
        <v>23</v>
      </c>
      <c r="N405" t="s">
        <v>39</v>
      </c>
      <c r="O405" s="4">
        <v>0.25344873691537723</v>
      </c>
      <c r="P405" s="4">
        <v>0.74655126308462283</v>
      </c>
      <c r="Q405" t="s">
        <v>429</v>
      </c>
      <c r="R405" s="4">
        <v>2.5917095200520521E-5</v>
      </c>
      <c r="S405" s="3">
        <v>46793787.540000007</v>
      </c>
      <c r="T405" s="4">
        <v>0.2793498291267173</v>
      </c>
    </row>
    <row r="406" spans="1:20" x14ac:dyDescent="0.4">
      <c r="A406" s="2">
        <v>45896</v>
      </c>
      <c r="B406" t="s">
        <v>21</v>
      </c>
      <c r="C406" t="s">
        <v>22</v>
      </c>
      <c r="D406" s="3" t="str">
        <f t="shared" si="28"/>
        <v>PASS</v>
      </c>
      <c r="E406" s="3" t="str">
        <f t="shared" si="29"/>
        <v>PASS</v>
      </c>
      <c r="F406" s="3" t="str">
        <f t="shared" si="30"/>
        <v>PASS</v>
      </c>
      <c r="G406" s="3" t="str">
        <f t="shared" si="31"/>
        <v>FAIL</v>
      </c>
      <c r="H406" s="3">
        <v>24744868.300000001</v>
      </c>
      <c r="I406" s="4">
        <v>0</v>
      </c>
      <c r="J406" s="3">
        <v>20753484.609999999</v>
      </c>
      <c r="K406" s="3">
        <v>1505.64</v>
      </c>
      <c r="L406" s="3">
        <v>0</v>
      </c>
      <c r="M406" t="s">
        <v>23</v>
      </c>
      <c r="N406" t="s">
        <v>41</v>
      </c>
      <c r="O406" s="4">
        <v>0.29707163427530059</v>
      </c>
      <c r="P406" s="4">
        <v>0.70292836572469941</v>
      </c>
      <c r="Q406" t="s">
        <v>430</v>
      </c>
      <c r="R406" s="4">
        <v>3.7573700204166808E-6</v>
      </c>
      <c r="S406" s="3">
        <v>7760209.2300000004</v>
      </c>
      <c r="T406" s="4">
        <v>0.31360883137131101</v>
      </c>
    </row>
    <row r="407" spans="1:20" x14ac:dyDescent="0.4">
      <c r="A407" s="2">
        <v>45896</v>
      </c>
      <c r="B407" t="s">
        <v>24</v>
      </c>
      <c r="C407" t="s">
        <v>22</v>
      </c>
      <c r="D407" s="3" t="str">
        <f t="shared" si="28"/>
        <v>PASS</v>
      </c>
      <c r="E407" s="3" t="str">
        <f t="shared" si="29"/>
        <v>PASS</v>
      </c>
      <c r="F407" s="3" t="str">
        <f t="shared" si="30"/>
        <v>PASS</v>
      </c>
      <c r="G407" s="3" t="str">
        <f t="shared" si="31"/>
        <v>FAIL</v>
      </c>
      <c r="H407" s="3">
        <v>136207031.33000001</v>
      </c>
      <c r="I407" s="4">
        <v>0</v>
      </c>
      <c r="J407" s="3">
        <v>120733872.48999999</v>
      </c>
      <c r="K407" s="3">
        <v>8754.59</v>
      </c>
      <c r="L407" s="3">
        <v>0</v>
      </c>
      <c r="M407" t="s">
        <v>23</v>
      </c>
      <c r="N407" t="s">
        <v>39</v>
      </c>
      <c r="O407" s="4">
        <v>0.26203167849702103</v>
      </c>
      <c r="P407" s="4">
        <v>0.73796832150297909</v>
      </c>
      <c r="Q407" t="s">
        <v>431</v>
      </c>
      <c r="R407" s="4">
        <v>2.2499362379220529E-5</v>
      </c>
      <c r="S407" s="3">
        <v>32739340.190000001</v>
      </c>
      <c r="T407" s="4">
        <v>0.24036453823503209</v>
      </c>
    </row>
    <row r="408" spans="1:20" x14ac:dyDescent="0.4">
      <c r="A408" s="2">
        <v>45896</v>
      </c>
      <c r="B408" t="s">
        <v>25</v>
      </c>
      <c r="C408" t="s">
        <v>22</v>
      </c>
      <c r="D408" s="3" t="str">
        <f t="shared" si="28"/>
        <v>PASS</v>
      </c>
      <c r="E408" s="3" t="str">
        <f t="shared" si="29"/>
        <v>PASS</v>
      </c>
      <c r="F408" s="3" t="str">
        <f t="shared" si="30"/>
        <v>PASS</v>
      </c>
      <c r="G408" s="3" t="str">
        <f t="shared" si="31"/>
        <v>FAIL</v>
      </c>
      <c r="H408" s="3">
        <v>101754120.22</v>
      </c>
      <c r="I408" s="4">
        <v>0</v>
      </c>
      <c r="J408" s="3">
        <v>92752771.980000004</v>
      </c>
      <c r="K408" s="3">
        <v>6729.08</v>
      </c>
      <c r="L408" s="3">
        <v>0</v>
      </c>
      <c r="M408" t="s">
        <v>23</v>
      </c>
      <c r="N408" t="s">
        <v>39</v>
      </c>
      <c r="O408" s="4">
        <v>0.25423277155624691</v>
      </c>
      <c r="P408" s="4">
        <v>0.74576722844375309</v>
      </c>
      <c r="Q408" t="s">
        <v>432</v>
      </c>
      <c r="R408" s="4">
        <v>1.6770387737516411E-5</v>
      </c>
      <c r="S408" s="3">
        <v>17110621.870000001</v>
      </c>
      <c r="T408" s="4">
        <v>0.16815655064390081</v>
      </c>
    </row>
    <row r="409" spans="1:20" x14ac:dyDescent="0.4">
      <c r="A409" s="2">
        <v>45896</v>
      </c>
      <c r="B409" t="s">
        <v>26</v>
      </c>
      <c r="C409" t="s">
        <v>22</v>
      </c>
      <c r="D409" s="3" t="str">
        <f t="shared" si="28"/>
        <v>PASS</v>
      </c>
      <c r="E409" s="3" t="str">
        <f t="shared" si="29"/>
        <v>PASS</v>
      </c>
      <c r="F409" s="3" t="str">
        <f t="shared" si="30"/>
        <v>PASS</v>
      </c>
      <c r="G409" s="3" t="str">
        <f t="shared" si="31"/>
        <v>FAIL</v>
      </c>
      <c r="H409" s="3">
        <v>23528779.050000001</v>
      </c>
      <c r="I409" s="4">
        <v>0</v>
      </c>
      <c r="J409" s="3">
        <v>21581705.98</v>
      </c>
      <c r="K409" s="3">
        <v>1566.19</v>
      </c>
      <c r="L409" s="3">
        <v>0</v>
      </c>
      <c r="M409" t="s">
        <v>23</v>
      </c>
      <c r="N409" t="s">
        <v>39</v>
      </c>
      <c r="O409" s="4">
        <v>0.25610302286214348</v>
      </c>
      <c r="P409" s="4">
        <v>0.74389697713785652</v>
      </c>
      <c r="Q409" t="s">
        <v>433</v>
      </c>
      <c r="R409" s="4">
        <v>3.9303927444949938E-6</v>
      </c>
      <c r="S409" s="3">
        <v>3696106.2</v>
      </c>
      <c r="T409" s="4">
        <v>0.15708873767506429</v>
      </c>
    </row>
    <row r="410" spans="1:20" x14ac:dyDescent="0.4">
      <c r="A410" s="2">
        <v>45896</v>
      </c>
      <c r="B410" t="s">
        <v>27</v>
      </c>
      <c r="C410" t="s">
        <v>22</v>
      </c>
      <c r="D410" s="3" t="str">
        <f t="shared" si="28"/>
        <v>PASS</v>
      </c>
      <c r="E410" s="3" t="str">
        <f t="shared" si="29"/>
        <v>PASS</v>
      </c>
      <c r="F410" s="3" t="str">
        <f t="shared" si="30"/>
        <v>PASS</v>
      </c>
      <c r="G410" s="3" t="str">
        <f t="shared" si="31"/>
        <v>FAIL</v>
      </c>
      <c r="H410" s="3">
        <v>43450161.240000002</v>
      </c>
      <c r="I410" s="4">
        <v>0</v>
      </c>
      <c r="J410" s="3">
        <v>37042268.189999998</v>
      </c>
      <c r="K410" s="3">
        <v>2686.9</v>
      </c>
      <c r="L410" s="3">
        <v>0</v>
      </c>
      <c r="M410" t="s">
        <v>23</v>
      </c>
      <c r="N410" t="s">
        <v>39</v>
      </c>
      <c r="O410" s="4">
        <v>0.26178468878473943</v>
      </c>
      <c r="P410" s="4">
        <v>0.73821531121526063</v>
      </c>
      <c r="Q410" t="s">
        <v>434</v>
      </c>
      <c r="R410" s="4">
        <v>6.8888677179328017E-6</v>
      </c>
      <c r="S410" s="3">
        <v>14265863.220000001</v>
      </c>
      <c r="T410" s="4">
        <v>0.32832704903444448</v>
      </c>
    </row>
    <row r="411" spans="1:20" x14ac:dyDescent="0.4">
      <c r="A411" s="2">
        <v>45896</v>
      </c>
      <c r="B411" t="s">
        <v>28</v>
      </c>
      <c r="C411" t="s">
        <v>22</v>
      </c>
      <c r="D411" s="3" t="str">
        <f t="shared" si="28"/>
        <v>PASS</v>
      </c>
      <c r="E411" s="3" t="str">
        <f t="shared" si="29"/>
        <v>PASS</v>
      </c>
      <c r="F411" s="3" t="str">
        <f t="shared" si="30"/>
        <v>PASS</v>
      </c>
      <c r="G411" s="3" t="str">
        <f t="shared" si="31"/>
        <v>FAIL</v>
      </c>
      <c r="H411" s="3">
        <v>15375414.939999999</v>
      </c>
      <c r="I411" s="4">
        <v>0</v>
      </c>
      <c r="J411" s="3">
        <v>13703217.48</v>
      </c>
      <c r="K411" s="3">
        <v>994.54</v>
      </c>
      <c r="L411" s="3">
        <v>0</v>
      </c>
      <c r="M411" t="s">
        <v>23</v>
      </c>
      <c r="N411" t="s">
        <v>39</v>
      </c>
      <c r="O411" s="4">
        <v>0.25575908615003612</v>
      </c>
      <c r="P411" s="4">
        <v>0.74424091384996394</v>
      </c>
      <c r="Q411" t="s">
        <v>435</v>
      </c>
      <c r="R411" s="4">
        <v>2.4906727935223712E-6</v>
      </c>
      <c r="S411" s="3">
        <v>3981284.97</v>
      </c>
      <c r="T411" s="4">
        <v>0.25893837568197692</v>
      </c>
    </row>
    <row r="412" spans="1:20" x14ac:dyDescent="0.4">
      <c r="A412" s="2">
        <v>45896</v>
      </c>
      <c r="B412" t="s">
        <v>29</v>
      </c>
      <c r="C412" t="s">
        <v>22</v>
      </c>
      <c r="D412" s="3" t="str">
        <f t="shared" si="28"/>
        <v>PASS</v>
      </c>
      <c r="E412" s="3" t="str">
        <f t="shared" si="29"/>
        <v>PASS</v>
      </c>
      <c r="F412" s="3" t="str">
        <f t="shared" si="30"/>
        <v>PASS</v>
      </c>
      <c r="G412" s="3" t="str">
        <f t="shared" si="31"/>
        <v>FAIL</v>
      </c>
      <c r="H412" s="3">
        <v>34744337.759999998</v>
      </c>
      <c r="I412" s="4">
        <v>0</v>
      </c>
      <c r="J412" s="3">
        <v>32532751.780000001</v>
      </c>
      <c r="K412" s="3">
        <v>2359.2399999999998</v>
      </c>
      <c r="L412" s="3">
        <v>0</v>
      </c>
      <c r="M412" t="s">
        <v>23</v>
      </c>
      <c r="N412" t="s">
        <v>39</v>
      </c>
      <c r="O412" s="4">
        <v>0.25779182703984588</v>
      </c>
      <c r="P412" s="4">
        <v>0.74220817296015407</v>
      </c>
      <c r="Q412" t="s">
        <v>436</v>
      </c>
      <c r="R412" s="4">
        <v>5.9639437731684902E-6</v>
      </c>
      <c r="S412" s="3">
        <v>4268232.9399999985</v>
      </c>
      <c r="T412" s="4">
        <v>0.1228468641274226</v>
      </c>
    </row>
    <row r="413" spans="1:20" x14ac:dyDescent="0.4">
      <c r="A413" s="2">
        <v>45896</v>
      </c>
      <c r="B413" t="s">
        <v>30</v>
      </c>
      <c r="C413" t="s">
        <v>22</v>
      </c>
      <c r="D413" s="3" t="str">
        <f t="shared" si="28"/>
        <v>PASS</v>
      </c>
      <c r="E413" s="3" t="str">
        <f t="shared" si="29"/>
        <v>PASS</v>
      </c>
      <c r="F413" s="3" t="str">
        <f t="shared" si="30"/>
        <v>PASS</v>
      </c>
      <c r="G413" s="3" t="str">
        <f t="shared" si="31"/>
        <v>FAIL</v>
      </c>
      <c r="H413" s="3">
        <v>55205905.590000004</v>
      </c>
      <c r="I413" s="4">
        <v>0</v>
      </c>
      <c r="J413" s="3">
        <v>50645811.869999997</v>
      </c>
      <c r="K413" s="3">
        <v>3677.32</v>
      </c>
      <c r="L413" s="3">
        <v>0</v>
      </c>
      <c r="M413" t="s">
        <v>23</v>
      </c>
      <c r="N413" t="s">
        <v>437</v>
      </c>
      <c r="O413" s="4">
        <v>0.25140108174555759</v>
      </c>
      <c r="P413" s="4">
        <v>0.74859891825444236</v>
      </c>
      <c r="Q413" t="s">
        <v>438</v>
      </c>
      <c r="R413" s="4">
        <v>7.6324089970712775E-5</v>
      </c>
      <c r="S413" s="3">
        <v>9078801.4399999995</v>
      </c>
      <c r="T413" s="4">
        <v>0.164453446474113</v>
      </c>
    </row>
    <row r="414" spans="1:20" x14ac:dyDescent="0.4">
      <c r="A414" s="2">
        <v>45896</v>
      </c>
      <c r="B414" t="s">
        <v>31</v>
      </c>
      <c r="C414" t="s">
        <v>22</v>
      </c>
      <c r="D414" s="3" t="str">
        <f t="shared" si="28"/>
        <v>PASS</v>
      </c>
      <c r="E414" s="3" t="str">
        <f t="shared" si="29"/>
        <v>PASS</v>
      </c>
      <c r="F414" s="3" t="str">
        <f t="shared" si="30"/>
        <v>PASS</v>
      </c>
      <c r="G414" s="3" t="str">
        <f t="shared" si="31"/>
        <v>FAIL</v>
      </c>
      <c r="H414" s="3">
        <v>40384454.619999997</v>
      </c>
      <c r="I414" s="4">
        <v>0</v>
      </c>
      <c r="J414" s="3">
        <v>35119067.420000002</v>
      </c>
      <c r="K414" s="3">
        <v>2548.13</v>
      </c>
      <c r="L414" s="3">
        <v>0</v>
      </c>
      <c r="M414" t="s">
        <v>23</v>
      </c>
      <c r="N414" t="s">
        <v>39</v>
      </c>
      <c r="O414" s="4">
        <v>0.25408088157028857</v>
      </c>
      <c r="P414" s="4">
        <v>0.74591911842971137</v>
      </c>
      <c r="Q414" t="s">
        <v>439</v>
      </c>
      <c r="R414" s="4">
        <v>6.3398943835114899E-6</v>
      </c>
      <c r="S414" s="3">
        <v>10501567.15</v>
      </c>
      <c r="T414" s="4">
        <v>0.26003984079555209</v>
      </c>
    </row>
    <row r="415" spans="1:20" x14ac:dyDescent="0.4">
      <c r="A415" s="2">
        <v>45896</v>
      </c>
      <c r="B415" t="s">
        <v>32</v>
      </c>
      <c r="C415" t="s">
        <v>22</v>
      </c>
      <c r="D415" s="3" t="str">
        <f t="shared" si="28"/>
        <v>PASS</v>
      </c>
      <c r="E415" s="3" t="str">
        <f t="shared" si="29"/>
        <v>PASS</v>
      </c>
      <c r="F415" s="3" t="str">
        <f t="shared" si="30"/>
        <v>PASS</v>
      </c>
      <c r="G415" s="3" t="str">
        <f t="shared" si="31"/>
        <v>FAIL</v>
      </c>
      <c r="H415" s="3">
        <v>78865778.239999995</v>
      </c>
      <c r="I415" s="4">
        <v>0</v>
      </c>
      <c r="J415" s="3">
        <v>70917698.459999993</v>
      </c>
      <c r="K415" s="3">
        <v>5141.82</v>
      </c>
      <c r="L415" s="3">
        <v>0</v>
      </c>
      <c r="M415" t="s">
        <v>23</v>
      </c>
      <c r="N415" t="s">
        <v>39</v>
      </c>
      <c r="O415" s="4">
        <v>0.25720600112661918</v>
      </c>
      <c r="P415" s="4">
        <v>0.74279399887338082</v>
      </c>
      <c r="Q415" t="s">
        <v>440</v>
      </c>
      <c r="R415" s="4">
        <v>1.295961564176692E-5</v>
      </c>
      <c r="S415" s="3">
        <v>16788735.399999999</v>
      </c>
      <c r="T415" s="4">
        <v>0.2128773185868964</v>
      </c>
    </row>
    <row r="416" spans="1:20" x14ac:dyDescent="0.4">
      <c r="A416" s="2">
        <v>45896</v>
      </c>
      <c r="B416" t="s">
        <v>33</v>
      </c>
      <c r="C416" t="s">
        <v>22</v>
      </c>
      <c r="D416" s="3" t="str">
        <f t="shared" si="28"/>
        <v>PASS</v>
      </c>
      <c r="E416" s="3" t="str">
        <f t="shared" si="29"/>
        <v>PASS</v>
      </c>
      <c r="F416" s="3" t="str">
        <f t="shared" si="30"/>
        <v>PASS</v>
      </c>
      <c r="G416" s="3" t="str">
        <f t="shared" si="31"/>
        <v>FAIL</v>
      </c>
      <c r="H416" s="3">
        <v>167665840.94999999</v>
      </c>
      <c r="I416" s="4">
        <v>0</v>
      </c>
      <c r="J416" s="3">
        <v>143319547.41999999</v>
      </c>
      <c r="K416" s="3">
        <v>10395.36</v>
      </c>
      <c r="L416" s="3">
        <v>0</v>
      </c>
      <c r="M416" t="s">
        <v>23</v>
      </c>
      <c r="N416" t="s">
        <v>39</v>
      </c>
      <c r="O416" s="4">
        <v>0.25503976378660548</v>
      </c>
      <c r="P416" s="4">
        <v>0.74496023621339447</v>
      </c>
      <c r="Q416" t="s">
        <v>441</v>
      </c>
      <c r="R416" s="4">
        <v>2.599613027201308E-5</v>
      </c>
      <c r="S416" s="3">
        <v>46857327.439999998</v>
      </c>
      <c r="T416" s="4">
        <v>0.27946853798307919</v>
      </c>
    </row>
    <row r="417" spans="1:20" x14ac:dyDescent="0.4">
      <c r="A417" s="2">
        <v>45897</v>
      </c>
      <c r="B417" t="s">
        <v>21</v>
      </c>
      <c r="C417" t="s">
        <v>22</v>
      </c>
      <c r="D417" s="3" t="str">
        <f t="shared" si="28"/>
        <v>PASS</v>
      </c>
      <c r="E417" s="3" t="str">
        <f t="shared" si="29"/>
        <v>PASS</v>
      </c>
      <c r="F417" s="3" t="str">
        <f t="shared" si="30"/>
        <v>PASS</v>
      </c>
      <c r="G417" s="3" t="str">
        <f t="shared" si="31"/>
        <v>FAIL</v>
      </c>
      <c r="H417" s="3">
        <v>24798905.93</v>
      </c>
      <c r="I417" s="4">
        <v>0</v>
      </c>
      <c r="J417" s="3">
        <v>20806015.48</v>
      </c>
      <c r="K417" s="3">
        <v>1507.31</v>
      </c>
      <c r="L417" s="3">
        <v>0</v>
      </c>
      <c r="M417" t="s">
        <v>23</v>
      </c>
      <c r="N417" t="s">
        <v>39</v>
      </c>
      <c r="O417" s="4">
        <v>0.25511385758134603</v>
      </c>
      <c r="P417" s="4">
        <v>0.74488614241865403</v>
      </c>
      <c r="Q417" t="s">
        <v>442</v>
      </c>
      <c r="R417" s="4">
        <v>3.7573700204166808E-6</v>
      </c>
      <c r="S417" s="3">
        <v>7776367.580000001</v>
      </c>
      <c r="T417" s="4">
        <v>0.31357704254979613</v>
      </c>
    </row>
    <row r="418" spans="1:20" x14ac:dyDescent="0.4">
      <c r="A418" s="2">
        <v>45897</v>
      </c>
      <c r="B418" t="s">
        <v>24</v>
      </c>
      <c r="C418" t="s">
        <v>22</v>
      </c>
      <c r="D418" s="3" t="str">
        <f t="shared" si="28"/>
        <v>PASS</v>
      </c>
      <c r="E418" s="3" t="str">
        <f t="shared" si="29"/>
        <v>PASS</v>
      </c>
      <c r="F418" s="3" t="str">
        <f t="shared" si="30"/>
        <v>PASS</v>
      </c>
      <c r="G418" s="3" t="str">
        <f t="shared" si="31"/>
        <v>FAIL</v>
      </c>
      <c r="H418" s="3">
        <v>136569142.99000001</v>
      </c>
      <c r="I418" s="4">
        <v>0</v>
      </c>
      <c r="J418" s="3">
        <v>121087218.54000001</v>
      </c>
      <c r="K418" s="3">
        <v>8766.16</v>
      </c>
      <c r="L418" s="3">
        <v>0</v>
      </c>
      <c r="M418" t="s">
        <v>23</v>
      </c>
      <c r="N418" t="s">
        <v>39</v>
      </c>
      <c r="O418" s="4">
        <v>0.26226281107868937</v>
      </c>
      <c r="P418" s="4">
        <v>0.73773718892131057</v>
      </c>
      <c r="Q418" t="s">
        <v>443</v>
      </c>
      <c r="R418" s="4">
        <v>2.2499362379220529E-5</v>
      </c>
      <c r="S418" s="3">
        <v>32942429.370000001</v>
      </c>
      <c r="T418" s="4">
        <v>0.24121429371796041</v>
      </c>
    </row>
    <row r="419" spans="1:20" x14ac:dyDescent="0.4">
      <c r="A419" s="2">
        <v>45897</v>
      </c>
      <c r="B419" t="s">
        <v>25</v>
      </c>
      <c r="C419" t="s">
        <v>22</v>
      </c>
      <c r="D419" s="3" t="str">
        <f t="shared" si="28"/>
        <v>PASS</v>
      </c>
      <c r="E419" s="3" t="str">
        <f t="shared" si="29"/>
        <v>PASS</v>
      </c>
      <c r="F419" s="3" t="str">
        <f t="shared" si="30"/>
        <v>PASS</v>
      </c>
      <c r="G419" s="3" t="str">
        <f t="shared" si="31"/>
        <v>FAIL</v>
      </c>
      <c r="H419" s="3">
        <v>101988455.98999999</v>
      </c>
      <c r="I419" s="4">
        <v>0</v>
      </c>
      <c r="J419" s="3">
        <v>92980373.640000001</v>
      </c>
      <c r="K419" s="3">
        <v>6734.79</v>
      </c>
      <c r="L419" s="3">
        <v>0</v>
      </c>
      <c r="M419" t="s">
        <v>23</v>
      </c>
      <c r="N419" t="s">
        <v>39</v>
      </c>
      <c r="O419" s="4">
        <v>0.25457674080389942</v>
      </c>
      <c r="P419" s="4">
        <v>0.74542325919610053</v>
      </c>
      <c r="Q419" t="s">
        <v>444</v>
      </c>
      <c r="R419" s="4">
        <v>1.6770387737516411E-5</v>
      </c>
      <c r="S419" s="3">
        <v>17115939.18</v>
      </c>
      <c r="T419" s="4">
        <v>0.16782231884830401</v>
      </c>
    </row>
    <row r="420" spans="1:20" x14ac:dyDescent="0.4">
      <c r="A420" s="2">
        <v>45897</v>
      </c>
      <c r="B420" t="s">
        <v>26</v>
      </c>
      <c r="C420" t="s">
        <v>22</v>
      </c>
      <c r="D420" s="3" t="str">
        <f t="shared" si="28"/>
        <v>PASS</v>
      </c>
      <c r="E420" s="3" t="str">
        <f t="shared" si="29"/>
        <v>PASS</v>
      </c>
      <c r="F420" s="3" t="str">
        <f t="shared" si="30"/>
        <v>PASS</v>
      </c>
      <c r="G420" s="3" t="str">
        <f t="shared" si="31"/>
        <v>FAIL</v>
      </c>
      <c r="H420" s="3">
        <v>23588400.949999999</v>
      </c>
      <c r="I420" s="4">
        <v>0</v>
      </c>
      <c r="J420" s="3">
        <v>21639760.989999998</v>
      </c>
      <c r="K420" s="3">
        <v>1567.6</v>
      </c>
      <c r="L420" s="3">
        <v>0</v>
      </c>
      <c r="M420" t="s">
        <v>23</v>
      </c>
      <c r="N420" t="s">
        <v>39</v>
      </c>
      <c r="O420" s="4">
        <v>0.25640261611780402</v>
      </c>
      <c r="P420" s="4">
        <v>0.74359738388219598</v>
      </c>
      <c r="Q420" t="s">
        <v>445</v>
      </c>
      <c r="R420" s="4">
        <v>3.9303927444949938E-6</v>
      </c>
      <c r="S420" s="3">
        <v>3709099.79</v>
      </c>
      <c r="T420" s="4">
        <v>0.15724252770936559</v>
      </c>
    </row>
    <row r="421" spans="1:20" x14ac:dyDescent="0.4">
      <c r="A421" s="2">
        <v>45897</v>
      </c>
      <c r="B421" t="s">
        <v>27</v>
      </c>
      <c r="C421" t="s">
        <v>22</v>
      </c>
      <c r="D421" s="3" t="str">
        <f t="shared" si="28"/>
        <v>PASS</v>
      </c>
      <c r="E421" s="3" t="str">
        <f t="shared" si="29"/>
        <v>PASS</v>
      </c>
      <c r="F421" s="3" t="str">
        <f t="shared" si="30"/>
        <v>PASS</v>
      </c>
      <c r="G421" s="3" t="str">
        <f t="shared" si="31"/>
        <v>FAIL</v>
      </c>
      <c r="H421" s="3">
        <v>43564386.159999996</v>
      </c>
      <c r="I421" s="4">
        <v>0</v>
      </c>
      <c r="J421" s="3">
        <v>37153803.740000002</v>
      </c>
      <c r="K421" s="3">
        <v>2689.92</v>
      </c>
      <c r="L421" s="3">
        <v>0</v>
      </c>
      <c r="M421" t="s">
        <v>23</v>
      </c>
      <c r="N421" t="s">
        <v>39</v>
      </c>
      <c r="O421" s="4">
        <v>0.26195593049122351</v>
      </c>
      <c r="P421" s="4">
        <v>0.73804406950877643</v>
      </c>
      <c r="Q421" t="s">
        <v>446</v>
      </c>
      <c r="R421" s="4">
        <v>6.8888677179328017E-6</v>
      </c>
      <c r="S421" s="3">
        <v>14359968.52</v>
      </c>
      <c r="T421" s="4">
        <v>0.3296263252111436</v>
      </c>
    </row>
    <row r="422" spans="1:20" x14ac:dyDescent="0.4">
      <c r="A422" s="2">
        <v>45897</v>
      </c>
      <c r="B422" t="s">
        <v>28</v>
      </c>
      <c r="C422" t="s">
        <v>22</v>
      </c>
      <c r="D422" s="3" t="str">
        <f t="shared" si="28"/>
        <v>PASS</v>
      </c>
      <c r="E422" s="3" t="str">
        <f t="shared" si="29"/>
        <v>PASS</v>
      </c>
      <c r="F422" s="3" t="str">
        <f t="shared" si="30"/>
        <v>PASS</v>
      </c>
      <c r="G422" s="3" t="str">
        <f t="shared" si="31"/>
        <v>FAIL</v>
      </c>
      <c r="H422" s="3">
        <v>15413216.5</v>
      </c>
      <c r="I422" s="4">
        <v>0</v>
      </c>
      <c r="J422" s="3">
        <v>13740024.15</v>
      </c>
      <c r="K422" s="3">
        <v>995.6</v>
      </c>
      <c r="L422" s="3">
        <v>0</v>
      </c>
      <c r="M422" t="s">
        <v>23</v>
      </c>
      <c r="N422" t="s">
        <v>39</v>
      </c>
      <c r="O422" s="4">
        <v>0.25601374870945909</v>
      </c>
      <c r="P422" s="4">
        <v>0.74398625129054086</v>
      </c>
      <c r="Q422" t="s">
        <v>447</v>
      </c>
      <c r="R422" s="4">
        <v>2.4906727935223712E-6</v>
      </c>
      <c r="S422" s="3">
        <v>4000446.8900000011</v>
      </c>
      <c r="T422" s="4">
        <v>0.25954653202983302</v>
      </c>
    </row>
    <row r="423" spans="1:20" x14ac:dyDescent="0.4">
      <c r="A423" s="2">
        <v>45897</v>
      </c>
      <c r="B423" t="s">
        <v>29</v>
      </c>
      <c r="C423" t="s">
        <v>22</v>
      </c>
      <c r="D423" s="3" t="str">
        <f t="shared" si="28"/>
        <v>PASS</v>
      </c>
      <c r="E423" s="3" t="str">
        <f t="shared" si="29"/>
        <v>PASS</v>
      </c>
      <c r="F423" s="3" t="str">
        <f t="shared" si="30"/>
        <v>PASS</v>
      </c>
      <c r="G423" s="3" t="str">
        <f t="shared" si="31"/>
        <v>FAIL</v>
      </c>
      <c r="H423" s="3">
        <v>34846737.299999997</v>
      </c>
      <c r="I423" s="4">
        <v>0</v>
      </c>
      <c r="J423" s="3">
        <v>32632789.350000001</v>
      </c>
      <c r="K423" s="3">
        <v>2361.9699999999998</v>
      </c>
      <c r="L423" s="3">
        <v>0</v>
      </c>
      <c r="M423" t="s">
        <v>23</v>
      </c>
      <c r="N423" t="s">
        <v>39</v>
      </c>
      <c r="O423" s="4">
        <v>0.25797467693334042</v>
      </c>
      <c r="P423" s="4">
        <v>0.74202532306665958</v>
      </c>
      <c r="Q423" t="s">
        <v>448</v>
      </c>
      <c r="R423" s="4">
        <v>5.9639437731684902E-6</v>
      </c>
      <c r="S423" s="3">
        <v>4290224.53</v>
      </c>
      <c r="T423" s="4">
        <v>0.12311696481265701</v>
      </c>
    </row>
    <row r="424" spans="1:20" x14ac:dyDescent="0.4">
      <c r="A424" s="2">
        <v>45897</v>
      </c>
      <c r="B424" t="s">
        <v>30</v>
      </c>
      <c r="C424" t="s">
        <v>22</v>
      </c>
      <c r="D424" s="3" t="str">
        <f t="shared" si="28"/>
        <v>PASS</v>
      </c>
      <c r="E424" s="3" t="str">
        <f t="shared" si="29"/>
        <v>PASS</v>
      </c>
      <c r="F424" s="3" t="str">
        <f t="shared" si="30"/>
        <v>PASS</v>
      </c>
      <c r="G424" s="3" t="str">
        <f t="shared" si="31"/>
        <v>FAIL</v>
      </c>
      <c r="H424" s="3">
        <v>55159685.100000001</v>
      </c>
      <c r="I424" s="4">
        <v>0</v>
      </c>
      <c r="J424" s="3">
        <v>50595914.359999999</v>
      </c>
      <c r="K424" s="3">
        <v>3677.7</v>
      </c>
      <c r="L424" s="3">
        <v>0</v>
      </c>
      <c r="M424" t="s">
        <v>23</v>
      </c>
      <c r="N424" t="s">
        <v>449</v>
      </c>
      <c r="O424" s="4">
        <v>0.25248077066276392</v>
      </c>
      <c r="P424" s="4">
        <v>0.74751922933723614</v>
      </c>
      <c r="Q424" t="s">
        <v>450</v>
      </c>
      <c r="R424" s="4">
        <v>7.6324089970712775E-5</v>
      </c>
      <c r="S424" s="3">
        <v>9076090.2000000011</v>
      </c>
      <c r="T424" s="4">
        <v>0.16454209598089239</v>
      </c>
    </row>
    <row r="425" spans="1:20" x14ac:dyDescent="0.4">
      <c r="A425" s="2">
        <v>45897</v>
      </c>
      <c r="B425" t="s">
        <v>31</v>
      </c>
      <c r="C425" t="s">
        <v>22</v>
      </c>
      <c r="D425" s="3" t="str">
        <f t="shared" si="28"/>
        <v>PASS</v>
      </c>
      <c r="E425" s="3" t="str">
        <f t="shared" si="29"/>
        <v>PASS</v>
      </c>
      <c r="F425" s="3" t="str">
        <f t="shared" si="30"/>
        <v>PASS</v>
      </c>
      <c r="G425" s="3" t="str">
        <f t="shared" si="31"/>
        <v>FAIL</v>
      </c>
      <c r="H425" s="3">
        <v>40477776.460000001</v>
      </c>
      <c r="I425" s="4">
        <v>0</v>
      </c>
      <c r="J425" s="3">
        <v>35209839.520000003</v>
      </c>
      <c r="K425" s="3">
        <v>2550.42</v>
      </c>
      <c r="L425" s="3">
        <v>0</v>
      </c>
      <c r="M425" t="s">
        <v>23</v>
      </c>
      <c r="N425" t="s">
        <v>39</v>
      </c>
      <c r="O425" s="4">
        <v>0.25435612777822741</v>
      </c>
      <c r="P425" s="4">
        <v>0.74564387222177264</v>
      </c>
      <c r="Q425" t="s">
        <v>451</v>
      </c>
      <c r="R425" s="4">
        <v>6.3398943835114899E-6</v>
      </c>
      <c r="S425" s="3">
        <v>10534947.92</v>
      </c>
      <c r="T425" s="4">
        <v>0.26026498590925812</v>
      </c>
    </row>
    <row r="426" spans="1:20" x14ac:dyDescent="0.4">
      <c r="A426" s="2">
        <v>45897</v>
      </c>
      <c r="B426" t="s">
        <v>32</v>
      </c>
      <c r="C426" t="s">
        <v>22</v>
      </c>
      <c r="D426" s="3" t="str">
        <f t="shared" si="28"/>
        <v>PASS</v>
      </c>
      <c r="E426" s="3" t="str">
        <f t="shared" si="29"/>
        <v>PASS</v>
      </c>
      <c r="F426" s="3" t="str">
        <f t="shared" si="30"/>
        <v>PASS</v>
      </c>
      <c r="G426" s="3" t="str">
        <f t="shared" si="31"/>
        <v>FAIL</v>
      </c>
      <c r="H426" s="3">
        <v>79070548.790000007</v>
      </c>
      <c r="I426" s="4">
        <v>0</v>
      </c>
      <c r="J426" s="3">
        <v>71117320.189999998</v>
      </c>
      <c r="K426" s="3">
        <v>5148.82</v>
      </c>
      <c r="L426" s="3">
        <v>0</v>
      </c>
      <c r="M426" t="s">
        <v>23</v>
      </c>
      <c r="N426" t="s">
        <v>39</v>
      </c>
      <c r="O426" s="4">
        <v>0.25742150661878033</v>
      </c>
      <c r="P426" s="4">
        <v>0.74257849338121973</v>
      </c>
      <c r="Q426" t="s">
        <v>452</v>
      </c>
      <c r="R426" s="4">
        <v>1.295961564176692E-5</v>
      </c>
      <c r="S426" s="3">
        <v>16874900.140000001</v>
      </c>
      <c r="T426" s="4">
        <v>0.21341574578946329</v>
      </c>
    </row>
    <row r="427" spans="1:20" x14ac:dyDescent="0.4">
      <c r="A427" s="2">
        <v>45897</v>
      </c>
      <c r="B427" t="s">
        <v>33</v>
      </c>
      <c r="C427" t="s">
        <v>22</v>
      </c>
      <c r="D427" s="3" t="str">
        <f t="shared" si="28"/>
        <v>PASS</v>
      </c>
      <c r="E427" s="3" t="str">
        <f t="shared" si="29"/>
        <v>PASS</v>
      </c>
      <c r="F427" s="3" t="str">
        <f t="shared" si="30"/>
        <v>PASS</v>
      </c>
      <c r="G427" s="3" t="str">
        <f t="shared" si="31"/>
        <v>FAIL</v>
      </c>
      <c r="H427" s="3">
        <v>168014888.40000001</v>
      </c>
      <c r="I427" s="4">
        <v>0</v>
      </c>
      <c r="J427" s="3">
        <v>143658189.47999999</v>
      </c>
      <c r="K427" s="3">
        <v>10405.94</v>
      </c>
      <c r="L427" s="3">
        <v>0</v>
      </c>
      <c r="M427" t="s">
        <v>23</v>
      </c>
      <c r="N427" t="s">
        <v>39</v>
      </c>
      <c r="O427" s="4">
        <v>0.25540797446224373</v>
      </c>
      <c r="P427" s="4">
        <v>0.74459202553775627</v>
      </c>
      <c r="Q427" t="s">
        <v>453</v>
      </c>
      <c r="R427" s="4">
        <v>2.599613027201308E-5</v>
      </c>
      <c r="S427" s="3">
        <v>47044933.380000003</v>
      </c>
      <c r="T427" s="4">
        <v>0.28000455095383081</v>
      </c>
    </row>
    <row r="428" spans="1:20" x14ac:dyDescent="0.4">
      <c r="A428" s="2">
        <v>45898</v>
      </c>
      <c r="B428" t="s">
        <v>21</v>
      </c>
      <c r="C428" t="s">
        <v>22</v>
      </c>
      <c r="D428" s="3" t="str">
        <f t="shared" si="28"/>
        <v>PASS</v>
      </c>
      <c r="E428" s="3" t="str">
        <f t="shared" si="29"/>
        <v>PASS</v>
      </c>
      <c r="F428" s="3" t="str">
        <f t="shared" si="30"/>
        <v>PASS</v>
      </c>
      <c r="G428" s="3" t="str">
        <f t="shared" si="31"/>
        <v>FAIL</v>
      </c>
      <c r="H428" s="3">
        <v>24737094.07</v>
      </c>
      <c r="I428" s="4">
        <v>0</v>
      </c>
      <c r="J428" s="3">
        <v>20527692.760000002</v>
      </c>
      <c r="K428" s="3">
        <v>4494.21</v>
      </c>
      <c r="L428" s="3">
        <v>0</v>
      </c>
      <c r="M428" t="s">
        <v>23</v>
      </c>
      <c r="N428" t="s">
        <v>41</v>
      </c>
      <c r="O428" s="4">
        <v>0.29588079970853959</v>
      </c>
      <c r="P428" s="4">
        <v>0.70411920029146036</v>
      </c>
      <c r="Q428" t="s">
        <v>454</v>
      </c>
      <c r="R428" s="4">
        <v>3.712512277137119E-6</v>
      </c>
      <c r="S428" s="3">
        <v>7797207.8899999997</v>
      </c>
      <c r="T428" s="4">
        <v>0.31520306580618501</v>
      </c>
    </row>
    <row r="429" spans="1:20" x14ac:dyDescent="0.4">
      <c r="A429" s="2">
        <v>45898</v>
      </c>
      <c r="B429" t="s">
        <v>24</v>
      </c>
      <c r="C429" t="s">
        <v>22</v>
      </c>
      <c r="D429" s="3" t="str">
        <f t="shared" si="28"/>
        <v>PASS</v>
      </c>
      <c r="E429" s="3" t="str">
        <f t="shared" si="29"/>
        <v>PASS</v>
      </c>
      <c r="F429" s="3" t="str">
        <f t="shared" si="30"/>
        <v>PASS</v>
      </c>
      <c r="G429" s="3" t="str">
        <f t="shared" si="31"/>
        <v>FAIL</v>
      </c>
      <c r="H429" s="3">
        <v>136103739.50999999</v>
      </c>
      <c r="I429" s="4">
        <v>0</v>
      </c>
      <c r="J429" s="3">
        <v>119056308.95</v>
      </c>
      <c r="K429" s="3">
        <v>25298.39</v>
      </c>
      <c r="L429" s="3">
        <v>0</v>
      </c>
      <c r="M429" t="s">
        <v>23</v>
      </c>
      <c r="N429" t="s">
        <v>39</v>
      </c>
      <c r="O429" s="4">
        <v>0.26007313163894291</v>
      </c>
      <c r="P429" s="4">
        <v>0.73992686836105714</v>
      </c>
      <c r="Q429" t="s">
        <v>455</v>
      </c>
      <c r="R429" s="4">
        <v>2.218535817626359E-5</v>
      </c>
      <c r="S429" s="3">
        <v>32835541.309999999</v>
      </c>
      <c r="T429" s="4">
        <v>0.2412537776567665</v>
      </c>
    </row>
    <row r="430" spans="1:20" x14ac:dyDescent="0.4">
      <c r="A430" s="2">
        <v>45898</v>
      </c>
      <c r="B430" t="s">
        <v>25</v>
      </c>
      <c r="C430" t="s">
        <v>22</v>
      </c>
      <c r="D430" s="3" t="str">
        <f t="shared" si="28"/>
        <v>PASS</v>
      </c>
      <c r="E430" s="3" t="str">
        <f t="shared" si="29"/>
        <v>PASS</v>
      </c>
      <c r="F430" s="3" t="str">
        <f t="shared" si="30"/>
        <v>PASS</v>
      </c>
      <c r="G430" s="3" t="str">
        <f t="shared" si="31"/>
        <v>FAIL</v>
      </c>
      <c r="H430" s="3">
        <v>101719724.40000001</v>
      </c>
      <c r="I430" s="4">
        <v>0</v>
      </c>
      <c r="J430" s="3">
        <v>91509640.629999995</v>
      </c>
      <c r="K430" s="3">
        <v>19134.98</v>
      </c>
      <c r="L430" s="3">
        <v>0</v>
      </c>
      <c r="M430" t="s">
        <v>23</v>
      </c>
      <c r="N430" t="s">
        <v>39</v>
      </c>
      <c r="O430" s="4">
        <v>0.25213395278525419</v>
      </c>
      <c r="P430" s="4">
        <v>0.74786604721474581</v>
      </c>
      <c r="Q430" t="s">
        <v>456</v>
      </c>
      <c r="R430" s="4">
        <v>1.6531146440025411E-5</v>
      </c>
      <c r="S430" s="3">
        <v>17294732.370000001</v>
      </c>
      <c r="T430" s="4">
        <v>0.1700233899768607</v>
      </c>
    </row>
    <row r="431" spans="1:20" x14ac:dyDescent="0.4">
      <c r="A431" s="2">
        <v>45898</v>
      </c>
      <c r="B431" t="s">
        <v>26</v>
      </c>
      <c r="C431" t="s">
        <v>22</v>
      </c>
      <c r="D431" s="3" t="str">
        <f t="shared" si="28"/>
        <v>PASS</v>
      </c>
      <c r="E431" s="3" t="str">
        <f t="shared" si="29"/>
        <v>PASS</v>
      </c>
      <c r="F431" s="3" t="str">
        <f t="shared" si="30"/>
        <v>PASS</v>
      </c>
      <c r="G431" s="3" t="str">
        <f t="shared" si="31"/>
        <v>FAIL</v>
      </c>
      <c r="H431" s="3">
        <v>23519976.100000001</v>
      </c>
      <c r="I431" s="4">
        <v>0</v>
      </c>
      <c r="J431" s="3">
        <v>21292760.489999998</v>
      </c>
      <c r="K431" s="3">
        <v>2920.34</v>
      </c>
      <c r="L431" s="3">
        <v>0</v>
      </c>
      <c r="M431" t="s">
        <v>23</v>
      </c>
      <c r="N431" t="s">
        <v>39</v>
      </c>
      <c r="O431" s="4">
        <v>0.25400032760148711</v>
      </c>
      <c r="P431" s="4">
        <v>0.74599967239851295</v>
      </c>
      <c r="Q431" t="s">
        <v>457</v>
      </c>
      <c r="R431" s="4">
        <v>3.8748545861488688E-6</v>
      </c>
      <c r="S431" s="3">
        <v>3732459.23</v>
      </c>
      <c r="T431" s="4">
        <v>0.15869315572986489</v>
      </c>
    </row>
    <row r="432" spans="1:20" x14ac:dyDescent="0.4">
      <c r="A432" s="2">
        <v>45898</v>
      </c>
      <c r="B432" t="s">
        <v>27</v>
      </c>
      <c r="C432" t="s">
        <v>22</v>
      </c>
      <c r="D432" s="3" t="str">
        <f t="shared" si="28"/>
        <v>PASS</v>
      </c>
      <c r="E432" s="3" t="str">
        <f t="shared" si="29"/>
        <v>PASS</v>
      </c>
      <c r="F432" s="3" t="str">
        <f t="shared" si="30"/>
        <v>PASS</v>
      </c>
      <c r="G432" s="3" t="str">
        <f t="shared" si="31"/>
        <v>FAIL</v>
      </c>
      <c r="H432" s="3">
        <v>43423946.32</v>
      </c>
      <c r="I432" s="4">
        <v>0</v>
      </c>
      <c r="J432" s="3">
        <v>36627424.280000001</v>
      </c>
      <c r="K432" s="3">
        <v>8027.1</v>
      </c>
      <c r="L432" s="3">
        <v>0</v>
      </c>
      <c r="M432" t="s">
        <v>23</v>
      </c>
      <c r="N432" t="s">
        <v>39</v>
      </c>
      <c r="O432" s="4">
        <v>0.2597471448516499</v>
      </c>
      <c r="P432" s="4">
        <v>0.74025285514835004</v>
      </c>
      <c r="Q432" t="s">
        <v>458</v>
      </c>
      <c r="R432" s="4">
        <v>6.814104812466864E-6</v>
      </c>
      <c r="S432" s="3">
        <v>14299427.619999999</v>
      </c>
      <c r="T432" s="4">
        <v>0.32929820598580728</v>
      </c>
    </row>
    <row r="433" spans="1:20" x14ac:dyDescent="0.4">
      <c r="A433" s="2">
        <v>45898</v>
      </c>
      <c r="B433" t="s">
        <v>28</v>
      </c>
      <c r="C433" t="s">
        <v>22</v>
      </c>
      <c r="D433" s="3" t="str">
        <f t="shared" si="28"/>
        <v>PASS</v>
      </c>
      <c r="E433" s="3" t="str">
        <f t="shared" si="29"/>
        <v>PASS</v>
      </c>
      <c r="F433" s="3" t="str">
        <f t="shared" si="30"/>
        <v>PASS</v>
      </c>
      <c r="G433" s="3" t="str">
        <f t="shared" si="31"/>
        <v>FAIL</v>
      </c>
      <c r="H433" s="3">
        <v>15364369.5</v>
      </c>
      <c r="I433" s="4">
        <v>0</v>
      </c>
      <c r="J433" s="3">
        <v>13548225.98</v>
      </c>
      <c r="K433" s="3">
        <v>2920.32</v>
      </c>
      <c r="L433" s="3">
        <v>0</v>
      </c>
      <c r="M433" t="s">
        <v>23</v>
      </c>
      <c r="N433" t="s">
        <v>39</v>
      </c>
      <c r="O433" s="4">
        <v>0.2536547873554143</v>
      </c>
      <c r="P433" s="4">
        <v>0.74634521264458575</v>
      </c>
      <c r="Q433" t="s">
        <v>459</v>
      </c>
      <c r="R433" s="4">
        <v>2.4629037143493091E-6</v>
      </c>
      <c r="S433" s="3">
        <v>3993362.94</v>
      </c>
      <c r="T433" s="4">
        <v>0.25991062893924799</v>
      </c>
    </row>
    <row r="434" spans="1:20" x14ac:dyDescent="0.4">
      <c r="A434" s="2">
        <v>45898</v>
      </c>
      <c r="B434" t="s">
        <v>29</v>
      </c>
      <c r="C434" t="s">
        <v>22</v>
      </c>
      <c r="D434" s="3" t="str">
        <f t="shared" si="28"/>
        <v>PASS</v>
      </c>
      <c r="E434" s="3" t="str">
        <f t="shared" si="29"/>
        <v>PASS</v>
      </c>
      <c r="F434" s="3" t="str">
        <f t="shared" si="30"/>
        <v>PASS</v>
      </c>
      <c r="G434" s="3" t="str">
        <f t="shared" si="31"/>
        <v>FAIL</v>
      </c>
      <c r="H434" s="3">
        <v>34723989.43</v>
      </c>
      <c r="I434" s="4">
        <v>0</v>
      </c>
      <c r="J434" s="3">
        <v>32090744.359999999</v>
      </c>
      <c r="K434" s="3">
        <v>4462.07</v>
      </c>
      <c r="L434" s="3">
        <v>0</v>
      </c>
      <c r="M434" t="s">
        <v>23</v>
      </c>
      <c r="N434" t="s">
        <v>39</v>
      </c>
      <c r="O434" s="4">
        <v>0.25571282479282448</v>
      </c>
      <c r="P434" s="4">
        <v>0.74428717520717558</v>
      </c>
      <c r="Q434" t="s">
        <v>460</v>
      </c>
      <c r="R434" s="4">
        <v>5.8785004526359914E-6</v>
      </c>
      <c r="S434" s="3">
        <v>4318289.7300000004</v>
      </c>
      <c r="T434" s="4">
        <v>0.1243604148280609</v>
      </c>
    </row>
    <row r="435" spans="1:20" x14ac:dyDescent="0.4">
      <c r="A435" s="2">
        <v>45898</v>
      </c>
      <c r="B435" t="s">
        <v>30</v>
      </c>
      <c r="C435" t="s">
        <v>22</v>
      </c>
      <c r="D435" s="3" t="str">
        <f t="shared" si="28"/>
        <v>PASS</v>
      </c>
      <c r="E435" s="3" t="str">
        <f t="shared" si="29"/>
        <v>PASS</v>
      </c>
      <c r="F435" s="3" t="str">
        <f t="shared" si="30"/>
        <v>PASS</v>
      </c>
      <c r="G435" s="3" t="str">
        <f t="shared" si="31"/>
        <v>FAIL</v>
      </c>
      <c r="H435" s="3">
        <v>55353441.18</v>
      </c>
      <c r="I435" s="4">
        <v>0</v>
      </c>
      <c r="J435" s="3">
        <v>50134248.740000002</v>
      </c>
      <c r="K435" s="3">
        <v>10891.15</v>
      </c>
      <c r="L435" s="3">
        <v>0</v>
      </c>
      <c r="M435" t="s">
        <v>23</v>
      </c>
      <c r="N435" t="s">
        <v>461</v>
      </c>
      <c r="O435" s="4">
        <v>0.27142975973514111</v>
      </c>
      <c r="P435" s="4">
        <v>0.72857024026485884</v>
      </c>
      <c r="Q435" t="s">
        <v>462</v>
      </c>
      <c r="R435" s="4">
        <v>7.5320057400131052E-5</v>
      </c>
      <c r="S435" s="3">
        <v>9289817</v>
      </c>
      <c r="T435" s="4">
        <v>0.16782727147515711</v>
      </c>
    </row>
    <row r="436" spans="1:20" x14ac:dyDescent="0.4">
      <c r="A436" s="2">
        <v>45898</v>
      </c>
      <c r="B436" t="s">
        <v>31</v>
      </c>
      <c r="C436" t="s">
        <v>22</v>
      </c>
      <c r="D436" s="3" t="str">
        <f t="shared" si="28"/>
        <v>PASS</v>
      </c>
      <c r="E436" s="3" t="str">
        <f t="shared" si="29"/>
        <v>PASS</v>
      </c>
      <c r="F436" s="3" t="str">
        <f t="shared" si="30"/>
        <v>PASS</v>
      </c>
      <c r="G436" s="3" t="str">
        <f t="shared" si="31"/>
        <v>FAIL</v>
      </c>
      <c r="H436" s="3">
        <v>40365222.93</v>
      </c>
      <c r="I436" s="4">
        <v>0</v>
      </c>
      <c r="J436" s="3">
        <v>34731716.200000003</v>
      </c>
      <c r="K436" s="3">
        <v>7485.45</v>
      </c>
      <c r="L436" s="3">
        <v>0</v>
      </c>
      <c r="M436" t="s">
        <v>23</v>
      </c>
      <c r="N436" t="s">
        <v>39</v>
      </c>
      <c r="O436" s="4">
        <v>0.2519032111635186</v>
      </c>
      <c r="P436" s="4">
        <v>0.74809678883648134</v>
      </c>
      <c r="Q436" t="s">
        <v>463</v>
      </c>
      <c r="R436" s="4">
        <v>6.2672675610588651E-6</v>
      </c>
      <c r="S436" s="3">
        <v>10552123.970000001</v>
      </c>
      <c r="T436" s="4">
        <v>0.2614162193108443</v>
      </c>
    </row>
    <row r="437" spans="1:20" x14ac:dyDescent="0.4">
      <c r="A437" s="2">
        <v>45898</v>
      </c>
      <c r="B437" t="s">
        <v>32</v>
      </c>
      <c r="C437" t="s">
        <v>22</v>
      </c>
      <c r="D437" s="3" t="str">
        <f t="shared" si="28"/>
        <v>PASS</v>
      </c>
      <c r="E437" s="3" t="str">
        <f t="shared" si="29"/>
        <v>PASS</v>
      </c>
      <c r="F437" s="3" t="str">
        <f t="shared" si="30"/>
        <v>PASS</v>
      </c>
      <c r="G437" s="3" t="str">
        <f t="shared" si="31"/>
        <v>FAIL</v>
      </c>
      <c r="H437" s="3">
        <v>78785429.159999996</v>
      </c>
      <c r="I437" s="4">
        <v>0</v>
      </c>
      <c r="J437" s="3">
        <v>70092890.200000003</v>
      </c>
      <c r="K437" s="3">
        <v>15194.83</v>
      </c>
      <c r="L437" s="3">
        <v>0</v>
      </c>
      <c r="M437" t="s">
        <v>23</v>
      </c>
      <c r="N437" t="s">
        <v>39</v>
      </c>
      <c r="O437" s="4">
        <v>0.25517020626437231</v>
      </c>
      <c r="P437" s="4">
        <v>0.74482979373562763</v>
      </c>
      <c r="Q437" t="s">
        <v>464</v>
      </c>
      <c r="R437" s="4">
        <v>1.281222591384835E-5</v>
      </c>
      <c r="S437" s="3">
        <v>16841498.859999999</v>
      </c>
      <c r="T437" s="4">
        <v>0.21376413176347289</v>
      </c>
    </row>
    <row r="438" spans="1:20" x14ac:dyDescent="0.4">
      <c r="A438" s="2">
        <v>45898</v>
      </c>
      <c r="B438" t="s">
        <v>33</v>
      </c>
      <c r="C438" t="s">
        <v>22</v>
      </c>
      <c r="D438" s="3" t="str">
        <f t="shared" si="28"/>
        <v>PASS</v>
      </c>
      <c r="E438" s="3" t="str">
        <f t="shared" si="29"/>
        <v>PASS</v>
      </c>
      <c r="F438" s="3" t="str">
        <f t="shared" si="30"/>
        <v>PASS</v>
      </c>
      <c r="G438" s="3" t="str">
        <f t="shared" si="31"/>
        <v>FAIL</v>
      </c>
      <c r="H438" s="3">
        <v>167600320.13</v>
      </c>
      <c r="I438" s="4">
        <v>0</v>
      </c>
      <c r="J438" s="3">
        <v>141386245.11000001</v>
      </c>
      <c r="K438" s="3">
        <v>29957.87</v>
      </c>
      <c r="L438" s="3">
        <v>0</v>
      </c>
      <c r="M438" t="s">
        <v>23</v>
      </c>
      <c r="N438" t="s">
        <v>41</v>
      </c>
      <c r="O438" s="4">
        <v>0.2963295239745829</v>
      </c>
      <c r="P438" s="4">
        <v>0.7036704760254171</v>
      </c>
      <c r="Q438" t="s">
        <v>465</v>
      </c>
      <c r="R438" s="4">
        <v>2.5624451827696711E-5</v>
      </c>
      <c r="S438" s="3">
        <v>47006500.560000002</v>
      </c>
      <c r="T438" s="4">
        <v>0.28046784471258279</v>
      </c>
    </row>
    <row r="439" spans="1:20" x14ac:dyDescent="0.4">
      <c r="A439" s="2">
        <v>45902</v>
      </c>
      <c r="B439" t="s">
        <v>21</v>
      </c>
      <c r="C439" t="s">
        <v>22</v>
      </c>
      <c r="D439" s="3" t="str">
        <f t="shared" si="28"/>
        <v>PASS</v>
      </c>
      <c r="E439" s="3" t="str">
        <f t="shared" si="29"/>
        <v>PASS</v>
      </c>
      <c r="F439" s="3" t="str">
        <f t="shared" si="30"/>
        <v>PASS</v>
      </c>
      <c r="G439" s="3" t="str">
        <f t="shared" si="31"/>
        <v>FAIL</v>
      </c>
      <c r="H439" s="3">
        <v>24458059.949999999</v>
      </c>
      <c r="I439" s="4">
        <v>0</v>
      </c>
      <c r="J439" s="3">
        <v>20456005.050000001</v>
      </c>
      <c r="K439" s="3">
        <v>2981.84</v>
      </c>
      <c r="L439" s="3">
        <v>0</v>
      </c>
      <c r="M439" t="s">
        <v>23</v>
      </c>
      <c r="N439" t="s">
        <v>466</v>
      </c>
      <c r="O439" s="4">
        <v>0.2652957357380003</v>
      </c>
      <c r="P439" s="4">
        <v>0.73470426426199964</v>
      </c>
      <c r="Q439" t="s">
        <v>467</v>
      </c>
      <c r="R439" s="4">
        <v>3.712512277137119E-6</v>
      </c>
      <c r="S439" s="3">
        <v>7745282.4399999985</v>
      </c>
      <c r="T439" s="4">
        <v>0.31667607552822269</v>
      </c>
    </row>
    <row r="440" spans="1:20" x14ac:dyDescent="0.4">
      <c r="A440" s="2">
        <v>45902</v>
      </c>
      <c r="B440" t="s">
        <v>24</v>
      </c>
      <c r="C440" t="s">
        <v>22</v>
      </c>
      <c r="D440" s="3" t="str">
        <f t="shared" si="28"/>
        <v>PASS</v>
      </c>
      <c r="E440" s="3" t="str">
        <f t="shared" si="29"/>
        <v>PASS</v>
      </c>
      <c r="F440" s="3" t="str">
        <f t="shared" si="30"/>
        <v>PASS</v>
      </c>
      <c r="G440" s="3" t="str">
        <f t="shared" si="31"/>
        <v>FAIL</v>
      </c>
      <c r="H440" s="3">
        <v>134115805.76000001</v>
      </c>
      <c r="I440" s="4">
        <v>0</v>
      </c>
      <c r="J440" s="3">
        <v>118577857.12</v>
      </c>
      <c r="K440" s="3">
        <v>17288.72</v>
      </c>
      <c r="L440" s="3">
        <v>0</v>
      </c>
      <c r="M440" t="s">
        <v>23</v>
      </c>
      <c r="N440" t="s">
        <v>466</v>
      </c>
      <c r="O440" s="4">
        <v>0.27721426848466563</v>
      </c>
      <c r="P440" s="4">
        <v>0.72278573151533432</v>
      </c>
      <c r="Q440" t="s">
        <v>468</v>
      </c>
      <c r="R440" s="4">
        <v>2.218535817626359E-5</v>
      </c>
      <c r="S440" s="3">
        <v>32393361.73</v>
      </c>
      <c r="T440" s="4">
        <v>0.24153276749474151</v>
      </c>
    </row>
    <row r="441" spans="1:20" x14ac:dyDescent="0.4">
      <c r="A441" s="2">
        <v>45902</v>
      </c>
      <c r="B441" t="s">
        <v>25</v>
      </c>
      <c r="C441" t="s">
        <v>22</v>
      </c>
      <c r="D441" s="3" t="str">
        <f t="shared" si="28"/>
        <v>PASS</v>
      </c>
      <c r="E441" s="3" t="str">
        <f t="shared" si="29"/>
        <v>PASS</v>
      </c>
      <c r="F441" s="3" t="str">
        <f t="shared" si="30"/>
        <v>PASS</v>
      </c>
      <c r="G441" s="3" t="str">
        <f t="shared" si="31"/>
        <v>FAIL</v>
      </c>
      <c r="H441" s="3">
        <v>100276144.08</v>
      </c>
      <c r="I441" s="4">
        <v>0</v>
      </c>
      <c r="J441" s="3">
        <v>91223997.200000003</v>
      </c>
      <c r="K441" s="3">
        <v>13289.06</v>
      </c>
      <c r="L441" s="3">
        <v>0</v>
      </c>
      <c r="M441" t="s">
        <v>23</v>
      </c>
      <c r="N441" t="s">
        <v>466</v>
      </c>
      <c r="O441" s="4">
        <v>0.26822118347166662</v>
      </c>
      <c r="P441" s="4">
        <v>0.73177881652833343</v>
      </c>
      <c r="Q441" t="s">
        <v>469</v>
      </c>
      <c r="R441" s="4">
        <v>1.6531146440025411E-5</v>
      </c>
      <c r="S441" s="3">
        <v>17158655.940000001</v>
      </c>
      <c r="T441" s="4">
        <v>0.1711140381137001</v>
      </c>
    </row>
    <row r="442" spans="1:20" x14ac:dyDescent="0.4">
      <c r="A442" s="2">
        <v>45902</v>
      </c>
      <c r="B442" t="s">
        <v>26</v>
      </c>
      <c r="C442" t="s">
        <v>22</v>
      </c>
      <c r="D442" s="3" t="str">
        <f t="shared" si="28"/>
        <v>PASS</v>
      </c>
      <c r="E442" s="3" t="str">
        <f t="shared" si="29"/>
        <v>PASS</v>
      </c>
      <c r="F442" s="3" t="str">
        <f t="shared" si="30"/>
        <v>PASS</v>
      </c>
      <c r="G442" s="3" t="str">
        <f t="shared" si="31"/>
        <v>FAIL</v>
      </c>
      <c r="H442" s="3">
        <v>23173047.809999999</v>
      </c>
      <c r="I442" s="4">
        <v>0</v>
      </c>
      <c r="J442" s="3">
        <v>21216588.050000001</v>
      </c>
      <c r="K442" s="3">
        <v>3093.24</v>
      </c>
      <c r="L442" s="3">
        <v>0</v>
      </c>
      <c r="M442" t="s">
        <v>23</v>
      </c>
      <c r="N442" t="s">
        <v>466</v>
      </c>
      <c r="O442" s="4">
        <v>0.27096947381226072</v>
      </c>
      <c r="P442" s="4">
        <v>0.72903052618773923</v>
      </c>
      <c r="Q442" t="s">
        <v>470</v>
      </c>
      <c r="R442" s="4">
        <v>3.8748545861488688E-6</v>
      </c>
      <c r="S442" s="3">
        <v>3687729.629999999</v>
      </c>
      <c r="T442" s="4">
        <v>0.1591387399808761</v>
      </c>
    </row>
    <row r="443" spans="1:20" x14ac:dyDescent="0.4">
      <c r="A443" s="2">
        <v>45902</v>
      </c>
      <c r="B443" t="s">
        <v>27</v>
      </c>
      <c r="C443" t="s">
        <v>22</v>
      </c>
      <c r="D443" s="3" t="str">
        <f t="shared" si="28"/>
        <v>PASS</v>
      </c>
      <c r="E443" s="3" t="str">
        <f t="shared" si="29"/>
        <v>PASS</v>
      </c>
      <c r="F443" s="3" t="str">
        <f t="shared" si="30"/>
        <v>PASS</v>
      </c>
      <c r="G443" s="3" t="str">
        <f t="shared" si="31"/>
        <v>FAIL</v>
      </c>
      <c r="H443" s="3">
        <v>42899424.770000003</v>
      </c>
      <c r="I443" s="4">
        <v>0</v>
      </c>
      <c r="J443" s="3">
        <v>36471463.350000001</v>
      </c>
      <c r="K443" s="3">
        <v>5319.6</v>
      </c>
      <c r="L443" s="3">
        <v>0</v>
      </c>
      <c r="M443" t="s">
        <v>23</v>
      </c>
      <c r="N443" t="s">
        <v>466</v>
      </c>
      <c r="O443" s="4">
        <v>0.27303735565630932</v>
      </c>
      <c r="P443" s="4">
        <v>0.72696264434369073</v>
      </c>
      <c r="Q443" t="s">
        <v>471</v>
      </c>
      <c r="R443" s="4">
        <v>6.814104812466864E-6</v>
      </c>
      <c r="S443" s="3">
        <v>14133950.32</v>
      </c>
      <c r="T443" s="4">
        <v>0.32946712912299958</v>
      </c>
    </row>
    <row r="444" spans="1:20" x14ac:dyDescent="0.4">
      <c r="A444" s="2">
        <v>45902</v>
      </c>
      <c r="B444" t="s">
        <v>28</v>
      </c>
      <c r="C444" t="s">
        <v>22</v>
      </c>
      <c r="D444" s="3" t="str">
        <f t="shared" si="28"/>
        <v>PASS</v>
      </c>
      <c r="E444" s="3" t="str">
        <f t="shared" si="29"/>
        <v>PASS</v>
      </c>
      <c r="F444" s="3" t="str">
        <f t="shared" si="30"/>
        <v>PASS</v>
      </c>
      <c r="G444" s="3" t="str">
        <f t="shared" si="31"/>
        <v>FAIL</v>
      </c>
      <c r="H444" s="3">
        <v>15176984.4</v>
      </c>
      <c r="I444" s="4">
        <v>0</v>
      </c>
      <c r="J444" s="3">
        <v>13498352.24</v>
      </c>
      <c r="K444" s="3">
        <v>1968.7</v>
      </c>
      <c r="L444" s="3">
        <v>0</v>
      </c>
      <c r="M444" t="s">
        <v>23</v>
      </c>
      <c r="N444" t="s">
        <v>466</v>
      </c>
      <c r="O444" s="4">
        <v>0.26659504923395011</v>
      </c>
      <c r="P444" s="4">
        <v>0.73340495076604995</v>
      </c>
      <c r="Q444" t="s">
        <v>472</v>
      </c>
      <c r="R444" s="4">
        <v>2.4629037143493091E-6</v>
      </c>
      <c r="S444" s="3">
        <v>3958302.98</v>
      </c>
      <c r="T444" s="4">
        <v>0.26080958349011679</v>
      </c>
    </row>
    <row r="445" spans="1:20" x14ac:dyDescent="0.4">
      <c r="A445" s="2">
        <v>45902</v>
      </c>
      <c r="B445" t="s">
        <v>29</v>
      </c>
      <c r="C445" t="s">
        <v>22</v>
      </c>
      <c r="D445" s="3" t="str">
        <f t="shared" ref="D445:D508" si="32">IF(J445/H445&gt;=0.75,"PASS","FAIL")</f>
        <v>PASS</v>
      </c>
      <c r="E445" s="3" t="str">
        <f t="shared" ref="E445:E508" si="33">IF(L445=0,"PASS","FAIL")</f>
        <v>PASS</v>
      </c>
      <c r="F445" s="3" t="str">
        <f t="shared" ref="F445:F508" si="34">IF(R445="","",IF(R445&lt;=0.1,"PASS","FAIL"))</f>
        <v>PASS</v>
      </c>
      <c r="G445" s="3" t="str">
        <f t="shared" ref="G445:G508" si="35">IF(S445=0,"PASS",IF(S445&lt;=0.05*J445,"PASS","FAIL"))</f>
        <v>FAIL</v>
      </c>
      <c r="H445" s="3">
        <v>34181669.020000003</v>
      </c>
      <c r="I445" s="4">
        <v>0</v>
      </c>
      <c r="J445" s="3">
        <v>31955140.219999999</v>
      </c>
      <c r="K445" s="3">
        <v>4659.76</v>
      </c>
      <c r="L445" s="3">
        <v>0</v>
      </c>
      <c r="M445" t="s">
        <v>23</v>
      </c>
      <c r="N445" t="s">
        <v>346</v>
      </c>
      <c r="O445" s="4">
        <v>0.2290252375553494</v>
      </c>
      <c r="P445" s="4">
        <v>0.77097476244465057</v>
      </c>
      <c r="Q445" t="s">
        <v>473</v>
      </c>
      <c r="R445" s="4">
        <v>5.8785004526359914E-6</v>
      </c>
      <c r="S445" s="3">
        <v>4241741.5</v>
      </c>
      <c r="T445" s="4">
        <v>0.1240940428484671</v>
      </c>
    </row>
    <row r="446" spans="1:20" x14ac:dyDescent="0.4">
      <c r="A446" s="2">
        <v>45902</v>
      </c>
      <c r="B446" t="s">
        <v>30</v>
      </c>
      <c r="C446" t="s">
        <v>22</v>
      </c>
      <c r="D446" s="3" t="str">
        <f t="shared" si="32"/>
        <v>PASS</v>
      </c>
      <c r="E446" s="3" t="str">
        <f t="shared" si="33"/>
        <v>PASS</v>
      </c>
      <c r="F446" s="3" t="str">
        <f t="shared" si="34"/>
        <v>PASS</v>
      </c>
      <c r="G446" s="3" t="str">
        <f t="shared" si="35"/>
        <v>FAIL</v>
      </c>
      <c r="H446" s="3">
        <v>55285164.399999999</v>
      </c>
      <c r="I446" s="4">
        <v>0</v>
      </c>
      <c r="J446" s="3">
        <v>50045089.600000001</v>
      </c>
      <c r="K446" s="3">
        <v>7281.12</v>
      </c>
      <c r="L446" s="3">
        <v>0</v>
      </c>
      <c r="M446" t="s">
        <v>23</v>
      </c>
      <c r="N446" t="s">
        <v>474</v>
      </c>
      <c r="O446" s="4">
        <v>0.27033496828827741</v>
      </c>
      <c r="P446" s="4">
        <v>0.72966503171172259</v>
      </c>
      <c r="Q446" t="s">
        <v>475</v>
      </c>
      <c r="R446" s="4">
        <v>7.5320057400131052E-5</v>
      </c>
      <c r="S446" s="3">
        <v>9145254.0500000026</v>
      </c>
      <c r="T446" s="4">
        <v>0.1654196772181436</v>
      </c>
    </row>
    <row r="447" spans="1:20" x14ac:dyDescent="0.4">
      <c r="A447" s="2">
        <v>45902</v>
      </c>
      <c r="B447" t="s">
        <v>31</v>
      </c>
      <c r="C447" t="s">
        <v>22</v>
      </c>
      <c r="D447" s="3" t="str">
        <f t="shared" si="32"/>
        <v>PASS</v>
      </c>
      <c r="E447" s="3" t="str">
        <f t="shared" si="33"/>
        <v>PASS</v>
      </c>
      <c r="F447" s="3" t="str">
        <f t="shared" si="34"/>
        <v>PASS</v>
      </c>
      <c r="G447" s="3" t="str">
        <f t="shared" si="35"/>
        <v>FAIL</v>
      </c>
      <c r="H447" s="3">
        <v>39894241.350000001</v>
      </c>
      <c r="I447" s="4">
        <v>0</v>
      </c>
      <c r="J447" s="3">
        <v>34611060.100000001</v>
      </c>
      <c r="K447" s="3">
        <v>5044.6000000000004</v>
      </c>
      <c r="L447" s="3">
        <v>0</v>
      </c>
      <c r="M447" t="s">
        <v>23</v>
      </c>
      <c r="N447" t="s">
        <v>466</v>
      </c>
      <c r="O447" s="4">
        <v>0.26442409286388768</v>
      </c>
      <c r="P447" s="4">
        <v>0.73557590713611232</v>
      </c>
      <c r="Q447" t="s">
        <v>476</v>
      </c>
      <c r="R447" s="4">
        <v>6.2672675610588651E-6</v>
      </c>
      <c r="S447" s="3">
        <v>10475715.789999999</v>
      </c>
      <c r="T447" s="4">
        <v>0.26258716635552709</v>
      </c>
    </row>
    <row r="448" spans="1:20" x14ac:dyDescent="0.4">
      <c r="A448" s="2">
        <v>45902</v>
      </c>
      <c r="B448" t="s">
        <v>32</v>
      </c>
      <c r="C448" t="s">
        <v>22</v>
      </c>
      <c r="D448" s="3" t="str">
        <f t="shared" si="32"/>
        <v>PASS</v>
      </c>
      <c r="E448" s="3" t="str">
        <f t="shared" si="33"/>
        <v>PASS</v>
      </c>
      <c r="F448" s="3" t="str">
        <f t="shared" si="34"/>
        <v>PASS</v>
      </c>
      <c r="G448" s="3" t="str">
        <f t="shared" si="35"/>
        <v>FAIL</v>
      </c>
      <c r="H448" s="3">
        <v>77788720.569999993</v>
      </c>
      <c r="I448" s="4">
        <v>0</v>
      </c>
      <c r="J448" s="3">
        <v>69803483.430000007</v>
      </c>
      <c r="K448" s="3">
        <v>10177.879999999999</v>
      </c>
      <c r="L448" s="3">
        <v>0</v>
      </c>
      <c r="M448" t="s">
        <v>23</v>
      </c>
      <c r="N448" t="s">
        <v>466</v>
      </c>
      <c r="O448" s="4">
        <v>0.26843801411129659</v>
      </c>
      <c r="P448" s="4">
        <v>0.73156198588870336</v>
      </c>
      <c r="Q448" t="s">
        <v>477</v>
      </c>
      <c r="R448" s="4">
        <v>1.281222591384835E-5</v>
      </c>
      <c r="S448" s="3">
        <v>16663286.98</v>
      </c>
      <c r="T448" s="4">
        <v>0.2142121230160246</v>
      </c>
    </row>
    <row r="449" spans="1:20" x14ac:dyDescent="0.4">
      <c r="A449" s="2">
        <v>45902</v>
      </c>
      <c r="B449" t="s">
        <v>33</v>
      </c>
      <c r="C449" t="s">
        <v>22</v>
      </c>
      <c r="D449" s="3" t="str">
        <f t="shared" si="32"/>
        <v>PASS</v>
      </c>
      <c r="E449" s="3" t="str">
        <f t="shared" si="33"/>
        <v>PASS</v>
      </c>
      <c r="F449" s="3" t="str">
        <f t="shared" si="34"/>
        <v>PASS</v>
      </c>
      <c r="G449" s="3" t="str">
        <f t="shared" si="35"/>
        <v>FAIL</v>
      </c>
      <c r="H449" s="3">
        <v>165374595.72</v>
      </c>
      <c r="I449" s="4">
        <v>0</v>
      </c>
      <c r="J449" s="3">
        <v>140956653.38999999</v>
      </c>
      <c r="K449" s="3">
        <v>20531.16</v>
      </c>
      <c r="L449" s="3">
        <v>0</v>
      </c>
      <c r="M449" t="s">
        <v>23</v>
      </c>
      <c r="N449" t="s">
        <v>466</v>
      </c>
      <c r="O449" s="4">
        <v>0.2693679152905718</v>
      </c>
      <c r="P449" s="4">
        <v>0.7306320847094282</v>
      </c>
      <c r="Q449" t="s">
        <v>478</v>
      </c>
      <c r="R449" s="4">
        <v>2.5624451827696711E-5</v>
      </c>
      <c r="S449" s="3">
        <v>46586316</v>
      </c>
      <c r="T449" s="4">
        <v>0.28170176802050362</v>
      </c>
    </row>
    <row r="450" spans="1:20" x14ac:dyDescent="0.4">
      <c r="A450" s="2">
        <v>45903</v>
      </c>
      <c r="B450" t="s">
        <v>21</v>
      </c>
      <c r="C450" t="s">
        <v>22</v>
      </c>
      <c r="D450" s="3" t="str">
        <f t="shared" si="32"/>
        <v>PASS</v>
      </c>
      <c r="E450" s="3" t="str">
        <f t="shared" si="33"/>
        <v>PASS</v>
      </c>
      <c r="F450" s="3" t="str">
        <f t="shared" si="34"/>
        <v>PASS</v>
      </c>
      <c r="G450" s="3" t="str">
        <f t="shared" si="35"/>
        <v>FAIL</v>
      </c>
      <c r="H450" s="3">
        <v>24498363.82</v>
      </c>
      <c r="I450" s="4">
        <v>0</v>
      </c>
      <c r="J450" s="3">
        <v>20494823.760000002</v>
      </c>
      <c r="K450" s="3">
        <v>1485.71</v>
      </c>
      <c r="L450" s="3">
        <v>0</v>
      </c>
      <c r="M450" t="s">
        <v>23</v>
      </c>
      <c r="N450" t="s">
        <v>479</v>
      </c>
      <c r="O450" s="4">
        <v>0.25596868709057879</v>
      </c>
      <c r="P450" s="4">
        <v>0.74403131290942115</v>
      </c>
      <c r="Q450" t="s">
        <v>480</v>
      </c>
      <c r="R450" s="4">
        <v>3.712512277137119E-6</v>
      </c>
      <c r="S450" s="3">
        <v>7741379.5300000003</v>
      </c>
      <c r="T450" s="4">
        <v>0.31599577779476379</v>
      </c>
    </row>
    <row r="451" spans="1:20" x14ac:dyDescent="0.4">
      <c r="A451" s="2">
        <v>45903</v>
      </c>
      <c r="B451" t="s">
        <v>24</v>
      </c>
      <c r="C451" t="s">
        <v>22</v>
      </c>
      <c r="D451" s="3" t="str">
        <f t="shared" si="32"/>
        <v>PASS</v>
      </c>
      <c r="E451" s="3" t="str">
        <f t="shared" si="33"/>
        <v>PASS</v>
      </c>
      <c r="F451" s="3" t="str">
        <f t="shared" si="34"/>
        <v>PASS</v>
      </c>
      <c r="G451" s="3" t="str">
        <f t="shared" si="35"/>
        <v>FAIL</v>
      </c>
      <c r="H451" s="3">
        <v>134381525.05000001</v>
      </c>
      <c r="I451" s="4">
        <v>0</v>
      </c>
      <c r="J451" s="3">
        <v>118834967.33</v>
      </c>
      <c r="K451" s="3">
        <v>8609.6299999999992</v>
      </c>
      <c r="L451" s="3">
        <v>0</v>
      </c>
      <c r="M451" t="s">
        <v>23</v>
      </c>
      <c r="N451" t="s">
        <v>479</v>
      </c>
      <c r="O451" s="4">
        <v>0.26357020188360752</v>
      </c>
      <c r="P451" s="4">
        <v>0.73642979811639253</v>
      </c>
      <c r="Q451" t="s">
        <v>481</v>
      </c>
      <c r="R451" s="4">
        <v>2.218535817626359E-5</v>
      </c>
      <c r="S451" s="3">
        <v>32454977.829999998</v>
      </c>
      <c r="T451" s="4">
        <v>0.24151368886403329</v>
      </c>
    </row>
    <row r="452" spans="1:20" x14ac:dyDescent="0.4">
      <c r="A452" s="2">
        <v>45903</v>
      </c>
      <c r="B452" t="s">
        <v>25</v>
      </c>
      <c r="C452" t="s">
        <v>22</v>
      </c>
      <c r="D452" s="3" t="str">
        <f t="shared" si="32"/>
        <v>PASS</v>
      </c>
      <c r="E452" s="3" t="str">
        <f t="shared" si="33"/>
        <v>PASS</v>
      </c>
      <c r="F452" s="3" t="str">
        <f t="shared" si="34"/>
        <v>PASS</v>
      </c>
      <c r="G452" s="3" t="str">
        <f t="shared" si="35"/>
        <v>FAIL</v>
      </c>
      <c r="H452" s="3">
        <v>100412704.94</v>
      </c>
      <c r="I452" s="4">
        <v>0</v>
      </c>
      <c r="J452" s="3">
        <v>91353934.950000003</v>
      </c>
      <c r="K452" s="3">
        <v>6623.79</v>
      </c>
      <c r="L452" s="3">
        <v>0</v>
      </c>
      <c r="M452" t="s">
        <v>23</v>
      </c>
      <c r="N452" t="s">
        <v>479</v>
      </c>
      <c r="O452" s="4">
        <v>0.25550055137499028</v>
      </c>
      <c r="P452" s="4">
        <v>0.74449944862500961</v>
      </c>
      <c r="Q452" t="s">
        <v>482</v>
      </c>
      <c r="R452" s="4">
        <v>1.6531146440025411E-5</v>
      </c>
      <c r="S452" s="3">
        <v>17036979.850000001</v>
      </c>
      <c r="T452" s="4">
        <v>0.1696695638284037</v>
      </c>
    </row>
    <row r="453" spans="1:20" x14ac:dyDescent="0.4">
      <c r="A453" s="2">
        <v>45903</v>
      </c>
      <c r="B453" t="s">
        <v>26</v>
      </c>
      <c r="C453" t="s">
        <v>22</v>
      </c>
      <c r="D453" s="3" t="str">
        <f t="shared" si="32"/>
        <v>PASS</v>
      </c>
      <c r="E453" s="3" t="str">
        <f t="shared" si="33"/>
        <v>PASS</v>
      </c>
      <c r="F453" s="3" t="str">
        <f t="shared" si="34"/>
        <v>PASS</v>
      </c>
      <c r="G453" s="3" t="str">
        <f t="shared" si="35"/>
        <v>FAIL</v>
      </c>
      <c r="H453" s="3">
        <v>23208868.18</v>
      </c>
      <c r="I453" s="4">
        <v>0</v>
      </c>
      <c r="J453" s="3">
        <v>21250868.039999999</v>
      </c>
      <c r="K453" s="3">
        <v>1541.09</v>
      </c>
      <c r="L453" s="3">
        <v>0</v>
      </c>
      <c r="M453" t="s">
        <v>23</v>
      </c>
      <c r="N453" t="s">
        <v>479</v>
      </c>
      <c r="O453" s="4">
        <v>0.25747615860683692</v>
      </c>
      <c r="P453" s="4">
        <v>0.74252384139316319</v>
      </c>
      <c r="Q453" t="s">
        <v>483</v>
      </c>
      <c r="R453" s="4">
        <v>3.8748545861488688E-6</v>
      </c>
      <c r="S453" s="3">
        <v>3671432.69</v>
      </c>
      <c r="T453" s="4">
        <v>0.15819094070101269</v>
      </c>
    </row>
    <row r="454" spans="1:20" x14ac:dyDescent="0.4">
      <c r="A454" s="2">
        <v>45903</v>
      </c>
      <c r="B454" t="s">
        <v>27</v>
      </c>
      <c r="C454" t="s">
        <v>22</v>
      </c>
      <c r="D454" s="3" t="str">
        <f t="shared" si="32"/>
        <v>PASS</v>
      </c>
      <c r="E454" s="3" t="str">
        <f t="shared" si="33"/>
        <v>PASS</v>
      </c>
      <c r="F454" s="3" t="str">
        <f t="shared" si="34"/>
        <v>PASS</v>
      </c>
      <c r="G454" s="3" t="str">
        <f t="shared" si="35"/>
        <v>FAIL</v>
      </c>
      <c r="H454" s="3">
        <v>42991751.710000001</v>
      </c>
      <c r="I454" s="4">
        <v>0</v>
      </c>
      <c r="J454" s="3">
        <v>36561142.359999999</v>
      </c>
      <c r="K454" s="3">
        <v>2648.48</v>
      </c>
      <c r="L454" s="3">
        <v>0</v>
      </c>
      <c r="M454" t="s">
        <v>23</v>
      </c>
      <c r="N454" t="s">
        <v>479</v>
      </c>
      <c r="O454" s="4">
        <v>0.2633174326230216</v>
      </c>
      <c r="P454" s="4">
        <v>0.73668256737697835</v>
      </c>
      <c r="Q454" t="s">
        <v>484</v>
      </c>
      <c r="R454" s="4">
        <v>6.814104812466864E-6</v>
      </c>
      <c r="S454" s="3">
        <v>14187421.08</v>
      </c>
      <c r="T454" s="4">
        <v>0.33000332658461928</v>
      </c>
    </row>
    <row r="455" spans="1:20" x14ac:dyDescent="0.4">
      <c r="A455" s="2">
        <v>45903</v>
      </c>
      <c r="B455" t="s">
        <v>28</v>
      </c>
      <c r="C455" t="s">
        <v>22</v>
      </c>
      <c r="D455" s="3" t="str">
        <f t="shared" si="32"/>
        <v>PASS</v>
      </c>
      <c r="E455" s="3" t="str">
        <f t="shared" si="33"/>
        <v>PASS</v>
      </c>
      <c r="F455" s="3" t="str">
        <f t="shared" si="34"/>
        <v>PASS</v>
      </c>
      <c r="G455" s="3" t="str">
        <f t="shared" si="35"/>
        <v>FAIL</v>
      </c>
      <c r="H455" s="3">
        <v>15208118.17</v>
      </c>
      <c r="I455" s="4">
        <v>0</v>
      </c>
      <c r="J455" s="3">
        <v>13528505.99</v>
      </c>
      <c r="K455" s="3">
        <v>980.73</v>
      </c>
      <c r="L455" s="3">
        <v>0</v>
      </c>
      <c r="M455" t="s">
        <v>23</v>
      </c>
      <c r="N455" t="s">
        <v>479</v>
      </c>
      <c r="O455" s="4">
        <v>0.25707305319380652</v>
      </c>
      <c r="P455" s="4">
        <v>0.74292694680619342</v>
      </c>
      <c r="Q455" t="s">
        <v>485</v>
      </c>
      <c r="R455" s="4">
        <v>2.4629037143493091E-6</v>
      </c>
      <c r="S455" s="3">
        <v>3964395.47</v>
      </c>
      <c r="T455" s="4">
        <v>0.26067626682571993</v>
      </c>
    </row>
    <row r="456" spans="1:20" x14ac:dyDescent="0.4">
      <c r="A456" s="2">
        <v>45903</v>
      </c>
      <c r="B456" t="s">
        <v>29</v>
      </c>
      <c r="C456" t="s">
        <v>22</v>
      </c>
      <c r="D456" s="3" t="str">
        <f t="shared" si="32"/>
        <v>PASS</v>
      </c>
      <c r="E456" s="3" t="str">
        <f t="shared" si="33"/>
        <v>PASS</v>
      </c>
      <c r="F456" s="3" t="str">
        <f t="shared" si="34"/>
        <v>PASS</v>
      </c>
      <c r="G456" s="3" t="str">
        <f t="shared" si="35"/>
        <v>FAIL</v>
      </c>
      <c r="H456" s="3">
        <v>34251284</v>
      </c>
      <c r="I456" s="4">
        <v>0</v>
      </c>
      <c r="J456" s="3">
        <v>32022435.149999999</v>
      </c>
      <c r="K456" s="3">
        <v>2320.0300000000002</v>
      </c>
      <c r="L456" s="3">
        <v>0</v>
      </c>
      <c r="M456" t="s">
        <v>23</v>
      </c>
      <c r="N456" t="s">
        <v>479</v>
      </c>
      <c r="O456" s="4">
        <v>0.25924393042294908</v>
      </c>
      <c r="P456" s="4">
        <v>0.74075606957705098</v>
      </c>
      <c r="Q456" t="s">
        <v>486</v>
      </c>
      <c r="R456" s="4">
        <v>5.8785004526359914E-6</v>
      </c>
      <c r="S456" s="3">
        <v>4225909.28</v>
      </c>
      <c r="T456" s="4">
        <v>0.123379587171097</v>
      </c>
    </row>
    <row r="457" spans="1:20" x14ac:dyDescent="0.4">
      <c r="A457" s="2">
        <v>45903</v>
      </c>
      <c r="B457" t="s">
        <v>30</v>
      </c>
      <c r="C457" t="s">
        <v>22</v>
      </c>
      <c r="D457" s="3" t="str">
        <f t="shared" si="32"/>
        <v>PASS</v>
      </c>
      <c r="E457" s="3" t="str">
        <f t="shared" si="33"/>
        <v>PASS</v>
      </c>
      <c r="F457" s="3" t="str">
        <f t="shared" si="34"/>
        <v>PASS</v>
      </c>
      <c r="G457" s="3" t="str">
        <f t="shared" si="35"/>
        <v>FAIL</v>
      </c>
      <c r="H457" s="3">
        <v>55252204.039999999</v>
      </c>
      <c r="I457" s="4">
        <v>0</v>
      </c>
      <c r="J457" s="3">
        <v>50008495.829999998</v>
      </c>
      <c r="K457" s="3">
        <v>3634.09</v>
      </c>
      <c r="L457" s="3">
        <v>0</v>
      </c>
      <c r="M457" t="s">
        <v>23</v>
      </c>
      <c r="N457" t="s">
        <v>487</v>
      </c>
      <c r="O457" s="4">
        <v>0.27205716877087688</v>
      </c>
      <c r="P457" s="4">
        <v>0.72794283122912318</v>
      </c>
      <c r="Q457" t="s">
        <v>488</v>
      </c>
      <c r="R457" s="4">
        <v>7.5320057400131052E-5</v>
      </c>
      <c r="S457" s="3">
        <v>9112790.0399999991</v>
      </c>
      <c r="T457" s="4">
        <v>0.16493079684934861</v>
      </c>
    </row>
    <row r="458" spans="1:20" x14ac:dyDescent="0.4">
      <c r="A458" s="2">
        <v>45903</v>
      </c>
      <c r="B458" t="s">
        <v>31</v>
      </c>
      <c r="C458" t="s">
        <v>22</v>
      </c>
      <c r="D458" s="3" t="str">
        <f t="shared" si="32"/>
        <v>PASS</v>
      </c>
      <c r="E458" s="3" t="str">
        <f t="shared" si="33"/>
        <v>PASS</v>
      </c>
      <c r="F458" s="3" t="str">
        <f t="shared" si="34"/>
        <v>PASS</v>
      </c>
      <c r="G458" s="3" t="str">
        <f t="shared" si="35"/>
        <v>FAIL</v>
      </c>
      <c r="H458" s="3">
        <v>39964799.130000003</v>
      </c>
      <c r="I458" s="4">
        <v>0</v>
      </c>
      <c r="J458" s="3">
        <v>34679105.020000003</v>
      </c>
      <c r="K458" s="3">
        <v>2513.54</v>
      </c>
      <c r="L458" s="3">
        <v>0</v>
      </c>
      <c r="M458" t="s">
        <v>23</v>
      </c>
      <c r="N458" t="s">
        <v>479</v>
      </c>
      <c r="O458" s="4">
        <v>0.25530804687415781</v>
      </c>
      <c r="P458" s="4">
        <v>0.74469195312584224</v>
      </c>
      <c r="Q458" t="s">
        <v>489</v>
      </c>
      <c r="R458" s="4">
        <v>6.2672675610588651E-6</v>
      </c>
      <c r="S458" s="3">
        <v>10471377.91</v>
      </c>
      <c r="T458" s="4">
        <v>0.26201502667229842</v>
      </c>
    </row>
    <row r="459" spans="1:20" x14ac:dyDescent="0.4">
      <c r="A459" s="2">
        <v>45903</v>
      </c>
      <c r="B459" t="s">
        <v>32</v>
      </c>
      <c r="C459" t="s">
        <v>22</v>
      </c>
      <c r="D459" s="3" t="str">
        <f t="shared" si="32"/>
        <v>PASS</v>
      </c>
      <c r="E459" s="3" t="str">
        <f t="shared" si="33"/>
        <v>PASS</v>
      </c>
      <c r="F459" s="3" t="str">
        <f t="shared" si="34"/>
        <v>PASS</v>
      </c>
      <c r="G459" s="3" t="str">
        <f t="shared" si="35"/>
        <v>FAIL</v>
      </c>
      <c r="H459" s="3">
        <v>77960727.480000004</v>
      </c>
      <c r="I459" s="4">
        <v>0</v>
      </c>
      <c r="J459" s="3">
        <v>69970422.420000002</v>
      </c>
      <c r="K459" s="3">
        <v>5067.92</v>
      </c>
      <c r="L459" s="3">
        <v>0</v>
      </c>
      <c r="M459" t="s">
        <v>23</v>
      </c>
      <c r="N459" t="s">
        <v>479</v>
      </c>
      <c r="O459" s="4">
        <v>0.25868562749774532</v>
      </c>
      <c r="P459" s="4">
        <v>0.74131437250225474</v>
      </c>
      <c r="Q459" t="s">
        <v>490</v>
      </c>
      <c r="R459" s="4">
        <v>1.281222591384835E-5</v>
      </c>
      <c r="S459" s="3">
        <v>16679197.16</v>
      </c>
      <c r="T459" s="4">
        <v>0.21394358030174709</v>
      </c>
    </row>
    <row r="460" spans="1:20" x14ac:dyDescent="0.4">
      <c r="A460" s="2">
        <v>45903</v>
      </c>
      <c r="B460" t="s">
        <v>33</v>
      </c>
      <c r="C460" t="s">
        <v>22</v>
      </c>
      <c r="D460" s="3" t="str">
        <f t="shared" si="32"/>
        <v>PASS</v>
      </c>
      <c r="E460" s="3" t="str">
        <f t="shared" si="33"/>
        <v>PASS</v>
      </c>
      <c r="F460" s="3" t="str">
        <f t="shared" si="34"/>
        <v>PASS</v>
      </c>
      <c r="G460" s="3" t="str">
        <f t="shared" si="35"/>
        <v>FAIL</v>
      </c>
      <c r="H460" s="3">
        <v>165594256.33000001</v>
      </c>
      <c r="I460" s="4">
        <v>0</v>
      </c>
      <c r="J460" s="3">
        <v>141166080.16</v>
      </c>
      <c r="K460" s="3">
        <v>10234.39</v>
      </c>
      <c r="L460" s="3">
        <v>0</v>
      </c>
      <c r="M460" t="s">
        <v>23</v>
      </c>
      <c r="N460" t="s">
        <v>479</v>
      </c>
      <c r="O460" s="4">
        <v>0.2562838897913336</v>
      </c>
      <c r="P460" s="4">
        <v>0.74371611020866646</v>
      </c>
      <c r="Q460" t="s">
        <v>491</v>
      </c>
      <c r="R460" s="4">
        <v>2.5624451827696711E-5</v>
      </c>
      <c r="S460" s="3">
        <v>46608855.719999999</v>
      </c>
      <c r="T460" s="4">
        <v>0.28146420505743153</v>
      </c>
    </row>
    <row r="461" spans="1:20" x14ac:dyDescent="0.4">
      <c r="A461" s="2">
        <v>45904</v>
      </c>
      <c r="B461" t="s">
        <v>21</v>
      </c>
      <c r="C461" t="s">
        <v>22</v>
      </c>
      <c r="D461" s="3" t="str">
        <f t="shared" si="32"/>
        <v>PASS</v>
      </c>
      <c r="E461" s="3" t="str">
        <f t="shared" si="33"/>
        <v>PASS</v>
      </c>
      <c r="F461" s="3" t="str">
        <f t="shared" si="34"/>
        <v>PASS</v>
      </c>
      <c r="G461" s="3" t="str">
        <f t="shared" si="35"/>
        <v>FAIL</v>
      </c>
      <c r="H461" s="3">
        <v>24587493.370000001</v>
      </c>
      <c r="I461" s="4">
        <v>0</v>
      </c>
      <c r="J461" s="3">
        <v>20582465.329999998</v>
      </c>
      <c r="K461" s="3">
        <v>1488.53</v>
      </c>
      <c r="L461" s="3">
        <v>0</v>
      </c>
      <c r="M461" t="s">
        <v>23</v>
      </c>
      <c r="N461" t="s">
        <v>479</v>
      </c>
      <c r="O461" s="4">
        <v>0.25727247174233431</v>
      </c>
      <c r="P461" s="4">
        <v>0.74272752825766575</v>
      </c>
      <c r="Q461" t="s">
        <v>492</v>
      </c>
      <c r="R461" s="4">
        <v>3.7274648582303071E-6</v>
      </c>
      <c r="S461" s="3">
        <v>7755015.54</v>
      </c>
      <c r="T461" s="4">
        <v>0.31540488586210041</v>
      </c>
    </row>
    <row r="462" spans="1:20" x14ac:dyDescent="0.4">
      <c r="A462" s="2">
        <v>45904</v>
      </c>
      <c r="B462" t="s">
        <v>24</v>
      </c>
      <c r="C462" t="s">
        <v>22</v>
      </c>
      <c r="D462" s="3" t="str">
        <f t="shared" si="32"/>
        <v>PASS</v>
      </c>
      <c r="E462" s="3" t="str">
        <f t="shared" si="33"/>
        <v>PASS</v>
      </c>
      <c r="F462" s="3" t="str">
        <f t="shared" si="34"/>
        <v>PASS</v>
      </c>
      <c r="G462" s="3" t="str">
        <f t="shared" si="35"/>
        <v>FAIL</v>
      </c>
      <c r="H462" s="3">
        <v>134977597.75999999</v>
      </c>
      <c r="I462" s="4">
        <v>0</v>
      </c>
      <c r="J462" s="3">
        <v>119422412.3</v>
      </c>
      <c r="K462" s="3">
        <v>8628.2900000000009</v>
      </c>
      <c r="L462" s="3">
        <v>0</v>
      </c>
      <c r="M462" t="s">
        <v>23</v>
      </c>
      <c r="N462" t="s">
        <v>479</v>
      </c>
      <c r="O462" s="4">
        <v>0.26452271848807729</v>
      </c>
      <c r="P462" s="4">
        <v>0.7354772815119226</v>
      </c>
      <c r="Q462" t="s">
        <v>493</v>
      </c>
      <c r="R462" s="4">
        <v>2.2251576749676281E-5</v>
      </c>
      <c r="S462" s="3">
        <v>32658397.620000001</v>
      </c>
      <c r="T462" s="4">
        <v>0.2419542069349094</v>
      </c>
    </row>
    <row r="463" spans="1:20" x14ac:dyDescent="0.4">
      <c r="A463" s="2">
        <v>45904</v>
      </c>
      <c r="B463" t="s">
        <v>25</v>
      </c>
      <c r="C463" t="s">
        <v>22</v>
      </c>
      <c r="D463" s="3" t="str">
        <f t="shared" si="32"/>
        <v>PASS</v>
      </c>
      <c r="E463" s="3" t="str">
        <f t="shared" si="33"/>
        <v>PASS</v>
      </c>
      <c r="F463" s="3" t="str">
        <f t="shared" si="34"/>
        <v>PASS</v>
      </c>
      <c r="G463" s="3" t="str">
        <f t="shared" si="35"/>
        <v>FAIL</v>
      </c>
      <c r="H463" s="3">
        <v>100791948.18000001</v>
      </c>
      <c r="I463" s="4">
        <v>0</v>
      </c>
      <c r="J463" s="3">
        <v>91726545.640000001</v>
      </c>
      <c r="K463" s="3">
        <v>6633.23</v>
      </c>
      <c r="L463" s="3">
        <v>0</v>
      </c>
      <c r="M463" t="s">
        <v>23</v>
      </c>
      <c r="N463" t="s">
        <v>479</v>
      </c>
      <c r="O463" s="4">
        <v>0.2566344993780581</v>
      </c>
      <c r="P463" s="4">
        <v>0.74336550062194195</v>
      </c>
      <c r="Q463" t="s">
        <v>494</v>
      </c>
      <c r="R463" s="4">
        <v>1.6580276349331599E-5</v>
      </c>
      <c r="S463" s="3">
        <v>16983346.780000001</v>
      </c>
      <c r="T463" s="4">
        <v>0.16849904269803551</v>
      </c>
    </row>
    <row r="464" spans="1:20" x14ac:dyDescent="0.4">
      <c r="A464" s="2">
        <v>45904</v>
      </c>
      <c r="B464" t="s">
        <v>26</v>
      </c>
      <c r="C464" t="s">
        <v>22</v>
      </c>
      <c r="D464" s="3" t="str">
        <f t="shared" si="32"/>
        <v>PASS</v>
      </c>
      <c r="E464" s="3" t="str">
        <f t="shared" si="33"/>
        <v>PASS</v>
      </c>
      <c r="F464" s="3" t="str">
        <f t="shared" si="34"/>
        <v>PASS</v>
      </c>
      <c r="G464" s="3" t="str">
        <f t="shared" si="35"/>
        <v>FAIL</v>
      </c>
      <c r="H464" s="3">
        <v>23302338.539999999</v>
      </c>
      <c r="I464" s="4">
        <v>0</v>
      </c>
      <c r="J464" s="3">
        <v>21342795.530000001</v>
      </c>
      <c r="K464" s="3">
        <v>1543.58</v>
      </c>
      <c r="L464" s="3">
        <v>0</v>
      </c>
      <c r="M464" t="s">
        <v>23</v>
      </c>
      <c r="N464" t="s">
        <v>479</v>
      </c>
      <c r="O464" s="4">
        <v>0.25854944738816038</v>
      </c>
      <c r="P464" s="4">
        <v>0.74145055261183956</v>
      </c>
      <c r="Q464" t="s">
        <v>495</v>
      </c>
      <c r="R464" s="4">
        <v>3.8876710842287444E-6</v>
      </c>
      <c r="S464" s="3">
        <v>3668860.89</v>
      </c>
      <c r="T464" s="4">
        <v>0.1574460384609965</v>
      </c>
    </row>
    <row r="465" spans="1:20" x14ac:dyDescent="0.4">
      <c r="A465" s="2">
        <v>45904</v>
      </c>
      <c r="B465" t="s">
        <v>27</v>
      </c>
      <c r="C465" t="s">
        <v>22</v>
      </c>
      <c r="D465" s="3" t="str">
        <f t="shared" si="32"/>
        <v>PASS</v>
      </c>
      <c r="E465" s="3" t="str">
        <f t="shared" si="33"/>
        <v>PASS</v>
      </c>
      <c r="F465" s="3" t="str">
        <f t="shared" si="34"/>
        <v>PASS</v>
      </c>
      <c r="G465" s="3" t="str">
        <f t="shared" si="35"/>
        <v>FAIL</v>
      </c>
      <c r="H465" s="3">
        <v>43181647.619999997</v>
      </c>
      <c r="I465" s="4">
        <v>0</v>
      </c>
      <c r="J465" s="3">
        <v>36748383.829999998</v>
      </c>
      <c r="K465" s="3">
        <v>2654.99</v>
      </c>
      <c r="L465" s="3">
        <v>0</v>
      </c>
      <c r="M465" t="s">
        <v>23</v>
      </c>
      <c r="N465" t="s">
        <v>479</v>
      </c>
      <c r="O465" s="4">
        <v>0.26405360858559429</v>
      </c>
      <c r="P465" s="4">
        <v>0.73594639141440577</v>
      </c>
      <c r="Q465" t="s">
        <v>496</v>
      </c>
      <c r="R465" s="4">
        <v>6.8311934765733638E-6</v>
      </c>
      <c r="S465" s="3">
        <v>14290435.92</v>
      </c>
      <c r="T465" s="4">
        <v>0.33093771793416338</v>
      </c>
    </row>
    <row r="466" spans="1:20" x14ac:dyDescent="0.4">
      <c r="A466" s="2">
        <v>45904</v>
      </c>
      <c r="B466" t="s">
        <v>28</v>
      </c>
      <c r="C466" t="s">
        <v>22</v>
      </c>
      <c r="D466" s="3" t="str">
        <f t="shared" si="32"/>
        <v>PASS</v>
      </c>
      <c r="E466" s="3" t="str">
        <f t="shared" si="33"/>
        <v>PASS</v>
      </c>
      <c r="F466" s="3" t="str">
        <f t="shared" si="34"/>
        <v>PASS</v>
      </c>
      <c r="G466" s="3" t="str">
        <f t="shared" si="35"/>
        <v>FAIL</v>
      </c>
      <c r="H466" s="3">
        <v>15269245.98</v>
      </c>
      <c r="I466" s="4">
        <v>0</v>
      </c>
      <c r="J466" s="3">
        <v>13588651.59</v>
      </c>
      <c r="K466" s="3">
        <v>982.92</v>
      </c>
      <c r="L466" s="3">
        <v>0</v>
      </c>
      <c r="M466" t="s">
        <v>23</v>
      </c>
      <c r="N466" t="s">
        <v>479</v>
      </c>
      <c r="O466" s="4">
        <v>0.25798017829670472</v>
      </c>
      <c r="P466" s="4">
        <v>0.74201982170329528</v>
      </c>
      <c r="Q466" t="s">
        <v>497</v>
      </c>
      <c r="R466" s="4">
        <v>2.467175880375934E-6</v>
      </c>
      <c r="S466" s="3">
        <v>3979282.5</v>
      </c>
      <c r="T466" s="4">
        <v>0.26060766230448801</v>
      </c>
    </row>
    <row r="467" spans="1:20" x14ac:dyDescent="0.4">
      <c r="A467" s="2">
        <v>45904</v>
      </c>
      <c r="B467" t="s">
        <v>29</v>
      </c>
      <c r="C467" t="s">
        <v>22</v>
      </c>
      <c r="D467" s="3" t="str">
        <f t="shared" si="32"/>
        <v>PASS</v>
      </c>
      <c r="E467" s="3" t="str">
        <f t="shared" si="33"/>
        <v>PASS</v>
      </c>
      <c r="F467" s="3" t="str">
        <f t="shared" si="34"/>
        <v>PASS</v>
      </c>
      <c r="G467" s="3" t="str">
        <f t="shared" si="35"/>
        <v>FAIL</v>
      </c>
      <c r="H467" s="3">
        <v>34416379.479999997</v>
      </c>
      <c r="I467" s="4">
        <v>0</v>
      </c>
      <c r="J467" s="3">
        <v>32185205.710000001</v>
      </c>
      <c r="K467" s="3">
        <v>2324.92</v>
      </c>
      <c r="L467" s="3">
        <v>0</v>
      </c>
      <c r="M467" t="s">
        <v>23</v>
      </c>
      <c r="N467" t="s">
        <v>479</v>
      </c>
      <c r="O467" s="4">
        <v>0.26016434461993682</v>
      </c>
      <c r="P467" s="4">
        <v>0.73983565538006313</v>
      </c>
      <c r="Q467" t="s">
        <v>498</v>
      </c>
      <c r="R467" s="4">
        <v>5.8977251997558032E-6</v>
      </c>
      <c r="S467" s="3">
        <v>4226682.8799999999</v>
      </c>
      <c r="T467" s="4">
        <v>0.12281021257498061</v>
      </c>
    </row>
    <row r="468" spans="1:20" x14ac:dyDescent="0.4">
      <c r="A468" s="2">
        <v>45904</v>
      </c>
      <c r="B468" t="s">
        <v>30</v>
      </c>
      <c r="C468" t="s">
        <v>22</v>
      </c>
      <c r="D468" s="3" t="str">
        <f t="shared" si="32"/>
        <v>PASS</v>
      </c>
      <c r="E468" s="3" t="str">
        <f t="shared" si="33"/>
        <v>PASS</v>
      </c>
      <c r="F468" s="3" t="str">
        <f t="shared" si="34"/>
        <v>PASS</v>
      </c>
      <c r="G468" s="3" t="str">
        <f t="shared" si="35"/>
        <v>FAIL</v>
      </c>
      <c r="H468" s="3">
        <v>54974433.68</v>
      </c>
      <c r="I468" s="4">
        <v>0</v>
      </c>
      <c r="J468" s="3">
        <v>50371627.310000002</v>
      </c>
      <c r="K468" s="3">
        <v>3631.43</v>
      </c>
      <c r="L468" s="3">
        <v>0</v>
      </c>
      <c r="M468" t="s">
        <v>23</v>
      </c>
      <c r="N468" t="s">
        <v>499</v>
      </c>
      <c r="O468" s="4">
        <v>0.254380668528773</v>
      </c>
      <c r="P468" s="4">
        <v>0.74561933147122694</v>
      </c>
      <c r="Q468" t="s">
        <v>500</v>
      </c>
      <c r="R468" s="4">
        <v>7.5731064885164513E-5</v>
      </c>
      <c r="S468" s="3">
        <v>8995602.6899999995</v>
      </c>
      <c r="T468" s="4">
        <v>0.16363247582253221</v>
      </c>
    </row>
    <row r="469" spans="1:20" x14ac:dyDescent="0.4">
      <c r="A469" s="2">
        <v>45904</v>
      </c>
      <c r="B469" t="s">
        <v>31</v>
      </c>
      <c r="C469" t="s">
        <v>22</v>
      </c>
      <c r="D469" s="3" t="str">
        <f t="shared" si="32"/>
        <v>PASS</v>
      </c>
      <c r="E469" s="3" t="str">
        <f t="shared" si="33"/>
        <v>PASS</v>
      </c>
      <c r="F469" s="3" t="str">
        <f t="shared" si="34"/>
        <v>PASS</v>
      </c>
      <c r="G469" s="3" t="str">
        <f t="shared" si="35"/>
        <v>FAIL</v>
      </c>
      <c r="H469" s="3">
        <v>40114099.82</v>
      </c>
      <c r="I469" s="4">
        <v>0</v>
      </c>
      <c r="J469" s="3">
        <v>34825887.909999996</v>
      </c>
      <c r="K469" s="3">
        <v>2518.48</v>
      </c>
      <c r="L469" s="3">
        <v>0</v>
      </c>
      <c r="M469" t="s">
        <v>23</v>
      </c>
      <c r="N469" t="s">
        <v>479</v>
      </c>
      <c r="O469" s="4">
        <v>0.25627725366442777</v>
      </c>
      <c r="P469" s="4">
        <v>0.74372274633557223</v>
      </c>
      <c r="Q469" t="s">
        <v>501</v>
      </c>
      <c r="R469" s="4">
        <v>6.2822201421520528E-6</v>
      </c>
      <c r="S469" s="3">
        <v>10487567.029999999</v>
      </c>
      <c r="T469" s="4">
        <v>0.26144340960060958</v>
      </c>
    </row>
    <row r="470" spans="1:20" x14ac:dyDescent="0.4">
      <c r="A470" s="2">
        <v>45904</v>
      </c>
      <c r="B470" t="s">
        <v>32</v>
      </c>
      <c r="C470" t="s">
        <v>22</v>
      </c>
      <c r="D470" s="3" t="str">
        <f t="shared" si="32"/>
        <v>PASS</v>
      </c>
      <c r="E470" s="3" t="str">
        <f t="shared" si="33"/>
        <v>PASS</v>
      </c>
      <c r="F470" s="3" t="str">
        <f t="shared" si="34"/>
        <v>PASS</v>
      </c>
      <c r="G470" s="3" t="str">
        <f t="shared" si="35"/>
        <v>FAIL</v>
      </c>
      <c r="H470" s="3">
        <v>78306081.640000001</v>
      </c>
      <c r="I470" s="4">
        <v>0</v>
      </c>
      <c r="J470" s="3">
        <v>70310696.540000007</v>
      </c>
      <c r="K470" s="3">
        <v>5080.04</v>
      </c>
      <c r="L470" s="3">
        <v>0</v>
      </c>
      <c r="M470" t="s">
        <v>23</v>
      </c>
      <c r="N470" t="s">
        <v>479</v>
      </c>
      <c r="O470" s="4">
        <v>0.25956865239725302</v>
      </c>
      <c r="P470" s="4">
        <v>0.74043134760274709</v>
      </c>
      <c r="Q470" t="s">
        <v>502</v>
      </c>
      <c r="R470" s="4">
        <v>1.284640324206135E-5</v>
      </c>
      <c r="S470" s="3">
        <v>16736839.76</v>
      </c>
      <c r="T470" s="4">
        <v>0.21373614168239211</v>
      </c>
    </row>
    <row r="471" spans="1:20" x14ac:dyDescent="0.4">
      <c r="A471" s="2">
        <v>45904</v>
      </c>
      <c r="B471" t="s">
        <v>33</v>
      </c>
      <c r="C471" t="s">
        <v>22</v>
      </c>
      <c r="D471" s="3" t="str">
        <f t="shared" si="32"/>
        <v>PASS</v>
      </c>
      <c r="E471" s="3" t="str">
        <f t="shared" si="33"/>
        <v>PASS</v>
      </c>
      <c r="F471" s="3" t="str">
        <f t="shared" si="34"/>
        <v>PASS</v>
      </c>
      <c r="G471" s="3" t="str">
        <f t="shared" si="35"/>
        <v>FAIL</v>
      </c>
      <c r="H471" s="3">
        <v>166134692.38</v>
      </c>
      <c r="I471" s="4">
        <v>0</v>
      </c>
      <c r="J471" s="3">
        <v>141696267.16999999</v>
      </c>
      <c r="K471" s="3">
        <v>10249.59</v>
      </c>
      <c r="L471" s="3">
        <v>0</v>
      </c>
      <c r="M471" t="s">
        <v>23</v>
      </c>
      <c r="N471" t="s">
        <v>479</v>
      </c>
      <c r="O471" s="4">
        <v>0.25749834994753451</v>
      </c>
      <c r="P471" s="4">
        <v>0.74250165005246549</v>
      </c>
      <c r="Q471" t="s">
        <v>503</v>
      </c>
      <c r="R471" s="4">
        <v>2.569921473316265E-5</v>
      </c>
      <c r="S471" s="3">
        <v>46739632.740000002</v>
      </c>
      <c r="T471" s="4">
        <v>0.28133577683517419</v>
      </c>
    </row>
    <row r="472" spans="1:20" x14ac:dyDescent="0.4">
      <c r="A472" s="2">
        <v>45905</v>
      </c>
      <c r="B472" t="s">
        <v>21</v>
      </c>
      <c r="C472" t="s">
        <v>22</v>
      </c>
      <c r="D472" s="3" t="str">
        <f t="shared" si="32"/>
        <v>PASS</v>
      </c>
      <c r="E472" s="3" t="str">
        <f t="shared" si="33"/>
        <v>PASS</v>
      </c>
      <c r="F472" s="3" t="str">
        <f t="shared" si="34"/>
        <v>PASS</v>
      </c>
      <c r="G472" s="3" t="str">
        <f t="shared" si="35"/>
        <v>FAIL</v>
      </c>
      <c r="H472" s="3">
        <v>24541645.77</v>
      </c>
      <c r="I472" s="4">
        <v>0</v>
      </c>
      <c r="J472" s="3">
        <v>20532134.710000001</v>
      </c>
      <c r="K472" s="3">
        <v>4484.67</v>
      </c>
      <c r="L472" s="3">
        <v>0</v>
      </c>
      <c r="M472" t="s">
        <v>23</v>
      </c>
      <c r="N472" t="s">
        <v>479</v>
      </c>
      <c r="O472" s="4">
        <v>0.25478000626268049</v>
      </c>
      <c r="P472" s="4">
        <v>0.74521999373731951</v>
      </c>
      <c r="Q472" t="s">
        <v>504</v>
      </c>
      <c r="R472" s="4">
        <v>3.7274648582303071E-6</v>
      </c>
      <c r="S472" s="3">
        <v>7767330.6000000006</v>
      </c>
      <c r="T472" s="4">
        <v>0.31649591363163088</v>
      </c>
    </row>
    <row r="473" spans="1:20" x14ac:dyDescent="0.4">
      <c r="A473" s="2">
        <v>45905</v>
      </c>
      <c r="B473" t="s">
        <v>24</v>
      </c>
      <c r="C473" t="s">
        <v>22</v>
      </c>
      <c r="D473" s="3" t="str">
        <f t="shared" si="32"/>
        <v>PASS</v>
      </c>
      <c r="E473" s="3" t="str">
        <f t="shared" si="33"/>
        <v>PASS</v>
      </c>
      <c r="F473" s="3" t="str">
        <f t="shared" si="34"/>
        <v>PASS</v>
      </c>
      <c r="G473" s="3" t="str">
        <f t="shared" si="35"/>
        <v>FAIL</v>
      </c>
      <c r="H473" s="3">
        <v>134606911.09</v>
      </c>
      <c r="I473" s="4">
        <v>0</v>
      </c>
      <c r="J473" s="3">
        <v>119025714.45999999</v>
      </c>
      <c r="K473" s="3">
        <v>26012.82</v>
      </c>
      <c r="L473" s="3">
        <v>0</v>
      </c>
      <c r="M473" t="s">
        <v>23</v>
      </c>
      <c r="N473" t="s">
        <v>479</v>
      </c>
      <c r="O473" s="4">
        <v>0.26222396716206198</v>
      </c>
      <c r="P473" s="4">
        <v>0.73777603283793802</v>
      </c>
      <c r="Q473" t="s">
        <v>505</v>
      </c>
      <c r="R473" s="4">
        <v>2.2251576749676281E-5</v>
      </c>
      <c r="S473" s="3">
        <v>32549938.969999999</v>
      </c>
      <c r="T473" s="4">
        <v>0.24181476795226861</v>
      </c>
    </row>
    <row r="474" spans="1:20" x14ac:dyDescent="0.4">
      <c r="A474" s="2">
        <v>45905</v>
      </c>
      <c r="B474" t="s">
        <v>25</v>
      </c>
      <c r="C474" t="s">
        <v>22</v>
      </c>
      <c r="D474" s="3" t="str">
        <f t="shared" si="32"/>
        <v>PASS</v>
      </c>
      <c r="E474" s="3" t="str">
        <f t="shared" si="33"/>
        <v>PASS</v>
      </c>
      <c r="F474" s="3" t="str">
        <f t="shared" si="34"/>
        <v>PASS</v>
      </c>
      <c r="G474" s="3" t="str">
        <f t="shared" si="35"/>
        <v>FAIL</v>
      </c>
      <c r="H474" s="3">
        <v>100551804.95999999</v>
      </c>
      <c r="I474" s="4">
        <v>0</v>
      </c>
      <c r="J474" s="3">
        <v>91466423.620000005</v>
      </c>
      <c r="K474" s="3">
        <v>19980.84</v>
      </c>
      <c r="L474" s="3">
        <v>0</v>
      </c>
      <c r="M474" t="s">
        <v>23</v>
      </c>
      <c r="N474" t="s">
        <v>479</v>
      </c>
      <c r="O474" s="4">
        <v>0.25427616046982382</v>
      </c>
      <c r="P474" s="4">
        <v>0.74572383953017618</v>
      </c>
      <c r="Q474" t="s">
        <v>506</v>
      </c>
      <c r="R474" s="4">
        <v>1.6580276349331599E-5</v>
      </c>
      <c r="S474" s="3">
        <v>16984343.809999999</v>
      </c>
      <c r="T474" s="4">
        <v>0.16891137674511619</v>
      </c>
    </row>
    <row r="475" spans="1:20" x14ac:dyDescent="0.4">
      <c r="A475" s="2">
        <v>45905</v>
      </c>
      <c r="B475" t="s">
        <v>26</v>
      </c>
      <c r="C475" t="s">
        <v>22</v>
      </c>
      <c r="D475" s="3" t="str">
        <f t="shared" si="32"/>
        <v>PASS</v>
      </c>
      <c r="E475" s="3" t="str">
        <f t="shared" si="33"/>
        <v>PASS</v>
      </c>
      <c r="F475" s="3" t="str">
        <f t="shared" si="34"/>
        <v>PASS</v>
      </c>
      <c r="G475" s="3" t="str">
        <f t="shared" si="35"/>
        <v>FAIL</v>
      </c>
      <c r="H475" s="3">
        <v>23241617.07</v>
      </c>
      <c r="I475" s="4">
        <v>0</v>
      </c>
      <c r="J475" s="3">
        <v>21277425.41</v>
      </c>
      <c r="K475" s="3">
        <v>4650.78</v>
      </c>
      <c r="L475" s="3">
        <v>0</v>
      </c>
      <c r="M475" t="s">
        <v>23</v>
      </c>
      <c r="N475" t="s">
        <v>479</v>
      </c>
      <c r="O475" s="4">
        <v>0.25623553155249912</v>
      </c>
      <c r="P475" s="4">
        <v>0.74376446844750088</v>
      </c>
      <c r="Q475" t="s">
        <v>507</v>
      </c>
      <c r="R475" s="4">
        <v>3.8876710842287444E-6</v>
      </c>
      <c r="S475" s="3">
        <v>3661647.28</v>
      </c>
      <c r="T475" s="4">
        <v>0.15754701013151151</v>
      </c>
    </row>
    <row r="476" spans="1:20" x14ac:dyDescent="0.4">
      <c r="A476" s="2">
        <v>45905</v>
      </c>
      <c r="B476" t="s">
        <v>27</v>
      </c>
      <c r="C476" t="s">
        <v>22</v>
      </c>
      <c r="D476" s="3" t="str">
        <f t="shared" si="32"/>
        <v>PASS</v>
      </c>
      <c r="E476" s="3" t="str">
        <f t="shared" si="33"/>
        <v>PASS</v>
      </c>
      <c r="F476" s="3" t="str">
        <f t="shared" si="34"/>
        <v>PASS</v>
      </c>
      <c r="G476" s="3" t="str">
        <f t="shared" si="35"/>
        <v>FAIL</v>
      </c>
      <c r="H476" s="3">
        <v>43080100.75</v>
      </c>
      <c r="I476" s="4">
        <v>0</v>
      </c>
      <c r="J476" s="3">
        <v>36638832.869999997</v>
      </c>
      <c r="K476" s="3">
        <v>8005.74</v>
      </c>
      <c r="L476" s="3">
        <v>0</v>
      </c>
      <c r="M476" t="s">
        <v>23</v>
      </c>
      <c r="N476" t="s">
        <v>479</v>
      </c>
      <c r="O476" s="4">
        <v>0.26162716847481282</v>
      </c>
      <c r="P476" s="4">
        <v>0.73837283152518718</v>
      </c>
      <c r="Q476" t="s">
        <v>508</v>
      </c>
      <c r="R476" s="4">
        <v>6.8311934765733638E-6</v>
      </c>
      <c r="S476" s="3">
        <v>14265305.68</v>
      </c>
      <c r="T476" s="4">
        <v>0.33113445492580468</v>
      </c>
    </row>
    <row r="477" spans="1:20" x14ac:dyDescent="0.4">
      <c r="A477" s="2">
        <v>45905</v>
      </c>
      <c r="B477" t="s">
        <v>28</v>
      </c>
      <c r="C477" t="s">
        <v>22</v>
      </c>
      <c r="D477" s="3" t="str">
        <f t="shared" si="32"/>
        <v>PASS</v>
      </c>
      <c r="E477" s="3" t="str">
        <f t="shared" si="33"/>
        <v>PASS</v>
      </c>
      <c r="F477" s="3" t="str">
        <f t="shared" si="34"/>
        <v>PASS</v>
      </c>
      <c r="G477" s="3" t="str">
        <f t="shared" si="35"/>
        <v>FAIL</v>
      </c>
      <c r="H477" s="3">
        <v>15236994.73</v>
      </c>
      <c r="I477" s="4">
        <v>0</v>
      </c>
      <c r="J477" s="3">
        <v>13553440.630000001</v>
      </c>
      <c r="K477" s="3">
        <v>2961.84</v>
      </c>
      <c r="L477" s="3">
        <v>0</v>
      </c>
      <c r="M477" t="s">
        <v>23</v>
      </c>
      <c r="N477" t="s">
        <v>479</v>
      </c>
      <c r="O477" s="4">
        <v>0.25550946099507132</v>
      </c>
      <c r="P477" s="4">
        <v>0.74449053900492868</v>
      </c>
      <c r="Q477" t="s">
        <v>509</v>
      </c>
      <c r="R477" s="4">
        <v>2.467175880375934E-6</v>
      </c>
      <c r="S477" s="3">
        <v>3977451.87</v>
      </c>
      <c r="T477" s="4">
        <v>0.26103913143507401</v>
      </c>
    </row>
    <row r="478" spans="1:20" x14ac:dyDescent="0.4">
      <c r="A478" s="2">
        <v>45905</v>
      </c>
      <c r="B478" t="s">
        <v>29</v>
      </c>
      <c r="C478" t="s">
        <v>22</v>
      </c>
      <c r="D478" s="3" t="str">
        <f t="shared" si="32"/>
        <v>PASS</v>
      </c>
      <c r="E478" s="3" t="str">
        <f t="shared" si="33"/>
        <v>PASS</v>
      </c>
      <c r="F478" s="3" t="str">
        <f t="shared" si="34"/>
        <v>PASS</v>
      </c>
      <c r="G478" s="3" t="str">
        <f t="shared" si="35"/>
        <v>FAIL</v>
      </c>
      <c r="H478" s="3">
        <v>34307534.68</v>
      </c>
      <c r="I478" s="4">
        <v>0</v>
      </c>
      <c r="J478" s="3">
        <v>32069350.719999999</v>
      </c>
      <c r="K478" s="3">
        <v>7010.19</v>
      </c>
      <c r="L478" s="3">
        <v>0</v>
      </c>
      <c r="M478" t="s">
        <v>23</v>
      </c>
      <c r="N478" t="s">
        <v>479</v>
      </c>
      <c r="O478" s="4">
        <v>0.25796626605354611</v>
      </c>
      <c r="P478" s="4">
        <v>0.74203373394645389</v>
      </c>
      <c r="Q478" t="s">
        <v>510</v>
      </c>
      <c r="R478" s="4">
        <v>5.8977251997558032E-6</v>
      </c>
      <c r="S478" s="3">
        <v>4202768.87</v>
      </c>
      <c r="T478" s="4">
        <v>0.1225027944794312</v>
      </c>
    </row>
    <row r="479" spans="1:20" x14ac:dyDescent="0.4">
      <c r="A479" s="2">
        <v>45905</v>
      </c>
      <c r="B479" t="s">
        <v>30</v>
      </c>
      <c r="C479" t="s">
        <v>22</v>
      </c>
      <c r="D479" s="3" t="str">
        <f t="shared" si="32"/>
        <v>PASS</v>
      </c>
      <c r="E479" s="3" t="str">
        <f t="shared" si="33"/>
        <v>PASS</v>
      </c>
      <c r="F479" s="3" t="str">
        <f t="shared" si="34"/>
        <v>PASS</v>
      </c>
      <c r="G479" s="3" t="str">
        <f t="shared" si="35"/>
        <v>FAIL</v>
      </c>
      <c r="H479" s="3">
        <v>54959694.020000003</v>
      </c>
      <c r="I479" s="4">
        <v>0</v>
      </c>
      <c r="J479" s="3">
        <v>50345916.289999999</v>
      </c>
      <c r="K479" s="3">
        <v>10973.4</v>
      </c>
      <c r="L479" s="3">
        <v>0</v>
      </c>
      <c r="M479" t="s">
        <v>23</v>
      </c>
      <c r="N479" t="s">
        <v>511</v>
      </c>
      <c r="O479" s="4">
        <v>0.2527774508401941</v>
      </c>
      <c r="P479" s="4">
        <v>0.7472225491598059</v>
      </c>
      <c r="Q479" t="s">
        <v>512</v>
      </c>
      <c r="R479" s="4">
        <v>7.5731064885164513E-5</v>
      </c>
      <c r="S479" s="3">
        <v>9155136.4199999981</v>
      </c>
      <c r="T479" s="4">
        <v>0.16657910098022771</v>
      </c>
    </row>
    <row r="480" spans="1:20" x14ac:dyDescent="0.4">
      <c r="A480" s="2">
        <v>45905</v>
      </c>
      <c r="B480" t="s">
        <v>31</v>
      </c>
      <c r="C480" t="s">
        <v>22</v>
      </c>
      <c r="D480" s="3" t="str">
        <f t="shared" si="32"/>
        <v>PASS</v>
      </c>
      <c r="E480" s="3" t="str">
        <f t="shared" si="33"/>
        <v>PASS</v>
      </c>
      <c r="F480" s="3" t="str">
        <f t="shared" si="34"/>
        <v>PASS</v>
      </c>
      <c r="G480" s="3" t="str">
        <f t="shared" si="35"/>
        <v>FAIL</v>
      </c>
      <c r="H480" s="3">
        <v>40032541.740000002</v>
      </c>
      <c r="I480" s="4">
        <v>0</v>
      </c>
      <c r="J480" s="3">
        <v>34736744.479999997</v>
      </c>
      <c r="K480" s="3">
        <v>7587.39</v>
      </c>
      <c r="L480" s="3">
        <v>0</v>
      </c>
      <c r="M480" t="s">
        <v>23</v>
      </c>
      <c r="N480" t="s">
        <v>479</v>
      </c>
      <c r="O480" s="4">
        <v>0.2538068250775814</v>
      </c>
      <c r="P480" s="4">
        <v>0.74619317492241866</v>
      </c>
      <c r="Q480" t="s">
        <v>513</v>
      </c>
      <c r="R480" s="4">
        <v>6.2822201421520528E-6</v>
      </c>
      <c r="S480" s="3">
        <v>10505470.939999999</v>
      </c>
      <c r="T480" s="4">
        <v>0.2624232807457007</v>
      </c>
    </row>
    <row r="481" spans="1:20" x14ac:dyDescent="0.4">
      <c r="A481" s="2">
        <v>45905</v>
      </c>
      <c r="B481" t="s">
        <v>32</v>
      </c>
      <c r="C481" t="s">
        <v>22</v>
      </c>
      <c r="D481" s="3" t="str">
        <f t="shared" si="32"/>
        <v>PASS</v>
      </c>
      <c r="E481" s="3" t="str">
        <f t="shared" si="33"/>
        <v>PASS</v>
      </c>
      <c r="F481" s="3" t="str">
        <f t="shared" si="34"/>
        <v>PASS</v>
      </c>
      <c r="G481" s="3" t="str">
        <f t="shared" si="35"/>
        <v>FAIL</v>
      </c>
      <c r="H481" s="3">
        <v>78117396.109999999</v>
      </c>
      <c r="I481" s="4">
        <v>0</v>
      </c>
      <c r="J481" s="3">
        <v>70106696.760000005</v>
      </c>
      <c r="K481" s="3">
        <v>15314.25</v>
      </c>
      <c r="L481" s="3">
        <v>0</v>
      </c>
      <c r="M481" t="s">
        <v>23</v>
      </c>
      <c r="N481" t="s">
        <v>479</v>
      </c>
      <c r="O481" s="4">
        <v>0.25715572467659359</v>
      </c>
      <c r="P481" s="4">
        <v>0.74284427532340636</v>
      </c>
      <c r="Q481" t="s">
        <v>514</v>
      </c>
      <c r="R481" s="4">
        <v>1.284640324206135E-5</v>
      </c>
      <c r="S481" s="3">
        <v>16718888.380000001</v>
      </c>
      <c r="T481" s="4">
        <v>0.21402260203933979</v>
      </c>
    </row>
    <row r="482" spans="1:20" x14ac:dyDescent="0.4">
      <c r="A482" s="2">
        <v>45905</v>
      </c>
      <c r="B482" t="s">
        <v>33</v>
      </c>
      <c r="C482" t="s">
        <v>22</v>
      </c>
      <c r="D482" s="3" t="str">
        <f t="shared" si="32"/>
        <v>PASS</v>
      </c>
      <c r="E482" s="3" t="str">
        <f t="shared" si="33"/>
        <v>PASS</v>
      </c>
      <c r="F482" s="3" t="str">
        <f t="shared" si="34"/>
        <v>PASS</v>
      </c>
      <c r="G482" s="3" t="str">
        <f t="shared" si="35"/>
        <v>FAIL</v>
      </c>
      <c r="H482" s="3">
        <v>165804046.66999999</v>
      </c>
      <c r="I482" s="4">
        <v>0</v>
      </c>
      <c r="J482" s="3">
        <v>141334758.84</v>
      </c>
      <c r="K482" s="3">
        <v>30864.27</v>
      </c>
      <c r="L482" s="3">
        <v>0</v>
      </c>
      <c r="M482" t="s">
        <v>23</v>
      </c>
      <c r="N482" t="s">
        <v>479</v>
      </c>
      <c r="O482" s="4">
        <v>0.25505858378977653</v>
      </c>
      <c r="P482" s="4">
        <v>0.74494141621022347</v>
      </c>
      <c r="Q482" t="s">
        <v>515</v>
      </c>
      <c r="R482" s="4">
        <v>2.569921473316265E-5</v>
      </c>
      <c r="S482" s="3">
        <v>46705908.100000001</v>
      </c>
      <c r="T482" s="4">
        <v>0.281693414835398</v>
      </c>
    </row>
    <row r="483" spans="1:20" x14ac:dyDescent="0.4">
      <c r="A483" s="2">
        <v>45908</v>
      </c>
      <c r="B483" t="s">
        <v>21</v>
      </c>
      <c r="C483" t="s">
        <v>22</v>
      </c>
      <c r="D483" s="3" t="str">
        <f t="shared" si="32"/>
        <v>PASS</v>
      </c>
      <c r="E483" s="3" t="str">
        <f t="shared" si="33"/>
        <v>PASS</v>
      </c>
      <c r="F483" s="3" t="str">
        <f t="shared" si="34"/>
        <v>PASS</v>
      </c>
      <c r="G483" s="3" t="str">
        <f t="shared" si="35"/>
        <v>FAIL</v>
      </c>
      <c r="H483" s="3">
        <v>24566256.050000001</v>
      </c>
      <c r="I483" s="4">
        <v>0</v>
      </c>
      <c r="J483" s="3">
        <v>20552943.420000002</v>
      </c>
      <c r="K483" s="3">
        <v>1491.24</v>
      </c>
      <c r="L483" s="3">
        <v>0</v>
      </c>
      <c r="M483" t="s">
        <v>23</v>
      </c>
      <c r="N483" t="s">
        <v>516</v>
      </c>
      <c r="O483" s="4">
        <v>0.29763938989133848</v>
      </c>
      <c r="P483" s="4">
        <v>0.70236061010866147</v>
      </c>
      <c r="Q483" t="s">
        <v>517</v>
      </c>
      <c r="R483" s="4">
        <v>3.706104028097182E-6</v>
      </c>
      <c r="S483" s="3">
        <v>7783739.6099999994</v>
      </c>
      <c r="T483" s="4">
        <v>0.3168467996978318</v>
      </c>
    </row>
    <row r="484" spans="1:20" x14ac:dyDescent="0.4">
      <c r="A484" s="2">
        <v>45908</v>
      </c>
      <c r="B484" t="s">
        <v>24</v>
      </c>
      <c r="C484" t="s">
        <v>22</v>
      </c>
      <c r="D484" s="3" t="str">
        <f t="shared" si="32"/>
        <v>PASS</v>
      </c>
      <c r="E484" s="3" t="str">
        <f t="shared" si="33"/>
        <v>PASS</v>
      </c>
      <c r="F484" s="3" t="str">
        <f t="shared" si="34"/>
        <v>PASS</v>
      </c>
      <c r="G484" s="3" t="str">
        <f t="shared" si="35"/>
        <v>FAIL</v>
      </c>
      <c r="H484" s="3">
        <v>134765805.72999999</v>
      </c>
      <c r="I484" s="4">
        <v>0</v>
      </c>
      <c r="J484" s="3">
        <v>119160168.40000001</v>
      </c>
      <c r="K484" s="3">
        <v>8642.14</v>
      </c>
      <c r="L484" s="3">
        <v>0</v>
      </c>
      <c r="M484" t="s">
        <v>23</v>
      </c>
      <c r="N484" t="s">
        <v>479</v>
      </c>
      <c r="O484" s="4">
        <v>0.26054169465238858</v>
      </c>
      <c r="P484" s="4">
        <v>0.73945830534761137</v>
      </c>
      <c r="Q484" t="s">
        <v>518</v>
      </c>
      <c r="R484" s="4">
        <v>2.212768393490415E-5</v>
      </c>
      <c r="S484" s="3">
        <v>32701553.550000001</v>
      </c>
      <c r="T484" s="4">
        <v>0.2426546806355076</v>
      </c>
    </row>
    <row r="485" spans="1:20" x14ac:dyDescent="0.4">
      <c r="A485" s="2">
        <v>45908</v>
      </c>
      <c r="B485" t="s">
        <v>25</v>
      </c>
      <c r="C485" t="s">
        <v>22</v>
      </c>
      <c r="D485" s="3" t="str">
        <f t="shared" si="32"/>
        <v>PASS</v>
      </c>
      <c r="E485" s="3" t="str">
        <f t="shared" si="33"/>
        <v>PASS</v>
      </c>
      <c r="F485" s="3" t="str">
        <f t="shared" si="34"/>
        <v>PASS</v>
      </c>
      <c r="G485" s="3" t="str">
        <f t="shared" si="35"/>
        <v>FAIL</v>
      </c>
      <c r="H485" s="3">
        <v>100646158.56999999</v>
      </c>
      <c r="I485" s="4">
        <v>0</v>
      </c>
      <c r="J485" s="3">
        <v>91543004.859999999</v>
      </c>
      <c r="K485" s="3">
        <v>6641.39</v>
      </c>
      <c r="L485" s="3">
        <v>0</v>
      </c>
      <c r="M485" t="s">
        <v>23</v>
      </c>
      <c r="N485" t="s">
        <v>479</v>
      </c>
      <c r="O485" s="4">
        <v>0.25273026732498283</v>
      </c>
      <c r="P485" s="4">
        <v>0.74726973267501728</v>
      </c>
      <c r="Q485" t="s">
        <v>519</v>
      </c>
      <c r="R485" s="4">
        <v>1.648842477975916E-5</v>
      </c>
      <c r="S485" s="3">
        <v>17032347.620000001</v>
      </c>
      <c r="T485" s="4">
        <v>0.16922998216721699</v>
      </c>
    </row>
    <row r="486" spans="1:20" x14ac:dyDescent="0.4">
      <c r="A486" s="2">
        <v>45908</v>
      </c>
      <c r="B486" t="s">
        <v>26</v>
      </c>
      <c r="C486" t="s">
        <v>22</v>
      </c>
      <c r="D486" s="3" t="str">
        <f t="shared" si="32"/>
        <v>PASS</v>
      </c>
      <c r="E486" s="3" t="str">
        <f t="shared" si="33"/>
        <v>PASS</v>
      </c>
      <c r="F486" s="3" t="str">
        <f t="shared" si="34"/>
        <v>PASS</v>
      </c>
      <c r="G486" s="3" t="str">
        <f t="shared" si="35"/>
        <v>FAIL</v>
      </c>
      <c r="H486" s="3">
        <v>23266703.879999999</v>
      </c>
      <c r="I486" s="4">
        <v>0</v>
      </c>
      <c r="J486" s="3">
        <v>21297445.039999999</v>
      </c>
      <c r="K486" s="3">
        <v>1545.51</v>
      </c>
      <c r="L486" s="3">
        <v>0</v>
      </c>
      <c r="M486" t="s">
        <v>23</v>
      </c>
      <c r="N486" t="s">
        <v>479</v>
      </c>
      <c r="O486" s="4">
        <v>0.2546837345894144</v>
      </c>
      <c r="P486" s="4">
        <v>0.7453162654105856</v>
      </c>
      <c r="Q486" t="s">
        <v>520</v>
      </c>
      <c r="R486" s="4">
        <v>3.8663102540956189E-6</v>
      </c>
      <c r="S486" s="3">
        <v>3681623.1</v>
      </c>
      <c r="T486" s="4">
        <v>0.1582356967702982</v>
      </c>
    </row>
    <row r="487" spans="1:20" x14ac:dyDescent="0.4">
      <c r="A487" s="2">
        <v>45908</v>
      </c>
      <c r="B487" t="s">
        <v>27</v>
      </c>
      <c r="C487" t="s">
        <v>22</v>
      </c>
      <c r="D487" s="3" t="str">
        <f t="shared" si="32"/>
        <v>PASS</v>
      </c>
      <c r="E487" s="3" t="str">
        <f t="shared" si="33"/>
        <v>PASS</v>
      </c>
      <c r="F487" s="3" t="str">
        <f t="shared" si="34"/>
        <v>PASS</v>
      </c>
      <c r="G487" s="3" t="str">
        <f t="shared" si="35"/>
        <v>FAIL</v>
      </c>
      <c r="H487" s="3">
        <v>43129366.549999997</v>
      </c>
      <c r="I487" s="4">
        <v>0</v>
      </c>
      <c r="J487" s="3">
        <v>36681765.939999998</v>
      </c>
      <c r="K487" s="3">
        <v>2660.63</v>
      </c>
      <c r="L487" s="3">
        <v>0</v>
      </c>
      <c r="M487" t="s">
        <v>23</v>
      </c>
      <c r="N487" t="s">
        <v>479</v>
      </c>
      <c r="O487" s="4">
        <v>0.26034496964024839</v>
      </c>
      <c r="P487" s="4">
        <v>0.73965503035975155</v>
      </c>
      <c r="Q487" t="s">
        <v>521</v>
      </c>
      <c r="R487" s="4">
        <v>6.8012883143869892E-6</v>
      </c>
      <c r="S487" s="3">
        <v>14319723.779999999</v>
      </c>
      <c r="T487" s="4">
        <v>0.33201794798908307</v>
      </c>
    </row>
    <row r="488" spans="1:20" x14ac:dyDescent="0.4">
      <c r="A488" s="2">
        <v>45908</v>
      </c>
      <c r="B488" t="s">
        <v>28</v>
      </c>
      <c r="C488" t="s">
        <v>22</v>
      </c>
      <c r="D488" s="3" t="str">
        <f t="shared" si="32"/>
        <v>PASS</v>
      </c>
      <c r="E488" s="3" t="str">
        <f t="shared" si="33"/>
        <v>PASS</v>
      </c>
      <c r="F488" s="3" t="str">
        <f t="shared" si="34"/>
        <v>PASS</v>
      </c>
      <c r="G488" s="3" t="str">
        <f t="shared" si="35"/>
        <v>FAIL</v>
      </c>
      <c r="H488" s="3">
        <v>15256672.24</v>
      </c>
      <c r="I488" s="4">
        <v>0</v>
      </c>
      <c r="J488" s="3">
        <v>13569213.460000001</v>
      </c>
      <c r="K488" s="3">
        <v>984.73</v>
      </c>
      <c r="L488" s="3">
        <v>0</v>
      </c>
      <c r="M488" t="s">
        <v>23</v>
      </c>
      <c r="N488" t="s">
        <v>479</v>
      </c>
      <c r="O488" s="4">
        <v>0.25418771325010903</v>
      </c>
      <c r="P488" s="4">
        <v>0.74581228674989097</v>
      </c>
      <c r="Q488" t="s">
        <v>522</v>
      </c>
      <c r="R488" s="4">
        <v>2.4564954653093708E-6</v>
      </c>
      <c r="S488" s="3">
        <v>3988491.25</v>
      </c>
      <c r="T488" s="4">
        <v>0.26142602969099371</v>
      </c>
    </row>
    <row r="489" spans="1:20" x14ac:dyDescent="0.4">
      <c r="A489" s="2">
        <v>45908</v>
      </c>
      <c r="B489" t="s">
        <v>29</v>
      </c>
      <c r="C489" t="s">
        <v>22</v>
      </c>
      <c r="D489" s="3" t="str">
        <f t="shared" si="32"/>
        <v>PASS</v>
      </c>
      <c r="E489" s="3" t="str">
        <f t="shared" si="33"/>
        <v>PASS</v>
      </c>
      <c r="F489" s="3" t="str">
        <f t="shared" si="34"/>
        <v>PASS</v>
      </c>
      <c r="G489" s="3" t="str">
        <f t="shared" si="35"/>
        <v>FAIL</v>
      </c>
      <c r="H489" s="3">
        <v>34350870.149999999</v>
      </c>
      <c r="I489" s="4">
        <v>0</v>
      </c>
      <c r="J489" s="3">
        <v>32106375.82</v>
      </c>
      <c r="K489" s="3">
        <v>2328.3200000000002</v>
      </c>
      <c r="L489" s="3">
        <v>0</v>
      </c>
      <c r="M489" t="s">
        <v>23</v>
      </c>
      <c r="N489" t="s">
        <v>479</v>
      </c>
      <c r="O489" s="4">
        <v>0.25628765345960502</v>
      </c>
      <c r="P489" s="4">
        <v>0.74371234654039498</v>
      </c>
      <c r="Q489" t="s">
        <v>523</v>
      </c>
      <c r="R489" s="4">
        <v>5.8635478715428028E-6</v>
      </c>
      <c r="S489" s="3">
        <v>4242169.6800000006</v>
      </c>
      <c r="T489" s="4">
        <v>0.12349526115279499</v>
      </c>
    </row>
    <row r="490" spans="1:20" x14ac:dyDescent="0.4">
      <c r="A490" s="2">
        <v>45908</v>
      </c>
      <c r="B490" t="s">
        <v>30</v>
      </c>
      <c r="C490" t="s">
        <v>22</v>
      </c>
      <c r="D490" s="3" t="str">
        <f t="shared" si="32"/>
        <v>PASS</v>
      </c>
      <c r="E490" s="3" t="str">
        <f t="shared" si="33"/>
        <v>PASS</v>
      </c>
      <c r="F490" s="3" t="str">
        <f t="shared" si="34"/>
        <v>PASS</v>
      </c>
      <c r="G490" s="3" t="str">
        <f t="shared" si="35"/>
        <v>FAIL</v>
      </c>
      <c r="H490" s="3">
        <v>54867418.32</v>
      </c>
      <c r="I490" s="4">
        <v>0</v>
      </c>
      <c r="J490" s="3">
        <v>50283266.640000001</v>
      </c>
      <c r="K490" s="3">
        <v>3655.93</v>
      </c>
      <c r="L490" s="3">
        <v>0</v>
      </c>
      <c r="M490" t="s">
        <v>23</v>
      </c>
      <c r="N490" t="s">
        <v>524</v>
      </c>
      <c r="O490" s="4">
        <v>0.25413598288052669</v>
      </c>
      <c r="P490" s="4">
        <v>0.74586401711947325</v>
      </c>
      <c r="Q490" t="s">
        <v>525</v>
      </c>
      <c r="R490" s="4">
        <v>7.5825009453172159E-5</v>
      </c>
      <c r="S490" s="3">
        <v>9042807.2200000007</v>
      </c>
      <c r="T490" s="4">
        <v>0.16481196850305899</v>
      </c>
    </row>
    <row r="491" spans="1:20" x14ac:dyDescent="0.4">
      <c r="A491" s="2">
        <v>45908</v>
      </c>
      <c r="B491" t="s">
        <v>31</v>
      </c>
      <c r="C491" t="s">
        <v>22</v>
      </c>
      <c r="D491" s="3" t="str">
        <f t="shared" si="32"/>
        <v>PASS</v>
      </c>
      <c r="E491" s="3" t="str">
        <f t="shared" si="33"/>
        <v>PASS</v>
      </c>
      <c r="F491" s="3" t="str">
        <f t="shared" si="34"/>
        <v>PASS</v>
      </c>
      <c r="G491" s="3" t="str">
        <f t="shared" si="35"/>
        <v>FAIL</v>
      </c>
      <c r="H491" s="3">
        <v>40081618.530000001</v>
      </c>
      <c r="I491" s="4">
        <v>0</v>
      </c>
      <c r="J491" s="3">
        <v>34777593.710000001</v>
      </c>
      <c r="K491" s="3">
        <v>2522.66</v>
      </c>
      <c r="L491" s="3">
        <v>0</v>
      </c>
      <c r="M491" t="s">
        <v>23</v>
      </c>
      <c r="N491" t="s">
        <v>479</v>
      </c>
      <c r="O491" s="4">
        <v>0.25248909781458251</v>
      </c>
      <c r="P491" s="4">
        <v>0.74751090218541749</v>
      </c>
      <c r="Q491" t="s">
        <v>526</v>
      </c>
      <c r="R491" s="4">
        <v>6.2544510629789902E-6</v>
      </c>
      <c r="S491" s="3">
        <v>10530907.550000001</v>
      </c>
      <c r="T491" s="4">
        <v>0.26273658440509079</v>
      </c>
    </row>
    <row r="492" spans="1:20" x14ac:dyDescent="0.4">
      <c r="A492" s="2">
        <v>45908</v>
      </c>
      <c r="B492" t="s">
        <v>32</v>
      </c>
      <c r="C492" t="s">
        <v>22</v>
      </c>
      <c r="D492" s="3" t="str">
        <f t="shared" si="32"/>
        <v>PASS</v>
      </c>
      <c r="E492" s="3" t="str">
        <f t="shared" si="33"/>
        <v>PASS</v>
      </c>
      <c r="F492" s="3" t="str">
        <f t="shared" si="34"/>
        <v>PASS</v>
      </c>
      <c r="G492" s="3" t="str">
        <f t="shared" si="35"/>
        <v>FAIL</v>
      </c>
      <c r="H492" s="3">
        <v>78207257.170000002</v>
      </c>
      <c r="I492" s="4">
        <v>0</v>
      </c>
      <c r="J492" s="3">
        <v>70184267.120000005</v>
      </c>
      <c r="K492" s="3">
        <v>5089.9399999999996</v>
      </c>
      <c r="L492" s="3">
        <v>0</v>
      </c>
      <c r="M492" t="s">
        <v>23</v>
      </c>
      <c r="N492" t="s">
        <v>479</v>
      </c>
      <c r="O492" s="4">
        <v>0.25578236429121809</v>
      </c>
      <c r="P492" s="4">
        <v>0.74421763570878197</v>
      </c>
      <c r="Q492" t="s">
        <v>527</v>
      </c>
      <c r="R492" s="4">
        <v>1.2786592917688601E-5</v>
      </c>
      <c r="S492" s="3">
        <v>16780612.5</v>
      </c>
      <c r="T492" s="4">
        <v>0.21456592530183979</v>
      </c>
    </row>
    <row r="493" spans="1:20" x14ac:dyDescent="0.4">
      <c r="A493" s="2">
        <v>45908</v>
      </c>
      <c r="B493" t="s">
        <v>33</v>
      </c>
      <c r="C493" t="s">
        <v>22</v>
      </c>
      <c r="D493" s="3" t="str">
        <f t="shared" si="32"/>
        <v>PASS</v>
      </c>
      <c r="E493" s="3" t="str">
        <f t="shared" si="33"/>
        <v>PASS</v>
      </c>
      <c r="F493" s="3" t="str">
        <f t="shared" si="34"/>
        <v>PASS</v>
      </c>
      <c r="G493" s="3" t="str">
        <f t="shared" si="35"/>
        <v>FAIL</v>
      </c>
      <c r="H493" s="3">
        <v>165961487.19999999</v>
      </c>
      <c r="I493" s="4">
        <v>0</v>
      </c>
      <c r="J493" s="3">
        <v>141460771.19999999</v>
      </c>
      <c r="K493" s="3">
        <v>10261.84</v>
      </c>
      <c r="L493" s="3">
        <v>0</v>
      </c>
      <c r="M493" t="s">
        <v>23</v>
      </c>
      <c r="N493" t="s">
        <v>479</v>
      </c>
      <c r="O493" s="4">
        <v>0.2535043484196699</v>
      </c>
      <c r="P493" s="4">
        <v>0.74649565158033004</v>
      </c>
      <c r="Q493" t="s">
        <v>528</v>
      </c>
      <c r="R493" s="4">
        <v>2.555823325428402E-5</v>
      </c>
      <c r="S493" s="3">
        <v>46847569.440000013</v>
      </c>
      <c r="T493" s="4">
        <v>0.28227976400057242</v>
      </c>
    </row>
    <row r="494" spans="1:20" x14ac:dyDescent="0.4">
      <c r="A494" s="2">
        <v>45909</v>
      </c>
      <c r="B494" t="s">
        <v>21</v>
      </c>
      <c r="C494" t="s">
        <v>22</v>
      </c>
      <c r="D494" s="3" t="str">
        <f t="shared" si="32"/>
        <v>PASS</v>
      </c>
      <c r="E494" s="3" t="str">
        <f t="shared" si="33"/>
        <v>PASS</v>
      </c>
      <c r="F494" s="3" t="str">
        <f t="shared" si="34"/>
        <v>PASS</v>
      </c>
      <c r="G494" s="3" t="str">
        <f t="shared" si="35"/>
        <v>FAIL</v>
      </c>
      <c r="H494" s="3">
        <v>24610112.890000001</v>
      </c>
      <c r="I494" s="4">
        <v>0</v>
      </c>
      <c r="J494" s="3">
        <v>20595308.059999999</v>
      </c>
      <c r="K494" s="3">
        <v>1492.75</v>
      </c>
      <c r="L494" s="3">
        <v>0</v>
      </c>
      <c r="M494" t="s">
        <v>23</v>
      </c>
      <c r="N494" t="s">
        <v>516</v>
      </c>
      <c r="O494" s="4">
        <v>0.29863553835086459</v>
      </c>
      <c r="P494" s="4">
        <v>0.70136446164913546</v>
      </c>
      <c r="Q494" t="s">
        <v>529</v>
      </c>
      <c r="R494" s="4">
        <v>3.706104028097182E-6</v>
      </c>
      <c r="S494" s="3">
        <v>7790273.5800000001</v>
      </c>
      <c r="T494" s="4">
        <v>0.31654765725050682</v>
      </c>
    </row>
    <row r="495" spans="1:20" x14ac:dyDescent="0.4">
      <c r="A495" s="2">
        <v>45909</v>
      </c>
      <c r="B495" t="s">
        <v>24</v>
      </c>
      <c r="C495" t="s">
        <v>22</v>
      </c>
      <c r="D495" s="3" t="str">
        <f t="shared" si="32"/>
        <v>PASS</v>
      </c>
      <c r="E495" s="3" t="str">
        <f t="shared" si="33"/>
        <v>PASS</v>
      </c>
      <c r="F495" s="3" t="str">
        <f t="shared" si="34"/>
        <v>PASS</v>
      </c>
      <c r="G495" s="3" t="str">
        <f t="shared" si="35"/>
        <v>FAIL</v>
      </c>
      <c r="H495" s="3">
        <v>135116079.05000001</v>
      </c>
      <c r="I495" s="4">
        <v>0</v>
      </c>
      <c r="J495" s="3">
        <v>119501790.37</v>
      </c>
      <c r="K495" s="3">
        <v>8651.9</v>
      </c>
      <c r="L495" s="3">
        <v>0</v>
      </c>
      <c r="M495" t="s">
        <v>23</v>
      </c>
      <c r="N495" t="s">
        <v>479</v>
      </c>
      <c r="O495" s="4">
        <v>0.26106240495148147</v>
      </c>
      <c r="P495" s="4">
        <v>0.73893759504851841</v>
      </c>
      <c r="Q495" t="s">
        <v>530</v>
      </c>
      <c r="R495" s="4">
        <v>2.212768393490415E-5</v>
      </c>
      <c r="S495" s="3">
        <v>32988154.449999999</v>
      </c>
      <c r="T495" s="4">
        <v>0.24414677129427839</v>
      </c>
    </row>
    <row r="496" spans="1:20" x14ac:dyDescent="0.4">
      <c r="A496" s="2">
        <v>45909</v>
      </c>
      <c r="B496" t="s">
        <v>25</v>
      </c>
      <c r="C496" t="s">
        <v>22</v>
      </c>
      <c r="D496" s="3" t="str">
        <f t="shared" si="32"/>
        <v>PASS</v>
      </c>
      <c r="E496" s="3" t="str">
        <f t="shared" si="33"/>
        <v>PASS</v>
      </c>
      <c r="F496" s="3" t="str">
        <f t="shared" si="34"/>
        <v>PASS</v>
      </c>
      <c r="G496" s="3" t="str">
        <f t="shared" si="35"/>
        <v>FAIL</v>
      </c>
      <c r="H496" s="3">
        <v>100879756.08</v>
      </c>
      <c r="I496" s="4">
        <v>0</v>
      </c>
      <c r="J496" s="3">
        <v>91769956.099999994</v>
      </c>
      <c r="K496" s="3">
        <v>6646.95</v>
      </c>
      <c r="L496" s="3">
        <v>0</v>
      </c>
      <c r="M496" t="s">
        <v>23</v>
      </c>
      <c r="N496" t="s">
        <v>479</v>
      </c>
      <c r="O496" s="4">
        <v>0.25333250377353073</v>
      </c>
      <c r="P496" s="4">
        <v>0.74666749622646922</v>
      </c>
      <c r="Q496" t="s">
        <v>531</v>
      </c>
      <c r="R496" s="4">
        <v>1.648842477975916E-5</v>
      </c>
      <c r="S496" s="3">
        <v>17058814.079999998</v>
      </c>
      <c r="T496" s="4">
        <v>0.1691004691414198</v>
      </c>
    </row>
    <row r="497" spans="1:20" x14ac:dyDescent="0.4">
      <c r="A497" s="2">
        <v>45909</v>
      </c>
      <c r="B497" t="s">
        <v>26</v>
      </c>
      <c r="C497" t="s">
        <v>22</v>
      </c>
      <c r="D497" s="3" t="str">
        <f t="shared" si="32"/>
        <v>PASS</v>
      </c>
      <c r="E497" s="3" t="str">
        <f t="shared" si="33"/>
        <v>PASS</v>
      </c>
      <c r="F497" s="3" t="str">
        <f t="shared" si="34"/>
        <v>PASS</v>
      </c>
      <c r="G497" s="3" t="str">
        <f t="shared" si="35"/>
        <v>FAIL</v>
      </c>
      <c r="H497" s="3">
        <v>23325897.699999999</v>
      </c>
      <c r="I497" s="4">
        <v>0</v>
      </c>
      <c r="J497" s="3">
        <v>21355092.609999999</v>
      </c>
      <c r="K497" s="3">
        <v>1546.96</v>
      </c>
      <c r="L497" s="3">
        <v>0</v>
      </c>
      <c r="M497" t="s">
        <v>23</v>
      </c>
      <c r="N497" t="s">
        <v>479</v>
      </c>
      <c r="O497" s="4">
        <v>0.25524170789348782</v>
      </c>
      <c r="P497" s="4">
        <v>0.74475829210651212</v>
      </c>
      <c r="Q497" t="s">
        <v>532</v>
      </c>
      <c r="R497" s="4">
        <v>3.8663102540956189E-6</v>
      </c>
      <c r="S497" s="3">
        <v>3694577.77</v>
      </c>
      <c r="T497" s="4">
        <v>0.15838952127445879</v>
      </c>
    </row>
    <row r="498" spans="1:20" x14ac:dyDescent="0.4">
      <c r="A498" s="2">
        <v>45909</v>
      </c>
      <c r="B498" t="s">
        <v>27</v>
      </c>
      <c r="C498" t="s">
        <v>22</v>
      </c>
      <c r="D498" s="3" t="str">
        <f t="shared" si="32"/>
        <v>PASS</v>
      </c>
      <c r="E498" s="3" t="str">
        <f t="shared" si="33"/>
        <v>PASS</v>
      </c>
      <c r="F498" s="3" t="str">
        <f t="shared" si="34"/>
        <v>PASS</v>
      </c>
      <c r="G498" s="3" t="str">
        <f t="shared" si="35"/>
        <v>FAIL</v>
      </c>
      <c r="H498" s="3">
        <v>43231803.119999997</v>
      </c>
      <c r="I498" s="4">
        <v>0</v>
      </c>
      <c r="J498" s="3">
        <v>36781539.310000002</v>
      </c>
      <c r="K498" s="3">
        <v>2663.75</v>
      </c>
      <c r="L498" s="3">
        <v>0</v>
      </c>
      <c r="M498" t="s">
        <v>23</v>
      </c>
      <c r="N498" t="s">
        <v>479</v>
      </c>
      <c r="O498" s="4">
        <v>0.26091634798413232</v>
      </c>
      <c r="P498" s="4">
        <v>0.73908365201586768</v>
      </c>
      <c r="Q498" t="s">
        <v>533</v>
      </c>
      <c r="R498" s="4">
        <v>6.8012883143869892E-6</v>
      </c>
      <c r="S498" s="3">
        <v>14427320.74</v>
      </c>
      <c r="T498" s="4">
        <v>0.33372007871042508</v>
      </c>
    </row>
    <row r="499" spans="1:20" x14ac:dyDescent="0.4">
      <c r="A499" s="2">
        <v>45909</v>
      </c>
      <c r="B499" t="s">
        <v>28</v>
      </c>
      <c r="C499" t="s">
        <v>22</v>
      </c>
      <c r="D499" s="3" t="str">
        <f t="shared" si="32"/>
        <v>PASS</v>
      </c>
      <c r="E499" s="3" t="str">
        <f t="shared" si="33"/>
        <v>PASS</v>
      </c>
      <c r="F499" s="3" t="str">
        <f t="shared" si="34"/>
        <v>PASS</v>
      </c>
      <c r="G499" s="3" t="str">
        <f t="shared" si="35"/>
        <v>FAIL</v>
      </c>
      <c r="H499" s="3">
        <v>15291904.27</v>
      </c>
      <c r="I499" s="4">
        <v>0</v>
      </c>
      <c r="J499" s="3">
        <v>13603460.33</v>
      </c>
      <c r="K499" s="3">
        <v>985.87</v>
      </c>
      <c r="L499" s="3">
        <v>0</v>
      </c>
      <c r="M499" t="s">
        <v>23</v>
      </c>
      <c r="N499" t="s">
        <v>479</v>
      </c>
      <c r="O499" s="4">
        <v>0.25479395212085709</v>
      </c>
      <c r="P499" s="4">
        <v>0.74520604787914291</v>
      </c>
      <c r="Q499" t="s">
        <v>534</v>
      </c>
      <c r="R499" s="4">
        <v>2.4564954653093708E-6</v>
      </c>
      <c r="S499" s="3">
        <v>4011037.25</v>
      </c>
      <c r="T499" s="4">
        <v>0.26229808787574888</v>
      </c>
    </row>
    <row r="500" spans="1:20" x14ac:dyDescent="0.4">
      <c r="A500" s="2">
        <v>45909</v>
      </c>
      <c r="B500" t="s">
        <v>29</v>
      </c>
      <c r="C500" t="s">
        <v>22</v>
      </c>
      <c r="D500" s="3" t="str">
        <f t="shared" si="32"/>
        <v>PASS</v>
      </c>
      <c r="E500" s="3" t="str">
        <f t="shared" si="33"/>
        <v>PASS</v>
      </c>
      <c r="F500" s="3" t="str">
        <f t="shared" si="34"/>
        <v>PASS</v>
      </c>
      <c r="G500" s="3" t="str">
        <f t="shared" si="35"/>
        <v>FAIL</v>
      </c>
      <c r="H500" s="3">
        <v>34450155.329999998</v>
      </c>
      <c r="I500" s="4">
        <v>0</v>
      </c>
      <c r="J500" s="3">
        <v>32203329.989999998</v>
      </c>
      <c r="K500" s="3">
        <v>2331.0100000000002</v>
      </c>
      <c r="L500" s="3">
        <v>0</v>
      </c>
      <c r="M500" t="s">
        <v>23</v>
      </c>
      <c r="N500" t="s">
        <v>479</v>
      </c>
      <c r="O500" s="4">
        <v>0.25675739939216141</v>
      </c>
      <c r="P500" s="4">
        <v>0.74324260060783853</v>
      </c>
      <c r="Q500" t="s">
        <v>535</v>
      </c>
      <c r="R500" s="4">
        <v>5.8635478715428028E-6</v>
      </c>
      <c r="S500" s="3">
        <v>4266362.3899999997</v>
      </c>
      <c r="T500" s="4">
        <v>0.1238416009777684</v>
      </c>
    </row>
    <row r="501" spans="1:20" x14ac:dyDescent="0.4">
      <c r="A501" s="2">
        <v>45909</v>
      </c>
      <c r="B501" t="s">
        <v>30</v>
      </c>
      <c r="C501" t="s">
        <v>22</v>
      </c>
      <c r="D501" s="3" t="str">
        <f t="shared" si="32"/>
        <v>PASS</v>
      </c>
      <c r="E501" s="3" t="str">
        <f t="shared" si="33"/>
        <v>PASS</v>
      </c>
      <c r="F501" s="3" t="str">
        <f t="shared" si="34"/>
        <v>PASS</v>
      </c>
      <c r="G501" s="3" t="str">
        <f t="shared" si="35"/>
        <v>FAIL</v>
      </c>
      <c r="H501" s="3">
        <v>54645769.890000001</v>
      </c>
      <c r="I501" s="4">
        <v>0</v>
      </c>
      <c r="J501" s="3">
        <v>50057967.509999998</v>
      </c>
      <c r="K501" s="3">
        <v>3651.38</v>
      </c>
      <c r="L501" s="3">
        <v>0</v>
      </c>
      <c r="M501" t="s">
        <v>23</v>
      </c>
      <c r="N501" t="s">
        <v>536</v>
      </c>
      <c r="O501" s="4">
        <v>0.25501691868431992</v>
      </c>
      <c r="P501" s="4">
        <v>0.74498308131568014</v>
      </c>
      <c r="Q501" t="s">
        <v>537</v>
      </c>
      <c r="R501" s="4">
        <v>7.5825009453172159E-5</v>
      </c>
      <c r="S501" s="3">
        <v>9060633.6100000013</v>
      </c>
      <c r="T501" s="4">
        <v>0.16580667869148399</v>
      </c>
    </row>
    <row r="502" spans="1:20" x14ac:dyDescent="0.4">
      <c r="A502" s="2">
        <v>45909</v>
      </c>
      <c r="B502" t="s">
        <v>31</v>
      </c>
      <c r="C502" t="s">
        <v>22</v>
      </c>
      <c r="D502" s="3" t="str">
        <f t="shared" si="32"/>
        <v>PASS</v>
      </c>
      <c r="E502" s="3" t="str">
        <f t="shared" si="33"/>
        <v>PASS</v>
      </c>
      <c r="F502" s="3" t="str">
        <f t="shared" si="34"/>
        <v>PASS</v>
      </c>
      <c r="G502" s="3" t="str">
        <f t="shared" si="35"/>
        <v>FAIL</v>
      </c>
      <c r="H502" s="3">
        <v>40161171.240000002</v>
      </c>
      <c r="I502" s="4">
        <v>0</v>
      </c>
      <c r="J502" s="3">
        <v>34854621.469999999</v>
      </c>
      <c r="K502" s="3">
        <v>2525.63</v>
      </c>
      <c r="L502" s="3">
        <v>0</v>
      </c>
      <c r="M502" t="s">
        <v>23</v>
      </c>
      <c r="N502" t="s">
        <v>479</v>
      </c>
      <c r="O502" s="4">
        <v>0.25317346130398238</v>
      </c>
      <c r="P502" s="4">
        <v>0.74682653869601756</v>
      </c>
      <c r="Q502" t="s">
        <v>538</v>
      </c>
      <c r="R502" s="4">
        <v>6.2544510629789902E-6</v>
      </c>
      <c r="S502" s="3">
        <v>10560783.199999999</v>
      </c>
      <c r="T502" s="4">
        <v>0.26296004010663898</v>
      </c>
    </row>
    <row r="503" spans="1:20" x14ac:dyDescent="0.4">
      <c r="A503" s="2">
        <v>45909</v>
      </c>
      <c r="B503" t="s">
        <v>32</v>
      </c>
      <c r="C503" t="s">
        <v>22</v>
      </c>
      <c r="D503" s="3" t="str">
        <f t="shared" si="32"/>
        <v>PASS</v>
      </c>
      <c r="E503" s="3" t="str">
        <f t="shared" si="33"/>
        <v>PASS</v>
      </c>
      <c r="F503" s="3" t="str">
        <f t="shared" si="34"/>
        <v>PASS</v>
      </c>
      <c r="G503" s="3" t="str">
        <f t="shared" si="35"/>
        <v>FAIL</v>
      </c>
      <c r="H503" s="3">
        <v>78413558.390000001</v>
      </c>
      <c r="I503" s="4">
        <v>0</v>
      </c>
      <c r="J503" s="3">
        <v>70385472.769999996</v>
      </c>
      <c r="K503" s="3">
        <v>5095.57</v>
      </c>
      <c r="L503" s="3">
        <v>0</v>
      </c>
      <c r="M503" t="s">
        <v>23</v>
      </c>
      <c r="N503" t="s">
        <v>479</v>
      </c>
      <c r="O503" s="4">
        <v>0.2563063284230605</v>
      </c>
      <c r="P503" s="4">
        <v>0.74369367157693955</v>
      </c>
      <c r="Q503" t="s">
        <v>539</v>
      </c>
      <c r="R503" s="4">
        <v>1.2786592917688601E-5</v>
      </c>
      <c r="S503" s="3">
        <v>16895115.16</v>
      </c>
      <c r="T503" s="4">
        <v>0.2154616562096309</v>
      </c>
    </row>
    <row r="504" spans="1:20" x14ac:dyDescent="0.4">
      <c r="A504" s="2">
        <v>45909</v>
      </c>
      <c r="B504" t="s">
        <v>33</v>
      </c>
      <c r="C504" t="s">
        <v>22</v>
      </c>
      <c r="D504" s="3" t="str">
        <f t="shared" si="32"/>
        <v>PASS</v>
      </c>
      <c r="E504" s="3" t="str">
        <f t="shared" si="33"/>
        <v>PASS</v>
      </c>
      <c r="F504" s="3" t="str">
        <f t="shared" si="34"/>
        <v>PASS</v>
      </c>
      <c r="G504" s="3" t="str">
        <f t="shared" si="35"/>
        <v>FAIL</v>
      </c>
      <c r="H504" s="3">
        <v>166281307.13</v>
      </c>
      <c r="I504" s="4">
        <v>0</v>
      </c>
      <c r="J504" s="3">
        <v>141770320.69</v>
      </c>
      <c r="K504" s="3">
        <v>10270.99</v>
      </c>
      <c r="L504" s="3">
        <v>0</v>
      </c>
      <c r="M504" t="s">
        <v>23</v>
      </c>
      <c r="N504" t="s">
        <v>479</v>
      </c>
      <c r="O504" s="4">
        <v>0.25418386115382358</v>
      </c>
      <c r="P504" s="4">
        <v>0.74581613884617637</v>
      </c>
      <c r="Q504" t="s">
        <v>540</v>
      </c>
      <c r="R504" s="4">
        <v>2.555823325428402E-5</v>
      </c>
      <c r="S504" s="3">
        <v>47096568.859999999</v>
      </c>
      <c r="T504" s="4">
        <v>0.28323429538101691</v>
      </c>
    </row>
    <row r="505" spans="1:20" x14ac:dyDescent="0.4">
      <c r="A505" s="2">
        <v>45910</v>
      </c>
      <c r="B505" t="s">
        <v>21</v>
      </c>
      <c r="C505" t="s">
        <v>22</v>
      </c>
      <c r="D505" s="3" t="str">
        <f t="shared" si="32"/>
        <v>PASS</v>
      </c>
      <c r="E505" s="3" t="str">
        <f t="shared" si="33"/>
        <v>PASS</v>
      </c>
      <c r="F505" s="3" t="str">
        <f t="shared" si="34"/>
        <v>PASS</v>
      </c>
      <c r="G505" s="3" t="str">
        <f t="shared" si="35"/>
        <v>FAIL</v>
      </c>
      <c r="H505" s="3">
        <v>24626609.82</v>
      </c>
      <c r="I505" s="4">
        <v>0</v>
      </c>
      <c r="J505" s="3">
        <v>20656634.940000001</v>
      </c>
      <c r="K505" s="3">
        <v>1495.83</v>
      </c>
      <c r="L505" s="3">
        <v>0</v>
      </c>
      <c r="M505" t="s">
        <v>23</v>
      </c>
      <c r="N505" t="s">
        <v>516</v>
      </c>
      <c r="O505" s="4">
        <v>0.29688476645944928</v>
      </c>
      <c r="P505" s="4">
        <v>0.70311523354055072</v>
      </c>
      <c r="Q505" t="s">
        <v>541</v>
      </c>
      <c r="R505" s="4">
        <v>3.706104028097182E-6</v>
      </c>
      <c r="S505" s="3">
        <v>7760257.0899999999</v>
      </c>
      <c r="T505" s="4">
        <v>0.31511674350310548</v>
      </c>
    </row>
    <row r="506" spans="1:20" x14ac:dyDescent="0.4">
      <c r="A506" s="2">
        <v>45910</v>
      </c>
      <c r="B506" t="s">
        <v>24</v>
      </c>
      <c r="C506" t="s">
        <v>22</v>
      </c>
      <c r="D506" s="3" t="str">
        <f t="shared" si="32"/>
        <v>PASS</v>
      </c>
      <c r="E506" s="3" t="str">
        <f t="shared" si="33"/>
        <v>PASS</v>
      </c>
      <c r="F506" s="3" t="str">
        <f t="shared" si="34"/>
        <v>PASS</v>
      </c>
      <c r="G506" s="3" t="str">
        <f t="shared" si="35"/>
        <v>FAIL</v>
      </c>
      <c r="H506" s="3">
        <v>135226364.96000001</v>
      </c>
      <c r="I506" s="4">
        <v>0</v>
      </c>
      <c r="J506" s="3">
        <v>119871757.33</v>
      </c>
      <c r="K506" s="3">
        <v>8676.7099999999991</v>
      </c>
      <c r="L506" s="3">
        <v>0</v>
      </c>
      <c r="M506" t="s">
        <v>23</v>
      </c>
      <c r="N506" t="s">
        <v>479</v>
      </c>
      <c r="O506" s="4">
        <v>0.26077048744639442</v>
      </c>
      <c r="P506" s="4">
        <v>0.73922951255360558</v>
      </c>
      <c r="Q506" t="s">
        <v>542</v>
      </c>
      <c r="R506" s="4">
        <v>2.2149044765037279E-5</v>
      </c>
      <c r="S506" s="3">
        <v>32829751.329999991</v>
      </c>
      <c r="T506" s="4">
        <v>0.24277626141700279</v>
      </c>
    </row>
    <row r="507" spans="1:20" x14ac:dyDescent="0.4">
      <c r="A507" s="2">
        <v>45910</v>
      </c>
      <c r="B507" t="s">
        <v>25</v>
      </c>
      <c r="C507" t="s">
        <v>22</v>
      </c>
      <c r="D507" s="3" t="str">
        <f t="shared" si="32"/>
        <v>PASS</v>
      </c>
      <c r="E507" s="3" t="str">
        <f t="shared" si="33"/>
        <v>PASS</v>
      </c>
      <c r="F507" s="3" t="str">
        <f t="shared" si="34"/>
        <v>PASS</v>
      </c>
      <c r="G507" s="3" t="str">
        <f t="shared" si="35"/>
        <v>FAIL</v>
      </c>
      <c r="H507" s="3">
        <v>100942546.63</v>
      </c>
      <c r="I507" s="4">
        <v>0</v>
      </c>
      <c r="J507" s="3">
        <v>92032316.700000003</v>
      </c>
      <c r="K507" s="3">
        <v>6663.43</v>
      </c>
      <c r="L507" s="3">
        <v>0</v>
      </c>
      <c r="M507" t="s">
        <v>23</v>
      </c>
      <c r="N507" t="s">
        <v>479</v>
      </c>
      <c r="O507" s="4">
        <v>0.25310195043693817</v>
      </c>
      <c r="P507" s="4">
        <v>0.74689804956306172</v>
      </c>
      <c r="Q507" t="s">
        <v>543</v>
      </c>
      <c r="R507" s="4">
        <v>1.650551344386566E-5</v>
      </c>
      <c r="S507" s="3">
        <v>16900949.440000001</v>
      </c>
      <c r="T507" s="4">
        <v>0.16743137561161009</v>
      </c>
    </row>
    <row r="508" spans="1:20" x14ac:dyDescent="0.4">
      <c r="A508" s="2">
        <v>45910</v>
      </c>
      <c r="B508" t="s">
        <v>26</v>
      </c>
      <c r="C508" t="s">
        <v>22</v>
      </c>
      <c r="D508" s="3" t="str">
        <f t="shared" si="32"/>
        <v>PASS</v>
      </c>
      <c r="E508" s="3" t="str">
        <f t="shared" si="33"/>
        <v>PASS</v>
      </c>
      <c r="F508" s="3" t="str">
        <f t="shared" si="34"/>
        <v>PASS</v>
      </c>
      <c r="G508" s="3" t="str">
        <f t="shared" si="35"/>
        <v>FAIL</v>
      </c>
      <c r="H508" s="3">
        <v>23344068.539999999</v>
      </c>
      <c r="I508" s="4">
        <v>0</v>
      </c>
      <c r="J508" s="3">
        <v>21418148.550000001</v>
      </c>
      <c r="K508" s="3">
        <v>1551.15</v>
      </c>
      <c r="L508" s="3">
        <v>0</v>
      </c>
      <c r="M508" t="s">
        <v>23</v>
      </c>
      <c r="N508" t="s">
        <v>479</v>
      </c>
      <c r="O508" s="4">
        <v>0.25503940488824378</v>
      </c>
      <c r="P508" s="4">
        <v>0.74496059511175616</v>
      </c>
      <c r="Q508" t="s">
        <v>544</v>
      </c>
      <c r="R508" s="4">
        <v>3.8684463371089309E-6</v>
      </c>
      <c r="S508" s="3">
        <v>3656418.48</v>
      </c>
      <c r="T508" s="4">
        <v>0.1566315860380009</v>
      </c>
    </row>
    <row r="509" spans="1:20" x14ac:dyDescent="0.4">
      <c r="A509" s="2">
        <v>45910</v>
      </c>
      <c r="B509" t="s">
        <v>27</v>
      </c>
      <c r="C509" t="s">
        <v>22</v>
      </c>
      <c r="D509" s="3" t="str">
        <f t="shared" ref="D509:D572" si="36">IF(J509/H509&gt;=0.75,"PASS","FAIL")</f>
        <v>PASS</v>
      </c>
      <c r="E509" s="3" t="str">
        <f t="shared" ref="E509:E572" si="37">IF(L509=0,"PASS","FAIL")</f>
        <v>PASS</v>
      </c>
      <c r="F509" s="3" t="str">
        <f t="shared" ref="F509:F572" si="38">IF(R509="","",IF(R509&lt;=0.1,"PASS","FAIL"))</f>
        <v>PASS</v>
      </c>
      <c r="G509" s="3" t="str">
        <f t="shared" ref="G509:G572" si="39">IF(S509=0,"PASS",IF(S509&lt;=0.05*J509,"PASS","FAIL"))</f>
        <v>FAIL</v>
      </c>
      <c r="H509" s="3">
        <v>43279245.32</v>
      </c>
      <c r="I509" s="4">
        <v>0</v>
      </c>
      <c r="J509" s="3">
        <v>36908912.5</v>
      </c>
      <c r="K509" s="3">
        <v>2670.99</v>
      </c>
      <c r="L509" s="3">
        <v>0</v>
      </c>
      <c r="M509" t="s">
        <v>23</v>
      </c>
      <c r="N509" t="s">
        <v>479</v>
      </c>
      <c r="O509" s="4">
        <v>0.26042792862022152</v>
      </c>
      <c r="P509" s="4">
        <v>0.73957207137977843</v>
      </c>
      <c r="Q509" t="s">
        <v>545</v>
      </c>
      <c r="R509" s="4">
        <v>6.8012883143869892E-6</v>
      </c>
      <c r="S509" s="3">
        <v>14404905.98</v>
      </c>
      <c r="T509" s="4">
        <v>0.33283634854287242</v>
      </c>
    </row>
    <row r="510" spans="1:20" x14ac:dyDescent="0.4">
      <c r="A510" s="2">
        <v>45910</v>
      </c>
      <c r="B510" t="s">
        <v>28</v>
      </c>
      <c r="C510" t="s">
        <v>22</v>
      </c>
      <c r="D510" s="3" t="str">
        <f t="shared" si="36"/>
        <v>PASS</v>
      </c>
      <c r="E510" s="3" t="str">
        <f t="shared" si="37"/>
        <v>PASS</v>
      </c>
      <c r="F510" s="3" t="str">
        <f t="shared" si="38"/>
        <v>PASS</v>
      </c>
      <c r="G510" s="3" t="str">
        <f t="shared" si="39"/>
        <v>FAIL</v>
      </c>
      <c r="H510" s="3">
        <v>15301579.01</v>
      </c>
      <c r="I510" s="4">
        <v>0</v>
      </c>
      <c r="J510" s="3">
        <v>13642690.23</v>
      </c>
      <c r="K510" s="3">
        <v>988.36</v>
      </c>
      <c r="L510" s="3">
        <v>0</v>
      </c>
      <c r="M510" t="s">
        <v>23</v>
      </c>
      <c r="N510" t="s">
        <v>479</v>
      </c>
      <c r="O510" s="4">
        <v>0.25442992411915227</v>
      </c>
      <c r="P510" s="4">
        <v>0.74557007588084767</v>
      </c>
      <c r="Q510" t="s">
        <v>546</v>
      </c>
      <c r="R510" s="4">
        <v>2.4564954653093708E-6</v>
      </c>
      <c r="S510" s="3">
        <v>3991886.2599999988</v>
      </c>
      <c r="T510" s="4">
        <v>0.26088067495460388</v>
      </c>
    </row>
    <row r="511" spans="1:20" x14ac:dyDescent="0.4">
      <c r="A511" s="2">
        <v>45910</v>
      </c>
      <c r="B511" t="s">
        <v>29</v>
      </c>
      <c r="C511" t="s">
        <v>22</v>
      </c>
      <c r="D511" s="3" t="str">
        <f t="shared" si="36"/>
        <v>PASS</v>
      </c>
      <c r="E511" s="3" t="str">
        <f t="shared" si="37"/>
        <v>PASS</v>
      </c>
      <c r="F511" s="3" t="str">
        <f t="shared" si="38"/>
        <v>PASS</v>
      </c>
      <c r="G511" s="3" t="str">
        <f t="shared" si="39"/>
        <v>FAIL</v>
      </c>
      <c r="H511" s="3">
        <v>34555943.159999996</v>
      </c>
      <c r="I511" s="4">
        <v>0</v>
      </c>
      <c r="J511" s="3">
        <v>32306779.77</v>
      </c>
      <c r="K511" s="3">
        <v>2338.0500000000002</v>
      </c>
      <c r="L511" s="3">
        <v>0</v>
      </c>
      <c r="M511" t="s">
        <v>23</v>
      </c>
      <c r="N511" t="s">
        <v>479</v>
      </c>
      <c r="O511" s="4">
        <v>0.25645933760608908</v>
      </c>
      <c r="P511" s="4">
        <v>0.74354066239391092</v>
      </c>
      <c r="Q511" t="s">
        <v>547</v>
      </c>
      <c r="R511" s="4">
        <v>5.8699561205827407E-6</v>
      </c>
      <c r="S511" s="3">
        <v>4208430.3399999989</v>
      </c>
      <c r="T511" s="4">
        <v>0.1217860071280427</v>
      </c>
    </row>
    <row r="512" spans="1:20" x14ac:dyDescent="0.4">
      <c r="A512" s="2">
        <v>45910</v>
      </c>
      <c r="B512" t="s">
        <v>30</v>
      </c>
      <c r="C512" t="s">
        <v>22</v>
      </c>
      <c r="D512" s="3" t="str">
        <f t="shared" si="36"/>
        <v>PASS</v>
      </c>
      <c r="E512" s="3" t="str">
        <f t="shared" si="37"/>
        <v>PASS</v>
      </c>
      <c r="F512" s="3" t="str">
        <f t="shared" si="38"/>
        <v>PASS</v>
      </c>
      <c r="G512" s="3" t="str">
        <f t="shared" si="39"/>
        <v>FAIL</v>
      </c>
      <c r="H512" s="3">
        <v>54407054.549999997</v>
      </c>
      <c r="I512" s="4">
        <v>0</v>
      </c>
      <c r="J512" s="3">
        <v>49927833.130000003</v>
      </c>
      <c r="K512" s="3">
        <v>3635.03</v>
      </c>
      <c r="L512" s="3">
        <v>0</v>
      </c>
      <c r="M512" t="s">
        <v>23</v>
      </c>
      <c r="N512" t="s">
        <v>548</v>
      </c>
      <c r="O512" s="4">
        <v>0.25490455147257057</v>
      </c>
      <c r="P512" s="4">
        <v>0.74509544852742948</v>
      </c>
      <c r="Q512" t="s">
        <v>549</v>
      </c>
      <c r="R512" s="4">
        <v>7.5619505710655422E-5</v>
      </c>
      <c r="S512" s="3">
        <v>9029030.5700000022</v>
      </c>
      <c r="T512" s="4">
        <v>0.1659533059578209</v>
      </c>
    </row>
    <row r="513" spans="1:20" x14ac:dyDescent="0.4">
      <c r="A513" s="2">
        <v>45910</v>
      </c>
      <c r="B513" t="s">
        <v>31</v>
      </c>
      <c r="C513" t="s">
        <v>22</v>
      </c>
      <c r="D513" s="3" t="str">
        <f t="shared" si="36"/>
        <v>PASS</v>
      </c>
      <c r="E513" s="3" t="str">
        <f t="shared" si="37"/>
        <v>PASS</v>
      </c>
      <c r="F513" s="3" t="str">
        <f t="shared" si="38"/>
        <v>PASS</v>
      </c>
      <c r="G513" s="3" t="str">
        <f t="shared" si="39"/>
        <v>FAIL</v>
      </c>
      <c r="H513" s="3">
        <v>40190436.909999996</v>
      </c>
      <c r="I513" s="4">
        <v>0</v>
      </c>
      <c r="J513" s="3">
        <v>34959637.25</v>
      </c>
      <c r="K513" s="3">
        <v>2531.2199999999998</v>
      </c>
      <c r="L513" s="3">
        <v>0</v>
      </c>
      <c r="M513" t="s">
        <v>23</v>
      </c>
      <c r="N513" t="s">
        <v>479</v>
      </c>
      <c r="O513" s="4">
        <v>0.25282306383199099</v>
      </c>
      <c r="P513" s="4">
        <v>0.74717693616800895</v>
      </c>
      <c r="Q513" t="s">
        <v>550</v>
      </c>
      <c r="R513" s="4">
        <v>6.2544510629789902E-6</v>
      </c>
      <c r="S513" s="3">
        <v>10514444.26</v>
      </c>
      <c r="T513" s="4">
        <v>0.26161557495743087</v>
      </c>
    </row>
    <row r="514" spans="1:20" x14ac:dyDescent="0.4">
      <c r="A514" s="2">
        <v>45910</v>
      </c>
      <c r="B514" t="s">
        <v>32</v>
      </c>
      <c r="C514" t="s">
        <v>22</v>
      </c>
      <c r="D514" s="3" t="str">
        <f t="shared" si="36"/>
        <v>PASS</v>
      </c>
      <c r="E514" s="3" t="str">
        <f t="shared" si="37"/>
        <v>PASS</v>
      </c>
      <c r="F514" s="3" t="str">
        <f t="shared" si="38"/>
        <v>PASS</v>
      </c>
      <c r="G514" s="3" t="str">
        <f t="shared" si="39"/>
        <v>FAIL</v>
      </c>
      <c r="H514" s="3">
        <v>78505763.659999996</v>
      </c>
      <c r="I514" s="4">
        <v>0</v>
      </c>
      <c r="J514" s="3">
        <v>70630545.930000007</v>
      </c>
      <c r="K514" s="3">
        <v>5110.18</v>
      </c>
      <c r="L514" s="3">
        <v>0</v>
      </c>
      <c r="M514" t="s">
        <v>23</v>
      </c>
      <c r="N514" t="s">
        <v>479</v>
      </c>
      <c r="O514" s="4">
        <v>0.25582917535294208</v>
      </c>
      <c r="P514" s="4">
        <v>0.74417082464705797</v>
      </c>
      <c r="Q514" t="s">
        <v>551</v>
      </c>
      <c r="R514" s="4">
        <v>1.2786592917688601E-5</v>
      </c>
      <c r="S514" s="3">
        <v>16821529.059999999</v>
      </c>
      <c r="T514" s="4">
        <v>0.21427126208022421</v>
      </c>
    </row>
    <row r="515" spans="1:20" x14ac:dyDescent="0.4">
      <c r="A515" s="2">
        <v>45910</v>
      </c>
      <c r="B515" t="s">
        <v>33</v>
      </c>
      <c r="C515" t="s">
        <v>22</v>
      </c>
      <c r="D515" s="3" t="str">
        <f t="shared" si="36"/>
        <v>PASS</v>
      </c>
      <c r="E515" s="3" t="str">
        <f t="shared" si="37"/>
        <v>PASS</v>
      </c>
      <c r="F515" s="3" t="str">
        <f t="shared" si="38"/>
        <v>PASS</v>
      </c>
      <c r="G515" s="3" t="str">
        <f t="shared" si="39"/>
        <v>FAIL</v>
      </c>
      <c r="H515" s="3">
        <v>166363595.44</v>
      </c>
      <c r="I515" s="4">
        <v>0</v>
      </c>
      <c r="J515" s="3">
        <v>142161354.19</v>
      </c>
      <c r="K515" s="3">
        <v>10293.459999999999</v>
      </c>
      <c r="L515" s="3">
        <v>0</v>
      </c>
      <c r="M515" t="s">
        <v>23</v>
      </c>
      <c r="N515" t="s">
        <v>479</v>
      </c>
      <c r="O515" s="4">
        <v>0.25398431497594609</v>
      </c>
      <c r="P515" s="4">
        <v>0.7460156850240538</v>
      </c>
      <c r="Q515" t="s">
        <v>552</v>
      </c>
      <c r="R515" s="4">
        <v>2.558173016743046E-5</v>
      </c>
      <c r="S515" s="3">
        <v>46915511.660000011</v>
      </c>
      <c r="T515" s="4">
        <v>0.28200587716271353</v>
      </c>
    </row>
    <row r="516" spans="1:20" x14ac:dyDescent="0.4">
      <c r="A516" s="2">
        <v>45911</v>
      </c>
      <c r="B516" t="s">
        <v>21</v>
      </c>
      <c r="C516" t="s">
        <v>22</v>
      </c>
      <c r="D516" s="3" t="str">
        <f t="shared" si="36"/>
        <v>PASS</v>
      </c>
      <c r="E516" s="3" t="str">
        <f t="shared" si="37"/>
        <v>PASS</v>
      </c>
      <c r="F516" s="3" t="str">
        <f t="shared" si="38"/>
        <v>PASS</v>
      </c>
      <c r="G516" s="3" t="str">
        <f t="shared" si="39"/>
        <v>FAIL</v>
      </c>
      <c r="H516" s="3">
        <v>24707809.949999999</v>
      </c>
      <c r="I516" s="4">
        <v>0</v>
      </c>
      <c r="J516" s="3">
        <v>20736335.34</v>
      </c>
      <c r="K516" s="3">
        <v>1500.28</v>
      </c>
      <c r="L516" s="3">
        <v>0</v>
      </c>
      <c r="M516" t="s">
        <v>23</v>
      </c>
      <c r="N516" t="s">
        <v>516</v>
      </c>
      <c r="O516" s="4">
        <v>0.29689998637917481</v>
      </c>
      <c r="P516" s="4">
        <v>0.70310001362082519</v>
      </c>
      <c r="Q516" t="s">
        <v>553</v>
      </c>
      <c r="R516" s="4">
        <v>3.706104028097182E-6</v>
      </c>
      <c r="S516" s="3">
        <v>7797775.5899999999</v>
      </c>
      <c r="T516" s="4">
        <v>0.31559962642500411</v>
      </c>
    </row>
    <row r="517" spans="1:20" x14ac:dyDescent="0.4">
      <c r="A517" s="2">
        <v>45911</v>
      </c>
      <c r="B517" t="s">
        <v>24</v>
      </c>
      <c r="C517" t="s">
        <v>22</v>
      </c>
      <c r="D517" s="3" t="str">
        <f t="shared" si="36"/>
        <v>PASS</v>
      </c>
      <c r="E517" s="3" t="str">
        <f t="shared" si="37"/>
        <v>PASS</v>
      </c>
      <c r="F517" s="3" t="str">
        <f t="shared" si="38"/>
        <v>PASS</v>
      </c>
      <c r="G517" s="3" t="str">
        <f t="shared" si="39"/>
        <v>FAIL</v>
      </c>
      <c r="H517" s="3">
        <v>135833799.66</v>
      </c>
      <c r="I517" s="4">
        <v>0</v>
      </c>
      <c r="J517" s="3">
        <v>120470489.01000001</v>
      </c>
      <c r="K517" s="3">
        <v>8703.57</v>
      </c>
      <c r="L517" s="3">
        <v>0</v>
      </c>
      <c r="M517" t="s">
        <v>23</v>
      </c>
      <c r="N517" t="s">
        <v>479</v>
      </c>
      <c r="O517" s="4">
        <v>0.2607053165310298</v>
      </c>
      <c r="P517" s="4">
        <v>0.7392946834689702</v>
      </c>
      <c r="Q517" t="s">
        <v>554</v>
      </c>
      <c r="R517" s="4">
        <v>2.2149044765037279E-5</v>
      </c>
      <c r="S517" s="3">
        <v>33172114.91</v>
      </c>
      <c r="T517" s="4">
        <v>0.2442110505119621</v>
      </c>
    </row>
    <row r="518" spans="1:20" x14ac:dyDescent="0.4">
      <c r="A518" s="2">
        <v>45911</v>
      </c>
      <c r="B518" t="s">
        <v>25</v>
      </c>
      <c r="C518" t="s">
        <v>22</v>
      </c>
      <c r="D518" s="3" t="str">
        <f t="shared" si="36"/>
        <v>PASS</v>
      </c>
      <c r="E518" s="3" t="str">
        <f t="shared" si="37"/>
        <v>PASS</v>
      </c>
      <c r="F518" s="3" t="str">
        <f t="shared" si="38"/>
        <v>PASS</v>
      </c>
      <c r="G518" s="3" t="str">
        <f t="shared" si="39"/>
        <v>FAIL</v>
      </c>
      <c r="H518" s="3">
        <v>101334668.13</v>
      </c>
      <c r="I518" s="4">
        <v>0</v>
      </c>
      <c r="J518" s="3">
        <v>92417756.400000006</v>
      </c>
      <c r="K518" s="3">
        <v>6682.48</v>
      </c>
      <c r="L518" s="3">
        <v>0</v>
      </c>
      <c r="M518" t="s">
        <v>23</v>
      </c>
      <c r="N518" t="s">
        <v>479</v>
      </c>
      <c r="O518" s="4">
        <v>0.25324165908879392</v>
      </c>
      <c r="P518" s="4">
        <v>0.74675834091120619</v>
      </c>
      <c r="Q518" t="s">
        <v>555</v>
      </c>
      <c r="R518" s="4">
        <v>1.650551344386566E-5</v>
      </c>
      <c r="S518" s="3">
        <v>16971833.489999998</v>
      </c>
      <c r="T518" s="4">
        <v>0.16748299277229789</v>
      </c>
    </row>
    <row r="519" spans="1:20" x14ac:dyDescent="0.4">
      <c r="A519" s="2">
        <v>45911</v>
      </c>
      <c r="B519" t="s">
        <v>26</v>
      </c>
      <c r="C519" t="s">
        <v>22</v>
      </c>
      <c r="D519" s="3" t="str">
        <f t="shared" si="36"/>
        <v>PASS</v>
      </c>
      <c r="E519" s="3" t="str">
        <f t="shared" si="37"/>
        <v>PASS</v>
      </c>
      <c r="F519" s="3" t="str">
        <f t="shared" si="38"/>
        <v>PASS</v>
      </c>
      <c r="G519" s="3" t="str">
        <f t="shared" si="39"/>
        <v>FAIL</v>
      </c>
      <c r="H519" s="3">
        <v>23442746.07</v>
      </c>
      <c r="I519" s="4">
        <v>0</v>
      </c>
      <c r="J519" s="3">
        <v>21515271.059999999</v>
      </c>
      <c r="K519" s="3">
        <v>1555.73</v>
      </c>
      <c r="L519" s="3">
        <v>0</v>
      </c>
      <c r="M519" t="s">
        <v>23</v>
      </c>
      <c r="N519" t="s">
        <v>479</v>
      </c>
      <c r="O519" s="4">
        <v>0.25509031630113238</v>
      </c>
      <c r="P519" s="4">
        <v>0.74490968369886756</v>
      </c>
      <c r="Q519" t="s">
        <v>556</v>
      </c>
      <c r="R519" s="4">
        <v>3.8684463371089309E-6</v>
      </c>
      <c r="S519" s="3">
        <v>3697568.57</v>
      </c>
      <c r="T519" s="4">
        <v>0.15772762111397129</v>
      </c>
    </row>
    <row r="520" spans="1:20" x14ac:dyDescent="0.4">
      <c r="A520" s="2">
        <v>45911</v>
      </c>
      <c r="B520" t="s">
        <v>27</v>
      </c>
      <c r="C520" t="s">
        <v>22</v>
      </c>
      <c r="D520" s="3" t="str">
        <f t="shared" si="36"/>
        <v>PASS</v>
      </c>
      <c r="E520" s="3" t="str">
        <f t="shared" si="37"/>
        <v>PASS</v>
      </c>
      <c r="F520" s="3" t="str">
        <f t="shared" si="38"/>
        <v>PASS</v>
      </c>
      <c r="G520" s="3" t="str">
        <f t="shared" si="39"/>
        <v>FAIL</v>
      </c>
      <c r="H520" s="3">
        <v>43455337.729999997</v>
      </c>
      <c r="I520" s="4">
        <v>0</v>
      </c>
      <c r="J520" s="3">
        <v>37082325.219999999</v>
      </c>
      <c r="K520" s="3">
        <v>2680.24</v>
      </c>
      <c r="L520" s="3">
        <v>0</v>
      </c>
      <c r="M520" t="s">
        <v>23</v>
      </c>
      <c r="N520" t="s">
        <v>479</v>
      </c>
      <c r="O520" s="4">
        <v>0.26042623575264567</v>
      </c>
      <c r="P520" s="4">
        <v>0.73957376424735433</v>
      </c>
      <c r="Q520" t="s">
        <v>557</v>
      </c>
      <c r="R520" s="4">
        <v>6.8012883143869892E-6</v>
      </c>
      <c r="S520" s="3">
        <v>14565872.859999999</v>
      </c>
      <c r="T520" s="4">
        <v>0.33519179969332619</v>
      </c>
    </row>
    <row r="521" spans="1:20" x14ac:dyDescent="0.4">
      <c r="A521" s="2">
        <v>45911</v>
      </c>
      <c r="B521" t="s">
        <v>28</v>
      </c>
      <c r="C521" t="s">
        <v>22</v>
      </c>
      <c r="D521" s="3" t="str">
        <f t="shared" si="36"/>
        <v>PASS</v>
      </c>
      <c r="E521" s="3" t="str">
        <f t="shared" si="37"/>
        <v>PASS</v>
      </c>
      <c r="F521" s="3" t="str">
        <f t="shared" si="38"/>
        <v>PASS</v>
      </c>
      <c r="G521" s="3" t="str">
        <f t="shared" si="39"/>
        <v>FAIL</v>
      </c>
      <c r="H521" s="3">
        <v>15363529.32</v>
      </c>
      <c r="I521" s="4">
        <v>0</v>
      </c>
      <c r="J521" s="3">
        <v>13703650.039999999</v>
      </c>
      <c r="K521" s="3">
        <v>991.21</v>
      </c>
      <c r="L521" s="3">
        <v>0</v>
      </c>
      <c r="M521" t="s">
        <v>23</v>
      </c>
      <c r="N521" t="s">
        <v>479</v>
      </c>
      <c r="O521" s="4">
        <v>0.25448997674491108</v>
      </c>
      <c r="P521" s="4">
        <v>0.74551002325508886</v>
      </c>
      <c r="Q521" t="s">
        <v>558</v>
      </c>
      <c r="R521" s="4">
        <v>2.4564954653093708E-6</v>
      </c>
      <c r="S521" s="3">
        <v>4026712.29</v>
      </c>
      <c r="T521" s="4">
        <v>0.26209552545703729</v>
      </c>
    </row>
    <row r="522" spans="1:20" x14ac:dyDescent="0.4">
      <c r="A522" s="2">
        <v>45911</v>
      </c>
      <c r="B522" t="s">
        <v>29</v>
      </c>
      <c r="C522" t="s">
        <v>22</v>
      </c>
      <c r="D522" s="3" t="str">
        <f t="shared" si="36"/>
        <v>PASS</v>
      </c>
      <c r="E522" s="3" t="str">
        <f t="shared" si="37"/>
        <v>PASS</v>
      </c>
      <c r="F522" s="3" t="str">
        <f t="shared" si="38"/>
        <v>PASS</v>
      </c>
      <c r="G522" s="3" t="str">
        <f t="shared" si="39"/>
        <v>FAIL</v>
      </c>
      <c r="H522" s="3">
        <v>34650539.539999999</v>
      </c>
      <c r="I522" s="4">
        <v>0</v>
      </c>
      <c r="J522" s="3">
        <v>32469017</v>
      </c>
      <c r="K522" s="3">
        <v>2345.56</v>
      </c>
      <c r="L522" s="3">
        <v>0</v>
      </c>
      <c r="M522" t="s">
        <v>23</v>
      </c>
      <c r="N522" t="s">
        <v>479</v>
      </c>
      <c r="O522" s="4">
        <v>0.25638722231720168</v>
      </c>
      <c r="P522" s="4">
        <v>0.74361277768279832</v>
      </c>
      <c r="Q522" t="s">
        <v>559</v>
      </c>
      <c r="R522" s="4">
        <v>5.8699561205827407E-6</v>
      </c>
      <c r="S522" s="3">
        <v>4249731.5</v>
      </c>
      <c r="T522" s="4">
        <v>0.12264546400768681</v>
      </c>
    </row>
    <row r="523" spans="1:20" x14ac:dyDescent="0.4">
      <c r="A523" s="2">
        <v>45911</v>
      </c>
      <c r="B523" t="s">
        <v>30</v>
      </c>
      <c r="C523" t="s">
        <v>22</v>
      </c>
      <c r="D523" s="3" t="str">
        <f t="shared" si="36"/>
        <v>PASS</v>
      </c>
      <c r="E523" s="3" t="str">
        <f t="shared" si="37"/>
        <v>PASS</v>
      </c>
      <c r="F523" s="3" t="str">
        <f t="shared" si="38"/>
        <v>PASS</v>
      </c>
      <c r="G523" s="3" t="str">
        <f t="shared" si="39"/>
        <v>FAIL</v>
      </c>
      <c r="H523" s="3">
        <v>54853468.310000002</v>
      </c>
      <c r="I523" s="4">
        <v>0</v>
      </c>
      <c r="J523" s="3">
        <v>50370621.990000002</v>
      </c>
      <c r="K523" s="3">
        <v>3625.58</v>
      </c>
      <c r="L523" s="3">
        <v>0</v>
      </c>
      <c r="M523" t="s">
        <v>23</v>
      </c>
      <c r="N523" t="s">
        <v>560</v>
      </c>
      <c r="O523" s="4">
        <v>0.25564682748123441</v>
      </c>
      <c r="P523" s="4">
        <v>0.74435317251876565</v>
      </c>
      <c r="Q523" t="s">
        <v>561</v>
      </c>
      <c r="R523" s="4">
        <v>7.5619505710655422E-5</v>
      </c>
      <c r="S523" s="3">
        <v>8857505.1000000015</v>
      </c>
      <c r="T523" s="4">
        <v>0.16147575299965569</v>
      </c>
    </row>
    <row r="524" spans="1:20" x14ac:dyDescent="0.4">
      <c r="A524" s="2">
        <v>45911</v>
      </c>
      <c r="B524" t="s">
        <v>31</v>
      </c>
      <c r="C524" t="s">
        <v>22</v>
      </c>
      <c r="D524" s="3" t="str">
        <f t="shared" si="36"/>
        <v>PASS</v>
      </c>
      <c r="E524" s="3" t="str">
        <f t="shared" si="37"/>
        <v>PASS</v>
      </c>
      <c r="F524" s="3" t="str">
        <f t="shared" si="38"/>
        <v>PASS</v>
      </c>
      <c r="G524" s="3" t="str">
        <f t="shared" si="39"/>
        <v>FAIL</v>
      </c>
      <c r="H524" s="3">
        <v>40333590.549999997</v>
      </c>
      <c r="I524" s="4">
        <v>0</v>
      </c>
      <c r="J524" s="3">
        <v>35100252.719999999</v>
      </c>
      <c r="K524" s="3">
        <v>2538.85</v>
      </c>
      <c r="L524" s="3">
        <v>0</v>
      </c>
      <c r="M524" t="s">
        <v>23</v>
      </c>
      <c r="N524" t="s">
        <v>479</v>
      </c>
      <c r="O524" s="4">
        <v>0.25299122290763948</v>
      </c>
      <c r="P524" s="4">
        <v>0.74700877709236058</v>
      </c>
      <c r="Q524" t="s">
        <v>562</v>
      </c>
      <c r="R524" s="4">
        <v>6.2544510629789902E-6</v>
      </c>
      <c r="S524" s="3">
        <v>10578342.59</v>
      </c>
      <c r="T524" s="4">
        <v>0.26227128420135171</v>
      </c>
    </row>
    <row r="525" spans="1:20" x14ac:dyDescent="0.4">
      <c r="A525" s="2">
        <v>45911</v>
      </c>
      <c r="B525" t="s">
        <v>32</v>
      </c>
      <c r="C525" t="s">
        <v>22</v>
      </c>
      <c r="D525" s="3" t="str">
        <f t="shared" si="36"/>
        <v>PASS</v>
      </c>
      <c r="E525" s="3" t="str">
        <f t="shared" si="37"/>
        <v>PASS</v>
      </c>
      <c r="F525" s="3" t="str">
        <f t="shared" si="38"/>
        <v>PASS</v>
      </c>
      <c r="G525" s="3" t="str">
        <f t="shared" si="39"/>
        <v>FAIL</v>
      </c>
      <c r="H525" s="3">
        <v>78847647.140000001</v>
      </c>
      <c r="I525" s="4">
        <v>0</v>
      </c>
      <c r="J525" s="3">
        <v>70967301.439999998</v>
      </c>
      <c r="K525" s="3">
        <v>5127.97</v>
      </c>
      <c r="L525" s="3">
        <v>0</v>
      </c>
      <c r="M525" t="s">
        <v>23</v>
      </c>
      <c r="N525" t="s">
        <v>479</v>
      </c>
      <c r="O525" s="4">
        <v>0.25580900515638938</v>
      </c>
      <c r="P525" s="4">
        <v>0.74419099484361051</v>
      </c>
      <c r="Q525" t="s">
        <v>563</v>
      </c>
      <c r="R525" s="4">
        <v>1.2786592917688601E-5</v>
      </c>
      <c r="S525" s="3">
        <v>16997807.300000001</v>
      </c>
      <c r="T525" s="4">
        <v>0.2155778633421882</v>
      </c>
    </row>
    <row r="526" spans="1:20" x14ac:dyDescent="0.4">
      <c r="A526" s="2">
        <v>45911</v>
      </c>
      <c r="B526" t="s">
        <v>33</v>
      </c>
      <c r="C526" t="s">
        <v>22</v>
      </c>
      <c r="D526" s="3" t="str">
        <f t="shared" si="36"/>
        <v>PASS</v>
      </c>
      <c r="E526" s="3" t="str">
        <f t="shared" si="37"/>
        <v>PASS</v>
      </c>
      <c r="F526" s="3" t="str">
        <f t="shared" si="38"/>
        <v>PASS</v>
      </c>
      <c r="G526" s="3" t="str">
        <f t="shared" si="39"/>
        <v>FAIL</v>
      </c>
      <c r="H526" s="3">
        <v>166925460.13999999</v>
      </c>
      <c r="I526" s="4">
        <v>0</v>
      </c>
      <c r="J526" s="3">
        <v>142712897.59</v>
      </c>
      <c r="K526" s="3">
        <v>10321.85</v>
      </c>
      <c r="L526" s="3">
        <v>0</v>
      </c>
      <c r="M526" t="s">
        <v>23</v>
      </c>
      <c r="N526" t="s">
        <v>479</v>
      </c>
      <c r="O526" s="4">
        <v>0.25420173167685728</v>
      </c>
      <c r="P526" s="4">
        <v>0.74579826832314267</v>
      </c>
      <c r="Q526" t="s">
        <v>564</v>
      </c>
      <c r="R526" s="4">
        <v>2.558173016743046E-5</v>
      </c>
      <c r="S526" s="3">
        <v>47368411.119999997</v>
      </c>
      <c r="T526" s="4">
        <v>0.28376984002483641</v>
      </c>
    </row>
    <row r="527" spans="1:20" x14ac:dyDescent="0.4">
      <c r="A527" s="2">
        <v>45912</v>
      </c>
      <c r="B527" t="s">
        <v>21</v>
      </c>
      <c r="C527" t="s">
        <v>22</v>
      </c>
      <c r="D527" s="3" t="str">
        <f t="shared" si="36"/>
        <v>PASS</v>
      </c>
      <c r="E527" s="3" t="str">
        <f t="shared" si="37"/>
        <v>PASS</v>
      </c>
      <c r="F527" s="3" t="str">
        <f t="shared" si="38"/>
        <v>PASS</v>
      </c>
      <c r="G527" s="3" t="str">
        <f t="shared" si="39"/>
        <v>FAIL</v>
      </c>
      <c r="H527" s="3">
        <v>24712942.559999999</v>
      </c>
      <c r="I527" s="4">
        <v>0</v>
      </c>
      <c r="J527" s="3">
        <v>20736951.420000002</v>
      </c>
      <c r="K527" s="3">
        <v>4518.18</v>
      </c>
      <c r="L527" s="3">
        <v>0</v>
      </c>
      <c r="M527" t="s">
        <v>23</v>
      </c>
      <c r="N527" t="s">
        <v>479</v>
      </c>
      <c r="O527" s="4">
        <v>0.25605497126635979</v>
      </c>
      <c r="P527" s="4">
        <v>0.74394502873364021</v>
      </c>
      <c r="Q527" t="s">
        <v>565</v>
      </c>
      <c r="R527" s="4">
        <v>3.706104028097182E-6</v>
      </c>
      <c r="S527" s="3">
        <v>7821299.0700000003</v>
      </c>
      <c r="T527" s="4">
        <v>0.31648594864860158</v>
      </c>
    </row>
    <row r="528" spans="1:20" x14ac:dyDescent="0.4">
      <c r="A528" s="2">
        <v>45912</v>
      </c>
      <c r="B528" t="s">
        <v>24</v>
      </c>
      <c r="C528" t="s">
        <v>22</v>
      </c>
      <c r="D528" s="3" t="str">
        <f t="shared" si="36"/>
        <v>PASS</v>
      </c>
      <c r="E528" s="3" t="str">
        <f t="shared" si="37"/>
        <v>PASS</v>
      </c>
      <c r="F528" s="3" t="str">
        <f t="shared" si="38"/>
        <v>PASS</v>
      </c>
      <c r="G528" s="3" t="str">
        <f t="shared" si="39"/>
        <v>FAIL</v>
      </c>
      <c r="H528" s="3">
        <v>135849423.94</v>
      </c>
      <c r="I528" s="4">
        <v>0</v>
      </c>
      <c r="J528" s="3">
        <v>120459873.81999999</v>
      </c>
      <c r="K528" s="3">
        <v>26241.119999999999</v>
      </c>
      <c r="L528" s="3">
        <v>0</v>
      </c>
      <c r="M528" t="s">
        <v>23</v>
      </c>
      <c r="N528" t="s">
        <v>479</v>
      </c>
      <c r="O528" s="4">
        <v>0.26302607395508892</v>
      </c>
      <c r="P528" s="4">
        <v>0.73697392604491108</v>
      </c>
      <c r="Q528" t="s">
        <v>566</v>
      </c>
      <c r="R528" s="4">
        <v>2.2149044765037279E-5</v>
      </c>
      <c r="S528" s="3">
        <v>33335943.34</v>
      </c>
      <c r="T528" s="4">
        <v>0.24538891938712479</v>
      </c>
    </row>
    <row r="529" spans="1:20" x14ac:dyDescent="0.4">
      <c r="A529" s="2">
        <v>45912</v>
      </c>
      <c r="B529" t="s">
        <v>25</v>
      </c>
      <c r="C529" t="s">
        <v>22</v>
      </c>
      <c r="D529" s="3" t="str">
        <f t="shared" si="36"/>
        <v>PASS</v>
      </c>
      <c r="E529" s="3" t="str">
        <f t="shared" si="37"/>
        <v>PASS</v>
      </c>
      <c r="F529" s="3" t="str">
        <f t="shared" si="38"/>
        <v>PASS</v>
      </c>
      <c r="G529" s="3" t="str">
        <f t="shared" si="39"/>
        <v>FAIL</v>
      </c>
      <c r="H529" s="3">
        <v>101359761.3</v>
      </c>
      <c r="I529" s="4">
        <v>0</v>
      </c>
      <c r="J529" s="3">
        <v>92422720.230000004</v>
      </c>
      <c r="K529" s="3">
        <v>20131.38</v>
      </c>
      <c r="L529" s="3">
        <v>0</v>
      </c>
      <c r="M529" t="s">
        <v>23</v>
      </c>
      <c r="N529" t="s">
        <v>479</v>
      </c>
      <c r="O529" s="4">
        <v>0.25546010484482801</v>
      </c>
      <c r="P529" s="4">
        <v>0.74453989515517205</v>
      </c>
      <c r="Q529" t="s">
        <v>567</v>
      </c>
      <c r="R529" s="4">
        <v>1.650551344386566E-5</v>
      </c>
      <c r="S529" s="3">
        <v>17057764.140000001</v>
      </c>
      <c r="T529" s="4">
        <v>0.1682893085108321</v>
      </c>
    </row>
    <row r="530" spans="1:20" x14ac:dyDescent="0.4">
      <c r="A530" s="2">
        <v>45912</v>
      </c>
      <c r="B530" t="s">
        <v>26</v>
      </c>
      <c r="C530" t="s">
        <v>22</v>
      </c>
      <c r="D530" s="3" t="str">
        <f t="shared" si="36"/>
        <v>PASS</v>
      </c>
      <c r="E530" s="3" t="str">
        <f t="shared" si="37"/>
        <v>PASS</v>
      </c>
      <c r="F530" s="3" t="str">
        <f t="shared" si="38"/>
        <v>PASS</v>
      </c>
      <c r="G530" s="3" t="str">
        <f t="shared" si="39"/>
        <v>FAIL</v>
      </c>
      <c r="H530" s="3">
        <v>23448381.969999999</v>
      </c>
      <c r="I530" s="4">
        <v>0</v>
      </c>
      <c r="J530" s="3">
        <v>21516220.75</v>
      </c>
      <c r="K530" s="3">
        <v>4688.34</v>
      </c>
      <c r="L530" s="3">
        <v>0</v>
      </c>
      <c r="M530" t="s">
        <v>23</v>
      </c>
      <c r="N530" t="s">
        <v>479</v>
      </c>
      <c r="O530" s="4">
        <v>0.25732680679993492</v>
      </c>
      <c r="P530" s="4">
        <v>0.7426731932000652</v>
      </c>
      <c r="Q530" t="s">
        <v>568</v>
      </c>
      <c r="R530" s="4">
        <v>3.8684463371089309E-6</v>
      </c>
      <c r="S530" s="3">
        <v>3704978.4</v>
      </c>
      <c r="T530" s="4">
        <v>0.15800571675863059</v>
      </c>
    </row>
    <row r="531" spans="1:20" x14ac:dyDescent="0.4">
      <c r="A531" s="2">
        <v>45912</v>
      </c>
      <c r="B531" t="s">
        <v>27</v>
      </c>
      <c r="C531" t="s">
        <v>22</v>
      </c>
      <c r="D531" s="3" t="str">
        <f t="shared" si="36"/>
        <v>PASS</v>
      </c>
      <c r="E531" s="3" t="str">
        <f t="shared" si="37"/>
        <v>PASS</v>
      </c>
      <c r="F531" s="3" t="str">
        <f t="shared" si="38"/>
        <v>PASS</v>
      </c>
      <c r="G531" s="3" t="str">
        <f t="shared" si="39"/>
        <v>FAIL</v>
      </c>
      <c r="H531" s="3">
        <v>43466163.170000002</v>
      </c>
      <c r="I531" s="4">
        <v>0</v>
      </c>
      <c r="J531" s="3">
        <v>37085073.82</v>
      </c>
      <c r="K531" s="3">
        <v>8078.49</v>
      </c>
      <c r="L531" s="3">
        <v>0</v>
      </c>
      <c r="M531" t="s">
        <v>23</v>
      </c>
      <c r="N531" t="s">
        <v>479</v>
      </c>
      <c r="O531" s="4">
        <v>0.26277611734844319</v>
      </c>
      <c r="P531" s="4">
        <v>0.73722388265155669</v>
      </c>
      <c r="Q531" t="s">
        <v>569</v>
      </c>
      <c r="R531" s="4">
        <v>6.8012883143869892E-6</v>
      </c>
      <c r="S531" s="3">
        <v>14600704.18</v>
      </c>
      <c r="T531" s="4">
        <v>0.33590966202596162</v>
      </c>
    </row>
    <row r="532" spans="1:20" x14ac:dyDescent="0.4">
      <c r="A532" s="2">
        <v>45912</v>
      </c>
      <c r="B532" t="s">
        <v>28</v>
      </c>
      <c r="C532" t="s">
        <v>22</v>
      </c>
      <c r="D532" s="3" t="str">
        <f t="shared" si="36"/>
        <v>PASS</v>
      </c>
      <c r="E532" s="3" t="str">
        <f t="shared" si="37"/>
        <v>PASS</v>
      </c>
      <c r="F532" s="3" t="str">
        <f t="shared" si="38"/>
        <v>PASS</v>
      </c>
      <c r="G532" s="3" t="str">
        <f t="shared" si="39"/>
        <v>FAIL</v>
      </c>
      <c r="H532" s="3">
        <v>15366570.98</v>
      </c>
      <c r="I532" s="4">
        <v>0</v>
      </c>
      <c r="J532" s="3">
        <v>13703706.939999999</v>
      </c>
      <c r="K532" s="3">
        <v>2986.89</v>
      </c>
      <c r="L532" s="3">
        <v>0</v>
      </c>
      <c r="M532" t="s">
        <v>23</v>
      </c>
      <c r="N532" t="s">
        <v>479</v>
      </c>
      <c r="O532" s="4">
        <v>0.25678221706045912</v>
      </c>
      <c r="P532" s="4">
        <v>0.74321778293954088</v>
      </c>
      <c r="Q532" t="s">
        <v>570</v>
      </c>
      <c r="R532" s="4">
        <v>2.4564954653093708E-6</v>
      </c>
      <c r="S532" s="3">
        <v>4042710.05</v>
      </c>
      <c r="T532" s="4">
        <v>0.26308472171583991</v>
      </c>
    </row>
    <row r="533" spans="1:20" x14ac:dyDescent="0.4">
      <c r="A533" s="2">
        <v>45912</v>
      </c>
      <c r="B533" t="s">
        <v>29</v>
      </c>
      <c r="C533" t="s">
        <v>22</v>
      </c>
      <c r="D533" s="3" t="str">
        <f t="shared" si="36"/>
        <v>PASS</v>
      </c>
      <c r="E533" s="3" t="str">
        <f t="shared" si="37"/>
        <v>PASS</v>
      </c>
      <c r="F533" s="3" t="str">
        <f t="shared" si="38"/>
        <v>PASS</v>
      </c>
      <c r="G533" s="3" t="str">
        <f t="shared" si="39"/>
        <v>FAIL</v>
      </c>
      <c r="H533" s="3">
        <v>34653589.560000002</v>
      </c>
      <c r="I533" s="4">
        <v>0</v>
      </c>
      <c r="J533" s="3">
        <v>32464995</v>
      </c>
      <c r="K533" s="3">
        <v>7072.02</v>
      </c>
      <c r="L533" s="3">
        <v>0</v>
      </c>
      <c r="M533" t="s">
        <v>23</v>
      </c>
      <c r="N533" t="s">
        <v>479</v>
      </c>
      <c r="O533" s="4">
        <v>0.25869275938591701</v>
      </c>
      <c r="P533" s="4">
        <v>0.74130724061408304</v>
      </c>
      <c r="Q533" t="s">
        <v>571</v>
      </c>
      <c r="R533" s="4">
        <v>5.8699561205827407E-6</v>
      </c>
      <c r="S533" s="3">
        <v>4268211.5</v>
      </c>
      <c r="T533" s="4">
        <v>0.12316794751117841</v>
      </c>
    </row>
    <row r="534" spans="1:20" x14ac:dyDescent="0.4">
      <c r="A534" s="2">
        <v>45912</v>
      </c>
      <c r="B534" t="s">
        <v>30</v>
      </c>
      <c r="C534" t="s">
        <v>22</v>
      </c>
      <c r="D534" s="3" t="str">
        <f t="shared" si="36"/>
        <v>PASS</v>
      </c>
      <c r="E534" s="3" t="str">
        <f t="shared" si="37"/>
        <v>PASS</v>
      </c>
      <c r="F534" s="3" t="str">
        <f t="shared" si="38"/>
        <v>PASS</v>
      </c>
      <c r="G534" s="3" t="str">
        <f t="shared" si="39"/>
        <v>FAIL</v>
      </c>
      <c r="H534" s="3">
        <v>54596246.43</v>
      </c>
      <c r="I534" s="4">
        <v>0</v>
      </c>
      <c r="J534" s="3">
        <v>50102428.960000001</v>
      </c>
      <c r="K534" s="3">
        <v>10973.19</v>
      </c>
      <c r="L534" s="3">
        <v>0</v>
      </c>
      <c r="M534" t="s">
        <v>23</v>
      </c>
      <c r="N534" t="s">
        <v>572</v>
      </c>
      <c r="O534" s="4">
        <v>0.25723688486818619</v>
      </c>
      <c r="P534" s="4">
        <v>0.7427631151318137</v>
      </c>
      <c r="Q534" t="s">
        <v>573</v>
      </c>
      <c r="R534" s="4">
        <v>7.5619505710655422E-5</v>
      </c>
      <c r="S534" s="3">
        <v>8947423.3399999999</v>
      </c>
      <c r="T534" s="4">
        <v>0.16388348879390169</v>
      </c>
    </row>
    <row r="535" spans="1:20" x14ac:dyDescent="0.4">
      <c r="A535" s="2">
        <v>45912</v>
      </c>
      <c r="B535" t="s">
        <v>31</v>
      </c>
      <c r="C535" t="s">
        <v>22</v>
      </c>
      <c r="D535" s="3" t="str">
        <f t="shared" si="36"/>
        <v>PASS</v>
      </c>
      <c r="E535" s="3" t="str">
        <f t="shared" si="37"/>
        <v>PASS</v>
      </c>
      <c r="F535" s="3" t="str">
        <f t="shared" si="38"/>
        <v>PASS</v>
      </c>
      <c r="G535" s="3" t="str">
        <f t="shared" si="39"/>
        <v>FAIL</v>
      </c>
      <c r="H535" s="3">
        <v>40344706.140000001</v>
      </c>
      <c r="I535" s="4">
        <v>0</v>
      </c>
      <c r="J535" s="3">
        <v>35103723.200000003</v>
      </c>
      <c r="K535" s="3">
        <v>7647.15</v>
      </c>
      <c r="L535" s="3">
        <v>0</v>
      </c>
      <c r="M535" t="s">
        <v>23</v>
      </c>
      <c r="N535" t="s">
        <v>479</v>
      </c>
      <c r="O535" s="4">
        <v>0.255267270623875</v>
      </c>
      <c r="P535" s="4">
        <v>0.744732729376125</v>
      </c>
      <c r="Q535" t="s">
        <v>574</v>
      </c>
      <c r="R535" s="4">
        <v>6.2544510629789902E-6</v>
      </c>
      <c r="S535" s="3">
        <v>10618295.130000001</v>
      </c>
      <c r="T535" s="4">
        <v>0.26318930402302337</v>
      </c>
    </row>
    <row r="536" spans="1:20" x14ac:dyDescent="0.4">
      <c r="A536" s="2">
        <v>45912</v>
      </c>
      <c r="B536" t="s">
        <v>32</v>
      </c>
      <c r="C536" t="s">
        <v>22</v>
      </c>
      <c r="D536" s="3" t="str">
        <f t="shared" si="36"/>
        <v>PASS</v>
      </c>
      <c r="E536" s="3" t="str">
        <f t="shared" si="37"/>
        <v>PASS</v>
      </c>
      <c r="F536" s="3" t="str">
        <f t="shared" si="38"/>
        <v>PASS</v>
      </c>
      <c r="G536" s="3" t="str">
        <f t="shared" si="39"/>
        <v>FAIL</v>
      </c>
      <c r="H536" s="3">
        <v>78857266.140000001</v>
      </c>
      <c r="I536" s="4">
        <v>0</v>
      </c>
      <c r="J536" s="3">
        <v>70961463.180000007</v>
      </c>
      <c r="K536" s="3">
        <v>15457.26</v>
      </c>
      <c r="L536" s="3">
        <v>0</v>
      </c>
      <c r="M536" t="s">
        <v>23</v>
      </c>
      <c r="N536" t="s">
        <v>479</v>
      </c>
      <c r="O536" s="4">
        <v>0.2581634415222045</v>
      </c>
      <c r="P536" s="4">
        <v>0.7418365584777955</v>
      </c>
      <c r="Q536" t="s">
        <v>575</v>
      </c>
      <c r="R536" s="4">
        <v>1.2786592917688601E-5</v>
      </c>
      <c r="S536" s="3">
        <v>17032822.079999998</v>
      </c>
      <c r="T536" s="4">
        <v>0.2159955944929744</v>
      </c>
    </row>
    <row r="537" spans="1:20" x14ac:dyDescent="0.4">
      <c r="A537" s="2">
        <v>45912</v>
      </c>
      <c r="B537" t="s">
        <v>33</v>
      </c>
      <c r="C537" t="s">
        <v>22</v>
      </c>
      <c r="D537" s="3" t="str">
        <f t="shared" si="36"/>
        <v>PASS</v>
      </c>
      <c r="E537" s="3" t="str">
        <f t="shared" si="37"/>
        <v>PASS</v>
      </c>
      <c r="F537" s="3" t="str">
        <f t="shared" si="38"/>
        <v>PASS</v>
      </c>
      <c r="G537" s="3" t="str">
        <f t="shared" si="39"/>
        <v>FAIL</v>
      </c>
      <c r="H537" s="3">
        <v>166972047.44</v>
      </c>
      <c r="I537" s="4">
        <v>0</v>
      </c>
      <c r="J537" s="3">
        <v>142728400.84</v>
      </c>
      <c r="K537" s="3">
        <v>31085.7</v>
      </c>
      <c r="L537" s="3">
        <v>0</v>
      </c>
      <c r="M537" t="s">
        <v>23</v>
      </c>
      <c r="N537" t="s">
        <v>479</v>
      </c>
      <c r="O537" s="4">
        <v>0.25642062844259911</v>
      </c>
      <c r="P537" s="4">
        <v>0.74357937155740084</v>
      </c>
      <c r="Q537" t="s">
        <v>576</v>
      </c>
      <c r="R537" s="4">
        <v>2.558173016743046E-5</v>
      </c>
      <c r="S537" s="3">
        <v>47454116.880000003</v>
      </c>
      <c r="T537" s="4">
        <v>0.28420395873178861</v>
      </c>
    </row>
    <row r="538" spans="1:20" x14ac:dyDescent="0.4">
      <c r="A538" s="2">
        <v>45915</v>
      </c>
      <c r="B538" t="s">
        <v>21</v>
      </c>
      <c r="C538" t="s">
        <v>22</v>
      </c>
      <c r="D538" s="3" t="str">
        <f t="shared" si="36"/>
        <v>PASS</v>
      </c>
      <c r="E538" s="3" t="str">
        <f t="shared" si="37"/>
        <v>PASS</v>
      </c>
      <c r="F538" s="3" t="str">
        <f t="shared" si="38"/>
        <v>PASS</v>
      </c>
      <c r="G538" s="3" t="str">
        <f t="shared" si="39"/>
        <v>FAIL</v>
      </c>
      <c r="H538" s="3">
        <v>24790138.030000001</v>
      </c>
      <c r="I538" s="4">
        <v>0</v>
      </c>
      <c r="J538" s="3">
        <v>20815979.260000002</v>
      </c>
      <c r="K538" s="3">
        <v>1506.11</v>
      </c>
      <c r="L538" s="3">
        <v>0</v>
      </c>
      <c r="M538" t="s">
        <v>23</v>
      </c>
      <c r="N538" t="s">
        <v>479</v>
      </c>
      <c r="O538" s="4">
        <v>0.25801820961268579</v>
      </c>
      <c r="P538" s="4">
        <v>0.74198179038731427</v>
      </c>
      <c r="Q538" t="s">
        <v>577</v>
      </c>
      <c r="R538" s="4">
        <v>3.6868792809773689E-6</v>
      </c>
      <c r="S538" s="3">
        <v>7923908.7699999986</v>
      </c>
      <c r="T538" s="4">
        <v>0.31963955829575502</v>
      </c>
    </row>
    <row r="539" spans="1:20" x14ac:dyDescent="0.4">
      <c r="A539" s="2">
        <v>45915</v>
      </c>
      <c r="B539" t="s">
        <v>24</v>
      </c>
      <c r="C539" t="s">
        <v>22</v>
      </c>
      <c r="D539" s="3" t="str">
        <f t="shared" si="36"/>
        <v>PASS</v>
      </c>
      <c r="E539" s="3" t="str">
        <f t="shared" si="37"/>
        <v>PASS</v>
      </c>
      <c r="F539" s="3" t="str">
        <f t="shared" si="38"/>
        <v>PASS</v>
      </c>
      <c r="G539" s="3" t="str">
        <f t="shared" si="39"/>
        <v>FAIL</v>
      </c>
      <c r="H539" s="3">
        <v>136342508.08000001</v>
      </c>
      <c r="I539" s="4">
        <v>0</v>
      </c>
      <c r="J539" s="3">
        <v>120968358.45999999</v>
      </c>
      <c r="K539" s="3">
        <v>8746.27</v>
      </c>
      <c r="L539" s="3">
        <v>0</v>
      </c>
      <c r="M539" t="s">
        <v>23</v>
      </c>
      <c r="N539" t="s">
        <v>479</v>
      </c>
      <c r="O539" s="4">
        <v>0.26467418379151569</v>
      </c>
      <c r="P539" s="4">
        <v>0.73532581620848425</v>
      </c>
      <c r="Q539" t="s">
        <v>578</v>
      </c>
      <c r="R539" s="4">
        <v>2.1988838539038841E-5</v>
      </c>
      <c r="S539" s="3">
        <v>34054227.969999999</v>
      </c>
      <c r="T539" s="4">
        <v>0.24976970461786149</v>
      </c>
    </row>
    <row r="540" spans="1:20" x14ac:dyDescent="0.4">
      <c r="A540" s="2">
        <v>45915</v>
      </c>
      <c r="B540" t="s">
        <v>25</v>
      </c>
      <c r="C540" t="s">
        <v>22</v>
      </c>
      <c r="D540" s="3" t="str">
        <f t="shared" si="36"/>
        <v>PASS</v>
      </c>
      <c r="E540" s="3" t="str">
        <f t="shared" si="37"/>
        <v>PASS</v>
      </c>
      <c r="F540" s="3" t="str">
        <f t="shared" si="38"/>
        <v>PASS</v>
      </c>
      <c r="G540" s="3" t="str">
        <f t="shared" si="39"/>
        <v>FAIL</v>
      </c>
      <c r="H540" s="3">
        <v>101692799.54000001</v>
      </c>
      <c r="I540" s="4">
        <v>0</v>
      </c>
      <c r="J540" s="3">
        <v>92768193.849999994</v>
      </c>
      <c r="K540" s="3">
        <v>6710.82</v>
      </c>
      <c r="L540" s="3">
        <v>0</v>
      </c>
      <c r="M540" t="s">
        <v>23</v>
      </c>
      <c r="N540" t="s">
        <v>479</v>
      </c>
      <c r="O540" s="4">
        <v>0.25721551395710401</v>
      </c>
      <c r="P540" s="4">
        <v>0.74278448604289604</v>
      </c>
      <c r="Q540" t="s">
        <v>579</v>
      </c>
      <c r="R540" s="4">
        <v>1.6385892795120161E-5</v>
      </c>
      <c r="S540" s="3">
        <v>17494848.02</v>
      </c>
      <c r="T540" s="4">
        <v>0.1720362513288716</v>
      </c>
    </row>
    <row r="541" spans="1:20" x14ac:dyDescent="0.4">
      <c r="A541" s="2">
        <v>45915</v>
      </c>
      <c r="B541" t="s">
        <v>26</v>
      </c>
      <c r="C541" t="s">
        <v>22</v>
      </c>
      <c r="D541" s="3" t="str">
        <f t="shared" si="36"/>
        <v>PASS</v>
      </c>
      <c r="E541" s="3" t="str">
        <f t="shared" si="37"/>
        <v>PASS</v>
      </c>
      <c r="F541" s="3" t="str">
        <f t="shared" si="38"/>
        <v>PASS</v>
      </c>
      <c r="G541" s="3" t="str">
        <f t="shared" si="39"/>
        <v>FAIL</v>
      </c>
      <c r="H541" s="3">
        <v>23531632.140000001</v>
      </c>
      <c r="I541" s="4">
        <v>0</v>
      </c>
      <c r="J541" s="3">
        <v>21602630.559999999</v>
      </c>
      <c r="K541" s="3">
        <v>1562.85</v>
      </c>
      <c r="L541" s="3">
        <v>0</v>
      </c>
      <c r="M541" t="s">
        <v>23</v>
      </c>
      <c r="N541" t="s">
        <v>479</v>
      </c>
      <c r="O541" s="4">
        <v>0.25887510201442798</v>
      </c>
      <c r="P541" s="4">
        <v>0.74112489798557202</v>
      </c>
      <c r="Q541" t="s">
        <v>580</v>
      </c>
      <c r="R541" s="4">
        <v>3.8406772579358684E-6</v>
      </c>
      <c r="S541" s="3">
        <v>3812756.89</v>
      </c>
      <c r="T541" s="4">
        <v>0.16202687800473151</v>
      </c>
    </row>
    <row r="542" spans="1:20" x14ac:dyDescent="0.4">
      <c r="A542" s="2">
        <v>45915</v>
      </c>
      <c r="B542" t="s">
        <v>27</v>
      </c>
      <c r="C542" t="s">
        <v>22</v>
      </c>
      <c r="D542" s="3" t="str">
        <f t="shared" si="36"/>
        <v>PASS</v>
      </c>
      <c r="E542" s="3" t="str">
        <f t="shared" si="37"/>
        <v>PASS</v>
      </c>
      <c r="F542" s="3" t="str">
        <f t="shared" si="38"/>
        <v>PASS</v>
      </c>
      <c r="G542" s="3" t="str">
        <f t="shared" si="39"/>
        <v>FAIL</v>
      </c>
      <c r="H542" s="3">
        <v>43623643</v>
      </c>
      <c r="I542" s="4">
        <v>0</v>
      </c>
      <c r="J542" s="3">
        <v>37246333.229999997</v>
      </c>
      <c r="K542" s="3">
        <v>2693.03</v>
      </c>
      <c r="L542" s="3">
        <v>0</v>
      </c>
      <c r="M542" t="s">
        <v>23</v>
      </c>
      <c r="N542" t="s">
        <v>479</v>
      </c>
      <c r="O542" s="4">
        <v>0.26467834160007059</v>
      </c>
      <c r="P542" s="4">
        <v>0.73532165839992936</v>
      </c>
      <c r="Q542" t="s">
        <v>581</v>
      </c>
      <c r="R542" s="4">
        <v>6.7649749031606768E-6</v>
      </c>
      <c r="S542" s="3">
        <v>14814833.52</v>
      </c>
      <c r="T542" s="4">
        <v>0.33960560148541469</v>
      </c>
    </row>
    <row r="543" spans="1:20" x14ac:dyDescent="0.4">
      <c r="A543" s="2">
        <v>45915</v>
      </c>
      <c r="B543" t="s">
        <v>28</v>
      </c>
      <c r="C543" t="s">
        <v>22</v>
      </c>
      <c r="D543" s="3" t="str">
        <f t="shared" si="36"/>
        <v>PASS</v>
      </c>
      <c r="E543" s="3" t="str">
        <f t="shared" si="37"/>
        <v>PASS</v>
      </c>
      <c r="F543" s="3" t="str">
        <f t="shared" si="38"/>
        <v>PASS</v>
      </c>
      <c r="G543" s="3" t="str">
        <f t="shared" si="39"/>
        <v>FAIL</v>
      </c>
      <c r="H543" s="3">
        <v>15420428.34</v>
      </c>
      <c r="I543" s="4">
        <v>0</v>
      </c>
      <c r="J543" s="3">
        <v>13759497.119999999</v>
      </c>
      <c r="K543" s="3">
        <v>995.64</v>
      </c>
      <c r="L543" s="3">
        <v>0</v>
      </c>
      <c r="M543" t="s">
        <v>23</v>
      </c>
      <c r="N543" t="s">
        <v>479</v>
      </c>
      <c r="O543" s="4">
        <v>0.25873626114033449</v>
      </c>
      <c r="P543" s="4">
        <v>0.74126373885966546</v>
      </c>
      <c r="Q543" t="s">
        <v>582</v>
      </c>
      <c r="R543" s="4">
        <v>2.443678967229496E-6</v>
      </c>
      <c r="S543" s="3">
        <v>4110803.61</v>
      </c>
      <c r="T543" s="4">
        <v>0.26658167460476651</v>
      </c>
    </row>
    <row r="544" spans="1:20" x14ac:dyDescent="0.4">
      <c r="A544" s="2">
        <v>45915</v>
      </c>
      <c r="B544" t="s">
        <v>29</v>
      </c>
      <c r="C544" t="s">
        <v>22</v>
      </c>
      <c r="D544" s="3" t="str">
        <f t="shared" si="36"/>
        <v>PASS</v>
      </c>
      <c r="E544" s="3" t="str">
        <f t="shared" si="37"/>
        <v>PASS</v>
      </c>
      <c r="F544" s="3" t="str">
        <f t="shared" si="38"/>
        <v>PASS</v>
      </c>
      <c r="G544" s="3" t="str">
        <f t="shared" si="39"/>
        <v>FAIL</v>
      </c>
      <c r="H544" s="3">
        <v>34788721.609999999</v>
      </c>
      <c r="I544" s="4">
        <v>0</v>
      </c>
      <c r="J544" s="3">
        <v>32603078.350000001</v>
      </c>
      <c r="K544" s="3">
        <v>2357.0500000000002</v>
      </c>
      <c r="L544" s="3">
        <v>0</v>
      </c>
      <c r="M544" t="s">
        <v>23</v>
      </c>
      <c r="N544" t="s">
        <v>479</v>
      </c>
      <c r="O544" s="4">
        <v>0.26029391147968078</v>
      </c>
      <c r="P544" s="4">
        <v>0.73970608852031916</v>
      </c>
      <c r="Q544" t="s">
        <v>583</v>
      </c>
      <c r="R544" s="4">
        <v>5.8272344603164904E-6</v>
      </c>
      <c r="S544" s="3">
        <v>4421627.8</v>
      </c>
      <c r="T544" s="4">
        <v>0.12709946199141181</v>
      </c>
    </row>
    <row r="545" spans="1:20" x14ac:dyDescent="0.4">
      <c r="A545" s="2">
        <v>45915</v>
      </c>
      <c r="B545" t="s">
        <v>30</v>
      </c>
      <c r="C545" t="s">
        <v>22</v>
      </c>
      <c r="D545" s="3" t="str">
        <f t="shared" si="36"/>
        <v>PASS</v>
      </c>
      <c r="E545" s="3" t="str">
        <f t="shared" si="37"/>
        <v>PASS</v>
      </c>
      <c r="F545" s="3" t="str">
        <f t="shared" si="38"/>
        <v>PASS</v>
      </c>
      <c r="G545" s="3" t="str">
        <f t="shared" si="39"/>
        <v>FAIL</v>
      </c>
      <c r="H545" s="3">
        <v>54413596.82</v>
      </c>
      <c r="I545" s="4">
        <v>0</v>
      </c>
      <c r="J545" s="3">
        <v>49920300.450000003</v>
      </c>
      <c r="K545" s="3">
        <v>3638.25</v>
      </c>
      <c r="L545" s="3">
        <v>0</v>
      </c>
      <c r="M545" t="s">
        <v>23</v>
      </c>
      <c r="N545" t="s">
        <v>584</v>
      </c>
      <c r="O545" s="4">
        <v>0.25712315840038169</v>
      </c>
      <c r="P545" s="4">
        <v>0.74287684159961831</v>
      </c>
      <c r="Q545" t="s">
        <v>585</v>
      </c>
      <c r="R545" s="4">
        <v>7.508519598011193E-5</v>
      </c>
      <c r="S545" s="3">
        <v>9305272.8000000007</v>
      </c>
      <c r="T545" s="4">
        <v>0.17101006630349791</v>
      </c>
    </row>
    <row r="546" spans="1:20" x14ac:dyDescent="0.4">
      <c r="A546" s="2">
        <v>45915</v>
      </c>
      <c r="B546" t="s">
        <v>31</v>
      </c>
      <c r="C546" t="s">
        <v>22</v>
      </c>
      <c r="D546" s="3" t="str">
        <f t="shared" si="36"/>
        <v>PASS</v>
      </c>
      <c r="E546" s="3" t="str">
        <f t="shared" si="37"/>
        <v>PASS</v>
      </c>
      <c r="F546" s="3" t="str">
        <f t="shared" si="38"/>
        <v>PASS</v>
      </c>
      <c r="G546" s="3" t="str">
        <f t="shared" si="39"/>
        <v>FAIL</v>
      </c>
      <c r="H546" s="3">
        <v>40477589.950000003</v>
      </c>
      <c r="I546" s="4">
        <v>0</v>
      </c>
      <c r="J546" s="3">
        <v>35240383.920000002</v>
      </c>
      <c r="K546" s="3">
        <v>2549.31</v>
      </c>
      <c r="L546" s="3">
        <v>0</v>
      </c>
      <c r="M546" t="s">
        <v>23</v>
      </c>
      <c r="N546" t="s">
        <v>479</v>
      </c>
      <c r="O546" s="4">
        <v>0.25719454250485929</v>
      </c>
      <c r="P546" s="4">
        <v>0.74280545749514071</v>
      </c>
      <c r="Q546" t="s">
        <v>586</v>
      </c>
      <c r="R546" s="4">
        <v>6.2202737347659899E-6</v>
      </c>
      <c r="S546" s="3">
        <v>10784588.4</v>
      </c>
      <c r="T546" s="4">
        <v>0.26643356023225878</v>
      </c>
    </row>
    <row r="547" spans="1:20" x14ac:dyDescent="0.4">
      <c r="A547" s="2">
        <v>45915</v>
      </c>
      <c r="B547" t="s">
        <v>32</v>
      </c>
      <c r="C547" t="s">
        <v>22</v>
      </c>
      <c r="D547" s="3" t="str">
        <f t="shared" si="36"/>
        <v>PASS</v>
      </c>
      <c r="E547" s="3" t="str">
        <f t="shared" si="37"/>
        <v>PASS</v>
      </c>
      <c r="F547" s="3" t="str">
        <f t="shared" si="38"/>
        <v>PASS</v>
      </c>
      <c r="G547" s="3" t="str">
        <f t="shared" si="39"/>
        <v>FAIL</v>
      </c>
      <c r="H547" s="3">
        <v>79157184.760000005</v>
      </c>
      <c r="I547" s="4">
        <v>0</v>
      </c>
      <c r="J547" s="3">
        <v>71266758.989999995</v>
      </c>
      <c r="K547" s="3">
        <v>5152</v>
      </c>
      <c r="L547" s="3">
        <v>0</v>
      </c>
      <c r="M547" t="s">
        <v>23</v>
      </c>
      <c r="N547" t="s">
        <v>479</v>
      </c>
      <c r="O547" s="4">
        <v>0.2600171948692121</v>
      </c>
      <c r="P547" s="4">
        <v>0.73998280513078796</v>
      </c>
      <c r="Q547" t="s">
        <v>587</v>
      </c>
      <c r="R547" s="4">
        <v>1.271610217824929E-5</v>
      </c>
      <c r="S547" s="3">
        <v>17358426.120000001</v>
      </c>
      <c r="T547" s="4">
        <v>0.21929059468991649</v>
      </c>
    </row>
    <row r="548" spans="1:20" x14ac:dyDescent="0.4">
      <c r="A548" s="2">
        <v>45915</v>
      </c>
      <c r="B548" t="s">
        <v>33</v>
      </c>
      <c r="C548" t="s">
        <v>22</v>
      </c>
      <c r="D548" s="3" t="str">
        <f t="shared" si="36"/>
        <v>PASS</v>
      </c>
      <c r="E548" s="3" t="str">
        <f t="shared" si="37"/>
        <v>PASS</v>
      </c>
      <c r="F548" s="3" t="str">
        <f t="shared" si="38"/>
        <v>PASS</v>
      </c>
      <c r="G548" s="3" t="str">
        <f t="shared" si="39"/>
        <v>FAIL</v>
      </c>
      <c r="H548" s="3">
        <v>167463286.09</v>
      </c>
      <c r="I548" s="4">
        <v>0</v>
      </c>
      <c r="J548" s="3">
        <v>143240141.62</v>
      </c>
      <c r="K548" s="3">
        <v>10363.02</v>
      </c>
      <c r="L548" s="3">
        <v>0</v>
      </c>
      <c r="M548" t="s">
        <v>23</v>
      </c>
      <c r="N548" t="s">
        <v>479</v>
      </c>
      <c r="O548" s="4">
        <v>0.25820405007778852</v>
      </c>
      <c r="P548" s="4">
        <v>0.74179594992221154</v>
      </c>
      <c r="Q548" t="s">
        <v>588</v>
      </c>
      <c r="R548" s="4">
        <v>2.5400163111298899E-5</v>
      </c>
      <c r="S548" s="3">
        <v>48261474.880000003</v>
      </c>
      <c r="T548" s="4">
        <v>0.28819137619252722</v>
      </c>
    </row>
    <row r="549" spans="1:20" x14ac:dyDescent="0.4">
      <c r="A549" s="2">
        <v>45916</v>
      </c>
      <c r="B549" t="s">
        <v>21</v>
      </c>
      <c r="C549" t="s">
        <v>22</v>
      </c>
      <c r="D549" s="3" t="str">
        <f t="shared" si="36"/>
        <v>PASS</v>
      </c>
      <c r="E549" s="3" t="str">
        <f t="shared" si="37"/>
        <v>PASS</v>
      </c>
      <c r="F549" s="3" t="str">
        <f t="shared" si="38"/>
        <v>PASS</v>
      </c>
      <c r="G549" s="3" t="str">
        <f t="shared" si="39"/>
        <v>FAIL</v>
      </c>
      <c r="H549" s="3">
        <v>24794543.690000001</v>
      </c>
      <c r="I549" s="4">
        <v>0</v>
      </c>
      <c r="J549" s="3">
        <v>20818873.620000001</v>
      </c>
      <c r="K549" s="3">
        <v>1511.85</v>
      </c>
      <c r="L549" s="3">
        <v>0</v>
      </c>
      <c r="M549" t="s">
        <v>23</v>
      </c>
      <c r="N549" t="s">
        <v>479</v>
      </c>
      <c r="O549" s="4">
        <v>0.25638708786205688</v>
      </c>
      <c r="P549" s="4">
        <v>0.74361291213794312</v>
      </c>
      <c r="Q549" t="s">
        <v>589</v>
      </c>
      <c r="R549" s="4">
        <v>3.6868792809773689E-6</v>
      </c>
      <c r="S549" s="3">
        <v>7934757.0000000009</v>
      </c>
      <c r="T549" s="4">
        <v>0.32002028749576072</v>
      </c>
    </row>
    <row r="550" spans="1:20" x14ac:dyDescent="0.4">
      <c r="A550" s="2">
        <v>45916</v>
      </c>
      <c r="B550" t="s">
        <v>24</v>
      </c>
      <c r="C550" t="s">
        <v>22</v>
      </c>
      <c r="D550" s="3" t="str">
        <f t="shared" si="36"/>
        <v>PASS</v>
      </c>
      <c r="E550" s="3" t="str">
        <f t="shared" si="37"/>
        <v>PASS</v>
      </c>
      <c r="F550" s="3" t="str">
        <f t="shared" si="38"/>
        <v>PASS</v>
      </c>
      <c r="G550" s="3" t="str">
        <f t="shared" si="39"/>
        <v>FAIL</v>
      </c>
      <c r="H550" s="3">
        <v>136371727.21000001</v>
      </c>
      <c r="I550" s="4">
        <v>0</v>
      </c>
      <c r="J550" s="3">
        <v>120988794.95999999</v>
      </c>
      <c r="K550" s="3">
        <v>8783.18</v>
      </c>
      <c r="L550" s="3">
        <v>0</v>
      </c>
      <c r="M550" t="s">
        <v>23</v>
      </c>
      <c r="N550" t="s">
        <v>479</v>
      </c>
      <c r="O550" s="4">
        <v>0.2630379762896351</v>
      </c>
      <c r="P550" s="4">
        <v>0.7369620237103649</v>
      </c>
      <c r="Q550" t="s">
        <v>590</v>
      </c>
      <c r="R550" s="4">
        <v>2.1988838539038841E-5</v>
      </c>
      <c r="S550" s="3">
        <v>34121461.700000003</v>
      </c>
      <c r="T550" s="4">
        <v>0.25020920683549058</v>
      </c>
    </row>
    <row r="551" spans="1:20" x14ac:dyDescent="0.4">
      <c r="A551" s="2">
        <v>45916</v>
      </c>
      <c r="B551" t="s">
        <v>25</v>
      </c>
      <c r="C551" t="s">
        <v>22</v>
      </c>
      <c r="D551" s="3" t="str">
        <f t="shared" si="36"/>
        <v>PASS</v>
      </c>
      <c r="E551" s="3" t="str">
        <f t="shared" si="37"/>
        <v>PASS</v>
      </c>
      <c r="F551" s="3" t="str">
        <f t="shared" si="38"/>
        <v>PASS</v>
      </c>
      <c r="G551" s="3" t="str">
        <f t="shared" si="39"/>
        <v>FAIL</v>
      </c>
      <c r="H551" s="3">
        <v>101740630.58</v>
      </c>
      <c r="I551" s="4">
        <v>0</v>
      </c>
      <c r="J551" s="3">
        <v>92809289.659999996</v>
      </c>
      <c r="K551" s="3">
        <v>6735.91</v>
      </c>
      <c r="L551" s="3">
        <v>0</v>
      </c>
      <c r="M551" t="s">
        <v>23</v>
      </c>
      <c r="N551" t="s">
        <v>479</v>
      </c>
      <c r="O551" s="4">
        <v>0.25554949312603109</v>
      </c>
      <c r="P551" s="4">
        <v>0.74445050687396885</v>
      </c>
      <c r="Q551" t="s">
        <v>591</v>
      </c>
      <c r="R551" s="4">
        <v>1.6385892795120161E-5</v>
      </c>
      <c r="S551" s="3">
        <v>17554324.41</v>
      </c>
      <c r="T551" s="4">
        <v>0.1725399607799443</v>
      </c>
    </row>
    <row r="552" spans="1:20" x14ac:dyDescent="0.4">
      <c r="A552" s="2">
        <v>45916</v>
      </c>
      <c r="B552" t="s">
        <v>26</v>
      </c>
      <c r="C552" t="s">
        <v>22</v>
      </c>
      <c r="D552" s="3" t="str">
        <f t="shared" si="36"/>
        <v>PASS</v>
      </c>
      <c r="E552" s="3" t="str">
        <f t="shared" si="37"/>
        <v>PASS</v>
      </c>
      <c r="F552" s="3" t="str">
        <f t="shared" si="38"/>
        <v>PASS</v>
      </c>
      <c r="G552" s="3" t="str">
        <f t="shared" si="39"/>
        <v>FAIL</v>
      </c>
      <c r="H552" s="3">
        <v>23540077.899999999</v>
      </c>
      <c r="I552" s="4">
        <v>0</v>
      </c>
      <c r="J552" s="3">
        <v>21609507.91</v>
      </c>
      <c r="K552" s="3">
        <v>1569.12</v>
      </c>
      <c r="L552" s="3">
        <v>0</v>
      </c>
      <c r="M552" t="s">
        <v>23</v>
      </c>
      <c r="N552" t="s">
        <v>479</v>
      </c>
      <c r="O552" s="4">
        <v>0.25724378607564502</v>
      </c>
      <c r="P552" s="4">
        <v>0.74275621392435498</v>
      </c>
      <c r="Q552" t="s">
        <v>592</v>
      </c>
      <c r="R552" s="4">
        <v>3.8406772579358684E-6</v>
      </c>
      <c r="S552" s="3">
        <v>3824476.48</v>
      </c>
      <c r="T552" s="4">
        <v>0.16246660254255149</v>
      </c>
    </row>
    <row r="553" spans="1:20" x14ac:dyDescent="0.4">
      <c r="A553" s="2">
        <v>45916</v>
      </c>
      <c r="B553" t="s">
        <v>27</v>
      </c>
      <c r="C553" t="s">
        <v>22</v>
      </c>
      <c r="D553" s="3" t="str">
        <f t="shared" si="36"/>
        <v>PASS</v>
      </c>
      <c r="E553" s="3" t="str">
        <f t="shared" si="37"/>
        <v>PASS</v>
      </c>
      <c r="F553" s="3" t="str">
        <f t="shared" si="38"/>
        <v>PASS</v>
      </c>
      <c r="G553" s="3" t="str">
        <f t="shared" si="39"/>
        <v>FAIL</v>
      </c>
      <c r="H553" s="3">
        <v>43624531.920000002</v>
      </c>
      <c r="I553" s="4">
        <v>0</v>
      </c>
      <c r="J553" s="3">
        <v>37244517.960000001</v>
      </c>
      <c r="K553" s="3">
        <v>2704.74</v>
      </c>
      <c r="L553" s="3">
        <v>0</v>
      </c>
      <c r="M553" t="s">
        <v>23</v>
      </c>
      <c r="N553" t="s">
        <v>479</v>
      </c>
      <c r="O553" s="4">
        <v>0.26305754099226902</v>
      </c>
      <c r="P553" s="4">
        <v>0.73694245900773103</v>
      </c>
      <c r="Q553" t="s">
        <v>593</v>
      </c>
      <c r="R553" s="4">
        <v>6.7649749031606768E-6</v>
      </c>
      <c r="S553" s="3">
        <v>14821825.32</v>
      </c>
      <c r="T553" s="4">
        <v>0.33975895368185771</v>
      </c>
    </row>
    <row r="554" spans="1:20" x14ac:dyDescent="0.4">
      <c r="A554" s="2">
        <v>45916</v>
      </c>
      <c r="B554" t="s">
        <v>28</v>
      </c>
      <c r="C554" t="s">
        <v>22</v>
      </c>
      <c r="D554" s="3" t="str">
        <f t="shared" si="36"/>
        <v>PASS</v>
      </c>
      <c r="E554" s="3" t="str">
        <f t="shared" si="37"/>
        <v>PASS</v>
      </c>
      <c r="F554" s="3" t="str">
        <f t="shared" si="38"/>
        <v>PASS</v>
      </c>
      <c r="G554" s="3" t="str">
        <f t="shared" si="39"/>
        <v>FAIL</v>
      </c>
      <c r="H554" s="3">
        <v>15424565.25</v>
      </c>
      <c r="I554" s="4">
        <v>0</v>
      </c>
      <c r="J554" s="3">
        <v>13762635.050000001</v>
      </c>
      <c r="K554" s="3">
        <v>999.69</v>
      </c>
      <c r="L554" s="3">
        <v>0</v>
      </c>
      <c r="M554" t="s">
        <v>23</v>
      </c>
      <c r="N554" t="s">
        <v>479</v>
      </c>
      <c r="O554" s="4">
        <v>0.25709122323925898</v>
      </c>
      <c r="P554" s="4">
        <v>0.74290877676074096</v>
      </c>
      <c r="Q554" t="s">
        <v>594</v>
      </c>
      <c r="R554" s="4">
        <v>2.443678967229496E-6</v>
      </c>
      <c r="S554" s="3">
        <v>4118622.8</v>
      </c>
      <c r="T554" s="4">
        <v>0.2670171076620782</v>
      </c>
    </row>
    <row r="555" spans="1:20" x14ac:dyDescent="0.4">
      <c r="A555" s="2">
        <v>45916</v>
      </c>
      <c r="B555" t="s">
        <v>29</v>
      </c>
      <c r="C555" t="s">
        <v>22</v>
      </c>
      <c r="D555" s="3" t="str">
        <f t="shared" si="36"/>
        <v>PASS</v>
      </c>
      <c r="E555" s="3" t="str">
        <f t="shared" si="37"/>
        <v>PASS</v>
      </c>
      <c r="F555" s="3" t="str">
        <f t="shared" si="38"/>
        <v>PASS</v>
      </c>
      <c r="G555" s="3" t="str">
        <f t="shared" si="39"/>
        <v>FAIL</v>
      </c>
      <c r="H555" s="3">
        <v>34789572.75</v>
      </c>
      <c r="I555" s="4">
        <v>0</v>
      </c>
      <c r="J555" s="3">
        <v>32601562.420000002</v>
      </c>
      <c r="K555" s="3">
        <v>2367.0700000000002</v>
      </c>
      <c r="L555" s="3">
        <v>0</v>
      </c>
      <c r="M555" t="s">
        <v>23</v>
      </c>
      <c r="N555" t="s">
        <v>479</v>
      </c>
      <c r="O555" s="4">
        <v>0.25873297915394822</v>
      </c>
      <c r="P555" s="4">
        <v>0.74126702084605189</v>
      </c>
      <c r="Q555" t="s">
        <v>595</v>
      </c>
      <c r="R555" s="4">
        <v>5.8272344603164904E-6</v>
      </c>
      <c r="S555" s="3">
        <v>4430002.34</v>
      </c>
      <c r="T555" s="4">
        <v>0.12733707228410851</v>
      </c>
    </row>
    <row r="556" spans="1:20" x14ac:dyDescent="0.4">
      <c r="A556" s="2">
        <v>45916</v>
      </c>
      <c r="B556" t="s">
        <v>30</v>
      </c>
      <c r="C556" t="s">
        <v>22</v>
      </c>
      <c r="D556" s="3" t="str">
        <f t="shared" si="36"/>
        <v>PASS</v>
      </c>
      <c r="E556" s="3" t="str">
        <f t="shared" si="37"/>
        <v>PASS</v>
      </c>
      <c r="F556" s="3" t="str">
        <f t="shared" si="38"/>
        <v>PASS</v>
      </c>
      <c r="G556" s="3" t="str">
        <f t="shared" si="39"/>
        <v>FAIL</v>
      </c>
      <c r="H556" s="3">
        <v>54335983.289999999</v>
      </c>
      <c r="I556" s="4">
        <v>0</v>
      </c>
      <c r="J556" s="3">
        <v>49839062.57</v>
      </c>
      <c r="K556" s="3">
        <v>3625.03</v>
      </c>
      <c r="L556" s="3">
        <v>0</v>
      </c>
      <c r="M556" t="s">
        <v>23</v>
      </c>
      <c r="N556" t="s">
        <v>596</v>
      </c>
      <c r="O556" s="4">
        <v>0.25709628751550567</v>
      </c>
      <c r="P556" s="4">
        <v>0.74290371248449427</v>
      </c>
      <c r="Q556" t="s">
        <v>597</v>
      </c>
      <c r="R556" s="4">
        <v>7.508519598011193E-5</v>
      </c>
      <c r="S556" s="3">
        <v>9347389.0499999989</v>
      </c>
      <c r="T556" s="4">
        <v>0.17202944502009759</v>
      </c>
    </row>
    <row r="557" spans="1:20" x14ac:dyDescent="0.4">
      <c r="A557" s="2">
        <v>45916</v>
      </c>
      <c r="B557" t="s">
        <v>31</v>
      </c>
      <c r="C557" t="s">
        <v>22</v>
      </c>
      <c r="D557" s="3" t="str">
        <f t="shared" si="36"/>
        <v>PASS</v>
      </c>
      <c r="E557" s="3" t="str">
        <f t="shared" si="37"/>
        <v>PASS</v>
      </c>
      <c r="F557" s="3" t="str">
        <f t="shared" si="38"/>
        <v>PASS</v>
      </c>
      <c r="G557" s="3" t="str">
        <f t="shared" si="39"/>
        <v>FAIL</v>
      </c>
      <c r="H557" s="3">
        <v>40487727.009999998</v>
      </c>
      <c r="I557" s="4">
        <v>0</v>
      </c>
      <c r="J557" s="3">
        <v>35247962.43</v>
      </c>
      <c r="K557" s="3">
        <v>2559.23</v>
      </c>
      <c r="L557" s="3">
        <v>0</v>
      </c>
      <c r="M557" t="s">
        <v>23</v>
      </c>
      <c r="N557" t="s">
        <v>479</v>
      </c>
      <c r="O557" s="4">
        <v>0.25555126847086812</v>
      </c>
      <c r="P557" s="4">
        <v>0.74444873152913194</v>
      </c>
      <c r="Q557" t="s">
        <v>598</v>
      </c>
      <c r="R557" s="4">
        <v>6.2202737347659899E-6</v>
      </c>
      <c r="S557" s="3">
        <v>10804189.220000001</v>
      </c>
      <c r="T557" s="4">
        <v>0.26685096985887818</v>
      </c>
    </row>
    <row r="558" spans="1:20" x14ac:dyDescent="0.4">
      <c r="A558" s="2">
        <v>45916</v>
      </c>
      <c r="B558" t="s">
        <v>32</v>
      </c>
      <c r="C558" t="s">
        <v>22</v>
      </c>
      <c r="D558" s="3" t="str">
        <f t="shared" si="36"/>
        <v>PASS</v>
      </c>
      <c r="E558" s="3" t="str">
        <f t="shared" si="37"/>
        <v>PASS</v>
      </c>
      <c r="F558" s="3" t="str">
        <f t="shared" si="38"/>
        <v>PASS</v>
      </c>
      <c r="G558" s="3" t="str">
        <f t="shared" si="39"/>
        <v>FAIL</v>
      </c>
      <c r="H558" s="3">
        <v>79177985.060000002</v>
      </c>
      <c r="I558" s="4">
        <v>0</v>
      </c>
      <c r="J558" s="3">
        <v>71282385.129999995</v>
      </c>
      <c r="K558" s="3">
        <v>5174.16</v>
      </c>
      <c r="L558" s="3">
        <v>0</v>
      </c>
      <c r="M558" t="s">
        <v>23</v>
      </c>
      <c r="N558" t="s">
        <v>479</v>
      </c>
      <c r="O558" s="4">
        <v>0.25834971033046289</v>
      </c>
      <c r="P558" s="4">
        <v>0.74165028966953706</v>
      </c>
      <c r="Q558" t="s">
        <v>599</v>
      </c>
      <c r="R558" s="4">
        <v>1.271610217824929E-5</v>
      </c>
      <c r="S558" s="3">
        <v>17399142.440000001</v>
      </c>
      <c r="T558" s="4">
        <v>0.21974722426713891</v>
      </c>
    </row>
    <row r="559" spans="1:20" x14ac:dyDescent="0.4">
      <c r="A559" s="2">
        <v>45916</v>
      </c>
      <c r="B559" t="s">
        <v>33</v>
      </c>
      <c r="C559" t="s">
        <v>22</v>
      </c>
      <c r="D559" s="3" t="str">
        <f t="shared" si="36"/>
        <v>PASS</v>
      </c>
      <c r="E559" s="3" t="str">
        <f t="shared" si="37"/>
        <v>PASS</v>
      </c>
      <c r="F559" s="3" t="str">
        <f t="shared" si="38"/>
        <v>PASS</v>
      </c>
      <c r="G559" s="3" t="str">
        <f t="shared" si="39"/>
        <v>FAIL</v>
      </c>
      <c r="H559" s="3">
        <v>167544928.38</v>
      </c>
      <c r="I559" s="4">
        <v>0</v>
      </c>
      <c r="J559" s="3">
        <v>143311384.28</v>
      </c>
      <c r="K559" s="3">
        <v>10400.18</v>
      </c>
      <c r="L559" s="3">
        <v>0</v>
      </c>
      <c r="M559" t="s">
        <v>23</v>
      </c>
      <c r="N559" t="s">
        <v>479</v>
      </c>
      <c r="O559" s="4">
        <v>0.25652059935569549</v>
      </c>
      <c r="P559" s="4">
        <v>0.7434794006443044</v>
      </c>
      <c r="Q559" t="s">
        <v>600</v>
      </c>
      <c r="R559" s="4">
        <v>2.5400163111298899E-5</v>
      </c>
      <c r="S559" s="3">
        <v>48355682.900000013</v>
      </c>
      <c r="T559" s="4">
        <v>0.28861322970234582</v>
      </c>
    </row>
    <row r="560" spans="1:20" x14ac:dyDescent="0.4">
      <c r="A560" s="2">
        <v>45917</v>
      </c>
      <c r="B560" t="s">
        <v>21</v>
      </c>
      <c r="C560" t="s">
        <v>22</v>
      </c>
      <c r="D560" s="3" t="str">
        <f t="shared" si="36"/>
        <v>PASS</v>
      </c>
      <c r="E560" s="3" t="str">
        <f t="shared" si="37"/>
        <v>PASS</v>
      </c>
      <c r="F560" s="3" t="str">
        <f t="shared" si="38"/>
        <v>PASS</v>
      </c>
      <c r="G560" s="3" t="str">
        <f t="shared" si="39"/>
        <v>FAIL</v>
      </c>
      <c r="H560" s="3">
        <v>24781783.140000001</v>
      </c>
      <c r="I560" s="4">
        <v>0</v>
      </c>
      <c r="J560" s="3">
        <v>20804601.559999999</v>
      </c>
      <c r="K560" s="3">
        <v>1512.06</v>
      </c>
      <c r="L560" s="3">
        <v>0</v>
      </c>
      <c r="M560" t="s">
        <v>23</v>
      </c>
      <c r="N560" t="s">
        <v>479</v>
      </c>
      <c r="O560" s="4">
        <v>0.25537363956130488</v>
      </c>
      <c r="P560" s="4">
        <v>0.74462636043869512</v>
      </c>
      <c r="Q560" t="s">
        <v>601</v>
      </c>
      <c r="R560" s="4">
        <v>3.6954236130306192E-6</v>
      </c>
      <c r="S560" s="3">
        <v>7893339.8399999999</v>
      </c>
      <c r="T560" s="4">
        <v>0.3185137968243878</v>
      </c>
    </row>
    <row r="561" spans="1:20" x14ac:dyDescent="0.4">
      <c r="A561" s="2">
        <v>45917</v>
      </c>
      <c r="B561" t="s">
        <v>24</v>
      </c>
      <c r="C561" t="s">
        <v>22</v>
      </c>
      <c r="D561" s="3" t="str">
        <f t="shared" si="36"/>
        <v>PASS</v>
      </c>
      <c r="E561" s="3" t="str">
        <f t="shared" si="37"/>
        <v>PASS</v>
      </c>
      <c r="F561" s="3" t="str">
        <f t="shared" si="38"/>
        <v>PASS</v>
      </c>
      <c r="G561" s="3" t="str">
        <f t="shared" si="39"/>
        <v>FAIL</v>
      </c>
      <c r="H561" s="3">
        <v>136323076.80000001</v>
      </c>
      <c r="I561" s="4">
        <v>0</v>
      </c>
      <c r="J561" s="3">
        <v>120931360.43000001</v>
      </c>
      <c r="K561" s="3">
        <v>8784.67</v>
      </c>
      <c r="L561" s="3">
        <v>0</v>
      </c>
      <c r="M561" t="s">
        <v>23</v>
      </c>
      <c r="N561" t="s">
        <v>479</v>
      </c>
      <c r="O561" s="4">
        <v>0.26217575108114582</v>
      </c>
      <c r="P561" s="4">
        <v>0.73782424891885423</v>
      </c>
      <c r="Q561" t="s">
        <v>602</v>
      </c>
      <c r="R561" s="4">
        <v>2.2063601444504781E-5</v>
      </c>
      <c r="S561" s="3">
        <v>33993666.079999998</v>
      </c>
      <c r="T561" s="4">
        <v>0.24936105374053591</v>
      </c>
    </row>
    <row r="562" spans="1:20" x14ac:dyDescent="0.4">
      <c r="A562" s="2">
        <v>45917</v>
      </c>
      <c r="B562" t="s">
        <v>25</v>
      </c>
      <c r="C562" t="s">
        <v>22</v>
      </c>
      <c r="D562" s="3" t="str">
        <f t="shared" si="36"/>
        <v>PASS</v>
      </c>
      <c r="E562" s="3" t="str">
        <f t="shared" si="37"/>
        <v>PASS</v>
      </c>
      <c r="F562" s="3" t="str">
        <f t="shared" si="38"/>
        <v>PASS</v>
      </c>
      <c r="G562" s="3" t="str">
        <f t="shared" si="39"/>
        <v>FAIL</v>
      </c>
      <c r="H562" s="3">
        <v>101694823.14</v>
      </c>
      <c r="I562" s="4">
        <v>0</v>
      </c>
      <c r="J562" s="3">
        <v>92756744.010000005</v>
      </c>
      <c r="K562" s="3">
        <v>6738.89</v>
      </c>
      <c r="L562" s="3">
        <v>0</v>
      </c>
      <c r="M562" t="s">
        <v>23</v>
      </c>
      <c r="N562" t="s">
        <v>479</v>
      </c>
      <c r="O562" s="4">
        <v>0.25471170147426558</v>
      </c>
      <c r="P562" s="4">
        <v>0.74528829852573431</v>
      </c>
      <c r="Q562" t="s">
        <v>603</v>
      </c>
      <c r="R562" s="4">
        <v>1.644143095346629E-5</v>
      </c>
      <c r="S562" s="3">
        <v>17464899.059999999</v>
      </c>
      <c r="T562" s="4">
        <v>0.1717383296488616</v>
      </c>
    </row>
    <row r="563" spans="1:20" x14ac:dyDescent="0.4">
      <c r="A563" s="2">
        <v>45917</v>
      </c>
      <c r="B563" t="s">
        <v>26</v>
      </c>
      <c r="C563" t="s">
        <v>22</v>
      </c>
      <c r="D563" s="3" t="str">
        <f t="shared" si="36"/>
        <v>PASS</v>
      </c>
      <c r="E563" s="3" t="str">
        <f t="shared" si="37"/>
        <v>PASS</v>
      </c>
      <c r="F563" s="3" t="str">
        <f t="shared" si="38"/>
        <v>PASS</v>
      </c>
      <c r="G563" s="3" t="str">
        <f t="shared" si="39"/>
        <v>FAIL</v>
      </c>
      <c r="H563" s="3">
        <v>23531999.620000001</v>
      </c>
      <c r="I563" s="4">
        <v>0</v>
      </c>
      <c r="J563" s="3">
        <v>21599860.719999999</v>
      </c>
      <c r="K563" s="3">
        <v>1569.62</v>
      </c>
      <c r="L563" s="3">
        <v>0</v>
      </c>
      <c r="M563" t="s">
        <v>23</v>
      </c>
      <c r="N563" t="s">
        <v>479</v>
      </c>
      <c r="O563" s="4">
        <v>0.25640001117562761</v>
      </c>
      <c r="P563" s="4">
        <v>0.74359998882437239</v>
      </c>
      <c r="Q563" t="s">
        <v>604</v>
      </c>
      <c r="R563" s="4">
        <v>3.8534937560157441E-6</v>
      </c>
      <c r="S563" s="3">
        <v>3803644.41</v>
      </c>
      <c r="T563" s="4">
        <v>0.16163710995334449</v>
      </c>
    </row>
    <row r="564" spans="1:20" x14ac:dyDescent="0.4">
      <c r="A564" s="2">
        <v>45917</v>
      </c>
      <c r="B564" t="s">
        <v>27</v>
      </c>
      <c r="C564" t="s">
        <v>22</v>
      </c>
      <c r="D564" s="3" t="str">
        <f t="shared" si="36"/>
        <v>PASS</v>
      </c>
      <c r="E564" s="3" t="str">
        <f t="shared" si="37"/>
        <v>PASS</v>
      </c>
      <c r="F564" s="3" t="str">
        <f t="shared" si="38"/>
        <v>PASS</v>
      </c>
      <c r="G564" s="3" t="str">
        <f t="shared" si="39"/>
        <v>FAIL</v>
      </c>
      <c r="H564" s="3">
        <v>43605320.5</v>
      </c>
      <c r="I564" s="4">
        <v>0</v>
      </c>
      <c r="J564" s="3">
        <v>37222602.490000002</v>
      </c>
      <c r="K564" s="3">
        <v>2704.6</v>
      </c>
      <c r="L564" s="3">
        <v>0</v>
      </c>
      <c r="M564" t="s">
        <v>23</v>
      </c>
      <c r="N564" t="s">
        <v>479</v>
      </c>
      <c r="O564" s="4">
        <v>0.26203141337633001</v>
      </c>
      <c r="P564" s="4">
        <v>0.73796858662367004</v>
      </c>
      <c r="Q564" t="s">
        <v>605</v>
      </c>
      <c r="R564" s="4">
        <v>6.7841996502804886E-6</v>
      </c>
      <c r="S564" s="3">
        <v>14763501.060000001</v>
      </c>
      <c r="T564" s="4">
        <v>0.33857109386456641</v>
      </c>
    </row>
    <row r="565" spans="1:20" x14ac:dyDescent="0.4">
      <c r="A565" s="2">
        <v>45917</v>
      </c>
      <c r="B565" t="s">
        <v>28</v>
      </c>
      <c r="C565" t="s">
        <v>22</v>
      </c>
      <c r="D565" s="3" t="str">
        <f t="shared" si="36"/>
        <v>PASS</v>
      </c>
      <c r="E565" s="3" t="str">
        <f t="shared" si="37"/>
        <v>PASS</v>
      </c>
      <c r="F565" s="3" t="str">
        <f t="shared" si="38"/>
        <v>PASS</v>
      </c>
      <c r="G565" s="3" t="str">
        <f t="shared" si="39"/>
        <v>FAIL</v>
      </c>
      <c r="H565" s="3">
        <v>15418677.27</v>
      </c>
      <c r="I565" s="4">
        <v>0</v>
      </c>
      <c r="J565" s="3">
        <v>13755747.859999999</v>
      </c>
      <c r="K565" s="3">
        <v>999.92</v>
      </c>
      <c r="L565" s="3">
        <v>0</v>
      </c>
      <c r="M565" t="s">
        <v>23</v>
      </c>
      <c r="N565" t="s">
        <v>479</v>
      </c>
      <c r="O565" s="4">
        <v>0.2560580315841875</v>
      </c>
      <c r="P565" s="4">
        <v>0.7439419684158125</v>
      </c>
      <c r="Q565" t="s">
        <v>606</v>
      </c>
      <c r="R565" s="4">
        <v>2.450087216269433E-6</v>
      </c>
      <c r="S565" s="3">
        <v>4104120.47</v>
      </c>
      <c r="T565" s="4">
        <v>0.26617850533685888</v>
      </c>
    </row>
    <row r="566" spans="1:20" x14ac:dyDescent="0.4">
      <c r="A566" s="2">
        <v>45917</v>
      </c>
      <c r="B566" t="s">
        <v>29</v>
      </c>
      <c r="C566" t="s">
        <v>22</v>
      </c>
      <c r="D566" s="3" t="str">
        <f t="shared" si="36"/>
        <v>PASS</v>
      </c>
      <c r="E566" s="3" t="str">
        <f t="shared" si="37"/>
        <v>PASS</v>
      </c>
      <c r="F566" s="3" t="str">
        <f t="shared" si="38"/>
        <v>PASS</v>
      </c>
      <c r="G566" s="3" t="str">
        <f t="shared" si="39"/>
        <v>FAIL</v>
      </c>
      <c r="H566" s="3">
        <v>34772840.829999998</v>
      </c>
      <c r="I566" s="4">
        <v>0</v>
      </c>
      <c r="J566" s="3">
        <v>32582463.539999999</v>
      </c>
      <c r="K566" s="3">
        <v>2366.96</v>
      </c>
      <c r="L566" s="3">
        <v>0</v>
      </c>
      <c r="M566" t="s">
        <v>23</v>
      </c>
      <c r="N566" t="s">
        <v>479</v>
      </c>
      <c r="O566" s="4">
        <v>0.25793464050631448</v>
      </c>
      <c r="P566" s="4">
        <v>0.74206535949368546</v>
      </c>
      <c r="Q566" t="s">
        <v>607</v>
      </c>
      <c r="R566" s="4">
        <v>5.848595290449616E-6</v>
      </c>
      <c r="S566" s="3">
        <v>4399711.5</v>
      </c>
      <c r="T566" s="4">
        <v>0.12652723778047439</v>
      </c>
    </row>
    <row r="567" spans="1:20" x14ac:dyDescent="0.4">
      <c r="A567" s="2">
        <v>45917</v>
      </c>
      <c r="B567" t="s">
        <v>30</v>
      </c>
      <c r="C567" t="s">
        <v>22</v>
      </c>
      <c r="D567" s="3" t="str">
        <f t="shared" si="36"/>
        <v>PASS</v>
      </c>
      <c r="E567" s="3" t="str">
        <f t="shared" si="37"/>
        <v>PASS</v>
      </c>
      <c r="F567" s="3" t="str">
        <f t="shared" si="38"/>
        <v>PASS</v>
      </c>
      <c r="G567" s="3" t="str">
        <f t="shared" si="39"/>
        <v>FAIL</v>
      </c>
      <c r="H567" s="3">
        <v>54588603.82</v>
      </c>
      <c r="I567" s="4">
        <v>0</v>
      </c>
      <c r="J567" s="3">
        <v>50088064.649999999</v>
      </c>
      <c r="K567" s="3">
        <v>3619.13</v>
      </c>
      <c r="L567" s="3">
        <v>0</v>
      </c>
      <c r="M567" t="s">
        <v>23</v>
      </c>
      <c r="N567" t="s">
        <v>608</v>
      </c>
      <c r="O567" s="4">
        <v>0.25723961187228661</v>
      </c>
      <c r="P567" s="4">
        <v>0.74276038812771339</v>
      </c>
      <c r="Q567" t="s">
        <v>609</v>
      </c>
      <c r="R567" s="4">
        <v>7.5143911335116714E-5</v>
      </c>
      <c r="S567" s="3">
        <v>9347616.0099999998</v>
      </c>
      <c r="T567" s="4">
        <v>0.17123749932903121</v>
      </c>
    </row>
    <row r="568" spans="1:20" x14ac:dyDescent="0.4">
      <c r="A568" s="2">
        <v>45917</v>
      </c>
      <c r="B568" t="s">
        <v>31</v>
      </c>
      <c r="C568" t="s">
        <v>22</v>
      </c>
      <c r="D568" s="3" t="str">
        <f t="shared" si="36"/>
        <v>PASS</v>
      </c>
      <c r="E568" s="3" t="str">
        <f t="shared" si="37"/>
        <v>PASS</v>
      </c>
      <c r="F568" s="3" t="str">
        <f t="shared" si="38"/>
        <v>PASS</v>
      </c>
      <c r="G568" s="3" t="str">
        <f t="shared" si="39"/>
        <v>FAIL</v>
      </c>
      <c r="H568" s="3">
        <v>40469308.969999999</v>
      </c>
      <c r="I568" s="4">
        <v>0</v>
      </c>
      <c r="J568" s="3">
        <v>35226985.289999999</v>
      </c>
      <c r="K568" s="3">
        <v>2559.7800000000002</v>
      </c>
      <c r="L568" s="3">
        <v>0</v>
      </c>
      <c r="M568" t="s">
        <v>23</v>
      </c>
      <c r="N568" t="s">
        <v>479</v>
      </c>
      <c r="O568" s="4">
        <v>0.25456171500845448</v>
      </c>
      <c r="P568" s="4">
        <v>0.74543828499154552</v>
      </c>
      <c r="Q568" t="s">
        <v>610</v>
      </c>
      <c r="R568" s="4">
        <v>6.2373623988724896E-6</v>
      </c>
      <c r="S568" s="3">
        <v>10751410.92</v>
      </c>
      <c r="T568" s="4">
        <v>0.26566826055690862</v>
      </c>
    </row>
    <row r="569" spans="1:20" x14ac:dyDescent="0.4">
      <c r="A569" s="2">
        <v>45917</v>
      </c>
      <c r="B569" t="s">
        <v>32</v>
      </c>
      <c r="C569" t="s">
        <v>22</v>
      </c>
      <c r="D569" s="3" t="str">
        <f t="shared" si="36"/>
        <v>PASS</v>
      </c>
      <c r="E569" s="3" t="str">
        <f t="shared" si="37"/>
        <v>PASS</v>
      </c>
      <c r="F569" s="3" t="str">
        <f t="shared" si="38"/>
        <v>PASS</v>
      </c>
      <c r="G569" s="3" t="str">
        <f t="shared" si="39"/>
        <v>FAIL</v>
      </c>
      <c r="H569" s="3">
        <v>79147861.799999997</v>
      </c>
      <c r="I569" s="4">
        <v>0</v>
      </c>
      <c r="J569" s="3">
        <v>71247086.569999993</v>
      </c>
      <c r="K569" s="3">
        <v>5175.3</v>
      </c>
      <c r="L569" s="3">
        <v>0</v>
      </c>
      <c r="M569" t="s">
        <v>23</v>
      </c>
      <c r="N569" t="s">
        <v>479</v>
      </c>
      <c r="O569" s="4">
        <v>0.25731539046144608</v>
      </c>
      <c r="P569" s="4">
        <v>0.74268460953855386</v>
      </c>
      <c r="Q569" t="s">
        <v>611</v>
      </c>
      <c r="R569" s="4">
        <v>1.2752415589475599E-5</v>
      </c>
      <c r="S569" s="3">
        <v>17341850.879999999</v>
      </c>
      <c r="T569" s="4">
        <v>0.21910700410102549</v>
      </c>
    </row>
    <row r="570" spans="1:20" x14ac:dyDescent="0.4">
      <c r="A570" s="2">
        <v>45917</v>
      </c>
      <c r="B570" t="s">
        <v>33</v>
      </c>
      <c r="C570" t="s">
        <v>22</v>
      </c>
      <c r="D570" s="3" t="str">
        <f t="shared" si="36"/>
        <v>PASS</v>
      </c>
      <c r="E570" s="3" t="str">
        <f t="shared" si="37"/>
        <v>PASS</v>
      </c>
      <c r="F570" s="3" t="str">
        <f t="shared" si="38"/>
        <v>PASS</v>
      </c>
      <c r="G570" s="3" t="str">
        <f t="shared" si="39"/>
        <v>FAIL</v>
      </c>
      <c r="H570" s="3">
        <v>167482275.74000001</v>
      </c>
      <c r="I570" s="4">
        <v>0</v>
      </c>
      <c r="J570" s="3">
        <v>143238326.84</v>
      </c>
      <c r="K570" s="3">
        <v>10405.35</v>
      </c>
      <c r="L570" s="3">
        <v>0</v>
      </c>
      <c r="M570" t="s">
        <v>23</v>
      </c>
      <c r="N570" t="s">
        <v>479</v>
      </c>
      <c r="O570" s="4">
        <v>0.25568079974090258</v>
      </c>
      <c r="P570" s="4">
        <v>0.74431920025909737</v>
      </c>
      <c r="Q570" t="s">
        <v>612</v>
      </c>
      <c r="R570" s="4">
        <v>2.5485606431831391E-5</v>
      </c>
      <c r="S570" s="3">
        <v>48214508.760000013</v>
      </c>
      <c r="T570" s="4">
        <v>0.28787827575765901</v>
      </c>
    </row>
    <row r="571" spans="1:20" x14ac:dyDescent="0.4">
      <c r="A571" s="2">
        <v>45918</v>
      </c>
      <c r="B571" t="s">
        <v>21</v>
      </c>
      <c r="C571" t="s">
        <v>22</v>
      </c>
      <c r="D571" s="3" t="str">
        <f t="shared" si="36"/>
        <v>PASS</v>
      </c>
      <c r="E571" s="3" t="str">
        <f t="shared" si="37"/>
        <v>PASS</v>
      </c>
      <c r="F571" s="3" t="str">
        <f t="shared" si="38"/>
        <v>PASS</v>
      </c>
      <c r="G571" s="3" t="str">
        <f t="shared" si="39"/>
        <v>FAIL</v>
      </c>
      <c r="H571" s="3">
        <v>24813121.530000001</v>
      </c>
      <c r="I571" s="4">
        <v>0</v>
      </c>
      <c r="J571" s="3">
        <v>20834429.48</v>
      </c>
      <c r="K571" s="3">
        <v>1511.02</v>
      </c>
      <c r="L571" s="3">
        <v>0</v>
      </c>
      <c r="M571" t="s">
        <v>23</v>
      </c>
      <c r="N571" t="s">
        <v>479</v>
      </c>
      <c r="O571" s="4">
        <v>0.25765819674367202</v>
      </c>
      <c r="P571" s="4">
        <v>0.74234180325632804</v>
      </c>
      <c r="Q571" t="s">
        <v>613</v>
      </c>
      <c r="R571" s="4">
        <v>3.6954236130306192E-6</v>
      </c>
      <c r="S571" s="3">
        <v>7936463.7899999991</v>
      </c>
      <c r="T571" s="4">
        <v>0.31984947078925619</v>
      </c>
    </row>
    <row r="572" spans="1:20" x14ac:dyDescent="0.4">
      <c r="A572" s="2">
        <v>45918</v>
      </c>
      <c r="B572" t="s">
        <v>24</v>
      </c>
      <c r="C572" t="s">
        <v>22</v>
      </c>
      <c r="D572" s="3" t="str">
        <f t="shared" si="36"/>
        <v>PASS</v>
      </c>
      <c r="E572" s="3" t="str">
        <f t="shared" si="37"/>
        <v>PASS</v>
      </c>
      <c r="F572" s="3" t="str">
        <f t="shared" si="38"/>
        <v>PASS</v>
      </c>
      <c r="G572" s="3" t="str">
        <f t="shared" si="39"/>
        <v>FAIL</v>
      </c>
      <c r="H572" s="3">
        <v>136564466.80000001</v>
      </c>
      <c r="I572" s="4">
        <v>0</v>
      </c>
      <c r="J572" s="3">
        <v>121163970.48</v>
      </c>
      <c r="K572" s="3">
        <v>8780.5</v>
      </c>
      <c r="L572" s="3">
        <v>0</v>
      </c>
      <c r="M572" t="s">
        <v>23</v>
      </c>
      <c r="N572" t="s">
        <v>479</v>
      </c>
      <c r="O572" s="4">
        <v>0.26440313711317398</v>
      </c>
      <c r="P572" s="4">
        <v>0.73559686288682602</v>
      </c>
      <c r="Q572" t="s">
        <v>614</v>
      </c>
      <c r="R572" s="4">
        <v>2.2063601444504781E-5</v>
      </c>
      <c r="S572" s="3">
        <v>34293429.809999987</v>
      </c>
      <c r="T572" s="4">
        <v>0.25111532021153832</v>
      </c>
    </row>
    <row r="573" spans="1:20" x14ac:dyDescent="0.4">
      <c r="A573" s="2">
        <v>45918</v>
      </c>
      <c r="B573" t="s">
        <v>25</v>
      </c>
      <c r="C573" t="s">
        <v>22</v>
      </c>
      <c r="D573" s="3" t="str">
        <f t="shared" ref="D573:D636" si="40">IF(J573/H573&gt;=0.75,"PASS","FAIL")</f>
        <v>PASS</v>
      </c>
      <c r="E573" s="3" t="str">
        <f t="shared" ref="E573:E636" si="41">IF(L573=0,"PASS","FAIL")</f>
        <v>PASS</v>
      </c>
      <c r="F573" s="3" t="str">
        <f t="shared" ref="F573:F636" si="42">IF(R573="","",IF(R573&lt;=0.1,"PASS","FAIL"))</f>
        <v>PASS</v>
      </c>
      <c r="G573" s="3" t="str">
        <f t="shared" ref="G573:G636" si="43">IF(S573=0,"PASS",IF(S573&lt;=0.05*J573,"PASS","FAIL"))</f>
        <v>FAIL</v>
      </c>
      <c r="H573" s="3">
        <v>101828595.05</v>
      </c>
      <c r="I573" s="4">
        <v>0</v>
      </c>
      <c r="J573" s="3">
        <v>92883781.530000001</v>
      </c>
      <c r="K573" s="3">
        <v>6735.07</v>
      </c>
      <c r="L573" s="3">
        <v>0</v>
      </c>
      <c r="M573" t="s">
        <v>23</v>
      </c>
      <c r="N573" t="s">
        <v>479</v>
      </c>
      <c r="O573" s="4">
        <v>0.25701712082307382</v>
      </c>
      <c r="P573" s="4">
        <v>0.74298287917692618</v>
      </c>
      <c r="Q573" t="s">
        <v>615</v>
      </c>
      <c r="R573" s="4">
        <v>1.644143095346629E-5</v>
      </c>
      <c r="S573" s="3">
        <v>17547630</v>
      </c>
      <c r="T573" s="4">
        <v>0.17232517046300941</v>
      </c>
    </row>
    <row r="574" spans="1:20" x14ac:dyDescent="0.4">
      <c r="A574" s="2">
        <v>45918</v>
      </c>
      <c r="B574" t="s">
        <v>26</v>
      </c>
      <c r="C574" t="s">
        <v>22</v>
      </c>
      <c r="D574" s="3" t="str">
        <f t="shared" si="40"/>
        <v>PASS</v>
      </c>
      <c r="E574" s="3" t="str">
        <f t="shared" si="41"/>
        <v>PASS</v>
      </c>
      <c r="F574" s="3" t="str">
        <f t="shared" si="42"/>
        <v>PASS</v>
      </c>
      <c r="G574" s="3" t="str">
        <f t="shared" si="43"/>
        <v>FAIL</v>
      </c>
      <c r="H574" s="3">
        <v>23573350.859999999</v>
      </c>
      <c r="I574" s="4">
        <v>0</v>
      </c>
      <c r="J574" s="3">
        <v>21639643.75</v>
      </c>
      <c r="K574" s="3">
        <v>1568.92</v>
      </c>
      <c r="L574" s="3">
        <v>0</v>
      </c>
      <c r="M574" t="s">
        <v>23</v>
      </c>
      <c r="N574" t="s">
        <v>479</v>
      </c>
      <c r="O574" s="4">
        <v>0.25860275680370198</v>
      </c>
      <c r="P574" s="4">
        <v>0.74139724319629796</v>
      </c>
      <c r="Q574" t="s">
        <v>616</v>
      </c>
      <c r="R574" s="4">
        <v>3.8534937560157441E-6</v>
      </c>
      <c r="S574" s="3">
        <v>3840174.75</v>
      </c>
      <c r="T574" s="4">
        <v>0.16290321952133369</v>
      </c>
    </row>
    <row r="575" spans="1:20" x14ac:dyDescent="0.4">
      <c r="A575" s="2">
        <v>45918</v>
      </c>
      <c r="B575" t="s">
        <v>27</v>
      </c>
      <c r="C575" t="s">
        <v>22</v>
      </c>
      <c r="D575" s="3" t="str">
        <f t="shared" si="40"/>
        <v>PASS</v>
      </c>
      <c r="E575" s="3" t="str">
        <f t="shared" si="41"/>
        <v>PASS</v>
      </c>
      <c r="F575" s="3" t="str">
        <f t="shared" si="42"/>
        <v>PASS</v>
      </c>
      <c r="G575" s="3" t="str">
        <f t="shared" si="43"/>
        <v>FAIL</v>
      </c>
      <c r="H575" s="3">
        <v>43679573.350000001</v>
      </c>
      <c r="I575" s="4">
        <v>0</v>
      </c>
      <c r="J575" s="3">
        <v>37294152.880000003</v>
      </c>
      <c r="K575" s="3">
        <v>2703.01</v>
      </c>
      <c r="L575" s="3">
        <v>0</v>
      </c>
      <c r="M575" t="s">
        <v>23</v>
      </c>
      <c r="N575" t="s">
        <v>479</v>
      </c>
      <c r="O575" s="4">
        <v>0.264241684794638</v>
      </c>
      <c r="P575" s="4">
        <v>0.73575831520536195</v>
      </c>
      <c r="Q575" t="s">
        <v>617</v>
      </c>
      <c r="R575" s="4">
        <v>6.7841996502804886E-6</v>
      </c>
      <c r="S575" s="3">
        <v>14882757.58</v>
      </c>
      <c r="T575" s="4">
        <v>0.3407258001525329</v>
      </c>
    </row>
    <row r="576" spans="1:20" x14ac:dyDescent="0.4">
      <c r="A576" s="2">
        <v>45918</v>
      </c>
      <c r="B576" t="s">
        <v>28</v>
      </c>
      <c r="C576" t="s">
        <v>22</v>
      </c>
      <c r="D576" s="3" t="str">
        <f t="shared" si="40"/>
        <v>PASS</v>
      </c>
      <c r="E576" s="3" t="str">
        <f t="shared" si="41"/>
        <v>PASS</v>
      </c>
      <c r="F576" s="3" t="str">
        <f t="shared" si="42"/>
        <v>PASS</v>
      </c>
      <c r="G576" s="3" t="str">
        <f t="shared" si="43"/>
        <v>FAIL</v>
      </c>
      <c r="H576" s="3">
        <v>15443455.75</v>
      </c>
      <c r="I576" s="4">
        <v>0</v>
      </c>
      <c r="J576" s="3">
        <v>13779527.640000001</v>
      </c>
      <c r="K576" s="3">
        <v>999.41</v>
      </c>
      <c r="L576" s="3">
        <v>0</v>
      </c>
      <c r="M576" t="s">
        <v>23</v>
      </c>
      <c r="N576" t="s">
        <v>479</v>
      </c>
      <c r="O576" s="4">
        <v>0.25826415919145401</v>
      </c>
      <c r="P576" s="4">
        <v>0.74173584080854604</v>
      </c>
      <c r="Q576" t="s">
        <v>618</v>
      </c>
      <c r="R576" s="4">
        <v>2.450087216269433E-6</v>
      </c>
      <c r="S576" s="3">
        <v>4136287.72</v>
      </c>
      <c r="T576" s="4">
        <v>0.26783433623656422</v>
      </c>
    </row>
    <row r="577" spans="1:20" x14ac:dyDescent="0.4">
      <c r="A577" s="2">
        <v>45918</v>
      </c>
      <c r="B577" t="s">
        <v>29</v>
      </c>
      <c r="C577" t="s">
        <v>22</v>
      </c>
      <c r="D577" s="3" t="str">
        <f t="shared" si="40"/>
        <v>PASS</v>
      </c>
      <c r="E577" s="3" t="str">
        <f t="shared" si="41"/>
        <v>PASS</v>
      </c>
      <c r="F577" s="3" t="str">
        <f t="shared" si="42"/>
        <v>PASS</v>
      </c>
      <c r="G577" s="3" t="str">
        <f t="shared" si="43"/>
        <v>FAIL</v>
      </c>
      <c r="H577" s="3">
        <v>34845174.710000001</v>
      </c>
      <c r="I577" s="4">
        <v>0</v>
      </c>
      <c r="J577" s="3">
        <v>32652431.84</v>
      </c>
      <c r="K577" s="3">
        <v>2365.58</v>
      </c>
      <c r="L577" s="3">
        <v>0</v>
      </c>
      <c r="M577" t="s">
        <v>23</v>
      </c>
      <c r="N577" t="s">
        <v>479</v>
      </c>
      <c r="O577" s="4">
        <v>0.26006246553426687</v>
      </c>
      <c r="P577" s="4">
        <v>0.73993753446573307</v>
      </c>
      <c r="Q577" t="s">
        <v>619</v>
      </c>
      <c r="R577" s="4">
        <v>5.848595290449616E-6</v>
      </c>
      <c r="S577" s="3">
        <v>4452235.8999999994</v>
      </c>
      <c r="T577" s="4">
        <v>0.12777194940343581</v>
      </c>
    </row>
    <row r="578" spans="1:20" x14ac:dyDescent="0.4">
      <c r="A578" s="2">
        <v>45918</v>
      </c>
      <c r="B578" t="s">
        <v>30</v>
      </c>
      <c r="C578" t="s">
        <v>22</v>
      </c>
      <c r="D578" s="3" t="str">
        <f t="shared" si="40"/>
        <v>PASS</v>
      </c>
      <c r="E578" s="3" t="str">
        <f t="shared" si="41"/>
        <v>PASS</v>
      </c>
      <c r="F578" s="3" t="str">
        <f t="shared" si="42"/>
        <v>PASS</v>
      </c>
      <c r="G578" s="3" t="str">
        <f t="shared" si="43"/>
        <v>FAIL</v>
      </c>
      <c r="H578" s="3">
        <v>54968752.82</v>
      </c>
      <c r="I578" s="4">
        <v>0</v>
      </c>
      <c r="J578" s="3">
        <v>50464577.119999997</v>
      </c>
      <c r="K578" s="3">
        <v>3637.21</v>
      </c>
      <c r="L578" s="3">
        <v>0</v>
      </c>
      <c r="M578" t="s">
        <v>23</v>
      </c>
      <c r="N578" t="s">
        <v>620</v>
      </c>
      <c r="O578" s="4">
        <v>0.25717557028445781</v>
      </c>
      <c r="P578" s="4">
        <v>0.74282442971554219</v>
      </c>
      <c r="Q578" t="s">
        <v>621</v>
      </c>
      <c r="R578" s="4">
        <v>7.5143911335116714E-5</v>
      </c>
      <c r="S578" s="3">
        <v>9374271.25</v>
      </c>
      <c r="T578" s="4">
        <v>0.17053818340570459</v>
      </c>
    </row>
    <row r="579" spans="1:20" x14ac:dyDescent="0.4">
      <c r="A579" s="2">
        <v>45918</v>
      </c>
      <c r="B579" t="s">
        <v>31</v>
      </c>
      <c r="C579" t="s">
        <v>22</v>
      </c>
      <c r="D579" s="3" t="str">
        <f t="shared" si="40"/>
        <v>PASS</v>
      </c>
      <c r="E579" s="3" t="str">
        <f t="shared" si="41"/>
        <v>PASS</v>
      </c>
      <c r="F579" s="3" t="str">
        <f t="shared" si="42"/>
        <v>PASS</v>
      </c>
      <c r="G579" s="3" t="str">
        <f t="shared" si="43"/>
        <v>FAIL</v>
      </c>
      <c r="H579" s="3">
        <v>40527520.280000001</v>
      </c>
      <c r="I579" s="4">
        <v>0</v>
      </c>
      <c r="J579" s="3">
        <v>35282639.020000003</v>
      </c>
      <c r="K579" s="3">
        <v>2558.2600000000002</v>
      </c>
      <c r="L579" s="3">
        <v>0</v>
      </c>
      <c r="M579" t="s">
        <v>23</v>
      </c>
      <c r="N579" t="s">
        <v>479</v>
      </c>
      <c r="O579" s="4">
        <v>0.25679551166408182</v>
      </c>
      <c r="P579" s="4">
        <v>0.74320448833591812</v>
      </c>
      <c r="Q579" t="s">
        <v>622</v>
      </c>
      <c r="R579" s="4">
        <v>6.2373623988724896E-6</v>
      </c>
      <c r="S579" s="3">
        <v>10831953.029999999</v>
      </c>
      <c r="T579" s="4">
        <v>0.26727401418007513</v>
      </c>
    </row>
    <row r="580" spans="1:20" x14ac:dyDescent="0.4">
      <c r="A580" s="2">
        <v>45918</v>
      </c>
      <c r="B580" t="s">
        <v>32</v>
      </c>
      <c r="C580" t="s">
        <v>22</v>
      </c>
      <c r="D580" s="3" t="str">
        <f t="shared" si="40"/>
        <v>PASS</v>
      </c>
      <c r="E580" s="3" t="str">
        <f t="shared" si="41"/>
        <v>PASS</v>
      </c>
      <c r="F580" s="3" t="str">
        <f t="shared" si="42"/>
        <v>PASS</v>
      </c>
      <c r="G580" s="3" t="str">
        <f t="shared" si="43"/>
        <v>FAIL</v>
      </c>
      <c r="H580" s="3">
        <v>79287497.430000007</v>
      </c>
      <c r="I580" s="4">
        <v>0</v>
      </c>
      <c r="J580" s="3">
        <v>71381549.469999999</v>
      </c>
      <c r="K580" s="3">
        <v>5172.7299999999996</v>
      </c>
      <c r="L580" s="3">
        <v>0</v>
      </c>
      <c r="M580" t="s">
        <v>23</v>
      </c>
      <c r="N580" t="s">
        <v>479</v>
      </c>
      <c r="O580" s="4">
        <v>0.25949481354120568</v>
      </c>
      <c r="P580" s="4">
        <v>0.74050518645879437</v>
      </c>
      <c r="Q580" t="s">
        <v>623</v>
      </c>
      <c r="R580" s="4">
        <v>1.2752415589475599E-5</v>
      </c>
      <c r="S580" s="3">
        <v>17482575.239999998</v>
      </c>
      <c r="T580" s="4">
        <v>0.22049598999432049</v>
      </c>
    </row>
    <row r="581" spans="1:20" x14ac:dyDescent="0.4">
      <c r="A581" s="2">
        <v>45918</v>
      </c>
      <c r="B581" t="s">
        <v>33</v>
      </c>
      <c r="C581" t="s">
        <v>22</v>
      </c>
      <c r="D581" s="3" t="str">
        <f t="shared" si="40"/>
        <v>PASS</v>
      </c>
      <c r="E581" s="3" t="str">
        <f t="shared" si="41"/>
        <v>PASS</v>
      </c>
      <c r="F581" s="3" t="str">
        <f t="shared" si="42"/>
        <v>PASS</v>
      </c>
      <c r="G581" s="3" t="str">
        <f t="shared" si="43"/>
        <v>FAIL</v>
      </c>
      <c r="H581" s="3">
        <v>167709097.06</v>
      </c>
      <c r="I581" s="4">
        <v>0</v>
      </c>
      <c r="J581" s="3">
        <v>143454748.66999999</v>
      </c>
      <c r="K581" s="3">
        <v>10400.040000000001</v>
      </c>
      <c r="L581" s="3">
        <v>0</v>
      </c>
      <c r="M581" t="s">
        <v>23</v>
      </c>
      <c r="N581" t="s">
        <v>479</v>
      </c>
      <c r="O581" s="4">
        <v>0.25795806045519037</v>
      </c>
      <c r="P581" s="4">
        <v>0.74204193954480957</v>
      </c>
      <c r="Q581" t="s">
        <v>624</v>
      </c>
      <c r="R581" s="4">
        <v>2.5485606431831391E-5</v>
      </c>
      <c r="S581" s="3">
        <v>48588653.439999998</v>
      </c>
      <c r="T581" s="4">
        <v>0.2897198440142863</v>
      </c>
    </row>
    <row r="582" spans="1:20" x14ac:dyDescent="0.4">
      <c r="A582" s="2">
        <v>45919</v>
      </c>
      <c r="B582" t="s">
        <v>21</v>
      </c>
      <c r="C582" t="s">
        <v>22</v>
      </c>
      <c r="D582" s="3" t="str">
        <f t="shared" si="40"/>
        <v>PASS</v>
      </c>
      <c r="E582" s="3" t="str">
        <f t="shared" si="41"/>
        <v>PASS</v>
      </c>
      <c r="F582" s="3" t="str">
        <f t="shared" si="42"/>
        <v>PASS</v>
      </c>
      <c r="G582" s="3" t="str">
        <f t="shared" si="43"/>
        <v>FAIL</v>
      </c>
      <c r="H582" s="3">
        <v>24913412.23</v>
      </c>
      <c r="I582" s="4">
        <v>0</v>
      </c>
      <c r="J582" s="3">
        <v>20930182.260000002</v>
      </c>
      <c r="K582" s="3">
        <v>4539.57</v>
      </c>
      <c r="L582" s="3">
        <v>0</v>
      </c>
      <c r="M582" t="s">
        <v>23</v>
      </c>
      <c r="N582" t="s">
        <v>479</v>
      </c>
      <c r="O582" s="4">
        <v>0.2599537401257202</v>
      </c>
      <c r="P582" s="4">
        <v>0.74004625987427985</v>
      </c>
      <c r="Q582" t="s">
        <v>625</v>
      </c>
      <c r="R582" s="4">
        <v>3.6954236130306192E-6</v>
      </c>
      <c r="S582" s="3">
        <v>7974998.3999999994</v>
      </c>
      <c r="T582" s="4">
        <v>0.32010863571697901</v>
      </c>
    </row>
    <row r="583" spans="1:20" x14ac:dyDescent="0.4">
      <c r="A583" s="2">
        <v>45919</v>
      </c>
      <c r="B583" t="s">
        <v>24</v>
      </c>
      <c r="C583" t="s">
        <v>22</v>
      </c>
      <c r="D583" s="3" t="str">
        <f t="shared" si="40"/>
        <v>PASS</v>
      </c>
      <c r="E583" s="3" t="str">
        <f t="shared" si="41"/>
        <v>PASS</v>
      </c>
      <c r="F583" s="3" t="str">
        <f t="shared" si="42"/>
        <v>PASS</v>
      </c>
      <c r="G583" s="3" t="str">
        <f t="shared" si="43"/>
        <v>FAIL</v>
      </c>
      <c r="H583" s="3">
        <v>137161907.34</v>
      </c>
      <c r="I583" s="4">
        <v>0</v>
      </c>
      <c r="J583" s="3">
        <v>121735020.5</v>
      </c>
      <c r="K583" s="3">
        <v>26392.17</v>
      </c>
      <c r="L583" s="3">
        <v>0</v>
      </c>
      <c r="M583" t="s">
        <v>23</v>
      </c>
      <c r="N583" t="s">
        <v>479</v>
      </c>
      <c r="O583" s="4">
        <v>0.26663725760000179</v>
      </c>
      <c r="P583" s="4">
        <v>0.73336274239999821</v>
      </c>
      <c r="Q583" t="s">
        <v>626</v>
      </c>
      <c r="R583" s="4">
        <v>2.2063601444504781E-5</v>
      </c>
      <c r="S583" s="3">
        <v>34605248.810000002</v>
      </c>
      <c r="T583" s="4">
        <v>0.25229489353935369</v>
      </c>
    </row>
    <row r="584" spans="1:20" x14ac:dyDescent="0.4">
      <c r="A584" s="2">
        <v>45919</v>
      </c>
      <c r="B584" t="s">
        <v>25</v>
      </c>
      <c r="C584" t="s">
        <v>22</v>
      </c>
      <c r="D584" s="3" t="str">
        <f t="shared" si="40"/>
        <v>PASS</v>
      </c>
      <c r="E584" s="3" t="str">
        <f t="shared" si="41"/>
        <v>PASS</v>
      </c>
      <c r="F584" s="3" t="str">
        <f t="shared" si="42"/>
        <v>PASS</v>
      </c>
      <c r="G584" s="3" t="str">
        <f t="shared" si="43"/>
        <v>FAIL</v>
      </c>
      <c r="H584" s="3">
        <v>102251836.43000001</v>
      </c>
      <c r="I584" s="4">
        <v>0</v>
      </c>
      <c r="J584" s="3">
        <v>93286792.049999997</v>
      </c>
      <c r="K584" s="3">
        <v>20232.900000000001</v>
      </c>
      <c r="L584" s="3">
        <v>0</v>
      </c>
      <c r="M584" t="s">
        <v>23</v>
      </c>
      <c r="N584" t="s">
        <v>479</v>
      </c>
      <c r="O584" s="4">
        <v>0.25929101514215908</v>
      </c>
      <c r="P584" s="4">
        <v>0.74070898485784087</v>
      </c>
      <c r="Q584" t="s">
        <v>627</v>
      </c>
      <c r="R584" s="4">
        <v>1.644143095346629E-5</v>
      </c>
      <c r="S584" s="3">
        <v>17627075.510000002</v>
      </c>
      <c r="T584" s="4">
        <v>0.1723888403908248</v>
      </c>
    </row>
    <row r="585" spans="1:20" x14ac:dyDescent="0.4">
      <c r="A585" s="2">
        <v>45919</v>
      </c>
      <c r="B585" t="s">
        <v>26</v>
      </c>
      <c r="C585" t="s">
        <v>22</v>
      </c>
      <c r="D585" s="3" t="str">
        <f t="shared" si="40"/>
        <v>PASS</v>
      </c>
      <c r="E585" s="3" t="str">
        <f t="shared" si="41"/>
        <v>PASS</v>
      </c>
      <c r="F585" s="3" t="str">
        <f t="shared" si="42"/>
        <v>PASS</v>
      </c>
      <c r="G585" s="3" t="str">
        <f t="shared" si="43"/>
        <v>FAIL</v>
      </c>
      <c r="H585" s="3">
        <v>23674534.41</v>
      </c>
      <c r="I585" s="4">
        <v>0</v>
      </c>
      <c r="J585" s="3">
        <v>21736114</v>
      </c>
      <c r="K585" s="3">
        <v>4715.43</v>
      </c>
      <c r="L585" s="3">
        <v>0</v>
      </c>
      <c r="M585" t="s">
        <v>23</v>
      </c>
      <c r="N585" t="s">
        <v>479</v>
      </c>
      <c r="O585" s="4">
        <v>0.26083288346757838</v>
      </c>
      <c r="P585" s="4">
        <v>0.73916711653242162</v>
      </c>
      <c r="Q585" t="s">
        <v>628</v>
      </c>
      <c r="R585" s="4">
        <v>3.8534937560157441E-6</v>
      </c>
      <c r="S585" s="3">
        <v>3863195.9</v>
      </c>
      <c r="T585" s="4">
        <v>0.16317938224661371</v>
      </c>
    </row>
    <row r="586" spans="1:20" x14ac:dyDescent="0.4">
      <c r="A586" s="2">
        <v>45919</v>
      </c>
      <c r="B586" t="s">
        <v>27</v>
      </c>
      <c r="C586" t="s">
        <v>22</v>
      </c>
      <c r="D586" s="3" t="str">
        <f t="shared" si="40"/>
        <v>PASS</v>
      </c>
      <c r="E586" s="3" t="str">
        <f t="shared" si="41"/>
        <v>PASS</v>
      </c>
      <c r="F586" s="3" t="str">
        <f t="shared" si="42"/>
        <v>PASS</v>
      </c>
      <c r="G586" s="3" t="str">
        <f t="shared" si="43"/>
        <v>FAIL</v>
      </c>
      <c r="H586" s="3">
        <v>43873425.82</v>
      </c>
      <c r="I586" s="4">
        <v>0</v>
      </c>
      <c r="J586" s="3">
        <v>37479882.369999997</v>
      </c>
      <c r="K586" s="3">
        <v>8124.63</v>
      </c>
      <c r="L586" s="3">
        <v>0</v>
      </c>
      <c r="M586" t="s">
        <v>23</v>
      </c>
      <c r="N586" t="s">
        <v>479</v>
      </c>
      <c r="O586" s="4">
        <v>0.26652895522414632</v>
      </c>
      <c r="P586" s="4">
        <v>0.73347104477585368</v>
      </c>
      <c r="Q586" t="s">
        <v>629</v>
      </c>
      <c r="R586" s="4">
        <v>6.7841996502804886E-6</v>
      </c>
      <c r="S586" s="3">
        <v>15009144.300000001</v>
      </c>
      <c r="T586" s="4">
        <v>0.3421010331305831</v>
      </c>
    </row>
    <row r="587" spans="1:20" x14ac:dyDescent="0.4">
      <c r="A587" s="2">
        <v>45919</v>
      </c>
      <c r="B587" t="s">
        <v>28</v>
      </c>
      <c r="C587" t="s">
        <v>22</v>
      </c>
      <c r="D587" s="3" t="str">
        <f t="shared" si="40"/>
        <v>PASS</v>
      </c>
      <c r="E587" s="3" t="str">
        <f t="shared" si="41"/>
        <v>PASS</v>
      </c>
      <c r="F587" s="3" t="str">
        <f t="shared" si="42"/>
        <v>PASS</v>
      </c>
      <c r="G587" s="3" t="str">
        <f t="shared" si="43"/>
        <v>FAIL</v>
      </c>
      <c r="H587" s="3">
        <v>15512465.68</v>
      </c>
      <c r="I587" s="4">
        <v>0</v>
      </c>
      <c r="J587" s="3">
        <v>13845536.279999999</v>
      </c>
      <c r="K587" s="3">
        <v>3003.42</v>
      </c>
      <c r="L587" s="3">
        <v>0</v>
      </c>
      <c r="M587" t="s">
        <v>23</v>
      </c>
      <c r="N587" t="s">
        <v>479</v>
      </c>
      <c r="O587" s="4">
        <v>0.26055113843520977</v>
      </c>
      <c r="P587" s="4">
        <v>0.73944886156479017</v>
      </c>
      <c r="Q587" t="s">
        <v>630</v>
      </c>
      <c r="R587" s="4">
        <v>2.450087216269433E-6</v>
      </c>
      <c r="S587" s="3">
        <v>4168198.24</v>
      </c>
      <c r="T587" s="4">
        <v>0.26869991695607742</v>
      </c>
    </row>
    <row r="588" spans="1:20" x14ac:dyDescent="0.4">
      <c r="A588" s="2">
        <v>45919</v>
      </c>
      <c r="B588" t="s">
        <v>29</v>
      </c>
      <c r="C588" t="s">
        <v>22</v>
      </c>
      <c r="D588" s="3" t="str">
        <f t="shared" si="40"/>
        <v>PASS</v>
      </c>
      <c r="E588" s="3" t="str">
        <f t="shared" si="41"/>
        <v>PASS</v>
      </c>
      <c r="F588" s="3" t="str">
        <f t="shared" si="42"/>
        <v>PASS</v>
      </c>
      <c r="G588" s="3" t="str">
        <f t="shared" si="43"/>
        <v>FAIL</v>
      </c>
      <c r="H588" s="3">
        <v>35005584.299999997</v>
      </c>
      <c r="I588" s="4">
        <v>0</v>
      </c>
      <c r="J588" s="3">
        <v>32805729.449999999</v>
      </c>
      <c r="K588" s="3">
        <v>7111.98</v>
      </c>
      <c r="L588" s="3">
        <v>0</v>
      </c>
      <c r="M588" t="s">
        <v>23</v>
      </c>
      <c r="N588" t="s">
        <v>479</v>
      </c>
      <c r="O588" s="4">
        <v>0.26228887436002429</v>
      </c>
      <c r="P588" s="4">
        <v>0.73771112563997565</v>
      </c>
      <c r="Q588" t="s">
        <v>631</v>
      </c>
      <c r="R588" s="4">
        <v>5.848595290449616E-6</v>
      </c>
      <c r="S588" s="3">
        <v>4483461.78</v>
      </c>
      <c r="T588" s="4">
        <v>0.12807847289668009</v>
      </c>
    </row>
    <row r="589" spans="1:20" x14ac:dyDescent="0.4">
      <c r="A589" s="2">
        <v>45919</v>
      </c>
      <c r="B589" t="s">
        <v>30</v>
      </c>
      <c r="C589" t="s">
        <v>22</v>
      </c>
      <c r="D589" s="3" t="str">
        <f t="shared" si="40"/>
        <v>PASS</v>
      </c>
      <c r="E589" s="3" t="str">
        <f t="shared" si="41"/>
        <v>PASS</v>
      </c>
      <c r="F589" s="3" t="str">
        <f t="shared" si="42"/>
        <v>PASS</v>
      </c>
      <c r="G589" s="3" t="str">
        <f t="shared" si="43"/>
        <v>FAIL</v>
      </c>
      <c r="H589" s="3">
        <v>54803891.590000004</v>
      </c>
      <c r="I589" s="4">
        <v>0</v>
      </c>
      <c r="J589" s="3">
        <v>50288724.280000001</v>
      </c>
      <c r="K589" s="3">
        <v>10993.65</v>
      </c>
      <c r="L589" s="3">
        <v>0</v>
      </c>
      <c r="M589" t="s">
        <v>23</v>
      </c>
      <c r="N589" t="s">
        <v>620</v>
      </c>
      <c r="O589" s="4">
        <v>0.25925232418721439</v>
      </c>
      <c r="P589" s="4">
        <v>0.74074767581278556</v>
      </c>
      <c r="Q589" t="s">
        <v>632</v>
      </c>
      <c r="R589" s="4">
        <v>7.5143911335116714E-5</v>
      </c>
      <c r="S589" s="3">
        <v>9353231.9700000007</v>
      </c>
      <c r="T589" s="4">
        <v>0.17066729567260641</v>
      </c>
    </row>
    <row r="590" spans="1:20" x14ac:dyDescent="0.4">
      <c r="A590" s="2">
        <v>45919</v>
      </c>
      <c r="B590" t="s">
        <v>31</v>
      </c>
      <c r="C590" t="s">
        <v>22</v>
      </c>
      <c r="D590" s="3" t="str">
        <f t="shared" si="40"/>
        <v>PASS</v>
      </c>
      <c r="E590" s="3" t="str">
        <f t="shared" si="41"/>
        <v>PASS</v>
      </c>
      <c r="F590" s="3" t="str">
        <f t="shared" si="42"/>
        <v>PASS</v>
      </c>
      <c r="G590" s="3" t="str">
        <f t="shared" si="43"/>
        <v>FAIL</v>
      </c>
      <c r="H590" s="3">
        <v>40698560.100000001</v>
      </c>
      <c r="I590" s="4">
        <v>0</v>
      </c>
      <c r="J590" s="3">
        <v>35445993.979999997</v>
      </c>
      <c r="K590" s="3">
        <v>7686.9</v>
      </c>
      <c r="L590" s="3">
        <v>0</v>
      </c>
      <c r="M590" t="s">
        <v>23</v>
      </c>
      <c r="N590" t="s">
        <v>479</v>
      </c>
      <c r="O590" s="4">
        <v>0.25911491733543418</v>
      </c>
      <c r="P590" s="4">
        <v>0.74088508266456576</v>
      </c>
      <c r="Q590" t="s">
        <v>633</v>
      </c>
      <c r="R590" s="4">
        <v>6.2373623988724896E-6</v>
      </c>
      <c r="S590" s="3">
        <v>10891382.710000001</v>
      </c>
      <c r="T590" s="4">
        <v>0.26761100842975533</v>
      </c>
    </row>
    <row r="591" spans="1:20" x14ac:dyDescent="0.4">
      <c r="A591" s="2">
        <v>45919</v>
      </c>
      <c r="B591" t="s">
        <v>32</v>
      </c>
      <c r="C591" t="s">
        <v>22</v>
      </c>
      <c r="D591" s="3" t="str">
        <f t="shared" si="40"/>
        <v>PASS</v>
      </c>
      <c r="E591" s="3" t="str">
        <f t="shared" si="41"/>
        <v>PASS</v>
      </c>
      <c r="F591" s="3" t="str">
        <f t="shared" si="42"/>
        <v>PASS</v>
      </c>
      <c r="G591" s="3" t="str">
        <f t="shared" si="43"/>
        <v>FAIL</v>
      </c>
      <c r="H591" s="3">
        <v>79643231.370000005</v>
      </c>
      <c r="I591" s="4">
        <v>0</v>
      </c>
      <c r="J591" s="3">
        <v>71721735.909999996</v>
      </c>
      <c r="K591" s="3">
        <v>15547.5</v>
      </c>
      <c r="L591" s="3">
        <v>0</v>
      </c>
      <c r="M591" t="s">
        <v>23</v>
      </c>
      <c r="N591" t="s">
        <v>479</v>
      </c>
      <c r="O591" s="4">
        <v>0.26179503468183701</v>
      </c>
      <c r="P591" s="4">
        <v>0.73820496531816304</v>
      </c>
      <c r="Q591" t="s">
        <v>634</v>
      </c>
      <c r="R591" s="4">
        <v>1.2752415589475599E-5</v>
      </c>
      <c r="S591" s="3">
        <v>17619305.260000002</v>
      </c>
      <c r="T591" s="4">
        <v>0.22122790545935619</v>
      </c>
    </row>
    <row r="592" spans="1:20" x14ac:dyDescent="0.4">
      <c r="A592" s="2">
        <v>45919</v>
      </c>
      <c r="B592" t="s">
        <v>33</v>
      </c>
      <c r="C592" t="s">
        <v>22</v>
      </c>
      <c r="D592" s="3" t="str">
        <f t="shared" si="40"/>
        <v>PASS</v>
      </c>
      <c r="E592" s="3" t="str">
        <f t="shared" si="41"/>
        <v>PASS</v>
      </c>
      <c r="F592" s="3" t="str">
        <f t="shared" si="42"/>
        <v>PASS</v>
      </c>
      <c r="G592" s="3" t="str">
        <f t="shared" si="43"/>
        <v>FAIL</v>
      </c>
      <c r="H592" s="3">
        <v>168351067.34999999</v>
      </c>
      <c r="I592" s="4">
        <v>0</v>
      </c>
      <c r="J592" s="3">
        <v>144065473.33000001</v>
      </c>
      <c r="K592" s="3">
        <v>31247.279999999999</v>
      </c>
      <c r="L592" s="3">
        <v>0</v>
      </c>
      <c r="M592" t="s">
        <v>23</v>
      </c>
      <c r="N592" t="s">
        <v>479</v>
      </c>
      <c r="O592" s="4">
        <v>0.26026241037027242</v>
      </c>
      <c r="P592" s="4">
        <v>0.73973758962972758</v>
      </c>
      <c r="Q592" t="s">
        <v>635</v>
      </c>
      <c r="R592" s="4">
        <v>2.5485606431831391E-5</v>
      </c>
      <c r="S592" s="3">
        <v>48890210.719999991</v>
      </c>
      <c r="T592" s="4">
        <v>0.29040630089001918</v>
      </c>
    </row>
    <row r="593" spans="1:20" x14ac:dyDescent="0.4">
      <c r="A593" s="2">
        <v>45922</v>
      </c>
      <c r="B593" t="s">
        <v>21</v>
      </c>
      <c r="C593" t="s">
        <v>22</v>
      </c>
      <c r="D593" s="3" t="str">
        <f t="shared" si="40"/>
        <v>PASS</v>
      </c>
      <c r="E593" s="3" t="str">
        <f t="shared" si="41"/>
        <v>PASS</v>
      </c>
      <c r="F593" s="3" t="str">
        <f t="shared" si="42"/>
        <v>PASS</v>
      </c>
      <c r="G593" s="3" t="str">
        <f t="shared" si="43"/>
        <v>FAIL</v>
      </c>
      <c r="H593" s="3">
        <v>24970719.84</v>
      </c>
      <c r="I593" s="4">
        <v>0</v>
      </c>
      <c r="J593" s="3">
        <v>20982314.559999999</v>
      </c>
      <c r="K593" s="3">
        <v>1520.14</v>
      </c>
      <c r="L593" s="3">
        <v>0</v>
      </c>
      <c r="M593" t="s">
        <v>23</v>
      </c>
      <c r="N593" t="s">
        <v>636</v>
      </c>
      <c r="O593" s="4">
        <v>0.26071212708003549</v>
      </c>
      <c r="P593" s="4">
        <v>0.73928787291996445</v>
      </c>
      <c r="Q593" t="s">
        <v>637</v>
      </c>
      <c r="R593" s="4">
        <v>3.6804710319374311E-6</v>
      </c>
      <c r="S593" s="3">
        <v>8077616.1399999997</v>
      </c>
      <c r="T593" s="4">
        <v>0.32348351155903238</v>
      </c>
    </row>
    <row r="594" spans="1:20" x14ac:dyDescent="0.4">
      <c r="A594" s="2">
        <v>45922</v>
      </c>
      <c r="B594" t="s">
        <v>24</v>
      </c>
      <c r="C594" t="s">
        <v>22</v>
      </c>
      <c r="D594" s="3" t="str">
        <f t="shared" si="40"/>
        <v>PASS</v>
      </c>
      <c r="E594" s="3" t="str">
        <f t="shared" si="41"/>
        <v>PASS</v>
      </c>
      <c r="F594" s="3" t="str">
        <f t="shared" si="42"/>
        <v>PASS</v>
      </c>
      <c r="G594" s="3" t="str">
        <f t="shared" si="43"/>
        <v>FAIL</v>
      </c>
      <c r="H594" s="3">
        <v>137601451.28999999</v>
      </c>
      <c r="I594" s="4">
        <v>0</v>
      </c>
      <c r="J594" s="3">
        <v>122140237.5</v>
      </c>
      <c r="K594" s="3">
        <v>8838.85</v>
      </c>
      <c r="L594" s="3">
        <v>0</v>
      </c>
      <c r="M594" t="s">
        <v>23</v>
      </c>
      <c r="N594" t="s">
        <v>636</v>
      </c>
      <c r="O594" s="4">
        <v>0.26677592206253897</v>
      </c>
      <c r="P594" s="4">
        <v>0.73322407793746103</v>
      </c>
      <c r="Q594" t="s">
        <v>638</v>
      </c>
      <c r="R594" s="4">
        <v>2.1954661210825842E-5</v>
      </c>
      <c r="S594" s="3">
        <v>35235655.659999996</v>
      </c>
      <c r="T594" s="4">
        <v>0.25607037810771049</v>
      </c>
    </row>
    <row r="595" spans="1:20" x14ac:dyDescent="0.4">
      <c r="A595" s="2">
        <v>45922</v>
      </c>
      <c r="B595" t="s">
        <v>25</v>
      </c>
      <c r="C595" t="s">
        <v>22</v>
      </c>
      <c r="D595" s="3" t="str">
        <f t="shared" si="40"/>
        <v>PASS</v>
      </c>
      <c r="E595" s="3" t="str">
        <f t="shared" si="41"/>
        <v>PASS</v>
      </c>
      <c r="F595" s="3" t="str">
        <f t="shared" si="42"/>
        <v>PASS</v>
      </c>
      <c r="G595" s="3" t="str">
        <f t="shared" si="43"/>
        <v>FAIL</v>
      </c>
      <c r="H595" s="3">
        <v>102549846.89</v>
      </c>
      <c r="I595" s="4">
        <v>0</v>
      </c>
      <c r="J595" s="3">
        <v>93559907.840000004</v>
      </c>
      <c r="K595" s="3">
        <v>6773.56</v>
      </c>
      <c r="L595" s="3">
        <v>0</v>
      </c>
      <c r="M595" t="s">
        <v>23</v>
      </c>
      <c r="N595" t="s">
        <v>636</v>
      </c>
      <c r="O595" s="4">
        <v>0.25956732344724798</v>
      </c>
      <c r="P595" s="4">
        <v>0.74043267655275202</v>
      </c>
      <c r="Q595" t="s">
        <v>639</v>
      </c>
      <c r="R595" s="4">
        <v>1.636025979896041E-5</v>
      </c>
      <c r="S595" s="3">
        <v>17971433.609999999</v>
      </c>
      <c r="T595" s="4">
        <v>0.17524583561082291</v>
      </c>
    </row>
    <row r="596" spans="1:20" x14ac:dyDescent="0.4">
      <c r="A596" s="2">
        <v>45922</v>
      </c>
      <c r="B596" t="s">
        <v>26</v>
      </c>
      <c r="C596" t="s">
        <v>22</v>
      </c>
      <c r="D596" s="3" t="str">
        <f t="shared" si="40"/>
        <v>PASS</v>
      </c>
      <c r="E596" s="3" t="str">
        <f t="shared" si="41"/>
        <v>PASS</v>
      </c>
      <c r="F596" s="3" t="str">
        <f t="shared" si="42"/>
        <v>PASS</v>
      </c>
      <c r="G596" s="3" t="str">
        <f t="shared" si="43"/>
        <v>FAIL</v>
      </c>
      <c r="H596" s="3">
        <v>23751338.399999999</v>
      </c>
      <c r="I596" s="4">
        <v>0</v>
      </c>
      <c r="J596" s="3">
        <v>21805834.23</v>
      </c>
      <c r="K596" s="3">
        <v>1578.81</v>
      </c>
      <c r="L596" s="3">
        <v>0</v>
      </c>
      <c r="M596" t="s">
        <v>23</v>
      </c>
      <c r="N596" t="s">
        <v>636</v>
      </c>
      <c r="O596" s="4">
        <v>0.26114209389731752</v>
      </c>
      <c r="P596" s="4">
        <v>0.73885790610268254</v>
      </c>
      <c r="Q596" t="s">
        <v>640</v>
      </c>
      <c r="R596" s="4">
        <v>3.8364050919092426E-6</v>
      </c>
      <c r="S596" s="3">
        <v>3929389.64</v>
      </c>
      <c r="T596" s="4">
        <v>0.16543866176400401</v>
      </c>
    </row>
    <row r="597" spans="1:20" x14ac:dyDescent="0.4">
      <c r="A597" s="2">
        <v>45922</v>
      </c>
      <c r="B597" t="s">
        <v>27</v>
      </c>
      <c r="C597" t="s">
        <v>22</v>
      </c>
      <c r="D597" s="3" t="str">
        <f t="shared" si="40"/>
        <v>PASS</v>
      </c>
      <c r="E597" s="3" t="str">
        <f t="shared" si="41"/>
        <v>PASS</v>
      </c>
      <c r="F597" s="3" t="str">
        <f t="shared" si="42"/>
        <v>PASS</v>
      </c>
      <c r="G597" s="3" t="str">
        <f t="shared" si="43"/>
        <v>FAIL</v>
      </c>
      <c r="H597" s="3">
        <v>44003392.530000001</v>
      </c>
      <c r="I597" s="4">
        <v>0</v>
      </c>
      <c r="J597" s="3">
        <v>37599218.640000001</v>
      </c>
      <c r="K597" s="3">
        <v>2721.69</v>
      </c>
      <c r="L597" s="3">
        <v>0</v>
      </c>
      <c r="M597" t="s">
        <v>23</v>
      </c>
      <c r="N597" t="s">
        <v>636</v>
      </c>
      <c r="O597" s="4">
        <v>0.26718852022399359</v>
      </c>
      <c r="P597" s="4">
        <v>0.73281147977600636</v>
      </c>
      <c r="Q597" t="s">
        <v>641</v>
      </c>
      <c r="R597" s="4">
        <v>6.7564305711074269E-6</v>
      </c>
      <c r="S597" s="3">
        <v>15222550.060000001</v>
      </c>
      <c r="T597" s="4">
        <v>0.34594037379326581</v>
      </c>
    </row>
    <row r="598" spans="1:20" x14ac:dyDescent="0.4">
      <c r="A598" s="2">
        <v>45922</v>
      </c>
      <c r="B598" t="s">
        <v>28</v>
      </c>
      <c r="C598" t="s">
        <v>22</v>
      </c>
      <c r="D598" s="3" t="str">
        <f t="shared" si="40"/>
        <v>PASS</v>
      </c>
      <c r="E598" s="3" t="str">
        <f t="shared" si="41"/>
        <v>PASS</v>
      </c>
      <c r="F598" s="3" t="str">
        <f t="shared" si="42"/>
        <v>PASS</v>
      </c>
      <c r="G598" s="3" t="str">
        <f t="shared" si="43"/>
        <v>FAIL</v>
      </c>
      <c r="H598" s="3">
        <v>15557432.380000001</v>
      </c>
      <c r="I598" s="4">
        <v>0</v>
      </c>
      <c r="J598" s="3">
        <v>13887677.93</v>
      </c>
      <c r="K598" s="3">
        <v>1005.93</v>
      </c>
      <c r="L598" s="3">
        <v>0</v>
      </c>
      <c r="M598" t="s">
        <v>23</v>
      </c>
      <c r="N598" t="s">
        <v>636</v>
      </c>
      <c r="O598" s="4">
        <v>0.26116245410365729</v>
      </c>
      <c r="P598" s="4">
        <v>0.73883754589634265</v>
      </c>
      <c r="Q598" t="s">
        <v>642</v>
      </c>
      <c r="R598" s="4">
        <v>2.4394068012028711E-6</v>
      </c>
      <c r="S598" s="3">
        <v>4227257.8099999996</v>
      </c>
      <c r="T598" s="4">
        <v>0.27171950401239658</v>
      </c>
    </row>
    <row r="599" spans="1:20" x14ac:dyDescent="0.4">
      <c r="A599" s="2">
        <v>45922</v>
      </c>
      <c r="B599" t="s">
        <v>29</v>
      </c>
      <c r="C599" t="s">
        <v>22</v>
      </c>
      <c r="D599" s="3" t="str">
        <f t="shared" si="40"/>
        <v>PASS</v>
      </c>
      <c r="E599" s="3" t="str">
        <f t="shared" si="41"/>
        <v>PASS</v>
      </c>
      <c r="F599" s="3" t="str">
        <f t="shared" si="42"/>
        <v>PASS</v>
      </c>
      <c r="G599" s="3" t="str">
        <f t="shared" si="43"/>
        <v>FAIL</v>
      </c>
      <c r="H599" s="3">
        <v>35125086.450000003</v>
      </c>
      <c r="I599" s="4">
        <v>0</v>
      </c>
      <c r="J599" s="3">
        <v>32916098.73</v>
      </c>
      <c r="K599" s="3">
        <v>2381.79</v>
      </c>
      <c r="L599" s="3">
        <v>0</v>
      </c>
      <c r="M599" t="s">
        <v>23</v>
      </c>
      <c r="N599" t="s">
        <v>636</v>
      </c>
      <c r="O599" s="4">
        <v>0.26235307442827083</v>
      </c>
      <c r="P599" s="4">
        <v>0.73764692557172917</v>
      </c>
      <c r="Q599" t="s">
        <v>643</v>
      </c>
      <c r="R599" s="4">
        <v>5.8186901282632414E-6</v>
      </c>
      <c r="S599" s="3">
        <v>4585662.2300000004</v>
      </c>
      <c r="T599" s="4">
        <v>0.13055234003559299</v>
      </c>
    </row>
    <row r="600" spans="1:20" x14ac:dyDescent="0.4">
      <c r="A600" s="2">
        <v>45922</v>
      </c>
      <c r="B600" t="s">
        <v>30</v>
      </c>
      <c r="C600" t="s">
        <v>22</v>
      </c>
      <c r="D600" s="3" t="str">
        <f t="shared" si="40"/>
        <v>PASS</v>
      </c>
      <c r="E600" s="3" t="str">
        <f t="shared" si="41"/>
        <v>PASS</v>
      </c>
      <c r="F600" s="3" t="str">
        <f t="shared" si="42"/>
        <v>PASS</v>
      </c>
      <c r="G600" s="3" t="str">
        <f t="shared" si="43"/>
        <v>FAIL</v>
      </c>
      <c r="H600" s="3">
        <v>54834776.780000001</v>
      </c>
      <c r="I600" s="4">
        <v>0</v>
      </c>
      <c r="J600" s="3">
        <v>50317923.560000002</v>
      </c>
      <c r="K600" s="3">
        <v>3651.78</v>
      </c>
      <c r="L600" s="3">
        <v>0</v>
      </c>
      <c r="M600" t="s">
        <v>23</v>
      </c>
      <c r="N600" t="s">
        <v>644</v>
      </c>
      <c r="O600" s="4">
        <v>0.25993487736837773</v>
      </c>
      <c r="P600" s="4">
        <v>0.74006512263162239</v>
      </c>
      <c r="Q600" t="s">
        <v>645</v>
      </c>
      <c r="R600" s="4">
        <v>7.2401904256393519E-5</v>
      </c>
      <c r="S600" s="3">
        <v>9632568.4399999995</v>
      </c>
      <c r="T600" s="4">
        <v>0.1756653168963625</v>
      </c>
    </row>
    <row r="601" spans="1:20" x14ac:dyDescent="0.4">
      <c r="A601" s="2">
        <v>45922</v>
      </c>
      <c r="B601" t="s">
        <v>31</v>
      </c>
      <c r="C601" t="s">
        <v>22</v>
      </c>
      <c r="D601" s="3" t="str">
        <f t="shared" si="40"/>
        <v>PASS</v>
      </c>
      <c r="E601" s="3" t="str">
        <f t="shared" si="41"/>
        <v>PASS</v>
      </c>
      <c r="F601" s="3" t="str">
        <f t="shared" si="42"/>
        <v>PASS</v>
      </c>
      <c r="G601" s="3" t="str">
        <f t="shared" si="43"/>
        <v>FAIL</v>
      </c>
      <c r="H601" s="3">
        <v>40803971.950000003</v>
      </c>
      <c r="I601" s="4">
        <v>0</v>
      </c>
      <c r="J601" s="3">
        <v>35543463.770000003</v>
      </c>
      <c r="K601" s="3">
        <v>2574.16</v>
      </c>
      <c r="L601" s="3">
        <v>0</v>
      </c>
      <c r="M601" t="s">
        <v>23</v>
      </c>
      <c r="N601" t="s">
        <v>636</v>
      </c>
      <c r="O601" s="4">
        <v>0.25987855769409718</v>
      </c>
      <c r="P601" s="4">
        <v>0.74012144230590282</v>
      </c>
      <c r="Q601" t="s">
        <v>646</v>
      </c>
      <c r="R601" s="4">
        <v>6.21172940271274E-6</v>
      </c>
      <c r="S601" s="3">
        <v>11047110.220000001</v>
      </c>
      <c r="T601" s="4">
        <v>0.27073614876357638</v>
      </c>
    </row>
    <row r="602" spans="1:20" x14ac:dyDescent="0.4">
      <c r="A602" s="2">
        <v>45922</v>
      </c>
      <c r="B602" t="s">
        <v>32</v>
      </c>
      <c r="C602" t="s">
        <v>22</v>
      </c>
      <c r="D602" s="3" t="str">
        <f t="shared" si="40"/>
        <v>PASS</v>
      </c>
      <c r="E602" s="3" t="str">
        <f t="shared" si="41"/>
        <v>PASS</v>
      </c>
      <c r="F602" s="3" t="str">
        <f t="shared" si="42"/>
        <v>PASS</v>
      </c>
      <c r="G602" s="3" t="str">
        <f t="shared" si="43"/>
        <v>FAIL</v>
      </c>
      <c r="H602" s="3">
        <v>79908666.25</v>
      </c>
      <c r="I602" s="4">
        <v>0</v>
      </c>
      <c r="J602" s="3">
        <v>71971161.810000002</v>
      </c>
      <c r="K602" s="3">
        <v>5207.1899999999996</v>
      </c>
      <c r="L602" s="3">
        <v>0</v>
      </c>
      <c r="M602" t="s">
        <v>23</v>
      </c>
      <c r="N602" t="s">
        <v>636</v>
      </c>
      <c r="O602" s="4">
        <v>0.26237404573030332</v>
      </c>
      <c r="P602" s="4">
        <v>0.73762595426969668</v>
      </c>
      <c r="Q602" t="s">
        <v>647</v>
      </c>
      <c r="R602" s="4">
        <v>1.270114959715611E-5</v>
      </c>
      <c r="S602" s="3">
        <v>17910996.460000001</v>
      </c>
      <c r="T602" s="4">
        <v>0.22414335391313081</v>
      </c>
    </row>
    <row r="603" spans="1:20" x14ac:dyDescent="0.4">
      <c r="A603" s="2">
        <v>45922</v>
      </c>
      <c r="B603" t="s">
        <v>33</v>
      </c>
      <c r="C603" t="s">
        <v>22</v>
      </c>
      <c r="D603" s="3" t="str">
        <f t="shared" si="40"/>
        <v>PASS</v>
      </c>
      <c r="E603" s="3" t="str">
        <f t="shared" si="41"/>
        <v>PASS</v>
      </c>
      <c r="F603" s="3" t="str">
        <f t="shared" si="42"/>
        <v>PASS</v>
      </c>
      <c r="G603" s="3" t="str">
        <f t="shared" si="43"/>
        <v>FAIL</v>
      </c>
      <c r="H603" s="3">
        <v>168800915.94999999</v>
      </c>
      <c r="I603" s="4">
        <v>0</v>
      </c>
      <c r="J603" s="3">
        <v>144469559.66999999</v>
      </c>
      <c r="K603" s="3">
        <v>10460.1</v>
      </c>
      <c r="L603" s="3">
        <v>0</v>
      </c>
      <c r="M603" t="s">
        <v>23</v>
      </c>
      <c r="N603" t="s">
        <v>636</v>
      </c>
      <c r="O603" s="4">
        <v>0.26057595721887761</v>
      </c>
      <c r="P603" s="4">
        <v>0.7394240427811225</v>
      </c>
      <c r="Q603" t="s">
        <v>648</v>
      </c>
      <c r="R603" s="4">
        <v>2.5359577534045959E-5</v>
      </c>
      <c r="S603" s="3">
        <v>49629209.219999999</v>
      </c>
      <c r="T603" s="4">
        <v>0.29401030759039548</v>
      </c>
    </row>
    <row r="604" spans="1:20" x14ac:dyDescent="0.4">
      <c r="A604" s="2">
        <v>45923</v>
      </c>
      <c r="B604" t="s">
        <v>21</v>
      </c>
      <c r="C604" t="s">
        <v>22</v>
      </c>
      <c r="D604" s="3" t="str">
        <f t="shared" si="40"/>
        <v>PASS</v>
      </c>
      <c r="E604" s="3" t="str">
        <f t="shared" si="41"/>
        <v>PASS</v>
      </c>
      <c r="F604" s="3" t="str">
        <f t="shared" si="42"/>
        <v>PASS</v>
      </c>
      <c r="G604" s="3" t="str">
        <f t="shared" si="43"/>
        <v>FAIL</v>
      </c>
      <c r="H604" s="3">
        <v>24923109.859999999</v>
      </c>
      <c r="I604" s="4">
        <v>0</v>
      </c>
      <c r="J604" s="3">
        <v>20933181.210000001</v>
      </c>
      <c r="K604" s="3">
        <v>1523.92</v>
      </c>
      <c r="L604" s="3">
        <v>0</v>
      </c>
      <c r="M604" t="s">
        <v>23</v>
      </c>
      <c r="N604" t="s">
        <v>636</v>
      </c>
      <c r="O604" s="4">
        <v>0.26202638791373639</v>
      </c>
      <c r="P604" s="4">
        <v>0.73797361208626355</v>
      </c>
      <c r="Q604" t="s">
        <v>649</v>
      </c>
      <c r="R604" s="4">
        <v>3.6804710319374311E-6</v>
      </c>
      <c r="S604" s="3">
        <v>8088327.9299999997</v>
      </c>
      <c r="T604" s="4">
        <v>0.32453124732163741</v>
      </c>
    </row>
    <row r="605" spans="1:20" x14ac:dyDescent="0.4">
      <c r="A605" s="2">
        <v>45923</v>
      </c>
      <c r="B605" t="s">
        <v>24</v>
      </c>
      <c r="C605" t="s">
        <v>22</v>
      </c>
      <c r="D605" s="3" t="str">
        <f t="shared" si="40"/>
        <v>PASS</v>
      </c>
      <c r="E605" s="3" t="str">
        <f t="shared" si="41"/>
        <v>PASS</v>
      </c>
      <c r="F605" s="3" t="str">
        <f t="shared" si="42"/>
        <v>PASS</v>
      </c>
      <c r="G605" s="3" t="str">
        <f t="shared" si="43"/>
        <v>FAIL</v>
      </c>
      <c r="H605" s="3">
        <v>137235499.08000001</v>
      </c>
      <c r="I605" s="4">
        <v>0</v>
      </c>
      <c r="J605" s="3">
        <v>121765417.56999999</v>
      </c>
      <c r="K605" s="3">
        <v>8868.27</v>
      </c>
      <c r="L605" s="3">
        <v>0</v>
      </c>
      <c r="M605" t="s">
        <v>23</v>
      </c>
      <c r="N605" t="s">
        <v>636</v>
      </c>
      <c r="O605" s="4">
        <v>0.26844881849321939</v>
      </c>
      <c r="P605" s="4">
        <v>0.73155118150678056</v>
      </c>
      <c r="Q605" t="s">
        <v>650</v>
      </c>
      <c r="R605" s="4">
        <v>2.1954661210825842E-5</v>
      </c>
      <c r="S605" s="3">
        <v>35114623.829999998</v>
      </c>
      <c r="T605" s="4">
        <v>0.2558712874249125</v>
      </c>
    </row>
    <row r="606" spans="1:20" x14ac:dyDescent="0.4">
      <c r="A606" s="2">
        <v>45923</v>
      </c>
      <c r="B606" t="s">
        <v>25</v>
      </c>
      <c r="C606" t="s">
        <v>22</v>
      </c>
      <c r="D606" s="3" t="str">
        <f t="shared" si="40"/>
        <v>PASS</v>
      </c>
      <c r="E606" s="3" t="str">
        <f t="shared" si="41"/>
        <v>PASS</v>
      </c>
      <c r="F606" s="3" t="str">
        <f t="shared" si="42"/>
        <v>PASS</v>
      </c>
      <c r="G606" s="3" t="str">
        <f t="shared" si="43"/>
        <v>FAIL</v>
      </c>
      <c r="H606" s="3">
        <v>102340054.90000001</v>
      </c>
      <c r="I606" s="4">
        <v>0</v>
      </c>
      <c r="J606" s="3">
        <v>93343323.140000001</v>
      </c>
      <c r="K606" s="3">
        <v>6793.39</v>
      </c>
      <c r="L606" s="3">
        <v>0</v>
      </c>
      <c r="M606" t="s">
        <v>23</v>
      </c>
      <c r="N606" t="s">
        <v>636</v>
      </c>
      <c r="O606" s="4">
        <v>0.26098038981816352</v>
      </c>
      <c r="P606" s="4">
        <v>0.73901961018183648</v>
      </c>
      <c r="Q606" t="s">
        <v>651</v>
      </c>
      <c r="R606" s="4">
        <v>1.636025979896041E-5</v>
      </c>
      <c r="S606" s="3">
        <v>18073268.100000001</v>
      </c>
      <c r="T606" s="4">
        <v>0.17660014075290481</v>
      </c>
    </row>
    <row r="607" spans="1:20" x14ac:dyDescent="0.4">
      <c r="A607" s="2">
        <v>45923</v>
      </c>
      <c r="B607" t="s">
        <v>26</v>
      </c>
      <c r="C607" t="s">
        <v>22</v>
      </c>
      <c r="D607" s="3" t="str">
        <f t="shared" si="40"/>
        <v>PASS</v>
      </c>
      <c r="E607" s="3" t="str">
        <f t="shared" si="41"/>
        <v>PASS</v>
      </c>
      <c r="F607" s="3" t="str">
        <f t="shared" si="42"/>
        <v>PASS</v>
      </c>
      <c r="G607" s="3" t="str">
        <f t="shared" si="43"/>
        <v>FAIL</v>
      </c>
      <c r="H607" s="3">
        <v>23695183.059999999</v>
      </c>
      <c r="I607" s="4">
        <v>0</v>
      </c>
      <c r="J607" s="3">
        <v>21748095.73</v>
      </c>
      <c r="K607" s="3">
        <v>1583.87</v>
      </c>
      <c r="L607" s="3">
        <v>0</v>
      </c>
      <c r="M607" t="s">
        <v>23</v>
      </c>
      <c r="N607" t="s">
        <v>636</v>
      </c>
      <c r="O607" s="4">
        <v>0.26264935012772272</v>
      </c>
      <c r="P607" s="4">
        <v>0.73735064987227728</v>
      </c>
      <c r="Q607" t="s">
        <v>652</v>
      </c>
      <c r="R607" s="4">
        <v>3.8364050919092426E-6</v>
      </c>
      <c r="S607" s="3">
        <v>3942862.69</v>
      </c>
      <c r="T607" s="4">
        <v>0.16639933441392041</v>
      </c>
    </row>
    <row r="608" spans="1:20" x14ac:dyDescent="0.4">
      <c r="A608" s="2">
        <v>45923</v>
      </c>
      <c r="B608" t="s">
        <v>27</v>
      </c>
      <c r="C608" t="s">
        <v>22</v>
      </c>
      <c r="D608" s="3" t="str">
        <f t="shared" si="40"/>
        <v>PASS</v>
      </c>
      <c r="E608" s="3" t="str">
        <f t="shared" si="41"/>
        <v>PASS</v>
      </c>
      <c r="F608" s="3" t="str">
        <f t="shared" si="42"/>
        <v>PASS</v>
      </c>
      <c r="G608" s="3" t="str">
        <f t="shared" si="43"/>
        <v>FAIL</v>
      </c>
      <c r="H608" s="3">
        <v>43889760</v>
      </c>
      <c r="I608" s="4">
        <v>0</v>
      </c>
      <c r="J608" s="3">
        <v>37482856.299999997</v>
      </c>
      <c r="K608" s="3">
        <v>2730.36</v>
      </c>
      <c r="L608" s="3">
        <v>0</v>
      </c>
      <c r="M608" t="s">
        <v>23</v>
      </c>
      <c r="N608" t="s">
        <v>636</v>
      </c>
      <c r="O608" s="4">
        <v>0.26869669454726158</v>
      </c>
      <c r="P608" s="4">
        <v>0.73130330545273836</v>
      </c>
      <c r="Q608" t="s">
        <v>653</v>
      </c>
      <c r="R608" s="4">
        <v>6.7564305711074269E-6</v>
      </c>
      <c r="S608" s="3">
        <v>15158284.18</v>
      </c>
      <c r="T608" s="4">
        <v>0.34537177191217261</v>
      </c>
    </row>
    <row r="609" spans="1:20" x14ac:dyDescent="0.4">
      <c r="A609" s="2">
        <v>45923</v>
      </c>
      <c r="B609" t="s">
        <v>28</v>
      </c>
      <c r="C609" t="s">
        <v>22</v>
      </c>
      <c r="D609" s="3" t="str">
        <f t="shared" si="40"/>
        <v>PASS</v>
      </c>
      <c r="E609" s="3" t="str">
        <f t="shared" si="41"/>
        <v>PASS</v>
      </c>
      <c r="F609" s="3" t="str">
        <f t="shared" si="42"/>
        <v>PASS</v>
      </c>
      <c r="G609" s="3" t="str">
        <f t="shared" si="43"/>
        <v>FAIL</v>
      </c>
      <c r="H609" s="3">
        <v>15520964.6</v>
      </c>
      <c r="I609" s="4">
        <v>0</v>
      </c>
      <c r="J609" s="3">
        <v>13850201.869999999</v>
      </c>
      <c r="K609" s="3">
        <v>1008.99</v>
      </c>
      <c r="L609" s="3">
        <v>0</v>
      </c>
      <c r="M609" t="s">
        <v>23</v>
      </c>
      <c r="N609" t="s">
        <v>636</v>
      </c>
      <c r="O609" s="4">
        <v>0.26257090576254538</v>
      </c>
      <c r="P609" s="4">
        <v>0.73742909423745462</v>
      </c>
      <c r="Q609" t="s">
        <v>654</v>
      </c>
      <c r="R609" s="4">
        <v>2.4394068012028711E-6</v>
      </c>
      <c r="S609" s="3">
        <v>4219072.76</v>
      </c>
      <c r="T609" s="4">
        <v>0.27183057681865991</v>
      </c>
    </row>
    <row r="610" spans="1:20" x14ac:dyDescent="0.4">
      <c r="A610" s="2">
        <v>45923</v>
      </c>
      <c r="B610" t="s">
        <v>29</v>
      </c>
      <c r="C610" t="s">
        <v>22</v>
      </c>
      <c r="D610" s="3" t="str">
        <f t="shared" si="40"/>
        <v>PASS</v>
      </c>
      <c r="E610" s="3" t="str">
        <f t="shared" si="41"/>
        <v>PASS</v>
      </c>
      <c r="F610" s="3" t="str">
        <f t="shared" si="42"/>
        <v>PASS</v>
      </c>
      <c r="G610" s="3" t="str">
        <f t="shared" si="43"/>
        <v>FAIL</v>
      </c>
      <c r="H610" s="3">
        <v>35022904.18</v>
      </c>
      <c r="I610" s="4">
        <v>0</v>
      </c>
      <c r="J610" s="3">
        <v>32811526.66</v>
      </c>
      <c r="K610" s="3">
        <v>2389.8000000000002</v>
      </c>
      <c r="L610" s="3">
        <v>0</v>
      </c>
      <c r="M610" t="s">
        <v>23</v>
      </c>
      <c r="N610" t="s">
        <v>636</v>
      </c>
      <c r="O610" s="4">
        <v>0.26401233291471599</v>
      </c>
      <c r="P610" s="4">
        <v>0.73598766708528396</v>
      </c>
      <c r="Q610" t="s">
        <v>655</v>
      </c>
      <c r="R610" s="4">
        <v>5.8186901282632414E-6</v>
      </c>
      <c r="S610" s="3">
        <v>4596596.0799999991</v>
      </c>
      <c r="T610" s="4">
        <v>0.1312454288877879</v>
      </c>
    </row>
    <row r="611" spans="1:20" x14ac:dyDescent="0.4">
      <c r="A611" s="2">
        <v>45923</v>
      </c>
      <c r="B611" t="s">
        <v>30</v>
      </c>
      <c r="C611" t="s">
        <v>22</v>
      </c>
      <c r="D611" s="3" t="str">
        <f t="shared" si="40"/>
        <v>PASS</v>
      </c>
      <c r="E611" s="3" t="str">
        <f t="shared" si="41"/>
        <v>PASS</v>
      </c>
      <c r="F611" s="3" t="str">
        <f t="shared" si="42"/>
        <v>PASS</v>
      </c>
      <c r="G611" s="3" t="str">
        <f t="shared" si="43"/>
        <v>FAIL</v>
      </c>
      <c r="H611" s="3">
        <v>55032196.899999999</v>
      </c>
      <c r="I611" s="4">
        <v>0</v>
      </c>
      <c r="J611" s="3">
        <v>50511690.460000001</v>
      </c>
      <c r="K611" s="3">
        <v>3653.9</v>
      </c>
      <c r="L611" s="3">
        <v>0</v>
      </c>
      <c r="M611" t="s">
        <v>23</v>
      </c>
      <c r="N611" t="s">
        <v>644</v>
      </c>
      <c r="O611" s="4">
        <v>0.25833345194283958</v>
      </c>
      <c r="P611" s="4">
        <v>0.74166654805716037</v>
      </c>
      <c r="Q611" t="s">
        <v>656</v>
      </c>
      <c r="R611" s="4">
        <v>7.2401904256393519E-5</v>
      </c>
      <c r="S611" s="3">
        <v>9708279.2300000004</v>
      </c>
      <c r="T611" s="4">
        <v>0.17641089719970821</v>
      </c>
    </row>
    <row r="612" spans="1:20" x14ac:dyDescent="0.4">
      <c r="A612" s="2">
        <v>45923</v>
      </c>
      <c r="B612" t="s">
        <v>31</v>
      </c>
      <c r="C612" t="s">
        <v>22</v>
      </c>
      <c r="D612" s="3" t="str">
        <f t="shared" si="40"/>
        <v>PASS</v>
      </c>
      <c r="E612" s="3" t="str">
        <f t="shared" si="41"/>
        <v>PASS</v>
      </c>
      <c r="F612" s="3" t="str">
        <f t="shared" si="42"/>
        <v>PASS</v>
      </c>
      <c r="G612" s="3" t="str">
        <f t="shared" si="43"/>
        <v>FAIL</v>
      </c>
      <c r="H612" s="3">
        <v>40718703.460000001</v>
      </c>
      <c r="I612" s="4">
        <v>0</v>
      </c>
      <c r="J612" s="3">
        <v>35455614.729999997</v>
      </c>
      <c r="K612" s="3">
        <v>2581.23</v>
      </c>
      <c r="L612" s="3">
        <v>0</v>
      </c>
      <c r="M612" t="s">
        <v>23</v>
      </c>
      <c r="N612" t="s">
        <v>636</v>
      </c>
      <c r="O612" s="4">
        <v>0.2611724030316932</v>
      </c>
      <c r="P612" s="4">
        <v>0.7388275969683068</v>
      </c>
      <c r="Q612" t="s">
        <v>657</v>
      </c>
      <c r="R612" s="4">
        <v>6.21172940271274E-6</v>
      </c>
      <c r="S612" s="3">
        <v>11043324.09</v>
      </c>
      <c r="T612" s="4">
        <v>0.27121011111879839</v>
      </c>
    </row>
    <row r="613" spans="1:20" x14ac:dyDescent="0.4">
      <c r="A613" s="2">
        <v>45923</v>
      </c>
      <c r="B613" t="s">
        <v>32</v>
      </c>
      <c r="C613" t="s">
        <v>22</v>
      </c>
      <c r="D613" s="3" t="str">
        <f t="shared" si="40"/>
        <v>PASS</v>
      </c>
      <c r="E613" s="3" t="str">
        <f t="shared" si="41"/>
        <v>PASS</v>
      </c>
      <c r="F613" s="3" t="str">
        <f t="shared" si="42"/>
        <v>PASS</v>
      </c>
      <c r="G613" s="3" t="str">
        <f t="shared" si="43"/>
        <v>FAIL</v>
      </c>
      <c r="H613" s="3">
        <v>79685387.120000005</v>
      </c>
      <c r="I613" s="4">
        <v>0</v>
      </c>
      <c r="J613" s="3">
        <v>71742657.379999995</v>
      </c>
      <c r="K613" s="3">
        <v>5225.3</v>
      </c>
      <c r="L613" s="3">
        <v>0</v>
      </c>
      <c r="M613" t="s">
        <v>23</v>
      </c>
      <c r="N613" t="s">
        <v>636</v>
      </c>
      <c r="O613" s="4">
        <v>0.26387398503693388</v>
      </c>
      <c r="P613" s="4">
        <v>0.73612601496306607</v>
      </c>
      <c r="Q613" t="s">
        <v>658</v>
      </c>
      <c r="R613" s="4">
        <v>1.270114959715611E-5</v>
      </c>
      <c r="S613" s="3">
        <v>17876373.620000001</v>
      </c>
      <c r="T613" s="4">
        <v>0.22433691127181921</v>
      </c>
    </row>
    <row r="614" spans="1:20" x14ac:dyDescent="0.4">
      <c r="A614" s="2">
        <v>45923</v>
      </c>
      <c r="B614" t="s">
        <v>33</v>
      </c>
      <c r="C614" t="s">
        <v>22</v>
      </c>
      <c r="D614" s="3" t="str">
        <f t="shared" si="40"/>
        <v>PASS</v>
      </c>
      <c r="E614" s="3" t="str">
        <f t="shared" si="41"/>
        <v>PASS</v>
      </c>
      <c r="F614" s="3" t="str">
        <f t="shared" si="42"/>
        <v>PASS</v>
      </c>
      <c r="G614" s="3" t="str">
        <f t="shared" si="43"/>
        <v>FAIL</v>
      </c>
      <c r="H614" s="3">
        <v>168477169.46000001</v>
      </c>
      <c r="I614" s="4">
        <v>0</v>
      </c>
      <c r="J614" s="3">
        <v>144135324.28999999</v>
      </c>
      <c r="K614" s="3">
        <v>10489.44</v>
      </c>
      <c r="L614" s="3">
        <v>0</v>
      </c>
      <c r="M614" t="s">
        <v>23</v>
      </c>
      <c r="N614" t="s">
        <v>636</v>
      </c>
      <c r="O614" s="4">
        <v>0.26199753589911601</v>
      </c>
      <c r="P614" s="4">
        <v>0.73800246410088399</v>
      </c>
      <c r="Q614" t="s">
        <v>659</v>
      </c>
      <c r="R614" s="4">
        <v>2.5359577534045959E-5</v>
      </c>
      <c r="S614" s="3">
        <v>49530505.359999999</v>
      </c>
      <c r="T614" s="4">
        <v>0.29398942016152269</v>
      </c>
    </row>
    <row r="615" spans="1:20" x14ac:dyDescent="0.4">
      <c r="A615" s="2">
        <v>45924</v>
      </c>
      <c r="B615" t="s">
        <v>21</v>
      </c>
      <c r="C615" t="s">
        <v>22</v>
      </c>
      <c r="D615" s="3" t="str">
        <f t="shared" si="40"/>
        <v>PASS</v>
      </c>
      <c r="E615" s="3" t="str">
        <f t="shared" si="41"/>
        <v>PASS</v>
      </c>
      <c r="F615" s="3" t="str">
        <f t="shared" si="42"/>
        <v>PASS</v>
      </c>
      <c r="G615" s="3" t="str">
        <f t="shared" si="43"/>
        <v>FAIL</v>
      </c>
      <c r="H615" s="3">
        <v>24915254.050000001</v>
      </c>
      <c r="I615" s="4">
        <v>0</v>
      </c>
      <c r="J615" s="3">
        <v>20923805.59</v>
      </c>
      <c r="K615" s="3">
        <v>1520.36</v>
      </c>
      <c r="L615" s="3">
        <v>0</v>
      </c>
      <c r="M615" t="s">
        <v>23</v>
      </c>
      <c r="N615" t="s">
        <v>479</v>
      </c>
      <c r="O615" s="4">
        <v>0.25866291085148629</v>
      </c>
      <c r="P615" s="4">
        <v>0.74133708914851371</v>
      </c>
      <c r="Q615" t="s">
        <v>660</v>
      </c>
      <c r="R615" s="4">
        <v>3.6804710319374311E-6</v>
      </c>
      <c r="S615" s="3">
        <v>8093021.1599999992</v>
      </c>
      <c r="T615" s="4">
        <v>0.32482194015597438</v>
      </c>
    </row>
    <row r="616" spans="1:20" x14ac:dyDescent="0.4">
      <c r="A616" s="2">
        <v>45924</v>
      </c>
      <c r="B616" t="s">
        <v>24</v>
      </c>
      <c r="C616" t="s">
        <v>22</v>
      </c>
      <c r="D616" s="3" t="str">
        <f t="shared" si="40"/>
        <v>PASS</v>
      </c>
      <c r="E616" s="3" t="str">
        <f t="shared" si="41"/>
        <v>PASS</v>
      </c>
      <c r="F616" s="3" t="str">
        <f t="shared" si="42"/>
        <v>PASS</v>
      </c>
      <c r="G616" s="3" t="str">
        <f t="shared" si="43"/>
        <v>FAIL</v>
      </c>
      <c r="H616" s="3">
        <v>137163778.53</v>
      </c>
      <c r="I616" s="4">
        <v>0</v>
      </c>
      <c r="J616" s="3">
        <v>121684856.52</v>
      </c>
      <c r="K616" s="3">
        <v>8841.0499999999993</v>
      </c>
      <c r="L616" s="3">
        <v>0</v>
      </c>
      <c r="M616" t="s">
        <v>23</v>
      </c>
      <c r="N616" t="s">
        <v>479</v>
      </c>
      <c r="O616" s="4">
        <v>0.26512507203143643</v>
      </c>
      <c r="P616" s="4">
        <v>0.73487492796856357</v>
      </c>
      <c r="Q616" t="s">
        <v>661</v>
      </c>
      <c r="R616" s="4">
        <v>2.1954661210825842E-5</v>
      </c>
      <c r="S616" s="3">
        <v>35049643.069999993</v>
      </c>
      <c r="T616" s="4">
        <v>0.25553133229217689</v>
      </c>
    </row>
    <row r="617" spans="1:20" x14ac:dyDescent="0.4">
      <c r="A617" s="2">
        <v>45924</v>
      </c>
      <c r="B617" t="s">
        <v>25</v>
      </c>
      <c r="C617" t="s">
        <v>22</v>
      </c>
      <c r="D617" s="3" t="str">
        <f t="shared" si="40"/>
        <v>PASS</v>
      </c>
      <c r="E617" s="3" t="str">
        <f t="shared" si="41"/>
        <v>PASS</v>
      </c>
      <c r="F617" s="3" t="str">
        <f t="shared" si="42"/>
        <v>PASS</v>
      </c>
      <c r="G617" s="3" t="str">
        <f t="shared" si="43"/>
        <v>FAIL</v>
      </c>
      <c r="H617" s="3">
        <v>102299010.38</v>
      </c>
      <c r="I617" s="4">
        <v>0</v>
      </c>
      <c r="J617" s="3">
        <v>93295501.640000001</v>
      </c>
      <c r="K617" s="3">
        <v>6777.66</v>
      </c>
      <c r="L617" s="3">
        <v>0</v>
      </c>
      <c r="M617" t="s">
        <v>23</v>
      </c>
      <c r="N617" t="s">
        <v>479</v>
      </c>
      <c r="O617" s="4">
        <v>0.25770238315211441</v>
      </c>
      <c r="P617" s="4">
        <v>0.74229761684788564</v>
      </c>
      <c r="Q617" t="s">
        <v>662</v>
      </c>
      <c r="R617" s="4">
        <v>1.636025979896041E-5</v>
      </c>
      <c r="S617" s="3">
        <v>18073987.739999998</v>
      </c>
      <c r="T617" s="4">
        <v>0.17667803112525091</v>
      </c>
    </row>
    <row r="618" spans="1:20" x14ac:dyDescent="0.4">
      <c r="A618" s="2">
        <v>45924</v>
      </c>
      <c r="B618" t="s">
        <v>26</v>
      </c>
      <c r="C618" t="s">
        <v>22</v>
      </c>
      <c r="D618" s="3" t="str">
        <f t="shared" si="40"/>
        <v>PASS</v>
      </c>
      <c r="E618" s="3" t="str">
        <f t="shared" si="41"/>
        <v>PASS</v>
      </c>
      <c r="F618" s="3" t="str">
        <f t="shared" si="42"/>
        <v>PASS</v>
      </c>
      <c r="G618" s="3" t="str">
        <f t="shared" si="43"/>
        <v>FAIL</v>
      </c>
      <c r="H618" s="3">
        <v>23679131.460000001</v>
      </c>
      <c r="I618" s="4">
        <v>0</v>
      </c>
      <c r="J618" s="3">
        <v>21730465.16</v>
      </c>
      <c r="K618" s="3">
        <v>1579.68</v>
      </c>
      <c r="L618" s="3">
        <v>0</v>
      </c>
      <c r="M618" t="s">
        <v>23</v>
      </c>
      <c r="N618" t="s">
        <v>479</v>
      </c>
      <c r="O618" s="4">
        <v>0.25942561461486913</v>
      </c>
      <c r="P618" s="4">
        <v>0.74057438538513087</v>
      </c>
      <c r="Q618" t="s">
        <v>663</v>
      </c>
      <c r="R618" s="4">
        <v>3.8364050919092426E-6</v>
      </c>
      <c r="S618" s="3">
        <v>3929876.7</v>
      </c>
      <c r="T618" s="4">
        <v>0.16596371816417971</v>
      </c>
    </row>
    <row r="619" spans="1:20" x14ac:dyDescent="0.4">
      <c r="A619" s="2">
        <v>45924</v>
      </c>
      <c r="B619" t="s">
        <v>27</v>
      </c>
      <c r="C619" t="s">
        <v>22</v>
      </c>
      <c r="D619" s="3" t="str">
        <f t="shared" si="40"/>
        <v>PASS</v>
      </c>
      <c r="E619" s="3" t="str">
        <f t="shared" si="41"/>
        <v>PASS</v>
      </c>
      <c r="F619" s="3" t="str">
        <f t="shared" si="42"/>
        <v>PASS</v>
      </c>
      <c r="G619" s="3" t="str">
        <f t="shared" si="43"/>
        <v>FAIL</v>
      </c>
      <c r="H619" s="3">
        <v>43867215.950000003</v>
      </c>
      <c r="I619" s="4">
        <v>0</v>
      </c>
      <c r="J619" s="3">
        <v>37457590.890000001</v>
      </c>
      <c r="K619" s="3">
        <v>2721.91</v>
      </c>
      <c r="L619" s="3">
        <v>0</v>
      </c>
      <c r="M619" t="s">
        <v>23</v>
      </c>
      <c r="N619" t="s">
        <v>636</v>
      </c>
      <c r="O619" s="4">
        <v>0.2652862825370027</v>
      </c>
      <c r="P619" s="4">
        <v>0.7347137174629973</v>
      </c>
      <c r="Q619" t="s">
        <v>664</v>
      </c>
      <c r="R619" s="4">
        <v>6.7564305711074269E-6</v>
      </c>
      <c r="S619" s="3">
        <v>15143442.960000001</v>
      </c>
      <c r="T619" s="4">
        <v>0.34521094243273948</v>
      </c>
    </row>
    <row r="620" spans="1:20" x14ac:dyDescent="0.4">
      <c r="A620" s="2">
        <v>45924</v>
      </c>
      <c r="B620" t="s">
        <v>28</v>
      </c>
      <c r="C620" t="s">
        <v>22</v>
      </c>
      <c r="D620" s="3" t="str">
        <f t="shared" si="40"/>
        <v>PASS</v>
      </c>
      <c r="E620" s="3" t="str">
        <f t="shared" si="41"/>
        <v>PASS</v>
      </c>
      <c r="F620" s="3" t="str">
        <f t="shared" si="42"/>
        <v>PASS</v>
      </c>
      <c r="G620" s="3" t="str">
        <f t="shared" si="43"/>
        <v>FAIL</v>
      </c>
      <c r="H620" s="3">
        <v>15513872.539999999</v>
      </c>
      <c r="I620" s="4">
        <v>0</v>
      </c>
      <c r="J620" s="3">
        <v>13842104.25</v>
      </c>
      <c r="K620" s="3">
        <v>1006.27</v>
      </c>
      <c r="L620" s="3">
        <v>0</v>
      </c>
      <c r="M620" t="s">
        <v>23</v>
      </c>
      <c r="N620" t="s">
        <v>479</v>
      </c>
      <c r="O620" s="4">
        <v>0.25923222908829052</v>
      </c>
      <c r="P620" s="4">
        <v>0.74076777091170953</v>
      </c>
      <c r="Q620" t="s">
        <v>665</v>
      </c>
      <c r="R620" s="4">
        <v>2.4394068012028711E-6</v>
      </c>
      <c r="S620" s="3">
        <v>4218553.01</v>
      </c>
      <c r="T620" s="4">
        <v>0.2719213400215289</v>
      </c>
    </row>
    <row r="621" spans="1:20" x14ac:dyDescent="0.4">
      <c r="A621" s="2">
        <v>45924</v>
      </c>
      <c r="B621" t="s">
        <v>29</v>
      </c>
      <c r="C621" t="s">
        <v>22</v>
      </c>
      <c r="D621" s="3" t="str">
        <f t="shared" si="40"/>
        <v>PASS</v>
      </c>
      <c r="E621" s="3" t="str">
        <f t="shared" si="41"/>
        <v>PASS</v>
      </c>
      <c r="F621" s="3" t="str">
        <f t="shared" si="42"/>
        <v>PASS</v>
      </c>
      <c r="G621" s="3" t="str">
        <f t="shared" si="43"/>
        <v>FAIL</v>
      </c>
      <c r="H621" s="3">
        <v>34986777.07</v>
      </c>
      <c r="I621" s="4">
        <v>0</v>
      </c>
      <c r="J621" s="3">
        <v>32773017.34</v>
      </c>
      <c r="K621" s="3">
        <v>2382.21</v>
      </c>
      <c r="L621" s="3">
        <v>0</v>
      </c>
      <c r="M621" t="s">
        <v>23</v>
      </c>
      <c r="N621" t="s">
        <v>479</v>
      </c>
      <c r="O621" s="4">
        <v>0.2608701118760034</v>
      </c>
      <c r="P621" s="4">
        <v>0.7391298881239966</v>
      </c>
      <c r="Q621" t="s">
        <v>666</v>
      </c>
      <c r="R621" s="4">
        <v>5.8186901282632414E-6</v>
      </c>
      <c r="S621" s="3">
        <v>4568973.4000000004</v>
      </c>
      <c r="T621" s="4">
        <v>0.1305914343255625</v>
      </c>
    </row>
    <row r="622" spans="1:20" x14ac:dyDescent="0.4">
      <c r="A622" s="2">
        <v>45924</v>
      </c>
      <c r="B622" t="s">
        <v>30</v>
      </c>
      <c r="C622" t="s">
        <v>22</v>
      </c>
      <c r="D622" s="3" t="str">
        <f t="shared" si="40"/>
        <v>PASS</v>
      </c>
      <c r="E622" s="3" t="str">
        <f t="shared" si="41"/>
        <v>PASS</v>
      </c>
      <c r="F622" s="3" t="str">
        <f t="shared" si="42"/>
        <v>PASS</v>
      </c>
      <c r="G622" s="3" t="str">
        <f t="shared" si="43"/>
        <v>FAIL</v>
      </c>
      <c r="H622" s="3">
        <v>55114785.049999997</v>
      </c>
      <c r="I622" s="4">
        <v>0</v>
      </c>
      <c r="J622" s="3">
        <v>50590611.32</v>
      </c>
      <c r="K622" s="3">
        <v>3667.97</v>
      </c>
      <c r="L622" s="3">
        <v>0</v>
      </c>
      <c r="M622" t="s">
        <v>23</v>
      </c>
      <c r="N622" t="s">
        <v>667</v>
      </c>
      <c r="O622" s="4">
        <v>0.25659805685858628</v>
      </c>
      <c r="P622" s="4">
        <v>0.74340194314141361</v>
      </c>
      <c r="Q622" t="s">
        <v>668</v>
      </c>
      <c r="R622" s="4">
        <v>7.2401904256393519E-5</v>
      </c>
      <c r="S622" s="3">
        <v>9734932.5200000014</v>
      </c>
      <c r="T622" s="4">
        <v>0.17663014581601821</v>
      </c>
    </row>
    <row r="623" spans="1:20" x14ac:dyDescent="0.4">
      <c r="A623" s="2">
        <v>45924</v>
      </c>
      <c r="B623" t="s">
        <v>31</v>
      </c>
      <c r="C623" t="s">
        <v>22</v>
      </c>
      <c r="D623" s="3" t="str">
        <f t="shared" si="40"/>
        <v>PASS</v>
      </c>
      <c r="E623" s="3" t="str">
        <f t="shared" si="41"/>
        <v>PASS</v>
      </c>
      <c r="F623" s="3" t="str">
        <f t="shared" si="42"/>
        <v>PASS</v>
      </c>
      <c r="G623" s="3" t="str">
        <f t="shared" si="43"/>
        <v>FAIL</v>
      </c>
      <c r="H623" s="3">
        <v>40705899.479999997</v>
      </c>
      <c r="I623" s="4">
        <v>0</v>
      </c>
      <c r="J623" s="3">
        <v>35440236.579999998</v>
      </c>
      <c r="K623" s="3">
        <v>2574.85</v>
      </c>
      <c r="L623" s="3">
        <v>0</v>
      </c>
      <c r="M623" t="s">
        <v>23</v>
      </c>
      <c r="N623" t="s">
        <v>636</v>
      </c>
      <c r="O623" s="4">
        <v>0.25779228051642988</v>
      </c>
      <c r="P623" s="4">
        <v>0.74220771948357012</v>
      </c>
      <c r="Q623" t="s">
        <v>669</v>
      </c>
      <c r="R623" s="4">
        <v>6.21172940271274E-6</v>
      </c>
      <c r="S623" s="3">
        <v>11059738.960000001</v>
      </c>
      <c r="T623" s="4">
        <v>0.27169867516215862</v>
      </c>
    </row>
    <row r="624" spans="1:20" x14ac:dyDescent="0.4">
      <c r="A624" s="2">
        <v>45924</v>
      </c>
      <c r="B624" t="s">
        <v>32</v>
      </c>
      <c r="C624" t="s">
        <v>22</v>
      </c>
      <c r="D624" s="3" t="str">
        <f t="shared" si="40"/>
        <v>PASS</v>
      </c>
      <c r="E624" s="3" t="str">
        <f t="shared" si="41"/>
        <v>PASS</v>
      </c>
      <c r="F624" s="3" t="str">
        <f t="shared" si="42"/>
        <v>PASS</v>
      </c>
      <c r="G624" s="3" t="str">
        <f t="shared" si="43"/>
        <v>FAIL</v>
      </c>
      <c r="H624" s="3">
        <v>79643597.180000007</v>
      </c>
      <c r="I624" s="4">
        <v>0</v>
      </c>
      <c r="J624" s="3">
        <v>71695658.730000004</v>
      </c>
      <c r="K624" s="3">
        <v>5208.71</v>
      </c>
      <c r="L624" s="3">
        <v>0</v>
      </c>
      <c r="M624" t="s">
        <v>23</v>
      </c>
      <c r="N624" t="s">
        <v>636</v>
      </c>
      <c r="O624" s="4">
        <v>0.26052169044629131</v>
      </c>
      <c r="P624" s="4">
        <v>0.73947830955370875</v>
      </c>
      <c r="Q624" t="s">
        <v>670</v>
      </c>
      <c r="R624" s="4">
        <v>1.270114959715611E-5</v>
      </c>
      <c r="S624" s="3">
        <v>17872411.859999999</v>
      </c>
      <c r="T624" s="4">
        <v>0.22440487990022759</v>
      </c>
    </row>
    <row r="625" spans="1:20" x14ac:dyDescent="0.4">
      <c r="A625" s="2">
        <v>45924</v>
      </c>
      <c r="B625" t="s">
        <v>33</v>
      </c>
      <c r="C625" t="s">
        <v>22</v>
      </c>
      <c r="D625" s="3" t="str">
        <f t="shared" si="40"/>
        <v>PASS</v>
      </c>
      <c r="E625" s="3" t="str">
        <f t="shared" si="41"/>
        <v>PASS</v>
      </c>
      <c r="F625" s="3" t="str">
        <f t="shared" si="42"/>
        <v>PASS</v>
      </c>
      <c r="G625" s="3" t="str">
        <f t="shared" si="43"/>
        <v>FAIL</v>
      </c>
      <c r="H625" s="3">
        <v>168452415.41</v>
      </c>
      <c r="I625" s="4">
        <v>0</v>
      </c>
      <c r="J625" s="3">
        <v>144100105.62</v>
      </c>
      <c r="K625" s="3">
        <v>10465.17</v>
      </c>
      <c r="L625" s="3">
        <v>0</v>
      </c>
      <c r="M625" t="s">
        <v>23</v>
      </c>
      <c r="N625" t="s">
        <v>479</v>
      </c>
      <c r="O625" s="4">
        <v>0.25863820723547909</v>
      </c>
      <c r="P625" s="4">
        <v>0.74136179276452085</v>
      </c>
      <c r="Q625" t="s">
        <v>671</v>
      </c>
      <c r="R625" s="4">
        <v>2.5359577534045959E-5</v>
      </c>
      <c r="S625" s="3">
        <v>49544544.439999998</v>
      </c>
      <c r="T625" s="4">
        <v>0.29411596336812662</v>
      </c>
    </row>
    <row r="626" spans="1:20" x14ac:dyDescent="0.4">
      <c r="A626" s="2">
        <v>45925</v>
      </c>
      <c r="B626" t="s">
        <v>21</v>
      </c>
      <c r="C626" t="s">
        <v>22</v>
      </c>
      <c r="D626" s="3" t="str">
        <f t="shared" si="40"/>
        <v>PASS</v>
      </c>
      <c r="E626" s="3" t="str">
        <f t="shared" si="41"/>
        <v>PASS</v>
      </c>
      <c r="F626" s="3" t="str">
        <f t="shared" si="42"/>
        <v>PASS</v>
      </c>
      <c r="G626" s="3" t="str">
        <f t="shared" si="43"/>
        <v>FAIL</v>
      </c>
      <c r="H626" s="3">
        <v>24835743.600000001</v>
      </c>
      <c r="I626" s="4">
        <v>0</v>
      </c>
      <c r="J626" s="3">
        <v>20842776.010000002</v>
      </c>
      <c r="K626" s="3">
        <v>1519.68</v>
      </c>
      <c r="L626" s="3">
        <v>0</v>
      </c>
      <c r="M626" t="s">
        <v>23</v>
      </c>
      <c r="N626" t="s">
        <v>636</v>
      </c>
      <c r="O626" s="4">
        <v>0.26030604835924642</v>
      </c>
      <c r="P626" s="4">
        <v>0.73969395164075369</v>
      </c>
      <c r="Q626" t="s">
        <v>672</v>
      </c>
      <c r="R626" s="4">
        <v>3.6804710319374311E-6</v>
      </c>
      <c r="S626" s="3">
        <v>8024835.7300000004</v>
      </c>
      <c r="T626" s="4">
        <v>0.32311638657760988</v>
      </c>
    </row>
    <row r="627" spans="1:20" x14ac:dyDescent="0.4">
      <c r="A627" s="2">
        <v>45925</v>
      </c>
      <c r="B627" t="s">
        <v>24</v>
      </c>
      <c r="C627" t="s">
        <v>22</v>
      </c>
      <c r="D627" s="3" t="str">
        <f t="shared" si="40"/>
        <v>PASS</v>
      </c>
      <c r="E627" s="3" t="str">
        <f t="shared" si="41"/>
        <v>PASS</v>
      </c>
      <c r="F627" s="3" t="str">
        <f t="shared" si="42"/>
        <v>PASS</v>
      </c>
      <c r="G627" s="3" t="str">
        <f t="shared" si="43"/>
        <v>FAIL</v>
      </c>
      <c r="H627" s="3">
        <v>136693868.27000001</v>
      </c>
      <c r="I627" s="4">
        <v>0</v>
      </c>
      <c r="J627" s="3">
        <v>121206111.61</v>
      </c>
      <c r="K627" s="3">
        <v>8835.2000000000007</v>
      </c>
      <c r="L627" s="3">
        <v>0</v>
      </c>
      <c r="M627" t="s">
        <v>23</v>
      </c>
      <c r="N627" t="s">
        <v>636</v>
      </c>
      <c r="O627" s="4">
        <v>0.26677862939819119</v>
      </c>
      <c r="P627" s="4">
        <v>0.7332213706018087</v>
      </c>
      <c r="Q627" t="s">
        <v>673</v>
      </c>
      <c r="R627" s="4">
        <v>2.1954661210825842E-5</v>
      </c>
      <c r="S627" s="3">
        <v>34649559.530000001</v>
      </c>
      <c r="T627" s="4">
        <v>0.25348291015921509</v>
      </c>
    </row>
    <row r="628" spans="1:20" x14ac:dyDescent="0.4">
      <c r="A628" s="2">
        <v>45925</v>
      </c>
      <c r="B628" t="s">
        <v>25</v>
      </c>
      <c r="C628" t="s">
        <v>22</v>
      </c>
      <c r="D628" s="3" t="str">
        <f t="shared" si="40"/>
        <v>PASS</v>
      </c>
      <c r="E628" s="3" t="str">
        <f t="shared" si="41"/>
        <v>PASS</v>
      </c>
      <c r="F628" s="3" t="str">
        <f t="shared" si="42"/>
        <v>PASS</v>
      </c>
      <c r="G628" s="3" t="str">
        <f t="shared" si="43"/>
        <v>FAIL</v>
      </c>
      <c r="H628" s="3">
        <v>101976647.48999999</v>
      </c>
      <c r="I628" s="4">
        <v>0</v>
      </c>
      <c r="J628" s="3">
        <v>92966365.239999995</v>
      </c>
      <c r="K628" s="3">
        <v>6774.19</v>
      </c>
      <c r="L628" s="3">
        <v>0</v>
      </c>
      <c r="M628" t="s">
        <v>23</v>
      </c>
      <c r="N628" t="s">
        <v>636</v>
      </c>
      <c r="O628" s="4">
        <v>0.25920957335257439</v>
      </c>
      <c r="P628" s="4">
        <v>0.74079042664742567</v>
      </c>
      <c r="Q628" t="s">
        <v>674</v>
      </c>
      <c r="R628" s="4">
        <v>1.636025979896041E-5</v>
      </c>
      <c r="S628" s="3">
        <v>17917466.84</v>
      </c>
      <c r="T628" s="4">
        <v>0.17570166583243499</v>
      </c>
    </row>
    <row r="629" spans="1:20" x14ac:dyDescent="0.4">
      <c r="A629" s="2">
        <v>45925</v>
      </c>
      <c r="B629" t="s">
        <v>26</v>
      </c>
      <c r="C629" t="s">
        <v>22</v>
      </c>
      <c r="D629" s="3" t="str">
        <f t="shared" si="40"/>
        <v>PASS</v>
      </c>
      <c r="E629" s="3" t="str">
        <f t="shared" si="41"/>
        <v>PASS</v>
      </c>
      <c r="F629" s="3" t="str">
        <f t="shared" si="42"/>
        <v>PASS</v>
      </c>
      <c r="G629" s="3" t="str">
        <f t="shared" si="43"/>
        <v>FAIL</v>
      </c>
      <c r="H629" s="3">
        <v>23602065.879999999</v>
      </c>
      <c r="I629" s="4">
        <v>0</v>
      </c>
      <c r="J629" s="3">
        <v>21651821.890000001</v>
      </c>
      <c r="K629" s="3">
        <v>1578.4</v>
      </c>
      <c r="L629" s="3">
        <v>0</v>
      </c>
      <c r="M629" t="s">
        <v>23</v>
      </c>
      <c r="N629" t="s">
        <v>636</v>
      </c>
      <c r="O629" s="4">
        <v>0.2609671587317865</v>
      </c>
      <c r="P629" s="4">
        <v>0.73903284126821345</v>
      </c>
      <c r="Q629" t="s">
        <v>675</v>
      </c>
      <c r="R629" s="4">
        <v>3.8364050919092426E-6</v>
      </c>
      <c r="S629" s="3">
        <v>3892842.89</v>
      </c>
      <c r="T629" s="4">
        <v>0.16493653181854431</v>
      </c>
    </row>
    <row r="630" spans="1:20" x14ac:dyDescent="0.4">
      <c r="A630" s="2">
        <v>45925</v>
      </c>
      <c r="B630" t="s">
        <v>27</v>
      </c>
      <c r="C630" t="s">
        <v>22</v>
      </c>
      <c r="D630" s="3" t="str">
        <f t="shared" si="40"/>
        <v>PASS</v>
      </c>
      <c r="E630" s="3" t="str">
        <f t="shared" si="41"/>
        <v>PASS</v>
      </c>
      <c r="F630" s="3" t="str">
        <f t="shared" si="42"/>
        <v>PASS</v>
      </c>
      <c r="G630" s="3" t="str">
        <f t="shared" si="43"/>
        <v>FAIL</v>
      </c>
      <c r="H630" s="3">
        <v>43718442.640000001</v>
      </c>
      <c r="I630" s="4">
        <v>0</v>
      </c>
      <c r="J630" s="3">
        <v>37306098.060000002</v>
      </c>
      <c r="K630" s="3">
        <v>2720.07</v>
      </c>
      <c r="L630" s="3">
        <v>0</v>
      </c>
      <c r="M630" t="s">
        <v>23</v>
      </c>
      <c r="N630" t="s">
        <v>636</v>
      </c>
      <c r="O630" s="4">
        <v>0.26703343978718957</v>
      </c>
      <c r="P630" s="4">
        <v>0.73296656021281037</v>
      </c>
      <c r="Q630" t="s">
        <v>676</v>
      </c>
      <c r="R630" s="4">
        <v>6.7564305711074269E-6</v>
      </c>
      <c r="S630" s="3">
        <v>14987317.800000001</v>
      </c>
      <c r="T630" s="4">
        <v>0.3428145399279941</v>
      </c>
    </row>
    <row r="631" spans="1:20" x14ac:dyDescent="0.4">
      <c r="A631" s="2">
        <v>45925</v>
      </c>
      <c r="B631" t="s">
        <v>28</v>
      </c>
      <c r="C631" t="s">
        <v>22</v>
      </c>
      <c r="D631" s="3" t="str">
        <f t="shared" si="40"/>
        <v>PASS</v>
      </c>
      <c r="E631" s="3" t="str">
        <f t="shared" si="41"/>
        <v>PASS</v>
      </c>
      <c r="F631" s="3" t="str">
        <f t="shared" si="42"/>
        <v>PASS</v>
      </c>
      <c r="G631" s="3" t="str">
        <f t="shared" si="43"/>
        <v>FAIL</v>
      </c>
      <c r="H631" s="3">
        <v>15461426.960000001</v>
      </c>
      <c r="I631" s="4">
        <v>0</v>
      </c>
      <c r="J631" s="3">
        <v>13788653.699999999</v>
      </c>
      <c r="K631" s="3">
        <v>1005.68</v>
      </c>
      <c r="L631" s="3">
        <v>0</v>
      </c>
      <c r="M631" t="s">
        <v>23</v>
      </c>
      <c r="N631" t="s">
        <v>636</v>
      </c>
      <c r="O631" s="4">
        <v>0.26088893073005381</v>
      </c>
      <c r="P631" s="4">
        <v>0.73911106926994619</v>
      </c>
      <c r="Q631" t="s">
        <v>677</v>
      </c>
      <c r="R631" s="4">
        <v>2.4394068012028711E-6</v>
      </c>
      <c r="S631" s="3">
        <v>4175415.22</v>
      </c>
      <c r="T631" s="4">
        <v>0.2700536781502863</v>
      </c>
    </row>
    <row r="632" spans="1:20" x14ac:dyDescent="0.4">
      <c r="A632" s="2">
        <v>45925</v>
      </c>
      <c r="B632" t="s">
        <v>29</v>
      </c>
      <c r="C632" t="s">
        <v>22</v>
      </c>
      <c r="D632" s="3" t="str">
        <f t="shared" si="40"/>
        <v>PASS</v>
      </c>
      <c r="E632" s="3" t="str">
        <f t="shared" si="41"/>
        <v>PASS</v>
      </c>
      <c r="F632" s="3" t="str">
        <f t="shared" si="42"/>
        <v>PASS</v>
      </c>
      <c r="G632" s="3" t="str">
        <f t="shared" si="43"/>
        <v>FAIL</v>
      </c>
      <c r="H632" s="3">
        <v>34868269.259999998</v>
      </c>
      <c r="I632" s="4">
        <v>0</v>
      </c>
      <c r="J632" s="3">
        <v>32652130.120000001</v>
      </c>
      <c r="K632" s="3">
        <v>2379.41</v>
      </c>
      <c r="L632" s="3">
        <v>0</v>
      </c>
      <c r="M632" t="s">
        <v>23</v>
      </c>
      <c r="N632" t="s">
        <v>636</v>
      </c>
      <c r="O632" s="4">
        <v>0.26243858604346387</v>
      </c>
      <c r="P632" s="4">
        <v>0.73756141395653607</v>
      </c>
      <c r="Q632" t="s">
        <v>678</v>
      </c>
      <c r="R632" s="4">
        <v>5.8186901282632414E-6</v>
      </c>
      <c r="S632" s="3">
        <v>4522694.7</v>
      </c>
      <c r="T632" s="4">
        <v>0.12970803529925479</v>
      </c>
    </row>
    <row r="633" spans="1:20" x14ac:dyDescent="0.4">
      <c r="A633" s="2">
        <v>45925</v>
      </c>
      <c r="B633" t="s">
        <v>30</v>
      </c>
      <c r="C633" t="s">
        <v>22</v>
      </c>
      <c r="D633" s="3" t="str">
        <f t="shared" si="40"/>
        <v>PASS</v>
      </c>
      <c r="E633" s="3" t="str">
        <f t="shared" si="41"/>
        <v>PASS</v>
      </c>
      <c r="F633" s="3" t="str">
        <f t="shared" si="42"/>
        <v>PASS</v>
      </c>
      <c r="G633" s="3" t="str">
        <f t="shared" si="43"/>
        <v>FAIL</v>
      </c>
      <c r="H633" s="3">
        <v>54953721.409999996</v>
      </c>
      <c r="I633" s="4">
        <v>0</v>
      </c>
      <c r="J633" s="3">
        <v>50425874.659999996</v>
      </c>
      <c r="K633" s="3">
        <v>3673.7</v>
      </c>
      <c r="L633" s="3">
        <v>0</v>
      </c>
      <c r="M633" t="s">
        <v>23</v>
      </c>
      <c r="N633" t="s">
        <v>679</v>
      </c>
      <c r="O633" s="4">
        <v>0.25677306119730869</v>
      </c>
      <c r="P633" s="4">
        <v>0.74322693880269131</v>
      </c>
      <c r="Q633" t="s">
        <v>680</v>
      </c>
      <c r="R633" s="4">
        <v>7.2401904256393519E-5</v>
      </c>
      <c r="S633" s="3">
        <v>9640377.0500000007</v>
      </c>
      <c r="T633" s="4">
        <v>0.1754271922382627</v>
      </c>
    </row>
    <row r="634" spans="1:20" x14ac:dyDescent="0.4">
      <c r="A634" s="2">
        <v>45925</v>
      </c>
      <c r="B634" t="s">
        <v>31</v>
      </c>
      <c r="C634" t="s">
        <v>22</v>
      </c>
      <c r="D634" s="3" t="str">
        <f t="shared" si="40"/>
        <v>PASS</v>
      </c>
      <c r="E634" s="3" t="str">
        <f t="shared" si="41"/>
        <v>PASS</v>
      </c>
      <c r="F634" s="3" t="str">
        <f t="shared" si="42"/>
        <v>PASS</v>
      </c>
      <c r="G634" s="3" t="str">
        <f t="shared" si="43"/>
        <v>FAIL</v>
      </c>
      <c r="H634" s="3">
        <v>40572648.100000001</v>
      </c>
      <c r="I634" s="4">
        <v>0</v>
      </c>
      <c r="J634" s="3">
        <v>35304412.140000001</v>
      </c>
      <c r="K634" s="3">
        <v>2573.7399999999998</v>
      </c>
      <c r="L634" s="3">
        <v>0</v>
      </c>
      <c r="M634" t="s">
        <v>23</v>
      </c>
      <c r="N634" t="s">
        <v>636</v>
      </c>
      <c r="O634" s="4">
        <v>0.259434695971686</v>
      </c>
      <c r="P634" s="4">
        <v>0.740565304028314</v>
      </c>
      <c r="Q634" t="s">
        <v>681</v>
      </c>
      <c r="R634" s="4">
        <v>6.21172940271274E-6</v>
      </c>
      <c r="S634" s="3">
        <v>10951181.369999999</v>
      </c>
      <c r="T634" s="4">
        <v>0.26991537113891262</v>
      </c>
    </row>
    <row r="635" spans="1:20" x14ac:dyDescent="0.4">
      <c r="A635" s="2">
        <v>45925</v>
      </c>
      <c r="B635" t="s">
        <v>32</v>
      </c>
      <c r="C635" t="s">
        <v>22</v>
      </c>
      <c r="D635" s="3" t="str">
        <f t="shared" si="40"/>
        <v>PASS</v>
      </c>
      <c r="E635" s="3" t="str">
        <f t="shared" si="41"/>
        <v>PASS</v>
      </c>
      <c r="F635" s="3" t="str">
        <f t="shared" si="42"/>
        <v>PASS</v>
      </c>
      <c r="G635" s="3" t="str">
        <f t="shared" si="43"/>
        <v>FAIL</v>
      </c>
      <c r="H635" s="3">
        <v>79358849.650000006</v>
      </c>
      <c r="I635" s="4">
        <v>0</v>
      </c>
      <c r="J635" s="3">
        <v>71405705.900000006</v>
      </c>
      <c r="K635" s="3">
        <v>5205.3</v>
      </c>
      <c r="L635" s="3">
        <v>0</v>
      </c>
      <c r="M635" t="s">
        <v>23</v>
      </c>
      <c r="N635" t="s">
        <v>636</v>
      </c>
      <c r="O635" s="4">
        <v>0.26223150732832401</v>
      </c>
      <c r="P635" s="4">
        <v>0.73776849267167599</v>
      </c>
      <c r="Q635" t="s">
        <v>682</v>
      </c>
      <c r="R635" s="4">
        <v>1.270114959715611E-5</v>
      </c>
      <c r="S635" s="3">
        <v>17679608.559999999</v>
      </c>
      <c r="T635" s="4">
        <v>0.22278055488421511</v>
      </c>
    </row>
    <row r="636" spans="1:20" x14ac:dyDescent="0.4">
      <c r="A636" s="2">
        <v>45925</v>
      </c>
      <c r="B636" t="s">
        <v>33</v>
      </c>
      <c r="C636" t="s">
        <v>22</v>
      </c>
      <c r="D636" s="3" t="str">
        <f t="shared" si="40"/>
        <v>PASS</v>
      </c>
      <c r="E636" s="3" t="str">
        <f t="shared" si="41"/>
        <v>PASS</v>
      </c>
      <c r="F636" s="3" t="str">
        <f t="shared" si="42"/>
        <v>PASS</v>
      </c>
      <c r="G636" s="3" t="str">
        <f t="shared" si="43"/>
        <v>FAIL</v>
      </c>
      <c r="H636" s="3">
        <v>167942154.84999999</v>
      </c>
      <c r="I636" s="4">
        <v>0</v>
      </c>
      <c r="J636" s="3">
        <v>143579383</v>
      </c>
      <c r="K636" s="3">
        <v>10462.61</v>
      </c>
      <c r="L636" s="3">
        <v>0</v>
      </c>
      <c r="M636" t="s">
        <v>23</v>
      </c>
      <c r="N636" t="s">
        <v>636</v>
      </c>
      <c r="O636" s="4">
        <v>0.26017437963220658</v>
      </c>
      <c r="P636" s="4">
        <v>0.73982562036779331</v>
      </c>
      <c r="Q636" t="s">
        <v>683</v>
      </c>
      <c r="R636" s="4">
        <v>2.5359577534045959E-5</v>
      </c>
      <c r="S636" s="3">
        <v>49049779.280000001</v>
      </c>
      <c r="T636" s="4">
        <v>0.29206353416037523</v>
      </c>
    </row>
    <row r="637" spans="1:20" x14ac:dyDescent="0.4">
      <c r="A637" s="2">
        <v>45926</v>
      </c>
      <c r="B637" t="s">
        <v>21</v>
      </c>
      <c r="C637" t="s">
        <v>22</v>
      </c>
      <c r="D637" s="3" t="str">
        <f t="shared" ref="D637:D669" si="44">IF(J637/H637&gt;=0.75,"PASS","FAIL")</f>
        <v>PASS</v>
      </c>
      <c r="E637" s="3" t="str">
        <f t="shared" ref="E637:E669" si="45">IF(L637=0,"PASS","FAIL")</f>
        <v>PASS</v>
      </c>
      <c r="F637" s="3" t="str">
        <f t="shared" ref="F637:F669" si="46">IF(R637="","",IF(R637&lt;=0.1,"PASS","FAIL"))</f>
        <v>PASS</v>
      </c>
      <c r="G637" s="3" t="str">
        <f t="shared" ref="G637:G669" si="47">IF(S637=0,"PASS",IF(S637&lt;=0.05*J637,"PASS","FAIL"))</f>
        <v>FAIL</v>
      </c>
      <c r="H637" s="3">
        <v>24895464.149999999</v>
      </c>
      <c r="I637" s="4">
        <v>0</v>
      </c>
      <c r="J637" s="3">
        <v>20897956.84</v>
      </c>
      <c r="K637" s="3">
        <v>4541.37</v>
      </c>
      <c r="L637" s="3">
        <v>0</v>
      </c>
      <c r="M637" t="s">
        <v>23</v>
      </c>
      <c r="N637" t="s">
        <v>636</v>
      </c>
      <c r="O637" s="4">
        <v>0.26036171725580037</v>
      </c>
      <c r="P637" s="4">
        <v>0.73963828274419963</v>
      </c>
      <c r="Q637" t="s">
        <v>684</v>
      </c>
      <c r="R637" s="4">
        <v>3.6804710319374311E-6</v>
      </c>
      <c r="S637" s="3">
        <v>8046740.5600000015</v>
      </c>
      <c r="T637" s="4">
        <v>0.32322115030741461</v>
      </c>
    </row>
    <row r="638" spans="1:20" x14ac:dyDescent="0.4">
      <c r="A638" s="2">
        <v>45926</v>
      </c>
      <c r="B638" t="s">
        <v>24</v>
      </c>
      <c r="C638" t="s">
        <v>22</v>
      </c>
      <c r="D638" s="3" t="str">
        <f t="shared" si="44"/>
        <v>PASS</v>
      </c>
      <c r="E638" s="3" t="str">
        <f t="shared" si="45"/>
        <v>PASS</v>
      </c>
      <c r="F638" s="3" t="str">
        <f t="shared" si="46"/>
        <v>PASS</v>
      </c>
      <c r="G638" s="3" t="str">
        <f t="shared" si="47"/>
        <v>FAIL</v>
      </c>
      <c r="H638" s="3">
        <v>137068569.41999999</v>
      </c>
      <c r="I638" s="4">
        <v>0</v>
      </c>
      <c r="J638" s="3">
        <v>121554413.06</v>
      </c>
      <c r="K638" s="3">
        <v>26401.35</v>
      </c>
      <c r="L638" s="3">
        <v>0</v>
      </c>
      <c r="M638" t="s">
        <v>23</v>
      </c>
      <c r="N638" t="s">
        <v>636</v>
      </c>
      <c r="O638" s="4">
        <v>0.26681235401952258</v>
      </c>
      <c r="P638" s="4">
        <v>0.73318764598047736</v>
      </c>
      <c r="Q638" t="s">
        <v>685</v>
      </c>
      <c r="R638" s="4">
        <v>2.1954661210825842E-5</v>
      </c>
      <c r="S638" s="3">
        <v>34819441.899999999</v>
      </c>
      <c r="T638" s="4">
        <v>0.25402936681499649</v>
      </c>
    </row>
    <row r="639" spans="1:20" x14ac:dyDescent="0.4">
      <c r="A639" s="2">
        <v>45926</v>
      </c>
      <c r="B639" t="s">
        <v>25</v>
      </c>
      <c r="C639" t="s">
        <v>22</v>
      </c>
      <c r="D639" s="3" t="str">
        <f t="shared" si="44"/>
        <v>PASS</v>
      </c>
      <c r="E639" s="3" t="str">
        <f t="shared" si="45"/>
        <v>PASS</v>
      </c>
      <c r="F639" s="3" t="str">
        <f t="shared" si="46"/>
        <v>PASS</v>
      </c>
      <c r="G639" s="3" t="str">
        <f t="shared" si="47"/>
        <v>FAIL</v>
      </c>
      <c r="H639" s="3">
        <v>102193320.51000001</v>
      </c>
      <c r="I639" s="4">
        <v>0</v>
      </c>
      <c r="J639" s="3">
        <v>93162789.430000007</v>
      </c>
      <c r="K639" s="3">
        <v>20250.87</v>
      </c>
      <c r="L639" s="3">
        <v>0</v>
      </c>
      <c r="M639" t="s">
        <v>23</v>
      </c>
      <c r="N639" t="s">
        <v>636</v>
      </c>
      <c r="O639" s="4">
        <v>0.25943429010528279</v>
      </c>
      <c r="P639" s="4">
        <v>0.74056570989471715</v>
      </c>
      <c r="Q639" t="s">
        <v>686</v>
      </c>
      <c r="R639" s="4">
        <v>1.636025979896041E-5</v>
      </c>
      <c r="S639" s="3">
        <v>17852734.16</v>
      </c>
      <c r="T639" s="4">
        <v>0.17469570487489</v>
      </c>
    </row>
    <row r="640" spans="1:20" x14ac:dyDescent="0.4">
      <c r="A640" s="2">
        <v>45926</v>
      </c>
      <c r="B640" t="s">
        <v>26</v>
      </c>
      <c r="C640" t="s">
        <v>22</v>
      </c>
      <c r="D640" s="3" t="str">
        <f t="shared" si="44"/>
        <v>PASS</v>
      </c>
      <c r="E640" s="3" t="str">
        <f t="shared" si="45"/>
        <v>PASS</v>
      </c>
      <c r="F640" s="3" t="str">
        <f t="shared" si="46"/>
        <v>PASS</v>
      </c>
      <c r="G640" s="3" t="str">
        <f t="shared" si="47"/>
        <v>FAIL</v>
      </c>
      <c r="H640" s="3">
        <v>23659727.940000001</v>
      </c>
      <c r="I640" s="4">
        <v>0</v>
      </c>
      <c r="J640" s="3">
        <v>21704768.010000002</v>
      </c>
      <c r="K640" s="3">
        <v>4718.07</v>
      </c>
      <c r="L640" s="3">
        <v>0</v>
      </c>
      <c r="M640" t="s">
        <v>23</v>
      </c>
      <c r="N640" t="s">
        <v>636</v>
      </c>
      <c r="O640" s="4">
        <v>0.26110771547472528</v>
      </c>
      <c r="P640" s="4">
        <v>0.73889228452527467</v>
      </c>
      <c r="Q640" t="s">
        <v>687</v>
      </c>
      <c r="R640" s="4">
        <v>3.8364050919092426E-6</v>
      </c>
      <c r="S640" s="3">
        <v>3892834.74</v>
      </c>
      <c r="T640" s="4">
        <v>0.16453421399739049</v>
      </c>
    </row>
    <row r="641" spans="1:20" x14ac:dyDescent="0.4">
      <c r="A641" s="2">
        <v>45926</v>
      </c>
      <c r="B641" t="s">
        <v>27</v>
      </c>
      <c r="C641" t="s">
        <v>22</v>
      </c>
      <c r="D641" s="3" t="str">
        <f t="shared" si="44"/>
        <v>PASS</v>
      </c>
      <c r="E641" s="3" t="str">
        <f t="shared" si="45"/>
        <v>PASS</v>
      </c>
      <c r="F641" s="3" t="str">
        <f t="shared" si="46"/>
        <v>PASS</v>
      </c>
      <c r="G641" s="3" t="str">
        <f t="shared" si="47"/>
        <v>FAIL</v>
      </c>
      <c r="H641" s="3">
        <v>43849758.729999997</v>
      </c>
      <c r="I641" s="4">
        <v>0</v>
      </c>
      <c r="J641" s="3">
        <v>37429288.590000004</v>
      </c>
      <c r="K641" s="3">
        <v>8127.21</v>
      </c>
      <c r="L641" s="3">
        <v>0</v>
      </c>
      <c r="M641" t="s">
        <v>23</v>
      </c>
      <c r="N641" t="s">
        <v>636</v>
      </c>
      <c r="O641" s="4">
        <v>0.26690469005251272</v>
      </c>
      <c r="P641" s="4">
        <v>0.73309530994748728</v>
      </c>
      <c r="Q641" t="s">
        <v>688</v>
      </c>
      <c r="R641" s="4">
        <v>6.7564305711074269E-6</v>
      </c>
      <c r="S641" s="3">
        <v>15116305.640000001</v>
      </c>
      <c r="T641" s="4">
        <v>0.34472950542503478</v>
      </c>
    </row>
    <row r="642" spans="1:20" x14ac:dyDescent="0.4">
      <c r="A642" s="2">
        <v>45926</v>
      </c>
      <c r="B642" t="s">
        <v>28</v>
      </c>
      <c r="C642" t="s">
        <v>22</v>
      </c>
      <c r="D642" s="3" t="str">
        <f t="shared" si="44"/>
        <v>PASS</v>
      </c>
      <c r="E642" s="3" t="str">
        <f t="shared" si="45"/>
        <v>PASS</v>
      </c>
      <c r="F642" s="3" t="str">
        <f t="shared" si="46"/>
        <v>PASS</v>
      </c>
      <c r="G642" s="3" t="str">
        <f t="shared" si="47"/>
        <v>FAIL</v>
      </c>
      <c r="H642" s="3">
        <v>15500570.359999999</v>
      </c>
      <c r="I642" s="4">
        <v>0</v>
      </c>
      <c r="J642" s="3">
        <v>13824793.83</v>
      </c>
      <c r="K642" s="3">
        <v>3005.4</v>
      </c>
      <c r="L642" s="3">
        <v>0</v>
      </c>
      <c r="M642" t="s">
        <v>23</v>
      </c>
      <c r="N642" t="s">
        <v>636</v>
      </c>
      <c r="O642" s="4">
        <v>0.26094611278553881</v>
      </c>
      <c r="P642" s="4">
        <v>0.73905388721446119</v>
      </c>
      <c r="Q642" t="s">
        <v>689</v>
      </c>
      <c r="R642" s="4">
        <v>2.4394068012028711E-6</v>
      </c>
      <c r="S642" s="3">
        <v>4198640.91</v>
      </c>
      <c r="T642" s="4">
        <v>0.27087009138933388</v>
      </c>
    </row>
    <row r="643" spans="1:20" x14ac:dyDescent="0.4">
      <c r="A643" s="2">
        <v>45926</v>
      </c>
      <c r="B643" t="s">
        <v>29</v>
      </c>
      <c r="C643" t="s">
        <v>22</v>
      </c>
      <c r="D643" s="3" t="str">
        <f t="shared" si="44"/>
        <v>PASS</v>
      </c>
      <c r="E643" s="3" t="str">
        <f t="shared" si="45"/>
        <v>PASS</v>
      </c>
      <c r="F643" s="3" t="str">
        <f t="shared" si="46"/>
        <v>PASS</v>
      </c>
      <c r="G643" s="3" t="str">
        <f t="shared" si="47"/>
        <v>FAIL</v>
      </c>
      <c r="H643" s="3">
        <v>34967982.329999998</v>
      </c>
      <c r="I643" s="4">
        <v>0</v>
      </c>
      <c r="J643" s="3">
        <v>32744731.300000001</v>
      </c>
      <c r="K643" s="3">
        <v>7111.89</v>
      </c>
      <c r="L643" s="3">
        <v>0</v>
      </c>
      <c r="M643" t="s">
        <v>23</v>
      </c>
      <c r="N643" t="s">
        <v>636</v>
      </c>
      <c r="O643" s="4">
        <v>0.26247679027373788</v>
      </c>
      <c r="P643" s="4">
        <v>0.73752320972626206</v>
      </c>
      <c r="Q643" t="s">
        <v>690</v>
      </c>
      <c r="R643" s="4">
        <v>5.8186901282632414E-6</v>
      </c>
      <c r="S643" s="3">
        <v>4527273.2699999996</v>
      </c>
      <c r="T643" s="4">
        <v>0.12946910197091721</v>
      </c>
    </row>
    <row r="644" spans="1:20" x14ac:dyDescent="0.4">
      <c r="A644" s="2">
        <v>45926</v>
      </c>
      <c r="B644" t="s">
        <v>30</v>
      </c>
      <c r="C644" t="s">
        <v>22</v>
      </c>
      <c r="D644" s="3" t="str">
        <f t="shared" si="44"/>
        <v>PASS</v>
      </c>
      <c r="E644" s="3" t="str">
        <f t="shared" si="45"/>
        <v>PASS</v>
      </c>
      <c r="F644" s="3" t="str">
        <f t="shared" si="46"/>
        <v>PASS</v>
      </c>
      <c r="G644" s="3" t="str">
        <f t="shared" si="47"/>
        <v>FAIL</v>
      </c>
      <c r="H644" s="3">
        <v>55347988.390000001</v>
      </c>
      <c r="I644" s="4">
        <v>0</v>
      </c>
      <c r="J644" s="3">
        <v>50809158.460000001</v>
      </c>
      <c r="K644" s="3">
        <v>10985.22</v>
      </c>
      <c r="L644" s="3">
        <v>0</v>
      </c>
      <c r="M644" t="s">
        <v>23</v>
      </c>
      <c r="N644" t="s">
        <v>691</v>
      </c>
      <c r="O644" s="4">
        <v>0.2559211814192287</v>
      </c>
      <c r="P644" s="4">
        <v>0.7440788185807713</v>
      </c>
      <c r="Q644" t="s">
        <v>692</v>
      </c>
      <c r="R644" s="4">
        <v>7.2401904256393519E-5</v>
      </c>
      <c r="S644" s="3">
        <v>9679457.8099999987</v>
      </c>
      <c r="T644" s="4">
        <v>0.1748836424152469</v>
      </c>
    </row>
    <row r="645" spans="1:20" x14ac:dyDescent="0.4">
      <c r="A645" s="2">
        <v>45926</v>
      </c>
      <c r="B645" t="s">
        <v>31</v>
      </c>
      <c r="C645" t="s">
        <v>22</v>
      </c>
      <c r="D645" s="3" t="str">
        <f t="shared" si="44"/>
        <v>PASS</v>
      </c>
      <c r="E645" s="3" t="str">
        <f t="shared" si="45"/>
        <v>PASS</v>
      </c>
      <c r="F645" s="3" t="str">
        <f t="shared" si="46"/>
        <v>PASS</v>
      </c>
      <c r="G645" s="3" t="str">
        <f t="shared" si="47"/>
        <v>FAIL</v>
      </c>
      <c r="H645" s="3">
        <v>40675886.380000003</v>
      </c>
      <c r="I645" s="4">
        <v>0</v>
      </c>
      <c r="J645" s="3">
        <v>35399960.82</v>
      </c>
      <c r="K645" s="3">
        <v>7691.64</v>
      </c>
      <c r="L645" s="3">
        <v>0</v>
      </c>
      <c r="M645" t="s">
        <v>23</v>
      </c>
      <c r="N645" t="s">
        <v>636</v>
      </c>
      <c r="O645" s="4">
        <v>0.25946156315548152</v>
      </c>
      <c r="P645" s="4">
        <v>0.74053843684451848</v>
      </c>
      <c r="Q645" t="s">
        <v>693</v>
      </c>
      <c r="R645" s="4">
        <v>6.21172940271274E-6</v>
      </c>
      <c r="S645" s="3">
        <v>11008848.9</v>
      </c>
      <c r="T645" s="4">
        <v>0.27064803940973148</v>
      </c>
    </row>
    <row r="646" spans="1:20" x14ac:dyDescent="0.4">
      <c r="A646" s="2">
        <v>45926</v>
      </c>
      <c r="B646" t="s">
        <v>32</v>
      </c>
      <c r="C646" t="s">
        <v>22</v>
      </c>
      <c r="D646" s="3" t="str">
        <f t="shared" si="44"/>
        <v>PASS</v>
      </c>
      <c r="E646" s="3" t="str">
        <f t="shared" si="45"/>
        <v>PASS</v>
      </c>
      <c r="F646" s="3" t="str">
        <f t="shared" si="46"/>
        <v>PASS</v>
      </c>
      <c r="G646" s="3" t="str">
        <f t="shared" si="47"/>
        <v>FAIL</v>
      </c>
      <c r="H646" s="3">
        <v>79580337.260000005</v>
      </c>
      <c r="I646" s="4">
        <v>0</v>
      </c>
      <c r="J646" s="3">
        <v>71611640.760000005</v>
      </c>
      <c r="K646" s="3">
        <v>15552.75</v>
      </c>
      <c r="L646" s="3">
        <v>0</v>
      </c>
      <c r="M646" t="s">
        <v>23</v>
      </c>
      <c r="N646" t="s">
        <v>636</v>
      </c>
      <c r="O646" s="4">
        <v>0.26221481969574689</v>
      </c>
      <c r="P646" s="4">
        <v>0.73778518030425311</v>
      </c>
      <c r="Q646" t="s">
        <v>694</v>
      </c>
      <c r="R646" s="4">
        <v>1.270114959715611E-5</v>
      </c>
      <c r="S646" s="3">
        <v>17757666.120000001</v>
      </c>
      <c r="T646" s="4">
        <v>0.22314137802637399</v>
      </c>
    </row>
    <row r="647" spans="1:20" x14ac:dyDescent="0.4">
      <c r="A647" s="2">
        <v>45926</v>
      </c>
      <c r="B647" t="s">
        <v>33</v>
      </c>
      <c r="C647" t="s">
        <v>22</v>
      </c>
      <c r="D647" s="3" t="str">
        <f t="shared" si="44"/>
        <v>PASS</v>
      </c>
      <c r="E647" s="3" t="str">
        <f t="shared" si="45"/>
        <v>PASS</v>
      </c>
      <c r="F647" s="3" t="str">
        <f t="shared" si="46"/>
        <v>PASS</v>
      </c>
      <c r="G647" s="3" t="str">
        <f t="shared" si="47"/>
        <v>FAIL</v>
      </c>
      <c r="H647" s="3">
        <v>168286622.34</v>
      </c>
      <c r="I647" s="4">
        <v>0</v>
      </c>
      <c r="J647" s="3">
        <v>143892577.71000001</v>
      </c>
      <c r="K647" s="3">
        <v>31274.43</v>
      </c>
      <c r="L647" s="3">
        <v>0</v>
      </c>
      <c r="M647" t="s">
        <v>23</v>
      </c>
      <c r="N647" t="s">
        <v>636</v>
      </c>
      <c r="O647" s="4">
        <v>0.26038251768281562</v>
      </c>
      <c r="P647" s="4">
        <v>0.73961748231718438</v>
      </c>
      <c r="Q647" t="s">
        <v>695</v>
      </c>
      <c r="R647" s="4">
        <v>2.5359577534045959E-5</v>
      </c>
      <c r="S647" s="3">
        <v>49234403.88000001</v>
      </c>
      <c r="T647" s="4">
        <v>0.292562790763776</v>
      </c>
    </row>
    <row r="648" spans="1:20" x14ac:dyDescent="0.4">
      <c r="A648" s="2">
        <v>45929</v>
      </c>
      <c r="B648" t="s">
        <v>21</v>
      </c>
      <c r="C648" t="s">
        <v>22</v>
      </c>
      <c r="D648" s="3" t="str">
        <f t="shared" si="44"/>
        <v>PASS</v>
      </c>
      <c r="E648" s="3" t="str">
        <f t="shared" si="45"/>
        <v>PASS</v>
      </c>
      <c r="F648" s="3" t="str">
        <f t="shared" si="46"/>
        <v>PASS</v>
      </c>
      <c r="G648" s="3" t="str">
        <f t="shared" si="47"/>
        <v>FAIL</v>
      </c>
      <c r="H648" s="3">
        <v>24912662.870000001</v>
      </c>
      <c r="I648" s="4">
        <v>0</v>
      </c>
      <c r="J648" s="3">
        <v>20917056.57</v>
      </c>
      <c r="K648" s="3">
        <v>1518.88</v>
      </c>
      <c r="L648" s="3">
        <v>0</v>
      </c>
      <c r="M648" t="s">
        <v>23</v>
      </c>
      <c r="N648" t="s">
        <v>636</v>
      </c>
      <c r="O648" s="4">
        <v>0.26075816890139047</v>
      </c>
      <c r="P648" s="4">
        <v>0.73924183109860953</v>
      </c>
      <c r="Q648" t="s">
        <v>696</v>
      </c>
      <c r="R648" s="4">
        <v>3.678334948924119E-6</v>
      </c>
      <c r="S648" s="3">
        <v>8070988.9100000011</v>
      </c>
      <c r="T648" s="4">
        <v>0.32397134550073092</v>
      </c>
    </row>
    <row r="649" spans="1:20" x14ac:dyDescent="0.4">
      <c r="A649" s="2">
        <v>45929</v>
      </c>
      <c r="B649" t="s">
        <v>24</v>
      </c>
      <c r="C649" t="s">
        <v>22</v>
      </c>
      <c r="D649" s="3" t="str">
        <f t="shared" si="44"/>
        <v>PASS</v>
      </c>
      <c r="E649" s="3" t="str">
        <f t="shared" si="45"/>
        <v>PASS</v>
      </c>
      <c r="F649" s="3" t="str">
        <f t="shared" si="46"/>
        <v>PASS</v>
      </c>
      <c r="G649" s="3" t="str">
        <f t="shared" si="47"/>
        <v>FAIL</v>
      </c>
      <c r="H649" s="3">
        <v>137183343.09</v>
      </c>
      <c r="I649" s="4">
        <v>0</v>
      </c>
      <c r="J649" s="3">
        <v>121684170.94</v>
      </c>
      <c r="K649" s="3">
        <v>8825.73</v>
      </c>
      <c r="L649" s="3">
        <v>0</v>
      </c>
      <c r="M649" t="s">
        <v>23</v>
      </c>
      <c r="N649" t="s">
        <v>479</v>
      </c>
      <c r="O649" s="4">
        <v>0.27739060182809999</v>
      </c>
      <c r="P649" s="4">
        <v>0.72260939817189995</v>
      </c>
      <c r="Q649" t="s">
        <v>697</v>
      </c>
      <c r="R649" s="4">
        <v>2.193970862973265E-5</v>
      </c>
      <c r="S649" s="3">
        <v>34924649.490000002</v>
      </c>
      <c r="T649" s="4">
        <v>0.2545837468553851</v>
      </c>
    </row>
    <row r="650" spans="1:20" x14ac:dyDescent="0.4">
      <c r="A650" s="2">
        <v>45929</v>
      </c>
      <c r="B650" t="s">
        <v>25</v>
      </c>
      <c r="C650" t="s">
        <v>22</v>
      </c>
      <c r="D650" s="3" t="str">
        <f t="shared" si="44"/>
        <v>PASS</v>
      </c>
      <c r="E650" s="3" t="str">
        <f t="shared" si="45"/>
        <v>PASS</v>
      </c>
      <c r="F650" s="3" t="str">
        <f t="shared" si="46"/>
        <v>PASS</v>
      </c>
      <c r="G650" s="3" t="str">
        <f t="shared" si="47"/>
        <v>FAIL</v>
      </c>
      <c r="H650" s="3">
        <v>102254387.18000001</v>
      </c>
      <c r="I650" s="4">
        <v>0</v>
      </c>
      <c r="J650" s="3">
        <v>93236477.890000001</v>
      </c>
      <c r="K650" s="3">
        <v>6764.55</v>
      </c>
      <c r="L650" s="3">
        <v>0</v>
      </c>
      <c r="M650" t="s">
        <v>23</v>
      </c>
      <c r="N650" t="s">
        <v>479</v>
      </c>
      <c r="O650" s="4">
        <v>0.26047319085403509</v>
      </c>
      <c r="P650" s="4">
        <v>0.7395268091459648</v>
      </c>
      <c r="Q650" t="s">
        <v>698</v>
      </c>
      <c r="R650" s="4">
        <v>1.6347443300880539E-5</v>
      </c>
      <c r="S650" s="3">
        <v>17873687.829999998</v>
      </c>
      <c r="T650" s="4">
        <v>0.17479629307774019</v>
      </c>
    </row>
    <row r="651" spans="1:20" x14ac:dyDescent="0.4">
      <c r="A651" s="2">
        <v>45929</v>
      </c>
      <c r="B651" t="s">
        <v>26</v>
      </c>
      <c r="C651" t="s">
        <v>22</v>
      </c>
      <c r="D651" s="3" t="str">
        <f t="shared" si="44"/>
        <v>PASS</v>
      </c>
      <c r="E651" s="3" t="str">
        <f t="shared" si="45"/>
        <v>PASS</v>
      </c>
      <c r="F651" s="3" t="str">
        <f t="shared" si="46"/>
        <v>PASS</v>
      </c>
      <c r="G651" s="3" t="str">
        <f t="shared" si="47"/>
        <v>FAIL</v>
      </c>
      <c r="H651" s="3">
        <v>23675969.739999998</v>
      </c>
      <c r="I651" s="4">
        <v>0</v>
      </c>
      <c r="J651" s="3">
        <v>21723837.260000002</v>
      </c>
      <c r="K651" s="3">
        <v>1576.54</v>
      </c>
      <c r="L651" s="3">
        <v>0</v>
      </c>
      <c r="M651" t="s">
        <v>23</v>
      </c>
      <c r="N651" t="s">
        <v>636</v>
      </c>
      <c r="O651" s="4">
        <v>0.26155976966658612</v>
      </c>
      <c r="P651" s="4">
        <v>0.73844023033341388</v>
      </c>
      <c r="Q651" t="s">
        <v>699</v>
      </c>
      <c r="R651" s="4">
        <v>3.8342690088959314E-6</v>
      </c>
      <c r="S651" s="3">
        <v>3894375.26</v>
      </c>
      <c r="T651" s="4">
        <v>0.16448640975497381</v>
      </c>
    </row>
    <row r="652" spans="1:20" x14ac:dyDescent="0.4">
      <c r="A652" s="2">
        <v>45929</v>
      </c>
      <c r="B652" t="s">
        <v>27</v>
      </c>
      <c r="C652" t="s">
        <v>22</v>
      </c>
      <c r="D652" s="3" t="str">
        <f t="shared" si="44"/>
        <v>PASS</v>
      </c>
      <c r="E652" s="3" t="str">
        <f t="shared" si="45"/>
        <v>PASS</v>
      </c>
      <c r="F652" s="3" t="str">
        <f t="shared" si="46"/>
        <v>PASS</v>
      </c>
      <c r="G652" s="3" t="str">
        <f t="shared" si="47"/>
        <v>FAIL</v>
      </c>
      <c r="H652" s="3">
        <v>43888203.729999997</v>
      </c>
      <c r="I652" s="4">
        <v>0</v>
      </c>
      <c r="J652" s="3">
        <v>37471350.460000001</v>
      </c>
      <c r="K652" s="3">
        <v>2718.02</v>
      </c>
      <c r="L652" s="3">
        <v>0</v>
      </c>
      <c r="M652" t="s">
        <v>23</v>
      </c>
      <c r="N652" t="s">
        <v>636</v>
      </c>
      <c r="O652" s="4">
        <v>0.26730571348615328</v>
      </c>
      <c r="P652" s="4">
        <v>0.7326942865138466</v>
      </c>
      <c r="Q652" t="s">
        <v>700</v>
      </c>
      <c r="R652" s="4">
        <v>6.752158405080802E-6</v>
      </c>
      <c r="S652" s="3">
        <v>15163406.859999999</v>
      </c>
      <c r="T652" s="4">
        <v>0.34550073986361352</v>
      </c>
    </row>
    <row r="653" spans="1:20" x14ac:dyDescent="0.4">
      <c r="A653" s="2">
        <v>45929</v>
      </c>
      <c r="B653" t="s">
        <v>28</v>
      </c>
      <c r="C653" t="s">
        <v>22</v>
      </c>
      <c r="D653" s="3" t="str">
        <f t="shared" si="44"/>
        <v>PASS</v>
      </c>
      <c r="E653" s="3" t="str">
        <f t="shared" si="45"/>
        <v>PASS</v>
      </c>
      <c r="F653" s="3" t="str">
        <f t="shared" si="46"/>
        <v>PASS</v>
      </c>
      <c r="G653" s="3" t="str">
        <f t="shared" si="47"/>
        <v>FAIL</v>
      </c>
      <c r="H653" s="3">
        <v>15514182.289999999</v>
      </c>
      <c r="I653" s="4">
        <v>0</v>
      </c>
      <c r="J653" s="3">
        <v>13839111.25</v>
      </c>
      <c r="K653" s="3">
        <v>1004.43</v>
      </c>
      <c r="L653" s="3">
        <v>0</v>
      </c>
      <c r="M653" t="s">
        <v>23</v>
      </c>
      <c r="N653" t="s">
        <v>636</v>
      </c>
      <c r="O653" s="4">
        <v>0.26126294706966818</v>
      </c>
      <c r="P653" s="4">
        <v>0.73873705293033187</v>
      </c>
      <c r="Q653" t="s">
        <v>701</v>
      </c>
      <c r="R653" s="4">
        <v>2.437270718189559E-6</v>
      </c>
      <c r="S653" s="3">
        <v>4209645.88</v>
      </c>
      <c r="T653" s="4">
        <v>0.27134178271924903</v>
      </c>
    </row>
    <row r="654" spans="1:20" x14ac:dyDescent="0.4">
      <c r="A654" s="2">
        <v>45929</v>
      </c>
      <c r="B654" t="s">
        <v>29</v>
      </c>
      <c r="C654" t="s">
        <v>22</v>
      </c>
      <c r="D654" s="3" t="str">
        <f t="shared" si="44"/>
        <v>PASS</v>
      </c>
      <c r="E654" s="3" t="str">
        <f t="shared" si="45"/>
        <v>PASS</v>
      </c>
      <c r="F654" s="3" t="str">
        <f t="shared" si="46"/>
        <v>PASS</v>
      </c>
      <c r="G654" s="3" t="str">
        <f t="shared" si="47"/>
        <v>FAIL</v>
      </c>
      <c r="H654" s="3">
        <v>34991693.590000004</v>
      </c>
      <c r="I654" s="4">
        <v>0</v>
      </c>
      <c r="J654" s="3">
        <v>32773714.140000001</v>
      </c>
      <c r="K654" s="3">
        <v>2378.36</v>
      </c>
      <c r="L654" s="3">
        <v>0</v>
      </c>
      <c r="M654" t="s">
        <v>23</v>
      </c>
      <c r="N654" t="s">
        <v>636</v>
      </c>
      <c r="O654" s="4">
        <v>0.26295461000197762</v>
      </c>
      <c r="P654" s="4">
        <v>0.73704538999802238</v>
      </c>
      <c r="Q654" t="s">
        <v>702</v>
      </c>
      <c r="R654" s="4">
        <v>5.8144179622366156E-6</v>
      </c>
      <c r="S654" s="3">
        <v>4526009.6500000004</v>
      </c>
      <c r="T654" s="4">
        <v>0.12934525842137151</v>
      </c>
    </row>
    <row r="655" spans="1:20" x14ac:dyDescent="0.4">
      <c r="A655" s="2">
        <v>45929</v>
      </c>
      <c r="B655" t="s">
        <v>30</v>
      </c>
      <c r="C655" t="s">
        <v>22</v>
      </c>
      <c r="D655" s="3" t="str">
        <f t="shared" si="44"/>
        <v>PASS</v>
      </c>
      <c r="E655" s="3" t="str">
        <f t="shared" si="45"/>
        <v>PASS</v>
      </c>
      <c r="F655" s="3" t="str">
        <f t="shared" si="46"/>
        <v>PASS</v>
      </c>
      <c r="G655" s="3" t="str">
        <f t="shared" si="47"/>
        <v>FAIL</v>
      </c>
      <c r="H655" s="3">
        <v>55395797.75</v>
      </c>
      <c r="I655" s="4">
        <v>0</v>
      </c>
      <c r="J655" s="3">
        <v>50813835.039999999</v>
      </c>
      <c r="K655" s="3">
        <v>3689.56</v>
      </c>
      <c r="L655" s="3">
        <v>0</v>
      </c>
      <c r="M655" t="s">
        <v>23</v>
      </c>
      <c r="N655" t="s">
        <v>703</v>
      </c>
      <c r="O655" s="4">
        <v>0.25629089990449178</v>
      </c>
      <c r="P655" s="4">
        <v>0.74370910009550817</v>
      </c>
      <c r="Q655" t="s">
        <v>704</v>
      </c>
      <c r="R655" s="4">
        <v>7.2401904256393519E-5</v>
      </c>
      <c r="S655" s="3">
        <v>9495340.5</v>
      </c>
      <c r="T655" s="4">
        <v>0.1714090397768484</v>
      </c>
    </row>
    <row r="656" spans="1:20" x14ac:dyDescent="0.4">
      <c r="A656" s="2">
        <v>45929</v>
      </c>
      <c r="B656" t="s">
        <v>31</v>
      </c>
      <c r="C656" t="s">
        <v>22</v>
      </c>
      <c r="D656" s="3" t="str">
        <f t="shared" si="44"/>
        <v>PASS</v>
      </c>
      <c r="E656" s="3" t="str">
        <f t="shared" si="45"/>
        <v>PASS</v>
      </c>
      <c r="F656" s="3" t="str">
        <f t="shared" si="46"/>
        <v>PASS</v>
      </c>
      <c r="G656" s="3" t="str">
        <f t="shared" si="47"/>
        <v>FAIL</v>
      </c>
      <c r="H656" s="3">
        <v>40711704.909999996</v>
      </c>
      <c r="I656" s="4">
        <v>0</v>
      </c>
      <c r="J656" s="3">
        <v>35439322.659999996</v>
      </c>
      <c r="K656" s="3">
        <v>2570.81</v>
      </c>
      <c r="L656" s="3">
        <v>0</v>
      </c>
      <c r="M656" t="s">
        <v>23</v>
      </c>
      <c r="N656" t="s">
        <v>636</v>
      </c>
      <c r="O656" s="4">
        <v>0.25982954918021572</v>
      </c>
      <c r="P656" s="4">
        <v>0.74017045081978439</v>
      </c>
      <c r="Q656" t="s">
        <v>705</v>
      </c>
      <c r="R656" s="4">
        <v>6.2074572366861151E-6</v>
      </c>
      <c r="S656" s="3">
        <v>11035033.560000001</v>
      </c>
      <c r="T656" s="4">
        <v>0.27105309356104779</v>
      </c>
    </row>
    <row r="657" spans="1:20" x14ac:dyDescent="0.4">
      <c r="A657" s="2">
        <v>45929</v>
      </c>
      <c r="B657" t="s">
        <v>32</v>
      </c>
      <c r="C657" t="s">
        <v>22</v>
      </c>
      <c r="D657" s="3" t="str">
        <f t="shared" si="44"/>
        <v>PASS</v>
      </c>
      <c r="E657" s="3" t="str">
        <f t="shared" si="45"/>
        <v>PASS</v>
      </c>
      <c r="F657" s="3" t="str">
        <f t="shared" si="46"/>
        <v>PASS</v>
      </c>
      <c r="G657" s="3" t="str">
        <f t="shared" si="47"/>
        <v>FAIL</v>
      </c>
      <c r="H657" s="3">
        <v>79649747.640000001</v>
      </c>
      <c r="I657" s="4">
        <v>0</v>
      </c>
      <c r="J657" s="3">
        <v>71686848.150000006</v>
      </c>
      <c r="K657" s="3">
        <v>5199.2</v>
      </c>
      <c r="L657" s="3">
        <v>0</v>
      </c>
      <c r="M657" t="s">
        <v>23</v>
      </c>
      <c r="N657" t="s">
        <v>636</v>
      </c>
      <c r="O657" s="4">
        <v>0.26265343470816271</v>
      </c>
      <c r="P657" s="4">
        <v>0.73734656529183729</v>
      </c>
      <c r="Q657" t="s">
        <v>706</v>
      </c>
      <c r="R657" s="4">
        <v>1.269260526510285E-5</v>
      </c>
      <c r="S657" s="3">
        <v>17803777.719999999</v>
      </c>
      <c r="T657" s="4">
        <v>0.2235258522157447</v>
      </c>
    </row>
    <row r="658" spans="1:20" x14ac:dyDescent="0.4">
      <c r="A658" s="2">
        <v>45929</v>
      </c>
      <c r="B658" t="s">
        <v>33</v>
      </c>
      <c r="C658" t="s">
        <v>22</v>
      </c>
      <c r="D658" s="3" t="str">
        <f t="shared" si="44"/>
        <v>PASS</v>
      </c>
      <c r="E658" s="3" t="str">
        <f t="shared" si="45"/>
        <v>PASS</v>
      </c>
      <c r="F658" s="3" t="str">
        <f t="shared" si="46"/>
        <v>PASS</v>
      </c>
      <c r="G658" s="3" t="str">
        <f t="shared" si="47"/>
        <v>FAIL</v>
      </c>
      <c r="H658" s="3">
        <v>168398611.09</v>
      </c>
      <c r="I658" s="4">
        <v>0</v>
      </c>
      <c r="J658" s="3">
        <v>144026467.61000001</v>
      </c>
      <c r="K658" s="3">
        <v>10447.549999999999</v>
      </c>
      <c r="L658" s="3">
        <v>0</v>
      </c>
      <c r="M658" t="s">
        <v>23</v>
      </c>
      <c r="N658" t="s">
        <v>466</v>
      </c>
      <c r="O658" s="4">
        <v>0.27213823452321212</v>
      </c>
      <c r="P658" s="4">
        <v>0.72786176547678783</v>
      </c>
      <c r="Q658" t="s">
        <v>707</v>
      </c>
      <c r="R658" s="4">
        <v>2.534248886993946E-5</v>
      </c>
      <c r="S658" s="3">
        <v>49383430.759999998</v>
      </c>
      <c r="T658" s="4">
        <v>0.29325319514427117</v>
      </c>
    </row>
    <row r="659" spans="1:20" x14ac:dyDescent="0.4">
      <c r="A659" s="2">
        <v>45930</v>
      </c>
      <c r="B659" t="s">
        <v>21</v>
      </c>
      <c r="C659" t="s">
        <v>22</v>
      </c>
      <c r="D659" s="3" t="str">
        <f t="shared" si="44"/>
        <v>PASS</v>
      </c>
      <c r="E659" s="3" t="str">
        <f t="shared" si="45"/>
        <v>PASS</v>
      </c>
      <c r="F659" s="3" t="str">
        <f t="shared" si="46"/>
        <v>PASS</v>
      </c>
      <c r="G659" s="3" t="str">
        <f t="shared" si="47"/>
        <v>FAIL</v>
      </c>
      <c r="H659" s="3">
        <v>24957044.100000001</v>
      </c>
      <c r="I659" s="4">
        <v>0</v>
      </c>
      <c r="J659" s="3">
        <v>20753806.640000001</v>
      </c>
      <c r="K659" s="3">
        <v>1309.6300000000001</v>
      </c>
      <c r="L659" s="3">
        <v>0</v>
      </c>
      <c r="M659" t="s">
        <v>23</v>
      </c>
      <c r="N659" t="s">
        <v>636</v>
      </c>
      <c r="O659" s="4">
        <v>0.26225576321549471</v>
      </c>
      <c r="P659" s="4">
        <v>0.73774423678450529</v>
      </c>
      <c r="Q659" t="s">
        <v>708</v>
      </c>
      <c r="R659" s="4">
        <v>3.642021537697807E-6</v>
      </c>
      <c r="S659" s="3">
        <v>8101789.9999999991</v>
      </c>
      <c r="T659" s="4">
        <v>0.32462938990439172</v>
      </c>
    </row>
    <row r="660" spans="1:20" x14ac:dyDescent="0.4">
      <c r="A660" s="2">
        <v>45930</v>
      </c>
      <c r="B660" t="s">
        <v>24</v>
      </c>
      <c r="C660" t="s">
        <v>22</v>
      </c>
      <c r="D660" s="3" t="str">
        <f t="shared" si="44"/>
        <v>PASS</v>
      </c>
      <c r="E660" s="3" t="str">
        <f t="shared" si="45"/>
        <v>PASS</v>
      </c>
      <c r="F660" s="3" t="str">
        <f t="shared" si="46"/>
        <v>PASS</v>
      </c>
      <c r="G660" s="3" t="str">
        <f t="shared" si="47"/>
        <v>FAIL</v>
      </c>
      <c r="H660" s="3">
        <v>137499213.66</v>
      </c>
      <c r="I660" s="4">
        <v>0</v>
      </c>
      <c r="J660" s="3">
        <v>120492656.01000001</v>
      </c>
      <c r="K660" s="3">
        <v>7155.69</v>
      </c>
      <c r="L660" s="3">
        <v>0</v>
      </c>
      <c r="M660" t="s">
        <v>23</v>
      </c>
      <c r="N660" t="s">
        <v>636</v>
      </c>
      <c r="O660" s="4">
        <v>0.26860550444928322</v>
      </c>
      <c r="P660" s="4">
        <v>0.73139449555071678</v>
      </c>
      <c r="Q660" t="s">
        <v>709</v>
      </c>
      <c r="R660" s="4">
        <v>2.1672698253068591E-5</v>
      </c>
      <c r="S660" s="3">
        <v>35116655.440000013</v>
      </c>
      <c r="T660" s="4">
        <v>0.25539531830948797</v>
      </c>
    </row>
    <row r="661" spans="1:20" x14ac:dyDescent="0.4">
      <c r="A661" s="2">
        <v>45930</v>
      </c>
      <c r="B661" t="s">
        <v>25</v>
      </c>
      <c r="C661" t="s">
        <v>22</v>
      </c>
      <c r="D661" s="3" t="str">
        <f t="shared" si="44"/>
        <v>PASS</v>
      </c>
      <c r="E661" s="3" t="str">
        <f t="shared" si="45"/>
        <v>PASS</v>
      </c>
      <c r="F661" s="3" t="str">
        <f t="shared" si="46"/>
        <v>PASS</v>
      </c>
      <c r="G661" s="3" t="str">
        <f t="shared" si="47"/>
        <v>FAIL</v>
      </c>
      <c r="H661" s="3">
        <v>102465861.95</v>
      </c>
      <c r="I661" s="4">
        <v>0</v>
      </c>
      <c r="J661" s="3">
        <v>92292970.540000007</v>
      </c>
      <c r="K661" s="3">
        <v>5366.15</v>
      </c>
      <c r="L661" s="3">
        <v>0</v>
      </c>
      <c r="M661" t="s">
        <v>23</v>
      </c>
      <c r="N661" t="s">
        <v>636</v>
      </c>
      <c r="O661" s="4">
        <v>0.26125547047540071</v>
      </c>
      <c r="P661" s="4">
        <v>0.73874452952459935</v>
      </c>
      <c r="Q661" t="s">
        <v>710</v>
      </c>
      <c r="R661" s="4">
        <v>1.6142379331602539E-5</v>
      </c>
      <c r="S661" s="3">
        <v>17888017.629999999</v>
      </c>
      <c r="T661" s="4">
        <v>0.17457538822763011</v>
      </c>
    </row>
    <row r="662" spans="1:20" x14ac:dyDescent="0.4">
      <c r="A662" s="2">
        <v>45930</v>
      </c>
      <c r="B662" t="s">
        <v>26</v>
      </c>
      <c r="C662" t="s">
        <v>22</v>
      </c>
      <c r="D662" s="3" t="str">
        <f t="shared" si="44"/>
        <v>PASS</v>
      </c>
      <c r="E662" s="3" t="str">
        <f t="shared" si="45"/>
        <v>PASS</v>
      </c>
      <c r="F662" s="3" t="str">
        <f t="shared" si="46"/>
        <v>PASS</v>
      </c>
      <c r="G662" s="3" t="str">
        <f t="shared" si="47"/>
        <v>FAIL</v>
      </c>
      <c r="H662" s="3">
        <v>23727158.620000001</v>
      </c>
      <c r="I662" s="4">
        <v>0</v>
      </c>
      <c r="J662" s="3">
        <v>21504396.899999999</v>
      </c>
      <c r="K662" s="3">
        <v>2830.53</v>
      </c>
      <c r="L662" s="3">
        <v>0</v>
      </c>
      <c r="M662" t="s">
        <v>23</v>
      </c>
      <c r="N662" t="s">
        <v>636</v>
      </c>
      <c r="O662" s="4">
        <v>0.26290728478881448</v>
      </c>
      <c r="P662" s="4">
        <v>0.73709271521118547</v>
      </c>
      <c r="Q662" t="s">
        <v>711</v>
      </c>
      <c r="R662" s="4">
        <v>3.7872751826030558E-6</v>
      </c>
      <c r="S662" s="3">
        <v>3904161.74</v>
      </c>
      <c r="T662" s="4">
        <v>0.16454400640745581</v>
      </c>
    </row>
    <row r="663" spans="1:20" x14ac:dyDescent="0.4">
      <c r="A663" s="2">
        <v>45930</v>
      </c>
      <c r="B663" t="s">
        <v>27</v>
      </c>
      <c r="C663" t="s">
        <v>22</v>
      </c>
      <c r="D663" s="3" t="str">
        <f t="shared" si="44"/>
        <v>PASS</v>
      </c>
      <c r="E663" s="3" t="str">
        <f t="shared" si="45"/>
        <v>PASS</v>
      </c>
      <c r="F663" s="3" t="str">
        <f t="shared" si="46"/>
        <v>PASS</v>
      </c>
      <c r="G663" s="3" t="str">
        <f t="shared" si="47"/>
        <v>FAIL</v>
      </c>
      <c r="H663" s="3">
        <v>43987988.25</v>
      </c>
      <c r="I663" s="4">
        <v>0</v>
      </c>
      <c r="J663" s="3">
        <v>37199175.75</v>
      </c>
      <c r="K663" s="3">
        <v>2431.5700000000002</v>
      </c>
      <c r="L663" s="3">
        <v>0</v>
      </c>
      <c r="M663" t="s">
        <v>23</v>
      </c>
      <c r="N663" t="s">
        <v>636</v>
      </c>
      <c r="O663" s="4">
        <v>0.26877926616425102</v>
      </c>
      <c r="P663" s="4">
        <v>0.73122073383574904</v>
      </c>
      <c r="Q663" t="s">
        <v>712</v>
      </c>
      <c r="R663" s="4">
        <v>6.6859398316681142E-6</v>
      </c>
      <c r="S663" s="3">
        <v>15265603.5</v>
      </c>
      <c r="T663" s="4">
        <v>0.34704027411392252</v>
      </c>
    </row>
    <row r="664" spans="1:20" x14ac:dyDescent="0.4">
      <c r="A664" s="2">
        <v>45930</v>
      </c>
      <c r="B664" t="s">
        <v>28</v>
      </c>
      <c r="C664" t="s">
        <v>22</v>
      </c>
      <c r="D664" s="3" t="str">
        <f t="shared" si="44"/>
        <v>PASS</v>
      </c>
      <c r="E664" s="3" t="str">
        <f t="shared" si="45"/>
        <v>PASS</v>
      </c>
      <c r="F664" s="3" t="str">
        <f t="shared" si="46"/>
        <v>PASS</v>
      </c>
      <c r="G664" s="3" t="str">
        <f t="shared" si="47"/>
        <v>FAIL</v>
      </c>
      <c r="H664" s="3">
        <v>15548235.439999999</v>
      </c>
      <c r="I664" s="4">
        <v>0</v>
      </c>
      <c r="J664" s="3">
        <v>13735796.560000001</v>
      </c>
      <c r="K664" s="3">
        <v>891.11</v>
      </c>
      <c r="L664" s="3">
        <v>0</v>
      </c>
      <c r="M664" t="s">
        <v>23</v>
      </c>
      <c r="N664" t="s">
        <v>636</v>
      </c>
      <c r="O664" s="4">
        <v>0.26266386985568457</v>
      </c>
      <c r="P664" s="4">
        <v>0.73733613014431543</v>
      </c>
      <c r="Q664" t="s">
        <v>713</v>
      </c>
      <c r="R664" s="4">
        <v>2.413773805043121E-6</v>
      </c>
      <c r="S664" s="3">
        <v>4230366.72</v>
      </c>
      <c r="T664" s="4">
        <v>0.27208018146655999</v>
      </c>
    </row>
    <row r="665" spans="1:20" x14ac:dyDescent="0.4">
      <c r="A665" s="2">
        <v>45930</v>
      </c>
      <c r="B665" t="s">
        <v>29</v>
      </c>
      <c r="C665" t="s">
        <v>22</v>
      </c>
      <c r="D665" s="3" t="str">
        <f t="shared" si="44"/>
        <v>PASS</v>
      </c>
      <c r="E665" s="3" t="str">
        <f t="shared" si="45"/>
        <v>PASS</v>
      </c>
      <c r="F665" s="3" t="str">
        <f t="shared" si="46"/>
        <v>PASS</v>
      </c>
      <c r="G665" s="3" t="str">
        <f t="shared" si="47"/>
        <v>FAIL</v>
      </c>
      <c r="H665" s="3">
        <v>35076130.810000002</v>
      </c>
      <c r="I665" s="4">
        <v>0</v>
      </c>
      <c r="J665" s="3">
        <v>32449860.030000001</v>
      </c>
      <c r="K665" s="3">
        <v>4201</v>
      </c>
      <c r="L665" s="3">
        <v>0</v>
      </c>
      <c r="M665" t="s">
        <v>23</v>
      </c>
      <c r="N665" t="s">
        <v>636</v>
      </c>
      <c r="O665" s="4">
        <v>0.26427974857431152</v>
      </c>
      <c r="P665" s="4">
        <v>0.73572025142568842</v>
      </c>
      <c r="Q665" t="s">
        <v>714</v>
      </c>
      <c r="R665" s="4">
        <v>5.7417911397839908E-6</v>
      </c>
      <c r="S665" s="3">
        <v>4541622.96</v>
      </c>
      <c r="T665" s="4">
        <v>0.12947901764310929</v>
      </c>
    </row>
    <row r="666" spans="1:20" x14ac:dyDescent="0.4">
      <c r="A666" s="2">
        <v>45930</v>
      </c>
      <c r="B666" t="s">
        <v>30</v>
      </c>
      <c r="C666" t="s">
        <v>22</v>
      </c>
      <c r="D666" s="3" t="str">
        <f t="shared" si="44"/>
        <v>PASS</v>
      </c>
      <c r="E666" s="3" t="str">
        <f t="shared" si="45"/>
        <v>PASS</v>
      </c>
      <c r="F666" s="3" t="str">
        <f t="shared" si="46"/>
        <v>PASS</v>
      </c>
      <c r="G666" s="3" t="str">
        <f t="shared" si="47"/>
        <v>FAIL</v>
      </c>
      <c r="H666" s="3">
        <v>55285466.399999999</v>
      </c>
      <c r="I666" s="4">
        <v>0</v>
      </c>
      <c r="J666" s="3">
        <v>50073113.600000001</v>
      </c>
      <c r="K666" s="3">
        <v>3867.31</v>
      </c>
      <c r="L666" s="3">
        <v>0</v>
      </c>
      <c r="M666" t="s">
        <v>23</v>
      </c>
      <c r="N666" t="s">
        <v>715</v>
      </c>
      <c r="O666" s="4">
        <v>0.25752013272048652</v>
      </c>
      <c r="P666" s="4">
        <v>0.74247986727951343</v>
      </c>
      <c r="Q666" t="s">
        <v>716</v>
      </c>
      <c r="R666" s="4">
        <v>7.1503559324820383E-5</v>
      </c>
      <c r="S666" s="3">
        <v>9449021.7300000004</v>
      </c>
      <c r="T666" s="4">
        <v>0.17091330407949679</v>
      </c>
    </row>
    <row r="667" spans="1:20" x14ac:dyDescent="0.4">
      <c r="A667" s="2">
        <v>45930</v>
      </c>
      <c r="B667" t="s">
        <v>31</v>
      </c>
      <c r="C667" t="s">
        <v>22</v>
      </c>
      <c r="D667" s="3" t="str">
        <f t="shared" si="44"/>
        <v>PASS</v>
      </c>
      <c r="E667" s="3" t="str">
        <f t="shared" si="45"/>
        <v>PASS</v>
      </c>
      <c r="F667" s="3" t="str">
        <f t="shared" si="46"/>
        <v>PASS</v>
      </c>
      <c r="G667" s="3" t="str">
        <f t="shared" si="47"/>
        <v>FAIL</v>
      </c>
      <c r="H667" s="3">
        <v>40797748.600000001</v>
      </c>
      <c r="I667" s="4">
        <v>0</v>
      </c>
      <c r="J667" s="3">
        <v>35173495.539999999</v>
      </c>
      <c r="K667" s="3">
        <v>2280.0500000000002</v>
      </c>
      <c r="L667" s="3">
        <v>0</v>
      </c>
      <c r="M667" t="s">
        <v>23</v>
      </c>
      <c r="N667" t="s">
        <v>636</v>
      </c>
      <c r="O667" s="4">
        <v>0.2612585698100337</v>
      </c>
      <c r="P667" s="4">
        <v>0.7387414301899663</v>
      </c>
      <c r="Q667" t="s">
        <v>717</v>
      </c>
      <c r="R667" s="4">
        <v>6.1455108293000522E-6</v>
      </c>
      <c r="S667" s="3">
        <v>11092258.210000001</v>
      </c>
      <c r="T667" s="4">
        <v>0.27188407671103693</v>
      </c>
    </row>
    <row r="668" spans="1:20" x14ac:dyDescent="0.4">
      <c r="A668" s="2">
        <v>45930</v>
      </c>
      <c r="B668" t="s">
        <v>32</v>
      </c>
      <c r="C668" t="s">
        <v>22</v>
      </c>
      <c r="D668" s="3" t="str">
        <f t="shared" si="44"/>
        <v>PASS</v>
      </c>
      <c r="E668" s="3" t="str">
        <f t="shared" si="45"/>
        <v>PASS</v>
      </c>
      <c r="F668" s="3" t="str">
        <f t="shared" si="46"/>
        <v>PASS</v>
      </c>
      <c r="G668" s="3" t="str">
        <f t="shared" si="47"/>
        <v>FAIL</v>
      </c>
      <c r="H668" s="3">
        <v>79845989.989999995</v>
      </c>
      <c r="I668" s="4">
        <v>0</v>
      </c>
      <c r="J668" s="3">
        <v>71171614.569999993</v>
      </c>
      <c r="K668" s="3">
        <v>4537.97</v>
      </c>
      <c r="L668" s="3">
        <v>0</v>
      </c>
      <c r="M668" t="s">
        <v>23</v>
      </c>
      <c r="N668" t="s">
        <v>636</v>
      </c>
      <c r="O668" s="4">
        <v>0.26403568295500029</v>
      </c>
      <c r="P668" s="4">
        <v>0.73596431704499965</v>
      </c>
      <c r="Q668" t="s">
        <v>718</v>
      </c>
      <c r="R668" s="4">
        <v>1.256657636731742E-5</v>
      </c>
      <c r="S668" s="3">
        <v>17891455.280000001</v>
      </c>
      <c r="T668" s="4">
        <v>0.2240745625702775</v>
      </c>
    </row>
    <row r="669" spans="1:20" x14ac:dyDescent="0.4">
      <c r="A669" s="2">
        <v>45930</v>
      </c>
      <c r="B669" t="s">
        <v>33</v>
      </c>
      <c r="C669" t="s">
        <v>22</v>
      </c>
      <c r="D669" s="3" t="str">
        <f t="shared" si="44"/>
        <v>PASS</v>
      </c>
      <c r="E669" s="3" t="str">
        <f t="shared" si="45"/>
        <v>PASS</v>
      </c>
      <c r="F669" s="3" t="str">
        <f t="shared" si="46"/>
        <v>PASS</v>
      </c>
      <c r="G669" s="3" t="str">
        <f t="shared" si="47"/>
        <v>FAIL</v>
      </c>
      <c r="H669" s="3">
        <v>168723434.47</v>
      </c>
      <c r="I669" s="4">
        <v>0</v>
      </c>
      <c r="J669" s="3">
        <v>142567312.87</v>
      </c>
      <c r="K669" s="3">
        <v>8271.24</v>
      </c>
      <c r="L669" s="3">
        <v>0</v>
      </c>
      <c r="M669" t="s">
        <v>23</v>
      </c>
      <c r="N669" t="s">
        <v>636</v>
      </c>
      <c r="O669" s="4">
        <v>0.2621598588596587</v>
      </c>
      <c r="P669" s="4">
        <v>0.73784014114034124</v>
      </c>
      <c r="Q669" t="s">
        <v>719</v>
      </c>
      <c r="R669" s="4">
        <v>2.5026348583969209E-5</v>
      </c>
      <c r="S669" s="3">
        <v>49587814.640000001</v>
      </c>
      <c r="T669" s="4">
        <v>0.29389998369679349</v>
      </c>
    </row>
    <row r="670" spans="1:20" x14ac:dyDescent="0.4">
      <c r="A670" t="s">
        <v>720</v>
      </c>
    </row>
    <row r="671" spans="1:20" x14ac:dyDescent="0.4">
      <c r="A671" t="s">
        <v>721</v>
      </c>
    </row>
    <row r="672" spans="1:20" x14ac:dyDescent="0.4">
      <c r="A672" t="s">
        <v>722</v>
      </c>
    </row>
    <row r="673" spans="1:1" x14ac:dyDescent="0.4">
      <c r="A673" t="s">
        <v>723</v>
      </c>
    </row>
    <row r="674" spans="1:1" x14ac:dyDescent="0.4">
      <c r="A674" t="s">
        <v>724</v>
      </c>
    </row>
    <row r="675" spans="1:1" x14ac:dyDescent="0.4">
      <c r="A675" t="s">
        <v>725</v>
      </c>
    </row>
    <row r="676" spans="1:1" x14ac:dyDescent="0.4">
      <c r="A676" t="s">
        <v>726</v>
      </c>
    </row>
    <row r="677" spans="1:1" x14ac:dyDescent="0.4">
      <c r="A677" t="s">
        <v>727</v>
      </c>
    </row>
    <row r="678" spans="1:1" x14ac:dyDescent="0.4">
      <c r="A678" t="s">
        <v>728</v>
      </c>
    </row>
    <row r="679" spans="1:1" x14ac:dyDescent="0.4">
      <c r="A679" t="s">
        <v>729</v>
      </c>
    </row>
  </sheetData>
  <autoFilter ref="A1:U679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43"/>
  <sheetViews>
    <sheetView workbookViewId="0"/>
  </sheetViews>
  <sheetFormatPr defaultRowHeight="14.6" x14ac:dyDescent="0.4"/>
  <cols>
    <col min="1" max="1" width="50" customWidth="1"/>
    <col min="2" max="2" width="8" customWidth="1"/>
    <col min="3" max="3" width="17" customWidth="1"/>
    <col min="4" max="4" width="35" customWidth="1"/>
    <col min="5" max="5" width="30" customWidth="1"/>
    <col min="6" max="6" width="22" customWidth="1"/>
    <col min="7" max="7" width="19" customWidth="1"/>
    <col min="8" max="8" width="14" customWidth="1"/>
    <col min="9" max="9" width="25" customWidth="1"/>
    <col min="10" max="10" width="10" customWidth="1"/>
    <col min="11" max="11" width="23" customWidth="1"/>
    <col min="12" max="12" width="30" customWidth="1"/>
    <col min="13" max="13" width="24" customWidth="1"/>
    <col min="14" max="14" width="50" customWidth="1"/>
    <col min="15" max="15" width="22" customWidth="1"/>
    <col min="16" max="16" width="50" customWidth="1"/>
    <col min="17" max="17" width="27" customWidth="1"/>
    <col min="18" max="18" width="34" customWidth="1"/>
  </cols>
  <sheetData>
    <row r="1" spans="1:18" x14ac:dyDescent="0.4">
      <c r="A1" s="1" t="s">
        <v>0</v>
      </c>
      <c r="B1" s="1" t="s">
        <v>1</v>
      </c>
      <c r="C1" s="1" t="s">
        <v>730</v>
      </c>
      <c r="D1" s="1" t="s">
        <v>731</v>
      </c>
      <c r="E1" s="1" t="s">
        <v>732</v>
      </c>
      <c r="F1" s="1" t="s">
        <v>733</v>
      </c>
      <c r="G1" s="1" t="s">
        <v>734</v>
      </c>
      <c r="H1" s="1" t="s">
        <v>735</v>
      </c>
      <c r="I1" s="1" t="s">
        <v>736</v>
      </c>
      <c r="J1" s="1" t="s">
        <v>737</v>
      </c>
      <c r="K1" s="1" t="s">
        <v>738</v>
      </c>
      <c r="L1" s="1" t="s">
        <v>739</v>
      </c>
      <c r="M1" s="1" t="s">
        <v>740</v>
      </c>
      <c r="N1" s="1" t="s">
        <v>741</v>
      </c>
      <c r="O1" s="1" t="s">
        <v>742</v>
      </c>
      <c r="P1" s="1" t="s">
        <v>743</v>
      </c>
      <c r="Q1" s="1" t="s">
        <v>744</v>
      </c>
      <c r="R1" s="1" t="s">
        <v>745</v>
      </c>
    </row>
    <row r="2" spans="1:18" x14ac:dyDescent="0.4">
      <c r="A2" s="2">
        <v>45838</v>
      </c>
      <c r="B2" t="s">
        <v>21</v>
      </c>
      <c r="C2" t="s">
        <v>746</v>
      </c>
      <c r="D2" s="3" t="e">
        <f t="shared" ref="D2:D65" si="0">IF(I2/H2&gt;=0.5,"PASS","FAIL")</f>
        <v>#DIV/0!</v>
      </c>
      <c r="E2" s="3" t="str">
        <f t="shared" ref="E2:E65" si="1">IF(L2&lt;=0.5,"PASS","FAIL")</f>
        <v>PASS</v>
      </c>
      <c r="F2" t="s">
        <v>746</v>
      </c>
      <c r="G2" t="s">
        <v>747</v>
      </c>
      <c r="H2" s="3">
        <v>0</v>
      </c>
      <c r="I2" s="3">
        <v>0</v>
      </c>
      <c r="J2" s="3">
        <v>0</v>
      </c>
      <c r="K2" s="4">
        <v>0</v>
      </c>
      <c r="L2" s="4">
        <v>0</v>
      </c>
      <c r="M2" s="3">
        <v>0</v>
      </c>
      <c r="N2" t="s">
        <v>23</v>
      </c>
      <c r="O2" s="4">
        <v>0</v>
      </c>
      <c r="P2" t="s">
        <v>23</v>
      </c>
      <c r="Q2" t="s">
        <v>748</v>
      </c>
      <c r="R2" t="s">
        <v>748</v>
      </c>
    </row>
    <row r="3" spans="1:18" x14ac:dyDescent="0.4">
      <c r="A3" s="2">
        <v>45838</v>
      </c>
      <c r="B3" t="s">
        <v>24</v>
      </c>
      <c r="C3" t="s">
        <v>746</v>
      </c>
      <c r="D3" s="3" t="e">
        <f t="shared" si="0"/>
        <v>#DIV/0!</v>
      </c>
      <c r="E3" s="3" t="str">
        <f t="shared" si="1"/>
        <v>PASS</v>
      </c>
      <c r="F3" t="s">
        <v>746</v>
      </c>
      <c r="G3" t="s">
        <v>747</v>
      </c>
      <c r="H3" s="3">
        <v>0</v>
      </c>
      <c r="I3" s="3">
        <v>0</v>
      </c>
      <c r="J3" s="3">
        <v>0</v>
      </c>
      <c r="K3" s="4">
        <v>0</v>
      </c>
      <c r="L3" s="4">
        <v>0</v>
      </c>
      <c r="M3" s="3">
        <v>0</v>
      </c>
      <c r="N3" t="s">
        <v>23</v>
      </c>
      <c r="O3" s="4">
        <v>0</v>
      </c>
      <c r="P3" t="s">
        <v>23</v>
      </c>
      <c r="Q3" t="s">
        <v>748</v>
      </c>
      <c r="R3" t="s">
        <v>748</v>
      </c>
    </row>
    <row r="4" spans="1:18" x14ac:dyDescent="0.4">
      <c r="A4" s="2">
        <v>45838</v>
      </c>
      <c r="B4" t="s">
        <v>25</v>
      </c>
      <c r="C4" t="s">
        <v>746</v>
      </c>
      <c r="D4" s="3" t="e">
        <f t="shared" si="0"/>
        <v>#DIV/0!</v>
      </c>
      <c r="E4" s="3" t="str">
        <f t="shared" si="1"/>
        <v>PASS</v>
      </c>
      <c r="F4" t="s">
        <v>746</v>
      </c>
      <c r="G4" t="s">
        <v>747</v>
      </c>
      <c r="H4" s="3">
        <v>0</v>
      </c>
      <c r="I4" s="3">
        <v>0</v>
      </c>
      <c r="J4" s="3">
        <v>0</v>
      </c>
      <c r="K4" s="4">
        <v>0</v>
      </c>
      <c r="L4" s="4">
        <v>0</v>
      </c>
      <c r="M4" s="3">
        <v>0</v>
      </c>
      <c r="N4" t="s">
        <v>23</v>
      </c>
      <c r="O4" s="4">
        <v>0</v>
      </c>
      <c r="P4" t="s">
        <v>23</v>
      </c>
      <c r="Q4" t="s">
        <v>748</v>
      </c>
      <c r="R4" t="s">
        <v>748</v>
      </c>
    </row>
    <row r="5" spans="1:18" x14ac:dyDescent="0.4">
      <c r="A5" s="2">
        <v>45838</v>
      </c>
      <c r="B5" t="s">
        <v>26</v>
      </c>
      <c r="C5" t="s">
        <v>746</v>
      </c>
      <c r="D5" s="3" t="e">
        <f t="shared" si="0"/>
        <v>#DIV/0!</v>
      </c>
      <c r="E5" s="3" t="str">
        <f t="shared" si="1"/>
        <v>PASS</v>
      </c>
      <c r="F5" t="s">
        <v>746</v>
      </c>
      <c r="G5" t="s">
        <v>747</v>
      </c>
      <c r="H5" s="3">
        <v>0</v>
      </c>
      <c r="I5" s="3">
        <v>0</v>
      </c>
      <c r="J5" s="3">
        <v>0</v>
      </c>
      <c r="K5" s="4">
        <v>0</v>
      </c>
      <c r="L5" s="4">
        <v>0</v>
      </c>
      <c r="M5" s="3">
        <v>0</v>
      </c>
      <c r="N5" t="s">
        <v>23</v>
      </c>
      <c r="O5" s="4">
        <v>0</v>
      </c>
      <c r="P5" t="s">
        <v>23</v>
      </c>
      <c r="Q5" t="s">
        <v>748</v>
      </c>
      <c r="R5" t="s">
        <v>748</v>
      </c>
    </row>
    <row r="6" spans="1:18" x14ac:dyDescent="0.4">
      <c r="A6" s="2">
        <v>45838</v>
      </c>
      <c r="B6" t="s">
        <v>27</v>
      </c>
      <c r="C6" t="s">
        <v>746</v>
      </c>
      <c r="D6" s="3" t="e">
        <f t="shared" si="0"/>
        <v>#DIV/0!</v>
      </c>
      <c r="E6" s="3" t="str">
        <f t="shared" si="1"/>
        <v>PASS</v>
      </c>
      <c r="F6" t="s">
        <v>746</v>
      </c>
      <c r="G6" t="s">
        <v>747</v>
      </c>
      <c r="H6" s="3">
        <v>0</v>
      </c>
      <c r="I6" s="3">
        <v>0</v>
      </c>
      <c r="J6" s="3">
        <v>0</v>
      </c>
      <c r="K6" s="4">
        <v>0</v>
      </c>
      <c r="L6" s="4">
        <v>0</v>
      </c>
      <c r="M6" s="3">
        <v>0</v>
      </c>
      <c r="N6" t="s">
        <v>23</v>
      </c>
      <c r="O6" s="4">
        <v>0</v>
      </c>
      <c r="P6" t="s">
        <v>23</v>
      </c>
      <c r="Q6" t="s">
        <v>748</v>
      </c>
      <c r="R6" t="s">
        <v>748</v>
      </c>
    </row>
    <row r="7" spans="1:18" x14ac:dyDescent="0.4">
      <c r="A7" s="2">
        <v>45838</v>
      </c>
      <c r="B7" t="s">
        <v>28</v>
      </c>
      <c r="C7" t="s">
        <v>746</v>
      </c>
      <c r="D7" s="3" t="e">
        <f t="shared" si="0"/>
        <v>#DIV/0!</v>
      </c>
      <c r="E7" s="3" t="str">
        <f t="shared" si="1"/>
        <v>PASS</v>
      </c>
      <c r="F7" t="s">
        <v>746</v>
      </c>
      <c r="G7" t="s">
        <v>747</v>
      </c>
      <c r="H7" s="3">
        <v>0</v>
      </c>
      <c r="I7" s="3">
        <v>0</v>
      </c>
      <c r="J7" s="3">
        <v>0</v>
      </c>
      <c r="K7" s="4">
        <v>0</v>
      </c>
      <c r="L7" s="4">
        <v>0</v>
      </c>
      <c r="M7" s="3">
        <v>0</v>
      </c>
      <c r="N7" t="s">
        <v>23</v>
      </c>
      <c r="O7" s="4">
        <v>0</v>
      </c>
      <c r="P7" t="s">
        <v>23</v>
      </c>
      <c r="Q7" t="s">
        <v>748</v>
      </c>
      <c r="R7" t="s">
        <v>748</v>
      </c>
    </row>
    <row r="8" spans="1:18" x14ac:dyDescent="0.4">
      <c r="A8" s="2">
        <v>45838</v>
      </c>
      <c r="B8" t="s">
        <v>29</v>
      </c>
      <c r="C8" t="s">
        <v>746</v>
      </c>
      <c r="D8" s="3" t="e">
        <f t="shared" si="0"/>
        <v>#DIV/0!</v>
      </c>
      <c r="E8" s="3" t="str">
        <f t="shared" si="1"/>
        <v>PASS</v>
      </c>
      <c r="F8" t="s">
        <v>746</v>
      </c>
      <c r="G8" t="s">
        <v>747</v>
      </c>
      <c r="H8" s="3">
        <v>0</v>
      </c>
      <c r="I8" s="3">
        <v>0</v>
      </c>
      <c r="J8" s="3">
        <v>0</v>
      </c>
      <c r="K8" s="4">
        <v>0</v>
      </c>
      <c r="L8" s="4">
        <v>0</v>
      </c>
      <c r="M8" s="3">
        <v>0</v>
      </c>
      <c r="N8" t="s">
        <v>23</v>
      </c>
      <c r="O8" s="4">
        <v>0</v>
      </c>
      <c r="P8" t="s">
        <v>23</v>
      </c>
      <c r="Q8" t="s">
        <v>748</v>
      </c>
      <c r="R8" t="s">
        <v>748</v>
      </c>
    </row>
    <row r="9" spans="1:18" x14ac:dyDescent="0.4">
      <c r="A9" s="2">
        <v>45838</v>
      </c>
      <c r="B9" t="s">
        <v>30</v>
      </c>
      <c r="C9" t="s">
        <v>746</v>
      </c>
      <c r="D9" s="3" t="e">
        <f t="shared" si="0"/>
        <v>#DIV/0!</v>
      </c>
      <c r="E9" s="3" t="str">
        <f t="shared" si="1"/>
        <v>PASS</v>
      </c>
      <c r="F9" t="s">
        <v>746</v>
      </c>
      <c r="G9" t="s">
        <v>747</v>
      </c>
      <c r="H9" s="3">
        <v>0</v>
      </c>
      <c r="I9" s="3">
        <v>0</v>
      </c>
      <c r="J9" s="3">
        <v>0</v>
      </c>
      <c r="K9" s="4">
        <v>0</v>
      </c>
      <c r="L9" s="4">
        <v>0</v>
      </c>
      <c r="M9" s="3">
        <v>0</v>
      </c>
      <c r="N9" t="s">
        <v>23</v>
      </c>
      <c r="O9" s="4">
        <v>0</v>
      </c>
      <c r="P9" t="s">
        <v>23</v>
      </c>
      <c r="Q9" t="s">
        <v>748</v>
      </c>
      <c r="R9" t="s">
        <v>748</v>
      </c>
    </row>
    <row r="10" spans="1:18" x14ac:dyDescent="0.4">
      <c r="A10" s="2">
        <v>45838</v>
      </c>
      <c r="B10" t="s">
        <v>31</v>
      </c>
      <c r="C10" t="s">
        <v>746</v>
      </c>
      <c r="D10" s="3" t="e">
        <f t="shared" si="0"/>
        <v>#DIV/0!</v>
      </c>
      <c r="E10" s="3" t="str">
        <f t="shared" si="1"/>
        <v>PASS</v>
      </c>
      <c r="F10" t="s">
        <v>746</v>
      </c>
      <c r="G10" t="s">
        <v>747</v>
      </c>
      <c r="H10" s="3">
        <v>0</v>
      </c>
      <c r="I10" s="3">
        <v>0</v>
      </c>
      <c r="J10" s="3">
        <v>0</v>
      </c>
      <c r="K10" s="4">
        <v>0</v>
      </c>
      <c r="L10" s="4">
        <v>0</v>
      </c>
      <c r="M10" s="3">
        <v>0</v>
      </c>
      <c r="N10" t="s">
        <v>23</v>
      </c>
      <c r="O10" s="4">
        <v>0</v>
      </c>
      <c r="P10" t="s">
        <v>23</v>
      </c>
      <c r="Q10" t="s">
        <v>748</v>
      </c>
      <c r="R10" t="s">
        <v>748</v>
      </c>
    </row>
    <row r="11" spans="1:18" x14ac:dyDescent="0.4">
      <c r="A11" s="2">
        <v>45838</v>
      </c>
      <c r="B11" t="s">
        <v>32</v>
      </c>
      <c r="C11" t="s">
        <v>746</v>
      </c>
      <c r="D11" s="3" t="e">
        <f t="shared" si="0"/>
        <v>#DIV/0!</v>
      </c>
      <c r="E11" s="3" t="str">
        <f t="shared" si="1"/>
        <v>PASS</v>
      </c>
      <c r="F11" t="s">
        <v>746</v>
      </c>
      <c r="G11" t="s">
        <v>747</v>
      </c>
      <c r="H11" s="3">
        <v>0</v>
      </c>
      <c r="I11" s="3">
        <v>0</v>
      </c>
      <c r="J11" s="3">
        <v>0</v>
      </c>
      <c r="K11" s="4">
        <v>0</v>
      </c>
      <c r="L11" s="4">
        <v>0</v>
      </c>
      <c r="M11" s="3">
        <v>0</v>
      </c>
      <c r="N11" t="s">
        <v>23</v>
      </c>
      <c r="O11" s="4">
        <v>0</v>
      </c>
      <c r="P11" t="s">
        <v>23</v>
      </c>
      <c r="Q11" t="s">
        <v>748</v>
      </c>
      <c r="R11" t="s">
        <v>748</v>
      </c>
    </row>
    <row r="12" spans="1:18" x14ac:dyDescent="0.4">
      <c r="A12" s="2">
        <v>45838</v>
      </c>
      <c r="B12" t="s">
        <v>33</v>
      </c>
      <c r="C12" t="s">
        <v>746</v>
      </c>
      <c r="D12" s="3" t="e">
        <f t="shared" si="0"/>
        <v>#DIV/0!</v>
      </c>
      <c r="E12" s="3" t="str">
        <f t="shared" si="1"/>
        <v>PASS</v>
      </c>
      <c r="F12" t="s">
        <v>746</v>
      </c>
      <c r="G12" t="s">
        <v>747</v>
      </c>
      <c r="H12" s="3">
        <v>0</v>
      </c>
      <c r="I12" s="3">
        <v>0</v>
      </c>
      <c r="J12" s="3">
        <v>0</v>
      </c>
      <c r="K12" s="4">
        <v>0</v>
      </c>
      <c r="L12" s="4">
        <v>0</v>
      </c>
      <c r="M12" s="3">
        <v>0</v>
      </c>
      <c r="N12" t="s">
        <v>23</v>
      </c>
      <c r="O12" s="4">
        <v>0</v>
      </c>
      <c r="P12" t="s">
        <v>23</v>
      </c>
      <c r="Q12" t="s">
        <v>748</v>
      </c>
      <c r="R12" t="s">
        <v>748</v>
      </c>
    </row>
    <row r="13" spans="1:18" x14ac:dyDescent="0.4">
      <c r="A13" s="2">
        <v>45839</v>
      </c>
      <c r="B13" t="s">
        <v>21</v>
      </c>
      <c r="C13" t="s">
        <v>747</v>
      </c>
      <c r="D13" s="3" t="e">
        <f t="shared" si="0"/>
        <v>#DIV/0!</v>
      </c>
      <c r="E13" s="3" t="str">
        <f t="shared" si="1"/>
        <v>PASS</v>
      </c>
      <c r="F13" t="s">
        <v>747</v>
      </c>
      <c r="G13" t="s">
        <v>747</v>
      </c>
      <c r="H13" s="3">
        <v>0</v>
      </c>
      <c r="I13" s="3">
        <v>452032199.867625</v>
      </c>
      <c r="J13" s="3">
        <v>0</v>
      </c>
      <c r="K13" s="4">
        <v>0</v>
      </c>
      <c r="L13" s="4">
        <v>0</v>
      </c>
      <c r="M13" s="3">
        <v>547</v>
      </c>
      <c r="N13" t="s">
        <v>749</v>
      </c>
      <c r="O13" s="4">
        <v>3.9725000000000001</v>
      </c>
      <c r="P13" t="s">
        <v>750</v>
      </c>
      <c r="Q13" t="s">
        <v>748</v>
      </c>
      <c r="R13" t="s">
        <v>748</v>
      </c>
    </row>
    <row r="14" spans="1:18" x14ac:dyDescent="0.4">
      <c r="A14" s="2">
        <v>45839</v>
      </c>
      <c r="B14" t="s">
        <v>24</v>
      </c>
      <c r="C14" t="s">
        <v>747</v>
      </c>
      <c r="D14" s="3" t="str">
        <f t="shared" si="0"/>
        <v>PASS</v>
      </c>
      <c r="E14" s="3" t="str">
        <f t="shared" si="1"/>
        <v>PASS</v>
      </c>
      <c r="F14" t="s">
        <v>747</v>
      </c>
      <c r="G14" t="s">
        <v>747</v>
      </c>
      <c r="H14" s="3">
        <v>136543055.68000001</v>
      </c>
      <c r="I14" s="3">
        <v>452032199.86762512</v>
      </c>
      <c r="J14" s="3">
        <v>8653.2000000000007</v>
      </c>
      <c r="K14" s="4">
        <v>6827152.7840000009</v>
      </c>
      <c r="L14" s="4">
        <v>0.35493797191209409</v>
      </c>
      <c r="M14" s="3">
        <v>6</v>
      </c>
      <c r="N14" t="s">
        <v>751</v>
      </c>
      <c r="O14" s="4">
        <v>0.99731015736724293</v>
      </c>
      <c r="P14" t="s">
        <v>750</v>
      </c>
      <c r="Q14" t="s">
        <v>752</v>
      </c>
      <c r="R14" t="s">
        <v>752</v>
      </c>
    </row>
    <row r="15" spans="1:18" x14ac:dyDescent="0.4">
      <c r="A15" s="2">
        <v>45839</v>
      </c>
      <c r="B15" t="s">
        <v>25</v>
      </c>
      <c r="C15" t="s">
        <v>747</v>
      </c>
      <c r="D15" s="3" t="str">
        <f t="shared" si="0"/>
        <v>PASS</v>
      </c>
      <c r="E15" s="3" t="str">
        <f t="shared" si="1"/>
        <v>FAIL</v>
      </c>
      <c r="F15" t="s">
        <v>747</v>
      </c>
      <c r="G15" t="s">
        <v>747</v>
      </c>
      <c r="H15" s="3">
        <v>102314972.65000001</v>
      </c>
      <c r="I15" s="3">
        <v>452032199.86762512</v>
      </c>
      <c r="J15" s="3">
        <v>6691.1</v>
      </c>
      <c r="K15" s="4">
        <v>5115748.6325000003</v>
      </c>
      <c r="L15" s="4">
        <v>1.280194682592791</v>
      </c>
      <c r="M15" s="3">
        <v>18</v>
      </c>
      <c r="N15" t="s">
        <v>753</v>
      </c>
      <c r="O15" s="4">
        <v>1.3309467111275719</v>
      </c>
      <c r="P15" t="s">
        <v>750</v>
      </c>
      <c r="Q15" t="s">
        <v>754</v>
      </c>
      <c r="R15" t="s">
        <v>754</v>
      </c>
    </row>
    <row r="16" spans="1:18" x14ac:dyDescent="0.4">
      <c r="A16" s="2">
        <v>45839</v>
      </c>
      <c r="B16" t="s">
        <v>26</v>
      </c>
      <c r="C16" t="s">
        <v>747</v>
      </c>
      <c r="D16" s="3" t="str">
        <f t="shared" si="0"/>
        <v>PASS</v>
      </c>
      <c r="E16" s="3" t="str">
        <f t="shared" si="1"/>
        <v>PASS</v>
      </c>
      <c r="F16" t="s">
        <v>747</v>
      </c>
      <c r="G16" t="s">
        <v>747</v>
      </c>
      <c r="H16" s="3">
        <v>23722047.390000001</v>
      </c>
      <c r="I16" s="3">
        <v>18976948.228388</v>
      </c>
      <c r="J16" s="3">
        <v>1554.94</v>
      </c>
      <c r="K16" s="4">
        <v>1186102.3695</v>
      </c>
      <c r="L16" s="4">
        <v>0.22045457898606191</v>
      </c>
      <c r="M16" s="3">
        <v>3</v>
      </c>
      <c r="N16" t="s">
        <v>755</v>
      </c>
      <c r="O16" s="4">
        <v>5.3145100322135382E-2</v>
      </c>
      <c r="P16" t="s">
        <v>756</v>
      </c>
      <c r="Q16" t="s">
        <v>757</v>
      </c>
      <c r="R16" t="s">
        <v>758</v>
      </c>
    </row>
    <row r="17" spans="1:18" x14ac:dyDescent="0.4">
      <c r="A17" s="2">
        <v>45839</v>
      </c>
      <c r="B17" t="s">
        <v>27</v>
      </c>
      <c r="C17" t="s">
        <v>747</v>
      </c>
      <c r="D17" s="3" t="str">
        <f t="shared" si="0"/>
        <v>PASS</v>
      </c>
      <c r="E17" s="3" t="str">
        <f t="shared" si="1"/>
        <v>PASS</v>
      </c>
      <c r="F17" t="s">
        <v>747</v>
      </c>
      <c r="G17" t="s">
        <v>747</v>
      </c>
      <c r="H17" s="3">
        <v>48917423.100000001</v>
      </c>
      <c r="I17" s="3">
        <v>47841246.531837001</v>
      </c>
      <c r="J17" s="3">
        <v>2986.97</v>
      </c>
      <c r="K17" s="4">
        <v>2445871.1549999998</v>
      </c>
      <c r="L17" s="4">
        <v>0.2434938590921529</v>
      </c>
      <c r="M17" s="3">
        <v>3</v>
      </c>
      <c r="N17" t="s">
        <v>759</v>
      </c>
      <c r="O17" s="4">
        <v>0.11177032569070459</v>
      </c>
      <c r="P17" t="s">
        <v>760</v>
      </c>
      <c r="Q17" t="s">
        <v>761</v>
      </c>
      <c r="R17" t="s">
        <v>762</v>
      </c>
    </row>
    <row r="18" spans="1:18" x14ac:dyDescent="0.4">
      <c r="A18" s="2">
        <v>45839</v>
      </c>
      <c r="B18" t="s">
        <v>28</v>
      </c>
      <c r="C18" t="s">
        <v>747</v>
      </c>
      <c r="D18" s="3" t="str">
        <f t="shared" si="0"/>
        <v>PASS</v>
      </c>
      <c r="E18" s="3" t="str">
        <f t="shared" si="1"/>
        <v>FAIL</v>
      </c>
      <c r="F18" t="s">
        <v>747</v>
      </c>
      <c r="G18" t="s">
        <v>747</v>
      </c>
      <c r="H18" s="3">
        <v>15400753.109999999</v>
      </c>
      <c r="I18" s="3">
        <v>61592379.694760002</v>
      </c>
      <c r="J18" s="3">
        <v>984.5</v>
      </c>
      <c r="K18" s="4">
        <v>770037.65549999999</v>
      </c>
      <c r="L18" s="4">
        <v>2.4266160686009139</v>
      </c>
      <c r="M18" s="3">
        <v>16</v>
      </c>
      <c r="N18" t="s">
        <v>763</v>
      </c>
      <c r="O18" s="4">
        <v>9.755443932053269E-2</v>
      </c>
      <c r="P18" t="s">
        <v>760</v>
      </c>
      <c r="Q18" t="s">
        <v>764</v>
      </c>
      <c r="R18" t="s">
        <v>765</v>
      </c>
    </row>
    <row r="19" spans="1:18" x14ac:dyDescent="0.4">
      <c r="A19" s="2">
        <v>45839</v>
      </c>
      <c r="B19" t="s">
        <v>29</v>
      </c>
      <c r="C19" t="s">
        <v>747</v>
      </c>
      <c r="D19" s="3" t="str">
        <f t="shared" si="0"/>
        <v>PASS</v>
      </c>
      <c r="E19" s="3" t="str">
        <f t="shared" si="1"/>
        <v>FAIL</v>
      </c>
      <c r="F19" t="s">
        <v>747</v>
      </c>
      <c r="G19" t="s">
        <v>747</v>
      </c>
      <c r="H19" s="3">
        <v>34670454.060000002</v>
      </c>
      <c r="I19" s="3">
        <v>61654342.590509012</v>
      </c>
      <c r="J19" s="3">
        <v>2334.69</v>
      </c>
      <c r="K19" s="4">
        <v>1733522.703</v>
      </c>
      <c r="L19" s="4">
        <v>0.70469100697596998</v>
      </c>
      <c r="M19" s="3">
        <v>7</v>
      </c>
      <c r="N19" t="s">
        <v>766</v>
      </c>
      <c r="O19" s="4">
        <v>4.5121264573048957E-2</v>
      </c>
      <c r="P19" t="s">
        <v>760</v>
      </c>
      <c r="Q19" t="s">
        <v>767</v>
      </c>
      <c r="R19" t="s">
        <v>768</v>
      </c>
    </row>
    <row r="20" spans="1:18" x14ac:dyDescent="0.4">
      <c r="A20" s="2">
        <v>45839</v>
      </c>
      <c r="B20" t="s">
        <v>30</v>
      </c>
      <c r="C20" t="s">
        <v>747</v>
      </c>
      <c r="D20" s="3" t="str">
        <f t="shared" si="0"/>
        <v>PASS</v>
      </c>
      <c r="E20" s="3" t="str">
        <f t="shared" si="1"/>
        <v>PASS</v>
      </c>
      <c r="F20" t="s">
        <v>747</v>
      </c>
      <c r="G20" t="s">
        <v>747</v>
      </c>
      <c r="H20" s="3">
        <v>56630044.460000001</v>
      </c>
      <c r="I20" s="3">
        <v>63909326.699906006</v>
      </c>
      <c r="J20" s="3">
        <v>3644.97</v>
      </c>
      <c r="K20" s="4">
        <v>2831502.2230000002</v>
      </c>
      <c r="L20" s="4">
        <v>0.33139237351398182</v>
      </c>
      <c r="M20" s="3">
        <v>4</v>
      </c>
      <c r="N20" t="s">
        <v>769</v>
      </c>
      <c r="O20" s="4">
        <v>6.7444037459722675E-2</v>
      </c>
      <c r="P20" t="s">
        <v>760</v>
      </c>
      <c r="Q20" t="s">
        <v>770</v>
      </c>
      <c r="R20" t="s">
        <v>771</v>
      </c>
    </row>
    <row r="21" spans="1:18" x14ac:dyDescent="0.4">
      <c r="A21" s="2">
        <v>45839</v>
      </c>
      <c r="B21" t="s">
        <v>31</v>
      </c>
      <c r="C21" t="s">
        <v>747</v>
      </c>
      <c r="D21" s="3" t="str">
        <f t="shared" si="0"/>
        <v>PASS</v>
      </c>
      <c r="E21" s="3" t="str">
        <f t="shared" si="1"/>
        <v>FAIL</v>
      </c>
      <c r="F21" t="s">
        <v>747</v>
      </c>
      <c r="G21" t="s">
        <v>747</v>
      </c>
      <c r="H21" s="3">
        <v>40403372.140000001</v>
      </c>
      <c r="I21" s="3">
        <v>64149225.411578</v>
      </c>
      <c r="J21" s="3">
        <v>2522.54</v>
      </c>
      <c r="K21" s="4">
        <v>2020168.6070000001</v>
      </c>
      <c r="L21" s="4">
        <v>0.68422436449536261</v>
      </c>
      <c r="M21" s="3">
        <v>7</v>
      </c>
      <c r="N21" t="s">
        <v>772</v>
      </c>
      <c r="O21" s="4">
        <v>0.10046828610028979</v>
      </c>
      <c r="P21" t="s">
        <v>760</v>
      </c>
      <c r="Q21" t="s">
        <v>773</v>
      </c>
      <c r="R21" t="s">
        <v>774</v>
      </c>
    </row>
    <row r="22" spans="1:18" x14ac:dyDescent="0.4">
      <c r="A22" s="2">
        <v>45839</v>
      </c>
      <c r="B22" t="s">
        <v>32</v>
      </c>
      <c r="C22" t="s">
        <v>747</v>
      </c>
      <c r="D22" s="3" t="str">
        <f t="shared" si="0"/>
        <v>PASS</v>
      </c>
      <c r="E22" s="3" t="str">
        <f t="shared" si="1"/>
        <v>PASS</v>
      </c>
      <c r="F22" t="s">
        <v>747</v>
      </c>
      <c r="G22" t="s">
        <v>747</v>
      </c>
      <c r="H22" s="3">
        <v>78560583.510000005</v>
      </c>
      <c r="I22" s="3">
        <v>66227587.371656001</v>
      </c>
      <c r="J22" s="3">
        <v>5073.47</v>
      </c>
      <c r="K22" s="4">
        <v>3928029.1754999999</v>
      </c>
      <c r="L22" s="4">
        <v>0.2074567928193336</v>
      </c>
      <c r="M22" s="3">
        <v>3</v>
      </c>
      <c r="N22" t="s">
        <v>775</v>
      </c>
      <c r="O22" s="4">
        <v>7.8125940992721146E-2</v>
      </c>
      <c r="P22" t="s">
        <v>760</v>
      </c>
      <c r="Q22" t="s">
        <v>776</v>
      </c>
      <c r="R22" t="s">
        <v>777</v>
      </c>
    </row>
    <row r="23" spans="1:18" x14ac:dyDescent="0.4">
      <c r="A23" s="2">
        <v>45839</v>
      </c>
      <c r="B23" t="s">
        <v>33</v>
      </c>
      <c r="C23" t="s">
        <v>747</v>
      </c>
      <c r="D23" s="3" t="e">
        <f t="shared" si="0"/>
        <v>#DIV/0!</v>
      </c>
      <c r="E23" s="3" t="str">
        <f t="shared" si="1"/>
        <v>PASS</v>
      </c>
      <c r="F23" t="s">
        <v>747</v>
      </c>
      <c r="G23" t="s">
        <v>747</v>
      </c>
      <c r="H23" s="3">
        <v>0</v>
      </c>
      <c r="I23" s="3">
        <v>452032199.867625</v>
      </c>
      <c r="J23" s="3">
        <v>0</v>
      </c>
      <c r="K23" s="4">
        <v>0</v>
      </c>
      <c r="L23" s="4">
        <v>0</v>
      </c>
      <c r="M23" s="3">
        <v>547</v>
      </c>
      <c r="N23" t="s">
        <v>749</v>
      </c>
      <c r="O23" s="4">
        <v>3.9725000000000001</v>
      </c>
      <c r="P23" t="s">
        <v>750</v>
      </c>
      <c r="Q23" t="s">
        <v>748</v>
      </c>
      <c r="R23" t="s">
        <v>748</v>
      </c>
    </row>
    <row r="24" spans="1:18" x14ac:dyDescent="0.4">
      <c r="A24" s="2">
        <v>45840</v>
      </c>
      <c r="B24" t="s">
        <v>21</v>
      </c>
      <c r="C24" t="s">
        <v>746</v>
      </c>
      <c r="D24" s="3" t="e">
        <f t="shared" si="0"/>
        <v>#DIV/0!</v>
      </c>
      <c r="E24" s="3" t="str">
        <f t="shared" si="1"/>
        <v>PASS</v>
      </c>
      <c r="F24" t="s">
        <v>746</v>
      </c>
      <c r="G24" t="s">
        <v>747</v>
      </c>
      <c r="H24" s="3">
        <v>0</v>
      </c>
      <c r="I24" s="3">
        <v>0</v>
      </c>
      <c r="J24" s="3">
        <v>0</v>
      </c>
      <c r="K24" s="4">
        <v>0</v>
      </c>
      <c r="L24" s="4">
        <v>0</v>
      </c>
      <c r="M24" s="3">
        <v>0</v>
      </c>
      <c r="N24" t="s">
        <v>23</v>
      </c>
      <c r="O24" s="4">
        <v>0</v>
      </c>
      <c r="P24" t="s">
        <v>23</v>
      </c>
      <c r="Q24" t="s">
        <v>748</v>
      </c>
      <c r="R24" t="s">
        <v>748</v>
      </c>
    </row>
    <row r="25" spans="1:18" x14ac:dyDescent="0.4">
      <c r="A25" s="2">
        <v>45840</v>
      </c>
      <c r="B25" t="s">
        <v>24</v>
      </c>
      <c r="C25" t="s">
        <v>746</v>
      </c>
      <c r="D25" s="3" t="e">
        <f t="shared" si="0"/>
        <v>#DIV/0!</v>
      </c>
      <c r="E25" s="3" t="str">
        <f t="shared" si="1"/>
        <v>PASS</v>
      </c>
      <c r="F25" t="s">
        <v>746</v>
      </c>
      <c r="G25" t="s">
        <v>747</v>
      </c>
      <c r="H25" s="3">
        <v>0</v>
      </c>
      <c r="I25" s="3">
        <v>0</v>
      </c>
      <c r="J25" s="3">
        <v>0</v>
      </c>
      <c r="K25" s="4">
        <v>0</v>
      </c>
      <c r="L25" s="4">
        <v>0</v>
      </c>
      <c r="M25" s="3">
        <v>0</v>
      </c>
      <c r="N25" t="s">
        <v>23</v>
      </c>
      <c r="O25" s="4">
        <v>0</v>
      </c>
      <c r="P25" t="s">
        <v>23</v>
      </c>
      <c r="Q25" t="s">
        <v>748</v>
      </c>
      <c r="R25" t="s">
        <v>748</v>
      </c>
    </row>
    <row r="26" spans="1:18" x14ac:dyDescent="0.4">
      <c r="A26" s="2">
        <v>45840</v>
      </c>
      <c r="B26" t="s">
        <v>25</v>
      </c>
      <c r="C26" t="s">
        <v>746</v>
      </c>
      <c r="D26" s="3" t="e">
        <f t="shared" si="0"/>
        <v>#DIV/0!</v>
      </c>
      <c r="E26" s="3" t="str">
        <f t="shared" si="1"/>
        <v>PASS</v>
      </c>
      <c r="F26" t="s">
        <v>746</v>
      </c>
      <c r="G26" t="s">
        <v>747</v>
      </c>
      <c r="H26" s="3">
        <v>0</v>
      </c>
      <c r="I26" s="3">
        <v>0</v>
      </c>
      <c r="J26" s="3">
        <v>0</v>
      </c>
      <c r="K26" s="4">
        <v>0</v>
      </c>
      <c r="L26" s="4">
        <v>0</v>
      </c>
      <c r="M26" s="3">
        <v>0</v>
      </c>
      <c r="N26" t="s">
        <v>23</v>
      </c>
      <c r="O26" s="4">
        <v>0</v>
      </c>
      <c r="P26" t="s">
        <v>23</v>
      </c>
      <c r="Q26" t="s">
        <v>748</v>
      </c>
      <c r="R26" t="s">
        <v>748</v>
      </c>
    </row>
    <row r="27" spans="1:18" x14ac:dyDescent="0.4">
      <c r="A27" s="2">
        <v>45840</v>
      </c>
      <c r="B27" t="s">
        <v>26</v>
      </c>
      <c r="C27" t="s">
        <v>746</v>
      </c>
      <c r="D27" s="3" t="e">
        <f t="shared" si="0"/>
        <v>#DIV/0!</v>
      </c>
      <c r="E27" s="3" t="str">
        <f t="shared" si="1"/>
        <v>PASS</v>
      </c>
      <c r="F27" t="s">
        <v>746</v>
      </c>
      <c r="G27" t="s">
        <v>747</v>
      </c>
      <c r="H27" s="3">
        <v>0</v>
      </c>
      <c r="I27" s="3">
        <v>0</v>
      </c>
      <c r="J27" s="3">
        <v>0</v>
      </c>
      <c r="K27" s="4">
        <v>0</v>
      </c>
      <c r="L27" s="4">
        <v>0</v>
      </c>
      <c r="M27" s="3">
        <v>0</v>
      </c>
      <c r="N27" t="s">
        <v>23</v>
      </c>
      <c r="O27" s="4">
        <v>0</v>
      </c>
      <c r="P27" t="s">
        <v>23</v>
      </c>
      <c r="Q27" t="s">
        <v>748</v>
      </c>
      <c r="R27" t="s">
        <v>748</v>
      </c>
    </row>
    <row r="28" spans="1:18" x14ac:dyDescent="0.4">
      <c r="A28" s="2">
        <v>45840</v>
      </c>
      <c r="B28" t="s">
        <v>27</v>
      </c>
      <c r="C28" t="s">
        <v>746</v>
      </c>
      <c r="D28" s="3" t="e">
        <f t="shared" si="0"/>
        <v>#DIV/0!</v>
      </c>
      <c r="E28" s="3" t="str">
        <f t="shared" si="1"/>
        <v>PASS</v>
      </c>
      <c r="F28" t="s">
        <v>746</v>
      </c>
      <c r="G28" t="s">
        <v>747</v>
      </c>
      <c r="H28" s="3">
        <v>0</v>
      </c>
      <c r="I28" s="3">
        <v>0</v>
      </c>
      <c r="J28" s="3">
        <v>0</v>
      </c>
      <c r="K28" s="4">
        <v>0</v>
      </c>
      <c r="L28" s="4">
        <v>0</v>
      </c>
      <c r="M28" s="3">
        <v>0</v>
      </c>
      <c r="N28" t="s">
        <v>23</v>
      </c>
      <c r="O28" s="4">
        <v>0</v>
      </c>
      <c r="P28" t="s">
        <v>23</v>
      </c>
      <c r="Q28" t="s">
        <v>748</v>
      </c>
      <c r="R28" t="s">
        <v>748</v>
      </c>
    </row>
    <row r="29" spans="1:18" x14ac:dyDescent="0.4">
      <c r="A29" s="2">
        <v>45840</v>
      </c>
      <c r="B29" t="s">
        <v>28</v>
      </c>
      <c r="C29" t="s">
        <v>746</v>
      </c>
      <c r="D29" s="3" t="e">
        <f t="shared" si="0"/>
        <v>#DIV/0!</v>
      </c>
      <c r="E29" s="3" t="str">
        <f t="shared" si="1"/>
        <v>PASS</v>
      </c>
      <c r="F29" t="s">
        <v>746</v>
      </c>
      <c r="G29" t="s">
        <v>747</v>
      </c>
      <c r="H29" s="3">
        <v>0</v>
      </c>
      <c r="I29" s="3">
        <v>0</v>
      </c>
      <c r="J29" s="3">
        <v>0</v>
      </c>
      <c r="K29" s="4">
        <v>0</v>
      </c>
      <c r="L29" s="4">
        <v>0</v>
      </c>
      <c r="M29" s="3">
        <v>0</v>
      </c>
      <c r="N29" t="s">
        <v>23</v>
      </c>
      <c r="O29" s="4">
        <v>0</v>
      </c>
      <c r="P29" t="s">
        <v>23</v>
      </c>
      <c r="Q29" t="s">
        <v>748</v>
      </c>
      <c r="R29" t="s">
        <v>748</v>
      </c>
    </row>
    <row r="30" spans="1:18" x14ac:dyDescent="0.4">
      <c r="A30" s="2">
        <v>45840</v>
      </c>
      <c r="B30" t="s">
        <v>29</v>
      </c>
      <c r="C30" t="s">
        <v>746</v>
      </c>
      <c r="D30" s="3" t="e">
        <f t="shared" si="0"/>
        <v>#DIV/0!</v>
      </c>
      <c r="E30" s="3" t="str">
        <f t="shared" si="1"/>
        <v>PASS</v>
      </c>
      <c r="F30" t="s">
        <v>746</v>
      </c>
      <c r="G30" t="s">
        <v>747</v>
      </c>
      <c r="H30" s="3">
        <v>0</v>
      </c>
      <c r="I30" s="3">
        <v>0</v>
      </c>
      <c r="J30" s="3">
        <v>0</v>
      </c>
      <c r="K30" s="4">
        <v>0</v>
      </c>
      <c r="L30" s="4">
        <v>0</v>
      </c>
      <c r="M30" s="3">
        <v>0</v>
      </c>
      <c r="N30" t="s">
        <v>23</v>
      </c>
      <c r="O30" s="4">
        <v>0</v>
      </c>
      <c r="P30" t="s">
        <v>23</v>
      </c>
      <c r="Q30" t="s">
        <v>748</v>
      </c>
      <c r="R30" t="s">
        <v>748</v>
      </c>
    </row>
    <row r="31" spans="1:18" x14ac:dyDescent="0.4">
      <c r="A31" s="2">
        <v>45840</v>
      </c>
      <c r="B31" t="s">
        <v>30</v>
      </c>
      <c r="C31" t="s">
        <v>746</v>
      </c>
      <c r="D31" s="3" t="e">
        <f t="shared" si="0"/>
        <v>#DIV/0!</v>
      </c>
      <c r="E31" s="3" t="str">
        <f t="shared" si="1"/>
        <v>PASS</v>
      </c>
      <c r="F31" t="s">
        <v>746</v>
      </c>
      <c r="G31" t="s">
        <v>747</v>
      </c>
      <c r="H31" s="3">
        <v>0</v>
      </c>
      <c r="I31" s="3">
        <v>0</v>
      </c>
      <c r="J31" s="3">
        <v>0</v>
      </c>
      <c r="K31" s="4">
        <v>0</v>
      </c>
      <c r="L31" s="4">
        <v>0</v>
      </c>
      <c r="M31" s="3">
        <v>0</v>
      </c>
      <c r="N31" t="s">
        <v>23</v>
      </c>
      <c r="O31" s="4">
        <v>0</v>
      </c>
      <c r="P31" t="s">
        <v>23</v>
      </c>
      <c r="Q31" t="s">
        <v>748</v>
      </c>
      <c r="R31" t="s">
        <v>748</v>
      </c>
    </row>
    <row r="32" spans="1:18" x14ac:dyDescent="0.4">
      <c r="A32" s="2">
        <v>45840</v>
      </c>
      <c r="B32" t="s">
        <v>31</v>
      </c>
      <c r="C32" t="s">
        <v>746</v>
      </c>
      <c r="D32" s="3" t="e">
        <f t="shared" si="0"/>
        <v>#DIV/0!</v>
      </c>
      <c r="E32" s="3" t="str">
        <f t="shared" si="1"/>
        <v>PASS</v>
      </c>
      <c r="F32" t="s">
        <v>746</v>
      </c>
      <c r="G32" t="s">
        <v>747</v>
      </c>
      <c r="H32" s="3">
        <v>0</v>
      </c>
      <c r="I32" s="3">
        <v>0</v>
      </c>
      <c r="J32" s="3">
        <v>0</v>
      </c>
      <c r="K32" s="4">
        <v>0</v>
      </c>
      <c r="L32" s="4">
        <v>0</v>
      </c>
      <c r="M32" s="3">
        <v>0</v>
      </c>
      <c r="N32" t="s">
        <v>23</v>
      </c>
      <c r="O32" s="4">
        <v>0</v>
      </c>
      <c r="P32" t="s">
        <v>23</v>
      </c>
      <c r="Q32" t="s">
        <v>748</v>
      </c>
      <c r="R32" t="s">
        <v>748</v>
      </c>
    </row>
    <row r="33" spans="1:18" x14ac:dyDescent="0.4">
      <c r="A33" s="2">
        <v>45840</v>
      </c>
      <c r="B33" t="s">
        <v>32</v>
      </c>
      <c r="C33" t="s">
        <v>746</v>
      </c>
      <c r="D33" s="3" t="e">
        <f t="shared" si="0"/>
        <v>#DIV/0!</v>
      </c>
      <c r="E33" s="3" t="str">
        <f t="shared" si="1"/>
        <v>PASS</v>
      </c>
      <c r="F33" t="s">
        <v>746</v>
      </c>
      <c r="G33" t="s">
        <v>747</v>
      </c>
      <c r="H33" s="3">
        <v>0</v>
      </c>
      <c r="I33" s="3">
        <v>0</v>
      </c>
      <c r="J33" s="3">
        <v>0</v>
      </c>
      <c r="K33" s="4">
        <v>0</v>
      </c>
      <c r="L33" s="4">
        <v>0</v>
      </c>
      <c r="M33" s="3">
        <v>0</v>
      </c>
      <c r="N33" t="s">
        <v>23</v>
      </c>
      <c r="O33" s="4">
        <v>0</v>
      </c>
      <c r="P33" t="s">
        <v>23</v>
      </c>
      <c r="Q33" t="s">
        <v>748</v>
      </c>
      <c r="R33" t="s">
        <v>748</v>
      </c>
    </row>
    <row r="34" spans="1:18" x14ac:dyDescent="0.4">
      <c r="A34" s="2">
        <v>45840</v>
      </c>
      <c r="B34" t="s">
        <v>33</v>
      </c>
      <c r="C34" t="s">
        <v>746</v>
      </c>
      <c r="D34" s="3" t="e">
        <f t="shared" si="0"/>
        <v>#DIV/0!</v>
      </c>
      <c r="E34" s="3" t="str">
        <f t="shared" si="1"/>
        <v>PASS</v>
      </c>
      <c r="F34" t="s">
        <v>746</v>
      </c>
      <c r="G34" t="s">
        <v>747</v>
      </c>
      <c r="H34" s="3">
        <v>0</v>
      </c>
      <c r="I34" s="3">
        <v>0</v>
      </c>
      <c r="J34" s="3">
        <v>0</v>
      </c>
      <c r="K34" s="4">
        <v>0</v>
      </c>
      <c r="L34" s="4">
        <v>0</v>
      </c>
      <c r="M34" s="3">
        <v>0</v>
      </c>
      <c r="N34" t="s">
        <v>23</v>
      </c>
      <c r="O34" s="4">
        <v>0</v>
      </c>
      <c r="P34" t="s">
        <v>23</v>
      </c>
      <c r="Q34" t="s">
        <v>748</v>
      </c>
      <c r="R34" t="s">
        <v>748</v>
      </c>
    </row>
    <row r="35" spans="1:18" x14ac:dyDescent="0.4">
      <c r="A35" s="2">
        <v>45841</v>
      </c>
      <c r="B35" t="s">
        <v>21</v>
      </c>
      <c r="C35" t="s">
        <v>746</v>
      </c>
      <c r="D35" s="3" t="e">
        <f t="shared" si="0"/>
        <v>#DIV/0!</v>
      </c>
      <c r="E35" s="3" t="str">
        <f t="shared" si="1"/>
        <v>PASS</v>
      </c>
      <c r="F35" t="s">
        <v>746</v>
      </c>
      <c r="G35" t="s">
        <v>747</v>
      </c>
      <c r="H35" s="3">
        <v>0</v>
      </c>
      <c r="I35" s="3">
        <v>0</v>
      </c>
      <c r="J35" s="3">
        <v>0</v>
      </c>
      <c r="K35" s="4">
        <v>0</v>
      </c>
      <c r="L35" s="4">
        <v>0</v>
      </c>
      <c r="M35" s="3">
        <v>0</v>
      </c>
      <c r="N35" t="s">
        <v>23</v>
      </c>
      <c r="O35" s="4">
        <v>0</v>
      </c>
      <c r="P35" t="s">
        <v>23</v>
      </c>
      <c r="Q35" t="s">
        <v>748</v>
      </c>
      <c r="R35" t="s">
        <v>748</v>
      </c>
    </row>
    <row r="36" spans="1:18" x14ac:dyDescent="0.4">
      <c r="A36" s="2">
        <v>45841</v>
      </c>
      <c r="B36" t="s">
        <v>24</v>
      </c>
      <c r="C36" t="s">
        <v>746</v>
      </c>
      <c r="D36" s="3" t="e">
        <f t="shared" si="0"/>
        <v>#DIV/0!</v>
      </c>
      <c r="E36" s="3" t="str">
        <f t="shared" si="1"/>
        <v>PASS</v>
      </c>
      <c r="F36" t="s">
        <v>746</v>
      </c>
      <c r="G36" t="s">
        <v>747</v>
      </c>
      <c r="H36" s="3">
        <v>0</v>
      </c>
      <c r="I36" s="3">
        <v>0</v>
      </c>
      <c r="J36" s="3">
        <v>0</v>
      </c>
      <c r="K36" s="4">
        <v>0</v>
      </c>
      <c r="L36" s="4">
        <v>0</v>
      </c>
      <c r="M36" s="3">
        <v>0</v>
      </c>
      <c r="N36" t="s">
        <v>23</v>
      </c>
      <c r="O36" s="4">
        <v>0</v>
      </c>
      <c r="P36" t="s">
        <v>23</v>
      </c>
      <c r="Q36" t="s">
        <v>748</v>
      </c>
      <c r="R36" t="s">
        <v>748</v>
      </c>
    </row>
    <row r="37" spans="1:18" x14ac:dyDescent="0.4">
      <c r="A37" s="2">
        <v>45841</v>
      </c>
      <c r="B37" t="s">
        <v>25</v>
      </c>
      <c r="C37" t="s">
        <v>746</v>
      </c>
      <c r="D37" s="3" t="e">
        <f t="shared" si="0"/>
        <v>#DIV/0!</v>
      </c>
      <c r="E37" s="3" t="str">
        <f t="shared" si="1"/>
        <v>PASS</v>
      </c>
      <c r="F37" t="s">
        <v>746</v>
      </c>
      <c r="G37" t="s">
        <v>747</v>
      </c>
      <c r="H37" s="3">
        <v>0</v>
      </c>
      <c r="I37" s="3">
        <v>0</v>
      </c>
      <c r="J37" s="3">
        <v>0</v>
      </c>
      <c r="K37" s="4">
        <v>0</v>
      </c>
      <c r="L37" s="4">
        <v>0</v>
      </c>
      <c r="M37" s="3">
        <v>0</v>
      </c>
      <c r="N37" t="s">
        <v>23</v>
      </c>
      <c r="O37" s="4">
        <v>0</v>
      </c>
      <c r="P37" t="s">
        <v>23</v>
      </c>
      <c r="Q37" t="s">
        <v>748</v>
      </c>
      <c r="R37" t="s">
        <v>748</v>
      </c>
    </row>
    <row r="38" spans="1:18" x14ac:dyDescent="0.4">
      <c r="A38" s="2">
        <v>45841</v>
      </c>
      <c r="B38" t="s">
        <v>26</v>
      </c>
      <c r="C38" t="s">
        <v>746</v>
      </c>
      <c r="D38" s="3" t="e">
        <f t="shared" si="0"/>
        <v>#DIV/0!</v>
      </c>
      <c r="E38" s="3" t="str">
        <f t="shared" si="1"/>
        <v>PASS</v>
      </c>
      <c r="F38" t="s">
        <v>746</v>
      </c>
      <c r="G38" t="s">
        <v>747</v>
      </c>
      <c r="H38" s="3">
        <v>0</v>
      </c>
      <c r="I38" s="3">
        <v>0</v>
      </c>
      <c r="J38" s="3">
        <v>0</v>
      </c>
      <c r="K38" s="4">
        <v>0</v>
      </c>
      <c r="L38" s="4">
        <v>0</v>
      </c>
      <c r="M38" s="3">
        <v>0</v>
      </c>
      <c r="N38" t="s">
        <v>23</v>
      </c>
      <c r="O38" s="4">
        <v>0</v>
      </c>
      <c r="P38" t="s">
        <v>23</v>
      </c>
      <c r="Q38" t="s">
        <v>748</v>
      </c>
      <c r="R38" t="s">
        <v>748</v>
      </c>
    </row>
    <row r="39" spans="1:18" x14ac:dyDescent="0.4">
      <c r="A39" s="2">
        <v>45841</v>
      </c>
      <c r="B39" t="s">
        <v>27</v>
      </c>
      <c r="C39" t="s">
        <v>746</v>
      </c>
      <c r="D39" s="3" t="e">
        <f t="shared" si="0"/>
        <v>#DIV/0!</v>
      </c>
      <c r="E39" s="3" t="str">
        <f t="shared" si="1"/>
        <v>PASS</v>
      </c>
      <c r="F39" t="s">
        <v>746</v>
      </c>
      <c r="G39" t="s">
        <v>747</v>
      </c>
      <c r="H39" s="3">
        <v>0</v>
      </c>
      <c r="I39" s="3">
        <v>0</v>
      </c>
      <c r="J39" s="3">
        <v>0</v>
      </c>
      <c r="K39" s="4">
        <v>0</v>
      </c>
      <c r="L39" s="4">
        <v>0</v>
      </c>
      <c r="M39" s="3">
        <v>0</v>
      </c>
      <c r="N39" t="s">
        <v>23</v>
      </c>
      <c r="O39" s="4">
        <v>0</v>
      </c>
      <c r="P39" t="s">
        <v>23</v>
      </c>
      <c r="Q39" t="s">
        <v>748</v>
      </c>
      <c r="R39" t="s">
        <v>748</v>
      </c>
    </row>
    <row r="40" spans="1:18" x14ac:dyDescent="0.4">
      <c r="A40" s="2">
        <v>45841</v>
      </c>
      <c r="B40" t="s">
        <v>28</v>
      </c>
      <c r="C40" t="s">
        <v>746</v>
      </c>
      <c r="D40" s="3" t="e">
        <f t="shared" si="0"/>
        <v>#DIV/0!</v>
      </c>
      <c r="E40" s="3" t="str">
        <f t="shared" si="1"/>
        <v>PASS</v>
      </c>
      <c r="F40" t="s">
        <v>746</v>
      </c>
      <c r="G40" t="s">
        <v>747</v>
      </c>
      <c r="H40" s="3">
        <v>0</v>
      </c>
      <c r="I40" s="3">
        <v>0</v>
      </c>
      <c r="J40" s="3">
        <v>0</v>
      </c>
      <c r="K40" s="4">
        <v>0</v>
      </c>
      <c r="L40" s="4">
        <v>0</v>
      </c>
      <c r="M40" s="3">
        <v>0</v>
      </c>
      <c r="N40" t="s">
        <v>23</v>
      </c>
      <c r="O40" s="4">
        <v>0</v>
      </c>
      <c r="P40" t="s">
        <v>23</v>
      </c>
      <c r="Q40" t="s">
        <v>748</v>
      </c>
      <c r="R40" t="s">
        <v>748</v>
      </c>
    </row>
    <row r="41" spans="1:18" x14ac:dyDescent="0.4">
      <c r="A41" s="2">
        <v>45841</v>
      </c>
      <c r="B41" t="s">
        <v>29</v>
      </c>
      <c r="C41" t="s">
        <v>746</v>
      </c>
      <c r="D41" s="3" t="e">
        <f t="shared" si="0"/>
        <v>#DIV/0!</v>
      </c>
      <c r="E41" s="3" t="str">
        <f t="shared" si="1"/>
        <v>PASS</v>
      </c>
      <c r="F41" t="s">
        <v>746</v>
      </c>
      <c r="G41" t="s">
        <v>747</v>
      </c>
      <c r="H41" s="3">
        <v>0</v>
      </c>
      <c r="I41" s="3">
        <v>0</v>
      </c>
      <c r="J41" s="3">
        <v>0</v>
      </c>
      <c r="K41" s="4">
        <v>0</v>
      </c>
      <c r="L41" s="4">
        <v>0</v>
      </c>
      <c r="M41" s="3">
        <v>0</v>
      </c>
      <c r="N41" t="s">
        <v>23</v>
      </c>
      <c r="O41" s="4">
        <v>0</v>
      </c>
      <c r="P41" t="s">
        <v>23</v>
      </c>
      <c r="Q41" t="s">
        <v>748</v>
      </c>
      <c r="R41" t="s">
        <v>748</v>
      </c>
    </row>
    <row r="42" spans="1:18" x14ac:dyDescent="0.4">
      <c r="A42" s="2">
        <v>45841</v>
      </c>
      <c r="B42" t="s">
        <v>30</v>
      </c>
      <c r="C42" t="s">
        <v>746</v>
      </c>
      <c r="D42" s="3" t="e">
        <f t="shared" si="0"/>
        <v>#DIV/0!</v>
      </c>
      <c r="E42" s="3" t="str">
        <f t="shared" si="1"/>
        <v>PASS</v>
      </c>
      <c r="F42" t="s">
        <v>746</v>
      </c>
      <c r="G42" t="s">
        <v>747</v>
      </c>
      <c r="H42" s="3">
        <v>0</v>
      </c>
      <c r="I42" s="3">
        <v>0</v>
      </c>
      <c r="J42" s="3">
        <v>0</v>
      </c>
      <c r="K42" s="4">
        <v>0</v>
      </c>
      <c r="L42" s="4">
        <v>0</v>
      </c>
      <c r="M42" s="3">
        <v>0</v>
      </c>
      <c r="N42" t="s">
        <v>23</v>
      </c>
      <c r="O42" s="4">
        <v>0</v>
      </c>
      <c r="P42" t="s">
        <v>23</v>
      </c>
      <c r="Q42" t="s">
        <v>748</v>
      </c>
      <c r="R42" t="s">
        <v>748</v>
      </c>
    </row>
    <row r="43" spans="1:18" x14ac:dyDescent="0.4">
      <c r="A43" s="2">
        <v>45841</v>
      </c>
      <c r="B43" t="s">
        <v>31</v>
      </c>
      <c r="C43" t="s">
        <v>746</v>
      </c>
      <c r="D43" s="3" t="e">
        <f t="shared" si="0"/>
        <v>#DIV/0!</v>
      </c>
      <c r="E43" s="3" t="str">
        <f t="shared" si="1"/>
        <v>PASS</v>
      </c>
      <c r="F43" t="s">
        <v>746</v>
      </c>
      <c r="G43" t="s">
        <v>747</v>
      </c>
      <c r="H43" s="3">
        <v>0</v>
      </c>
      <c r="I43" s="3">
        <v>0</v>
      </c>
      <c r="J43" s="3">
        <v>0</v>
      </c>
      <c r="K43" s="4">
        <v>0</v>
      </c>
      <c r="L43" s="4">
        <v>0</v>
      </c>
      <c r="M43" s="3">
        <v>0</v>
      </c>
      <c r="N43" t="s">
        <v>23</v>
      </c>
      <c r="O43" s="4">
        <v>0</v>
      </c>
      <c r="P43" t="s">
        <v>23</v>
      </c>
      <c r="Q43" t="s">
        <v>748</v>
      </c>
      <c r="R43" t="s">
        <v>748</v>
      </c>
    </row>
    <row r="44" spans="1:18" x14ac:dyDescent="0.4">
      <c r="A44" s="2">
        <v>45841</v>
      </c>
      <c r="B44" t="s">
        <v>32</v>
      </c>
      <c r="C44" t="s">
        <v>746</v>
      </c>
      <c r="D44" s="3" t="e">
        <f t="shared" si="0"/>
        <v>#DIV/0!</v>
      </c>
      <c r="E44" s="3" t="str">
        <f t="shared" si="1"/>
        <v>PASS</v>
      </c>
      <c r="F44" t="s">
        <v>746</v>
      </c>
      <c r="G44" t="s">
        <v>747</v>
      </c>
      <c r="H44" s="3">
        <v>0</v>
      </c>
      <c r="I44" s="3">
        <v>0</v>
      </c>
      <c r="J44" s="3">
        <v>0</v>
      </c>
      <c r="K44" s="4">
        <v>0</v>
      </c>
      <c r="L44" s="4">
        <v>0</v>
      </c>
      <c r="M44" s="3">
        <v>0</v>
      </c>
      <c r="N44" t="s">
        <v>23</v>
      </c>
      <c r="O44" s="4">
        <v>0</v>
      </c>
      <c r="P44" t="s">
        <v>23</v>
      </c>
      <c r="Q44" t="s">
        <v>748</v>
      </c>
      <c r="R44" t="s">
        <v>748</v>
      </c>
    </row>
    <row r="45" spans="1:18" x14ac:dyDescent="0.4">
      <c r="A45" s="2">
        <v>45841</v>
      </c>
      <c r="B45" t="s">
        <v>33</v>
      </c>
      <c r="C45" t="s">
        <v>746</v>
      </c>
      <c r="D45" s="3" t="e">
        <f t="shared" si="0"/>
        <v>#DIV/0!</v>
      </c>
      <c r="E45" s="3" t="str">
        <f t="shared" si="1"/>
        <v>PASS</v>
      </c>
      <c r="F45" t="s">
        <v>746</v>
      </c>
      <c r="G45" t="s">
        <v>747</v>
      </c>
      <c r="H45" s="3">
        <v>0</v>
      </c>
      <c r="I45" s="3">
        <v>0</v>
      </c>
      <c r="J45" s="3">
        <v>0</v>
      </c>
      <c r="K45" s="4">
        <v>0</v>
      </c>
      <c r="L45" s="4">
        <v>0</v>
      </c>
      <c r="M45" s="3">
        <v>0</v>
      </c>
      <c r="N45" t="s">
        <v>23</v>
      </c>
      <c r="O45" s="4">
        <v>0</v>
      </c>
      <c r="P45" t="s">
        <v>23</v>
      </c>
      <c r="Q45" t="s">
        <v>748</v>
      </c>
      <c r="R45" t="s">
        <v>748</v>
      </c>
    </row>
    <row r="46" spans="1:18" x14ac:dyDescent="0.4">
      <c r="A46" s="2">
        <v>45842</v>
      </c>
      <c r="B46" t="s">
        <v>21</v>
      </c>
      <c r="C46" t="s">
        <v>746</v>
      </c>
      <c r="D46" s="3" t="e">
        <f t="shared" si="0"/>
        <v>#DIV/0!</v>
      </c>
      <c r="E46" s="3" t="str">
        <f t="shared" si="1"/>
        <v>PASS</v>
      </c>
      <c r="F46" t="s">
        <v>746</v>
      </c>
      <c r="G46" t="s">
        <v>747</v>
      </c>
      <c r="H46" s="3">
        <v>0</v>
      </c>
      <c r="I46" s="3">
        <v>0</v>
      </c>
      <c r="J46" s="3">
        <v>0</v>
      </c>
      <c r="K46" s="4">
        <v>0</v>
      </c>
      <c r="L46" s="4">
        <v>0</v>
      </c>
      <c r="M46" s="3">
        <v>0</v>
      </c>
      <c r="N46" t="s">
        <v>23</v>
      </c>
      <c r="O46" s="4">
        <v>0</v>
      </c>
      <c r="P46" t="s">
        <v>23</v>
      </c>
      <c r="Q46" t="s">
        <v>748</v>
      </c>
      <c r="R46" t="s">
        <v>748</v>
      </c>
    </row>
    <row r="47" spans="1:18" x14ac:dyDescent="0.4">
      <c r="A47" s="2">
        <v>45842</v>
      </c>
      <c r="B47" t="s">
        <v>24</v>
      </c>
      <c r="C47" t="s">
        <v>746</v>
      </c>
      <c r="D47" s="3" t="e">
        <f t="shared" si="0"/>
        <v>#DIV/0!</v>
      </c>
      <c r="E47" s="3" t="str">
        <f t="shared" si="1"/>
        <v>PASS</v>
      </c>
      <c r="F47" t="s">
        <v>746</v>
      </c>
      <c r="G47" t="s">
        <v>747</v>
      </c>
      <c r="H47" s="3">
        <v>0</v>
      </c>
      <c r="I47" s="3">
        <v>0</v>
      </c>
      <c r="J47" s="3">
        <v>0</v>
      </c>
      <c r="K47" s="4">
        <v>0</v>
      </c>
      <c r="L47" s="4">
        <v>0</v>
      </c>
      <c r="M47" s="3">
        <v>0</v>
      </c>
      <c r="N47" t="s">
        <v>23</v>
      </c>
      <c r="O47" s="4">
        <v>0</v>
      </c>
      <c r="P47" t="s">
        <v>23</v>
      </c>
      <c r="Q47" t="s">
        <v>748</v>
      </c>
      <c r="R47" t="s">
        <v>748</v>
      </c>
    </row>
    <row r="48" spans="1:18" x14ac:dyDescent="0.4">
      <c r="A48" s="2">
        <v>45842</v>
      </c>
      <c r="B48" t="s">
        <v>25</v>
      </c>
      <c r="C48" t="s">
        <v>746</v>
      </c>
      <c r="D48" s="3" t="e">
        <f t="shared" si="0"/>
        <v>#DIV/0!</v>
      </c>
      <c r="E48" s="3" t="str">
        <f t="shared" si="1"/>
        <v>PASS</v>
      </c>
      <c r="F48" t="s">
        <v>746</v>
      </c>
      <c r="G48" t="s">
        <v>747</v>
      </c>
      <c r="H48" s="3">
        <v>0</v>
      </c>
      <c r="I48" s="3">
        <v>0</v>
      </c>
      <c r="J48" s="3">
        <v>0</v>
      </c>
      <c r="K48" s="4">
        <v>0</v>
      </c>
      <c r="L48" s="4">
        <v>0</v>
      </c>
      <c r="M48" s="3">
        <v>0</v>
      </c>
      <c r="N48" t="s">
        <v>23</v>
      </c>
      <c r="O48" s="4">
        <v>0</v>
      </c>
      <c r="P48" t="s">
        <v>23</v>
      </c>
      <c r="Q48" t="s">
        <v>748</v>
      </c>
      <c r="R48" t="s">
        <v>748</v>
      </c>
    </row>
    <row r="49" spans="1:18" x14ac:dyDescent="0.4">
      <c r="A49" s="2">
        <v>45842</v>
      </c>
      <c r="B49" t="s">
        <v>26</v>
      </c>
      <c r="C49" t="s">
        <v>746</v>
      </c>
      <c r="D49" s="3" t="e">
        <f t="shared" si="0"/>
        <v>#DIV/0!</v>
      </c>
      <c r="E49" s="3" t="str">
        <f t="shared" si="1"/>
        <v>PASS</v>
      </c>
      <c r="F49" t="s">
        <v>746</v>
      </c>
      <c r="G49" t="s">
        <v>747</v>
      </c>
      <c r="H49" s="3">
        <v>0</v>
      </c>
      <c r="I49" s="3">
        <v>0</v>
      </c>
      <c r="J49" s="3">
        <v>0</v>
      </c>
      <c r="K49" s="4">
        <v>0</v>
      </c>
      <c r="L49" s="4">
        <v>0</v>
      </c>
      <c r="M49" s="3">
        <v>0</v>
      </c>
      <c r="N49" t="s">
        <v>23</v>
      </c>
      <c r="O49" s="4">
        <v>0</v>
      </c>
      <c r="P49" t="s">
        <v>23</v>
      </c>
      <c r="Q49" t="s">
        <v>748</v>
      </c>
      <c r="R49" t="s">
        <v>748</v>
      </c>
    </row>
    <row r="50" spans="1:18" x14ac:dyDescent="0.4">
      <c r="A50" s="2">
        <v>45842</v>
      </c>
      <c r="B50" t="s">
        <v>27</v>
      </c>
      <c r="C50" t="s">
        <v>746</v>
      </c>
      <c r="D50" s="3" t="e">
        <f t="shared" si="0"/>
        <v>#DIV/0!</v>
      </c>
      <c r="E50" s="3" t="str">
        <f t="shared" si="1"/>
        <v>PASS</v>
      </c>
      <c r="F50" t="s">
        <v>746</v>
      </c>
      <c r="G50" t="s">
        <v>747</v>
      </c>
      <c r="H50" s="3">
        <v>0</v>
      </c>
      <c r="I50" s="3">
        <v>0</v>
      </c>
      <c r="J50" s="3">
        <v>0</v>
      </c>
      <c r="K50" s="4">
        <v>0</v>
      </c>
      <c r="L50" s="4">
        <v>0</v>
      </c>
      <c r="M50" s="3">
        <v>0</v>
      </c>
      <c r="N50" t="s">
        <v>23</v>
      </c>
      <c r="O50" s="4">
        <v>0</v>
      </c>
      <c r="P50" t="s">
        <v>23</v>
      </c>
      <c r="Q50" t="s">
        <v>748</v>
      </c>
      <c r="R50" t="s">
        <v>748</v>
      </c>
    </row>
    <row r="51" spans="1:18" x14ac:dyDescent="0.4">
      <c r="A51" s="2">
        <v>45842</v>
      </c>
      <c r="B51" t="s">
        <v>28</v>
      </c>
      <c r="C51" t="s">
        <v>746</v>
      </c>
      <c r="D51" s="3" t="e">
        <f t="shared" si="0"/>
        <v>#DIV/0!</v>
      </c>
      <c r="E51" s="3" t="str">
        <f t="shared" si="1"/>
        <v>PASS</v>
      </c>
      <c r="F51" t="s">
        <v>746</v>
      </c>
      <c r="G51" t="s">
        <v>747</v>
      </c>
      <c r="H51" s="3">
        <v>0</v>
      </c>
      <c r="I51" s="3">
        <v>0</v>
      </c>
      <c r="J51" s="3">
        <v>0</v>
      </c>
      <c r="K51" s="4">
        <v>0</v>
      </c>
      <c r="L51" s="4">
        <v>0</v>
      </c>
      <c r="M51" s="3">
        <v>0</v>
      </c>
      <c r="N51" t="s">
        <v>23</v>
      </c>
      <c r="O51" s="4">
        <v>0</v>
      </c>
      <c r="P51" t="s">
        <v>23</v>
      </c>
      <c r="Q51" t="s">
        <v>748</v>
      </c>
      <c r="R51" t="s">
        <v>748</v>
      </c>
    </row>
    <row r="52" spans="1:18" x14ac:dyDescent="0.4">
      <c r="A52" s="2">
        <v>45842</v>
      </c>
      <c r="B52" t="s">
        <v>29</v>
      </c>
      <c r="C52" t="s">
        <v>746</v>
      </c>
      <c r="D52" s="3" t="e">
        <f t="shared" si="0"/>
        <v>#DIV/0!</v>
      </c>
      <c r="E52" s="3" t="str">
        <f t="shared" si="1"/>
        <v>PASS</v>
      </c>
      <c r="F52" t="s">
        <v>746</v>
      </c>
      <c r="G52" t="s">
        <v>747</v>
      </c>
      <c r="H52" s="3">
        <v>0</v>
      </c>
      <c r="I52" s="3">
        <v>0</v>
      </c>
      <c r="J52" s="3">
        <v>0</v>
      </c>
      <c r="K52" s="4">
        <v>0</v>
      </c>
      <c r="L52" s="4">
        <v>0</v>
      </c>
      <c r="M52" s="3">
        <v>0</v>
      </c>
      <c r="N52" t="s">
        <v>23</v>
      </c>
      <c r="O52" s="4">
        <v>0</v>
      </c>
      <c r="P52" t="s">
        <v>23</v>
      </c>
      <c r="Q52" t="s">
        <v>748</v>
      </c>
      <c r="R52" t="s">
        <v>748</v>
      </c>
    </row>
    <row r="53" spans="1:18" x14ac:dyDescent="0.4">
      <c r="A53" s="2">
        <v>45842</v>
      </c>
      <c r="B53" t="s">
        <v>30</v>
      </c>
      <c r="C53" t="s">
        <v>746</v>
      </c>
      <c r="D53" s="3" t="e">
        <f t="shared" si="0"/>
        <v>#DIV/0!</v>
      </c>
      <c r="E53" s="3" t="str">
        <f t="shared" si="1"/>
        <v>PASS</v>
      </c>
      <c r="F53" t="s">
        <v>746</v>
      </c>
      <c r="G53" t="s">
        <v>747</v>
      </c>
      <c r="H53" s="3">
        <v>0</v>
      </c>
      <c r="I53" s="3">
        <v>0</v>
      </c>
      <c r="J53" s="3">
        <v>0</v>
      </c>
      <c r="K53" s="4">
        <v>0</v>
      </c>
      <c r="L53" s="4">
        <v>0</v>
      </c>
      <c r="M53" s="3">
        <v>0</v>
      </c>
      <c r="N53" t="s">
        <v>23</v>
      </c>
      <c r="O53" s="4">
        <v>0</v>
      </c>
      <c r="P53" t="s">
        <v>23</v>
      </c>
      <c r="Q53" t="s">
        <v>748</v>
      </c>
      <c r="R53" t="s">
        <v>748</v>
      </c>
    </row>
    <row r="54" spans="1:18" x14ac:dyDescent="0.4">
      <c r="A54" s="2">
        <v>45842</v>
      </c>
      <c r="B54" t="s">
        <v>31</v>
      </c>
      <c r="C54" t="s">
        <v>746</v>
      </c>
      <c r="D54" s="3" t="e">
        <f t="shared" si="0"/>
        <v>#DIV/0!</v>
      </c>
      <c r="E54" s="3" t="str">
        <f t="shared" si="1"/>
        <v>PASS</v>
      </c>
      <c r="F54" t="s">
        <v>746</v>
      </c>
      <c r="G54" t="s">
        <v>747</v>
      </c>
      <c r="H54" s="3">
        <v>0</v>
      </c>
      <c r="I54" s="3">
        <v>0</v>
      </c>
      <c r="J54" s="3">
        <v>0</v>
      </c>
      <c r="K54" s="4">
        <v>0</v>
      </c>
      <c r="L54" s="4">
        <v>0</v>
      </c>
      <c r="M54" s="3">
        <v>0</v>
      </c>
      <c r="N54" t="s">
        <v>23</v>
      </c>
      <c r="O54" s="4">
        <v>0</v>
      </c>
      <c r="P54" t="s">
        <v>23</v>
      </c>
      <c r="Q54" t="s">
        <v>748</v>
      </c>
      <c r="R54" t="s">
        <v>748</v>
      </c>
    </row>
    <row r="55" spans="1:18" x14ac:dyDescent="0.4">
      <c r="A55" s="2">
        <v>45842</v>
      </c>
      <c r="B55" t="s">
        <v>32</v>
      </c>
      <c r="C55" t="s">
        <v>746</v>
      </c>
      <c r="D55" s="3" t="e">
        <f t="shared" si="0"/>
        <v>#DIV/0!</v>
      </c>
      <c r="E55" s="3" t="str">
        <f t="shared" si="1"/>
        <v>PASS</v>
      </c>
      <c r="F55" t="s">
        <v>746</v>
      </c>
      <c r="G55" t="s">
        <v>747</v>
      </c>
      <c r="H55" s="3">
        <v>0</v>
      </c>
      <c r="I55" s="3">
        <v>0</v>
      </c>
      <c r="J55" s="3">
        <v>0</v>
      </c>
      <c r="K55" s="4">
        <v>0</v>
      </c>
      <c r="L55" s="4">
        <v>0</v>
      </c>
      <c r="M55" s="3">
        <v>0</v>
      </c>
      <c r="N55" t="s">
        <v>23</v>
      </c>
      <c r="O55" s="4">
        <v>0</v>
      </c>
      <c r="P55" t="s">
        <v>23</v>
      </c>
      <c r="Q55" t="s">
        <v>748</v>
      </c>
      <c r="R55" t="s">
        <v>748</v>
      </c>
    </row>
    <row r="56" spans="1:18" x14ac:dyDescent="0.4">
      <c r="A56" s="2">
        <v>45842</v>
      </c>
      <c r="B56" t="s">
        <v>33</v>
      </c>
      <c r="C56" t="s">
        <v>746</v>
      </c>
      <c r="D56" s="3" t="e">
        <f t="shared" si="0"/>
        <v>#DIV/0!</v>
      </c>
      <c r="E56" s="3" t="str">
        <f t="shared" si="1"/>
        <v>PASS</v>
      </c>
      <c r="F56" t="s">
        <v>746</v>
      </c>
      <c r="G56" t="s">
        <v>747</v>
      </c>
      <c r="H56" s="3">
        <v>0</v>
      </c>
      <c r="I56" s="3">
        <v>0</v>
      </c>
      <c r="J56" s="3">
        <v>0</v>
      </c>
      <c r="K56" s="4">
        <v>0</v>
      </c>
      <c r="L56" s="4">
        <v>0</v>
      </c>
      <c r="M56" s="3">
        <v>0</v>
      </c>
      <c r="N56" t="s">
        <v>23</v>
      </c>
      <c r="O56" s="4">
        <v>0</v>
      </c>
      <c r="P56" t="s">
        <v>23</v>
      </c>
      <c r="Q56" t="s">
        <v>748</v>
      </c>
      <c r="R56" t="s">
        <v>748</v>
      </c>
    </row>
    <row r="57" spans="1:18" x14ac:dyDescent="0.4">
      <c r="A57" s="2">
        <v>45845</v>
      </c>
      <c r="B57" t="s">
        <v>21</v>
      </c>
      <c r="C57" t="s">
        <v>746</v>
      </c>
      <c r="D57" s="3" t="e">
        <f t="shared" si="0"/>
        <v>#DIV/0!</v>
      </c>
      <c r="E57" s="3" t="str">
        <f t="shared" si="1"/>
        <v>PASS</v>
      </c>
      <c r="F57" t="s">
        <v>746</v>
      </c>
      <c r="G57" t="s">
        <v>747</v>
      </c>
      <c r="H57" s="3">
        <v>0</v>
      </c>
      <c r="I57" s="3">
        <v>0</v>
      </c>
      <c r="J57" s="3">
        <v>0</v>
      </c>
      <c r="K57" s="4">
        <v>0</v>
      </c>
      <c r="L57" s="4">
        <v>0</v>
      </c>
      <c r="M57" s="3">
        <v>0</v>
      </c>
      <c r="N57" t="s">
        <v>23</v>
      </c>
      <c r="O57" s="4">
        <v>0</v>
      </c>
      <c r="P57" t="s">
        <v>23</v>
      </c>
      <c r="Q57" t="s">
        <v>748</v>
      </c>
      <c r="R57" t="s">
        <v>748</v>
      </c>
    </row>
    <row r="58" spans="1:18" x14ac:dyDescent="0.4">
      <c r="A58" s="2">
        <v>45845</v>
      </c>
      <c r="B58" t="s">
        <v>24</v>
      </c>
      <c r="C58" t="s">
        <v>746</v>
      </c>
      <c r="D58" s="3" t="e">
        <f t="shared" si="0"/>
        <v>#DIV/0!</v>
      </c>
      <c r="E58" s="3" t="str">
        <f t="shared" si="1"/>
        <v>PASS</v>
      </c>
      <c r="F58" t="s">
        <v>746</v>
      </c>
      <c r="G58" t="s">
        <v>747</v>
      </c>
      <c r="H58" s="3">
        <v>0</v>
      </c>
      <c r="I58" s="3">
        <v>0</v>
      </c>
      <c r="J58" s="3">
        <v>0</v>
      </c>
      <c r="K58" s="4">
        <v>0</v>
      </c>
      <c r="L58" s="4">
        <v>0</v>
      </c>
      <c r="M58" s="3">
        <v>0</v>
      </c>
      <c r="N58" t="s">
        <v>23</v>
      </c>
      <c r="O58" s="4">
        <v>0</v>
      </c>
      <c r="P58" t="s">
        <v>23</v>
      </c>
      <c r="Q58" t="s">
        <v>748</v>
      </c>
      <c r="R58" t="s">
        <v>748</v>
      </c>
    </row>
    <row r="59" spans="1:18" x14ac:dyDescent="0.4">
      <c r="A59" s="2">
        <v>45845</v>
      </c>
      <c r="B59" t="s">
        <v>25</v>
      </c>
      <c r="C59" t="s">
        <v>746</v>
      </c>
      <c r="D59" s="3" t="e">
        <f t="shared" si="0"/>
        <v>#DIV/0!</v>
      </c>
      <c r="E59" s="3" t="str">
        <f t="shared" si="1"/>
        <v>PASS</v>
      </c>
      <c r="F59" t="s">
        <v>746</v>
      </c>
      <c r="G59" t="s">
        <v>747</v>
      </c>
      <c r="H59" s="3">
        <v>0</v>
      </c>
      <c r="I59" s="3">
        <v>0</v>
      </c>
      <c r="J59" s="3">
        <v>0</v>
      </c>
      <c r="K59" s="4">
        <v>0</v>
      </c>
      <c r="L59" s="4">
        <v>0</v>
      </c>
      <c r="M59" s="3">
        <v>0</v>
      </c>
      <c r="N59" t="s">
        <v>23</v>
      </c>
      <c r="O59" s="4">
        <v>0</v>
      </c>
      <c r="P59" t="s">
        <v>23</v>
      </c>
      <c r="Q59" t="s">
        <v>748</v>
      </c>
      <c r="R59" t="s">
        <v>748</v>
      </c>
    </row>
    <row r="60" spans="1:18" x14ac:dyDescent="0.4">
      <c r="A60" s="2">
        <v>45845</v>
      </c>
      <c r="B60" t="s">
        <v>26</v>
      </c>
      <c r="C60" t="s">
        <v>746</v>
      </c>
      <c r="D60" s="3" t="e">
        <f t="shared" si="0"/>
        <v>#DIV/0!</v>
      </c>
      <c r="E60" s="3" t="str">
        <f t="shared" si="1"/>
        <v>PASS</v>
      </c>
      <c r="F60" t="s">
        <v>746</v>
      </c>
      <c r="G60" t="s">
        <v>747</v>
      </c>
      <c r="H60" s="3">
        <v>0</v>
      </c>
      <c r="I60" s="3">
        <v>0</v>
      </c>
      <c r="J60" s="3">
        <v>0</v>
      </c>
      <c r="K60" s="4">
        <v>0</v>
      </c>
      <c r="L60" s="4">
        <v>0</v>
      </c>
      <c r="M60" s="3">
        <v>0</v>
      </c>
      <c r="N60" t="s">
        <v>23</v>
      </c>
      <c r="O60" s="4">
        <v>0</v>
      </c>
      <c r="P60" t="s">
        <v>23</v>
      </c>
      <c r="Q60" t="s">
        <v>748</v>
      </c>
      <c r="R60" t="s">
        <v>748</v>
      </c>
    </row>
    <row r="61" spans="1:18" x14ac:dyDescent="0.4">
      <c r="A61" s="2">
        <v>45845</v>
      </c>
      <c r="B61" t="s">
        <v>27</v>
      </c>
      <c r="C61" t="s">
        <v>746</v>
      </c>
      <c r="D61" s="3" t="e">
        <f t="shared" si="0"/>
        <v>#DIV/0!</v>
      </c>
      <c r="E61" s="3" t="str">
        <f t="shared" si="1"/>
        <v>PASS</v>
      </c>
      <c r="F61" t="s">
        <v>746</v>
      </c>
      <c r="G61" t="s">
        <v>747</v>
      </c>
      <c r="H61" s="3">
        <v>0</v>
      </c>
      <c r="I61" s="3">
        <v>0</v>
      </c>
      <c r="J61" s="3">
        <v>0</v>
      </c>
      <c r="K61" s="4">
        <v>0</v>
      </c>
      <c r="L61" s="4">
        <v>0</v>
      </c>
      <c r="M61" s="3">
        <v>0</v>
      </c>
      <c r="N61" t="s">
        <v>23</v>
      </c>
      <c r="O61" s="4">
        <v>0</v>
      </c>
      <c r="P61" t="s">
        <v>23</v>
      </c>
      <c r="Q61" t="s">
        <v>748</v>
      </c>
      <c r="R61" t="s">
        <v>748</v>
      </c>
    </row>
    <row r="62" spans="1:18" x14ac:dyDescent="0.4">
      <c r="A62" s="2">
        <v>45845</v>
      </c>
      <c r="B62" t="s">
        <v>28</v>
      </c>
      <c r="C62" t="s">
        <v>746</v>
      </c>
      <c r="D62" s="3" t="e">
        <f t="shared" si="0"/>
        <v>#DIV/0!</v>
      </c>
      <c r="E62" s="3" t="str">
        <f t="shared" si="1"/>
        <v>PASS</v>
      </c>
      <c r="F62" t="s">
        <v>746</v>
      </c>
      <c r="G62" t="s">
        <v>747</v>
      </c>
      <c r="H62" s="3">
        <v>0</v>
      </c>
      <c r="I62" s="3">
        <v>0</v>
      </c>
      <c r="J62" s="3">
        <v>0</v>
      </c>
      <c r="K62" s="4">
        <v>0</v>
      </c>
      <c r="L62" s="4">
        <v>0</v>
      </c>
      <c r="M62" s="3">
        <v>0</v>
      </c>
      <c r="N62" t="s">
        <v>23</v>
      </c>
      <c r="O62" s="4">
        <v>0</v>
      </c>
      <c r="P62" t="s">
        <v>23</v>
      </c>
      <c r="Q62" t="s">
        <v>748</v>
      </c>
      <c r="R62" t="s">
        <v>748</v>
      </c>
    </row>
    <row r="63" spans="1:18" x14ac:dyDescent="0.4">
      <c r="A63" s="2">
        <v>45845</v>
      </c>
      <c r="B63" t="s">
        <v>29</v>
      </c>
      <c r="C63" t="s">
        <v>746</v>
      </c>
      <c r="D63" s="3" t="e">
        <f t="shared" si="0"/>
        <v>#DIV/0!</v>
      </c>
      <c r="E63" s="3" t="str">
        <f t="shared" si="1"/>
        <v>PASS</v>
      </c>
      <c r="F63" t="s">
        <v>746</v>
      </c>
      <c r="G63" t="s">
        <v>747</v>
      </c>
      <c r="H63" s="3">
        <v>0</v>
      </c>
      <c r="I63" s="3">
        <v>0</v>
      </c>
      <c r="J63" s="3">
        <v>0</v>
      </c>
      <c r="K63" s="4">
        <v>0</v>
      </c>
      <c r="L63" s="4">
        <v>0</v>
      </c>
      <c r="M63" s="3">
        <v>0</v>
      </c>
      <c r="N63" t="s">
        <v>23</v>
      </c>
      <c r="O63" s="4">
        <v>0</v>
      </c>
      <c r="P63" t="s">
        <v>23</v>
      </c>
      <c r="Q63" t="s">
        <v>748</v>
      </c>
      <c r="R63" t="s">
        <v>748</v>
      </c>
    </row>
    <row r="64" spans="1:18" x14ac:dyDescent="0.4">
      <c r="A64" s="2">
        <v>45845</v>
      </c>
      <c r="B64" t="s">
        <v>30</v>
      </c>
      <c r="C64" t="s">
        <v>746</v>
      </c>
      <c r="D64" s="3" t="e">
        <f t="shared" si="0"/>
        <v>#DIV/0!</v>
      </c>
      <c r="E64" s="3" t="str">
        <f t="shared" si="1"/>
        <v>PASS</v>
      </c>
      <c r="F64" t="s">
        <v>746</v>
      </c>
      <c r="G64" t="s">
        <v>747</v>
      </c>
      <c r="H64" s="3">
        <v>0</v>
      </c>
      <c r="I64" s="3">
        <v>0</v>
      </c>
      <c r="J64" s="3">
        <v>0</v>
      </c>
      <c r="K64" s="4">
        <v>0</v>
      </c>
      <c r="L64" s="4">
        <v>0</v>
      </c>
      <c r="M64" s="3">
        <v>0</v>
      </c>
      <c r="N64" t="s">
        <v>23</v>
      </c>
      <c r="O64" s="4">
        <v>0</v>
      </c>
      <c r="P64" t="s">
        <v>23</v>
      </c>
      <c r="Q64" t="s">
        <v>748</v>
      </c>
      <c r="R64" t="s">
        <v>748</v>
      </c>
    </row>
    <row r="65" spans="1:18" x14ac:dyDescent="0.4">
      <c r="A65" s="2">
        <v>45845</v>
      </c>
      <c r="B65" t="s">
        <v>31</v>
      </c>
      <c r="C65" t="s">
        <v>746</v>
      </c>
      <c r="D65" s="3" t="e">
        <f t="shared" si="0"/>
        <v>#DIV/0!</v>
      </c>
      <c r="E65" s="3" t="str">
        <f t="shared" si="1"/>
        <v>PASS</v>
      </c>
      <c r="F65" t="s">
        <v>746</v>
      </c>
      <c r="G65" t="s">
        <v>747</v>
      </c>
      <c r="H65" s="3">
        <v>0</v>
      </c>
      <c r="I65" s="3">
        <v>0</v>
      </c>
      <c r="J65" s="3">
        <v>0</v>
      </c>
      <c r="K65" s="4">
        <v>0</v>
      </c>
      <c r="L65" s="4">
        <v>0</v>
      </c>
      <c r="M65" s="3">
        <v>0</v>
      </c>
      <c r="N65" t="s">
        <v>23</v>
      </c>
      <c r="O65" s="4">
        <v>0</v>
      </c>
      <c r="P65" t="s">
        <v>23</v>
      </c>
      <c r="Q65" t="s">
        <v>748</v>
      </c>
      <c r="R65" t="s">
        <v>748</v>
      </c>
    </row>
    <row r="66" spans="1:18" x14ac:dyDescent="0.4">
      <c r="A66" s="2">
        <v>45845</v>
      </c>
      <c r="B66" t="s">
        <v>32</v>
      </c>
      <c r="C66" t="s">
        <v>746</v>
      </c>
      <c r="D66" s="3" t="e">
        <f t="shared" ref="D66:D129" si="2">IF(I66/H66&gt;=0.5,"PASS","FAIL")</f>
        <v>#DIV/0!</v>
      </c>
      <c r="E66" s="3" t="str">
        <f t="shared" ref="E66:E129" si="3">IF(L66&lt;=0.5,"PASS","FAIL")</f>
        <v>PASS</v>
      </c>
      <c r="F66" t="s">
        <v>746</v>
      </c>
      <c r="G66" t="s">
        <v>747</v>
      </c>
      <c r="H66" s="3">
        <v>0</v>
      </c>
      <c r="I66" s="3">
        <v>0</v>
      </c>
      <c r="J66" s="3">
        <v>0</v>
      </c>
      <c r="K66" s="4">
        <v>0</v>
      </c>
      <c r="L66" s="4">
        <v>0</v>
      </c>
      <c r="M66" s="3">
        <v>0</v>
      </c>
      <c r="N66" t="s">
        <v>23</v>
      </c>
      <c r="O66" s="4">
        <v>0</v>
      </c>
      <c r="P66" t="s">
        <v>23</v>
      </c>
      <c r="Q66" t="s">
        <v>748</v>
      </c>
      <c r="R66" t="s">
        <v>748</v>
      </c>
    </row>
    <row r="67" spans="1:18" x14ac:dyDescent="0.4">
      <c r="A67" s="2">
        <v>45845</v>
      </c>
      <c r="B67" t="s">
        <v>33</v>
      </c>
      <c r="C67" t="s">
        <v>746</v>
      </c>
      <c r="D67" s="3" t="e">
        <f t="shared" si="2"/>
        <v>#DIV/0!</v>
      </c>
      <c r="E67" s="3" t="str">
        <f t="shared" si="3"/>
        <v>PASS</v>
      </c>
      <c r="F67" t="s">
        <v>746</v>
      </c>
      <c r="G67" t="s">
        <v>747</v>
      </c>
      <c r="H67" s="3">
        <v>0</v>
      </c>
      <c r="I67" s="3">
        <v>0</v>
      </c>
      <c r="J67" s="3">
        <v>0</v>
      </c>
      <c r="K67" s="4">
        <v>0</v>
      </c>
      <c r="L67" s="4">
        <v>0</v>
      </c>
      <c r="M67" s="3">
        <v>0</v>
      </c>
      <c r="N67" t="s">
        <v>23</v>
      </c>
      <c r="O67" s="4">
        <v>0</v>
      </c>
      <c r="P67" t="s">
        <v>23</v>
      </c>
      <c r="Q67" t="s">
        <v>748</v>
      </c>
      <c r="R67" t="s">
        <v>748</v>
      </c>
    </row>
    <row r="68" spans="1:18" x14ac:dyDescent="0.4">
      <c r="A68" s="2">
        <v>45846</v>
      </c>
      <c r="B68" t="s">
        <v>21</v>
      </c>
      <c r="C68" t="s">
        <v>746</v>
      </c>
      <c r="D68" s="3" t="e">
        <f t="shared" si="2"/>
        <v>#DIV/0!</v>
      </c>
      <c r="E68" s="3" t="str">
        <f t="shared" si="3"/>
        <v>PASS</v>
      </c>
      <c r="F68" t="s">
        <v>746</v>
      </c>
      <c r="G68" t="s">
        <v>747</v>
      </c>
      <c r="H68" s="3">
        <v>0</v>
      </c>
      <c r="I68" s="3">
        <v>0</v>
      </c>
      <c r="J68" s="3">
        <v>0</v>
      </c>
      <c r="K68" s="4">
        <v>0</v>
      </c>
      <c r="L68" s="4">
        <v>0</v>
      </c>
      <c r="M68" s="3">
        <v>0</v>
      </c>
      <c r="N68" t="s">
        <v>23</v>
      </c>
      <c r="O68" s="4">
        <v>0</v>
      </c>
      <c r="P68" t="s">
        <v>23</v>
      </c>
      <c r="Q68" t="s">
        <v>748</v>
      </c>
      <c r="R68" t="s">
        <v>748</v>
      </c>
    </row>
    <row r="69" spans="1:18" x14ac:dyDescent="0.4">
      <c r="A69" s="2">
        <v>45846</v>
      </c>
      <c r="B69" t="s">
        <v>24</v>
      </c>
      <c r="C69" t="s">
        <v>746</v>
      </c>
      <c r="D69" s="3" t="e">
        <f t="shared" si="2"/>
        <v>#DIV/0!</v>
      </c>
      <c r="E69" s="3" t="str">
        <f t="shared" si="3"/>
        <v>PASS</v>
      </c>
      <c r="F69" t="s">
        <v>746</v>
      </c>
      <c r="G69" t="s">
        <v>747</v>
      </c>
      <c r="H69" s="3">
        <v>0</v>
      </c>
      <c r="I69" s="3">
        <v>0</v>
      </c>
      <c r="J69" s="3">
        <v>0</v>
      </c>
      <c r="K69" s="4">
        <v>0</v>
      </c>
      <c r="L69" s="4">
        <v>0</v>
      </c>
      <c r="M69" s="3">
        <v>0</v>
      </c>
      <c r="N69" t="s">
        <v>23</v>
      </c>
      <c r="O69" s="4">
        <v>0</v>
      </c>
      <c r="P69" t="s">
        <v>23</v>
      </c>
      <c r="Q69" t="s">
        <v>748</v>
      </c>
      <c r="R69" t="s">
        <v>748</v>
      </c>
    </row>
    <row r="70" spans="1:18" x14ac:dyDescent="0.4">
      <c r="A70" s="2">
        <v>45846</v>
      </c>
      <c r="B70" t="s">
        <v>25</v>
      </c>
      <c r="C70" t="s">
        <v>746</v>
      </c>
      <c r="D70" s="3" t="e">
        <f t="shared" si="2"/>
        <v>#DIV/0!</v>
      </c>
      <c r="E70" s="3" t="str">
        <f t="shared" si="3"/>
        <v>PASS</v>
      </c>
      <c r="F70" t="s">
        <v>746</v>
      </c>
      <c r="G70" t="s">
        <v>747</v>
      </c>
      <c r="H70" s="3">
        <v>0</v>
      </c>
      <c r="I70" s="3">
        <v>0</v>
      </c>
      <c r="J70" s="3">
        <v>0</v>
      </c>
      <c r="K70" s="4">
        <v>0</v>
      </c>
      <c r="L70" s="4">
        <v>0</v>
      </c>
      <c r="M70" s="3">
        <v>0</v>
      </c>
      <c r="N70" t="s">
        <v>23</v>
      </c>
      <c r="O70" s="4">
        <v>0</v>
      </c>
      <c r="P70" t="s">
        <v>23</v>
      </c>
      <c r="Q70" t="s">
        <v>748</v>
      </c>
      <c r="R70" t="s">
        <v>748</v>
      </c>
    </row>
    <row r="71" spans="1:18" x14ac:dyDescent="0.4">
      <c r="A71" s="2">
        <v>45846</v>
      </c>
      <c r="B71" t="s">
        <v>26</v>
      </c>
      <c r="C71" t="s">
        <v>746</v>
      </c>
      <c r="D71" s="3" t="e">
        <f t="shared" si="2"/>
        <v>#DIV/0!</v>
      </c>
      <c r="E71" s="3" t="str">
        <f t="shared" si="3"/>
        <v>PASS</v>
      </c>
      <c r="F71" t="s">
        <v>746</v>
      </c>
      <c r="G71" t="s">
        <v>747</v>
      </c>
      <c r="H71" s="3">
        <v>0</v>
      </c>
      <c r="I71" s="3">
        <v>0</v>
      </c>
      <c r="J71" s="3">
        <v>0</v>
      </c>
      <c r="K71" s="4">
        <v>0</v>
      </c>
      <c r="L71" s="4">
        <v>0</v>
      </c>
      <c r="M71" s="3">
        <v>0</v>
      </c>
      <c r="N71" t="s">
        <v>23</v>
      </c>
      <c r="O71" s="4">
        <v>0</v>
      </c>
      <c r="P71" t="s">
        <v>23</v>
      </c>
      <c r="Q71" t="s">
        <v>748</v>
      </c>
      <c r="R71" t="s">
        <v>748</v>
      </c>
    </row>
    <row r="72" spans="1:18" x14ac:dyDescent="0.4">
      <c r="A72" s="2">
        <v>45846</v>
      </c>
      <c r="B72" t="s">
        <v>27</v>
      </c>
      <c r="C72" t="s">
        <v>746</v>
      </c>
      <c r="D72" s="3" t="e">
        <f t="shared" si="2"/>
        <v>#DIV/0!</v>
      </c>
      <c r="E72" s="3" t="str">
        <f t="shared" si="3"/>
        <v>PASS</v>
      </c>
      <c r="F72" t="s">
        <v>746</v>
      </c>
      <c r="G72" t="s">
        <v>747</v>
      </c>
      <c r="H72" s="3">
        <v>0</v>
      </c>
      <c r="I72" s="3">
        <v>0</v>
      </c>
      <c r="J72" s="3">
        <v>0</v>
      </c>
      <c r="K72" s="4">
        <v>0</v>
      </c>
      <c r="L72" s="4">
        <v>0</v>
      </c>
      <c r="M72" s="3">
        <v>0</v>
      </c>
      <c r="N72" t="s">
        <v>23</v>
      </c>
      <c r="O72" s="4">
        <v>0</v>
      </c>
      <c r="P72" t="s">
        <v>23</v>
      </c>
      <c r="Q72" t="s">
        <v>748</v>
      </c>
      <c r="R72" t="s">
        <v>748</v>
      </c>
    </row>
    <row r="73" spans="1:18" x14ac:dyDescent="0.4">
      <c r="A73" s="2">
        <v>45846</v>
      </c>
      <c r="B73" t="s">
        <v>28</v>
      </c>
      <c r="C73" t="s">
        <v>746</v>
      </c>
      <c r="D73" s="3" t="e">
        <f t="shared" si="2"/>
        <v>#DIV/0!</v>
      </c>
      <c r="E73" s="3" t="str">
        <f t="shared" si="3"/>
        <v>PASS</v>
      </c>
      <c r="F73" t="s">
        <v>746</v>
      </c>
      <c r="G73" t="s">
        <v>747</v>
      </c>
      <c r="H73" s="3">
        <v>0</v>
      </c>
      <c r="I73" s="3">
        <v>0</v>
      </c>
      <c r="J73" s="3">
        <v>0</v>
      </c>
      <c r="K73" s="4">
        <v>0</v>
      </c>
      <c r="L73" s="4">
        <v>0</v>
      </c>
      <c r="M73" s="3">
        <v>0</v>
      </c>
      <c r="N73" t="s">
        <v>23</v>
      </c>
      <c r="O73" s="4">
        <v>0</v>
      </c>
      <c r="P73" t="s">
        <v>23</v>
      </c>
      <c r="Q73" t="s">
        <v>748</v>
      </c>
      <c r="R73" t="s">
        <v>748</v>
      </c>
    </row>
    <row r="74" spans="1:18" x14ac:dyDescent="0.4">
      <c r="A74" s="2">
        <v>45846</v>
      </c>
      <c r="B74" t="s">
        <v>29</v>
      </c>
      <c r="C74" t="s">
        <v>746</v>
      </c>
      <c r="D74" s="3" t="e">
        <f t="shared" si="2"/>
        <v>#DIV/0!</v>
      </c>
      <c r="E74" s="3" t="str">
        <f t="shared" si="3"/>
        <v>PASS</v>
      </c>
      <c r="F74" t="s">
        <v>746</v>
      </c>
      <c r="G74" t="s">
        <v>747</v>
      </c>
      <c r="H74" s="3">
        <v>0</v>
      </c>
      <c r="I74" s="3">
        <v>0</v>
      </c>
      <c r="J74" s="3">
        <v>0</v>
      </c>
      <c r="K74" s="4">
        <v>0</v>
      </c>
      <c r="L74" s="4">
        <v>0</v>
      </c>
      <c r="M74" s="3">
        <v>0</v>
      </c>
      <c r="N74" t="s">
        <v>23</v>
      </c>
      <c r="O74" s="4">
        <v>0</v>
      </c>
      <c r="P74" t="s">
        <v>23</v>
      </c>
      <c r="Q74" t="s">
        <v>748</v>
      </c>
      <c r="R74" t="s">
        <v>748</v>
      </c>
    </row>
    <row r="75" spans="1:18" x14ac:dyDescent="0.4">
      <c r="A75" s="2">
        <v>45846</v>
      </c>
      <c r="B75" t="s">
        <v>30</v>
      </c>
      <c r="C75" t="s">
        <v>746</v>
      </c>
      <c r="D75" s="3" t="e">
        <f t="shared" si="2"/>
        <v>#DIV/0!</v>
      </c>
      <c r="E75" s="3" t="str">
        <f t="shared" si="3"/>
        <v>PASS</v>
      </c>
      <c r="F75" t="s">
        <v>746</v>
      </c>
      <c r="G75" t="s">
        <v>747</v>
      </c>
      <c r="H75" s="3">
        <v>0</v>
      </c>
      <c r="I75" s="3">
        <v>0</v>
      </c>
      <c r="J75" s="3">
        <v>0</v>
      </c>
      <c r="K75" s="4">
        <v>0</v>
      </c>
      <c r="L75" s="4">
        <v>0</v>
      </c>
      <c r="M75" s="3">
        <v>0</v>
      </c>
      <c r="N75" t="s">
        <v>23</v>
      </c>
      <c r="O75" s="4">
        <v>0</v>
      </c>
      <c r="P75" t="s">
        <v>23</v>
      </c>
      <c r="Q75" t="s">
        <v>748</v>
      </c>
      <c r="R75" t="s">
        <v>748</v>
      </c>
    </row>
    <row r="76" spans="1:18" x14ac:dyDescent="0.4">
      <c r="A76" s="2">
        <v>45846</v>
      </c>
      <c r="B76" t="s">
        <v>31</v>
      </c>
      <c r="C76" t="s">
        <v>746</v>
      </c>
      <c r="D76" s="3" t="e">
        <f t="shared" si="2"/>
        <v>#DIV/0!</v>
      </c>
      <c r="E76" s="3" t="str">
        <f t="shared" si="3"/>
        <v>PASS</v>
      </c>
      <c r="F76" t="s">
        <v>746</v>
      </c>
      <c r="G76" t="s">
        <v>747</v>
      </c>
      <c r="H76" s="3">
        <v>0</v>
      </c>
      <c r="I76" s="3">
        <v>0</v>
      </c>
      <c r="J76" s="3">
        <v>0</v>
      </c>
      <c r="K76" s="4">
        <v>0</v>
      </c>
      <c r="L76" s="4">
        <v>0</v>
      </c>
      <c r="M76" s="3">
        <v>0</v>
      </c>
      <c r="N76" t="s">
        <v>23</v>
      </c>
      <c r="O76" s="4">
        <v>0</v>
      </c>
      <c r="P76" t="s">
        <v>23</v>
      </c>
      <c r="Q76" t="s">
        <v>748</v>
      </c>
      <c r="R76" t="s">
        <v>748</v>
      </c>
    </row>
    <row r="77" spans="1:18" x14ac:dyDescent="0.4">
      <c r="A77" s="2">
        <v>45846</v>
      </c>
      <c r="B77" t="s">
        <v>32</v>
      </c>
      <c r="C77" t="s">
        <v>746</v>
      </c>
      <c r="D77" s="3" t="e">
        <f t="shared" si="2"/>
        <v>#DIV/0!</v>
      </c>
      <c r="E77" s="3" t="str">
        <f t="shared" si="3"/>
        <v>PASS</v>
      </c>
      <c r="F77" t="s">
        <v>746</v>
      </c>
      <c r="G77" t="s">
        <v>747</v>
      </c>
      <c r="H77" s="3">
        <v>0</v>
      </c>
      <c r="I77" s="3">
        <v>0</v>
      </c>
      <c r="J77" s="3">
        <v>0</v>
      </c>
      <c r="K77" s="4">
        <v>0</v>
      </c>
      <c r="L77" s="4">
        <v>0</v>
      </c>
      <c r="M77" s="3">
        <v>0</v>
      </c>
      <c r="N77" t="s">
        <v>23</v>
      </c>
      <c r="O77" s="4">
        <v>0</v>
      </c>
      <c r="P77" t="s">
        <v>23</v>
      </c>
      <c r="Q77" t="s">
        <v>748</v>
      </c>
      <c r="R77" t="s">
        <v>748</v>
      </c>
    </row>
    <row r="78" spans="1:18" x14ac:dyDescent="0.4">
      <c r="A78" s="2">
        <v>45846</v>
      </c>
      <c r="B78" t="s">
        <v>33</v>
      </c>
      <c r="C78" t="s">
        <v>746</v>
      </c>
      <c r="D78" s="3" t="e">
        <f t="shared" si="2"/>
        <v>#DIV/0!</v>
      </c>
      <c r="E78" s="3" t="str">
        <f t="shared" si="3"/>
        <v>PASS</v>
      </c>
      <c r="F78" t="s">
        <v>746</v>
      </c>
      <c r="G78" t="s">
        <v>747</v>
      </c>
      <c r="H78" s="3">
        <v>0</v>
      </c>
      <c r="I78" s="3">
        <v>0</v>
      </c>
      <c r="J78" s="3">
        <v>0</v>
      </c>
      <c r="K78" s="4">
        <v>0</v>
      </c>
      <c r="L78" s="4">
        <v>0</v>
      </c>
      <c r="M78" s="3">
        <v>0</v>
      </c>
      <c r="N78" t="s">
        <v>23</v>
      </c>
      <c r="O78" s="4">
        <v>0</v>
      </c>
      <c r="P78" t="s">
        <v>23</v>
      </c>
      <c r="Q78" t="s">
        <v>748</v>
      </c>
      <c r="R78" t="s">
        <v>748</v>
      </c>
    </row>
    <row r="79" spans="1:18" x14ac:dyDescent="0.4">
      <c r="A79" s="2">
        <v>45847</v>
      </c>
      <c r="B79" t="s">
        <v>21</v>
      </c>
      <c r="C79" t="s">
        <v>747</v>
      </c>
      <c r="D79" s="3" t="e">
        <f t="shared" si="2"/>
        <v>#DIV/0!</v>
      </c>
      <c r="E79" s="3" t="str">
        <f t="shared" si="3"/>
        <v>PASS</v>
      </c>
      <c r="F79" t="s">
        <v>747</v>
      </c>
      <c r="G79" t="s">
        <v>747</v>
      </c>
      <c r="H79" s="3">
        <v>0</v>
      </c>
      <c r="I79" s="3">
        <v>3507244946.7702999</v>
      </c>
      <c r="J79" s="3">
        <v>0</v>
      </c>
      <c r="K79" s="4">
        <v>0</v>
      </c>
      <c r="L79" s="4">
        <v>0</v>
      </c>
      <c r="M79" s="3">
        <v>783</v>
      </c>
      <c r="N79" t="s">
        <v>778</v>
      </c>
      <c r="O79" s="4">
        <v>5.3290000000000006</v>
      </c>
      <c r="P79" t="s">
        <v>779</v>
      </c>
      <c r="Q79" t="s">
        <v>748</v>
      </c>
      <c r="R79" t="s">
        <v>748</v>
      </c>
    </row>
    <row r="80" spans="1:18" x14ac:dyDescent="0.4">
      <c r="A80" s="2">
        <v>45847</v>
      </c>
      <c r="B80" t="s">
        <v>24</v>
      </c>
      <c r="C80" t="s">
        <v>747</v>
      </c>
      <c r="D80" s="3" t="str">
        <f t="shared" si="2"/>
        <v>PASS</v>
      </c>
      <c r="E80" s="3" t="str">
        <f t="shared" si="3"/>
        <v>PASS</v>
      </c>
      <c r="F80" t="s">
        <v>747</v>
      </c>
      <c r="G80" t="s">
        <v>747</v>
      </c>
      <c r="H80" s="3">
        <v>136853639.97</v>
      </c>
      <c r="I80" s="3">
        <v>135294644.12689501</v>
      </c>
      <c r="J80" s="3">
        <v>8644.7999999999993</v>
      </c>
      <c r="K80" s="4">
        <v>6842681.9985000007</v>
      </c>
      <c r="L80" s="4">
        <v>0.2386973703652277</v>
      </c>
      <c r="M80" s="3">
        <v>3</v>
      </c>
      <c r="N80" t="s">
        <v>780</v>
      </c>
      <c r="O80" s="4">
        <v>8.1168462521932605E-2</v>
      </c>
      <c r="P80" t="s">
        <v>781</v>
      </c>
      <c r="Q80" t="s">
        <v>782</v>
      </c>
      <c r="R80" t="s">
        <v>783</v>
      </c>
    </row>
    <row r="81" spans="1:18" x14ac:dyDescent="0.4">
      <c r="A81" s="2">
        <v>45847</v>
      </c>
      <c r="B81" t="s">
        <v>25</v>
      </c>
      <c r="C81" t="s">
        <v>747</v>
      </c>
      <c r="D81" s="3" t="str">
        <f t="shared" si="2"/>
        <v>PASS</v>
      </c>
      <c r="E81" s="3" t="str">
        <f t="shared" si="3"/>
        <v>PASS</v>
      </c>
      <c r="F81" t="s">
        <v>747</v>
      </c>
      <c r="G81" t="s">
        <v>747</v>
      </c>
      <c r="H81" s="3">
        <v>102650184.27</v>
      </c>
      <c r="I81" s="3">
        <v>99144164.498182014</v>
      </c>
      <c r="J81" s="3">
        <v>6680</v>
      </c>
      <c r="K81" s="4">
        <v>5132509.2135000005</v>
      </c>
      <c r="L81" s="4">
        <v>0.2253663129381786</v>
      </c>
      <c r="M81" s="3">
        <v>3</v>
      </c>
      <c r="N81" t="s">
        <v>784</v>
      </c>
      <c r="O81" s="4">
        <v>6.7825081734575618E-2</v>
      </c>
      <c r="P81" t="s">
        <v>781</v>
      </c>
      <c r="Q81" t="s">
        <v>785</v>
      </c>
      <c r="R81" t="s">
        <v>786</v>
      </c>
    </row>
    <row r="82" spans="1:18" x14ac:dyDescent="0.4">
      <c r="A82" s="2">
        <v>45847</v>
      </c>
      <c r="B82" t="s">
        <v>26</v>
      </c>
      <c r="C82" t="s">
        <v>747</v>
      </c>
      <c r="D82" s="3" t="str">
        <f t="shared" si="2"/>
        <v>PASS</v>
      </c>
      <c r="E82" s="3" t="str">
        <f t="shared" si="3"/>
        <v>PASS</v>
      </c>
      <c r="F82" t="s">
        <v>747</v>
      </c>
      <c r="G82" t="s">
        <v>747</v>
      </c>
      <c r="H82" s="3">
        <v>23807626.629999999</v>
      </c>
      <c r="I82" s="3">
        <v>23069847.320287</v>
      </c>
      <c r="J82" s="3">
        <v>1552.97</v>
      </c>
      <c r="K82" s="4">
        <v>1190381.3315000001</v>
      </c>
      <c r="L82" s="4">
        <v>0.2250189456034466</v>
      </c>
      <c r="M82" s="3">
        <v>3</v>
      </c>
      <c r="N82" t="s">
        <v>787</v>
      </c>
      <c r="O82" s="4">
        <v>6.1534939750817162E-2</v>
      </c>
      <c r="P82" t="s">
        <v>781</v>
      </c>
      <c r="Q82" t="s">
        <v>785</v>
      </c>
      <c r="R82" t="s">
        <v>788</v>
      </c>
    </row>
    <row r="83" spans="1:18" x14ac:dyDescent="0.4">
      <c r="A83" s="2">
        <v>45847</v>
      </c>
      <c r="B83" t="s">
        <v>27</v>
      </c>
      <c r="C83" t="s">
        <v>747</v>
      </c>
      <c r="D83" s="3" t="str">
        <f t="shared" si="2"/>
        <v>PASS</v>
      </c>
      <c r="E83" s="3" t="str">
        <f t="shared" si="3"/>
        <v>PASS</v>
      </c>
      <c r="F83" t="s">
        <v>747</v>
      </c>
      <c r="G83" t="s">
        <v>747</v>
      </c>
      <c r="H83" s="3">
        <v>49024745.530000001</v>
      </c>
      <c r="I83" s="3">
        <v>48023858.780180007</v>
      </c>
      <c r="J83" s="3">
        <v>2983.14</v>
      </c>
      <c r="K83" s="4">
        <v>2451237.2765000002</v>
      </c>
      <c r="L83" s="4">
        <v>0.248685663570761</v>
      </c>
      <c r="M83" s="3">
        <v>3</v>
      </c>
      <c r="N83" t="s">
        <v>789</v>
      </c>
      <c r="O83" s="4">
        <v>0.1111404738826392</v>
      </c>
      <c r="P83" t="s">
        <v>781</v>
      </c>
      <c r="Q83" t="s">
        <v>790</v>
      </c>
      <c r="R83" t="s">
        <v>791</v>
      </c>
    </row>
    <row r="84" spans="1:18" x14ac:dyDescent="0.4">
      <c r="A84" s="2">
        <v>45847</v>
      </c>
      <c r="B84" t="s">
        <v>28</v>
      </c>
      <c r="C84" t="s">
        <v>747</v>
      </c>
      <c r="D84" s="3" t="str">
        <f t="shared" si="2"/>
        <v>PASS</v>
      </c>
      <c r="E84" s="3" t="str">
        <f t="shared" si="3"/>
        <v>PASS</v>
      </c>
      <c r="F84" t="s">
        <v>747</v>
      </c>
      <c r="G84" t="s">
        <v>747</v>
      </c>
      <c r="H84" s="3">
        <v>15451111.109999999</v>
      </c>
      <c r="I84" s="3">
        <v>15134478.108890001</v>
      </c>
      <c r="J84" s="3">
        <v>982.71</v>
      </c>
      <c r="K84" s="4">
        <v>772555.55550000002</v>
      </c>
      <c r="L84" s="4">
        <v>0.23664459658593701</v>
      </c>
      <c r="M84" s="3">
        <v>3</v>
      </c>
      <c r="N84" t="s">
        <v>792</v>
      </c>
      <c r="O84" s="4">
        <v>9.5831796066218305E-2</v>
      </c>
      <c r="P84" t="s">
        <v>781</v>
      </c>
      <c r="Q84" t="s">
        <v>793</v>
      </c>
      <c r="R84" t="s">
        <v>794</v>
      </c>
    </row>
    <row r="85" spans="1:18" x14ac:dyDescent="0.4">
      <c r="A85" s="2">
        <v>45847</v>
      </c>
      <c r="B85" t="s">
        <v>29</v>
      </c>
      <c r="C85" t="s">
        <v>747</v>
      </c>
      <c r="D85" s="3" t="str">
        <f t="shared" si="2"/>
        <v>PASS</v>
      </c>
      <c r="E85" s="3" t="str">
        <f t="shared" si="3"/>
        <v>PASS</v>
      </c>
      <c r="F85" t="s">
        <v>747</v>
      </c>
      <c r="G85" t="s">
        <v>747</v>
      </c>
      <c r="H85" s="3">
        <v>34819587.170000002</v>
      </c>
      <c r="I85" s="3">
        <v>34359994.549162999</v>
      </c>
      <c r="J85" s="3">
        <v>2332.38</v>
      </c>
      <c r="K85" s="4">
        <v>1740979.3585000001</v>
      </c>
      <c r="L85" s="4">
        <v>0.22126064877054141</v>
      </c>
      <c r="M85" s="3">
        <v>3</v>
      </c>
      <c r="N85" t="s">
        <v>795</v>
      </c>
      <c r="O85" s="4">
        <v>4.3797334291111871E-2</v>
      </c>
      <c r="P85" t="s">
        <v>781</v>
      </c>
      <c r="Q85" t="s">
        <v>796</v>
      </c>
      <c r="R85" t="s">
        <v>786</v>
      </c>
    </row>
    <row r="86" spans="1:18" x14ac:dyDescent="0.4">
      <c r="A86" s="2">
        <v>45847</v>
      </c>
      <c r="B86" t="s">
        <v>30</v>
      </c>
      <c r="C86" t="s">
        <v>747</v>
      </c>
      <c r="D86" s="3" t="str">
        <f t="shared" si="2"/>
        <v>PASS</v>
      </c>
      <c r="E86" s="3" t="str">
        <f t="shared" si="3"/>
        <v>PASS</v>
      </c>
      <c r="F86" t="s">
        <v>747</v>
      </c>
      <c r="G86" t="s">
        <v>747</v>
      </c>
      <c r="H86" s="3">
        <v>55728246.5</v>
      </c>
      <c r="I86" s="3">
        <v>52346434.014778003</v>
      </c>
      <c r="J86" s="3">
        <v>3660.36</v>
      </c>
      <c r="K86" s="4">
        <v>2786412.3250000002</v>
      </c>
      <c r="L86" s="4">
        <v>0</v>
      </c>
      <c r="M86" s="3">
        <v>0</v>
      </c>
      <c r="N86" t="s">
        <v>23</v>
      </c>
      <c r="O86" s="4">
        <v>3.7891383228395678E-2</v>
      </c>
      <c r="P86" t="s">
        <v>797</v>
      </c>
      <c r="Q86" t="s">
        <v>798</v>
      </c>
      <c r="R86" t="s">
        <v>799</v>
      </c>
    </row>
    <row r="87" spans="1:18" x14ac:dyDescent="0.4">
      <c r="A87" s="2">
        <v>45847</v>
      </c>
      <c r="B87" t="s">
        <v>31</v>
      </c>
      <c r="C87" t="s">
        <v>747</v>
      </c>
      <c r="D87" s="3" t="str">
        <f t="shared" si="2"/>
        <v>PASS</v>
      </c>
      <c r="E87" s="3" t="str">
        <f t="shared" si="3"/>
        <v>PASS</v>
      </c>
      <c r="F87" t="s">
        <v>747</v>
      </c>
      <c r="G87" t="s">
        <v>747</v>
      </c>
      <c r="H87" s="3">
        <v>40535610.719999999</v>
      </c>
      <c r="I87" s="3">
        <v>38643727.485921003</v>
      </c>
      <c r="J87" s="3">
        <v>2517.75</v>
      </c>
      <c r="K87" s="4">
        <v>2026780.5360000001</v>
      </c>
      <c r="L87" s="4">
        <v>0.23618569499433659</v>
      </c>
      <c r="M87" s="3">
        <v>3</v>
      </c>
      <c r="N87" t="s">
        <v>800</v>
      </c>
      <c r="O87" s="4">
        <v>9.8157048216319584E-2</v>
      </c>
      <c r="P87" t="s">
        <v>781</v>
      </c>
      <c r="Q87" t="s">
        <v>801</v>
      </c>
      <c r="R87" t="s">
        <v>802</v>
      </c>
    </row>
    <row r="88" spans="1:18" x14ac:dyDescent="0.4">
      <c r="A88" s="2">
        <v>45847</v>
      </c>
      <c r="B88" t="s">
        <v>32</v>
      </c>
      <c r="C88" t="s">
        <v>747</v>
      </c>
      <c r="D88" s="3" t="str">
        <f t="shared" si="2"/>
        <v>PASS</v>
      </c>
      <c r="E88" s="3" t="str">
        <f t="shared" si="3"/>
        <v>PASS</v>
      </c>
      <c r="F88" t="s">
        <v>747</v>
      </c>
      <c r="G88" t="s">
        <v>747</v>
      </c>
      <c r="H88" s="3">
        <v>78888122.010000005</v>
      </c>
      <c r="I88" s="3">
        <v>77003462.702045992</v>
      </c>
      <c r="J88" s="3">
        <v>5066.8900000000003</v>
      </c>
      <c r="K88" s="4">
        <v>3944406.1005000011</v>
      </c>
      <c r="L88" s="4">
        <v>0.23145583321045379</v>
      </c>
      <c r="M88" s="3">
        <v>3</v>
      </c>
      <c r="N88" t="s">
        <v>803</v>
      </c>
      <c r="O88" s="4">
        <v>7.659909005414034E-2</v>
      </c>
      <c r="P88" t="s">
        <v>781</v>
      </c>
      <c r="Q88" t="s">
        <v>793</v>
      </c>
      <c r="R88" t="s">
        <v>804</v>
      </c>
    </row>
    <row r="89" spans="1:18" x14ac:dyDescent="0.4">
      <c r="A89" s="2">
        <v>45847</v>
      </c>
      <c r="B89" t="s">
        <v>33</v>
      </c>
      <c r="C89" t="s">
        <v>747</v>
      </c>
      <c r="D89" s="3" t="e">
        <f t="shared" si="2"/>
        <v>#DIV/0!</v>
      </c>
      <c r="E89" s="3" t="str">
        <f t="shared" si="3"/>
        <v>PASS</v>
      </c>
      <c r="F89" t="s">
        <v>747</v>
      </c>
      <c r="G89" t="s">
        <v>747</v>
      </c>
      <c r="H89" s="3">
        <v>0</v>
      </c>
      <c r="I89" s="3">
        <v>3507244946.7702999</v>
      </c>
      <c r="J89" s="3">
        <v>0</v>
      </c>
      <c r="K89" s="4">
        <v>0</v>
      </c>
      <c r="L89" s="4">
        <v>0</v>
      </c>
      <c r="M89" s="3">
        <v>783</v>
      </c>
      <c r="N89" t="s">
        <v>778</v>
      </c>
      <c r="O89" s="4">
        <v>5.3290000000000006</v>
      </c>
      <c r="P89" t="s">
        <v>779</v>
      </c>
      <c r="Q89" t="s">
        <v>748</v>
      </c>
      <c r="R89" t="s">
        <v>748</v>
      </c>
    </row>
    <row r="90" spans="1:18" x14ac:dyDescent="0.4">
      <c r="A90" s="2">
        <v>45848</v>
      </c>
      <c r="B90" t="s">
        <v>21</v>
      </c>
      <c r="C90" t="s">
        <v>747</v>
      </c>
      <c r="D90" s="3" t="e">
        <f t="shared" si="2"/>
        <v>#DIV/0!</v>
      </c>
      <c r="E90" s="3" t="str">
        <f t="shared" si="3"/>
        <v>PASS</v>
      </c>
      <c r="F90" t="s">
        <v>747</v>
      </c>
      <c r="G90" t="s">
        <v>747</v>
      </c>
      <c r="H90" s="3">
        <v>0</v>
      </c>
      <c r="I90" s="3">
        <v>3513137865.957375</v>
      </c>
      <c r="J90" s="3">
        <v>0</v>
      </c>
      <c r="K90" s="4">
        <v>0</v>
      </c>
      <c r="L90" s="4">
        <v>0</v>
      </c>
      <c r="M90" s="3">
        <v>783</v>
      </c>
      <c r="N90" t="s">
        <v>778</v>
      </c>
      <c r="O90" s="4">
        <v>5.3333000000000004</v>
      </c>
      <c r="P90" t="s">
        <v>805</v>
      </c>
      <c r="Q90" t="s">
        <v>748</v>
      </c>
      <c r="R90" t="s">
        <v>748</v>
      </c>
    </row>
    <row r="91" spans="1:18" x14ac:dyDescent="0.4">
      <c r="A91" s="2">
        <v>45848</v>
      </c>
      <c r="B91" t="s">
        <v>24</v>
      </c>
      <c r="C91" t="s">
        <v>747</v>
      </c>
      <c r="D91" s="3" t="str">
        <f t="shared" si="2"/>
        <v>PASS</v>
      </c>
      <c r="E91" s="3" t="str">
        <f t="shared" si="3"/>
        <v>PASS</v>
      </c>
      <c r="F91" t="s">
        <v>747</v>
      </c>
      <c r="G91" t="s">
        <v>747</v>
      </c>
      <c r="H91" s="3">
        <v>137008555.46000001</v>
      </c>
      <c r="I91" s="3">
        <v>135327888.20723599</v>
      </c>
      <c r="J91" s="3">
        <v>8686.0400000000009</v>
      </c>
      <c r="K91" s="4">
        <v>6850427.773000001</v>
      </c>
      <c r="L91" s="4">
        <v>0.23882019030502191</v>
      </c>
      <c r="M91" s="3">
        <v>3</v>
      </c>
      <c r="N91" t="s">
        <v>806</v>
      </c>
      <c r="O91" s="4">
        <v>8.1397670494321117E-2</v>
      </c>
      <c r="P91" t="s">
        <v>807</v>
      </c>
      <c r="Q91" t="s">
        <v>791</v>
      </c>
      <c r="R91" t="s">
        <v>808</v>
      </c>
    </row>
    <row r="92" spans="1:18" x14ac:dyDescent="0.4">
      <c r="A92" s="2">
        <v>45848</v>
      </c>
      <c r="B92" t="s">
        <v>25</v>
      </c>
      <c r="C92" t="s">
        <v>747</v>
      </c>
      <c r="D92" s="3" t="str">
        <f t="shared" si="2"/>
        <v>PASS</v>
      </c>
      <c r="E92" s="3" t="str">
        <f t="shared" si="3"/>
        <v>PASS</v>
      </c>
      <c r="F92" t="s">
        <v>747</v>
      </c>
      <c r="G92" t="s">
        <v>747</v>
      </c>
      <c r="H92" s="3">
        <v>102496999.77</v>
      </c>
      <c r="I92" s="3">
        <v>99329117.420407981</v>
      </c>
      <c r="J92" s="3">
        <v>6708.84</v>
      </c>
      <c r="K92" s="4">
        <v>5124849.9885</v>
      </c>
      <c r="L92" s="4">
        <v>0.22594413341505251</v>
      </c>
      <c r="M92" s="3">
        <v>3</v>
      </c>
      <c r="N92" t="s">
        <v>809</v>
      </c>
      <c r="O92" s="4">
        <v>6.7653371288606226E-2</v>
      </c>
      <c r="P92" t="s">
        <v>807</v>
      </c>
      <c r="Q92" t="s">
        <v>810</v>
      </c>
      <c r="R92" t="s">
        <v>811</v>
      </c>
    </row>
    <row r="93" spans="1:18" x14ac:dyDescent="0.4">
      <c r="A93" s="2">
        <v>45848</v>
      </c>
      <c r="B93" t="s">
        <v>26</v>
      </c>
      <c r="C93" t="s">
        <v>747</v>
      </c>
      <c r="D93" s="3" t="str">
        <f t="shared" si="2"/>
        <v>PASS</v>
      </c>
      <c r="E93" s="3" t="str">
        <f t="shared" si="3"/>
        <v>PASS</v>
      </c>
      <c r="F93" t="s">
        <v>747</v>
      </c>
      <c r="G93" t="s">
        <v>747</v>
      </c>
      <c r="H93" s="3">
        <v>23779193.329999998</v>
      </c>
      <c r="I93" s="3">
        <v>23118663.508986</v>
      </c>
      <c r="J93" s="3">
        <v>1559.81</v>
      </c>
      <c r="K93" s="4">
        <v>1188959.6665000001</v>
      </c>
      <c r="L93" s="4">
        <v>0.22558946147059111</v>
      </c>
      <c r="M93" s="3">
        <v>3</v>
      </c>
      <c r="N93" t="s">
        <v>812</v>
      </c>
      <c r="O93" s="4">
        <v>6.1563740984396133E-2</v>
      </c>
      <c r="P93" t="s">
        <v>807</v>
      </c>
      <c r="Q93" t="s">
        <v>813</v>
      </c>
      <c r="R93" t="s">
        <v>811</v>
      </c>
    </row>
    <row r="94" spans="1:18" x14ac:dyDescent="0.4">
      <c r="A94" s="2">
        <v>45848</v>
      </c>
      <c r="B94" t="s">
        <v>27</v>
      </c>
      <c r="C94" t="s">
        <v>747</v>
      </c>
      <c r="D94" s="3" t="str">
        <f t="shared" si="2"/>
        <v>PASS</v>
      </c>
      <c r="E94" s="3" t="str">
        <f t="shared" si="3"/>
        <v>PASS</v>
      </c>
      <c r="F94" t="s">
        <v>747</v>
      </c>
      <c r="G94" t="s">
        <v>747</v>
      </c>
      <c r="H94" s="3">
        <v>49081790.68</v>
      </c>
      <c r="I94" s="3">
        <v>48136935.435898013</v>
      </c>
      <c r="J94" s="3">
        <v>2997.78</v>
      </c>
      <c r="K94" s="4">
        <v>2454089.534</v>
      </c>
      <c r="L94" s="4">
        <v>0.2493441518214756</v>
      </c>
      <c r="M94" s="3">
        <v>3</v>
      </c>
      <c r="N94" t="s">
        <v>814</v>
      </c>
      <c r="O94" s="4">
        <v>0.11131146771962069</v>
      </c>
      <c r="P94" t="s">
        <v>807</v>
      </c>
      <c r="Q94" t="s">
        <v>815</v>
      </c>
      <c r="R94" t="s">
        <v>816</v>
      </c>
    </row>
    <row r="95" spans="1:18" x14ac:dyDescent="0.4">
      <c r="A95" s="2">
        <v>45848</v>
      </c>
      <c r="B95" t="s">
        <v>28</v>
      </c>
      <c r="C95" t="s">
        <v>747</v>
      </c>
      <c r="D95" s="3" t="str">
        <f t="shared" si="2"/>
        <v>PASS</v>
      </c>
      <c r="E95" s="3" t="str">
        <f t="shared" si="3"/>
        <v>PASS</v>
      </c>
      <c r="F95" t="s">
        <v>747</v>
      </c>
      <c r="G95" t="s">
        <v>747</v>
      </c>
      <c r="H95" s="3">
        <v>15433779.5</v>
      </c>
      <c r="I95" s="3">
        <v>15214687.978248</v>
      </c>
      <c r="J95" s="3">
        <v>987.2</v>
      </c>
      <c r="K95" s="4">
        <v>771688.97500000009</v>
      </c>
      <c r="L95" s="4">
        <v>0.2380418177191321</v>
      </c>
      <c r="M95" s="3">
        <v>3</v>
      </c>
      <c r="N95" t="s">
        <v>817</v>
      </c>
      <c r="O95" s="4">
        <v>9.6095644961624607E-2</v>
      </c>
      <c r="P95" t="s">
        <v>807</v>
      </c>
      <c r="Q95" t="s">
        <v>818</v>
      </c>
      <c r="R95" t="s">
        <v>819</v>
      </c>
    </row>
    <row r="96" spans="1:18" x14ac:dyDescent="0.4">
      <c r="A96" s="2">
        <v>45848</v>
      </c>
      <c r="B96" t="s">
        <v>29</v>
      </c>
      <c r="C96" t="s">
        <v>747</v>
      </c>
      <c r="D96" s="3" t="str">
        <f t="shared" si="2"/>
        <v>PASS</v>
      </c>
      <c r="E96" s="3" t="str">
        <f t="shared" si="3"/>
        <v>PASS</v>
      </c>
      <c r="F96" t="s">
        <v>747</v>
      </c>
      <c r="G96" t="s">
        <v>747</v>
      </c>
      <c r="H96" s="3">
        <v>34798134.640000001</v>
      </c>
      <c r="I96" s="3">
        <v>34435090.408313997</v>
      </c>
      <c r="J96" s="3">
        <v>2343.21</v>
      </c>
      <c r="K96" s="4">
        <v>1739906.7320000001</v>
      </c>
      <c r="L96" s="4">
        <v>0.22167250465786581</v>
      </c>
      <c r="M96" s="3">
        <v>3</v>
      </c>
      <c r="N96" t="s">
        <v>820</v>
      </c>
      <c r="O96" s="4">
        <v>4.3803008238317447E-2</v>
      </c>
      <c r="P96" t="s">
        <v>807</v>
      </c>
      <c r="Q96" t="s">
        <v>804</v>
      </c>
      <c r="R96" t="s">
        <v>788</v>
      </c>
    </row>
    <row r="97" spans="1:18" x14ac:dyDescent="0.4">
      <c r="A97" s="2">
        <v>45848</v>
      </c>
      <c r="B97" t="s">
        <v>30</v>
      </c>
      <c r="C97" t="s">
        <v>747</v>
      </c>
      <c r="D97" s="3" t="str">
        <f t="shared" si="2"/>
        <v>PASS</v>
      </c>
      <c r="E97" s="3" t="str">
        <f t="shared" si="3"/>
        <v>PASS</v>
      </c>
      <c r="F97" t="s">
        <v>747</v>
      </c>
      <c r="G97" t="s">
        <v>747</v>
      </c>
      <c r="H97" s="3">
        <v>55787421.93</v>
      </c>
      <c r="I97" s="3">
        <v>52496392.545640007</v>
      </c>
      <c r="J97" s="3">
        <v>3665.49</v>
      </c>
      <c r="K97" s="4">
        <v>2789371.0965</v>
      </c>
      <c r="L97" s="4">
        <v>0</v>
      </c>
      <c r="M97" s="3">
        <v>0</v>
      </c>
      <c r="N97" t="s">
        <v>23</v>
      </c>
      <c r="O97" s="4">
        <v>3.7859403277142982E-2</v>
      </c>
      <c r="P97" t="s">
        <v>821</v>
      </c>
      <c r="Q97" t="s">
        <v>822</v>
      </c>
      <c r="R97" t="s">
        <v>823</v>
      </c>
    </row>
    <row r="98" spans="1:18" x14ac:dyDescent="0.4">
      <c r="A98" s="2">
        <v>45848</v>
      </c>
      <c r="B98" t="s">
        <v>31</v>
      </c>
      <c r="C98" t="s">
        <v>747</v>
      </c>
      <c r="D98" s="3" t="str">
        <f t="shared" si="2"/>
        <v>PASS</v>
      </c>
      <c r="E98" s="3" t="str">
        <f t="shared" si="3"/>
        <v>PASS</v>
      </c>
      <c r="F98" t="s">
        <v>747</v>
      </c>
      <c r="G98" t="s">
        <v>747</v>
      </c>
      <c r="H98" s="3">
        <v>40484563.039999999</v>
      </c>
      <c r="I98" s="3">
        <v>38718691.19247999</v>
      </c>
      <c r="J98" s="3">
        <v>2529.25</v>
      </c>
      <c r="K98" s="4">
        <v>2024228.152</v>
      </c>
      <c r="L98" s="4">
        <v>0.23682136436395651</v>
      </c>
      <c r="M98" s="3">
        <v>3</v>
      </c>
      <c r="N98" t="s">
        <v>824</v>
      </c>
      <c r="O98" s="4">
        <v>9.8155097130572883E-2</v>
      </c>
      <c r="P98" t="s">
        <v>807</v>
      </c>
      <c r="Q98" t="s">
        <v>825</v>
      </c>
      <c r="R98" t="s">
        <v>826</v>
      </c>
    </row>
    <row r="99" spans="1:18" x14ac:dyDescent="0.4">
      <c r="A99" s="2">
        <v>45848</v>
      </c>
      <c r="B99" t="s">
        <v>32</v>
      </c>
      <c r="C99" t="s">
        <v>747</v>
      </c>
      <c r="D99" s="3" t="str">
        <f t="shared" si="2"/>
        <v>PASS</v>
      </c>
      <c r="E99" s="3" t="str">
        <f t="shared" si="3"/>
        <v>PASS</v>
      </c>
      <c r="F99" t="s">
        <v>747</v>
      </c>
      <c r="G99" t="s">
        <v>747</v>
      </c>
      <c r="H99" s="3">
        <v>78824433.579999998</v>
      </c>
      <c r="I99" s="3">
        <v>77140859.63854</v>
      </c>
      <c r="J99" s="3">
        <v>5091.09</v>
      </c>
      <c r="K99" s="4">
        <v>3941221.679</v>
      </c>
      <c r="L99" s="4">
        <v>0.23191764666541731</v>
      </c>
      <c r="M99" s="3">
        <v>3</v>
      </c>
      <c r="N99" t="s">
        <v>827</v>
      </c>
      <c r="O99" s="4">
        <v>7.6863304680660147E-2</v>
      </c>
      <c r="P99" t="s">
        <v>807</v>
      </c>
      <c r="Q99" t="s">
        <v>828</v>
      </c>
      <c r="R99" t="s">
        <v>819</v>
      </c>
    </row>
    <row r="100" spans="1:18" x14ac:dyDescent="0.4">
      <c r="A100" s="2">
        <v>45848</v>
      </c>
      <c r="B100" t="s">
        <v>33</v>
      </c>
      <c r="C100" t="s">
        <v>747</v>
      </c>
      <c r="D100" s="3" t="e">
        <f t="shared" si="2"/>
        <v>#DIV/0!</v>
      </c>
      <c r="E100" s="3" t="str">
        <f t="shared" si="3"/>
        <v>PASS</v>
      </c>
      <c r="F100" t="s">
        <v>747</v>
      </c>
      <c r="G100" t="s">
        <v>747</v>
      </c>
      <c r="H100" s="3">
        <v>0</v>
      </c>
      <c r="I100" s="3">
        <v>3513137865.957375</v>
      </c>
      <c r="J100" s="3">
        <v>0</v>
      </c>
      <c r="K100" s="4">
        <v>0</v>
      </c>
      <c r="L100" s="4">
        <v>0</v>
      </c>
      <c r="M100" s="3">
        <v>783</v>
      </c>
      <c r="N100" t="s">
        <v>778</v>
      </c>
      <c r="O100" s="4">
        <v>5.3333000000000004</v>
      </c>
      <c r="P100" t="s">
        <v>805</v>
      </c>
      <c r="Q100" t="s">
        <v>748</v>
      </c>
      <c r="R100" t="s">
        <v>748</v>
      </c>
    </row>
    <row r="101" spans="1:18" x14ac:dyDescent="0.4">
      <c r="A101" s="2">
        <v>45849</v>
      </c>
      <c r="B101" t="s">
        <v>21</v>
      </c>
      <c r="C101" t="s">
        <v>746</v>
      </c>
      <c r="D101" s="3" t="e">
        <f t="shared" si="2"/>
        <v>#DIV/0!</v>
      </c>
      <c r="E101" s="3" t="str">
        <f t="shared" si="3"/>
        <v>PASS</v>
      </c>
      <c r="F101" t="s">
        <v>746</v>
      </c>
      <c r="G101" t="s">
        <v>747</v>
      </c>
      <c r="H101" s="3">
        <v>0</v>
      </c>
      <c r="I101" s="3">
        <v>0</v>
      </c>
      <c r="J101" s="3">
        <v>0</v>
      </c>
      <c r="K101" s="4">
        <v>0</v>
      </c>
      <c r="L101" s="4">
        <v>0</v>
      </c>
      <c r="M101" s="3">
        <v>0</v>
      </c>
      <c r="N101" t="s">
        <v>23</v>
      </c>
      <c r="O101" s="4">
        <v>0</v>
      </c>
      <c r="P101" t="s">
        <v>23</v>
      </c>
      <c r="Q101" t="s">
        <v>748</v>
      </c>
      <c r="R101" t="s">
        <v>748</v>
      </c>
    </row>
    <row r="102" spans="1:18" x14ac:dyDescent="0.4">
      <c r="A102" s="2">
        <v>45849</v>
      </c>
      <c r="B102" t="s">
        <v>24</v>
      </c>
      <c r="C102" t="s">
        <v>746</v>
      </c>
      <c r="D102" s="3" t="e">
        <f t="shared" si="2"/>
        <v>#DIV/0!</v>
      </c>
      <c r="E102" s="3" t="str">
        <f t="shared" si="3"/>
        <v>PASS</v>
      </c>
      <c r="F102" t="s">
        <v>746</v>
      </c>
      <c r="G102" t="s">
        <v>747</v>
      </c>
      <c r="H102" s="3">
        <v>0</v>
      </c>
      <c r="I102" s="3">
        <v>0</v>
      </c>
      <c r="J102" s="3">
        <v>0</v>
      </c>
      <c r="K102" s="4">
        <v>0</v>
      </c>
      <c r="L102" s="4">
        <v>0</v>
      </c>
      <c r="M102" s="3">
        <v>0</v>
      </c>
      <c r="N102" t="s">
        <v>23</v>
      </c>
      <c r="O102" s="4">
        <v>0</v>
      </c>
      <c r="P102" t="s">
        <v>23</v>
      </c>
      <c r="Q102" t="s">
        <v>748</v>
      </c>
      <c r="R102" t="s">
        <v>748</v>
      </c>
    </row>
    <row r="103" spans="1:18" x14ac:dyDescent="0.4">
      <c r="A103" s="2">
        <v>45849</v>
      </c>
      <c r="B103" t="s">
        <v>25</v>
      </c>
      <c r="C103" t="s">
        <v>746</v>
      </c>
      <c r="D103" s="3" t="e">
        <f t="shared" si="2"/>
        <v>#DIV/0!</v>
      </c>
      <c r="E103" s="3" t="str">
        <f t="shared" si="3"/>
        <v>PASS</v>
      </c>
      <c r="F103" t="s">
        <v>746</v>
      </c>
      <c r="G103" t="s">
        <v>747</v>
      </c>
      <c r="H103" s="3">
        <v>0</v>
      </c>
      <c r="I103" s="3">
        <v>0</v>
      </c>
      <c r="J103" s="3">
        <v>0</v>
      </c>
      <c r="K103" s="4">
        <v>0</v>
      </c>
      <c r="L103" s="4">
        <v>0</v>
      </c>
      <c r="M103" s="3">
        <v>0</v>
      </c>
      <c r="N103" t="s">
        <v>23</v>
      </c>
      <c r="O103" s="4">
        <v>0</v>
      </c>
      <c r="P103" t="s">
        <v>23</v>
      </c>
      <c r="Q103" t="s">
        <v>748</v>
      </c>
      <c r="R103" t="s">
        <v>748</v>
      </c>
    </row>
    <row r="104" spans="1:18" x14ac:dyDescent="0.4">
      <c r="A104" s="2">
        <v>45849</v>
      </c>
      <c r="B104" t="s">
        <v>26</v>
      </c>
      <c r="C104" t="s">
        <v>746</v>
      </c>
      <c r="D104" s="3" t="e">
        <f t="shared" si="2"/>
        <v>#DIV/0!</v>
      </c>
      <c r="E104" s="3" t="str">
        <f t="shared" si="3"/>
        <v>PASS</v>
      </c>
      <c r="F104" t="s">
        <v>746</v>
      </c>
      <c r="G104" t="s">
        <v>747</v>
      </c>
      <c r="H104" s="3">
        <v>0</v>
      </c>
      <c r="I104" s="3">
        <v>0</v>
      </c>
      <c r="J104" s="3">
        <v>0</v>
      </c>
      <c r="K104" s="4">
        <v>0</v>
      </c>
      <c r="L104" s="4">
        <v>0</v>
      </c>
      <c r="M104" s="3">
        <v>0</v>
      </c>
      <c r="N104" t="s">
        <v>23</v>
      </c>
      <c r="O104" s="4">
        <v>0</v>
      </c>
      <c r="P104" t="s">
        <v>23</v>
      </c>
      <c r="Q104" t="s">
        <v>748</v>
      </c>
      <c r="R104" t="s">
        <v>748</v>
      </c>
    </row>
    <row r="105" spans="1:18" x14ac:dyDescent="0.4">
      <c r="A105" s="2">
        <v>45849</v>
      </c>
      <c r="B105" t="s">
        <v>27</v>
      </c>
      <c r="C105" t="s">
        <v>746</v>
      </c>
      <c r="D105" s="3" t="e">
        <f t="shared" si="2"/>
        <v>#DIV/0!</v>
      </c>
      <c r="E105" s="3" t="str">
        <f t="shared" si="3"/>
        <v>PASS</v>
      </c>
      <c r="F105" t="s">
        <v>746</v>
      </c>
      <c r="G105" t="s">
        <v>747</v>
      </c>
      <c r="H105" s="3">
        <v>0</v>
      </c>
      <c r="I105" s="3">
        <v>0</v>
      </c>
      <c r="J105" s="3">
        <v>0</v>
      </c>
      <c r="K105" s="4">
        <v>0</v>
      </c>
      <c r="L105" s="4">
        <v>0</v>
      </c>
      <c r="M105" s="3">
        <v>0</v>
      </c>
      <c r="N105" t="s">
        <v>23</v>
      </c>
      <c r="O105" s="4">
        <v>0</v>
      </c>
      <c r="P105" t="s">
        <v>23</v>
      </c>
      <c r="Q105" t="s">
        <v>748</v>
      </c>
      <c r="R105" t="s">
        <v>748</v>
      </c>
    </row>
    <row r="106" spans="1:18" x14ac:dyDescent="0.4">
      <c r="A106" s="2">
        <v>45849</v>
      </c>
      <c r="B106" t="s">
        <v>28</v>
      </c>
      <c r="C106" t="s">
        <v>746</v>
      </c>
      <c r="D106" s="3" t="e">
        <f t="shared" si="2"/>
        <v>#DIV/0!</v>
      </c>
      <c r="E106" s="3" t="str">
        <f t="shared" si="3"/>
        <v>PASS</v>
      </c>
      <c r="F106" t="s">
        <v>746</v>
      </c>
      <c r="G106" t="s">
        <v>747</v>
      </c>
      <c r="H106" s="3">
        <v>0</v>
      </c>
      <c r="I106" s="3">
        <v>0</v>
      </c>
      <c r="J106" s="3">
        <v>0</v>
      </c>
      <c r="K106" s="4">
        <v>0</v>
      </c>
      <c r="L106" s="4">
        <v>0</v>
      </c>
      <c r="M106" s="3">
        <v>0</v>
      </c>
      <c r="N106" t="s">
        <v>23</v>
      </c>
      <c r="O106" s="4">
        <v>0</v>
      </c>
      <c r="P106" t="s">
        <v>23</v>
      </c>
      <c r="Q106" t="s">
        <v>748</v>
      </c>
      <c r="R106" t="s">
        <v>748</v>
      </c>
    </row>
    <row r="107" spans="1:18" x14ac:dyDescent="0.4">
      <c r="A107" s="2">
        <v>45849</v>
      </c>
      <c r="B107" t="s">
        <v>29</v>
      </c>
      <c r="C107" t="s">
        <v>746</v>
      </c>
      <c r="D107" s="3" t="e">
        <f t="shared" si="2"/>
        <v>#DIV/0!</v>
      </c>
      <c r="E107" s="3" t="str">
        <f t="shared" si="3"/>
        <v>PASS</v>
      </c>
      <c r="F107" t="s">
        <v>746</v>
      </c>
      <c r="G107" t="s">
        <v>747</v>
      </c>
      <c r="H107" s="3">
        <v>0</v>
      </c>
      <c r="I107" s="3">
        <v>0</v>
      </c>
      <c r="J107" s="3">
        <v>0</v>
      </c>
      <c r="K107" s="4">
        <v>0</v>
      </c>
      <c r="L107" s="4">
        <v>0</v>
      </c>
      <c r="M107" s="3">
        <v>0</v>
      </c>
      <c r="N107" t="s">
        <v>23</v>
      </c>
      <c r="O107" s="4">
        <v>0</v>
      </c>
      <c r="P107" t="s">
        <v>23</v>
      </c>
      <c r="Q107" t="s">
        <v>748</v>
      </c>
      <c r="R107" t="s">
        <v>748</v>
      </c>
    </row>
    <row r="108" spans="1:18" x14ac:dyDescent="0.4">
      <c r="A108" s="2">
        <v>45849</v>
      </c>
      <c r="B108" t="s">
        <v>30</v>
      </c>
      <c r="C108" t="s">
        <v>746</v>
      </c>
      <c r="D108" s="3" t="e">
        <f t="shared" si="2"/>
        <v>#DIV/0!</v>
      </c>
      <c r="E108" s="3" t="str">
        <f t="shared" si="3"/>
        <v>PASS</v>
      </c>
      <c r="F108" t="s">
        <v>746</v>
      </c>
      <c r="G108" t="s">
        <v>747</v>
      </c>
      <c r="H108" s="3">
        <v>0</v>
      </c>
      <c r="I108" s="3">
        <v>0</v>
      </c>
      <c r="J108" s="3">
        <v>0</v>
      </c>
      <c r="K108" s="4">
        <v>0</v>
      </c>
      <c r="L108" s="4">
        <v>0</v>
      </c>
      <c r="M108" s="3">
        <v>0</v>
      </c>
      <c r="N108" t="s">
        <v>23</v>
      </c>
      <c r="O108" s="4">
        <v>0</v>
      </c>
      <c r="P108" t="s">
        <v>23</v>
      </c>
      <c r="Q108" t="s">
        <v>748</v>
      </c>
      <c r="R108" t="s">
        <v>748</v>
      </c>
    </row>
    <row r="109" spans="1:18" x14ac:dyDescent="0.4">
      <c r="A109" s="2">
        <v>45849</v>
      </c>
      <c r="B109" t="s">
        <v>31</v>
      </c>
      <c r="C109" t="s">
        <v>746</v>
      </c>
      <c r="D109" s="3" t="e">
        <f t="shared" si="2"/>
        <v>#DIV/0!</v>
      </c>
      <c r="E109" s="3" t="str">
        <f t="shared" si="3"/>
        <v>PASS</v>
      </c>
      <c r="F109" t="s">
        <v>746</v>
      </c>
      <c r="G109" t="s">
        <v>747</v>
      </c>
      <c r="H109" s="3">
        <v>0</v>
      </c>
      <c r="I109" s="3">
        <v>0</v>
      </c>
      <c r="J109" s="3">
        <v>0</v>
      </c>
      <c r="K109" s="4">
        <v>0</v>
      </c>
      <c r="L109" s="4">
        <v>0</v>
      </c>
      <c r="M109" s="3">
        <v>0</v>
      </c>
      <c r="N109" t="s">
        <v>23</v>
      </c>
      <c r="O109" s="4">
        <v>0</v>
      </c>
      <c r="P109" t="s">
        <v>23</v>
      </c>
      <c r="Q109" t="s">
        <v>748</v>
      </c>
      <c r="R109" t="s">
        <v>748</v>
      </c>
    </row>
    <row r="110" spans="1:18" x14ac:dyDescent="0.4">
      <c r="A110" s="2">
        <v>45849</v>
      </c>
      <c r="B110" t="s">
        <v>32</v>
      </c>
      <c r="C110" t="s">
        <v>746</v>
      </c>
      <c r="D110" s="3" t="e">
        <f t="shared" si="2"/>
        <v>#DIV/0!</v>
      </c>
      <c r="E110" s="3" t="str">
        <f t="shared" si="3"/>
        <v>PASS</v>
      </c>
      <c r="F110" t="s">
        <v>746</v>
      </c>
      <c r="G110" t="s">
        <v>747</v>
      </c>
      <c r="H110" s="3">
        <v>0</v>
      </c>
      <c r="I110" s="3">
        <v>0</v>
      </c>
      <c r="J110" s="3">
        <v>0</v>
      </c>
      <c r="K110" s="4">
        <v>0</v>
      </c>
      <c r="L110" s="4">
        <v>0</v>
      </c>
      <c r="M110" s="3">
        <v>0</v>
      </c>
      <c r="N110" t="s">
        <v>23</v>
      </c>
      <c r="O110" s="4">
        <v>0</v>
      </c>
      <c r="P110" t="s">
        <v>23</v>
      </c>
      <c r="Q110" t="s">
        <v>748</v>
      </c>
      <c r="R110" t="s">
        <v>748</v>
      </c>
    </row>
    <row r="111" spans="1:18" x14ac:dyDescent="0.4">
      <c r="A111" s="2">
        <v>45849</v>
      </c>
      <c r="B111" t="s">
        <v>33</v>
      </c>
      <c r="C111" t="s">
        <v>746</v>
      </c>
      <c r="D111" s="3" t="e">
        <f t="shared" si="2"/>
        <v>#DIV/0!</v>
      </c>
      <c r="E111" s="3" t="str">
        <f t="shared" si="3"/>
        <v>PASS</v>
      </c>
      <c r="F111" t="s">
        <v>746</v>
      </c>
      <c r="G111" t="s">
        <v>747</v>
      </c>
      <c r="H111" s="3">
        <v>0</v>
      </c>
      <c r="I111" s="3">
        <v>0</v>
      </c>
      <c r="J111" s="3">
        <v>0</v>
      </c>
      <c r="K111" s="4">
        <v>0</v>
      </c>
      <c r="L111" s="4">
        <v>0</v>
      </c>
      <c r="M111" s="3">
        <v>0</v>
      </c>
      <c r="N111" t="s">
        <v>23</v>
      </c>
      <c r="O111" s="4">
        <v>0</v>
      </c>
      <c r="P111" t="s">
        <v>23</v>
      </c>
      <c r="Q111" t="s">
        <v>748</v>
      </c>
      <c r="R111" t="s">
        <v>748</v>
      </c>
    </row>
    <row r="112" spans="1:18" x14ac:dyDescent="0.4">
      <c r="A112" s="2">
        <v>45852</v>
      </c>
      <c r="B112" t="s">
        <v>21</v>
      </c>
      <c r="C112" t="s">
        <v>747</v>
      </c>
      <c r="D112" s="3" t="e">
        <f t="shared" si="2"/>
        <v>#DIV/0!</v>
      </c>
      <c r="E112" s="3" t="str">
        <f t="shared" si="3"/>
        <v>PASS</v>
      </c>
      <c r="F112" t="s">
        <v>747</v>
      </c>
      <c r="G112" t="s">
        <v>747</v>
      </c>
      <c r="H112" s="3">
        <v>0</v>
      </c>
      <c r="I112" s="3">
        <v>3728537838.6655598</v>
      </c>
      <c r="J112" s="3">
        <v>0</v>
      </c>
      <c r="K112" s="4">
        <v>0</v>
      </c>
      <c r="L112" s="4">
        <v>0</v>
      </c>
      <c r="M112" s="3">
        <v>827</v>
      </c>
      <c r="N112" t="s">
        <v>829</v>
      </c>
      <c r="O112" s="4">
        <v>5.4127999999999998</v>
      </c>
      <c r="P112" t="s">
        <v>830</v>
      </c>
      <c r="Q112" t="s">
        <v>748</v>
      </c>
      <c r="R112" t="s">
        <v>748</v>
      </c>
    </row>
    <row r="113" spans="1:18" x14ac:dyDescent="0.4">
      <c r="A113" s="2">
        <v>45852</v>
      </c>
      <c r="B113" t="s">
        <v>24</v>
      </c>
      <c r="C113" t="s">
        <v>747</v>
      </c>
      <c r="D113" s="3" t="str">
        <f t="shared" si="2"/>
        <v>PASS</v>
      </c>
      <c r="E113" s="3" t="str">
        <f t="shared" si="3"/>
        <v>PASS</v>
      </c>
      <c r="F113" t="s">
        <v>747</v>
      </c>
      <c r="G113" t="s">
        <v>747</v>
      </c>
      <c r="H113" s="3">
        <v>136970085.61000001</v>
      </c>
      <c r="I113" s="3">
        <v>134159655.57066</v>
      </c>
      <c r="J113" s="3">
        <v>8677.86</v>
      </c>
      <c r="K113" s="4">
        <v>6848504.2805000013</v>
      </c>
      <c r="L113" s="4">
        <v>0.23719770367062989</v>
      </c>
      <c r="M113" s="3">
        <v>3</v>
      </c>
      <c r="N113" t="s">
        <v>831</v>
      </c>
      <c r="O113" s="4">
        <v>8.1368098895649069E-2</v>
      </c>
      <c r="P113" t="s">
        <v>832</v>
      </c>
      <c r="Q113" t="s">
        <v>833</v>
      </c>
      <c r="R113" t="s">
        <v>834</v>
      </c>
    </row>
    <row r="114" spans="1:18" x14ac:dyDescent="0.4">
      <c r="A114" s="2">
        <v>45852</v>
      </c>
      <c r="B114" t="s">
        <v>25</v>
      </c>
      <c r="C114" t="s">
        <v>747</v>
      </c>
      <c r="D114" s="3" t="str">
        <f t="shared" si="2"/>
        <v>PASS</v>
      </c>
      <c r="E114" s="3" t="str">
        <f t="shared" si="3"/>
        <v>PASS</v>
      </c>
      <c r="F114" t="s">
        <v>747</v>
      </c>
      <c r="G114" t="s">
        <v>747</v>
      </c>
      <c r="H114" s="3">
        <v>102485674.81999999</v>
      </c>
      <c r="I114" s="3">
        <v>98606827.492670015</v>
      </c>
      <c r="J114" s="3">
        <v>6700.63</v>
      </c>
      <c r="K114" s="4">
        <v>5124283.7410000004</v>
      </c>
      <c r="L114" s="4">
        <v>0.22470062330907031</v>
      </c>
      <c r="M114" s="3">
        <v>3</v>
      </c>
      <c r="N114" t="s">
        <v>835</v>
      </c>
      <c r="O114" s="4">
        <v>6.8270067148004945E-2</v>
      </c>
      <c r="P114" t="s">
        <v>832</v>
      </c>
      <c r="Q114" t="s">
        <v>836</v>
      </c>
      <c r="R114" t="s">
        <v>786</v>
      </c>
    </row>
    <row r="115" spans="1:18" x14ac:dyDescent="0.4">
      <c r="A115" s="2">
        <v>45852</v>
      </c>
      <c r="B115" t="s">
        <v>26</v>
      </c>
      <c r="C115" t="s">
        <v>747</v>
      </c>
      <c r="D115" s="3" t="str">
        <f t="shared" si="2"/>
        <v>PASS</v>
      </c>
      <c r="E115" s="3" t="str">
        <f t="shared" si="3"/>
        <v>PASS</v>
      </c>
      <c r="F115" t="s">
        <v>747</v>
      </c>
      <c r="G115" t="s">
        <v>747</v>
      </c>
      <c r="H115" s="3">
        <v>23779205.300000001</v>
      </c>
      <c r="I115" s="3">
        <v>22959248.633900002</v>
      </c>
      <c r="J115" s="3">
        <v>1558.29</v>
      </c>
      <c r="K115" s="4">
        <v>1188960.2649999999</v>
      </c>
      <c r="L115" s="4">
        <v>0.22430769979582391</v>
      </c>
      <c r="M115" s="3">
        <v>3</v>
      </c>
      <c r="N115" t="s">
        <v>837</v>
      </c>
      <c r="O115" s="4">
        <v>6.2117895205690478E-2</v>
      </c>
      <c r="P115" t="s">
        <v>832</v>
      </c>
      <c r="Q115" t="s">
        <v>826</v>
      </c>
      <c r="R115" t="s">
        <v>788</v>
      </c>
    </row>
    <row r="116" spans="1:18" x14ac:dyDescent="0.4">
      <c r="A116" s="2">
        <v>45852</v>
      </c>
      <c r="B116" t="s">
        <v>27</v>
      </c>
      <c r="C116" t="s">
        <v>747</v>
      </c>
      <c r="D116" s="3" t="str">
        <f t="shared" si="2"/>
        <v>PASS</v>
      </c>
      <c r="E116" s="3" t="str">
        <f t="shared" si="3"/>
        <v>PASS</v>
      </c>
      <c r="F116" t="s">
        <v>747</v>
      </c>
      <c r="G116" t="s">
        <v>747</v>
      </c>
      <c r="H116" s="3">
        <v>49056498.590000004</v>
      </c>
      <c r="I116" s="3">
        <v>47822889.067699999</v>
      </c>
      <c r="J116" s="3">
        <v>2994.35</v>
      </c>
      <c r="K116" s="4">
        <v>2452824.9295000001</v>
      </c>
      <c r="L116" s="4">
        <v>0.24827149559607919</v>
      </c>
      <c r="M116" s="3">
        <v>3</v>
      </c>
      <c r="N116" t="s">
        <v>838</v>
      </c>
      <c r="O116" s="4">
        <v>0.1116408703864651</v>
      </c>
      <c r="P116" t="s">
        <v>832</v>
      </c>
      <c r="Q116" t="s">
        <v>839</v>
      </c>
      <c r="R116" t="s">
        <v>840</v>
      </c>
    </row>
    <row r="117" spans="1:18" x14ac:dyDescent="0.4">
      <c r="A117" s="2">
        <v>45852</v>
      </c>
      <c r="B117" t="s">
        <v>28</v>
      </c>
      <c r="C117" t="s">
        <v>747</v>
      </c>
      <c r="D117" s="3" t="str">
        <f t="shared" si="2"/>
        <v>PASS</v>
      </c>
      <c r="E117" s="3" t="str">
        <f t="shared" si="3"/>
        <v>PASS</v>
      </c>
      <c r="F117" t="s">
        <v>747</v>
      </c>
      <c r="G117" t="s">
        <v>747</v>
      </c>
      <c r="H117" s="3">
        <v>15428542.75</v>
      </c>
      <c r="I117" s="3">
        <v>15075993.82185</v>
      </c>
      <c r="J117" s="3">
        <v>985.9</v>
      </c>
      <c r="K117" s="4">
        <v>771427.13750000007</v>
      </c>
      <c r="L117" s="4">
        <v>0.2362378040927956</v>
      </c>
      <c r="M117" s="3">
        <v>3</v>
      </c>
      <c r="N117" t="s">
        <v>841</v>
      </c>
      <c r="O117" s="4">
        <v>9.6349798807149167E-2</v>
      </c>
      <c r="P117" t="s">
        <v>832</v>
      </c>
      <c r="Q117" t="s">
        <v>842</v>
      </c>
      <c r="R117" t="s">
        <v>801</v>
      </c>
    </row>
    <row r="118" spans="1:18" x14ac:dyDescent="0.4">
      <c r="A118" s="2">
        <v>45852</v>
      </c>
      <c r="B118" t="s">
        <v>29</v>
      </c>
      <c r="C118" t="s">
        <v>747</v>
      </c>
      <c r="D118" s="3" t="str">
        <f t="shared" si="2"/>
        <v>PASS</v>
      </c>
      <c r="E118" s="3" t="str">
        <f t="shared" si="3"/>
        <v>PASS</v>
      </c>
      <c r="F118" t="s">
        <v>747</v>
      </c>
      <c r="G118" t="s">
        <v>747</v>
      </c>
      <c r="H118" s="3">
        <v>34791885.159999996</v>
      </c>
      <c r="I118" s="3">
        <v>34174918.266029999</v>
      </c>
      <c r="J118" s="3">
        <v>2341.5700000000002</v>
      </c>
      <c r="K118" s="4">
        <v>1739594.2579999999</v>
      </c>
      <c r="L118" s="4">
        <v>0.22035896819549181</v>
      </c>
      <c r="M118" s="3">
        <v>3</v>
      </c>
      <c r="N118" t="s">
        <v>843</v>
      </c>
      <c r="O118" s="4">
        <v>4.4297878569739463E-2</v>
      </c>
      <c r="P118" t="s">
        <v>832</v>
      </c>
      <c r="Q118" t="s">
        <v>844</v>
      </c>
      <c r="R118" t="s">
        <v>786</v>
      </c>
    </row>
    <row r="119" spans="1:18" x14ac:dyDescent="0.4">
      <c r="A119" s="2">
        <v>45852</v>
      </c>
      <c r="B119" t="s">
        <v>30</v>
      </c>
      <c r="C119" t="s">
        <v>747</v>
      </c>
      <c r="D119" s="3" t="str">
        <f t="shared" si="2"/>
        <v>PASS</v>
      </c>
      <c r="E119" s="3" t="str">
        <f t="shared" si="3"/>
        <v>PASS</v>
      </c>
      <c r="F119" t="s">
        <v>747</v>
      </c>
      <c r="G119" t="s">
        <v>747</v>
      </c>
      <c r="H119" s="3">
        <v>55599519.789999999</v>
      </c>
      <c r="I119" s="3">
        <v>52281103.388053998</v>
      </c>
      <c r="J119" s="3">
        <v>3653.68</v>
      </c>
      <c r="K119" s="4">
        <v>2779975.9895000001</v>
      </c>
      <c r="L119" s="4">
        <v>0</v>
      </c>
      <c r="M119" s="3">
        <v>0</v>
      </c>
      <c r="N119" t="s">
        <v>23</v>
      </c>
      <c r="O119" s="4">
        <v>3.8308051743948343E-2</v>
      </c>
      <c r="P119" t="s">
        <v>845</v>
      </c>
      <c r="Q119" t="s">
        <v>846</v>
      </c>
      <c r="R119" t="s">
        <v>847</v>
      </c>
    </row>
    <row r="120" spans="1:18" x14ac:dyDescent="0.4">
      <c r="A120" s="2">
        <v>45852</v>
      </c>
      <c r="B120" t="s">
        <v>31</v>
      </c>
      <c r="C120" t="s">
        <v>747</v>
      </c>
      <c r="D120" s="3" t="str">
        <f t="shared" si="2"/>
        <v>PASS</v>
      </c>
      <c r="E120" s="3" t="str">
        <f t="shared" si="3"/>
        <v>PASS</v>
      </c>
      <c r="F120" t="s">
        <v>747</v>
      </c>
      <c r="G120" t="s">
        <v>747</v>
      </c>
      <c r="H120" s="3">
        <v>40465790.909999996</v>
      </c>
      <c r="I120" s="3">
        <v>38477347.788520001</v>
      </c>
      <c r="J120" s="3">
        <v>2525.5700000000002</v>
      </c>
      <c r="K120" s="4">
        <v>2023289.5455</v>
      </c>
      <c r="L120" s="4">
        <v>0.23581909102497181</v>
      </c>
      <c r="M120" s="3">
        <v>3</v>
      </c>
      <c r="N120" t="s">
        <v>848</v>
      </c>
      <c r="O120" s="4">
        <v>9.8719061500730718E-2</v>
      </c>
      <c r="P120" t="s">
        <v>832</v>
      </c>
      <c r="Q120" t="s">
        <v>849</v>
      </c>
      <c r="R120" t="s">
        <v>810</v>
      </c>
    </row>
    <row r="121" spans="1:18" x14ac:dyDescent="0.4">
      <c r="A121" s="2">
        <v>45852</v>
      </c>
      <c r="B121" t="s">
        <v>32</v>
      </c>
      <c r="C121" t="s">
        <v>747</v>
      </c>
      <c r="D121" s="3" t="str">
        <f t="shared" si="2"/>
        <v>PASS</v>
      </c>
      <c r="E121" s="3" t="str">
        <f t="shared" si="3"/>
        <v>PASS</v>
      </c>
      <c r="F121" t="s">
        <v>747</v>
      </c>
      <c r="G121" t="s">
        <v>747</v>
      </c>
      <c r="H121" s="3">
        <v>78794732.390000001</v>
      </c>
      <c r="I121" s="3">
        <v>76563756.624439999</v>
      </c>
      <c r="J121" s="3">
        <v>5086.0200000000004</v>
      </c>
      <c r="K121" s="4">
        <v>3939736.6195</v>
      </c>
      <c r="L121" s="4">
        <v>0.230574703297173</v>
      </c>
      <c r="M121" s="3">
        <v>3</v>
      </c>
      <c r="N121" t="s">
        <v>850</v>
      </c>
      <c r="O121" s="4">
        <v>7.694544861744404E-2</v>
      </c>
      <c r="P121" t="s">
        <v>832</v>
      </c>
      <c r="Q121" t="s">
        <v>851</v>
      </c>
      <c r="R121" t="s">
        <v>801</v>
      </c>
    </row>
    <row r="122" spans="1:18" x14ac:dyDescent="0.4">
      <c r="A122" s="2">
        <v>45852</v>
      </c>
      <c r="B122" t="s">
        <v>33</v>
      </c>
      <c r="C122" t="s">
        <v>747</v>
      </c>
      <c r="D122" s="3" t="e">
        <f t="shared" si="2"/>
        <v>#DIV/0!</v>
      </c>
      <c r="E122" s="3" t="str">
        <f t="shared" si="3"/>
        <v>PASS</v>
      </c>
      <c r="F122" t="s">
        <v>747</v>
      </c>
      <c r="G122" t="s">
        <v>747</v>
      </c>
      <c r="H122" s="3">
        <v>0</v>
      </c>
      <c r="I122" s="3">
        <v>3728537838.6655598</v>
      </c>
      <c r="J122" s="3">
        <v>0</v>
      </c>
      <c r="K122" s="4">
        <v>0</v>
      </c>
      <c r="L122" s="4">
        <v>0</v>
      </c>
      <c r="M122" s="3">
        <v>827</v>
      </c>
      <c r="N122" t="s">
        <v>829</v>
      </c>
      <c r="O122" s="4">
        <v>5.4127999999999998</v>
      </c>
      <c r="P122" t="s">
        <v>830</v>
      </c>
      <c r="Q122" t="s">
        <v>748</v>
      </c>
      <c r="R122" t="s">
        <v>748</v>
      </c>
    </row>
    <row r="123" spans="1:18" x14ac:dyDescent="0.4">
      <c r="A123" s="2">
        <v>45853</v>
      </c>
      <c r="B123" t="s">
        <v>21</v>
      </c>
      <c r="C123" t="s">
        <v>747</v>
      </c>
      <c r="D123" s="3" t="e">
        <f t="shared" si="2"/>
        <v>#DIV/0!</v>
      </c>
      <c r="E123" s="3" t="str">
        <f t="shared" si="3"/>
        <v>PASS</v>
      </c>
      <c r="F123" t="s">
        <v>747</v>
      </c>
      <c r="G123" t="s">
        <v>747</v>
      </c>
      <c r="H123" s="3">
        <v>0</v>
      </c>
      <c r="I123" s="3">
        <v>3733634402.5763998</v>
      </c>
      <c r="J123" s="3">
        <v>0</v>
      </c>
      <c r="K123" s="4">
        <v>0</v>
      </c>
      <c r="L123" s="4">
        <v>0</v>
      </c>
      <c r="M123" s="3">
        <v>827</v>
      </c>
      <c r="N123" t="s">
        <v>829</v>
      </c>
      <c r="O123" s="4">
        <v>5.4055999999999997</v>
      </c>
      <c r="P123" t="s">
        <v>852</v>
      </c>
      <c r="Q123" t="s">
        <v>748</v>
      </c>
      <c r="R123" t="s">
        <v>748</v>
      </c>
    </row>
    <row r="124" spans="1:18" x14ac:dyDescent="0.4">
      <c r="A124" s="2">
        <v>45853</v>
      </c>
      <c r="B124" t="s">
        <v>24</v>
      </c>
      <c r="C124" t="s">
        <v>747</v>
      </c>
      <c r="D124" s="3" t="str">
        <f t="shared" si="2"/>
        <v>PASS</v>
      </c>
      <c r="E124" s="3" t="str">
        <f t="shared" si="3"/>
        <v>PASS</v>
      </c>
      <c r="F124" t="s">
        <v>747</v>
      </c>
      <c r="G124" t="s">
        <v>747</v>
      </c>
      <c r="H124" s="3">
        <v>136768553.56999999</v>
      </c>
      <c r="I124" s="3">
        <v>134401484.72065699</v>
      </c>
      <c r="J124" s="3">
        <v>8691.4699999999993</v>
      </c>
      <c r="K124" s="4">
        <v>6838427.6785000004</v>
      </c>
      <c r="L124" s="4">
        <v>0.2414517900931116</v>
      </c>
      <c r="M124" s="3">
        <v>3</v>
      </c>
      <c r="N124" t="s">
        <v>853</v>
      </c>
      <c r="O124" s="4">
        <v>8.1646269520147849E-2</v>
      </c>
      <c r="P124" t="s">
        <v>854</v>
      </c>
      <c r="Q124" t="s">
        <v>855</v>
      </c>
      <c r="R124" t="s">
        <v>856</v>
      </c>
    </row>
    <row r="125" spans="1:18" x14ac:dyDescent="0.4">
      <c r="A125" s="2">
        <v>45853</v>
      </c>
      <c r="B125" t="s">
        <v>25</v>
      </c>
      <c r="C125" t="s">
        <v>747</v>
      </c>
      <c r="D125" s="3" t="str">
        <f t="shared" si="2"/>
        <v>PASS</v>
      </c>
      <c r="E125" s="3" t="str">
        <f t="shared" si="3"/>
        <v>PASS</v>
      </c>
      <c r="F125" t="s">
        <v>747</v>
      </c>
      <c r="G125" t="s">
        <v>747</v>
      </c>
      <c r="H125" s="3">
        <v>102367614.56</v>
      </c>
      <c r="I125" s="3">
        <v>98781534.816616997</v>
      </c>
      <c r="J125" s="3">
        <v>6709.39</v>
      </c>
      <c r="K125" s="4">
        <v>5118380.7280000001</v>
      </c>
      <c r="L125" s="4">
        <v>0.228689357780748</v>
      </c>
      <c r="M125" s="3">
        <v>3</v>
      </c>
      <c r="N125" t="s">
        <v>857</v>
      </c>
      <c r="O125" s="4">
        <v>6.8378465266613134E-2</v>
      </c>
      <c r="P125" t="s">
        <v>854</v>
      </c>
      <c r="Q125" t="s">
        <v>858</v>
      </c>
      <c r="R125" t="s">
        <v>859</v>
      </c>
    </row>
    <row r="126" spans="1:18" x14ac:dyDescent="0.4">
      <c r="A126" s="2">
        <v>45853</v>
      </c>
      <c r="B126" t="s">
        <v>26</v>
      </c>
      <c r="C126" t="s">
        <v>747</v>
      </c>
      <c r="D126" s="3" t="str">
        <f t="shared" si="2"/>
        <v>PASS</v>
      </c>
      <c r="E126" s="3" t="str">
        <f t="shared" si="3"/>
        <v>PASS</v>
      </c>
      <c r="F126" t="s">
        <v>747</v>
      </c>
      <c r="G126" t="s">
        <v>747</v>
      </c>
      <c r="H126" s="3">
        <v>23750645.699999999</v>
      </c>
      <c r="I126" s="3">
        <v>22992099.805984002</v>
      </c>
      <c r="J126" s="3">
        <v>1560.65</v>
      </c>
      <c r="K126" s="4">
        <v>1187532.2849999999</v>
      </c>
      <c r="L126" s="4">
        <v>0.22834712969095949</v>
      </c>
      <c r="M126" s="3">
        <v>3</v>
      </c>
      <c r="N126" t="s">
        <v>860</v>
      </c>
      <c r="O126" s="4">
        <v>6.2207749913258149E-2</v>
      </c>
      <c r="P126" t="s">
        <v>854</v>
      </c>
      <c r="Q126" t="s">
        <v>810</v>
      </c>
      <c r="R126" t="s">
        <v>861</v>
      </c>
    </row>
    <row r="127" spans="1:18" x14ac:dyDescent="0.4">
      <c r="A127" s="2">
        <v>45853</v>
      </c>
      <c r="B127" t="s">
        <v>27</v>
      </c>
      <c r="C127" t="s">
        <v>747</v>
      </c>
      <c r="D127" s="3" t="str">
        <f t="shared" si="2"/>
        <v>PASS</v>
      </c>
      <c r="E127" s="3" t="str">
        <f t="shared" si="3"/>
        <v>PASS</v>
      </c>
      <c r="F127" t="s">
        <v>747</v>
      </c>
      <c r="G127" t="s">
        <v>747</v>
      </c>
      <c r="H127" s="3">
        <v>48975733.939999998</v>
      </c>
      <c r="I127" s="3">
        <v>47881522.68303901</v>
      </c>
      <c r="J127" s="3">
        <v>2999.04</v>
      </c>
      <c r="K127" s="4">
        <v>2448786.6970000002</v>
      </c>
      <c r="L127" s="4">
        <v>0.25243405182325568</v>
      </c>
      <c r="M127" s="3">
        <v>3</v>
      </c>
      <c r="N127" t="s">
        <v>862</v>
      </c>
      <c r="O127" s="4">
        <v>0.11169900201477211</v>
      </c>
      <c r="P127" t="s">
        <v>854</v>
      </c>
      <c r="Q127" t="s">
        <v>815</v>
      </c>
      <c r="R127" t="s">
        <v>863</v>
      </c>
    </row>
    <row r="128" spans="1:18" x14ac:dyDescent="0.4">
      <c r="A128" s="2">
        <v>45853</v>
      </c>
      <c r="B128" t="s">
        <v>28</v>
      </c>
      <c r="C128" t="s">
        <v>747</v>
      </c>
      <c r="D128" s="3" t="str">
        <f t="shared" si="2"/>
        <v>PASS</v>
      </c>
      <c r="E128" s="3" t="str">
        <f t="shared" si="3"/>
        <v>PASS</v>
      </c>
      <c r="F128" t="s">
        <v>747</v>
      </c>
      <c r="G128" t="s">
        <v>747</v>
      </c>
      <c r="H128" s="3">
        <v>15405728.48</v>
      </c>
      <c r="I128" s="3">
        <v>15095129.691267001</v>
      </c>
      <c r="J128" s="3">
        <v>987.34</v>
      </c>
      <c r="K128" s="4">
        <v>770286.42400000012</v>
      </c>
      <c r="L128" s="4">
        <v>0.2403436631461299</v>
      </c>
      <c r="M128" s="3">
        <v>3</v>
      </c>
      <c r="N128" t="s">
        <v>864</v>
      </c>
      <c r="O128" s="4">
        <v>9.6630506645603284E-2</v>
      </c>
      <c r="P128" t="s">
        <v>854</v>
      </c>
      <c r="Q128" t="s">
        <v>865</v>
      </c>
      <c r="R128" t="s">
        <v>826</v>
      </c>
    </row>
    <row r="129" spans="1:18" x14ac:dyDescent="0.4">
      <c r="A129" s="2">
        <v>45853</v>
      </c>
      <c r="B129" t="s">
        <v>29</v>
      </c>
      <c r="C129" t="s">
        <v>747</v>
      </c>
      <c r="D129" s="3" t="str">
        <f t="shared" si="2"/>
        <v>PASS</v>
      </c>
      <c r="E129" s="3" t="str">
        <f t="shared" si="3"/>
        <v>PASS</v>
      </c>
      <c r="F129" t="s">
        <v>747</v>
      </c>
      <c r="G129" t="s">
        <v>747</v>
      </c>
      <c r="H129" s="3">
        <v>34735284.490000002</v>
      </c>
      <c r="I129" s="3">
        <v>34233859.574277997</v>
      </c>
      <c r="J129" s="3">
        <v>2345.4699999999998</v>
      </c>
      <c r="K129" s="4">
        <v>1736764.2245</v>
      </c>
      <c r="L129" s="4">
        <v>0.22453412537333581</v>
      </c>
      <c r="M129" s="3">
        <v>3</v>
      </c>
      <c r="N129" t="s">
        <v>866</v>
      </c>
      <c r="O129" s="4">
        <v>4.427517513843169E-2</v>
      </c>
      <c r="P129" t="s">
        <v>854</v>
      </c>
      <c r="Q129" t="s">
        <v>867</v>
      </c>
      <c r="R129" t="s">
        <v>859</v>
      </c>
    </row>
    <row r="130" spans="1:18" x14ac:dyDescent="0.4">
      <c r="A130" s="2">
        <v>45853</v>
      </c>
      <c r="B130" t="s">
        <v>30</v>
      </c>
      <c r="C130" t="s">
        <v>747</v>
      </c>
      <c r="D130" s="3" t="str">
        <f t="shared" ref="D130:D193" si="4">IF(I130/H130&gt;=0.5,"PASS","FAIL")</f>
        <v>PASS</v>
      </c>
      <c r="E130" s="3" t="str">
        <f t="shared" ref="E130:E193" si="5">IF(L130&lt;=0.5,"PASS","FAIL")</f>
        <v>PASS</v>
      </c>
      <c r="F130" t="s">
        <v>747</v>
      </c>
      <c r="G130" t="s">
        <v>747</v>
      </c>
      <c r="H130" s="3">
        <v>54947598.159999996</v>
      </c>
      <c r="I130" s="3">
        <v>51653420.854259998</v>
      </c>
      <c r="J130" s="3">
        <v>3657.38</v>
      </c>
      <c r="K130" s="4">
        <v>2747379.9079999998</v>
      </c>
      <c r="L130" s="4">
        <v>0</v>
      </c>
      <c r="M130" s="3">
        <v>0</v>
      </c>
      <c r="N130" t="s">
        <v>23</v>
      </c>
      <c r="O130" s="4">
        <v>3.8674767913822863E-2</v>
      </c>
      <c r="P130" t="s">
        <v>868</v>
      </c>
      <c r="Q130" t="s">
        <v>846</v>
      </c>
      <c r="R130" t="s">
        <v>869</v>
      </c>
    </row>
    <row r="131" spans="1:18" x14ac:dyDescent="0.4">
      <c r="A131" s="2">
        <v>45853</v>
      </c>
      <c r="B131" t="s">
        <v>31</v>
      </c>
      <c r="C131" t="s">
        <v>747</v>
      </c>
      <c r="D131" s="3" t="str">
        <f t="shared" si="4"/>
        <v>PASS</v>
      </c>
      <c r="E131" s="3" t="str">
        <f t="shared" si="5"/>
        <v>PASS</v>
      </c>
      <c r="F131" t="s">
        <v>747</v>
      </c>
      <c r="G131" t="s">
        <v>747</v>
      </c>
      <c r="H131" s="3">
        <v>40407677.479999997</v>
      </c>
      <c r="I131" s="3">
        <v>38523568.245009013</v>
      </c>
      <c r="J131" s="3">
        <v>2528.96</v>
      </c>
      <c r="K131" s="4">
        <v>2020383.8740000001</v>
      </c>
      <c r="L131" s="4">
        <v>0.2398025035669604</v>
      </c>
      <c r="M131" s="3">
        <v>3</v>
      </c>
      <c r="N131" t="s">
        <v>870</v>
      </c>
      <c r="O131" s="4">
        <v>9.8784024149486949E-2</v>
      </c>
      <c r="P131" t="s">
        <v>854</v>
      </c>
      <c r="Q131" t="s">
        <v>871</v>
      </c>
      <c r="R131" t="s">
        <v>836</v>
      </c>
    </row>
    <row r="132" spans="1:18" x14ac:dyDescent="0.4">
      <c r="A132" s="2">
        <v>45853</v>
      </c>
      <c r="B132" t="s">
        <v>32</v>
      </c>
      <c r="C132" t="s">
        <v>747</v>
      </c>
      <c r="D132" s="3" t="str">
        <f t="shared" si="4"/>
        <v>PASS</v>
      </c>
      <c r="E132" s="3" t="str">
        <f t="shared" si="5"/>
        <v>PASS</v>
      </c>
      <c r="F132" t="s">
        <v>747</v>
      </c>
      <c r="G132" t="s">
        <v>747</v>
      </c>
      <c r="H132" s="3">
        <v>78676402.310000002</v>
      </c>
      <c r="I132" s="3">
        <v>76695283.768611997</v>
      </c>
      <c r="J132" s="3">
        <v>5093.59</v>
      </c>
      <c r="K132" s="4">
        <v>3933820.1154999998</v>
      </c>
      <c r="L132" s="4">
        <v>0.23476898254055251</v>
      </c>
      <c r="M132" s="3">
        <v>3</v>
      </c>
      <c r="N132" t="s">
        <v>872</v>
      </c>
      <c r="O132" s="4">
        <v>7.7303393190857272E-2</v>
      </c>
      <c r="P132" t="s">
        <v>854</v>
      </c>
      <c r="Q132" t="s">
        <v>873</v>
      </c>
      <c r="R132" t="s">
        <v>826</v>
      </c>
    </row>
    <row r="133" spans="1:18" x14ac:dyDescent="0.4">
      <c r="A133" s="2">
        <v>45853</v>
      </c>
      <c r="B133" t="s">
        <v>33</v>
      </c>
      <c r="C133" t="s">
        <v>747</v>
      </c>
      <c r="D133" s="3" t="e">
        <f t="shared" si="4"/>
        <v>#DIV/0!</v>
      </c>
      <c r="E133" s="3" t="str">
        <f t="shared" si="5"/>
        <v>PASS</v>
      </c>
      <c r="F133" t="s">
        <v>747</v>
      </c>
      <c r="G133" t="s">
        <v>747</v>
      </c>
      <c r="H133" s="3">
        <v>0</v>
      </c>
      <c r="I133" s="3">
        <v>3733634402.5763998</v>
      </c>
      <c r="J133" s="3">
        <v>0</v>
      </c>
      <c r="K133" s="4">
        <v>0</v>
      </c>
      <c r="L133" s="4">
        <v>0</v>
      </c>
      <c r="M133" s="3">
        <v>827</v>
      </c>
      <c r="N133" t="s">
        <v>829</v>
      </c>
      <c r="O133" s="4">
        <v>5.4055999999999997</v>
      </c>
      <c r="P133" t="s">
        <v>852</v>
      </c>
      <c r="Q133" t="s">
        <v>748</v>
      </c>
      <c r="R133" t="s">
        <v>748</v>
      </c>
    </row>
    <row r="134" spans="1:18" x14ac:dyDescent="0.4">
      <c r="A134" s="2">
        <v>45854</v>
      </c>
      <c r="B134" t="s">
        <v>21</v>
      </c>
      <c r="C134" t="s">
        <v>747</v>
      </c>
      <c r="D134" s="3" t="e">
        <f t="shared" si="4"/>
        <v>#DIV/0!</v>
      </c>
      <c r="E134" s="3" t="str">
        <f t="shared" si="5"/>
        <v>PASS</v>
      </c>
      <c r="F134" t="s">
        <v>747</v>
      </c>
      <c r="G134" t="s">
        <v>747</v>
      </c>
      <c r="H134" s="3">
        <v>0</v>
      </c>
      <c r="I134" s="3">
        <v>3760198679.3896399</v>
      </c>
      <c r="J134" s="3">
        <v>0</v>
      </c>
      <c r="K134" s="4">
        <v>0</v>
      </c>
      <c r="L134" s="4">
        <v>0</v>
      </c>
      <c r="M134" s="3">
        <v>827</v>
      </c>
      <c r="N134" t="s">
        <v>829</v>
      </c>
      <c r="O134" s="4">
        <v>5.4234999999999998</v>
      </c>
      <c r="P134" t="s">
        <v>874</v>
      </c>
      <c r="Q134" t="s">
        <v>748</v>
      </c>
      <c r="R134" t="s">
        <v>748</v>
      </c>
    </row>
    <row r="135" spans="1:18" x14ac:dyDescent="0.4">
      <c r="A135" s="2">
        <v>45854</v>
      </c>
      <c r="B135" t="s">
        <v>24</v>
      </c>
      <c r="C135" t="s">
        <v>747</v>
      </c>
      <c r="D135" s="3" t="str">
        <f t="shared" si="4"/>
        <v>PASS</v>
      </c>
      <c r="E135" s="3" t="str">
        <f t="shared" si="5"/>
        <v>PASS</v>
      </c>
      <c r="F135" t="s">
        <v>747</v>
      </c>
      <c r="G135" t="s">
        <v>747</v>
      </c>
      <c r="H135" s="3">
        <v>137130234.97999999</v>
      </c>
      <c r="I135" s="3">
        <v>135445610.98542511</v>
      </c>
      <c r="J135" s="3">
        <v>8676.2099999999991</v>
      </c>
      <c r="K135" s="4">
        <v>6856511.7489999998</v>
      </c>
      <c r="L135" s="4">
        <v>0.24295647378811039</v>
      </c>
      <c r="M135" s="3">
        <v>3</v>
      </c>
      <c r="N135" t="s">
        <v>875</v>
      </c>
      <c r="O135" s="4">
        <v>8.2250463590833989E-2</v>
      </c>
      <c r="P135" t="s">
        <v>876</v>
      </c>
      <c r="Q135" t="s">
        <v>877</v>
      </c>
      <c r="R135" t="s">
        <v>878</v>
      </c>
    </row>
    <row r="136" spans="1:18" x14ac:dyDescent="0.4">
      <c r="A136" s="2">
        <v>45854</v>
      </c>
      <c r="B136" t="s">
        <v>25</v>
      </c>
      <c r="C136" t="s">
        <v>747</v>
      </c>
      <c r="D136" s="3" t="str">
        <f t="shared" si="4"/>
        <v>PASS</v>
      </c>
      <c r="E136" s="3" t="str">
        <f t="shared" si="5"/>
        <v>PASS</v>
      </c>
      <c r="F136" t="s">
        <v>747</v>
      </c>
      <c r="G136" t="s">
        <v>747</v>
      </c>
      <c r="H136" s="3">
        <v>102607783.69</v>
      </c>
      <c r="I136" s="3">
        <v>99519078.042025015</v>
      </c>
      <c r="J136" s="3">
        <v>6700.33</v>
      </c>
      <c r="K136" s="4">
        <v>5130389.1845000004</v>
      </c>
      <c r="L136" s="4">
        <v>0.2300637308173035</v>
      </c>
      <c r="M136" s="3">
        <v>3</v>
      </c>
      <c r="N136" t="s">
        <v>879</v>
      </c>
      <c r="O136" s="4">
        <v>6.8721207860103217E-2</v>
      </c>
      <c r="P136" t="s">
        <v>876</v>
      </c>
      <c r="Q136" t="s">
        <v>801</v>
      </c>
      <c r="R136" t="s">
        <v>859</v>
      </c>
    </row>
    <row r="137" spans="1:18" x14ac:dyDescent="0.4">
      <c r="A137" s="2">
        <v>45854</v>
      </c>
      <c r="B137" t="s">
        <v>26</v>
      </c>
      <c r="C137" t="s">
        <v>747</v>
      </c>
      <c r="D137" s="3" t="str">
        <f t="shared" si="4"/>
        <v>PASS</v>
      </c>
      <c r="E137" s="3" t="str">
        <f t="shared" si="5"/>
        <v>PASS</v>
      </c>
      <c r="F137" t="s">
        <v>747</v>
      </c>
      <c r="G137" t="s">
        <v>747</v>
      </c>
      <c r="H137" s="3">
        <v>23808224.370000001</v>
      </c>
      <c r="I137" s="3">
        <v>23161121.244199999</v>
      </c>
      <c r="J137" s="3">
        <v>1558.46</v>
      </c>
      <c r="K137" s="4">
        <v>1190411.2185</v>
      </c>
      <c r="L137" s="4">
        <v>0.22963195750660259</v>
      </c>
      <c r="M137" s="3">
        <v>3</v>
      </c>
      <c r="N137" t="s">
        <v>880</v>
      </c>
      <c r="O137" s="4">
        <v>6.2489455873688912E-2</v>
      </c>
      <c r="P137" t="s">
        <v>876</v>
      </c>
      <c r="Q137" t="s">
        <v>881</v>
      </c>
      <c r="R137" t="s">
        <v>859</v>
      </c>
    </row>
    <row r="138" spans="1:18" x14ac:dyDescent="0.4">
      <c r="A138" s="2">
        <v>45854</v>
      </c>
      <c r="B138" t="s">
        <v>27</v>
      </c>
      <c r="C138" t="s">
        <v>747</v>
      </c>
      <c r="D138" s="3" t="str">
        <f t="shared" si="4"/>
        <v>PASS</v>
      </c>
      <c r="E138" s="3" t="str">
        <f t="shared" si="5"/>
        <v>PASS</v>
      </c>
      <c r="F138" t="s">
        <v>747</v>
      </c>
      <c r="G138" t="s">
        <v>747</v>
      </c>
      <c r="H138" s="3">
        <v>49107279.079999998</v>
      </c>
      <c r="I138" s="3">
        <v>48208783.228474997</v>
      </c>
      <c r="J138" s="3">
        <v>2992.96</v>
      </c>
      <c r="K138" s="4">
        <v>2455363.9539999999</v>
      </c>
      <c r="L138" s="4">
        <v>0.2539189344344851</v>
      </c>
      <c r="M138" s="3">
        <v>3</v>
      </c>
      <c r="N138" t="s">
        <v>882</v>
      </c>
      <c r="O138" s="4">
        <v>0.1122153848617385</v>
      </c>
      <c r="P138" t="s">
        <v>876</v>
      </c>
      <c r="Q138" t="s">
        <v>839</v>
      </c>
      <c r="R138" t="s">
        <v>883</v>
      </c>
    </row>
    <row r="139" spans="1:18" x14ac:dyDescent="0.4">
      <c r="A139" s="2">
        <v>45854</v>
      </c>
      <c r="B139" t="s">
        <v>28</v>
      </c>
      <c r="C139" t="s">
        <v>747</v>
      </c>
      <c r="D139" s="3" t="str">
        <f t="shared" si="4"/>
        <v>PASS</v>
      </c>
      <c r="E139" s="3" t="str">
        <f t="shared" si="5"/>
        <v>PASS</v>
      </c>
      <c r="F139" t="s">
        <v>747</v>
      </c>
      <c r="G139" t="s">
        <v>747</v>
      </c>
      <c r="H139" s="3">
        <v>15445946.17</v>
      </c>
      <c r="I139" s="3">
        <v>15193192.384025</v>
      </c>
      <c r="J139" s="3">
        <v>985.61</v>
      </c>
      <c r="K139" s="4">
        <v>772297.30850000004</v>
      </c>
      <c r="L139" s="4">
        <v>0.2416516387175825</v>
      </c>
      <c r="M139" s="3">
        <v>3</v>
      </c>
      <c r="N139" t="s">
        <v>884</v>
      </c>
      <c r="O139" s="4">
        <v>9.7117639250778251E-2</v>
      </c>
      <c r="P139" t="s">
        <v>876</v>
      </c>
      <c r="Q139" t="s">
        <v>885</v>
      </c>
      <c r="R139" t="s">
        <v>886</v>
      </c>
    </row>
    <row r="140" spans="1:18" x14ac:dyDescent="0.4">
      <c r="A140" s="2">
        <v>45854</v>
      </c>
      <c r="B140" t="s">
        <v>29</v>
      </c>
      <c r="C140" t="s">
        <v>747</v>
      </c>
      <c r="D140" s="3" t="str">
        <f t="shared" si="4"/>
        <v>PASS</v>
      </c>
      <c r="E140" s="3" t="str">
        <f t="shared" si="5"/>
        <v>PASS</v>
      </c>
      <c r="F140" t="s">
        <v>747</v>
      </c>
      <c r="G140" t="s">
        <v>747</v>
      </c>
      <c r="H140" s="3">
        <v>34828542.359999999</v>
      </c>
      <c r="I140" s="3">
        <v>34496232.825475</v>
      </c>
      <c r="J140" s="3">
        <v>2341.19</v>
      </c>
      <c r="K140" s="4">
        <v>1741427.118</v>
      </c>
      <c r="L140" s="4">
        <v>0.22573261274307421</v>
      </c>
      <c r="M140" s="3">
        <v>3</v>
      </c>
      <c r="N140" t="s">
        <v>887</v>
      </c>
      <c r="O140" s="4">
        <v>4.4657137396059539E-2</v>
      </c>
      <c r="P140" t="s">
        <v>876</v>
      </c>
      <c r="Q140" t="s">
        <v>844</v>
      </c>
      <c r="R140" t="s">
        <v>888</v>
      </c>
    </row>
    <row r="141" spans="1:18" x14ac:dyDescent="0.4">
      <c r="A141" s="2">
        <v>45854</v>
      </c>
      <c r="B141" t="s">
        <v>30</v>
      </c>
      <c r="C141" t="s">
        <v>747</v>
      </c>
      <c r="D141" s="3" t="str">
        <f t="shared" si="4"/>
        <v>PASS</v>
      </c>
      <c r="E141" s="3" t="str">
        <f t="shared" si="5"/>
        <v>PASS</v>
      </c>
      <c r="F141" t="s">
        <v>747</v>
      </c>
      <c r="G141" t="s">
        <v>747</v>
      </c>
      <c r="H141" s="3">
        <v>55101419.509999998</v>
      </c>
      <c r="I141" s="3">
        <v>51867253.519764014</v>
      </c>
      <c r="J141" s="3">
        <v>3609.78</v>
      </c>
      <c r="K141" s="4">
        <v>2755070.9755000002</v>
      </c>
      <c r="L141" s="4">
        <v>0</v>
      </c>
      <c r="M141" s="3">
        <v>0</v>
      </c>
      <c r="N141" t="s">
        <v>23</v>
      </c>
      <c r="O141" s="4">
        <v>3.9026142772487712E-2</v>
      </c>
      <c r="P141" t="s">
        <v>889</v>
      </c>
      <c r="Q141" t="s">
        <v>890</v>
      </c>
      <c r="R141" t="s">
        <v>891</v>
      </c>
    </row>
    <row r="142" spans="1:18" x14ac:dyDescent="0.4">
      <c r="A142" s="2">
        <v>45854</v>
      </c>
      <c r="B142" t="s">
        <v>31</v>
      </c>
      <c r="C142" t="s">
        <v>747</v>
      </c>
      <c r="D142" s="3" t="str">
        <f t="shared" si="4"/>
        <v>PASS</v>
      </c>
      <c r="E142" s="3" t="str">
        <f t="shared" si="5"/>
        <v>PASS</v>
      </c>
      <c r="F142" t="s">
        <v>747</v>
      </c>
      <c r="G142" t="s">
        <v>747</v>
      </c>
      <c r="H142" s="3">
        <v>40514381.219999999</v>
      </c>
      <c r="I142" s="3">
        <v>38785584.826350003</v>
      </c>
      <c r="J142" s="3">
        <v>2524.5500000000002</v>
      </c>
      <c r="K142" s="4">
        <v>2025719.061</v>
      </c>
      <c r="L142" s="4">
        <v>0.24116444023080549</v>
      </c>
      <c r="M142" s="3">
        <v>3</v>
      </c>
      <c r="N142" t="s">
        <v>892</v>
      </c>
      <c r="O142" s="4">
        <v>9.9210892856134311E-2</v>
      </c>
      <c r="P142" t="s">
        <v>876</v>
      </c>
      <c r="Q142" t="s">
        <v>893</v>
      </c>
      <c r="R142" t="s">
        <v>819</v>
      </c>
    </row>
    <row r="143" spans="1:18" x14ac:dyDescent="0.4">
      <c r="A143" s="2">
        <v>45854</v>
      </c>
      <c r="B143" t="s">
        <v>32</v>
      </c>
      <c r="C143" t="s">
        <v>747</v>
      </c>
      <c r="D143" s="3" t="str">
        <f t="shared" si="4"/>
        <v>PASS</v>
      </c>
      <c r="E143" s="3" t="str">
        <f t="shared" si="5"/>
        <v>PASS</v>
      </c>
      <c r="F143" t="s">
        <v>747</v>
      </c>
      <c r="G143" t="s">
        <v>747</v>
      </c>
      <c r="H143" s="3">
        <v>78891840.799999997</v>
      </c>
      <c r="I143" s="3">
        <v>77230058.938450009</v>
      </c>
      <c r="J143" s="3">
        <v>5084.63</v>
      </c>
      <c r="K143" s="4">
        <v>3944592.04</v>
      </c>
      <c r="L143" s="4">
        <v>0.23601464260697949</v>
      </c>
      <c r="M143" s="3">
        <v>3</v>
      </c>
      <c r="N143" t="s">
        <v>894</v>
      </c>
      <c r="O143" s="4">
        <v>7.7822163333904612E-2</v>
      </c>
      <c r="P143" t="s">
        <v>876</v>
      </c>
      <c r="Q143" t="s">
        <v>851</v>
      </c>
      <c r="R143" t="s">
        <v>886</v>
      </c>
    </row>
    <row r="144" spans="1:18" x14ac:dyDescent="0.4">
      <c r="A144" s="2">
        <v>45854</v>
      </c>
      <c r="B144" t="s">
        <v>33</v>
      </c>
      <c r="C144" t="s">
        <v>747</v>
      </c>
      <c r="D144" s="3" t="e">
        <f t="shared" si="4"/>
        <v>#DIV/0!</v>
      </c>
      <c r="E144" s="3" t="str">
        <f t="shared" si="5"/>
        <v>PASS</v>
      </c>
      <c r="F144" t="s">
        <v>747</v>
      </c>
      <c r="G144" t="s">
        <v>747</v>
      </c>
      <c r="H144" s="3">
        <v>0</v>
      </c>
      <c r="I144" s="3">
        <v>3760198679.3896399</v>
      </c>
      <c r="J144" s="3">
        <v>0</v>
      </c>
      <c r="K144" s="4">
        <v>0</v>
      </c>
      <c r="L144" s="4">
        <v>0</v>
      </c>
      <c r="M144" s="3">
        <v>827</v>
      </c>
      <c r="N144" t="s">
        <v>829</v>
      </c>
      <c r="O144" s="4">
        <v>5.4234999999999998</v>
      </c>
      <c r="P144" t="s">
        <v>874</v>
      </c>
      <c r="Q144" t="s">
        <v>748</v>
      </c>
      <c r="R144" t="s">
        <v>748</v>
      </c>
    </row>
    <row r="145" spans="1:18" x14ac:dyDescent="0.4">
      <c r="A145" s="2">
        <v>45855</v>
      </c>
      <c r="B145" t="s">
        <v>21</v>
      </c>
      <c r="C145" t="s">
        <v>747</v>
      </c>
      <c r="D145" s="3" t="e">
        <f t="shared" si="4"/>
        <v>#DIV/0!</v>
      </c>
      <c r="E145" s="3" t="str">
        <f t="shared" si="5"/>
        <v>PASS</v>
      </c>
      <c r="F145" t="s">
        <v>747</v>
      </c>
      <c r="G145" t="s">
        <v>747</v>
      </c>
      <c r="H145" s="3">
        <v>0</v>
      </c>
      <c r="I145" s="3">
        <v>3772127862.1525249</v>
      </c>
      <c r="J145" s="3">
        <v>0</v>
      </c>
      <c r="K145" s="4">
        <v>0</v>
      </c>
      <c r="L145" s="4">
        <v>0</v>
      </c>
      <c r="M145" s="3">
        <v>827</v>
      </c>
      <c r="N145" t="s">
        <v>829</v>
      </c>
      <c r="O145" s="4">
        <v>5.4275000000000002</v>
      </c>
      <c r="P145" t="s">
        <v>895</v>
      </c>
      <c r="Q145" t="s">
        <v>748</v>
      </c>
      <c r="R145" t="s">
        <v>748</v>
      </c>
    </row>
    <row r="146" spans="1:18" x14ac:dyDescent="0.4">
      <c r="A146" s="2">
        <v>45855</v>
      </c>
      <c r="B146" t="s">
        <v>24</v>
      </c>
      <c r="C146" t="s">
        <v>747</v>
      </c>
      <c r="D146" s="3" t="str">
        <f t="shared" si="4"/>
        <v>PASS</v>
      </c>
      <c r="E146" s="3" t="str">
        <f t="shared" si="5"/>
        <v>PASS</v>
      </c>
      <c r="F146" t="s">
        <v>747</v>
      </c>
      <c r="G146" t="s">
        <v>747</v>
      </c>
      <c r="H146" s="3">
        <v>137350114.94999999</v>
      </c>
      <c r="I146" s="3">
        <v>135955620.86708301</v>
      </c>
      <c r="J146" s="3">
        <v>8701.84</v>
      </c>
      <c r="K146" s="4">
        <v>6867505.7474999996</v>
      </c>
      <c r="L146" s="4">
        <v>0.2442338190644032</v>
      </c>
      <c r="M146" s="3">
        <v>3</v>
      </c>
      <c r="N146" t="s">
        <v>896</v>
      </c>
      <c r="O146" s="4">
        <v>8.2477747988830508E-2</v>
      </c>
      <c r="P146" t="s">
        <v>897</v>
      </c>
      <c r="Q146" t="s">
        <v>898</v>
      </c>
      <c r="R146" t="s">
        <v>899</v>
      </c>
    </row>
    <row r="147" spans="1:18" x14ac:dyDescent="0.4">
      <c r="A147" s="2">
        <v>45855</v>
      </c>
      <c r="B147" t="s">
        <v>25</v>
      </c>
      <c r="C147" t="s">
        <v>747</v>
      </c>
      <c r="D147" s="3" t="str">
        <f t="shared" si="4"/>
        <v>PASS</v>
      </c>
      <c r="E147" s="3" t="str">
        <f t="shared" si="5"/>
        <v>PASS</v>
      </c>
      <c r="F147" t="s">
        <v>747</v>
      </c>
      <c r="G147" t="s">
        <v>747</v>
      </c>
      <c r="H147" s="3">
        <v>102708196.01000001</v>
      </c>
      <c r="I147" s="3">
        <v>99799945.509903997</v>
      </c>
      <c r="J147" s="3">
        <v>6717.28</v>
      </c>
      <c r="K147" s="4">
        <v>5135409.8005000008</v>
      </c>
      <c r="L147" s="4">
        <v>0.2311632050216709</v>
      </c>
      <c r="M147" s="3">
        <v>3</v>
      </c>
      <c r="N147" t="s">
        <v>900</v>
      </c>
      <c r="O147" s="4">
        <v>6.8048103378463759E-2</v>
      </c>
      <c r="P147" t="s">
        <v>897</v>
      </c>
      <c r="Q147" t="s">
        <v>801</v>
      </c>
      <c r="R147" t="s">
        <v>901</v>
      </c>
    </row>
    <row r="148" spans="1:18" x14ac:dyDescent="0.4">
      <c r="A148" s="2">
        <v>45855</v>
      </c>
      <c r="B148" t="s">
        <v>26</v>
      </c>
      <c r="C148" t="s">
        <v>747</v>
      </c>
      <c r="D148" s="3" t="str">
        <f t="shared" si="4"/>
        <v>PASS</v>
      </c>
      <c r="E148" s="3" t="str">
        <f t="shared" si="5"/>
        <v>PASS</v>
      </c>
      <c r="F148" t="s">
        <v>747</v>
      </c>
      <c r="G148" t="s">
        <v>747</v>
      </c>
      <c r="H148" s="3">
        <v>23840865.23</v>
      </c>
      <c r="I148" s="3">
        <v>23241771.494282</v>
      </c>
      <c r="J148" s="3">
        <v>1562.53</v>
      </c>
      <c r="K148" s="4">
        <v>1192043.2615</v>
      </c>
      <c r="L148" s="4">
        <v>0.23084910848705589</v>
      </c>
      <c r="M148" s="3">
        <v>3</v>
      </c>
      <c r="N148" t="s">
        <v>902</v>
      </c>
      <c r="O148" s="4">
        <v>6.2413084421517037E-2</v>
      </c>
      <c r="P148" t="s">
        <v>897</v>
      </c>
      <c r="Q148" t="s">
        <v>819</v>
      </c>
      <c r="R148" t="s">
        <v>888</v>
      </c>
    </row>
    <row r="149" spans="1:18" x14ac:dyDescent="0.4">
      <c r="A149" s="2">
        <v>45855</v>
      </c>
      <c r="B149" t="s">
        <v>27</v>
      </c>
      <c r="C149" t="s">
        <v>747</v>
      </c>
      <c r="D149" s="3" t="str">
        <f t="shared" si="4"/>
        <v>PASS</v>
      </c>
      <c r="E149" s="3" t="str">
        <f t="shared" si="5"/>
        <v>PASS</v>
      </c>
      <c r="F149" t="s">
        <v>747</v>
      </c>
      <c r="G149" t="s">
        <v>747</v>
      </c>
      <c r="H149" s="3">
        <v>49190522.280000001</v>
      </c>
      <c r="I149" s="3">
        <v>48407047.017805003</v>
      </c>
      <c r="J149" s="3">
        <v>3002.29</v>
      </c>
      <c r="K149" s="4">
        <v>2459526.1140000001</v>
      </c>
      <c r="L149" s="4">
        <v>0.25528043758500613</v>
      </c>
      <c r="M149" s="3">
        <v>3</v>
      </c>
      <c r="N149" t="s">
        <v>903</v>
      </c>
      <c r="O149" s="4">
        <v>0.1128361542130185</v>
      </c>
      <c r="P149" t="s">
        <v>897</v>
      </c>
      <c r="Q149" t="s">
        <v>904</v>
      </c>
      <c r="R149" t="s">
        <v>863</v>
      </c>
    </row>
    <row r="150" spans="1:18" x14ac:dyDescent="0.4">
      <c r="A150" s="2">
        <v>45855</v>
      </c>
      <c r="B150" t="s">
        <v>28</v>
      </c>
      <c r="C150" t="s">
        <v>747</v>
      </c>
      <c r="D150" s="3" t="str">
        <f t="shared" si="4"/>
        <v>PASS</v>
      </c>
      <c r="E150" s="3" t="str">
        <f t="shared" si="5"/>
        <v>PASS</v>
      </c>
      <c r="F150" t="s">
        <v>747</v>
      </c>
      <c r="G150" t="s">
        <v>747</v>
      </c>
      <c r="H150" s="3">
        <v>15464614.029999999</v>
      </c>
      <c r="I150" s="3">
        <v>15246812.801494</v>
      </c>
      <c r="J150" s="3">
        <v>988.49</v>
      </c>
      <c r="K150" s="4">
        <v>773230.70149999997</v>
      </c>
      <c r="L150" s="4">
        <v>0.24293374693496159</v>
      </c>
      <c r="M150" s="3">
        <v>3</v>
      </c>
      <c r="N150" t="s">
        <v>905</v>
      </c>
      <c r="O150" s="4">
        <v>9.7184018209473561E-2</v>
      </c>
      <c r="P150" t="s">
        <v>897</v>
      </c>
      <c r="Q150" t="s">
        <v>865</v>
      </c>
      <c r="R150" t="s">
        <v>793</v>
      </c>
    </row>
    <row r="151" spans="1:18" x14ac:dyDescent="0.4">
      <c r="A151" s="2">
        <v>45855</v>
      </c>
      <c r="B151" t="s">
        <v>29</v>
      </c>
      <c r="C151" t="s">
        <v>747</v>
      </c>
      <c r="D151" s="3" t="str">
        <f t="shared" si="4"/>
        <v>PASS</v>
      </c>
      <c r="E151" s="3" t="str">
        <f t="shared" si="5"/>
        <v>PASS</v>
      </c>
      <c r="F151" t="s">
        <v>747</v>
      </c>
      <c r="G151" t="s">
        <v>747</v>
      </c>
      <c r="H151" s="3">
        <v>34897319.880000003</v>
      </c>
      <c r="I151" s="3">
        <v>34625377.129059017</v>
      </c>
      <c r="J151" s="3">
        <v>2347.79</v>
      </c>
      <c r="K151" s="4">
        <v>1744865.9939999999</v>
      </c>
      <c r="L151" s="4">
        <v>0.226900405995454</v>
      </c>
      <c r="M151" s="3">
        <v>3</v>
      </c>
      <c r="N151" t="s">
        <v>906</v>
      </c>
      <c r="O151" s="4">
        <v>4.4767012321606389E-2</v>
      </c>
      <c r="P151" t="s">
        <v>897</v>
      </c>
      <c r="Q151" t="s">
        <v>881</v>
      </c>
      <c r="R151" t="s">
        <v>901</v>
      </c>
    </row>
    <row r="152" spans="1:18" x14ac:dyDescent="0.4">
      <c r="A152" s="2">
        <v>45855</v>
      </c>
      <c r="B152" t="s">
        <v>30</v>
      </c>
      <c r="C152" t="s">
        <v>747</v>
      </c>
      <c r="D152" s="3" t="str">
        <f t="shared" si="4"/>
        <v>PASS</v>
      </c>
      <c r="E152" s="3" t="str">
        <f t="shared" si="5"/>
        <v>PASS</v>
      </c>
      <c r="F152" t="s">
        <v>747</v>
      </c>
      <c r="G152" t="s">
        <v>747</v>
      </c>
      <c r="H152" s="3">
        <v>55242924.799999997</v>
      </c>
      <c r="I152" s="3">
        <v>52181585.89649</v>
      </c>
      <c r="J152" s="3">
        <v>3620.69</v>
      </c>
      <c r="K152" s="4">
        <v>2762146.24</v>
      </c>
      <c r="L152" s="4">
        <v>0</v>
      </c>
      <c r="M152" s="3">
        <v>0</v>
      </c>
      <c r="N152" t="s">
        <v>23</v>
      </c>
      <c r="O152" s="4">
        <v>3.8756687562096652E-2</v>
      </c>
      <c r="P152" t="s">
        <v>907</v>
      </c>
      <c r="Q152" t="s">
        <v>908</v>
      </c>
      <c r="R152" t="s">
        <v>909</v>
      </c>
    </row>
    <row r="153" spans="1:18" x14ac:dyDescent="0.4">
      <c r="A153" s="2">
        <v>45855</v>
      </c>
      <c r="B153" t="s">
        <v>31</v>
      </c>
      <c r="C153" t="s">
        <v>747</v>
      </c>
      <c r="D153" s="3" t="str">
        <f t="shared" si="4"/>
        <v>PASS</v>
      </c>
      <c r="E153" s="3" t="str">
        <f t="shared" si="5"/>
        <v>PASS</v>
      </c>
      <c r="F153" t="s">
        <v>747</v>
      </c>
      <c r="G153" t="s">
        <v>747</v>
      </c>
      <c r="H153" s="3">
        <v>40561608.82</v>
      </c>
      <c r="I153" s="3">
        <v>38914899.466397002</v>
      </c>
      <c r="J153" s="3">
        <v>2532.12</v>
      </c>
      <c r="K153" s="4">
        <v>2028080.4410000001</v>
      </c>
      <c r="L153" s="4">
        <v>0.24237613903156899</v>
      </c>
      <c r="M153" s="3">
        <v>3</v>
      </c>
      <c r="N153" t="s">
        <v>910</v>
      </c>
      <c r="O153" s="4">
        <v>9.9103316247528467E-2</v>
      </c>
      <c r="P153" t="s">
        <v>897</v>
      </c>
      <c r="Q153" t="s">
        <v>871</v>
      </c>
      <c r="R153" t="s">
        <v>819</v>
      </c>
    </row>
    <row r="154" spans="1:18" x14ac:dyDescent="0.4">
      <c r="A154" s="2">
        <v>45855</v>
      </c>
      <c r="B154" t="s">
        <v>32</v>
      </c>
      <c r="C154" t="s">
        <v>747</v>
      </c>
      <c r="D154" s="3" t="str">
        <f t="shared" si="4"/>
        <v>PASS</v>
      </c>
      <c r="E154" s="3" t="str">
        <f t="shared" si="5"/>
        <v>PASS</v>
      </c>
      <c r="F154" t="s">
        <v>747</v>
      </c>
      <c r="G154" t="s">
        <v>747</v>
      </c>
      <c r="H154" s="3">
        <v>79015994.519999996</v>
      </c>
      <c r="I154" s="3">
        <v>77498161.375152007</v>
      </c>
      <c r="J154" s="3">
        <v>5099.8999999999996</v>
      </c>
      <c r="K154" s="4">
        <v>3950799.7259999998</v>
      </c>
      <c r="L154" s="4">
        <v>0.23718120901250669</v>
      </c>
      <c r="M154" s="3">
        <v>3</v>
      </c>
      <c r="N154" t="s">
        <v>911</v>
      </c>
      <c r="O154" s="4">
        <v>7.7755073418672216E-2</v>
      </c>
      <c r="P154" t="s">
        <v>897</v>
      </c>
      <c r="Q154" t="s">
        <v>912</v>
      </c>
      <c r="R154" t="s">
        <v>886</v>
      </c>
    </row>
    <row r="155" spans="1:18" x14ac:dyDescent="0.4">
      <c r="A155" s="2">
        <v>45855</v>
      </c>
      <c r="B155" t="s">
        <v>33</v>
      </c>
      <c r="C155" t="s">
        <v>747</v>
      </c>
      <c r="D155" s="3" t="e">
        <f t="shared" si="4"/>
        <v>#DIV/0!</v>
      </c>
      <c r="E155" s="3" t="str">
        <f t="shared" si="5"/>
        <v>PASS</v>
      </c>
      <c r="F155" t="s">
        <v>747</v>
      </c>
      <c r="G155" t="s">
        <v>747</v>
      </c>
      <c r="H155" s="3">
        <v>0</v>
      </c>
      <c r="I155" s="3">
        <v>3772127862.1525249</v>
      </c>
      <c r="J155" s="3">
        <v>0</v>
      </c>
      <c r="K155" s="4">
        <v>0</v>
      </c>
      <c r="L155" s="4">
        <v>0</v>
      </c>
      <c r="M155" s="3">
        <v>827</v>
      </c>
      <c r="N155" t="s">
        <v>829</v>
      </c>
      <c r="O155" s="4">
        <v>5.4275000000000002</v>
      </c>
      <c r="P155" t="s">
        <v>895</v>
      </c>
      <c r="Q155" t="s">
        <v>748</v>
      </c>
      <c r="R155" t="s">
        <v>748</v>
      </c>
    </row>
    <row r="156" spans="1:18" x14ac:dyDescent="0.4">
      <c r="A156" s="2">
        <v>45856</v>
      </c>
      <c r="B156" t="s">
        <v>21</v>
      </c>
      <c r="C156" t="s">
        <v>747</v>
      </c>
      <c r="D156" s="3" t="e">
        <f t="shared" si="4"/>
        <v>#DIV/0!</v>
      </c>
      <c r="E156" s="3" t="str">
        <f t="shared" si="5"/>
        <v>PASS</v>
      </c>
      <c r="F156" t="s">
        <v>747</v>
      </c>
      <c r="G156" t="s">
        <v>747</v>
      </c>
      <c r="H156" s="3">
        <v>0</v>
      </c>
      <c r="I156" s="3">
        <v>3766819139.221396</v>
      </c>
      <c r="J156" s="3">
        <v>0</v>
      </c>
      <c r="K156" s="4">
        <v>0</v>
      </c>
      <c r="L156" s="4">
        <v>0</v>
      </c>
      <c r="M156" s="3">
        <v>827</v>
      </c>
      <c r="N156" t="s">
        <v>829</v>
      </c>
      <c r="O156" s="4">
        <v>5.4172000000000002</v>
      </c>
      <c r="P156" t="s">
        <v>913</v>
      </c>
      <c r="Q156" t="s">
        <v>748</v>
      </c>
      <c r="R156" t="s">
        <v>748</v>
      </c>
    </row>
    <row r="157" spans="1:18" x14ac:dyDescent="0.4">
      <c r="A157" s="2">
        <v>45856</v>
      </c>
      <c r="B157" t="s">
        <v>24</v>
      </c>
      <c r="C157" t="s">
        <v>747</v>
      </c>
      <c r="D157" s="3" t="str">
        <f t="shared" si="4"/>
        <v>PASS</v>
      </c>
      <c r="E157" s="3" t="str">
        <f t="shared" si="5"/>
        <v>PASS</v>
      </c>
      <c r="F157" t="s">
        <v>747</v>
      </c>
      <c r="G157" t="s">
        <v>747</v>
      </c>
      <c r="H157" s="3">
        <v>137320890.16999999</v>
      </c>
      <c r="I157" s="3">
        <v>135787801.74991199</v>
      </c>
      <c r="J157" s="3">
        <v>26151.51</v>
      </c>
      <c r="K157" s="4">
        <v>6866044.5085000005</v>
      </c>
      <c r="L157" s="4">
        <v>0.2441396432747209</v>
      </c>
      <c r="M157" s="3">
        <v>3</v>
      </c>
      <c r="N157" t="s">
        <v>914</v>
      </c>
      <c r="O157" s="4">
        <v>8.2193504177981255E-2</v>
      </c>
      <c r="P157" t="s">
        <v>915</v>
      </c>
      <c r="Q157" t="s">
        <v>863</v>
      </c>
      <c r="R157" t="s">
        <v>916</v>
      </c>
    </row>
    <row r="158" spans="1:18" x14ac:dyDescent="0.4">
      <c r="A158" s="2">
        <v>45856</v>
      </c>
      <c r="B158" t="s">
        <v>25</v>
      </c>
      <c r="C158" t="s">
        <v>747</v>
      </c>
      <c r="D158" s="3" t="str">
        <f t="shared" si="4"/>
        <v>PASS</v>
      </c>
      <c r="E158" s="3" t="str">
        <f t="shared" si="5"/>
        <v>PASS</v>
      </c>
      <c r="F158" t="s">
        <v>747</v>
      </c>
      <c r="G158" t="s">
        <v>747</v>
      </c>
      <c r="H158" s="3">
        <v>102700777.92</v>
      </c>
      <c r="I158" s="3">
        <v>99692325.661047995</v>
      </c>
      <c r="J158" s="3">
        <v>20172.240000000002</v>
      </c>
      <c r="K158" s="4">
        <v>5135038.8960000006</v>
      </c>
      <c r="L158" s="4">
        <v>0.23107601274244741</v>
      </c>
      <c r="M158" s="3">
        <v>3</v>
      </c>
      <c r="N158" t="s">
        <v>917</v>
      </c>
      <c r="O158" s="4">
        <v>6.7921385137722223E-2</v>
      </c>
      <c r="P158" t="s">
        <v>915</v>
      </c>
      <c r="Q158" t="s">
        <v>793</v>
      </c>
      <c r="R158" t="s">
        <v>918</v>
      </c>
    </row>
    <row r="159" spans="1:18" x14ac:dyDescent="0.4">
      <c r="A159" s="2">
        <v>45856</v>
      </c>
      <c r="B159" t="s">
        <v>26</v>
      </c>
      <c r="C159" t="s">
        <v>747</v>
      </c>
      <c r="D159" s="3" t="str">
        <f t="shared" si="4"/>
        <v>PASS</v>
      </c>
      <c r="E159" s="3" t="str">
        <f t="shared" si="5"/>
        <v>PASS</v>
      </c>
      <c r="F159" t="s">
        <v>747</v>
      </c>
      <c r="G159" t="s">
        <v>747</v>
      </c>
      <c r="H159" s="3">
        <v>23831275.920000002</v>
      </c>
      <c r="I159" s="3">
        <v>23207782.092223998</v>
      </c>
      <c r="J159" s="3">
        <v>4694.34</v>
      </c>
      <c r="K159" s="4">
        <v>1191563.7960000001</v>
      </c>
      <c r="L159" s="4">
        <v>0.23071823434843869</v>
      </c>
      <c r="M159" s="3">
        <v>3</v>
      </c>
      <c r="N159" t="s">
        <v>919</v>
      </c>
      <c r="O159" s="4">
        <v>6.1937324597263928E-2</v>
      </c>
      <c r="P159" t="s">
        <v>915</v>
      </c>
      <c r="Q159" t="s">
        <v>886</v>
      </c>
      <c r="R159" t="s">
        <v>918</v>
      </c>
    </row>
    <row r="160" spans="1:18" x14ac:dyDescent="0.4">
      <c r="A160" s="2">
        <v>45856</v>
      </c>
      <c r="B160" t="s">
        <v>27</v>
      </c>
      <c r="C160" t="s">
        <v>747</v>
      </c>
      <c r="D160" s="3" t="str">
        <f t="shared" si="4"/>
        <v>PASS</v>
      </c>
      <c r="E160" s="3" t="str">
        <f t="shared" si="5"/>
        <v>PASS</v>
      </c>
      <c r="F160" t="s">
        <v>747</v>
      </c>
      <c r="G160" t="s">
        <v>747</v>
      </c>
      <c r="H160" s="3">
        <v>49180956.75</v>
      </c>
      <c r="I160" s="3">
        <v>48351567.262919992</v>
      </c>
      <c r="J160" s="3">
        <v>9024.36</v>
      </c>
      <c r="K160" s="4">
        <v>2459047.8374999999</v>
      </c>
      <c r="L160" s="4">
        <v>0.25523585392586562</v>
      </c>
      <c r="M160" s="3">
        <v>3</v>
      </c>
      <c r="N160" t="s">
        <v>920</v>
      </c>
      <c r="O160" s="4">
        <v>0.1126133820672368</v>
      </c>
      <c r="P160" t="s">
        <v>915</v>
      </c>
      <c r="Q160" t="s">
        <v>921</v>
      </c>
      <c r="R160" t="s">
        <v>922</v>
      </c>
    </row>
    <row r="161" spans="1:18" x14ac:dyDescent="0.4">
      <c r="A161" s="2">
        <v>45856</v>
      </c>
      <c r="B161" t="s">
        <v>28</v>
      </c>
      <c r="C161" t="s">
        <v>747</v>
      </c>
      <c r="D161" s="3" t="str">
        <f t="shared" si="4"/>
        <v>PASS</v>
      </c>
      <c r="E161" s="3" t="str">
        <f t="shared" si="5"/>
        <v>PASS</v>
      </c>
      <c r="F161" t="s">
        <v>747</v>
      </c>
      <c r="G161" t="s">
        <v>747</v>
      </c>
      <c r="H161" s="3">
        <v>15460794.34</v>
      </c>
      <c r="I161" s="3">
        <v>15228447.044992</v>
      </c>
      <c r="J161" s="3">
        <v>2969.34</v>
      </c>
      <c r="K161" s="4">
        <v>773039.71700000006</v>
      </c>
      <c r="L161" s="4">
        <v>0.24287130709672761</v>
      </c>
      <c r="M161" s="3">
        <v>3</v>
      </c>
      <c r="N161" t="s">
        <v>923</v>
      </c>
      <c r="O161" s="4">
        <v>9.6921700919022774E-2</v>
      </c>
      <c r="P161" t="s">
        <v>915</v>
      </c>
      <c r="Q161" t="s">
        <v>924</v>
      </c>
      <c r="R161" t="s">
        <v>856</v>
      </c>
    </row>
    <row r="162" spans="1:18" x14ac:dyDescent="0.4">
      <c r="A162" s="2">
        <v>45856</v>
      </c>
      <c r="B162" t="s">
        <v>29</v>
      </c>
      <c r="C162" t="s">
        <v>747</v>
      </c>
      <c r="D162" s="3" t="str">
        <f t="shared" si="4"/>
        <v>PASS</v>
      </c>
      <c r="E162" s="3" t="str">
        <f t="shared" si="5"/>
        <v>PASS</v>
      </c>
      <c r="F162" t="s">
        <v>747</v>
      </c>
      <c r="G162" t="s">
        <v>747</v>
      </c>
      <c r="H162" s="3">
        <v>34885590.460000001</v>
      </c>
      <c r="I162" s="3">
        <v>34580464.579159997</v>
      </c>
      <c r="J162" s="3">
        <v>7057.86</v>
      </c>
      <c r="K162" s="4">
        <v>1744279.523</v>
      </c>
      <c r="L162" s="4">
        <v>0.22679017176749541</v>
      </c>
      <c r="M162" s="3">
        <v>3</v>
      </c>
      <c r="N162" t="s">
        <v>925</v>
      </c>
      <c r="O162" s="4">
        <v>4.4455042001889052E-2</v>
      </c>
      <c r="P162" t="s">
        <v>915</v>
      </c>
      <c r="Q162" t="s">
        <v>926</v>
      </c>
      <c r="R162" t="s">
        <v>927</v>
      </c>
    </row>
    <row r="163" spans="1:18" x14ac:dyDescent="0.4">
      <c r="A163" s="2">
        <v>45856</v>
      </c>
      <c r="B163" t="s">
        <v>30</v>
      </c>
      <c r="C163" t="s">
        <v>747</v>
      </c>
      <c r="D163" s="3" t="str">
        <f t="shared" si="4"/>
        <v>PASS</v>
      </c>
      <c r="E163" s="3" t="str">
        <f t="shared" si="5"/>
        <v>PASS</v>
      </c>
      <c r="F163" t="s">
        <v>747</v>
      </c>
      <c r="G163" t="s">
        <v>747</v>
      </c>
      <c r="H163" s="3">
        <v>55318246.640000001</v>
      </c>
      <c r="I163" s="3">
        <v>52187132.731160007</v>
      </c>
      <c r="J163" s="3">
        <v>10892.1</v>
      </c>
      <c r="K163" s="4">
        <v>2765912.3319999999</v>
      </c>
      <c r="L163" s="4">
        <v>0</v>
      </c>
      <c r="M163" s="3">
        <v>0</v>
      </c>
      <c r="N163" t="s">
        <v>23</v>
      </c>
      <c r="O163" s="4">
        <v>3.8475797235788887E-2</v>
      </c>
      <c r="P163" t="s">
        <v>928</v>
      </c>
      <c r="Q163" t="s">
        <v>929</v>
      </c>
      <c r="R163" t="s">
        <v>930</v>
      </c>
    </row>
    <row r="164" spans="1:18" x14ac:dyDescent="0.4">
      <c r="A164" s="2">
        <v>45856</v>
      </c>
      <c r="B164" t="s">
        <v>31</v>
      </c>
      <c r="C164" t="s">
        <v>747</v>
      </c>
      <c r="D164" s="3" t="str">
        <f t="shared" si="4"/>
        <v>PASS</v>
      </c>
      <c r="E164" s="3" t="str">
        <f t="shared" si="5"/>
        <v>PASS</v>
      </c>
      <c r="F164" t="s">
        <v>747</v>
      </c>
      <c r="G164" t="s">
        <v>747</v>
      </c>
      <c r="H164" s="3">
        <v>40560421.240000002</v>
      </c>
      <c r="I164" s="3">
        <v>38868188.032439999</v>
      </c>
      <c r="J164" s="3">
        <v>7606.08</v>
      </c>
      <c r="K164" s="4">
        <v>2028021.0619999999</v>
      </c>
      <c r="L164" s="4">
        <v>0.24225965499589081</v>
      </c>
      <c r="M164" s="3">
        <v>3</v>
      </c>
      <c r="N164" t="s">
        <v>931</v>
      </c>
      <c r="O164" s="4">
        <v>9.8828045663561265E-2</v>
      </c>
      <c r="P164" t="s">
        <v>915</v>
      </c>
      <c r="Q164" t="s">
        <v>885</v>
      </c>
      <c r="R164" t="s">
        <v>793</v>
      </c>
    </row>
    <row r="165" spans="1:18" x14ac:dyDescent="0.4">
      <c r="A165" s="2">
        <v>45856</v>
      </c>
      <c r="B165" t="s">
        <v>32</v>
      </c>
      <c r="C165" t="s">
        <v>747</v>
      </c>
      <c r="D165" s="3" t="str">
        <f t="shared" si="4"/>
        <v>PASS</v>
      </c>
      <c r="E165" s="3" t="str">
        <f t="shared" si="5"/>
        <v>PASS</v>
      </c>
      <c r="F165" t="s">
        <v>747</v>
      </c>
      <c r="G165" t="s">
        <v>747</v>
      </c>
      <c r="H165" s="3">
        <v>78992388.469999999</v>
      </c>
      <c r="I165" s="3">
        <v>77408710.293871999</v>
      </c>
      <c r="J165" s="3">
        <v>15325.62</v>
      </c>
      <c r="K165" s="4">
        <v>3949619.4235</v>
      </c>
      <c r="L165" s="4">
        <v>0.2371346461744783</v>
      </c>
      <c r="M165" s="3">
        <v>3</v>
      </c>
      <c r="N165" t="s">
        <v>932</v>
      </c>
      <c r="O165" s="4">
        <v>7.756180339070079E-2</v>
      </c>
      <c r="P165" t="s">
        <v>915</v>
      </c>
      <c r="Q165" t="s">
        <v>849</v>
      </c>
      <c r="R165" t="s">
        <v>856</v>
      </c>
    </row>
    <row r="166" spans="1:18" x14ac:dyDescent="0.4">
      <c r="A166" s="2">
        <v>45856</v>
      </c>
      <c r="B166" t="s">
        <v>33</v>
      </c>
      <c r="C166" t="s">
        <v>747</v>
      </c>
      <c r="D166" s="3" t="e">
        <f t="shared" si="4"/>
        <v>#DIV/0!</v>
      </c>
      <c r="E166" s="3" t="str">
        <f t="shared" si="5"/>
        <v>PASS</v>
      </c>
      <c r="F166" t="s">
        <v>747</v>
      </c>
      <c r="G166" t="s">
        <v>747</v>
      </c>
      <c r="H166" s="3">
        <v>0</v>
      </c>
      <c r="I166" s="3">
        <v>3766819139.221396</v>
      </c>
      <c r="J166" s="3">
        <v>0</v>
      </c>
      <c r="K166" s="4">
        <v>0</v>
      </c>
      <c r="L166" s="4">
        <v>0</v>
      </c>
      <c r="M166" s="3">
        <v>827</v>
      </c>
      <c r="N166" t="s">
        <v>829</v>
      </c>
      <c r="O166" s="4">
        <v>5.4172000000000002</v>
      </c>
      <c r="P166" t="s">
        <v>913</v>
      </c>
      <c r="Q166" t="s">
        <v>748</v>
      </c>
      <c r="R166" t="s">
        <v>748</v>
      </c>
    </row>
    <row r="167" spans="1:18" x14ac:dyDescent="0.4">
      <c r="A167" s="2">
        <v>45859</v>
      </c>
      <c r="B167" t="s">
        <v>21</v>
      </c>
      <c r="C167" t="s">
        <v>747</v>
      </c>
      <c r="D167" s="3" t="e">
        <f t="shared" si="4"/>
        <v>#DIV/0!</v>
      </c>
      <c r="E167" s="3" t="str">
        <f t="shared" si="5"/>
        <v>PASS</v>
      </c>
      <c r="F167" t="s">
        <v>747</v>
      </c>
      <c r="G167" t="s">
        <v>747</v>
      </c>
      <c r="H167" s="3">
        <v>0</v>
      </c>
      <c r="I167" s="3">
        <v>3454561158.8973141</v>
      </c>
      <c r="J167" s="3">
        <v>0</v>
      </c>
      <c r="K167" s="4">
        <v>0</v>
      </c>
      <c r="L167" s="4">
        <v>0</v>
      </c>
      <c r="M167" s="3">
        <v>761</v>
      </c>
      <c r="N167" t="s">
        <v>933</v>
      </c>
      <c r="O167" s="4">
        <v>5.2434000000000003</v>
      </c>
      <c r="P167" t="s">
        <v>934</v>
      </c>
      <c r="Q167" t="s">
        <v>748</v>
      </c>
      <c r="R167" t="s">
        <v>748</v>
      </c>
    </row>
    <row r="168" spans="1:18" x14ac:dyDescent="0.4">
      <c r="A168" s="2">
        <v>45859</v>
      </c>
      <c r="B168" t="s">
        <v>24</v>
      </c>
      <c r="C168" t="s">
        <v>747</v>
      </c>
      <c r="D168" s="3" t="str">
        <f t="shared" si="4"/>
        <v>PASS</v>
      </c>
      <c r="E168" s="3" t="str">
        <f t="shared" si="5"/>
        <v>PASS</v>
      </c>
      <c r="F168" t="s">
        <v>747</v>
      </c>
      <c r="G168" t="s">
        <v>747</v>
      </c>
      <c r="H168" s="3">
        <v>137595285.30000001</v>
      </c>
      <c r="I168" s="3">
        <v>136140235.59539199</v>
      </c>
      <c r="J168" s="3">
        <v>8713.15</v>
      </c>
      <c r="K168" s="4">
        <v>6879764.2650000006</v>
      </c>
      <c r="L168" s="4">
        <v>0.2431290828423138</v>
      </c>
      <c r="M168" s="3">
        <v>3</v>
      </c>
      <c r="N168" t="s">
        <v>935</v>
      </c>
      <c r="O168" s="4">
        <v>8.1893278151384433E-2</v>
      </c>
      <c r="P168" t="s">
        <v>915</v>
      </c>
      <c r="Q168" t="s">
        <v>840</v>
      </c>
      <c r="R168" t="s">
        <v>899</v>
      </c>
    </row>
    <row r="169" spans="1:18" x14ac:dyDescent="0.4">
      <c r="A169" s="2">
        <v>45859</v>
      </c>
      <c r="B169" t="s">
        <v>25</v>
      </c>
      <c r="C169" t="s">
        <v>747</v>
      </c>
      <c r="D169" s="3" t="str">
        <f t="shared" si="4"/>
        <v>PASS</v>
      </c>
      <c r="E169" s="3" t="str">
        <f t="shared" si="5"/>
        <v>PASS</v>
      </c>
      <c r="F169" t="s">
        <v>747</v>
      </c>
      <c r="G169" t="s">
        <v>747</v>
      </c>
      <c r="H169" s="3">
        <v>102882373.98</v>
      </c>
      <c r="I169" s="3">
        <v>99874834.327327996</v>
      </c>
      <c r="J169" s="3">
        <v>6722.08</v>
      </c>
      <c r="K169" s="4">
        <v>5144118.699000001</v>
      </c>
      <c r="L169" s="4">
        <v>0.22988553085348051</v>
      </c>
      <c r="M169" s="3">
        <v>3</v>
      </c>
      <c r="N169" t="s">
        <v>936</v>
      </c>
      <c r="O169" s="4">
        <v>6.6764582460580563E-2</v>
      </c>
      <c r="P169" t="s">
        <v>915</v>
      </c>
      <c r="Q169" t="s">
        <v>793</v>
      </c>
      <c r="R169" t="s">
        <v>937</v>
      </c>
    </row>
    <row r="170" spans="1:18" x14ac:dyDescent="0.4">
      <c r="A170" s="2">
        <v>45859</v>
      </c>
      <c r="B170" t="s">
        <v>26</v>
      </c>
      <c r="C170" t="s">
        <v>747</v>
      </c>
      <c r="D170" s="3" t="str">
        <f t="shared" si="4"/>
        <v>PASS</v>
      </c>
      <c r="E170" s="3" t="str">
        <f t="shared" si="5"/>
        <v>PASS</v>
      </c>
      <c r="F170" t="s">
        <v>747</v>
      </c>
      <c r="G170" t="s">
        <v>747</v>
      </c>
      <c r="H170" s="3">
        <v>23876842.84</v>
      </c>
      <c r="I170" s="3">
        <v>23270427.24512</v>
      </c>
      <c r="J170" s="3">
        <v>1563.75</v>
      </c>
      <c r="K170" s="4">
        <v>1193842.142</v>
      </c>
      <c r="L170" s="4">
        <v>0.22969287199650301</v>
      </c>
      <c r="M170" s="3">
        <v>3</v>
      </c>
      <c r="N170" t="s">
        <v>938</v>
      </c>
      <c r="O170" s="4">
        <v>6.1170190669982229E-2</v>
      </c>
      <c r="P170" t="s">
        <v>915</v>
      </c>
      <c r="Q170" t="s">
        <v>886</v>
      </c>
      <c r="R170" t="s">
        <v>937</v>
      </c>
    </row>
    <row r="171" spans="1:18" x14ac:dyDescent="0.4">
      <c r="A171" s="2">
        <v>45859</v>
      </c>
      <c r="B171" t="s">
        <v>27</v>
      </c>
      <c r="C171" t="s">
        <v>747</v>
      </c>
      <c r="D171" s="3" t="str">
        <f t="shared" si="4"/>
        <v>PASS</v>
      </c>
      <c r="E171" s="3" t="str">
        <f t="shared" si="5"/>
        <v>PASS</v>
      </c>
      <c r="F171" t="s">
        <v>747</v>
      </c>
      <c r="G171" t="s">
        <v>747</v>
      </c>
      <c r="H171" s="3">
        <v>49284490.960000001</v>
      </c>
      <c r="I171" s="3">
        <v>48495164.448192</v>
      </c>
      <c r="J171" s="3">
        <v>3006.77</v>
      </c>
      <c r="K171" s="4">
        <v>2464224.548</v>
      </c>
      <c r="L171" s="4">
        <v>0.25439566824628862</v>
      </c>
      <c r="M171" s="3">
        <v>3</v>
      </c>
      <c r="N171" t="s">
        <v>939</v>
      </c>
      <c r="O171" s="4">
        <v>0.1124765513291202</v>
      </c>
      <c r="P171" t="s">
        <v>915</v>
      </c>
      <c r="Q171" t="s">
        <v>921</v>
      </c>
      <c r="R171" t="s">
        <v>922</v>
      </c>
    </row>
    <row r="172" spans="1:18" x14ac:dyDescent="0.4">
      <c r="A172" s="2">
        <v>45859</v>
      </c>
      <c r="B172" t="s">
        <v>28</v>
      </c>
      <c r="C172" t="s">
        <v>747</v>
      </c>
      <c r="D172" s="3" t="str">
        <f t="shared" si="4"/>
        <v>PASS</v>
      </c>
      <c r="E172" s="3" t="str">
        <f t="shared" si="5"/>
        <v>PASS</v>
      </c>
      <c r="F172" t="s">
        <v>747</v>
      </c>
      <c r="G172" t="s">
        <v>747</v>
      </c>
      <c r="H172" s="3">
        <v>15489836.689999999</v>
      </c>
      <c r="I172" s="3">
        <v>15274748.224056</v>
      </c>
      <c r="J172" s="3">
        <v>989.28</v>
      </c>
      <c r="K172" s="4">
        <v>774491.8345</v>
      </c>
      <c r="L172" s="4">
        <v>0.241932876797535</v>
      </c>
      <c r="M172" s="3">
        <v>3</v>
      </c>
      <c r="N172" t="s">
        <v>940</v>
      </c>
      <c r="O172" s="4">
        <v>9.6324916518922971E-2</v>
      </c>
      <c r="P172" t="s">
        <v>915</v>
      </c>
      <c r="Q172" t="s">
        <v>941</v>
      </c>
      <c r="R172" t="s">
        <v>834</v>
      </c>
    </row>
    <row r="173" spans="1:18" x14ac:dyDescent="0.4">
      <c r="A173" s="2">
        <v>45859</v>
      </c>
      <c r="B173" t="s">
        <v>29</v>
      </c>
      <c r="C173" t="s">
        <v>747</v>
      </c>
      <c r="D173" s="3" t="str">
        <f t="shared" si="4"/>
        <v>PASS</v>
      </c>
      <c r="E173" s="3" t="str">
        <f t="shared" si="5"/>
        <v>PASS</v>
      </c>
      <c r="F173" t="s">
        <v>747</v>
      </c>
      <c r="G173" t="s">
        <v>747</v>
      </c>
      <c r="H173" s="3">
        <v>34956461.579999998</v>
      </c>
      <c r="I173" s="3">
        <v>34702592.948224001</v>
      </c>
      <c r="J173" s="3">
        <v>2351.25</v>
      </c>
      <c r="K173" s="4">
        <v>1747823.0789999999</v>
      </c>
      <c r="L173" s="4">
        <v>0.22576609804463629</v>
      </c>
      <c r="M173" s="3">
        <v>3</v>
      </c>
      <c r="N173" t="s">
        <v>942</v>
      </c>
      <c r="O173" s="4">
        <v>4.3918492027876462E-2</v>
      </c>
      <c r="P173" t="s">
        <v>915</v>
      </c>
      <c r="Q173" t="s">
        <v>881</v>
      </c>
      <c r="R173" t="s">
        <v>927</v>
      </c>
    </row>
    <row r="174" spans="1:18" x14ac:dyDescent="0.4">
      <c r="A174" s="2">
        <v>45859</v>
      </c>
      <c r="B174" t="s">
        <v>30</v>
      </c>
      <c r="C174" t="s">
        <v>747</v>
      </c>
      <c r="D174" s="3" t="str">
        <f t="shared" si="4"/>
        <v>PASS</v>
      </c>
      <c r="E174" s="3" t="str">
        <f t="shared" si="5"/>
        <v>PASS</v>
      </c>
      <c r="F174" t="s">
        <v>747</v>
      </c>
      <c r="G174" t="s">
        <v>747</v>
      </c>
      <c r="H174" s="3">
        <v>55216439.420000002</v>
      </c>
      <c r="I174" s="3">
        <v>52428709.403467998</v>
      </c>
      <c r="J174" s="3">
        <v>3635.37</v>
      </c>
      <c r="K174" s="4">
        <v>2760821.9709999999</v>
      </c>
      <c r="L174" s="4">
        <v>0</v>
      </c>
      <c r="M174" s="3">
        <v>0</v>
      </c>
      <c r="N174" t="s">
        <v>23</v>
      </c>
      <c r="O174" s="4">
        <v>3.8072921571008472E-2</v>
      </c>
      <c r="P174" t="s">
        <v>928</v>
      </c>
      <c r="Q174" t="s">
        <v>943</v>
      </c>
      <c r="R174" t="s">
        <v>909</v>
      </c>
    </row>
    <row r="175" spans="1:18" x14ac:dyDescent="0.4">
      <c r="A175" s="2">
        <v>45859</v>
      </c>
      <c r="B175" t="s">
        <v>31</v>
      </c>
      <c r="C175" t="s">
        <v>747</v>
      </c>
      <c r="D175" s="3" t="str">
        <f t="shared" si="4"/>
        <v>PASS</v>
      </c>
      <c r="E175" s="3" t="str">
        <f t="shared" si="5"/>
        <v>PASS</v>
      </c>
      <c r="F175" t="s">
        <v>747</v>
      </c>
      <c r="G175" t="s">
        <v>747</v>
      </c>
      <c r="H175" s="3">
        <v>40640201.759999998</v>
      </c>
      <c r="I175" s="3">
        <v>38982299.392775998</v>
      </c>
      <c r="J175" s="3">
        <v>2534.73</v>
      </c>
      <c r="K175" s="4">
        <v>2032010.088</v>
      </c>
      <c r="L175" s="4">
        <v>0.2413099702566868</v>
      </c>
      <c r="M175" s="3">
        <v>3</v>
      </c>
      <c r="N175" t="s">
        <v>944</v>
      </c>
      <c r="O175" s="4">
        <v>9.8076509592997657E-2</v>
      </c>
      <c r="P175" t="s">
        <v>915</v>
      </c>
      <c r="Q175" t="s">
        <v>877</v>
      </c>
      <c r="R175" t="s">
        <v>886</v>
      </c>
    </row>
    <row r="176" spans="1:18" x14ac:dyDescent="0.4">
      <c r="A176" s="2">
        <v>45859</v>
      </c>
      <c r="B176" t="s">
        <v>32</v>
      </c>
      <c r="C176" t="s">
        <v>747</v>
      </c>
      <c r="D176" s="3" t="str">
        <f t="shared" si="4"/>
        <v>PASS</v>
      </c>
      <c r="E176" s="3" t="str">
        <f t="shared" si="5"/>
        <v>PASS</v>
      </c>
      <c r="F176" t="s">
        <v>747</v>
      </c>
      <c r="G176" t="s">
        <v>747</v>
      </c>
      <c r="H176" s="3">
        <v>79154239.280000001</v>
      </c>
      <c r="I176" s="3">
        <v>77640018.727871999</v>
      </c>
      <c r="J176" s="3">
        <v>5105.72</v>
      </c>
      <c r="K176" s="4">
        <v>3957711.9640000002</v>
      </c>
      <c r="L176" s="4">
        <v>0.23620246956076349</v>
      </c>
      <c r="M176" s="3">
        <v>3</v>
      </c>
      <c r="N176" t="s">
        <v>945</v>
      </c>
      <c r="O176" s="4">
        <v>7.7015332890860183E-2</v>
      </c>
      <c r="P176" t="s">
        <v>915</v>
      </c>
      <c r="Q176" t="s">
        <v>849</v>
      </c>
      <c r="R176" t="s">
        <v>834</v>
      </c>
    </row>
    <row r="177" spans="1:18" x14ac:dyDescent="0.4">
      <c r="A177" s="2">
        <v>45859</v>
      </c>
      <c r="B177" t="s">
        <v>33</v>
      </c>
      <c r="C177" t="s">
        <v>747</v>
      </c>
      <c r="D177" s="3" t="e">
        <f t="shared" si="4"/>
        <v>#DIV/0!</v>
      </c>
      <c r="E177" s="3" t="str">
        <f t="shared" si="5"/>
        <v>PASS</v>
      </c>
      <c r="F177" t="s">
        <v>747</v>
      </c>
      <c r="G177" t="s">
        <v>747</v>
      </c>
      <c r="H177" s="3">
        <v>0</v>
      </c>
      <c r="I177" s="3">
        <v>3454561158.8973141</v>
      </c>
      <c r="J177" s="3">
        <v>0</v>
      </c>
      <c r="K177" s="4">
        <v>0</v>
      </c>
      <c r="L177" s="4">
        <v>0</v>
      </c>
      <c r="M177" s="3">
        <v>761</v>
      </c>
      <c r="N177" t="s">
        <v>933</v>
      </c>
      <c r="O177" s="4">
        <v>5.2434000000000003</v>
      </c>
      <c r="P177" t="s">
        <v>934</v>
      </c>
      <c r="Q177" t="s">
        <v>748</v>
      </c>
      <c r="R177" t="s">
        <v>748</v>
      </c>
    </row>
    <row r="178" spans="1:18" x14ac:dyDescent="0.4">
      <c r="A178" s="2">
        <v>45860</v>
      </c>
      <c r="B178" t="s">
        <v>21</v>
      </c>
      <c r="C178" t="s">
        <v>747</v>
      </c>
      <c r="D178" s="3" t="e">
        <f t="shared" si="4"/>
        <v>#DIV/0!</v>
      </c>
      <c r="E178" s="3" t="str">
        <f t="shared" si="5"/>
        <v>PASS</v>
      </c>
      <c r="F178" t="s">
        <v>747</v>
      </c>
      <c r="G178" t="s">
        <v>747</v>
      </c>
      <c r="H178" s="3">
        <v>0</v>
      </c>
      <c r="I178" s="3">
        <v>3394384742.6676998</v>
      </c>
      <c r="J178" s="3">
        <v>0</v>
      </c>
      <c r="K178" s="4">
        <v>0</v>
      </c>
      <c r="L178" s="4">
        <v>0</v>
      </c>
      <c r="M178" s="3">
        <v>761</v>
      </c>
      <c r="N178" t="s">
        <v>933</v>
      </c>
      <c r="O178" s="4">
        <v>5.2411000000000003</v>
      </c>
      <c r="P178" t="s">
        <v>946</v>
      </c>
      <c r="Q178" t="s">
        <v>748</v>
      </c>
      <c r="R178" t="s">
        <v>748</v>
      </c>
    </row>
    <row r="179" spans="1:18" x14ac:dyDescent="0.4">
      <c r="A179" s="2">
        <v>45860</v>
      </c>
      <c r="B179" t="s">
        <v>24</v>
      </c>
      <c r="C179" t="s">
        <v>747</v>
      </c>
      <c r="D179" s="3" t="str">
        <f t="shared" si="4"/>
        <v>PASS</v>
      </c>
      <c r="E179" s="3" t="str">
        <f t="shared" si="5"/>
        <v>PASS</v>
      </c>
      <c r="F179" t="s">
        <v>747</v>
      </c>
      <c r="G179" t="s">
        <v>747</v>
      </c>
      <c r="H179" s="3">
        <v>137553621.34</v>
      </c>
      <c r="I179" s="3">
        <v>135218500.46740201</v>
      </c>
      <c r="J179" s="3">
        <v>8732.75</v>
      </c>
      <c r="K179" s="4">
        <v>6877681.0670000007</v>
      </c>
      <c r="L179" s="4">
        <v>0.24058808500551729</v>
      </c>
      <c r="M179" s="3">
        <v>3</v>
      </c>
      <c r="N179" t="s">
        <v>947</v>
      </c>
      <c r="O179" s="4">
        <v>8.2097963306169114E-2</v>
      </c>
      <c r="P179" t="s">
        <v>948</v>
      </c>
      <c r="Q179" t="s">
        <v>899</v>
      </c>
      <c r="R179" t="s">
        <v>949</v>
      </c>
    </row>
    <row r="180" spans="1:18" x14ac:dyDescent="0.4">
      <c r="A180" s="2">
        <v>45860</v>
      </c>
      <c r="B180" t="s">
        <v>25</v>
      </c>
      <c r="C180" t="s">
        <v>747</v>
      </c>
      <c r="D180" s="3" t="str">
        <f t="shared" si="4"/>
        <v>PASS</v>
      </c>
      <c r="E180" s="3" t="str">
        <f t="shared" si="5"/>
        <v>PASS</v>
      </c>
      <c r="F180" t="s">
        <v>747</v>
      </c>
      <c r="G180" t="s">
        <v>747</v>
      </c>
      <c r="H180" s="3">
        <v>102849408.63</v>
      </c>
      <c r="I180" s="3">
        <v>99238060.450711995</v>
      </c>
      <c r="J180" s="3">
        <v>6735.01</v>
      </c>
      <c r="K180" s="4">
        <v>5142470.4314999999</v>
      </c>
      <c r="L180" s="4">
        <v>0.22763739141137579</v>
      </c>
      <c r="M180" s="3">
        <v>3</v>
      </c>
      <c r="N180" t="s">
        <v>950</v>
      </c>
      <c r="O180" s="4">
        <v>6.755616028583869E-2</v>
      </c>
      <c r="P180" t="s">
        <v>948</v>
      </c>
      <c r="Q180" t="s">
        <v>951</v>
      </c>
      <c r="R180" t="s">
        <v>918</v>
      </c>
    </row>
    <row r="181" spans="1:18" x14ac:dyDescent="0.4">
      <c r="A181" s="2">
        <v>45860</v>
      </c>
      <c r="B181" t="s">
        <v>26</v>
      </c>
      <c r="C181" t="s">
        <v>747</v>
      </c>
      <c r="D181" s="3" t="str">
        <f t="shared" si="4"/>
        <v>PASS</v>
      </c>
      <c r="E181" s="3" t="str">
        <f t="shared" si="5"/>
        <v>PASS</v>
      </c>
      <c r="F181" t="s">
        <v>747</v>
      </c>
      <c r="G181" t="s">
        <v>747</v>
      </c>
      <c r="H181" s="3">
        <v>23867579.609999999</v>
      </c>
      <c r="I181" s="3">
        <v>23106046.825569998</v>
      </c>
      <c r="J181" s="3">
        <v>1566.73</v>
      </c>
      <c r="K181" s="4">
        <v>1193378.9805000001</v>
      </c>
      <c r="L181" s="4">
        <v>0.22733206247238169</v>
      </c>
      <c r="M181" s="3">
        <v>3</v>
      </c>
      <c r="N181" t="s">
        <v>952</v>
      </c>
      <c r="O181" s="4">
        <v>6.1622896355764997E-2</v>
      </c>
      <c r="P181" t="s">
        <v>948</v>
      </c>
      <c r="Q181" t="s">
        <v>951</v>
      </c>
      <c r="R181" t="s">
        <v>918</v>
      </c>
    </row>
    <row r="182" spans="1:18" x14ac:dyDescent="0.4">
      <c r="A182" s="2">
        <v>45860</v>
      </c>
      <c r="B182" t="s">
        <v>27</v>
      </c>
      <c r="C182" t="s">
        <v>747</v>
      </c>
      <c r="D182" s="3" t="str">
        <f t="shared" si="4"/>
        <v>PASS</v>
      </c>
      <c r="E182" s="3" t="str">
        <f t="shared" si="5"/>
        <v>PASS</v>
      </c>
      <c r="F182" t="s">
        <v>747</v>
      </c>
      <c r="G182" t="s">
        <v>747</v>
      </c>
      <c r="H182" s="3">
        <v>48287877.990000002</v>
      </c>
      <c r="I182" s="3">
        <v>43256835.502219997</v>
      </c>
      <c r="J182" s="3">
        <v>3014.04</v>
      </c>
      <c r="K182" s="4">
        <v>2414393.8994999998</v>
      </c>
      <c r="L182" s="4">
        <v>0.22726279892728449</v>
      </c>
      <c r="M182" s="3">
        <v>3</v>
      </c>
      <c r="N182" t="s">
        <v>953</v>
      </c>
      <c r="O182" s="4">
        <v>0.1150726133662516</v>
      </c>
      <c r="P182" t="s">
        <v>948</v>
      </c>
      <c r="Q182" t="s">
        <v>954</v>
      </c>
      <c r="R182" t="s">
        <v>955</v>
      </c>
    </row>
    <row r="183" spans="1:18" x14ac:dyDescent="0.4">
      <c r="A183" s="2">
        <v>45860</v>
      </c>
      <c r="B183" t="s">
        <v>28</v>
      </c>
      <c r="C183" t="s">
        <v>747</v>
      </c>
      <c r="D183" s="3" t="str">
        <f t="shared" si="4"/>
        <v>PASS</v>
      </c>
      <c r="E183" s="3" t="str">
        <f t="shared" si="5"/>
        <v>PASS</v>
      </c>
      <c r="F183" t="s">
        <v>747</v>
      </c>
      <c r="G183" t="s">
        <v>747</v>
      </c>
      <c r="H183" s="3">
        <v>15485520.210000001</v>
      </c>
      <c r="I183" s="3">
        <v>15176937.021782</v>
      </c>
      <c r="J183" s="3">
        <v>991.44</v>
      </c>
      <c r="K183" s="4">
        <v>774276.01050000009</v>
      </c>
      <c r="L183" s="4">
        <v>0.23953001788626521</v>
      </c>
      <c r="M183" s="3">
        <v>3</v>
      </c>
      <c r="N183" t="s">
        <v>956</v>
      </c>
      <c r="O183" s="4">
        <v>9.678242354520164E-2</v>
      </c>
      <c r="P183" t="s">
        <v>948</v>
      </c>
      <c r="Q183" t="s">
        <v>877</v>
      </c>
      <c r="R183" t="s">
        <v>782</v>
      </c>
    </row>
    <row r="184" spans="1:18" x14ac:dyDescent="0.4">
      <c r="A184" s="2">
        <v>45860</v>
      </c>
      <c r="B184" t="s">
        <v>29</v>
      </c>
      <c r="C184" t="s">
        <v>747</v>
      </c>
      <c r="D184" s="3" t="str">
        <f t="shared" si="4"/>
        <v>PASS</v>
      </c>
      <c r="E184" s="3" t="str">
        <f t="shared" si="5"/>
        <v>PASS</v>
      </c>
      <c r="F184" t="s">
        <v>747</v>
      </c>
      <c r="G184" t="s">
        <v>747</v>
      </c>
      <c r="H184" s="3">
        <v>34938997.82</v>
      </c>
      <c r="I184" s="3">
        <v>34417591.463440001</v>
      </c>
      <c r="J184" s="3">
        <v>2356.2399999999998</v>
      </c>
      <c r="K184" s="4">
        <v>1746949.8910000001</v>
      </c>
      <c r="L184" s="4">
        <v>0.22334253623361869</v>
      </c>
      <c r="M184" s="3">
        <v>3</v>
      </c>
      <c r="N184" t="s">
        <v>957</v>
      </c>
      <c r="O184" s="4">
        <v>4.4155931443370752E-2</v>
      </c>
      <c r="P184" t="s">
        <v>948</v>
      </c>
      <c r="Q184" t="s">
        <v>881</v>
      </c>
      <c r="R184" t="s">
        <v>927</v>
      </c>
    </row>
    <row r="185" spans="1:18" x14ac:dyDescent="0.4">
      <c r="A185" s="2">
        <v>45860</v>
      </c>
      <c r="B185" t="s">
        <v>30</v>
      </c>
      <c r="C185" t="s">
        <v>747</v>
      </c>
      <c r="D185" s="3" t="str">
        <f t="shared" si="4"/>
        <v>PASS</v>
      </c>
      <c r="E185" s="3" t="str">
        <f t="shared" si="5"/>
        <v>PASS</v>
      </c>
      <c r="F185" t="s">
        <v>747</v>
      </c>
      <c r="G185" t="s">
        <v>747</v>
      </c>
      <c r="H185" s="3">
        <v>55875916.729999997</v>
      </c>
      <c r="I185" s="3">
        <v>52633121.115925997</v>
      </c>
      <c r="J185" s="3">
        <v>3627.26</v>
      </c>
      <c r="K185" s="4">
        <v>2793795.8365000002</v>
      </c>
      <c r="L185" s="4">
        <v>0</v>
      </c>
      <c r="M185" s="3">
        <v>0</v>
      </c>
      <c r="N185" t="s">
        <v>23</v>
      </c>
      <c r="O185" s="4">
        <v>3.7975482356367968E-2</v>
      </c>
      <c r="P185" t="s">
        <v>958</v>
      </c>
      <c r="Q185" t="s">
        <v>959</v>
      </c>
      <c r="R185" t="s">
        <v>960</v>
      </c>
    </row>
    <row r="186" spans="1:18" x14ac:dyDescent="0.4">
      <c r="A186" s="2">
        <v>45860</v>
      </c>
      <c r="B186" t="s">
        <v>31</v>
      </c>
      <c r="C186" t="s">
        <v>747</v>
      </c>
      <c r="D186" s="3" t="str">
        <f t="shared" si="4"/>
        <v>PASS</v>
      </c>
      <c r="E186" s="3" t="str">
        <f t="shared" si="5"/>
        <v>PASS</v>
      </c>
      <c r="F186" t="s">
        <v>747</v>
      </c>
      <c r="G186" t="s">
        <v>747</v>
      </c>
      <c r="H186" s="3">
        <v>40629855.560000002</v>
      </c>
      <c r="I186" s="3">
        <v>38741360.990486003</v>
      </c>
      <c r="J186" s="3">
        <v>2540.25</v>
      </c>
      <c r="K186" s="4">
        <v>2031492.7779999999</v>
      </c>
      <c r="L186" s="4">
        <v>0.23901015239066381</v>
      </c>
      <c r="M186" s="3">
        <v>3</v>
      </c>
      <c r="N186" t="s">
        <v>961</v>
      </c>
      <c r="O186" s="4">
        <v>9.8773739831774066E-2</v>
      </c>
      <c r="P186" t="s">
        <v>948</v>
      </c>
      <c r="Q186" t="s">
        <v>924</v>
      </c>
      <c r="R186" t="s">
        <v>808</v>
      </c>
    </row>
    <row r="187" spans="1:18" x14ac:dyDescent="0.4">
      <c r="A187" s="2">
        <v>45860</v>
      </c>
      <c r="B187" t="s">
        <v>32</v>
      </c>
      <c r="C187" t="s">
        <v>747</v>
      </c>
      <c r="D187" s="3" t="str">
        <f t="shared" si="4"/>
        <v>PASS</v>
      </c>
      <c r="E187" s="3" t="str">
        <f t="shared" si="5"/>
        <v>PASS</v>
      </c>
      <c r="F187" t="s">
        <v>747</v>
      </c>
      <c r="G187" t="s">
        <v>747</v>
      </c>
      <c r="H187" s="3">
        <v>79132529.489999995</v>
      </c>
      <c r="I187" s="3">
        <v>77123925.135584012</v>
      </c>
      <c r="J187" s="3">
        <v>5117.42</v>
      </c>
      <c r="K187" s="4">
        <v>3956626.4745</v>
      </c>
      <c r="L187" s="4">
        <v>0.2337802666750825</v>
      </c>
      <c r="M187" s="3">
        <v>3</v>
      </c>
      <c r="N187" t="s">
        <v>962</v>
      </c>
      <c r="O187" s="4">
        <v>7.742102599359231E-2</v>
      </c>
      <c r="P187" t="s">
        <v>948</v>
      </c>
      <c r="Q187" t="s">
        <v>912</v>
      </c>
      <c r="R187" t="s">
        <v>878</v>
      </c>
    </row>
    <row r="188" spans="1:18" x14ac:dyDescent="0.4">
      <c r="A188" s="2">
        <v>45860</v>
      </c>
      <c r="B188" t="s">
        <v>33</v>
      </c>
      <c r="C188" t="s">
        <v>747</v>
      </c>
      <c r="D188" s="3" t="e">
        <f t="shared" si="4"/>
        <v>#DIV/0!</v>
      </c>
      <c r="E188" s="3" t="str">
        <f t="shared" si="5"/>
        <v>PASS</v>
      </c>
      <c r="F188" t="s">
        <v>747</v>
      </c>
      <c r="G188" t="s">
        <v>747</v>
      </c>
      <c r="H188" s="3">
        <v>0</v>
      </c>
      <c r="I188" s="3">
        <v>3394384742.6676998</v>
      </c>
      <c r="J188" s="3">
        <v>0</v>
      </c>
      <c r="K188" s="4">
        <v>0</v>
      </c>
      <c r="L188" s="4">
        <v>0</v>
      </c>
      <c r="M188" s="3">
        <v>761</v>
      </c>
      <c r="N188" t="s">
        <v>933</v>
      </c>
      <c r="O188" s="4">
        <v>5.2411000000000003</v>
      </c>
      <c r="P188" t="s">
        <v>946</v>
      </c>
      <c r="Q188" t="s">
        <v>748</v>
      </c>
      <c r="R188" t="s">
        <v>748</v>
      </c>
    </row>
    <row r="189" spans="1:18" x14ac:dyDescent="0.4">
      <c r="A189" s="2">
        <v>45861</v>
      </c>
      <c r="B189" t="s">
        <v>21</v>
      </c>
      <c r="C189" t="s">
        <v>747</v>
      </c>
      <c r="D189" s="3" t="e">
        <f t="shared" si="4"/>
        <v>#DIV/0!</v>
      </c>
      <c r="E189" s="3" t="str">
        <f t="shared" si="5"/>
        <v>PASS</v>
      </c>
      <c r="F189" t="s">
        <v>747</v>
      </c>
      <c r="G189" t="s">
        <v>747</v>
      </c>
      <c r="H189" s="3">
        <v>0</v>
      </c>
      <c r="I189" s="3">
        <v>3387618067.45857</v>
      </c>
      <c r="J189" s="3">
        <v>0</v>
      </c>
      <c r="K189" s="4">
        <v>0</v>
      </c>
      <c r="L189" s="4">
        <v>0</v>
      </c>
      <c r="M189" s="3">
        <v>755</v>
      </c>
      <c r="N189" t="s">
        <v>963</v>
      </c>
      <c r="O189" s="4">
        <v>5.2042000000000002</v>
      </c>
      <c r="P189" t="s">
        <v>964</v>
      </c>
      <c r="Q189" t="s">
        <v>748</v>
      </c>
      <c r="R189" t="s">
        <v>748</v>
      </c>
    </row>
    <row r="190" spans="1:18" x14ac:dyDescent="0.4">
      <c r="A190" s="2">
        <v>45861</v>
      </c>
      <c r="B190" t="s">
        <v>24</v>
      </c>
      <c r="C190" t="s">
        <v>747</v>
      </c>
      <c r="D190" s="3" t="str">
        <f t="shared" si="4"/>
        <v>PASS</v>
      </c>
      <c r="E190" s="3" t="str">
        <f t="shared" si="5"/>
        <v>PASS</v>
      </c>
      <c r="F190" t="s">
        <v>747</v>
      </c>
      <c r="G190" t="s">
        <v>747</v>
      </c>
      <c r="H190" s="3">
        <v>137996542.68000001</v>
      </c>
      <c r="I190" s="3">
        <v>135365501.52004001</v>
      </c>
      <c r="J190" s="3">
        <v>8729.09</v>
      </c>
      <c r="K190" s="4">
        <v>6899827.1340000005</v>
      </c>
      <c r="L190" s="4">
        <v>0.23906350523379891</v>
      </c>
      <c r="M190" s="3">
        <v>3</v>
      </c>
      <c r="N190" t="s">
        <v>965</v>
      </c>
      <c r="O190" s="4">
        <v>8.1554550269693743E-2</v>
      </c>
      <c r="P190" t="s">
        <v>966</v>
      </c>
      <c r="Q190" t="s">
        <v>899</v>
      </c>
      <c r="R190" t="s">
        <v>967</v>
      </c>
    </row>
    <row r="191" spans="1:18" x14ac:dyDescent="0.4">
      <c r="A191" s="2">
        <v>45861</v>
      </c>
      <c r="B191" t="s">
        <v>25</v>
      </c>
      <c r="C191" t="s">
        <v>747</v>
      </c>
      <c r="D191" s="3" t="str">
        <f t="shared" si="4"/>
        <v>PASS</v>
      </c>
      <c r="E191" s="3" t="str">
        <f t="shared" si="5"/>
        <v>PASS</v>
      </c>
      <c r="F191" t="s">
        <v>747</v>
      </c>
      <c r="G191" t="s">
        <v>747</v>
      </c>
      <c r="H191" s="3">
        <v>103083110.14</v>
      </c>
      <c r="I191" s="3">
        <v>99318971.896329999</v>
      </c>
      <c r="J191" s="3">
        <v>6732.13</v>
      </c>
      <c r="K191" s="4">
        <v>5154155.5070000002</v>
      </c>
      <c r="L191" s="4">
        <v>0.22639068480251481</v>
      </c>
      <c r="M191" s="3">
        <v>3</v>
      </c>
      <c r="N191" t="s">
        <v>968</v>
      </c>
      <c r="O191" s="4">
        <v>6.6850949675178281E-2</v>
      </c>
      <c r="P191" t="s">
        <v>966</v>
      </c>
      <c r="Q191" t="s">
        <v>951</v>
      </c>
      <c r="R191" t="s">
        <v>918</v>
      </c>
    </row>
    <row r="192" spans="1:18" x14ac:dyDescent="0.4">
      <c r="A192" s="2">
        <v>45861</v>
      </c>
      <c r="B192" t="s">
        <v>26</v>
      </c>
      <c r="C192" t="s">
        <v>747</v>
      </c>
      <c r="D192" s="3" t="str">
        <f t="shared" si="4"/>
        <v>PASS</v>
      </c>
      <c r="E192" s="3" t="str">
        <f t="shared" si="5"/>
        <v>PASS</v>
      </c>
      <c r="F192" t="s">
        <v>747</v>
      </c>
      <c r="G192" t="s">
        <v>747</v>
      </c>
      <c r="H192" s="3">
        <v>23930144.469999999</v>
      </c>
      <c r="I192" s="3">
        <v>23121017.250160001</v>
      </c>
      <c r="J192" s="3">
        <v>1565.94</v>
      </c>
      <c r="K192" s="4">
        <v>1196507.2235000001</v>
      </c>
      <c r="L192" s="4">
        <v>0.22604682017409281</v>
      </c>
      <c r="M192" s="3">
        <v>3</v>
      </c>
      <c r="N192" t="s">
        <v>969</v>
      </c>
      <c r="O192" s="4">
        <v>6.1017185959345778E-2</v>
      </c>
      <c r="P192" t="s">
        <v>966</v>
      </c>
      <c r="Q192" t="s">
        <v>951</v>
      </c>
      <c r="R192" t="s">
        <v>918</v>
      </c>
    </row>
    <row r="193" spans="1:18" x14ac:dyDescent="0.4">
      <c r="A193" s="2">
        <v>45861</v>
      </c>
      <c r="B193" t="s">
        <v>27</v>
      </c>
      <c r="C193" t="s">
        <v>747</v>
      </c>
      <c r="D193" s="3" t="str">
        <f t="shared" si="4"/>
        <v>PASS</v>
      </c>
      <c r="E193" s="3" t="str">
        <f t="shared" si="5"/>
        <v>PASS</v>
      </c>
      <c r="F193" t="s">
        <v>747</v>
      </c>
      <c r="G193" t="s">
        <v>747</v>
      </c>
      <c r="H193" s="3">
        <v>48426770.460000001</v>
      </c>
      <c r="I193" s="3">
        <v>42605799.244020008</v>
      </c>
      <c r="J193" s="3">
        <v>3012.81</v>
      </c>
      <c r="K193" s="4">
        <v>2421338.523</v>
      </c>
      <c r="L193" s="4">
        <v>0.22086300600918621</v>
      </c>
      <c r="M193" s="3">
        <v>3</v>
      </c>
      <c r="N193" t="s">
        <v>970</v>
      </c>
      <c r="O193" s="4">
        <v>0.10003105887519879</v>
      </c>
      <c r="P193" t="s">
        <v>966</v>
      </c>
      <c r="Q193" t="s">
        <v>971</v>
      </c>
      <c r="R193" t="s">
        <v>972</v>
      </c>
    </row>
    <row r="194" spans="1:18" x14ac:dyDescent="0.4">
      <c r="A194" s="2">
        <v>45861</v>
      </c>
      <c r="B194" t="s">
        <v>28</v>
      </c>
      <c r="C194" t="s">
        <v>747</v>
      </c>
      <c r="D194" s="3" t="str">
        <f t="shared" ref="D194:D257" si="6">IF(I194/H194&gt;=0.5,"PASS","FAIL")</f>
        <v>PASS</v>
      </c>
      <c r="E194" s="3" t="str">
        <f t="shared" ref="E194:E257" si="7">IF(L194&lt;=0.5,"PASS","FAIL")</f>
        <v>PASS</v>
      </c>
      <c r="F194" t="s">
        <v>747</v>
      </c>
      <c r="G194" t="s">
        <v>747</v>
      </c>
      <c r="H194" s="3">
        <v>15528165.380000001</v>
      </c>
      <c r="I194" s="3">
        <v>15199483.455019999</v>
      </c>
      <c r="J194" s="3">
        <v>991.05</v>
      </c>
      <c r="K194" s="4">
        <v>776408.26900000009</v>
      </c>
      <c r="L194" s="4">
        <v>0.23804152387432431</v>
      </c>
      <c r="M194" s="3">
        <v>3</v>
      </c>
      <c r="N194" t="s">
        <v>973</v>
      </c>
      <c r="O194" s="4">
        <v>9.60063655002108E-2</v>
      </c>
      <c r="P194" t="s">
        <v>966</v>
      </c>
      <c r="Q194" t="s">
        <v>974</v>
      </c>
      <c r="R194" t="s">
        <v>878</v>
      </c>
    </row>
    <row r="195" spans="1:18" x14ac:dyDescent="0.4">
      <c r="A195" s="2">
        <v>45861</v>
      </c>
      <c r="B195" t="s">
        <v>29</v>
      </c>
      <c r="C195" t="s">
        <v>747</v>
      </c>
      <c r="D195" s="3" t="str">
        <f t="shared" si="6"/>
        <v>PASS</v>
      </c>
      <c r="E195" s="3" t="str">
        <f t="shared" si="7"/>
        <v>PASS</v>
      </c>
      <c r="F195" t="s">
        <v>747</v>
      </c>
      <c r="G195" t="s">
        <v>747</v>
      </c>
      <c r="H195" s="3">
        <v>35063414.520000003</v>
      </c>
      <c r="I195" s="3">
        <v>34458163.168530002</v>
      </c>
      <c r="J195" s="3">
        <v>2362.04</v>
      </c>
      <c r="K195" s="4">
        <v>1753170.726</v>
      </c>
      <c r="L195" s="4">
        <v>0.2219588923222813</v>
      </c>
      <c r="M195" s="3">
        <v>3</v>
      </c>
      <c r="N195" t="s">
        <v>975</v>
      </c>
      <c r="O195" s="4">
        <v>4.3711642905050418E-2</v>
      </c>
      <c r="P195" t="s">
        <v>966</v>
      </c>
      <c r="Q195" t="s">
        <v>881</v>
      </c>
      <c r="R195" t="s">
        <v>927</v>
      </c>
    </row>
    <row r="196" spans="1:18" x14ac:dyDescent="0.4">
      <c r="A196" s="2">
        <v>45861</v>
      </c>
      <c r="B196" t="s">
        <v>30</v>
      </c>
      <c r="C196" t="s">
        <v>747</v>
      </c>
      <c r="D196" s="3" t="str">
        <f t="shared" si="6"/>
        <v>PASS</v>
      </c>
      <c r="E196" s="3" t="str">
        <f t="shared" si="7"/>
        <v>PASS</v>
      </c>
      <c r="F196" t="s">
        <v>747</v>
      </c>
      <c r="G196" t="s">
        <v>747</v>
      </c>
      <c r="H196" s="3">
        <v>55854512.740000002</v>
      </c>
      <c r="I196" s="3">
        <v>52773489.223429993</v>
      </c>
      <c r="J196" s="3">
        <v>3674.87</v>
      </c>
      <c r="K196" s="4">
        <v>2792725.6370000001</v>
      </c>
      <c r="L196" s="4">
        <v>0</v>
      </c>
      <c r="M196" s="3">
        <v>0</v>
      </c>
      <c r="N196" t="s">
        <v>23</v>
      </c>
      <c r="O196" s="4">
        <v>3.7609440479920653E-2</v>
      </c>
      <c r="P196" t="s">
        <v>976</v>
      </c>
      <c r="Q196" t="s">
        <v>977</v>
      </c>
      <c r="R196" t="s">
        <v>978</v>
      </c>
    </row>
    <row r="197" spans="1:18" x14ac:dyDescent="0.4">
      <c r="A197" s="2">
        <v>45861</v>
      </c>
      <c r="B197" t="s">
        <v>31</v>
      </c>
      <c r="C197" t="s">
        <v>747</v>
      </c>
      <c r="D197" s="3" t="str">
        <f t="shared" si="6"/>
        <v>PASS</v>
      </c>
      <c r="E197" s="3" t="str">
        <f t="shared" si="7"/>
        <v>PASS</v>
      </c>
      <c r="F197" t="s">
        <v>747</v>
      </c>
      <c r="G197" t="s">
        <v>747</v>
      </c>
      <c r="H197" s="3">
        <v>40728119.039999999</v>
      </c>
      <c r="I197" s="3">
        <v>38766827.501020007</v>
      </c>
      <c r="J197" s="3">
        <v>2539.31</v>
      </c>
      <c r="K197" s="4">
        <v>2036405.952</v>
      </c>
      <c r="L197" s="4">
        <v>0.23751286620934711</v>
      </c>
      <c r="M197" s="3">
        <v>3</v>
      </c>
      <c r="N197" t="s">
        <v>979</v>
      </c>
      <c r="O197" s="4">
        <v>9.7815880377568235E-2</v>
      </c>
      <c r="P197" t="s">
        <v>966</v>
      </c>
      <c r="Q197" t="s">
        <v>924</v>
      </c>
      <c r="R197" t="s">
        <v>808</v>
      </c>
    </row>
    <row r="198" spans="1:18" x14ac:dyDescent="0.4">
      <c r="A198" s="2">
        <v>45861</v>
      </c>
      <c r="B198" t="s">
        <v>32</v>
      </c>
      <c r="C198" t="s">
        <v>747</v>
      </c>
      <c r="D198" s="3" t="str">
        <f t="shared" si="6"/>
        <v>PASS</v>
      </c>
      <c r="E198" s="3" t="str">
        <f t="shared" si="7"/>
        <v>PASS</v>
      </c>
      <c r="F198" t="s">
        <v>747</v>
      </c>
      <c r="G198" t="s">
        <v>747</v>
      </c>
      <c r="H198" s="3">
        <v>79390717.519999996</v>
      </c>
      <c r="I198" s="3">
        <v>77209698.517680004</v>
      </c>
      <c r="J198" s="3">
        <v>5117.75</v>
      </c>
      <c r="K198" s="4">
        <v>3969535.8760000002</v>
      </c>
      <c r="L198" s="4">
        <v>0.23228950618307789</v>
      </c>
      <c r="M198" s="3">
        <v>3</v>
      </c>
      <c r="N198" t="s">
        <v>980</v>
      </c>
      <c r="O198" s="4">
        <v>7.682693642545127E-2</v>
      </c>
      <c r="P198" t="s">
        <v>966</v>
      </c>
      <c r="Q198" t="s">
        <v>849</v>
      </c>
      <c r="R198" t="s">
        <v>878</v>
      </c>
    </row>
    <row r="199" spans="1:18" x14ac:dyDescent="0.4">
      <c r="A199" s="2">
        <v>45861</v>
      </c>
      <c r="B199" t="s">
        <v>33</v>
      </c>
      <c r="C199" t="s">
        <v>747</v>
      </c>
      <c r="D199" s="3" t="e">
        <f t="shared" si="6"/>
        <v>#DIV/0!</v>
      </c>
      <c r="E199" s="3" t="str">
        <f t="shared" si="7"/>
        <v>PASS</v>
      </c>
      <c r="F199" t="s">
        <v>747</v>
      </c>
      <c r="G199" t="s">
        <v>747</v>
      </c>
      <c r="H199" s="3">
        <v>0</v>
      </c>
      <c r="I199" s="3">
        <v>3387618067.45857</v>
      </c>
      <c r="J199" s="3">
        <v>0</v>
      </c>
      <c r="K199" s="4">
        <v>0</v>
      </c>
      <c r="L199" s="4">
        <v>0</v>
      </c>
      <c r="M199" s="3">
        <v>755</v>
      </c>
      <c r="N199" t="s">
        <v>963</v>
      </c>
      <c r="O199" s="4">
        <v>5.2042000000000002</v>
      </c>
      <c r="P199" t="s">
        <v>964</v>
      </c>
      <c r="Q199" t="s">
        <v>748</v>
      </c>
      <c r="R199" t="s">
        <v>748</v>
      </c>
    </row>
    <row r="200" spans="1:18" x14ac:dyDescent="0.4">
      <c r="A200" s="2">
        <v>45862</v>
      </c>
      <c r="B200" t="s">
        <v>21</v>
      </c>
      <c r="C200" t="s">
        <v>747</v>
      </c>
      <c r="D200" s="3" t="e">
        <f t="shared" si="6"/>
        <v>#DIV/0!</v>
      </c>
      <c r="E200" s="3" t="str">
        <f t="shared" si="7"/>
        <v>PASS</v>
      </c>
      <c r="F200" t="s">
        <v>747</v>
      </c>
      <c r="G200" t="s">
        <v>747</v>
      </c>
      <c r="H200" s="3">
        <v>0</v>
      </c>
      <c r="I200" s="3">
        <v>3407938267.4265242</v>
      </c>
      <c r="J200" s="3">
        <v>0</v>
      </c>
      <c r="K200" s="4">
        <v>0</v>
      </c>
      <c r="L200" s="4">
        <v>0</v>
      </c>
      <c r="M200" s="3">
        <v>755</v>
      </c>
      <c r="N200" t="s">
        <v>963</v>
      </c>
      <c r="O200" s="4">
        <v>5.2107999999999999</v>
      </c>
      <c r="P200" t="s">
        <v>981</v>
      </c>
      <c r="Q200" t="s">
        <v>748</v>
      </c>
      <c r="R200" t="s">
        <v>748</v>
      </c>
    </row>
    <row r="201" spans="1:18" x14ac:dyDescent="0.4">
      <c r="A201" s="2">
        <v>45862</v>
      </c>
      <c r="B201" t="s">
        <v>24</v>
      </c>
      <c r="C201" t="s">
        <v>747</v>
      </c>
      <c r="D201" s="3" t="str">
        <f t="shared" si="6"/>
        <v>PASS</v>
      </c>
      <c r="E201" s="3" t="str">
        <f t="shared" si="7"/>
        <v>PASS</v>
      </c>
      <c r="F201" t="s">
        <v>747</v>
      </c>
      <c r="G201" t="s">
        <v>747</v>
      </c>
      <c r="H201" s="3">
        <v>138057713.55000001</v>
      </c>
      <c r="I201" s="3">
        <v>136321497.74961799</v>
      </c>
      <c r="J201" s="3">
        <v>8760.7000000000007</v>
      </c>
      <c r="K201" s="4">
        <v>6902885.6775000012</v>
      </c>
      <c r="L201" s="4">
        <v>0.24180944319472689</v>
      </c>
      <c r="M201" s="3">
        <v>3</v>
      </c>
      <c r="N201" t="s">
        <v>982</v>
      </c>
      <c r="O201" s="4">
        <v>8.1662426971419302E-2</v>
      </c>
      <c r="P201" t="s">
        <v>983</v>
      </c>
      <c r="Q201" t="s">
        <v>863</v>
      </c>
      <c r="R201" t="s">
        <v>949</v>
      </c>
    </row>
    <row r="202" spans="1:18" x14ac:dyDescent="0.4">
      <c r="A202" s="2">
        <v>45862</v>
      </c>
      <c r="B202" t="s">
        <v>25</v>
      </c>
      <c r="C202" t="s">
        <v>747</v>
      </c>
      <c r="D202" s="3" t="str">
        <f t="shared" si="6"/>
        <v>PASS</v>
      </c>
      <c r="E202" s="3" t="str">
        <f t="shared" si="7"/>
        <v>PASS</v>
      </c>
      <c r="F202" t="s">
        <v>747</v>
      </c>
      <c r="G202" t="s">
        <v>747</v>
      </c>
      <c r="H202" s="3">
        <v>103108796.25</v>
      </c>
      <c r="I202" s="3">
        <v>99893178.096389979</v>
      </c>
      <c r="J202" s="3">
        <v>6748.67</v>
      </c>
      <c r="K202" s="4">
        <v>5155439.8125</v>
      </c>
      <c r="L202" s="4">
        <v>0.22866251193109399</v>
      </c>
      <c r="M202" s="3">
        <v>3</v>
      </c>
      <c r="N202" t="s">
        <v>984</v>
      </c>
      <c r="O202" s="4">
        <v>6.5638105443307393E-2</v>
      </c>
      <c r="P202" t="s">
        <v>983</v>
      </c>
      <c r="Q202" t="s">
        <v>985</v>
      </c>
      <c r="R202" t="s">
        <v>937</v>
      </c>
    </row>
    <row r="203" spans="1:18" x14ac:dyDescent="0.4">
      <c r="A203" s="2">
        <v>45862</v>
      </c>
      <c r="B203" t="s">
        <v>26</v>
      </c>
      <c r="C203" t="s">
        <v>747</v>
      </c>
      <c r="D203" s="3" t="str">
        <f t="shared" si="6"/>
        <v>PASS</v>
      </c>
      <c r="E203" s="3" t="str">
        <f t="shared" si="7"/>
        <v>PASS</v>
      </c>
      <c r="F203" t="s">
        <v>747</v>
      </c>
      <c r="G203" t="s">
        <v>747</v>
      </c>
      <c r="H203" s="3">
        <v>23938557.890000001</v>
      </c>
      <c r="I203" s="3">
        <v>23280358.051886</v>
      </c>
      <c r="J203" s="3">
        <v>1570.39</v>
      </c>
      <c r="K203" s="4">
        <v>1196927.8944999999</v>
      </c>
      <c r="L203" s="4">
        <v>0.22855666178297421</v>
      </c>
      <c r="M203" s="3">
        <v>3</v>
      </c>
      <c r="N203" t="s">
        <v>984</v>
      </c>
      <c r="O203" s="4">
        <v>6.0539585406328748E-2</v>
      </c>
      <c r="P203" t="s">
        <v>983</v>
      </c>
      <c r="Q203" t="s">
        <v>985</v>
      </c>
      <c r="R203" t="s">
        <v>986</v>
      </c>
    </row>
    <row r="204" spans="1:18" x14ac:dyDescent="0.4">
      <c r="A204" s="2">
        <v>45862</v>
      </c>
      <c r="B204" t="s">
        <v>27</v>
      </c>
      <c r="C204" t="s">
        <v>747</v>
      </c>
      <c r="D204" s="3" t="str">
        <f t="shared" si="6"/>
        <v>PASS</v>
      </c>
      <c r="E204" s="3" t="str">
        <f t="shared" si="7"/>
        <v>PASS</v>
      </c>
      <c r="F204" t="s">
        <v>747</v>
      </c>
      <c r="G204" t="s">
        <v>747</v>
      </c>
      <c r="H204" s="3">
        <v>43724613.07</v>
      </c>
      <c r="I204" s="3">
        <v>42893510.018500008</v>
      </c>
      <c r="J204" s="3">
        <v>3022.7</v>
      </c>
      <c r="K204" s="4">
        <v>2186230.6535</v>
      </c>
      <c r="L204" s="4">
        <v>0.25185778771844852</v>
      </c>
      <c r="M204" s="3">
        <v>3</v>
      </c>
      <c r="N204" t="s">
        <v>987</v>
      </c>
      <c r="O204" s="4">
        <v>0.1109686497335538</v>
      </c>
      <c r="P204" t="s">
        <v>983</v>
      </c>
      <c r="Q204" t="s">
        <v>988</v>
      </c>
      <c r="R204" t="s">
        <v>989</v>
      </c>
    </row>
    <row r="205" spans="1:18" x14ac:dyDescent="0.4">
      <c r="A205" s="2">
        <v>45862</v>
      </c>
      <c r="B205" t="s">
        <v>28</v>
      </c>
      <c r="C205" t="s">
        <v>747</v>
      </c>
      <c r="D205" s="3" t="str">
        <f t="shared" si="6"/>
        <v>PASS</v>
      </c>
      <c r="E205" s="3" t="str">
        <f t="shared" si="7"/>
        <v>PASS</v>
      </c>
      <c r="F205" t="s">
        <v>747</v>
      </c>
      <c r="G205" t="s">
        <v>747</v>
      </c>
      <c r="H205" s="3">
        <v>15533477.439999999</v>
      </c>
      <c r="I205" s="3">
        <v>15287026.275974</v>
      </c>
      <c r="J205" s="3">
        <v>994.08</v>
      </c>
      <c r="K205" s="4">
        <v>776673.87199999997</v>
      </c>
      <c r="L205" s="4">
        <v>0.24056844042595629</v>
      </c>
      <c r="M205" s="3">
        <v>3</v>
      </c>
      <c r="N205" t="s">
        <v>990</v>
      </c>
      <c r="O205" s="4">
        <v>9.560236731988328E-2</v>
      </c>
      <c r="P205" t="s">
        <v>983</v>
      </c>
      <c r="Q205" t="s">
        <v>782</v>
      </c>
      <c r="R205" t="s">
        <v>873</v>
      </c>
    </row>
    <row r="206" spans="1:18" x14ac:dyDescent="0.4">
      <c r="A206" s="2">
        <v>45862</v>
      </c>
      <c r="B206" t="s">
        <v>29</v>
      </c>
      <c r="C206" t="s">
        <v>747</v>
      </c>
      <c r="D206" s="3" t="str">
        <f t="shared" si="6"/>
        <v>PASS</v>
      </c>
      <c r="E206" s="3" t="str">
        <f t="shared" si="7"/>
        <v>PASS</v>
      </c>
      <c r="F206" t="s">
        <v>747</v>
      </c>
      <c r="G206" t="s">
        <v>747</v>
      </c>
      <c r="H206" s="3">
        <v>35079621.640000001</v>
      </c>
      <c r="I206" s="3">
        <v>34694354.973140001</v>
      </c>
      <c r="J206" s="3">
        <v>2362.98</v>
      </c>
      <c r="K206" s="4">
        <v>1753981.0819999999</v>
      </c>
      <c r="L206" s="4">
        <v>0.22452350278987529</v>
      </c>
      <c r="M206" s="3">
        <v>3</v>
      </c>
      <c r="N206" t="s">
        <v>991</v>
      </c>
      <c r="O206" s="4">
        <v>4.3385460132916068E-2</v>
      </c>
      <c r="P206" t="s">
        <v>983</v>
      </c>
      <c r="Q206" t="s">
        <v>785</v>
      </c>
      <c r="R206" t="s">
        <v>918</v>
      </c>
    </row>
    <row r="207" spans="1:18" x14ac:dyDescent="0.4">
      <c r="A207" s="2">
        <v>45862</v>
      </c>
      <c r="B207" t="s">
        <v>30</v>
      </c>
      <c r="C207" t="s">
        <v>747</v>
      </c>
      <c r="D207" s="3" t="str">
        <f t="shared" si="6"/>
        <v>PASS</v>
      </c>
      <c r="E207" s="3" t="str">
        <f t="shared" si="7"/>
        <v>PASS</v>
      </c>
      <c r="F207" t="s">
        <v>747</v>
      </c>
      <c r="G207" t="s">
        <v>747</v>
      </c>
      <c r="H207" s="3">
        <v>55676257.229999997</v>
      </c>
      <c r="I207" s="3">
        <v>53091372.463152997</v>
      </c>
      <c r="J207" s="3">
        <v>3673.05</v>
      </c>
      <c r="K207" s="4">
        <v>2783812.8615000001</v>
      </c>
      <c r="L207" s="4">
        <v>0</v>
      </c>
      <c r="M207" s="3">
        <v>0</v>
      </c>
      <c r="N207" t="s">
        <v>23</v>
      </c>
      <c r="O207" s="4">
        <v>3.7295794553411997E-2</v>
      </c>
      <c r="P207" t="s">
        <v>992</v>
      </c>
      <c r="Q207" t="s">
        <v>908</v>
      </c>
      <c r="R207" t="s">
        <v>993</v>
      </c>
    </row>
    <row r="208" spans="1:18" x14ac:dyDescent="0.4">
      <c r="A208" s="2">
        <v>45862</v>
      </c>
      <c r="B208" t="s">
        <v>31</v>
      </c>
      <c r="C208" t="s">
        <v>747</v>
      </c>
      <c r="D208" s="3" t="str">
        <f t="shared" si="6"/>
        <v>PASS</v>
      </c>
      <c r="E208" s="3" t="str">
        <f t="shared" si="7"/>
        <v>PASS</v>
      </c>
      <c r="F208" t="s">
        <v>747</v>
      </c>
      <c r="G208" t="s">
        <v>747</v>
      </c>
      <c r="H208" s="3">
        <v>40735885.759999998</v>
      </c>
      <c r="I208" s="3">
        <v>38990370.232244007</v>
      </c>
      <c r="J208" s="3">
        <v>2546.2800000000002</v>
      </c>
      <c r="K208" s="4">
        <v>2036794.2879999999</v>
      </c>
      <c r="L208" s="4">
        <v>0.23987587190711401</v>
      </c>
      <c r="M208" s="3">
        <v>3</v>
      </c>
      <c r="N208" t="s">
        <v>994</v>
      </c>
      <c r="O208" s="4">
        <v>9.6912502639638187E-2</v>
      </c>
      <c r="P208" t="s">
        <v>983</v>
      </c>
      <c r="Q208" t="s">
        <v>834</v>
      </c>
      <c r="R208" t="s">
        <v>995</v>
      </c>
    </row>
    <row r="209" spans="1:18" x14ac:dyDescent="0.4">
      <c r="A209" s="2">
        <v>45862</v>
      </c>
      <c r="B209" t="s">
        <v>32</v>
      </c>
      <c r="C209" t="s">
        <v>747</v>
      </c>
      <c r="D209" s="3" t="str">
        <f t="shared" si="6"/>
        <v>PASS</v>
      </c>
      <c r="E209" s="3" t="str">
        <f t="shared" si="7"/>
        <v>PASS</v>
      </c>
      <c r="F209" t="s">
        <v>747</v>
      </c>
      <c r="G209" t="s">
        <v>747</v>
      </c>
      <c r="H209" s="3">
        <v>79418594.75</v>
      </c>
      <c r="I209" s="3">
        <v>77718783.819624007</v>
      </c>
      <c r="J209" s="3">
        <v>5133.18</v>
      </c>
      <c r="K209" s="4">
        <v>3970929.7374999998</v>
      </c>
      <c r="L209" s="4">
        <v>0.2348680042850943</v>
      </c>
      <c r="M209" s="3">
        <v>3</v>
      </c>
      <c r="N209" t="s">
        <v>996</v>
      </c>
      <c r="O209" s="4">
        <v>7.6539984228617949E-2</v>
      </c>
      <c r="P209" t="s">
        <v>983</v>
      </c>
      <c r="Q209" t="s">
        <v>782</v>
      </c>
      <c r="R209" t="s">
        <v>794</v>
      </c>
    </row>
    <row r="210" spans="1:18" x14ac:dyDescent="0.4">
      <c r="A210" s="2">
        <v>45862</v>
      </c>
      <c r="B210" t="s">
        <v>33</v>
      </c>
      <c r="C210" t="s">
        <v>747</v>
      </c>
      <c r="D210" s="3" t="e">
        <f t="shared" si="6"/>
        <v>#DIV/0!</v>
      </c>
      <c r="E210" s="3" t="str">
        <f t="shared" si="7"/>
        <v>PASS</v>
      </c>
      <c r="F210" t="s">
        <v>747</v>
      </c>
      <c r="G210" t="s">
        <v>747</v>
      </c>
      <c r="H210" s="3">
        <v>0</v>
      </c>
      <c r="I210" s="3">
        <v>3407938267.4265242</v>
      </c>
      <c r="J210" s="3">
        <v>0</v>
      </c>
      <c r="K210" s="4">
        <v>0</v>
      </c>
      <c r="L210" s="4">
        <v>0</v>
      </c>
      <c r="M210" s="3">
        <v>755</v>
      </c>
      <c r="N210" t="s">
        <v>963</v>
      </c>
      <c r="O210" s="4">
        <v>5.2107999999999999</v>
      </c>
      <c r="P210" t="s">
        <v>981</v>
      </c>
      <c r="Q210" t="s">
        <v>748</v>
      </c>
      <c r="R210" t="s">
        <v>748</v>
      </c>
    </row>
    <row r="211" spans="1:18" x14ac:dyDescent="0.4">
      <c r="A211" s="2">
        <v>45863</v>
      </c>
      <c r="B211" t="s">
        <v>21</v>
      </c>
      <c r="C211" t="s">
        <v>747</v>
      </c>
      <c r="D211" s="3" t="e">
        <f t="shared" si="6"/>
        <v>#DIV/0!</v>
      </c>
      <c r="E211" s="3" t="str">
        <f t="shared" si="7"/>
        <v>PASS</v>
      </c>
      <c r="F211" t="s">
        <v>747</v>
      </c>
      <c r="G211" t="s">
        <v>747</v>
      </c>
      <c r="H211" s="3">
        <v>0</v>
      </c>
      <c r="I211" s="3">
        <v>3407131607.1139169</v>
      </c>
      <c r="J211" s="3">
        <v>0</v>
      </c>
      <c r="K211" s="4">
        <v>0</v>
      </c>
      <c r="L211" s="4">
        <v>0</v>
      </c>
      <c r="M211" s="3">
        <v>748</v>
      </c>
      <c r="N211" t="s">
        <v>997</v>
      </c>
      <c r="O211" s="4">
        <v>5.1927000000000003</v>
      </c>
      <c r="P211" t="s">
        <v>998</v>
      </c>
      <c r="Q211" t="s">
        <v>748</v>
      </c>
      <c r="R211" t="s">
        <v>748</v>
      </c>
    </row>
    <row r="212" spans="1:18" x14ac:dyDescent="0.4">
      <c r="A212" s="2">
        <v>45863</v>
      </c>
      <c r="B212" t="s">
        <v>24</v>
      </c>
      <c r="C212" t="s">
        <v>747</v>
      </c>
      <c r="D212" s="3" t="str">
        <f t="shared" si="6"/>
        <v>PASS</v>
      </c>
      <c r="E212" s="3" t="str">
        <f t="shared" si="7"/>
        <v>PASS</v>
      </c>
      <c r="F212" t="s">
        <v>747</v>
      </c>
      <c r="G212" t="s">
        <v>747</v>
      </c>
      <c r="H212" s="3">
        <v>138374029.58000001</v>
      </c>
      <c r="I212" s="3">
        <v>136555291.436046</v>
      </c>
      <c r="J212" s="3">
        <v>26293.5</v>
      </c>
      <c r="K212" s="4">
        <v>6918701.4790000012</v>
      </c>
      <c r="L212" s="4">
        <v>0.24315803142501241</v>
      </c>
      <c r="M212" s="3">
        <v>3</v>
      </c>
      <c r="N212" t="s">
        <v>999</v>
      </c>
      <c r="O212" s="4">
        <v>8.1324106266198404E-2</v>
      </c>
      <c r="P212" t="s">
        <v>1000</v>
      </c>
      <c r="Q212" t="s">
        <v>863</v>
      </c>
      <c r="R212" t="s">
        <v>989</v>
      </c>
    </row>
    <row r="213" spans="1:18" x14ac:dyDescent="0.4">
      <c r="A213" s="2">
        <v>45863</v>
      </c>
      <c r="B213" t="s">
        <v>25</v>
      </c>
      <c r="C213" t="s">
        <v>747</v>
      </c>
      <c r="D213" s="3" t="str">
        <f t="shared" si="6"/>
        <v>PASS</v>
      </c>
      <c r="E213" s="3" t="str">
        <f t="shared" si="7"/>
        <v>PASS</v>
      </c>
      <c r="F213" t="s">
        <v>747</v>
      </c>
      <c r="G213" t="s">
        <v>747</v>
      </c>
      <c r="H213" s="3">
        <v>103298680.42</v>
      </c>
      <c r="I213" s="3">
        <v>100024710.680622</v>
      </c>
      <c r="J213" s="3">
        <v>20250.12</v>
      </c>
      <c r="K213" s="4">
        <v>5164934.0210000006</v>
      </c>
      <c r="L213" s="4">
        <v>0.2299311915323563</v>
      </c>
      <c r="M213" s="3">
        <v>3</v>
      </c>
      <c r="N213" t="s">
        <v>1001</v>
      </c>
      <c r="O213" s="4">
        <v>6.4947537696938965E-2</v>
      </c>
      <c r="P213" t="s">
        <v>1000</v>
      </c>
      <c r="Q213" t="s">
        <v>886</v>
      </c>
      <c r="R213" t="s">
        <v>937</v>
      </c>
    </row>
    <row r="214" spans="1:18" x14ac:dyDescent="0.4">
      <c r="A214" s="2">
        <v>45863</v>
      </c>
      <c r="B214" t="s">
        <v>26</v>
      </c>
      <c r="C214" t="s">
        <v>747</v>
      </c>
      <c r="D214" s="3" t="str">
        <f t="shared" si="6"/>
        <v>PASS</v>
      </c>
      <c r="E214" s="3" t="str">
        <f t="shared" si="7"/>
        <v>PASS</v>
      </c>
      <c r="F214" t="s">
        <v>747</v>
      </c>
      <c r="G214" t="s">
        <v>747</v>
      </c>
      <c r="H214" s="3">
        <v>23986864.170000002</v>
      </c>
      <c r="I214" s="3">
        <v>23312752.553566009</v>
      </c>
      <c r="J214" s="3">
        <v>4712.67</v>
      </c>
      <c r="K214" s="4">
        <v>1199343.2084999999</v>
      </c>
      <c r="L214" s="4">
        <v>0.2298014890976959</v>
      </c>
      <c r="M214" s="3">
        <v>3</v>
      </c>
      <c r="N214" t="s">
        <v>1001</v>
      </c>
      <c r="O214" s="4">
        <v>5.9909659444492523E-2</v>
      </c>
      <c r="P214" t="s">
        <v>1000</v>
      </c>
      <c r="Q214" t="s">
        <v>828</v>
      </c>
      <c r="R214" t="s">
        <v>937</v>
      </c>
    </row>
    <row r="215" spans="1:18" x14ac:dyDescent="0.4">
      <c r="A215" s="2">
        <v>45863</v>
      </c>
      <c r="B215" t="s">
        <v>27</v>
      </c>
      <c r="C215" t="s">
        <v>747</v>
      </c>
      <c r="D215" s="3" t="str">
        <f t="shared" si="6"/>
        <v>PASS</v>
      </c>
      <c r="E215" s="3" t="str">
        <f t="shared" si="7"/>
        <v>PASS</v>
      </c>
      <c r="F215" t="s">
        <v>747</v>
      </c>
      <c r="G215" t="s">
        <v>747</v>
      </c>
      <c r="H215" s="3">
        <v>43825012.810000002</v>
      </c>
      <c r="I215" s="3">
        <v>42984919.678907998</v>
      </c>
      <c r="J215" s="3">
        <v>8043.27</v>
      </c>
      <c r="K215" s="4">
        <v>2191250.6405000002</v>
      </c>
      <c r="L215" s="4">
        <v>0.25334422618799829</v>
      </c>
      <c r="M215" s="3">
        <v>3</v>
      </c>
      <c r="N215" t="s">
        <v>1002</v>
      </c>
      <c r="O215" s="4">
        <v>0.1108633149743054</v>
      </c>
      <c r="P215" t="s">
        <v>1000</v>
      </c>
      <c r="Q215" t="s">
        <v>1003</v>
      </c>
      <c r="R215" t="s">
        <v>988</v>
      </c>
    </row>
    <row r="216" spans="1:18" x14ac:dyDescent="0.4">
      <c r="A216" s="2">
        <v>45863</v>
      </c>
      <c r="B216" t="s">
        <v>28</v>
      </c>
      <c r="C216" t="s">
        <v>747</v>
      </c>
      <c r="D216" s="3" t="str">
        <f t="shared" si="6"/>
        <v>PASS</v>
      </c>
      <c r="E216" s="3" t="str">
        <f t="shared" si="7"/>
        <v>PASS</v>
      </c>
      <c r="F216" t="s">
        <v>747</v>
      </c>
      <c r="G216" t="s">
        <v>747</v>
      </c>
      <c r="H216" s="3">
        <v>15564960.35</v>
      </c>
      <c r="I216" s="3">
        <v>15315179.122102</v>
      </c>
      <c r="J216" s="3">
        <v>2983.17</v>
      </c>
      <c r="K216" s="4">
        <v>778248.01750000007</v>
      </c>
      <c r="L216" s="4">
        <v>0.24198177079821159</v>
      </c>
      <c r="M216" s="3">
        <v>3</v>
      </c>
      <c r="N216" t="s">
        <v>1004</v>
      </c>
      <c r="O216" s="4">
        <v>9.5238833814440121E-2</v>
      </c>
      <c r="P216" t="s">
        <v>1000</v>
      </c>
      <c r="Q216" t="s">
        <v>924</v>
      </c>
      <c r="R216" t="s">
        <v>834</v>
      </c>
    </row>
    <row r="217" spans="1:18" x14ac:dyDescent="0.4">
      <c r="A217" s="2">
        <v>45863</v>
      </c>
      <c r="B217" t="s">
        <v>29</v>
      </c>
      <c r="C217" t="s">
        <v>747</v>
      </c>
      <c r="D217" s="3" t="str">
        <f t="shared" si="6"/>
        <v>PASS</v>
      </c>
      <c r="E217" s="3" t="str">
        <f t="shared" si="7"/>
        <v>PASS</v>
      </c>
      <c r="F217" t="s">
        <v>747</v>
      </c>
      <c r="G217" t="s">
        <v>747</v>
      </c>
      <c r="H217" s="3">
        <v>35167181.890000001</v>
      </c>
      <c r="I217" s="3">
        <v>34754594.875120007</v>
      </c>
      <c r="J217" s="3">
        <v>7091.94</v>
      </c>
      <c r="K217" s="4">
        <v>1758359.0944999999</v>
      </c>
      <c r="L217" s="4">
        <v>0.2257357635730001</v>
      </c>
      <c r="M217" s="3">
        <v>3</v>
      </c>
      <c r="N217" t="s">
        <v>1005</v>
      </c>
      <c r="O217" s="4">
        <v>4.305273876808785E-2</v>
      </c>
      <c r="P217" t="s">
        <v>1000</v>
      </c>
      <c r="Q217" t="s">
        <v>794</v>
      </c>
      <c r="R217" t="s">
        <v>918</v>
      </c>
    </row>
    <row r="218" spans="1:18" x14ac:dyDescent="0.4">
      <c r="A218" s="2">
        <v>45863</v>
      </c>
      <c r="B218" t="s">
        <v>30</v>
      </c>
      <c r="C218" t="s">
        <v>747</v>
      </c>
      <c r="D218" s="3" t="str">
        <f t="shared" si="6"/>
        <v>PASS</v>
      </c>
      <c r="E218" s="3" t="str">
        <f t="shared" si="7"/>
        <v>PASS</v>
      </c>
      <c r="F218" t="s">
        <v>747</v>
      </c>
      <c r="G218" t="s">
        <v>747</v>
      </c>
      <c r="H218" s="3">
        <v>55739047.219999999</v>
      </c>
      <c r="I218" s="3">
        <v>53004937.197480001</v>
      </c>
      <c r="J218" s="3">
        <v>10979.52</v>
      </c>
      <c r="K218" s="4">
        <v>2786952.361</v>
      </c>
      <c r="L218" s="4">
        <v>0</v>
      </c>
      <c r="M218" s="3">
        <v>0</v>
      </c>
      <c r="N218" t="s">
        <v>23</v>
      </c>
      <c r="O218" s="4">
        <v>3.7078131050981393E-2</v>
      </c>
      <c r="P218" t="s">
        <v>1006</v>
      </c>
      <c r="Q218" t="s">
        <v>1007</v>
      </c>
      <c r="R218" t="s">
        <v>1008</v>
      </c>
    </row>
    <row r="219" spans="1:18" x14ac:dyDescent="0.4">
      <c r="A219" s="2">
        <v>45863</v>
      </c>
      <c r="B219" t="s">
        <v>31</v>
      </c>
      <c r="C219" t="s">
        <v>747</v>
      </c>
      <c r="D219" s="3" t="str">
        <f t="shared" si="6"/>
        <v>PASS</v>
      </c>
      <c r="E219" s="3" t="str">
        <f t="shared" si="7"/>
        <v>PASS</v>
      </c>
      <c r="F219" t="s">
        <v>747</v>
      </c>
      <c r="G219" t="s">
        <v>747</v>
      </c>
      <c r="H219" s="3">
        <v>40813568.289999999</v>
      </c>
      <c r="I219" s="3">
        <v>39056443.592476003</v>
      </c>
      <c r="J219" s="3">
        <v>7639.98</v>
      </c>
      <c r="K219" s="4">
        <v>2040678.4145</v>
      </c>
      <c r="L219" s="4">
        <v>0.24127865145726421</v>
      </c>
      <c r="M219" s="3">
        <v>3</v>
      </c>
      <c r="N219" t="s">
        <v>1009</v>
      </c>
      <c r="O219" s="4">
        <v>9.6484128623491136E-2</v>
      </c>
      <c r="P219" t="s">
        <v>1000</v>
      </c>
      <c r="Q219" t="s">
        <v>885</v>
      </c>
      <c r="R219" t="s">
        <v>886</v>
      </c>
    </row>
    <row r="220" spans="1:18" x14ac:dyDescent="0.4">
      <c r="A220" s="2">
        <v>45863</v>
      </c>
      <c r="B220" t="s">
        <v>32</v>
      </c>
      <c r="C220" t="s">
        <v>747</v>
      </c>
      <c r="D220" s="3" t="str">
        <f t="shared" si="6"/>
        <v>PASS</v>
      </c>
      <c r="E220" s="3" t="str">
        <f t="shared" si="7"/>
        <v>PASS</v>
      </c>
      <c r="F220" t="s">
        <v>747</v>
      </c>
      <c r="G220" t="s">
        <v>747</v>
      </c>
      <c r="H220" s="3">
        <v>79603132.969999999</v>
      </c>
      <c r="I220" s="3">
        <v>77860592.516112015</v>
      </c>
      <c r="J220" s="3">
        <v>15404.49</v>
      </c>
      <c r="K220" s="4">
        <v>3980156.6485000001</v>
      </c>
      <c r="L220" s="4">
        <v>0.236157912138832</v>
      </c>
      <c r="M220" s="3">
        <v>3</v>
      </c>
      <c r="N220" t="s">
        <v>1010</v>
      </c>
      <c r="O220" s="4">
        <v>7.6143883537803936E-2</v>
      </c>
      <c r="P220" t="s">
        <v>1000</v>
      </c>
      <c r="Q220" t="s">
        <v>818</v>
      </c>
      <c r="R220" t="s">
        <v>834</v>
      </c>
    </row>
    <row r="221" spans="1:18" x14ac:dyDescent="0.4">
      <c r="A221" s="2">
        <v>45863</v>
      </c>
      <c r="B221" t="s">
        <v>33</v>
      </c>
      <c r="C221" t="s">
        <v>747</v>
      </c>
      <c r="D221" s="3" t="e">
        <f t="shared" si="6"/>
        <v>#DIV/0!</v>
      </c>
      <c r="E221" s="3" t="str">
        <f t="shared" si="7"/>
        <v>PASS</v>
      </c>
      <c r="F221" t="s">
        <v>747</v>
      </c>
      <c r="G221" t="s">
        <v>747</v>
      </c>
      <c r="H221" s="3">
        <v>0</v>
      </c>
      <c r="I221" s="3">
        <v>3407131607.1139169</v>
      </c>
      <c r="J221" s="3">
        <v>0</v>
      </c>
      <c r="K221" s="4">
        <v>0</v>
      </c>
      <c r="L221" s="4">
        <v>0</v>
      </c>
      <c r="M221" s="3">
        <v>748</v>
      </c>
      <c r="N221" t="s">
        <v>997</v>
      </c>
      <c r="O221" s="4">
        <v>5.1927000000000003</v>
      </c>
      <c r="P221" t="s">
        <v>998</v>
      </c>
      <c r="Q221" t="s">
        <v>748</v>
      </c>
      <c r="R221" t="s">
        <v>748</v>
      </c>
    </row>
    <row r="222" spans="1:18" x14ac:dyDescent="0.4">
      <c r="A222" s="2">
        <v>45866</v>
      </c>
      <c r="B222" t="s">
        <v>21</v>
      </c>
      <c r="C222" t="s">
        <v>747</v>
      </c>
      <c r="D222" s="3" t="str">
        <f t="shared" si="6"/>
        <v>PASS</v>
      </c>
      <c r="E222" s="3" t="str">
        <f t="shared" si="7"/>
        <v>FAIL</v>
      </c>
      <c r="F222" t="s">
        <v>747</v>
      </c>
      <c r="G222" t="s">
        <v>747</v>
      </c>
      <c r="H222" s="3">
        <v>24547957.16</v>
      </c>
      <c r="I222" s="3">
        <v>3465206996.641891</v>
      </c>
      <c r="J222" s="3">
        <v>2.2000000000000002</v>
      </c>
      <c r="K222" s="4">
        <v>1227397.858</v>
      </c>
      <c r="L222" s="4">
        <v>163.15993448546911</v>
      </c>
      <c r="M222" s="3">
        <v>630</v>
      </c>
      <c r="N222" t="s">
        <v>1011</v>
      </c>
      <c r="O222" s="4">
        <v>12.54428085623606</v>
      </c>
      <c r="P222" t="s">
        <v>1012</v>
      </c>
      <c r="Q222" t="s">
        <v>1013</v>
      </c>
      <c r="R222" t="s">
        <v>1013</v>
      </c>
    </row>
    <row r="223" spans="1:18" x14ac:dyDescent="0.4">
      <c r="A223" s="2">
        <v>45866</v>
      </c>
      <c r="B223" t="s">
        <v>24</v>
      </c>
      <c r="C223" t="s">
        <v>747</v>
      </c>
      <c r="D223" s="3" t="str">
        <f t="shared" si="6"/>
        <v>PASS</v>
      </c>
      <c r="E223" s="3" t="str">
        <f t="shared" si="7"/>
        <v>PASS</v>
      </c>
      <c r="F223" t="s">
        <v>747</v>
      </c>
      <c r="G223" t="s">
        <v>747</v>
      </c>
      <c r="H223" s="3">
        <v>138431396.83000001</v>
      </c>
      <c r="I223" s="3">
        <v>136190206.60817501</v>
      </c>
      <c r="J223" s="3">
        <v>8785.6200000000008</v>
      </c>
      <c r="K223" s="4">
        <v>6921569.841500001</v>
      </c>
      <c r="L223" s="4">
        <v>0.24225611925556911</v>
      </c>
      <c r="M223" s="3">
        <v>3</v>
      </c>
      <c r="N223" t="s">
        <v>1014</v>
      </c>
      <c r="O223" s="4">
        <v>8.1101432227562067E-2</v>
      </c>
      <c r="P223" t="s">
        <v>1015</v>
      </c>
      <c r="Q223" t="s">
        <v>1016</v>
      </c>
      <c r="R223" t="s">
        <v>898</v>
      </c>
    </row>
    <row r="224" spans="1:18" x14ac:dyDescent="0.4">
      <c r="A224" s="2">
        <v>45866</v>
      </c>
      <c r="B224" t="s">
        <v>25</v>
      </c>
      <c r="C224" t="s">
        <v>747</v>
      </c>
      <c r="D224" s="3" t="str">
        <f t="shared" si="6"/>
        <v>PASS</v>
      </c>
      <c r="E224" s="3" t="str">
        <f t="shared" si="7"/>
        <v>PASS</v>
      </c>
      <c r="F224" t="s">
        <v>747</v>
      </c>
      <c r="G224" t="s">
        <v>747</v>
      </c>
      <c r="H224" s="3">
        <v>103329545.06999999</v>
      </c>
      <c r="I224" s="3">
        <v>99748436.998135015</v>
      </c>
      <c r="J224" s="3">
        <v>6762.4</v>
      </c>
      <c r="K224" s="4">
        <v>5166477.2534999996</v>
      </c>
      <c r="L224" s="4">
        <v>0.2290616785424931</v>
      </c>
      <c r="M224" s="3">
        <v>3</v>
      </c>
      <c r="N224" t="s">
        <v>1017</v>
      </c>
      <c r="O224" s="4">
        <v>6.4520989748077684E-2</v>
      </c>
      <c r="P224" t="s">
        <v>1015</v>
      </c>
      <c r="Q224" t="s">
        <v>819</v>
      </c>
      <c r="R224" t="s">
        <v>1018</v>
      </c>
    </row>
    <row r="225" spans="1:18" x14ac:dyDescent="0.4">
      <c r="A225" s="2">
        <v>45866</v>
      </c>
      <c r="B225" t="s">
        <v>26</v>
      </c>
      <c r="C225" t="s">
        <v>747</v>
      </c>
      <c r="D225" s="3" t="str">
        <f t="shared" si="6"/>
        <v>PASS</v>
      </c>
      <c r="E225" s="3" t="str">
        <f t="shared" si="7"/>
        <v>PASS</v>
      </c>
      <c r="F225" t="s">
        <v>747</v>
      </c>
      <c r="G225" t="s">
        <v>747</v>
      </c>
      <c r="H225" s="3">
        <v>23991191.260000002</v>
      </c>
      <c r="I225" s="3">
        <v>23228936.654194999</v>
      </c>
      <c r="J225" s="3">
        <v>1574.06</v>
      </c>
      <c r="K225" s="4">
        <v>1199559.5630000001</v>
      </c>
      <c r="L225" s="4">
        <v>0.22890745937789381</v>
      </c>
      <c r="M225" s="3">
        <v>3</v>
      </c>
      <c r="N225" t="s">
        <v>1017</v>
      </c>
      <c r="O225" s="4">
        <v>5.9547720607642719E-2</v>
      </c>
      <c r="P225" t="s">
        <v>1015</v>
      </c>
      <c r="Q225" t="s">
        <v>793</v>
      </c>
      <c r="R225" t="s">
        <v>1019</v>
      </c>
    </row>
    <row r="226" spans="1:18" x14ac:dyDescent="0.4">
      <c r="A226" s="2">
        <v>45866</v>
      </c>
      <c r="B226" t="s">
        <v>27</v>
      </c>
      <c r="C226" t="s">
        <v>747</v>
      </c>
      <c r="D226" s="3" t="str">
        <f t="shared" si="6"/>
        <v>PASS</v>
      </c>
      <c r="E226" s="3" t="str">
        <f t="shared" si="7"/>
        <v>PASS</v>
      </c>
      <c r="F226" t="s">
        <v>747</v>
      </c>
      <c r="G226" t="s">
        <v>747</v>
      </c>
      <c r="H226" s="3">
        <v>43832302.990000002</v>
      </c>
      <c r="I226" s="3">
        <v>42925767.572749987</v>
      </c>
      <c r="J226" s="3">
        <v>2687.81</v>
      </c>
      <c r="K226" s="4">
        <v>2191615.1494999998</v>
      </c>
      <c r="L226" s="4">
        <v>0.25279613773999332</v>
      </c>
      <c r="M226" s="3">
        <v>3</v>
      </c>
      <c r="N226" t="s">
        <v>1020</v>
      </c>
      <c r="O226" s="4">
        <v>0.1105789395518595</v>
      </c>
      <c r="P226" t="s">
        <v>1015</v>
      </c>
      <c r="Q226" t="s">
        <v>1021</v>
      </c>
      <c r="R226" t="s">
        <v>863</v>
      </c>
    </row>
    <row r="227" spans="1:18" x14ac:dyDescent="0.4">
      <c r="A227" s="2">
        <v>45866</v>
      </c>
      <c r="B227" t="s">
        <v>28</v>
      </c>
      <c r="C227" t="s">
        <v>747</v>
      </c>
      <c r="D227" s="3" t="str">
        <f t="shared" si="6"/>
        <v>PASS</v>
      </c>
      <c r="E227" s="3" t="str">
        <f t="shared" si="7"/>
        <v>PASS</v>
      </c>
      <c r="F227" t="s">
        <v>747</v>
      </c>
      <c r="G227" t="s">
        <v>747</v>
      </c>
      <c r="H227" s="3">
        <v>15570220.92</v>
      </c>
      <c r="I227" s="3">
        <v>15289921.054065</v>
      </c>
      <c r="J227" s="3">
        <v>996.46</v>
      </c>
      <c r="K227" s="4">
        <v>778511.04600000009</v>
      </c>
      <c r="L227" s="4">
        <v>0.24127662461528021</v>
      </c>
      <c r="M227" s="3">
        <v>3</v>
      </c>
      <c r="N227" t="s">
        <v>1022</v>
      </c>
      <c r="O227" s="4">
        <v>9.4887597398650159E-2</v>
      </c>
      <c r="P227" t="s">
        <v>1015</v>
      </c>
      <c r="Q227" t="s">
        <v>865</v>
      </c>
      <c r="R227" t="s">
        <v>886</v>
      </c>
    </row>
    <row r="228" spans="1:18" x14ac:dyDescent="0.4">
      <c r="A228" s="2">
        <v>45866</v>
      </c>
      <c r="B228" t="s">
        <v>29</v>
      </c>
      <c r="C228" t="s">
        <v>747</v>
      </c>
      <c r="D228" s="3" t="str">
        <f t="shared" si="6"/>
        <v>PASS</v>
      </c>
      <c r="E228" s="3" t="str">
        <f t="shared" si="7"/>
        <v>PASS</v>
      </c>
      <c r="F228" t="s">
        <v>747</v>
      </c>
      <c r="G228" t="s">
        <v>747</v>
      </c>
      <c r="H228" s="3">
        <v>35177957.039999999</v>
      </c>
      <c r="I228" s="3">
        <v>34677044.462865002</v>
      </c>
      <c r="J228" s="3">
        <v>2369.84</v>
      </c>
      <c r="K228" s="4">
        <v>1758897.852</v>
      </c>
      <c r="L228" s="4">
        <v>0.22489393466805099</v>
      </c>
      <c r="M228" s="3">
        <v>3</v>
      </c>
      <c r="N228" t="s">
        <v>1023</v>
      </c>
      <c r="O228" s="4">
        <v>4.2692902011259047E-2</v>
      </c>
      <c r="P228" t="s">
        <v>1015</v>
      </c>
      <c r="Q228" t="s">
        <v>828</v>
      </c>
      <c r="R228" t="s">
        <v>1018</v>
      </c>
    </row>
    <row r="229" spans="1:18" x14ac:dyDescent="0.4">
      <c r="A229" s="2">
        <v>45866</v>
      </c>
      <c r="B229" t="s">
        <v>30</v>
      </c>
      <c r="C229" t="s">
        <v>747</v>
      </c>
      <c r="D229" s="3" t="str">
        <f t="shared" si="6"/>
        <v>PASS</v>
      </c>
      <c r="E229" s="3" t="str">
        <f t="shared" si="7"/>
        <v>PASS</v>
      </c>
      <c r="F229" t="s">
        <v>747</v>
      </c>
      <c r="G229" t="s">
        <v>747</v>
      </c>
      <c r="H229" s="3">
        <v>55651241.159999996</v>
      </c>
      <c r="I229" s="3">
        <v>52726351.509292006</v>
      </c>
      <c r="J229" s="3">
        <v>3663.6</v>
      </c>
      <c r="K229" s="4">
        <v>2782562.0580000002</v>
      </c>
      <c r="L229" s="4">
        <v>0</v>
      </c>
      <c r="M229" s="3">
        <v>0</v>
      </c>
      <c r="N229" t="s">
        <v>23</v>
      </c>
      <c r="O229" s="4">
        <v>3.6861385416260148E-2</v>
      </c>
      <c r="P229" t="s">
        <v>1024</v>
      </c>
      <c r="Q229" t="s">
        <v>1025</v>
      </c>
      <c r="R229" t="s">
        <v>1026</v>
      </c>
    </row>
    <row r="230" spans="1:18" x14ac:dyDescent="0.4">
      <c r="A230" s="2">
        <v>45866</v>
      </c>
      <c r="B230" t="s">
        <v>31</v>
      </c>
      <c r="C230" t="s">
        <v>747</v>
      </c>
      <c r="D230" s="3" t="str">
        <f t="shared" si="6"/>
        <v>PASS</v>
      </c>
      <c r="E230" s="3" t="str">
        <f t="shared" si="7"/>
        <v>PASS</v>
      </c>
      <c r="F230" t="s">
        <v>747</v>
      </c>
      <c r="G230" t="s">
        <v>747</v>
      </c>
      <c r="H230" s="3">
        <v>46980745.979999997</v>
      </c>
      <c r="I230" s="3">
        <v>38993042.072969988</v>
      </c>
      <c r="J230" s="3">
        <v>2551.7600000000002</v>
      </c>
      <c r="K230" s="4">
        <v>2349037.2990000001</v>
      </c>
      <c r="L230" s="4">
        <v>0.24052278927370771</v>
      </c>
      <c r="M230" s="3">
        <v>3</v>
      </c>
      <c r="N230" t="s">
        <v>1027</v>
      </c>
      <c r="O230" s="4">
        <v>8.3435983001179242E-2</v>
      </c>
      <c r="P230" t="s">
        <v>1015</v>
      </c>
      <c r="Q230" t="s">
        <v>871</v>
      </c>
      <c r="R230" t="s">
        <v>793</v>
      </c>
    </row>
    <row r="231" spans="1:18" x14ac:dyDescent="0.4">
      <c r="A231" s="2">
        <v>45866</v>
      </c>
      <c r="B231" t="s">
        <v>32</v>
      </c>
      <c r="C231" t="s">
        <v>747</v>
      </c>
      <c r="D231" s="3" t="str">
        <f t="shared" si="6"/>
        <v>PASS</v>
      </c>
      <c r="E231" s="3" t="str">
        <f t="shared" si="7"/>
        <v>PASS</v>
      </c>
      <c r="F231" t="s">
        <v>747</v>
      </c>
      <c r="G231" t="s">
        <v>747</v>
      </c>
      <c r="H231" s="3">
        <v>79634765.689999998</v>
      </c>
      <c r="I231" s="3">
        <v>77744989.739500016</v>
      </c>
      <c r="J231" s="3">
        <v>5147.1400000000003</v>
      </c>
      <c r="K231" s="4">
        <v>3981738.2845000001</v>
      </c>
      <c r="L231" s="4">
        <v>0.2355130026575436</v>
      </c>
      <c r="M231" s="3">
        <v>3</v>
      </c>
      <c r="N231" t="s">
        <v>1028</v>
      </c>
      <c r="O231" s="4">
        <v>7.5867895725581086E-2</v>
      </c>
      <c r="P231" t="s">
        <v>1015</v>
      </c>
      <c r="Q231" t="s">
        <v>885</v>
      </c>
      <c r="R231" t="s">
        <v>886</v>
      </c>
    </row>
    <row r="232" spans="1:18" x14ac:dyDescent="0.4">
      <c r="A232" s="2">
        <v>45866</v>
      </c>
      <c r="B232" t="s">
        <v>33</v>
      </c>
      <c r="C232" t="s">
        <v>747</v>
      </c>
      <c r="D232" s="3" t="str">
        <f t="shared" si="6"/>
        <v>PASS</v>
      </c>
      <c r="E232" s="3" t="str">
        <f t="shared" si="7"/>
        <v>FAIL</v>
      </c>
      <c r="F232" t="s">
        <v>747</v>
      </c>
      <c r="G232" t="s">
        <v>747</v>
      </c>
      <c r="H232" s="3">
        <v>166579068.12</v>
      </c>
      <c r="I232" s="3">
        <v>3465206996.641891</v>
      </c>
      <c r="J232" s="3">
        <v>10773.2</v>
      </c>
      <c r="K232" s="4">
        <v>8328953.4060000004</v>
      </c>
      <c r="L232" s="4">
        <v>11.901689575381001</v>
      </c>
      <c r="M232" s="3">
        <v>91</v>
      </c>
      <c r="N232" t="s">
        <v>1029</v>
      </c>
      <c r="O232" s="4">
        <v>1.8485904173750101</v>
      </c>
      <c r="P232" t="s">
        <v>1012</v>
      </c>
      <c r="Q232" t="s">
        <v>1030</v>
      </c>
      <c r="R232" t="s">
        <v>1030</v>
      </c>
    </row>
    <row r="233" spans="1:18" x14ac:dyDescent="0.4">
      <c r="A233" s="2">
        <v>45867</v>
      </c>
      <c r="B233" t="s">
        <v>21</v>
      </c>
      <c r="C233" t="s">
        <v>746</v>
      </c>
      <c r="D233" s="3" t="e">
        <f t="shared" si="6"/>
        <v>#DIV/0!</v>
      </c>
      <c r="E233" s="3" t="str">
        <f t="shared" si="7"/>
        <v>PASS</v>
      </c>
      <c r="F233" t="s">
        <v>746</v>
      </c>
      <c r="G233" t="s">
        <v>747</v>
      </c>
      <c r="H233" s="3">
        <v>0</v>
      </c>
      <c r="I233" s="3">
        <v>0</v>
      </c>
      <c r="J233" s="3">
        <v>0</v>
      </c>
      <c r="K233" s="4">
        <v>0</v>
      </c>
      <c r="L233" s="4">
        <v>0</v>
      </c>
      <c r="M233" s="3">
        <v>0</v>
      </c>
      <c r="N233" t="s">
        <v>23</v>
      </c>
      <c r="O233" s="4">
        <v>0</v>
      </c>
      <c r="P233" t="s">
        <v>23</v>
      </c>
      <c r="Q233" t="s">
        <v>748</v>
      </c>
      <c r="R233" t="s">
        <v>748</v>
      </c>
    </row>
    <row r="234" spans="1:18" x14ac:dyDescent="0.4">
      <c r="A234" s="2">
        <v>45867</v>
      </c>
      <c r="B234" t="s">
        <v>24</v>
      </c>
      <c r="C234" t="s">
        <v>747</v>
      </c>
      <c r="D234" s="3" t="str">
        <f t="shared" si="6"/>
        <v>PASS</v>
      </c>
      <c r="E234" s="3" t="str">
        <f t="shared" si="7"/>
        <v>PASS</v>
      </c>
      <c r="F234" t="s">
        <v>747</v>
      </c>
      <c r="G234" t="s">
        <v>747</v>
      </c>
      <c r="H234" s="3">
        <v>138150963.63</v>
      </c>
      <c r="I234" s="3">
        <v>135735656.13178</v>
      </c>
      <c r="J234" s="3">
        <v>8787.81</v>
      </c>
      <c r="K234" s="4">
        <v>6907548.1814999999</v>
      </c>
      <c r="L234" s="4">
        <v>0.2422890260558499</v>
      </c>
      <c r="M234" s="3">
        <v>3</v>
      </c>
      <c r="N234" t="s">
        <v>1031</v>
      </c>
      <c r="O234" s="4">
        <v>8.1270322528115127E-2</v>
      </c>
      <c r="P234" t="s">
        <v>1032</v>
      </c>
      <c r="Q234" t="s">
        <v>883</v>
      </c>
      <c r="R234" t="s">
        <v>989</v>
      </c>
    </row>
    <row r="235" spans="1:18" x14ac:dyDescent="0.4">
      <c r="A235" s="2">
        <v>45867</v>
      </c>
      <c r="B235" t="s">
        <v>25</v>
      </c>
      <c r="C235" t="s">
        <v>747</v>
      </c>
      <c r="D235" s="3" t="str">
        <f t="shared" si="6"/>
        <v>PASS</v>
      </c>
      <c r="E235" s="3" t="str">
        <f t="shared" si="7"/>
        <v>PASS</v>
      </c>
      <c r="F235" t="s">
        <v>747</v>
      </c>
      <c r="G235" t="s">
        <v>747</v>
      </c>
      <c r="H235" s="3">
        <v>103149449.34999999</v>
      </c>
      <c r="I235" s="3">
        <v>99435851.297429994</v>
      </c>
      <c r="J235" s="3">
        <v>6763.16</v>
      </c>
      <c r="K235" s="4">
        <v>5157472.4675000003</v>
      </c>
      <c r="L235" s="4">
        <v>0.2291703454720673</v>
      </c>
      <c r="M235" s="3">
        <v>3</v>
      </c>
      <c r="N235" t="s">
        <v>1033</v>
      </c>
      <c r="O235" s="4">
        <v>6.5224553013379691E-2</v>
      </c>
      <c r="P235" t="s">
        <v>1032</v>
      </c>
      <c r="Q235" t="s">
        <v>1034</v>
      </c>
      <c r="R235" t="s">
        <v>1035</v>
      </c>
    </row>
    <row r="236" spans="1:18" x14ac:dyDescent="0.4">
      <c r="A236" s="2">
        <v>45867</v>
      </c>
      <c r="B236" t="s">
        <v>26</v>
      </c>
      <c r="C236" t="s">
        <v>747</v>
      </c>
      <c r="D236" s="3" t="str">
        <f t="shared" si="6"/>
        <v>PASS</v>
      </c>
      <c r="E236" s="3" t="str">
        <f t="shared" si="7"/>
        <v>PASS</v>
      </c>
      <c r="F236" t="s">
        <v>747</v>
      </c>
      <c r="G236" t="s">
        <v>747</v>
      </c>
      <c r="H236" s="3">
        <v>23947329.82</v>
      </c>
      <c r="I236" s="3">
        <v>23172075.78536899</v>
      </c>
      <c r="J236" s="3">
        <v>1574.17</v>
      </c>
      <c r="K236" s="4">
        <v>1197366.4909999999</v>
      </c>
      <c r="L236" s="4">
        <v>0.22897006147399859</v>
      </c>
      <c r="M236" s="3">
        <v>3</v>
      </c>
      <c r="N236" t="s">
        <v>1036</v>
      </c>
      <c r="O236" s="4">
        <v>6.0072913605906143E-2</v>
      </c>
      <c r="P236" t="s">
        <v>1032</v>
      </c>
      <c r="Q236" t="s">
        <v>1037</v>
      </c>
      <c r="R236" t="s">
        <v>901</v>
      </c>
    </row>
    <row r="237" spans="1:18" x14ac:dyDescent="0.4">
      <c r="A237" s="2">
        <v>45867</v>
      </c>
      <c r="B237" t="s">
        <v>27</v>
      </c>
      <c r="C237" t="s">
        <v>747</v>
      </c>
      <c r="D237" s="3" t="str">
        <f t="shared" si="6"/>
        <v>PASS</v>
      </c>
      <c r="E237" s="3" t="str">
        <f t="shared" si="7"/>
        <v>PASS</v>
      </c>
      <c r="F237" t="s">
        <v>747</v>
      </c>
      <c r="G237" t="s">
        <v>747</v>
      </c>
      <c r="H237" s="3">
        <v>43746916.990000002</v>
      </c>
      <c r="I237" s="3">
        <v>42788578.027346</v>
      </c>
      <c r="J237" s="3">
        <v>2688.12</v>
      </c>
      <c r="K237" s="4">
        <v>2187345.8495</v>
      </c>
      <c r="L237" s="4">
        <v>0.25288330158544481</v>
      </c>
      <c r="M237" s="3">
        <v>3</v>
      </c>
      <c r="N237" t="s">
        <v>1038</v>
      </c>
      <c r="O237" s="4">
        <v>0.11079208343879229</v>
      </c>
      <c r="P237" t="s">
        <v>1032</v>
      </c>
      <c r="Q237" t="s">
        <v>1039</v>
      </c>
      <c r="R237" t="s">
        <v>863</v>
      </c>
    </row>
    <row r="238" spans="1:18" x14ac:dyDescent="0.4">
      <c r="A238" s="2">
        <v>45867</v>
      </c>
      <c r="B238" t="s">
        <v>28</v>
      </c>
      <c r="C238" t="s">
        <v>747</v>
      </c>
      <c r="D238" s="3" t="str">
        <f t="shared" si="6"/>
        <v>PASS</v>
      </c>
      <c r="E238" s="3" t="str">
        <f t="shared" si="7"/>
        <v>PASS</v>
      </c>
      <c r="F238" t="s">
        <v>747</v>
      </c>
      <c r="G238" t="s">
        <v>747</v>
      </c>
      <c r="H238" s="3">
        <v>15543418.449999999</v>
      </c>
      <c r="I238" s="3">
        <v>15235485.033566</v>
      </c>
      <c r="J238" s="3">
        <v>996.56</v>
      </c>
      <c r="K238" s="4">
        <v>777170.92249999999</v>
      </c>
      <c r="L238" s="4">
        <v>0.24133655235684809</v>
      </c>
      <c r="M238" s="3">
        <v>3</v>
      </c>
      <c r="N238" t="s">
        <v>1040</v>
      </c>
      <c r="O238" s="4">
        <v>9.5318758761590197E-2</v>
      </c>
      <c r="P238" t="s">
        <v>1032</v>
      </c>
      <c r="Q238" t="s">
        <v>924</v>
      </c>
      <c r="R238" t="s">
        <v>1041</v>
      </c>
    </row>
    <row r="239" spans="1:18" x14ac:dyDescent="0.4">
      <c r="A239" s="2">
        <v>45867</v>
      </c>
      <c r="B239" t="s">
        <v>29</v>
      </c>
      <c r="C239" t="s">
        <v>747</v>
      </c>
      <c r="D239" s="3" t="str">
        <f t="shared" si="6"/>
        <v>PASS</v>
      </c>
      <c r="E239" s="3" t="str">
        <f t="shared" si="7"/>
        <v>PASS</v>
      </c>
      <c r="F239" t="s">
        <v>747</v>
      </c>
      <c r="G239" t="s">
        <v>747</v>
      </c>
      <c r="H239" s="3">
        <v>35101677.240000002</v>
      </c>
      <c r="I239" s="3">
        <v>34542057.605649002</v>
      </c>
      <c r="J239" s="3">
        <v>2370.12</v>
      </c>
      <c r="K239" s="4">
        <v>1755083.862</v>
      </c>
      <c r="L239" s="4">
        <v>0.2249362862557174</v>
      </c>
      <c r="M239" s="3">
        <v>3</v>
      </c>
      <c r="N239" t="s">
        <v>1042</v>
      </c>
      <c r="O239" s="4">
        <v>4.3025114307871183E-2</v>
      </c>
      <c r="P239" t="s">
        <v>1032</v>
      </c>
      <c r="Q239" t="s">
        <v>1041</v>
      </c>
      <c r="R239" t="s">
        <v>1035</v>
      </c>
    </row>
    <row r="240" spans="1:18" x14ac:dyDescent="0.4">
      <c r="A240" s="2">
        <v>45867</v>
      </c>
      <c r="B240" t="s">
        <v>30</v>
      </c>
      <c r="C240" t="s">
        <v>747</v>
      </c>
      <c r="D240" s="3" t="str">
        <f t="shared" si="6"/>
        <v>PASS</v>
      </c>
      <c r="E240" s="3" t="str">
        <f t="shared" si="7"/>
        <v>PASS</v>
      </c>
      <c r="F240" t="s">
        <v>747</v>
      </c>
      <c r="G240" t="s">
        <v>747</v>
      </c>
      <c r="H240" s="3">
        <v>55695857.060000002</v>
      </c>
      <c r="I240" s="3">
        <v>52620706.134347998</v>
      </c>
      <c r="J240" s="3">
        <v>3656.78</v>
      </c>
      <c r="K240" s="4">
        <v>2784792.8530000001</v>
      </c>
      <c r="L240" s="4">
        <v>0</v>
      </c>
      <c r="M240" s="3">
        <v>0</v>
      </c>
      <c r="N240" t="s">
        <v>23</v>
      </c>
      <c r="O240" s="4">
        <v>3.7154743881914157E-2</v>
      </c>
      <c r="P240" t="s">
        <v>1043</v>
      </c>
      <c r="Q240" t="s">
        <v>1044</v>
      </c>
      <c r="R240" t="s">
        <v>1045</v>
      </c>
    </row>
    <row r="241" spans="1:18" x14ac:dyDescent="0.4">
      <c r="A241" s="2">
        <v>45867</v>
      </c>
      <c r="B241" t="s">
        <v>31</v>
      </c>
      <c r="C241" t="s">
        <v>747</v>
      </c>
      <c r="D241" s="3" t="str">
        <f t="shared" si="6"/>
        <v>PASS</v>
      </c>
      <c r="E241" s="3" t="str">
        <f t="shared" si="7"/>
        <v>PASS</v>
      </c>
      <c r="F241" t="s">
        <v>747</v>
      </c>
      <c r="G241" t="s">
        <v>747</v>
      </c>
      <c r="H241" s="3">
        <v>40754343.380000003</v>
      </c>
      <c r="I241" s="3">
        <v>38861221.471671991</v>
      </c>
      <c r="J241" s="3">
        <v>2552.0500000000002</v>
      </c>
      <c r="K241" s="4">
        <v>2037717.169</v>
      </c>
      <c r="L241" s="4">
        <v>0.2406737282051053</v>
      </c>
      <c r="M241" s="3">
        <v>3</v>
      </c>
      <c r="N241" t="s">
        <v>1046</v>
      </c>
      <c r="O241" s="4">
        <v>9.6686560863736809E-2</v>
      </c>
      <c r="P241" t="s">
        <v>1032</v>
      </c>
      <c r="Q241" t="s">
        <v>885</v>
      </c>
      <c r="R241" t="s">
        <v>1037</v>
      </c>
    </row>
    <row r="242" spans="1:18" x14ac:dyDescent="0.4">
      <c r="A242" s="2">
        <v>45867</v>
      </c>
      <c r="B242" t="s">
        <v>32</v>
      </c>
      <c r="C242" t="s">
        <v>747</v>
      </c>
      <c r="D242" s="3" t="str">
        <f t="shared" si="6"/>
        <v>PASS</v>
      </c>
      <c r="E242" s="3" t="str">
        <f t="shared" si="7"/>
        <v>PASS</v>
      </c>
      <c r="F242" t="s">
        <v>747</v>
      </c>
      <c r="G242" t="s">
        <v>747</v>
      </c>
      <c r="H242" s="3">
        <v>79475406.989999995</v>
      </c>
      <c r="I242" s="3">
        <v>77475411.489177987</v>
      </c>
      <c r="J242" s="3">
        <v>5148.21</v>
      </c>
      <c r="K242" s="4">
        <v>3973770.3495</v>
      </c>
      <c r="L242" s="4">
        <v>0.2356016138199446</v>
      </c>
      <c r="M242" s="3">
        <v>3</v>
      </c>
      <c r="N242" t="s">
        <v>1047</v>
      </c>
      <c r="O242" s="4">
        <v>7.6268218543891E-2</v>
      </c>
      <c r="P242" t="s">
        <v>1032</v>
      </c>
      <c r="Q242" t="s">
        <v>818</v>
      </c>
      <c r="R242" t="s">
        <v>1041</v>
      </c>
    </row>
    <row r="243" spans="1:18" x14ac:dyDescent="0.4">
      <c r="A243" s="2">
        <v>45867</v>
      </c>
      <c r="B243" t="s">
        <v>33</v>
      </c>
      <c r="C243" t="s">
        <v>746</v>
      </c>
      <c r="D243" s="3" t="e">
        <f t="shared" si="6"/>
        <v>#DIV/0!</v>
      </c>
      <c r="E243" s="3" t="str">
        <f t="shared" si="7"/>
        <v>PASS</v>
      </c>
      <c r="F243" t="s">
        <v>746</v>
      </c>
      <c r="G243" t="s">
        <v>747</v>
      </c>
      <c r="H243" s="3">
        <v>0</v>
      </c>
      <c r="I243" s="3">
        <v>0</v>
      </c>
      <c r="J243" s="3">
        <v>0</v>
      </c>
      <c r="K243" s="4">
        <v>0</v>
      </c>
      <c r="L243" s="4">
        <v>0</v>
      </c>
      <c r="M243" s="3">
        <v>0</v>
      </c>
      <c r="N243" t="s">
        <v>23</v>
      </c>
      <c r="O243" s="4">
        <v>0</v>
      </c>
      <c r="P243" t="s">
        <v>23</v>
      </c>
      <c r="Q243" t="s">
        <v>748</v>
      </c>
      <c r="R243" t="s">
        <v>748</v>
      </c>
    </row>
    <row r="244" spans="1:18" x14ac:dyDescent="0.4">
      <c r="A244" s="2">
        <v>45868</v>
      </c>
      <c r="B244" t="s">
        <v>21</v>
      </c>
      <c r="C244" t="s">
        <v>746</v>
      </c>
      <c r="D244" s="3" t="e">
        <f t="shared" si="6"/>
        <v>#DIV/0!</v>
      </c>
      <c r="E244" s="3" t="str">
        <f t="shared" si="7"/>
        <v>PASS</v>
      </c>
      <c r="F244" t="s">
        <v>746</v>
      </c>
      <c r="G244" t="s">
        <v>747</v>
      </c>
      <c r="H244" s="3">
        <v>0</v>
      </c>
      <c r="I244" s="3">
        <v>0</v>
      </c>
      <c r="J244" s="3">
        <v>0</v>
      </c>
      <c r="K244" s="4">
        <v>0</v>
      </c>
      <c r="L244" s="4">
        <v>0</v>
      </c>
      <c r="M244" s="3">
        <v>0</v>
      </c>
      <c r="N244" t="s">
        <v>23</v>
      </c>
      <c r="O244" s="4">
        <v>0</v>
      </c>
      <c r="P244" t="s">
        <v>23</v>
      </c>
      <c r="Q244" t="s">
        <v>748</v>
      </c>
      <c r="R244" t="s">
        <v>748</v>
      </c>
    </row>
    <row r="245" spans="1:18" x14ac:dyDescent="0.4">
      <c r="A245" s="2">
        <v>45868</v>
      </c>
      <c r="B245" t="s">
        <v>24</v>
      </c>
      <c r="C245" t="s">
        <v>747</v>
      </c>
      <c r="D245" s="3" t="str">
        <f t="shared" si="6"/>
        <v>PASS</v>
      </c>
      <c r="E245" s="3" t="str">
        <f t="shared" si="7"/>
        <v>PASS</v>
      </c>
      <c r="F245" t="s">
        <v>747</v>
      </c>
      <c r="G245" t="s">
        <v>747</v>
      </c>
      <c r="H245" s="3">
        <v>137999660.41999999</v>
      </c>
      <c r="I245" s="3">
        <v>135539435.31971699</v>
      </c>
      <c r="J245" s="3">
        <v>8766.81</v>
      </c>
      <c r="K245" s="4">
        <v>6899983.0209999997</v>
      </c>
      <c r="L245" s="4">
        <v>0.2437368012700584</v>
      </c>
      <c r="M245" s="3">
        <v>3</v>
      </c>
      <c r="N245" t="s">
        <v>1048</v>
      </c>
      <c r="O245" s="4">
        <v>8.1598969558660028E-2</v>
      </c>
      <c r="P245" t="s">
        <v>1032</v>
      </c>
      <c r="Q245" t="s">
        <v>974</v>
      </c>
      <c r="R245" t="s">
        <v>1049</v>
      </c>
    </row>
    <row r="246" spans="1:18" x14ac:dyDescent="0.4">
      <c r="A246" s="2">
        <v>45868</v>
      </c>
      <c r="B246" t="s">
        <v>25</v>
      </c>
      <c r="C246" t="s">
        <v>747</v>
      </c>
      <c r="D246" s="3" t="str">
        <f t="shared" si="6"/>
        <v>PASS</v>
      </c>
      <c r="E246" s="3" t="str">
        <f t="shared" si="7"/>
        <v>PASS</v>
      </c>
      <c r="F246" t="s">
        <v>747</v>
      </c>
      <c r="G246" t="s">
        <v>747</v>
      </c>
      <c r="H246" s="3">
        <v>103031141.08</v>
      </c>
      <c r="I246" s="3">
        <v>99335541.684596017</v>
      </c>
      <c r="J246" s="3">
        <v>6749.61</v>
      </c>
      <c r="K246" s="4">
        <v>5151557.0539999995</v>
      </c>
      <c r="L246" s="4">
        <v>0.23063160474632019</v>
      </c>
      <c r="M246" s="3">
        <v>3</v>
      </c>
      <c r="N246" t="s">
        <v>1050</v>
      </c>
      <c r="O246" s="4">
        <v>6.5729508220603333E-2</v>
      </c>
      <c r="P246" t="s">
        <v>1032</v>
      </c>
      <c r="Q246" t="s">
        <v>1051</v>
      </c>
      <c r="R246" t="s">
        <v>1019</v>
      </c>
    </row>
    <row r="247" spans="1:18" x14ac:dyDescent="0.4">
      <c r="A247" s="2">
        <v>45868</v>
      </c>
      <c r="B247" t="s">
        <v>26</v>
      </c>
      <c r="C247" t="s">
        <v>747</v>
      </c>
      <c r="D247" s="3" t="str">
        <f t="shared" si="6"/>
        <v>PASS</v>
      </c>
      <c r="E247" s="3" t="str">
        <f t="shared" si="7"/>
        <v>PASS</v>
      </c>
      <c r="F247" t="s">
        <v>747</v>
      </c>
      <c r="G247" t="s">
        <v>747</v>
      </c>
      <c r="H247" s="3">
        <v>23919832.670000002</v>
      </c>
      <c r="I247" s="3">
        <v>23138601.853440002</v>
      </c>
      <c r="J247" s="3">
        <v>1570.87</v>
      </c>
      <c r="K247" s="4">
        <v>1195991.6335</v>
      </c>
      <c r="L247" s="4">
        <v>0.2303863676000715</v>
      </c>
      <c r="M247" s="3">
        <v>3</v>
      </c>
      <c r="N247" t="s">
        <v>1052</v>
      </c>
      <c r="O247" s="4">
        <v>6.0415533142607038E-2</v>
      </c>
      <c r="P247" t="s">
        <v>1032</v>
      </c>
      <c r="Q247" t="s">
        <v>1053</v>
      </c>
      <c r="R247" t="s">
        <v>1035</v>
      </c>
    </row>
    <row r="248" spans="1:18" x14ac:dyDescent="0.4">
      <c r="A248" s="2">
        <v>45868</v>
      </c>
      <c r="B248" t="s">
        <v>27</v>
      </c>
      <c r="C248" t="s">
        <v>747</v>
      </c>
      <c r="D248" s="3" t="str">
        <f t="shared" si="6"/>
        <v>PASS</v>
      </c>
      <c r="E248" s="3" t="str">
        <f t="shared" si="7"/>
        <v>PASS</v>
      </c>
      <c r="F248" t="s">
        <v>747</v>
      </c>
      <c r="G248" t="s">
        <v>747</v>
      </c>
      <c r="H248" s="3">
        <v>43696649.899999999</v>
      </c>
      <c r="I248" s="3">
        <v>42727204.595953993</v>
      </c>
      <c r="J248" s="3">
        <v>2681.72</v>
      </c>
      <c r="K248" s="4">
        <v>2184832.4950000001</v>
      </c>
      <c r="L248" s="4">
        <v>0.25435591690336701</v>
      </c>
      <c r="M248" s="3">
        <v>3</v>
      </c>
      <c r="N248" t="s">
        <v>1054</v>
      </c>
      <c r="O248" s="4">
        <v>0.1111142070860219</v>
      </c>
      <c r="P248" t="s">
        <v>1032</v>
      </c>
      <c r="Q248" t="s">
        <v>1055</v>
      </c>
      <c r="R248" t="s">
        <v>1056</v>
      </c>
    </row>
    <row r="249" spans="1:18" x14ac:dyDescent="0.4">
      <c r="A249" s="2">
        <v>45868</v>
      </c>
      <c r="B249" t="s">
        <v>28</v>
      </c>
      <c r="C249" t="s">
        <v>747</v>
      </c>
      <c r="D249" s="3" t="str">
        <f t="shared" si="6"/>
        <v>PASS</v>
      </c>
      <c r="E249" s="3" t="str">
        <f t="shared" si="7"/>
        <v>PASS</v>
      </c>
      <c r="F249" t="s">
        <v>747</v>
      </c>
      <c r="G249" t="s">
        <v>747</v>
      </c>
      <c r="H249" s="3">
        <v>15525103.6</v>
      </c>
      <c r="I249" s="3">
        <v>15216830.383123999</v>
      </c>
      <c r="J249" s="3">
        <v>994.54</v>
      </c>
      <c r="K249" s="4">
        <v>776255.18</v>
      </c>
      <c r="L249" s="4">
        <v>0.24284080612323941</v>
      </c>
      <c r="M249" s="3">
        <v>3</v>
      </c>
      <c r="N249" t="s">
        <v>1057</v>
      </c>
      <c r="O249" s="4">
        <v>9.5861485466931129E-2</v>
      </c>
      <c r="P249" t="s">
        <v>1032</v>
      </c>
      <c r="Q249" t="s">
        <v>855</v>
      </c>
      <c r="R249" t="s">
        <v>885</v>
      </c>
    </row>
    <row r="250" spans="1:18" x14ac:dyDescent="0.4">
      <c r="A250" s="2">
        <v>45868</v>
      </c>
      <c r="B250" t="s">
        <v>29</v>
      </c>
      <c r="C250" t="s">
        <v>747</v>
      </c>
      <c r="D250" s="3" t="str">
        <f t="shared" si="6"/>
        <v>PASS</v>
      </c>
      <c r="E250" s="3" t="str">
        <f t="shared" si="7"/>
        <v>PASS</v>
      </c>
      <c r="F250" t="s">
        <v>747</v>
      </c>
      <c r="G250" t="s">
        <v>747</v>
      </c>
      <c r="H250" s="3">
        <v>35057183.700000003</v>
      </c>
      <c r="I250" s="3">
        <v>34485607.642456003</v>
      </c>
      <c r="J250" s="3">
        <v>2364.41</v>
      </c>
      <c r="K250" s="4">
        <v>1752859.1850000001</v>
      </c>
      <c r="L250" s="4">
        <v>0.22632818327157631</v>
      </c>
      <c r="M250" s="3">
        <v>3</v>
      </c>
      <c r="N250" t="s">
        <v>1058</v>
      </c>
      <c r="O250" s="4">
        <v>4.3204337673479462E-2</v>
      </c>
      <c r="P250" t="s">
        <v>1032</v>
      </c>
      <c r="Q250" t="s">
        <v>1059</v>
      </c>
      <c r="R250" t="s">
        <v>1019</v>
      </c>
    </row>
    <row r="251" spans="1:18" x14ac:dyDescent="0.4">
      <c r="A251" s="2">
        <v>45868</v>
      </c>
      <c r="B251" t="s">
        <v>30</v>
      </c>
      <c r="C251" t="s">
        <v>747</v>
      </c>
      <c r="D251" s="3" t="str">
        <f t="shared" si="6"/>
        <v>PASS</v>
      </c>
      <c r="E251" s="3" t="str">
        <f t="shared" si="7"/>
        <v>PASS</v>
      </c>
      <c r="F251" t="s">
        <v>747</v>
      </c>
      <c r="G251" t="s">
        <v>747</v>
      </c>
      <c r="H251" s="3">
        <v>55353192.68</v>
      </c>
      <c r="I251" s="3">
        <v>52212881.672060013</v>
      </c>
      <c r="J251" s="3">
        <v>3659.76</v>
      </c>
      <c r="K251" s="4">
        <v>2767659.6340000001</v>
      </c>
      <c r="L251" s="4">
        <v>0</v>
      </c>
      <c r="M251" s="3">
        <v>0</v>
      </c>
      <c r="N251" t="s">
        <v>23</v>
      </c>
      <c r="O251" s="4">
        <v>3.7600528014565829E-2</v>
      </c>
      <c r="P251" t="s">
        <v>1043</v>
      </c>
      <c r="Q251" t="s">
        <v>1045</v>
      </c>
      <c r="R251" t="s">
        <v>1060</v>
      </c>
    </row>
    <row r="252" spans="1:18" x14ac:dyDescent="0.4">
      <c r="A252" s="2">
        <v>45868</v>
      </c>
      <c r="B252" t="s">
        <v>31</v>
      </c>
      <c r="C252" t="s">
        <v>747</v>
      </c>
      <c r="D252" s="3" t="str">
        <f t="shared" si="6"/>
        <v>PASS</v>
      </c>
      <c r="E252" s="3" t="str">
        <f t="shared" si="7"/>
        <v>PASS</v>
      </c>
      <c r="F252" t="s">
        <v>747</v>
      </c>
      <c r="G252" t="s">
        <v>747</v>
      </c>
      <c r="H252" s="3">
        <v>40706285.100000001</v>
      </c>
      <c r="I252" s="3">
        <v>38808548.906257004</v>
      </c>
      <c r="J252" s="3">
        <v>2546.87</v>
      </c>
      <c r="K252" s="4">
        <v>2035314.2549999999</v>
      </c>
      <c r="L252" s="4">
        <v>0.24212905458772749</v>
      </c>
      <c r="M252" s="3">
        <v>3</v>
      </c>
      <c r="N252" t="s">
        <v>1061</v>
      </c>
      <c r="O252" s="4">
        <v>9.7086200240291631E-2</v>
      </c>
      <c r="P252" t="s">
        <v>1032</v>
      </c>
      <c r="Q252" t="s">
        <v>893</v>
      </c>
      <c r="R252" t="s">
        <v>861</v>
      </c>
    </row>
    <row r="253" spans="1:18" x14ac:dyDescent="0.4">
      <c r="A253" s="2">
        <v>45868</v>
      </c>
      <c r="B253" t="s">
        <v>32</v>
      </c>
      <c r="C253" t="s">
        <v>747</v>
      </c>
      <c r="D253" s="3" t="str">
        <f t="shared" si="6"/>
        <v>PASS</v>
      </c>
      <c r="E253" s="3" t="str">
        <f t="shared" si="7"/>
        <v>PASS</v>
      </c>
      <c r="F253" t="s">
        <v>747</v>
      </c>
      <c r="G253" t="s">
        <v>747</v>
      </c>
      <c r="H253" s="3">
        <v>79381863.219999999</v>
      </c>
      <c r="I253" s="3">
        <v>77368753.098623976</v>
      </c>
      <c r="J253" s="3">
        <v>5136.26</v>
      </c>
      <c r="K253" s="4">
        <v>3969093.1609999998</v>
      </c>
      <c r="L253" s="4">
        <v>0.23705800271683361</v>
      </c>
      <c r="M253" s="3">
        <v>3</v>
      </c>
      <c r="N253" t="s">
        <v>1062</v>
      </c>
      <c r="O253" s="4">
        <v>7.6670964773860081E-2</v>
      </c>
      <c r="P253" t="s">
        <v>1032</v>
      </c>
      <c r="Q253" t="s">
        <v>825</v>
      </c>
      <c r="R253" t="s">
        <v>1063</v>
      </c>
    </row>
    <row r="254" spans="1:18" x14ac:dyDescent="0.4">
      <c r="A254" s="2">
        <v>45868</v>
      </c>
      <c r="B254" t="s">
        <v>33</v>
      </c>
      <c r="C254" t="s">
        <v>746</v>
      </c>
      <c r="D254" s="3" t="e">
        <f t="shared" si="6"/>
        <v>#DIV/0!</v>
      </c>
      <c r="E254" s="3" t="str">
        <f t="shared" si="7"/>
        <v>PASS</v>
      </c>
      <c r="F254" t="s">
        <v>746</v>
      </c>
      <c r="G254" t="s">
        <v>747</v>
      </c>
      <c r="H254" s="3">
        <v>0</v>
      </c>
      <c r="I254" s="3">
        <v>0</v>
      </c>
      <c r="J254" s="3">
        <v>0</v>
      </c>
      <c r="K254" s="4">
        <v>0</v>
      </c>
      <c r="L254" s="4">
        <v>0</v>
      </c>
      <c r="M254" s="3">
        <v>0</v>
      </c>
      <c r="N254" t="s">
        <v>23</v>
      </c>
      <c r="O254" s="4">
        <v>0</v>
      </c>
      <c r="P254" t="s">
        <v>23</v>
      </c>
      <c r="Q254" t="s">
        <v>748</v>
      </c>
      <c r="R254" t="s">
        <v>748</v>
      </c>
    </row>
    <row r="255" spans="1:18" x14ac:dyDescent="0.4">
      <c r="A255" s="2">
        <v>45869</v>
      </c>
      <c r="B255" t="s">
        <v>21</v>
      </c>
      <c r="C255" t="s">
        <v>746</v>
      </c>
      <c r="D255" s="3" t="e">
        <f t="shared" si="6"/>
        <v>#DIV/0!</v>
      </c>
      <c r="E255" s="3" t="str">
        <f t="shared" si="7"/>
        <v>PASS</v>
      </c>
      <c r="F255" t="s">
        <v>746</v>
      </c>
      <c r="G255" t="s">
        <v>747</v>
      </c>
      <c r="H255" s="3">
        <v>0</v>
      </c>
      <c r="I255" s="3">
        <v>0</v>
      </c>
      <c r="J255" s="3">
        <v>0</v>
      </c>
      <c r="K255" s="4">
        <v>0</v>
      </c>
      <c r="L255" s="4">
        <v>0</v>
      </c>
      <c r="M255" s="3">
        <v>0</v>
      </c>
      <c r="N255" t="s">
        <v>23</v>
      </c>
      <c r="O255" s="4">
        <v>0</v>
      </c>
      <c r="P255" t="s">
        <v>23</v>
      </c>
      <c r="Q255" t="s">
        <v>748</v>
      </c>
      <c r="R255" t="s">
        <v>748</v>
      </c>
    </row>
    <row r="256" spans="1:18" x14ac:dyDescent="0.4">
      <c r="A256" s="2">
        <v>45869</v>
      </c>
      <c r="B256" t="s">
        <v>24</v>
      </c>
      <c r="C256" t="s">
        <v>747</v>
      </c>
      <c r="D256" s="3" t="str">
        <f t="shared" si="6"/>
        <v>PASS</v>
      </c>
      <c r="E256" s="3" t="str">
        <f t="shared" si="7"/>
        <v>PASS</v>
      </c>
      <c r="F256" t="s">
        <v>747</v>
      </c>
      <c r="G256" t="s">
        <v>747</v>
      </c>
      <c r="H256" s="3">
        <v>137652420.90000001</v>
      </c>
      <c r="I256" s="3">
        <v>135293418.695802</v>
      </c>
      <c r="J256" s="3">
        <v>7664.17</v>
      </c>
      <c r="K256" s="4">
        <v>6882621.0450000009</v>
      </c>
      <c r="L256" s="4">
        <v>0.25034407248562879</v>
      </c>
      <c r="M256" s="3">
        <v>3</v>
      </c>
      <c r="N256" t="s">
        <v>1064</v>
      </c>
      <c r="O256" s="4">
        <v>8.2100552695778983E-2</v>
      </c>
      <c r="P256" t="s">
        <v>1065</v>
      </c>
      <c r="Q256" t="s">
        <v>898</v>
      </c>
      <c r="R256" t="s">
        <v>1049</v>
      </c>
    </row>
    <row r="257" spans="1:18" x14ac:dyDescent="0.4">
      <c r="A257" s="2">
        <v>45869</v>
      </c>
      <c r="B257" t="s">
        <v>25</v>
      </c>
      <c r="C257" t="s">
        <v>747</v>
      </c>
      <c r="D257" s="3" t="str">
        <f t="shared" si="6"/>
        <v>PASS</v>
      </c>
      <c r="E257" s="3" t="str">
        <f t="shared" si="7"/>
        <v>PASS</v>
      </c>
      <c r="F257" t="s">
        <v>747</v>
      </c>
      <c r="G257" t="s">
        <v>747</v>
      </c>
      <c r="H257" s="3">
        <v>102824095.43000001</v>
      </c>
      <c r="I257" s="3">
        <v>98854345.921561986</v>
      </c>
      <c r="J257" s="3">
        <v>5227.93</v>
      </c>
      <c r="K257" s="4">
        <v>5141204.7715000007</v>
      </c>
      <c r="L257" s="4">
        <v>0.2362514812692785</v>
      </c>
      <c r="M257" s="3">
        <v>3</v>
      </c>
      <c r="N257" t="s">
        <v>1066</v>
      </c>
      <c r="O257" s="4">
        <v>6.4981122990872109E-2</v>
      </c>
      <c r="P257" t="s">
        <v>1065</v>
      </c>
      <c r="Q257" t="s">
        <v>794</v>
      </c>
      <c r="R257" t="s">
        <v>1059</v>
      </c>
    </row>
    <row r="258" spans="1:18" x14ac:dyDescent="0.4">
      <c r="A258" s="2">
        <v>45869</v>
      </c>
      <c r="B258" t="s">
        <v>26</v>
      </c>
      <c r="C258" t="s">
        <v>747</v>
      </c>
      <c r="D258" s="3" t="str">
        <f t="shared" ref="D258:D321" si="8">IF(I258/H258&gt;=0.5,"PASS","FAIL")</f>
        <v>PASS</v>
      </c>
      <c r="E258" s="3" t="str">
        <f t="shared" ref="E258:E321" si="9">IF(L258&lt;=0.5,"PASS","FAIL")</f>
        <v>PASS</v>
      </c>
      <c r="F258" t="s">
        <v>747</v>
      </c>
      <c r="G258" t="s">
        <v>747</v>
      </c>
      <c r="H258" s="3">
        <v>23868974.66</v>
      </c>
      <c r="I258" s="3">
        <v>23047343.396914002</v>
      </c>
      <c r="J258" s="3">
        <v>1227.55</v>
      </c>
      <c r="K258" s="4">
        <v>1193448.733</v>
      </c>
      <c r="L258" s="4">
        <v>0.23621526074882501</v>
      </c>
      <c r="M258" s="3">
        <v>3</v>
      </c>
      <c r="N258" t="s">
        <v>1067</v>
      </c>
      <c r="O258" s="4">
        <v>6.0111925097414309E-2</v>
      </c>
      <c r="P258" t="s">
        <v>1065</v>
      </c>
      <c r="Q258" t="s">
        <v>794</v>
      </c>
      <c r="R258" t="s">
        <v>1063</v>
      </c>
    </row>
    <row r="259" spans="1:18" x14ac:dyDescent="0.4">
      <c r="A259" s="2">
        <v>45869</v>
      </c>
      <c r="B259" t="s">
        <v>27</v>
      </c>
      <c r="C259" t="s">
        <v>747</v>
      </c>
      <c r="D259" s="3" t="str">
        <f t="shared" si="8"/>
        <v>PASS</v>
      </c>
      <c r="E259" s="3" t="str">
        <f t="shared" si="9"/>
        <v>PASS</v>
      </c>
      <c r="F259" t="s">
        <v>747</v>
      </c>
      <c r="G259" t="s">
        <v>747</v>
      </c>
      <c r="H259" s="3">
        <v>43606039.579999998</v>
      </c>
      <c r="I259" s="3">
        <v>42743406.927256003</v>
      </c>
      <c r="J259" s="3">
        <v>6372.57</v>
      </c>
      <c r="K259" s="4">
        <v>2180301.9789999998</v>
      </c>
      <c r="L259" s="4">
        <v>0.26086264030024647</v>
      </c>
      <c r="M259" s="3">
        <v>3</v>
      </c>
      <c r="N259" t="s">
        <v>1068</v>
      </c>
      <c r="O259" s="4">
        <v>0.11201634875129381</v>
      </c>
      <c r="P259" t="s">
        <v>1065</v>
      </c>
      <c r="Q259" t="s">
        <v>1069</v>
      </c>
      <c r="R259" t="s">
        <v>1070</v>
      </c>
    </row>
    <row r="260" spans="1:18" x14ac:dyDescent="0.4">
      <c r="A260" s="2">
        <v>45869</v>
      </c>
      <c r="B260" t="s">
        <v>28</v>
      </c>
      <c r="C260" t="s">
        <v>747</v>
      </c>
      <c r="D260" s="3" t="str">
        <f t="shared" si="8"/>
        <v>PASS</v>
      </c>
      <c r="E260" s="3" t="str">
        <f t="shared" si="9"/>
        <v>PASS</v>
      </c>
      <c r="F260" t="s">
        <v>747</v>
      </c>
      <c r="G260" t="s">
        <v>747</v>
      </c>
      <c r="H260" s="3">
        <v>15492286.5</v>
      </c>
      <c r="I260" s="3">
        <v>15188096.863910001</v>
      </c>
      <c r="J260" s="3">
        <v>859.83</v>
      </c>
      <c r="K260" s="4">
        <v>774614.32500000007</v>
      </c>
      <c r="L260" s="4">
        <v>0.24881921790938091</v>
      </c>
      <c r="M260" s="3">
        <v>3</v>
      </c>
      <c r="N260" t="s">
        <v>1071</v>
      </c>
      <c r="O260" s="4">
        <v>9.5965087781587272E-2</v>
      </c>
      <c r="P260" t="s">
        <v>1065</v>
      </c>
      <c r="Q260" t="s">
        <v>1072</v>
      </c>
      <c r="R260" t="s">
        <v>885</v>
      </c>
    </row>
    <row r="261" spans="1:18" x14ac:dyDescent="0.4">
      <c r="A261" s="2">
        <v>45869</v>
      </c>
      <c r="B261" t="s">
        <v>29</v>
      </c>
      <c r="C261" t="s">
        <v>747</v>
      </c>
      <c r="D261" s="3" t="str">
        <f t="shared" si="8"/>
        <v>PASS</v>
      </c>
      <c r="E261" s="3" t="str">
        <f t="shared" si="9"/>
        <v>PASS</v>
      </c>
      <c r="F261" t="s">
        <v>747</v>
      </c>
      <c r="G261" t="s">
        <v>747</v>
      </c>
      <c r="H261" s="3">
        <v>34969033.469999999</v>
      </c>
      <c r="I261" s="3">
        <v>34357575.278352</v>
      </c>
      <c r="J261" s="3">
        <v>2527.5300000000002</v>
      </c>
      <c r="K261" s="4">
        <v>1748451.6735</v>
      </c>
      <c r="L261" s="4">
        <v>0.23229739506402439</v>
      </c>
      <c r="M261" s="3">
        <v>3</v>
      </c>
      <c r="N261" t="s">
        <v>1073</v>
      </c>
      <c r="O261" s="4">
        <v>4.3189646052061728E-2</v>
      </c>
      <c r="P261" t="s">
        <v>1065</v>
      </c>
      <c r="Q261" t="s">
        <v>867</v>
      </c>
      <c r="R261" t="s">
        <v>954</v>
      </c>
    </row>
    <row r="262" spans="1:18" x14ac:dyDescent="0.4">
      <c r="A262" s="2">
        <v>45869</v>
      </c>
      <c r="B262" t="s">
        <v>30</v>
      </c>
      <c r="C262" t="s">
        <v>747</v>
      </c>
      <c r="D262" s="3" t="str">
        <f t="shared" si="8"/>
        <v>PASS</v>
      </c>
      <c r="E262" s="3" t="str">
        <f t="shared" si="9"/>
        <v>PASS</v>
      </c>
      <c r="F262" t="s">
        <v>747</v>
      </c>
      <c r="G262" t="s">
        <v>747</v>
      </c>
      <c r="H262" s="3">
        <v>55237543.68</v>
      </c>
      <c r="I262" s="3">
        <v>51870092.741599999</v>
      </c>
      <c r="J262" s="3">
        <v>2852.53</v>
      </c>
      <c r="K262" s="4">
        <v>2761877.1839999999</v>
      </c>
      <c r="L262" s="4">
        <v>0</v>
      </c>
      <c r="M262" s="3">
        <v>0</v>
      </c>
      <c r="N262" t="s">
        <v>23</v>
      </c>
      <c r="O262" s="4">
        <v>3.7395712299710997E-2</v>
      </c>
      <c r="P262" t="s">
        <v>1074</v>
      </c>
      <c r="Q262" t="s">
        <v>799</v>
      </c>
      <c r="R262" t="s">
        <v>1045</v>
      </c>
    </row>
    <row r="263" spans="1:18" x14ac:dyDescent="0.4">
      <c r="A263" s="2">
        <v>45869</v>
      </c>
      <c r="B263" t="s">
        <v>31</v>
      </c>
      <c r="C263" t="s">
        <v>747</v>
      </c>
      <c r="D263" s="3" t="str">
        <f t="shared" si="8"/>
        <v>PASS</v>
      </c>
      <c r="E263" s="3" t="str">
        <f t="shared" si="9"/>
        <v>PASS</v>
      </c>
      <c r="F263" t="s">
        <v>747</v>
      </c>
      <c r="G263" t="s">
        <v>747</v>
      </c>
      <c r="H263" s="3">
        <v>40630262.390000001</v>
      </c>
      <c r="I263" s="3">
        <v>38738188.128380001</v>
      </c>
      <c r="J263" s="3">
        <v>2179.35</v>
      </c>
      <c r="K263" s="4">
        <v>2031513.1195</v>
      </c>
      <c r="L263" s="4">
        <v>0.2479438505468575</v>
      </c>
      <c r="M263" s="3">
        <v>3</v>
      </c>
      <c r="N263" t="s">
        <v>1075</v>
      </c>
      <c r="O263" s="4">
        <v>9.7054756883641208E-2</v>
      </c>
      <c r="P263" t="s">
        <v>1065</v>
      </c>
      <c r="Q263" t="s">
        <v>791</v>
      </c>
      <c r="R263" t="s">
        <v>871</v>
      </c>
    </row>
    <row r="264" spans="1:18" x14ac:dyDescent="0.4">
      <c r="A264" s="2">
        <v>45869</v>
      </c>
      <c r="B264" t="s">
        <v>32</v>
      </c>
      <c r="C264" t="s">
        <v>747</v>
      </c>
      <c r="D264" s="3" t="str">
        <f t="shared" si="8"/>
        <v>PASS</v>
      </c>
      <c r="E264" s="3" t="str">
        <f t="shared" si="9"/>
        <v>PASS</v>
      </c>
      <c r="F264" t="s">
        <v>747</v>
      </c>
      <c r="G264" t="s">
        <v>747</v>
      </c>
      <c r="H264" s="3">
        <v>79177910.349999994</v>
      </c>
      <c r="I264" s="3">
        <v>77369379.588579997</v>
      </c>
      <c r="J264" s="3">
        <v>5998.77</v>
      </c>
      <c r="K264" s="4">
        <v>3958895.5175000001</v>
      </c>
      <c r="L264" s="4">
        <v>0.24306405569360359</v>
      </c>
      <c r="M264" s="3">
        <v>3</v>
      </c>
      <c r="N264" t="s">
        <v>1076</v>
      </c>
      <c r="O264" s="4">
        <v>7.6835889223237114E-2</v>
      </c>
      <c r="P264" t="s">
        <v>1065</v>
      </c>
      <c r="Q264" t="s">
        <v>885</v>
      </c>
      <c r="R264" t="s">
        <v>1077</v>
      </c>
    </row>
    <row r="265" spans="1:18" x14ac:dyDescent="0.4">
      <c r="A265" s="2">
        <v>45869</v>
      </c>
      <c r="B265" t="s">
        <v>33</v>
      </c>
      <c r="C265" t="s">
        <v>746</v>
      </c>
      <c r="D265" s="3" t="e">
        <f t="shared" si="8"/>
        <v>#DIV/0!</v>
      </c>
      <c r="E265" s="3" t="str">
        <f t="shared" si="9"/>
        <v>PASS</v>
      </c>
      <c r="F265" t="s">
        <v>746</v>
      </c>
      <c r="G265" t="s">
        <v>747</v>
      </c>
      <c r="H265" s="3">
        <v>0</v>
      </c>
      <c r="I265" s="3">
        <v>0</v>
      </c>
      <c r="J265" s="3">
        <v>0</v>
      </c>
      <c r="K265" s="4">
        <v>0</v>
      </c>
      <c r="L265" s="4">
        <v>0</v>
      </c>
      <c r="M265" s="3">
        <v>0</v>
      </c>
      <c r="N265" t="s">
        <v>23</v>
      </c>
      <c r="O265" s="4">
        <v>0</v>
      </c>
      <c r="P265" t="s">
        <v>23</v>
      </c>
      <c r="Q265" t="s">
        <v>748</v>
      </c>
      <c r="R265" t="s">
        <v>748</v>
      </c>
    </row>
    <row r="266" spans="1:18" x14ac:dyDescent="0.4">
      <c r="A266" s="2">
        <v>45870</v>
      </c>
      <c r="B266" t="s">
        <v>21</v>
      </c>
      <c r="C266" t="s">
        <v>746</v>
      </c>
      <c r="D266" s="3" t="e">
        <f t="shared" si="8"/>
        <v>#DIV/0!</v>
      </c>
      <c r="E266" s="3" t="str">
        <f t="shared" si="9"/>
        <v>PASS</v>
      </c>
      <c r="F266" t="s">
        <v>746</v>
      </c>
      <c r="G266" t="s">
        <v>747</v>
      </c>
      <c r="H266" s="3">
        <v>0</v>
      </c>
      <c r="I266" s="3">
        <v>0</v>
      </c>
      <c r="J266" s="3">
        <v>0</v>
      </c>
      <c r="K266" s="4">
        <v>0</v>
      </c>
      <c r="L266" s="4">
        <v>0</v>
      </c>
      <c r="M266" s="3">
        <v>0</v>
      </c>
      <c r="N266" t="s">
        <v>23</v>
      </c>
      <c r="O266" s="4">
        <v>0</v>
      </c>
      <c r="P266" t="s">
        <v>23</v>
      </c>
      <c r="Q266" t="s">
        <v>748</v>
      </c>
      <c r="R266" t="s">
        <v>748</v>
      </c>
    </row>
    <row r="267" spans="1:18" x14ac:dyDescent="0.4">
      <c r="A267" s="2">
        <v>45870</v>
      </c>
      <c r="B267" t="s">
        <v>24</v>
      </c>
      <c r="C267" t="s">
        <v>747</v>
      </c>
      <c r="D267" s="3" t="str">
        <f t="shared" si="8"/>
        <v>PASS</v>
      </c>
      <c r="E267" s="3" t="str">
        <f t="shared" si="9"/>
        <v>PASS</v>
      </c>
      <c r="F267" t="s">
        <v>747</v>
      </c>
      <c r="G267" t="s">
        <v>747</v>
      </c>
      <c r="H267" s="3">
        <v>135096626.05000001</v>
      </c>
      <c r="I267" s="3">
        <v>132495688.965032</v>
      </c>
      <c r="J267" s="3">
        <v>25854.03</v>
      </c>
      <c r="K267" s="4">
        <v>6754831.3025000012</v>
      </c>
      <c r="L267" s="4">
        <v>0.2461813891970466</v>
      </c>
      <c r="M267" s="3">
        <v>3</v>
      </c>
      <c r="N267" t="s">
        <v>1078</v>
      </c>
      <c r="O267" s="4">
        <v>8.3236274241742972E-2</v>
      </c>
      <c r="P267" t="s">
        <v>1079</v>
      </c>
      <c r="Q267" t="s">
        <v>898</v>
      </c>
      <c r="R267" t="s">
        <v>1077</v>
      </c>
    </row>
    <row r="268" spans="1:18" x14ac:dyDescent="0.4">
      <c r="A268" s="2">
        <v>45870</v>
      </c>
      <c r="B268" t="s">
        <v>25</v>
      </c>
      <c r="C268" t="s">
        <v>747</v>
      </c>
      <c r="D268" s="3" t="str">
        <f t="shared" si="8"/>
        <v>PASS</v>
      </c>
      <c r="E268" s="3" t="str">
        <f t="shared" si="9"/>
        <v>PASS</v>
      </c>
      <c r="F268" t="s">
        <v>747</v>
      </c>
      <c r="G268" t="s">
        <v>747</v>
      </c>
      <c r="H268" s="3">
        <v>101125976.40000001</v>
      </c>
      <c r="I268" s="3">
        <v>97378749.644019991</v>
      </c>
      <c r="J268" s="3">
        <v>19918.32</v>
      </c>
      <c r="K268" s="4">
        <v>5056298.82</v>
      </c>
      <c r="L268" s="4">
        <v>0.23300926287548379</v>
      </c>
      <c r="M268" s="3">
        <v>3</v>
      </c>
      <c r="N268" t="s">
        <v>1080</v>
      </c>
      <c r="O268" s="4">
        <v>7.0329183432438033E-2</v>
      </c>
      <c r="P268" t="s">
        <v>1079</v>
      </c>
      <c r="Q268" t="s">
        <v>804</v>
      </c>
      <c r="R268" t="s">
        <v>1034</v>
      </c>
    </row>
    <row r="269" spans="1:18" x14ac:dyDescent="0.4">
      <c r="A269" s="2">
        <v>45870</v>
      </c>
      <c r="B269" t="s">
        <v>26</v>
      </c>
      <c r="C269" t="s">
        <v>747</v>
      </c>
      <c r="D269" s="3" t="str">
        <f t="shared" si="8"/>
        <v>PASS</v>
      </c>
      <c r="E269" s="3" t="str">
        <f t="shared" si="9"/>
        <v>PASS</v>
      </c>
      <c r="F269" t="s">
        <v>747</v>
      </c>
      <c r="G269" t="s">
        <v>747</v>
      </c>
      <c r="H269" s="3">
        <v>23446523.09</v>
      </c>
      <c r="I269" s="3">
        <v>22644294.263176002</v>
      </c>
      <c r="J269" s="3">
        <v>4635.12</v>
      </c>
      <c r="K269" s="4">
        <v>1172326.1544999999</v>
      </c>
      <c r="L269" s="4">
        <v>0.2325411523525299</v>
      </c>
      <c r="M269" s="3">
        <v>3</v>
      </c>
      <c r="N269" t="s">
        <v>1081</v>
      </c>
      <c r="O269" s="4">
        <v>6.3461023089202082E-2</v>
      </c>
      <c r="P269" t="s">
        <v>1079</v>
      </c>
      <c r="Q269" t="s">
        <v>804</v>
      </c>
      <c r="R269" t="s">
        <v>1037</v>
      </c>
    </row>
    <row r="270" spans="1:18" x14ac:dyDescent="0.4">
      <c r="A270" s="2">
        <v>45870</v>
      </c>
      <c r="B270" t="s">
        <v>27</v>
      </c>
      <c r="C270" t="s">
        <v>747</v>
      </c>
      <c r="D270" s="3" t="str">
        <f t="shared" si="8"/>
        <v>PASS</v>
      </c>
      <c r="E270" s="3" t="str">
        <f t="shared" si="9"/>
        <v>PASS</v>
      </c>
      <c r="F270" t="s">
        <v>747</v>
      </c>
      <c r="G270" t="s">
        <v>747</v>
      </c>
      <c r="H270" s="3">
        <v>42901273.020000003</v>
      </c>
      <c r="I270" s="3">
        <v>41850364.223927997</v>
      </c>
      <c r="J270" s="3">
        <v>7933.5</v>
      </c>
      <c r="K270" s="4">
        <v>2145063.6510000001</v>
      </c>
      <c r="L270" s="4">
        <v>0.25676981652634118</v>
      </c>
      <c r="M270" s="3">
        <v>3</v>
      </c>
      <c r="N270" t="s">
        <v>1082</v>
      </c>
      <c r="O270" s="4">
        <v>0.1127060227717224</v>
      </c>
      <c r="P270" t="s">
        <v>1079</v>
      </c>
      <c r="Q270" t="s">
        <v>904</v>
      </c>
      <c r="R270" t="s">
        <v>883</v>
      </c>
    </row>
    <row r="271" spans="1:18" x14ac:dyDescent="0.4">
      <c r="A271" s="2">
        <v>45870</v>
      </c>
      <c r="B271" t="s">
        <v>28</v>
      </c>
      <c r="C271" t="s">
        <v>747</v>
      </c>
      <c r="D271" s="3" t="str">
        <f t="shared" si="8"/>
        <v>PASS</v>
      </c>
      <c r="E271" s="3" t="str">
        <f t="shared" si="9"/>
        <v>PASS</v>
      </c>
      <c r="F271" t="s">
        <v>747</v>
      </c>
      <c r="G271" t="s">
        <v>747</v>
      </c>
      <c r="H271" s="3">
        <v>15256128.6</v>
      </c>
      <c r="I271" s="3">
        <v>14920988.417672001</v>
      </c>
      <c r="J271" s="3">
        <v>2941.8</v>
      </c>
      <c r="K271" s="4">
        <v>762806.43</v>
      </c>
      <c r="L271" s="4">
        <v>0.2450858946453289</v>
      </c>
      <c r="M271" s="3">
        <v>3</v>
      </c>
      <c r="N271" t="s">
        <v>1083</v>
      </c>
      <c r="O271" s="4">
        <v>9.871837064037331E-2</v>
      </c>
      <c r="P271" t="s">
        <v>1079</v>
      </c>
      <c r="Q271" t="s">
        <v>885</v>
      </c>
      <c r="R271" t="s">
        <v>873</v>
      </c>
    </row>
    <row r="272" spans="1:18" x14ac:dyDescent="0.4">
      <c r="A272" s="2">
        <v>45870</v>
      </c>
      <c r="B272" t="s">
        <v>29</v>
      </c>
      <c r="C272" t="s">
        <v>747</v>
      </c>
      <c r="D272" s="3" t="str">
        <f t="shared" si="8"/>
        <v>PASS</v>
      </c>
      <c r="E272" s="3" t="str">
        <f t="shared" si="9"/>
        <v>PASS</v>
      </c>
      <c r="F272" t="s">
        <v>747</v>
      </c>
      <c r="G272" t="s">
        <v>747</v>
      </c>
      <c r="H272" s="3">
        <v>34264244.549999997</v>
      </c>
      <c r="I272" s="3">
        <v>33714593.588968001</v>
      </c>
      <c r="J272" s="3">
        <v>6973.23</v>
      </c>
      <c r="K272" s="4">
        <v>1713212.2275</v>
      </c>
      <c r="L272" s="4">
        <v>0.22862052789286369</v>
      </c>
      <c r="M272" s="3">
        <v>3</v>
      </c>
      <c r="N272" t="s">
        <v>1084</v>
      </c>
      <c r="O272" s="4">
        <v>4.5313930289701952E-2</v>
      </c>
      <c r="P272" t="s">
        <v>1079</v>
      </c>
      <c r="Q272" t="s">
        <v>1085</v>
      </c>
      <c r="R272" t="s">
        <v>1018</v>
      </c>
    </row>
    <row r="273" spans="1:18" x14ac:dyDescent="0.4">
      <c r="A273" s="2">
        <v>45870</v>
      </c>
      <c r="B273" t="s">
        <v>30</v>
      </c>
      <c r="C273" t="s">
        <v>747</v>
      </c>
      <c r="D273" s="3" t="str">
        <f t="shared" si="8"/>
        <v>PASS</v>
      </c>
      <c r="E273" s="3" t="str">
        <f t="shared" si="9"/>
        <v>PASS</v>
      </c>
      <c r="F273" t="s">
        <v>747</v>
      </c>
      <c r="G273" t="s">
        <v>747</v>
      </c>
      <c r="H273" s="3">
        <v>55088718.119999997</v>
      </c>
      <c r="I273" s="3">
        <v>51048061.999476001</v>
      </c>
      <c r="J273" s="3">
        <v>10739.16</v>
      </c>
      <c r="K273" s="4">
        <v>2754435.906</v>
      </c>
      <c r="L273" s="4">
        <v>0</v>
      </c>
      <c r="M273" s="3">
        <v>0</v>
      </c>
      <c r="N273" t="s">
        <v>23</v>
      </c>
      <c r="O273" s="4">
        <v>3.9551200387888057E-2</v>
      </c>
      <c r="P273" t="s">
        <v>1086</v>
      </c>
      <c r="Q273" t="s">
        <v>1087</v>
      </c>
      <c r="R273" t="s">
        <v>1088</v>
      </c>
    </row>
    <row r="274" spans="1:18" x14ac:dyDescent="0.4">
      <c r="A274" s="2">
        <v>45870</v>
      </c>
      <c r="B274" t="s">
        <v>31</v>
      </c>
      <c r="C274" t="s">
        <v>747</v>
      </c>
      <c r="D274" s="3" t="str">
        <f t="shared" si="8"/>
        <v>PASS</v>
      </c>
      <c r="E274" s="3" t="str">
        <f t="shared" si="9"/>
        <v>PASS</v>
      </c>
      <c r="F274" t="s">
        <v>747</v>
      </c>
      <c r="G274" t="s">
        <v>747</v>
      </c>
      <c r="H274" s="3">
        <v>40048657.799999997</v>
      </c>
      <c r="I274" s="3">
        <v>38104218.354039997</v>
      </c>
      <c r="J274" s="3">
        <v>7534.95</v>
      </c>
      <c r="K274" s="4">
        <v>2002432.89</v>
      </c>
      <c r="L274" s="4">
        <v>0.24464103448252861</v>
      </c>
      <c r="M274" s="3">
        <v>3</v>
      </c>
      <c r="N274" t="s">
        <v>1089</v>
      </c>
      <c r="O274" s="4">
        <v>0.1012249178058597</v>
      </c>
      <c r="P274" t="s">
        <v>1079</v>
      </c>
      <c r="Q274" t="s">
        <v>871</v>
      </c>
      <c r="R274" t="s">
        <v>873</v>
      </c>
    </row>
    <row r="275" spans="1:18" x14ac:dyDescent="0.4">
      <c r="A275" s="2">
        <v>45870</v>
      </c>
      <c r="B275" t="s">
        <v>32</v>
      </c>
      <c r="C275" t="s">
        <v>747</v>
      </c>
      <c r="D275" s="3" t="str">
        <f t="shared" si="8"/>
        <v>PASS</v>
      </c>
      <c r="E275" s="3" t="str">
        <f t="shared" si="9"/>
        <v>PASS</v>
      </c>
      <c r="F275" t="s">
        <v>747</v>
      </c>
      <c r="G275" t="s">
        <v>747</v>
      </c>
      <c r="H275" s="3">
        <v>77872184.700000003</v>
      </c>
      <c r="I275" s="3">
        <v>75811263.301624015</v>
      </c>
      <c r="J275" s="3">
        <v>15184.8</v>
      </c>
      <c r="K275" s="4">
        <v>3893609.2349999999</v>
      </c>
      <c r="L275" s="4">
        <v>0.23940690584990379</v>
      </c>
      <c r="M275" s="3">
        <v>3</v>
      </c>
      <c r="N275" t="s">
        <v>1090</v>
      </c>
      <c r="O275" s="4">
        <v>7.9147441995729706E-2</v>
      </c>
      <c r="P275" t="s">
        <v>1079</v>
      </c>
      <c r="Q275" t="s">
        <v>1091</v>
      </c>
      <c r="R275" t="s">
        <v>1092</v>
      </c>
    </row>
    <row r="276" spans="1:18" x14ac:dyDescent="0.4">
      <c r="A276" s="2">
        <v>45870</v>
      </c>
      <c r="B276" t="s">
        <v>33</v>
      </c>
      <c r="C276" t="s">
        <v>746</v>
      </c>
      <c r="D276" s="3" t="e">
        <f t="shared" si="8"/>
        <v>#DIV/0!</v>
      </c>
      <c r="E276" s="3" t="str">
        <f t="shared" si="9"/>
        <v>PASS</v>
      </c>
      <c r="F276" t="s">
        <v>746</v>
      </c>
      <c r="G276" t="s">
        <v>747</v>
      </c>
      <c r="H276" s="3">
        <v>0</v>
      </c>
      <c r="I276" s="3">
        <v>0</v>
      </c>
      <c r="J276" s="3">
        <v>0</v>
      </c>
      <c r="K276" s="4">
        <v>0</v>
      </c>
      <c r="L276" s="4">
        <v>0</v>
      </c>
      <c r="M276" s="3">
        <v>0</v>
      </c>
      <c r="N276" t="s">
        <v>23</v>
      </c>
      <c r="O276" s="4">
        <v>0</v>
      </c>
      <c r="P276" t="s">
        <v>23</v>
      </c>
      <c r="Q276" t="s">
        <v>748</v>
      </c>
      <c r="R276" t="s">
        <v>748</v>
      </c>
    </row>
    <row r="277" spans="1:18" x14ac:dyDescent="0.4">
      <c r="A277" s="2">
        <v>45873</v>
      </c>
      <c r="B277" t="s">
        <v>21</v>
      </c>
      <c r="C277" t="s">
        <v>746</v>
      </c>
      <c r="D277" s="3" t="e">
        <f t="shared" si="8"/>
        <v>#DIV/0!</v>
      </c>
      <c r="E277" s="3" t="str">
        <f t="shared" si="9"/>
        <v>PASS</v>
      </c>
      <c r="F277" t="s">
        <v>746</v>
      </c>
      <c r="G277" t="s">
        <v>747</v>
      </c>
      <c r="H277" s="3">
        <v>0</v>
      </c>
      <c r="I277" s="3">
        <v>0</v>
      </c>
      <c r="J277" s="3">
        <v>0</v>
      </c>
      <c r="K277" s="4">
        <v>0</v>
      </c>
      <c r="L277" s="4">
        <v>0</v>
      </c>
      <c r="M277" s="3">
        <v>0</v>
      </c>
      <c r="N277" t="s">
        <v>23</v>
      </c>
      <c r="O277" s="4">
        <v>0</v>
      </c>
      <c r="P277" t="s">
        <v>23</v>
      </c>
      <c r="Q277" t="s">
        <v>748</v>
      </c>
      <c r="R277" t="s">
        <v>748</v>
      </c>
    </row>
    <row r="278" spans="1:18" x14ac:dyDescent="0.4">
      <c r="A278" s="2">
        <v>45873</v>
      </c>
      <c r="B278" t="s">
        <v>24</v>
      </c>
      <c r="C278" t="s">
        <v>747</v>
      </c>
      <c r="D278" s="3" t="str">
        <f t="shared" si="8"/>
        <v>PASS</v>
      </c>
      <c r="E278" s="3" t="str">
        <f t="shared" si="9"/>
        <v>PASS</v>
      </c>
      <c r="F278" t="s">
        <v>747</v>
      </c>
      <c r="G278" t="s">
        <v>747</v>
      </c>
      <c r="H278" s="3">
        <v>136047537.03</v>
      </c>
      <c r="I278" s="3">
        <v>133274748.624461</v>
      </c>
      <c r="J278" s="3">
        <v>8542.11</v>
      </c>
      <c r="K278" s="4">
        <v>6802376.8515000008</v>
      </c>
      <c r="L278" s="4">
        <v>0.2469391689742603</v>
      </c>
      <c r="M278" s="3">
        <v>3</v>
      </c>
      <c r="N278" t="s">
        <v>1093</v>
      </c>
      <c r="O278" s="4">
        <v>8.1710394595454441E-2</v>
      </c>
      <c r="P278" t="s">
        <v>1094</v>
      </c>
      <c r="Q278" t="s">
        <v>899</v>
      </c>
      <c r="R278" t="s">
        <v>825</v>
      </c>
    </row>
    <row r="279" spans="1:18" x14ac:dyDescent="0.4">
      <c r="A279" s="2">
        <v>45873</v>
      </c>
      <c r="B279" t="s">
        <v>25</v>
      </c>
      <c r="C279" t="s">
        <v>747</v>
      </c>
      <c r="D279" s="3" t="str">
        <f t="shared" si="8"/>
        <v>PASS</v>
      </c>
      <c r="E279" s="3" t="str">
        <f t="shared" si="9"/>
        <v>PASS</v>
      </c>
      <c r="F279" t="s">
        <v>747</v>
      </c>
      <c r="G279" t="s">
        <v>747</v>
      </c>
      <c r="H279" s="3">
        <v>101647676.73</v>
      </c>
      <c r="I279" s="3">
        <v>97784191.371035025</v>
      </c>
      <c r="J279" s="3">
        <v>6600.56</v>
      </c>
      <c r="K279" s="4">
        <v>5082383.8365000002</v>
      </c>
      <c r="L279" s="4">
        <v>0.23376899495929049</v>
      </c>
      <c r="M279" s="3">
        <v>3</v>
      </c>
      <c r="N279" t="s">
        <v>1095</v>
      </c>
      <c r="O279" s="4">
        <v>6.7286757366844946E-2</v>
      </c>
      <c r="P279" t="s">
        <v>1094</v>
      </c>
      <c r="Q279" t="s">
        <v>867</v>
      </c>
      <c r="R279" t="s">
        <v>1034</v>
      </c>
    </row>
    <row r="280" spans="1:18" x14ac:dyDescent="0.4">
      <c r="A280" s="2">
        <v>45873</v>
      </c>
      <c r="B280" t="s">
        <v>26</v>
      </c>
      <c r="C280" t="s">
        <v>747</v>
      </c>
      <c r="D280" s="3" t="str">
        <f t="shared" si="8"/>
        <v>PASS</v>
      </c>
      <c r="E280" s="3" t="str">
        <f t="shared" si="9"/>
        <v>PASS</v>
      </c>
      <c r="F280" t="s">
        <v>747</v>
      </c>
      <c r="G280" t="s">
        <v>747</v>
      </c>
      <c r="H280" s="3">
        <v>23586731.77</v>
      </c>
      <c r="I280" s="3">
        <v>22760653.792489</v>
      </c>
      <c r="J280" s="3">
        <v>1534.01</v>
      </c>
      <c r="K280" s="4">
        <v>1179336.5885000001</v>
      </c>
      <c r="L280" s="4">
        <v>0.23338187162859469</v>
      </c>
      <c r="M280" s="3">
        <v>3</v>
      </c>
      <c r="N280" t="s">
        <v>1096</v>
      </c>
      <c r="O280" s="4">
        <v>6.1123776983919118E-2</v>
      </c>
      <c r="P280" t="s">
        <v>1094</v>
      </c>
      <c r="Q280" t="s">
        <v>804</v>
      </c>
      <c r="R280" t="s">
        <v>1037</v>
      </c>
    </row>
    <row r="281" spans="1:18" x14ac:dyDescent="0.4">
      <c r="A281" s="2">
        <v>45873</v>
      </c>
      <c r="B281" t="s">
        <v>27</v>
      </c>
      <c r="C281" t="s">
        <v>747</v>
      </c>
      <c r="D281" s="3" t="str">
        <f t="shared" si="8"/>
        <v>PASS</v>
      </c>
      <c r="E281" s="3" t="str">
        <f t="shared" si="9"/>
        <v>PASS</v>
      </c>
      <c r="F281" t="s">
        <v>747</v>
      </c>
      <c r="G281" t="s">
        <v>747</v>
      </c>
      <c r="H281" s="3">
        <v>43209752.149999999</v>
      </c>
      <c r="I281" s="3">
        <v>42109167.790446013</v>
      </c>
      <c r="J281" s="3">
        <v>2620.0500000000002</v>
      </c>
      <c r="K281" s="4">
        <v>2160487.6074999999</v>
      </c>
      <c r="L281" s="4">
        <v>0.25743075810660859</v>
      </c>
      <c r="M281" s="3">
        <v>3</v>
      </c>
      <c r="N281" t="s">
        <v>1097</v>
      </c>
      <c r="O281" s="4">
        <v>0.1113115056469029</v>
      </c>
      <c r="P281" t="s">
        <v>1094</v>
      </c>
      <c r="Q281" t="s">
        <v>904</v>
      </c>
      <c r="R281" t="s">
        <v>988</v>
      </c>
    </row>
    <row r="282" spans="1:18" x14ac:dyDescent="0.4">
      <c r="A282" s="2">
        <v>45873</v>
      </c>
      <c r="B282" t="s">
        <v>28</v>
      </c>
      <c r="C282" t="s">
        <v>747</v>
      </c>
      <c r="D282" s="3" t="str">
        <f t="shared" si="8"/>
        <v>PASS</v>
      </c>
      <c r="E282" s="3" t="str">
        <f t="shared" si="9"/>
        <v>PASS</v>
      </c>
      <c r="F282" t="s">
        <v>747</v>
      </c>
      <c r="G282" t="s">
        <v>747</v>
      </c>
      <c r="H282" s="3">
        <v>15353468.640000001</v>
      </c>
      <c r="I282" s="3">
        <v>15000122.717980999</v>
      </c>
      <c r="J282" s="3">
        <v>973.36</v>
      </c>
      <c r="K282" s="4">
        <v>767673.43200000003</v>
      </c>
      <c r="L282" s="4">
        <v>0.24580848947761841</v>
      </c>
      <c r="M282" s="3">
        <v>3</v>
      </c>
      <c r="N282" t="s">
        <v>1098</v>
      </c>
      <c r="O282" s="4">
        <v>9.6463686005288263E-2</v>
      </c>
      <c r="P282" t="s">
        <v>1094</v>
      </c>
      <c r="Q282" t="s">
        <v>924</v>
      </c>
      <c r="R282" t="s">
        <v>1077</v>
      </c>
    </row>
    <row r="283" spans="1:18" x14ac:dyDescent="0.4">
      <c r="A283" s="2">
        <v>45873</v>
      </c>
      <c r="B283" t="s">
        <v>29</v>
      </c>
      <c r="C283" t="s">
        <v>747</v>
      </c>
      <c r="D283" s="3" t="str">
        <f t="shared" si="8"/>
        <v>PASS</v>
      </c>
      <c r="E283" s="3" t="str">
        <f t="shared" si="9"/>
        <v>PASS</v>
      </c>
      <c r="F283" t="s">
        <v>747</v>
      </c>
      <c r="G283" t="s">
        <v>747</v>
      </c>
      <c r="H283" s="3">
        <v>34524015.630000003</v>
      </c>
      <c r="I283" s="3">
        <v>33904185.320274003</v>
      </c>
      <c r="J283" s="3">
        <v>2302.81</v>
      </c>
      <c r="K283" s="4">
        <v>1726200.7815</v>
      </c>
      <c r="L283" s="4">
        <v>0.22933516889553929</v>
      </c>
      <c r="M283" s="3">
        <v>3</v>
      </c>
      <c r="N283" t="s">
        <v>1099</v>
      </c>
      <c r="O283" s="4">
        <v>4.3453332496188532E-2</v>
      </c>
      <c r="P283" t="s">
        <v>1094</v>
      </c>
      <c r="Q283" t="s">
        <v>1041</v>
      </c>
      <c r="R283" t="s">
        <v>1100</v>
      </c>
    </row>
    <row r="284" spans="1:18" x14ac:dyDescent="0.4">
      <c r="A284" s="2">
        <v>45873</v>
      </c>
      <c r="B284" t="s">
        <v>30</v>
      </c>
      <c r="C284" t="s">
        <v>747</v>
      </c>
      <c r="D284" s="3" t="str">
        <f t="shared" si="8"/>
        <v>PASS</v>
      </c>
      <c r="E284" s="3" t="str">
        <f t="shared" si="9"/>
        <v>PASS</v>
      </c>
      <c r="F284" t="s">
        <v>747</v>
      </c>
      <c r="G284" t="s">
        <v>747</v>
      </c>
      <c r="H284" s="3">
        <v>55474085.130000003</v>
      </c>
      <c r="I284" s="3">
        <v>51642961.564732008</v>
      </c>
      <c r="J284" s="3">
        <v>3568.13</v>
      </c>
      <c r="K284" s="4">
        <v>2773704.2565000001</v>
      </c>
      <c r="L284" s="4">
        <v>0</v>
      </c>
      <c r="M284" s="3">
        <v>0</v>
      </c>
      <c r="N284" t="s">
        <v>23</v>
      </c>
      <c r="O284" s="4">
        <v>3.808042547761796E-2</v>
      </c>
      <c r="P284" t="s">
        <v>1101</v>
      </c>
      <c r="Q284" t="s">
        <v>1102</v>
      </c>
      <c r="R284" t="s">
        <v>1103</v>
      </c>
    </row>
    <row r="285" spans="1:18" x14ac:dyDescent="0.4">
      <c r="A285" s="2">
        <v>45873</v>
      </c>
      <c r="B285" t="s">
        <v>31</v>
      </c>
      <c r="C285" t="s">
        <v>747</v>
      </c>
      <c r="D285" s="3" t="str">
        <f t="shared" si="8"/>
        <v>PASS</v>
      </c>
      <c r="E285" s="3" t="str">
        <f t="shared" si="9"/>
        <v>PASS</v>
      </c>
      <c r="F285" t="s">
        <v>747</v>
      </c>
      <c r="G285" t="s">
        <v>747</v>
      </c>
      <c r="H285" s="3">
        <v>40282826.130000003</v>
      </c>
      <c r="I285" s="3">
        <v>38283889.596495993</v>
      </c>
      <c r="J285" s="3">
        <v>2494.8000000000002</v>
      </c>
      <c r="K285" s="4">
        <v>2014141.3064999999</v>
      </c>
      <c r="L285" s="4">
        <v>0.24523458599118331</v>
      </c>
      <c r="M285" s="3">
        <v>3</v>
      </c>
      <c r="N285" t="s">
        <v>1104</v>
      </c>
      <c r="O285" s="4">
        <v>9.8497116455816033E-2</v>
      </c>
      <c r="P285" t="s">
        <v>1094</v>
      </c>
      <c r="Q285" t="s">
        <v>885</v>
      </c>
      <c r="R285" t="s">
        <v>873</v>
      </c>
    </row>
    <row r="286" spans="1:18" x14ac:dyDescent="0.4">
      <c r="A286" s="2">
        <v>45873</v>
      </c>
      <c r="B286" t="s">
        <v>32</v>
      </c>
      <c r="C286" t="s">
        <v>747</v>
      </c>
      <c r="D286" s="3" t="str">
        <f t="shared" si="8"/>
        <v>PASS</v>
      </c>
      <c r="E286" s="3" t="str">
        <f t="shared" si="9"/>
        <v>PASS</v>
      </c>
      <c r="F286" t="s">
        <v>747</v>
      </c>
      <c r="G286" t="s">
        <v>747</v>
      </c>
      <c r="H286" s="3">
        <v>78432478.260000005</v>
      </c>
      <c r="I286" s="3">
        <v>76229581.157913998</v>
      </c>
      <c r="J286" s="3">
        <v>5017.97</v>
      </c>
      <c r="K286" s="4">
        <v>3921623.9130000011</v>
      </c>
      <c r="L286" s="4">
        <v>0.24001933144888299</v>
      </c>
      <c r="M286" s="3">
        <v>3</v>
      </c>
      <c r="N286" t="s">
        <v>1105</v>
      </c>
      <c r="O286" s="4">
        <v>7.7053909451643018E-2</v>
      </c>
      <c r="P286" t="s">
        <v>1094</v>
      </c>
      <c r="Q286" t="s">
        <v>783</v>
      </c>
      <c r="R286" t="s">
        <v>1041</v>
      </c>
    </row>
    <row r="287" spans="1:18" x14ac:dyDescent="0.4">
      <c r="A287" s="2">
        <v>45873</v>
      </c>
      <c r="B287" t="s">
        <v>33</v>
      </c>
      <c r="C287" t="s">
        <v>746</v>
      </c>
      <c r="D287" s="3" t="e">
        <f t="shared" si="8"/>
        <v>#DIV/0!</v>
      </c>
      <c r="E287" s="3" t="str">
        <f t="shared" si="9"/>
        <v>PASS</v>
      </c>
      <c r="F287" t="s">
        <v>746</v>
      </c>
      <c r="G287" t="s">
        <v>747</v>
      </c>
      <c r="H287" s="3">
        <v>0</v>
      </c>
      <c r="I287" s="3">
        <v>0</v>
      </c>
      <c r="J287" s="3">
        <v>0</v>
      </c>
      <c r="K287" s="4">
        <v>0</v>
      </c>
      <c r="L287" s="4">
        <v>0</v>
      </c>
      <c r="M287" s="3">
        <v>0</v>
      </c>
      <c r="N287" t="s">
        <v>23</v>
      </c>
      <c r="O287" s="4">
        <v>0</v>
      </c>
      <c r="P287" t="s">
        <v>23</v>
      </c>
      <c r="Q287" t="s">
        <v>748</v>
      </c>
      <c r="R287" t="s">
        <v>748</v>
      </c>
    </row>
    <row r="288" spans="1:18" x14ac:dyDescent="0.4">
      <c r="A288" s="2">
        <v>45874</v>
      </c>
      <c r="B288" t="s">
        <v>21</v>
      </c>
      <c r="C288" t="s">
        <v>746</v>
      </c>
      <c r="D288" s="3" t="e">
        <f t="shared" si="8"/>
        <v>#DIV/0!</v>
      </c>
      <c r="E288" s="3" t="str">
        <f t="shared" si="9"/>
        <v>PASS</v>
      </c>
      <c r="F288" t="s">
        <v>746</v>
      </c>
      <c r="G288" t="s">
        <v>747</v>
      </c>
      <c r="H288" s="3">
        <v>0</v>
      </c>
      <c r="I288" s="3">
        <v>0</v>
      </c>
      <c r="J288" s="3">
        <v>0</v>
      </c>
      <c r="K288" s="4">
        <v>0</v>
      </c>
      <c r="L288" s="4">
        <v>0</v>
      </c>
      <c r="M288" s="3">
        <v>0</v>
      </c>
      <c r="N288" t="s">
        <v>23</v>
      </c>
      <c r="O288" s="4">
        <v>0</v>
      </c>
      <c r="P288" t="s">
        <v>23</v>
      </c>
      <c r="Q288" t="s">
        <v>748</v>
      </c>
      <c r="R288" t="s">
        <v>748</v>
      </c>
    </row>
    <row r="289" spans="1:18" x14ac:dyDescent="0.4">
      <c r="A289" s="2">
        <v>45874</v>
      </c>
      <c r="B289" t="s">
        <v>24</v>
      </c>
      <c r="C289" t="s">
        <v>747</v>
      </c>
      <c r="D289" s="3" t="str">
        <f t="shared" si="8"/>
        <v>PASS</v>
      </c>
      <c r="E289" s="3" t="str">
        <f t="shared" si="9"/>
        <v>PASS</v>
      </c>
      <c r="F289" t="s">
        <v>747</v>
      </c>
      <c r="G289" t="s">
        <v>747</v>
      </c>
      <c r="H289" s="3">
        <v>135804460.88</v>
      </c>
      <c r="I289" s="3">
        <v>133337859.834141</v>
      </c>
      <c r="J289" s="3">
        <v>8611.7000000000007</v>
      </c>
      <c r="K289" s="4">
        <v>6790223.0439999998</v>
      </c>
      <c r="L289" s="4">
        <v>0.24699475263646839</v>
      </c>
      <c r="M289" s="3">
        <v>3</v>
      </c>
      <c r="N289" t="s">
        <v>1106</v>
      </c>
      <c r="O289" s="4">
        <v>8.1721353571349645E-2</v>
      </c>
      <c r="P289" t="s">
        <v>1107</v>
      </c>
      <c r="Q289" t="s">
        <v>941</v>
      </c>
      <c r="R289" t="s">
        <v>825</v>
      </c>
    </row>
    <row r="290" spans="1:18" x14ac:dyDescent="0.4">
      <c r="A290" s="2">
        <v>45874</v>
      </c>
      <c r="B290" t="s">
        <v>25</v>
      </c>
      <c r="C290" t="s">
        <v>747</v>
      </c>
      <c r="D290" s="3" t="str">
        <f t="shared" si="8"/>
        <v>PASS</v>
      </c>
      <c r="E290" s="3" t="str">
        <f t="shared" si="9"/>
        <v>PASS</v>
      </c>
      <c r="F290" t="s">
        <v>747</v>
      </c>
      <c r="G290" t="s">
        <v>747</v>
      </c>
      <c r="H290" s="3">
        <v>101514286.91</v>
      </c>
      <c r="I290" s="3">
        <v>97844109.206092998</v>
      </c>
      <c r="J290" s="3">
        <v>6638.77</v>
      </c>
      <c r="K290" s="4">
        <v>5075714.3454999998</v>
      </c>
      <c r="L290" s="4">
        <v>0.23367735575701379</v>
      </c>
      <c r="M290" s="3">
        <v>3</v>
      </c>
      <c r="N290" t="s">
        <v>1108</v>
      </c>
      <c r="O290" s="4">
        <v>6.7367986263412533E-2</v>
      </c>
      <c r="P290" t="s">
        <v>1107</v>
      </c>
      <c r="Q290" t="s">
        <v>867</v>
      </c>
      <c r="R290" t="s">
        <v>1063</v>
      </c>
    </row>
    <row r="291" spans="1:18" x14ac:dyDescent="0.4">
      <c r="A291" s="2">
        <v>45874</v>
      </c>
      <c r="B291" t="s">
        <v>26</v>
      </c>
      <c r="C291" t="s">
        <v>747</v>
      </c>
      <c r="D291" s="3" t="str">
        <f t="shared" si="8"/>
        <v>PASS</v>
      </c>
      <c r="E291" s="3" t="str">
        <f t="shared" si="9"/>
        <v>PASS</v>
      </c>
      <c r="F291" t="s">
        <v>747</v>
      </c>
      <c r="G291" t="s">
        <v>747</v>
      </c>
      <c r="H291" s="3">
        <v>23549999.82</v>
      </c>
      <c r="I291" s="3">
        <v>22777288.75758899</v>
      </c>
      <c r="J291" s="3">
        <v>1544.29</v>
      </c>
      <c r="K291" s="4">
        <v>1177499.9909999999</v>
      </c>
      <c r="L291" s="4">
        <v>0.2333662115385195</v>
      </c>
      <c r="M291" s="3">
        <v>3</v>
      </c>
      <c r="N291" t="s">
        <v>1109</v>
      </c>
      <c r="O291" s="4">
        <v>6.1321272553156211E-2</v>
      </c>
      <c r="P291" t="s">
        <v>1107</v>
      </c>
      <c r="Q291" t="s">
        <v>867</v>
      </c>
      <c r="R291" t="s">
        <v>1110</v>
      </c>
    </row>
    <row r="292" spans="1:18" x14ac:dyDescent="0.4">
      <c r="A292" s="2">
        <v>45874</v>
      </c>
      <c r="B292" t="s">
        <v>27</v>
      </c>
      <c r="C292" t="s">
        <v>747</v>
      </c>
      <c r="D292" s="3" t="str">
        <f t="shared" si="8"/>
        <v>PASS</v>
      </c>
      <c r="E292" s="3" t="str">
        <f t="shared" si="9"/>
        <v>PASS</v>
      </c>
      <c r="F292" t="s">
        <v>747</v>
      </c>
      <c r="G292" t="s">
        <v>747</v>
      </c>
      <c r="H292" s="3">
        <v>43121992.310000002</v>
      </c>
      <c r="I292" s="3">
        <v>42124246.464184001</v>
      </c>
      <c r="J292" s="3">
        <v>2642.63</v>
      </c>
      <c r="K292" s="4">
        <v>2156099.6154999998</v>
      </c>
      <c r="L292" s="4">
        <v>0.25766834703308772</v>
      </c>
      <c r="M292" s="3">
        <v>3</v>
      </c>
      <c r="N292" t="s">
        <v>1111</v>
      </c>
      <c r="O292" s="4">
        <v>0.1113105370845979</v>
      </c>
      <c r="P292" t="s">
        <v>1107</v>
      </c>
      <c r="Q292" t="s">
        <v>815</v>
      </c>
      <c r="R292" t="s">
        <v>1112</v>
      </c>
    </row>
    <row r="293" spans="1:18" x14ac:dyDescent="0.4">
      <c r="A293" s="2">
        <v>45874</v>
      </c>
      <c r="B293" t="s">
        <v>28</v>
      </c>
      <c r="C293" t="s">
        <v>747</v>
      </c>
      <c r="D293" s="3" t="str">
        <f t="shared" si="8"/>
        <v>PASS</v>
      </c>
      <c r="E293" s="3" t="str">
        <f t="shared" si="9"/>
        <v>PASS</v>
      </c>
      <c r="F293" t="s">
        <v>747</v>
      </c>
      <c r="G293" t="s">
        <v>747</v>
      </c>
      <c r="H293" s="3">
        <v>15324734.970000001</v>
      </c>
      <c r="I293" s="3">
        <v>15007990.616339</v>
      </c>
      <c r="J293" s="3">
        <v>980.36</v>
      </c>
      <c r="K293" s="4">
        <v>766236.7485000001</v>
      </c>
      <c r="L293" s="4">
        <v>0.24596158302605509</v>
      </c>
      <c r="M293" s="3">
        <v>3</v>
      </c>
      <c r="N293" t="s">
        <v>1113</v>
      </c>
      <c r="O293" s="4">
        <v>9.6570405898445344E-2</v>
      </c>
      <c r="P293" t="s">
        <v>1107</v>
      </c>
      <c r="Q293" t="s">
        <v>833</v>
      </c>
      <c r="R293" t="s">
        <v>1077</v>
      </c>
    </row>
    <row r="294" spans="1:18" x14ac:dyDescent="0.4">
      <c r="A294" s="2">
        <v>45874</v>
      </c>
      <c r="B294" t="s">
        <v>29</v>
      </c>
      <c r="C294" t="s">
        <v>747</v>
      </c>
      <c r="D294" s="3" t="str">
        <f t="shared" si="8"/>
        <v>PASS</v>
      </c>
      <c r="E294" s="3" t="str">
        <f t="shared" si="9"/>
        <v>PASS</v>
      </c>
      <c r="F294" t="s">
        <v>747</v>
      </c>
      <c r="G294" t="s">
        <v>747</v>
      </c>
      <c r="H294" s="3">
        <v>34454079.609999999</v>
      </c>
      <c r="I294" s="3">
        <v>33929393.176885992</v>
      </c>
      <c r="J294" s="3">
        <v>2321.8200000000002</v>
      </c>
      <c r="K294" s="4">
        <v>1722703.9805000001</v>
      </c>
      <c r="L294" s="4">
        <v>0.22935762167631171</v>
      </c>
      <c r="M294" s="3">
        <v>3</v>
      </c>
      <c r="N294" t="s">
        <v>1114</v>
      </c>
      <c r="O294" s="4">
        <v>4.3645912876150113E-2</v>
      </c>
      <c r="P294" t="s">
        <v>1107</v>
      </c>
      <c r="Q294" t="s">
        <v>1034</v>
      </c>
      <c r="R294" t="s">
        <v>1115</v>
      </c>
    </row>
    <row r="295" spans="1:18" x14ac:dyDescent="0.4">
      <c r="A295" s="2">
        <v>45874</v>
      </c>
      <c r="B295" t="s">
        <v>30</v>
      </c>
      <c r="C295" t="s">
        <v>747</v>
      </c>
      <c r="D295" s="3" t="str">
        <f t="shared" si="8"/>
        <v>PASS</v>
      </c>
      <c r="E295" s="3" t="str">
        <f t="shared" si="9"/>
        <v>PASS</v>
      </c>
      <c r="F295" t="s">
        <v>747</v>
      </c>
      <c r="G295" t="s">
        <v>747</v>
      </c>
      <c r="H295" s="3">
        <v>54851621.439999998</v>
      </c>
      <c r="I295" s="3">
        <v>51701569.015887</v>
      </c>
      <c r="J295" s="3">
        <v>3595.75</v>
      </c>
      <c r="K295" s="4">
        <v>2742581.0720000002</v>
      </c>
      <c r="L295" s="4">
        <v>0</v>
      </c>
      <c r="M295" s="3">
        <v>0</v>
      </c>
      <c r="N295" t="s">
        <v>23</v>
      </c>
      <c r="O295" s="4">
        <v>3.8779817625150599E-2</v>
      </c>
      <c r="P295" t="s">
        <v>1116</v>
      </c>
      <c r="Q295" t="s">
        <v>1117</v>
      </c>
      <c r="R295" t="s">
        <v>1103</v>
      </c>
    </row>
    <row r="296" spans="1:18" x14ac:dyDescent="0.4">
      <c r="A296" s="2">
        <v>45874</v>
      </c>
      <c r="B296" t="s">
        <v>31</v>
      </c>
      <c r="C296" t="s">
        <v>747</v>
      </c>
      <c r="D296" s="3" t="str">
        <f t="shared" si="8"/>
        <v>PASS</v>
      </c>
      <c r="E296" s="3" t="str">
        <f t="shared" si="9"/>
        <v>PASS</v>
      </c>
      <c r="F296" t="s">
        <v>747</v>
      </c>
      <c r="G296" t="s">
        <v>747</v>
      </c>
      <c r="H296" s="3">
        <v>40215570.5</v>
      </c>
      <c r="I296" s="3">
        <v>38305828.631768987</v>
      </c>
      <c r="J296" s="3">
        <v>2511.84</v>
      </c>
      <c r="K296" s="4">
        <v>2010778.5249999999</v>
      </c>
      <c r="L296" s="4">
        <v>0.24537724171208081</v>
      </c>
      <c r="M296" s="3">
        <v>3</v>
      </c>
      <c r="N296" t="s">
        <v>1118</v>
      </c>
      <c r="O296" s="4">
        <v>9.8638825520801707E-2</v>
      </c>
      <c r="P296" t="s">
        <v>1107</v>
      </c>
      <c r="Q296" t="s">
        <v>842</v>
      </c>
      <c r="R296" t="s">
        <v>1077</v>
      </c>
    </row>
    <row r="297" spans="1:18" x14ac:dyDescent="0.4">
      <c r="A297" s="2">
        <v>45874</v>
      </c>
      <c r="B297" t="s">
        <v>32</v>
      </c>
      <c r="C297" t="s">
        <v>747</v>
      </c>
      <c r="D297" s="3" t="str">
        <f t="shared" si="8"/>
        <v>PASS</v>
      </c>
      <c r="E297" s="3" t="str">
        <f t="shared" si="9"/>
        <v>PASS</v>
      </c>
      <c r="F297" t="s">
        <v>747</v>
      </c>
      <c r="G297" t="s">
        <v>747</v>
      </c>
      <c r="H297" s="3">
        <v>78279887.719999999</v>
      </c>
      <c r="I297" s="3">
        <v>76272227.883777991</v>
      </c>
      <c r="J297" s="3">
        <v>5058.8100000000004</v>
      </c>
      <c r="K297" s="4">
        <v>3913994.3859999999</v>
      </c>
      <c r="L297" s="4">
        <v>0.24011955920087419</v>
      </c>
      <c r="M297" s="3">
        <v>3</v>
      </c>
      <c r="N297" t="s">
        <v>1119</v>
      </c>
      <c r="O297" s="4">
        <v>7.7150648393622914E-2</v>
      </c>
      <c r="P297" t="s">
        <v>1107</v>
      </c>
      <c r="Q297" t="s">
        <v>783</v>
      </c>
      <c r="R297" t="s">
        <v>1034</v>
      </c>
    </row>
    <row r="298" spans="1:18" x14ac:dyDescent="0.4">
      <c r="A298" s="2">
        <v>45874</v>
      </c>
      <c r="B298" t="s">
        <v>33</v>
      </c>
      <c r="C298" t="s">
        <v>746</v>
      </c>
      <c r="D298" s="3" t="e">
        <f t="shared" si="8"/>
        <v>#DIV/0!</v>
      </c>
      <c r="E298" s="3" t="str">
        <f t="shared" si="9"/>
        <v>PASS</v>
      </c>
      <c r="F298" t="s">
        <v>746</v>
      </c>
      <c r="G298" t="s">
        <v>747</v>
      </c>
      <c r="H298" s="3">
        <v>0</v>
      </c>
      <c r="I298" s="3">
        <v>0</v>
      </c>
      <c r="J298" s="3">
        <v>0</v>
      </c>
      <c r="K298" s="4">
        <v>0</v>
      </c>
      <c r="L298" s="4">
        <v>0</v>
      </c>
      <c r="M298" s="3">
        <v>0</v>
      </c>
      <c r="N298" t="s">
        <v>23</v>
      </c>
      <c r="O298" s="4">
        <v>0</v>
      </c>
      <c r="P298" t="s">
        <v>23</v>
      </c>
      <c r="Q298" t="s">
        <v>748</v>
      </c>
      <c r="R298" t="s">
        <v>748</v>
      </c>
    </row>
    <row r="299" spans="1:18" x14ac:dyDescent="0.4">
      <c r="A299" s="2">
        <v>45875</v>
      </c>
      <c r="B299" t="s">
        <v>21</v>
      </c>
      <c r="C299" t="s">
        <v>746</v>
      </c>
      <c r="D299" s="3" t="e">
        <f t="shared" si="8"/>
        <v>#DIV/0!</v>
      </c>
      <c r="E299" s="3" t="str">
        <f t="shared" si="9"/>
        <v>PASS</v>
      </c>
      <c r="F299" t="s">
        <v>746</v>
      </c>
      <c r="G299" t="s">
        <v>747</v>
      </c>
      <c r="H299" s="3">
        <v>0</v>
      </c>
      <c r="I299" s="3">
        <v>0</v>
      </c>
      <c r="J299" s="3">
        <v>0</v>
      </c>
      <c r="K299" s="4">
        <v>0</v>
      </c>
      <c r="L299" s="4">
        <v>0</v>
      </c>
      <c r="M299" s="3">
        <v>0</v>
      </c>
      <c r="N299" t="s">
        <v>23</v>
      </c>
      <c r="O299" s="4">
        <v>0</v>
      </c>
      <c r="P299" t="s">
        <v>23</v>
      </c>
      <c r="Q299" t="s">
        <v>748</v>
      </c>
      <c r="R299" t="s">
        <v>748</v>
      </c>
    </row>
    <row r="300" spans="1:18" x14ac:dyDescent="0.4">
      <c r="A300" s="2">
        <v>45875</v>
      </c>
      <c r="B300" t="s">
        <v>24</v>
      </c>
      <c r="C300" t="s">
        <v>747</v>
      </c>
      <c r="D300" s="3" t="str">
        <f t="shared" si="8"/>
        <v>PASS</v>
      </c>
      <c r="E300" s="3" t="str">
        <f t="shared" si="9"/>
        <v>PASS</v>
      </c>
      <c r="F300" t="s">
        <v>747</v>
      </c>
      <c r="G300" t="s">
        <v>747</v>
      </c>
      <c r="H300" s="3">
        <v>136528632.44999999</v>
      </c>
      <c r="I300" s="3">
        <v>134702810.53261</v>
      </c>
      <c r="J300" s="3">
        <v>8593.43</v>
      </c>
      <c r="K300" s="4">
        <v>6826431.6224999996</v>
      </c>
      <c r="L300" s="4">
        <v>0.24873665220305999</v>
      </c>
      <c r="M300" s="3">
        <v>3</v>
      </c>
      <c r="N300" t="s">
        <v>1120</v>
      </c>
      <c r="O300" s="4">
        <v>8.1633723436669484E-2</v>
      </c>
      <c r="P300" t="s">
        <v>1121</v>
      </c>
      <c r="Q300" t="s">
        <v>989</v>
      </c>
      <c r="R300" t="s">
        <v>941</v>
      </c>
    </row>
    <row r="301" spans="1:18" x14ac:dyDescent="0.4">
      <c r="A301" s="2">
        <v>45875</v>
      </c>
      <c r="B301" t="s">
        <v>25</v>
      </c>
      <c r="C301" t="s">
        <v>747</v>
      </c>
      <c r="D301" s="3" t="str">
        <f t="shared" si="8"/>
        <v>PASS</v>
      </c>
      <c r="E301" s="3" t="str">
        <f t="shared" si="9"/>
        <v>PASS</v>
      </c>
      <c r="F301" t="s">
        <v>747</v>
      </c>
      <c r="G301" t="s">
        <v>747</v>
      </c>
      <c r="H301" s="3">
        <v>101967636.5</v>
      </c>
      <c r="I301" s="3">
        <v>98722957.425895005</v>
      </c>
      <c r="J301" s="3">
        <v>6628.61</v>
      </c>
      <c r="K301" s="4">
        <v>5098381.8250000002</v>
      </c>
      <c r="L301" s="4">
        <v>0.23523601459184629</v>
      </c>
      <c r="M301" s="3">
        <v>3</v>
      </c>
      <c r="N301" t="s">
        <v>1122</v>
      </c>
      <c r="O301" s="4">
        <v>6.6122567976703073E-2</v>
      </c>
      <c r="P301" t="s">
        <v>1121</v>
      </c>
      <c r="Q301" t="s">
        <v>1123</v>
      </c>
      <c r="R301" t="s">
        <v>1053</v>
      </c>
    </row>
    <row r="302" spans="1:18" x14ac:dyDescent="0.4">
      <c r="A302" s="2">
        <v>45875</v>
      </c>
      <c r="B302" t="s">
        <v>26</v>
      </c>
      <c r="C302" t="s">
        <v>747</v>
      </c>
      <c r="D302" s="3" t="str">
        <f t="shared" si="8"/>
        <v>PASS</v>
      </c>
      <c r="E302" s="3" t="str">
        <f t="shared" si="9"/>
        <v>PASS</v>
      </c>
      <c r="F302" t="s">
        <v>747</v>
      </c>
      <c r="G302" t="s">
        <v>747</v>
      </c>
      <c r="H302" s="3">
        <v>23661074.609999999</v>
      </c>
      <c r="I302" s="3">
        <v>22994895.797915</v>
      </c>
      <c r="J302" s="3">
        <v>1541.51</v>
      </c>
      <c r="K302" s="4">
        <v>1183053.7305000001</v>
      </c>
      <c r="L302" s="4">
        <v>0.23502622977430629</v>
      </c>
      <c r="M302" s="3">
        <v>3</v>
      </c>
      <c r="N302" t="s">
        <v>1124</v>
      </c>
      <c r="O302" s="4">
        <v>6.0533813088508748E-2</v>
      </c>
      <c r="P302" t="s">
        <v>1121</v>
      </c>
      <c r="Q302" t="s">
        <v>1123</v>
      </c>
      <c r="R302" t="s">
        <v>1063</v>
      </c>
    </row>
    <row r="303" spans="1:18" x14ac:dyDescent="0.4">
      <c r="A303" s="2">
        <v>45875</v>
      </c>
      <c r="B303" t="s">
        <v>27</v>
      </c>
      <c r="C303" t="s">
        <v>747</v>
      </c>
      <c r="D303" s="3" t="str">
        <f t="shared" si="8"/>
        <v>PASS</v>
      </c>
      <c r="E303" s="3" t="str">
        <f t="shared" si="9"/>
        <v>PASS</v>
      </c>
      <c r="F303" t="s">
        <v>747</v>
      </c>
      <c r="G303" t="s">
        <v>747</v>
      </c>
      <c r="H303" s="3">
        <v>43353866.039999999</v>
      </c>
      <c r="I303" s="3">
        <v>42528700.005539998</v>
      </c>
      <c r="J303" s="3">
        <v>2636.06</v>
      </c>
      <c r="K303" s="4">
        <v>2167693.3020000001</v>
      </c>
      <c r="L303" s="4">
        <v>0.2591577393296049</v>
      </c>
      <c r="M303" s="3">
        <v>3</v>
      </c>
      <c r="N303" t="s">
        <v>1125</v>
      </c>
      <c r="O303" s="4">
        <v>0.1112727734843552</v>
      </c>
      <c r="P303" t="s">
        <v>1121</v>
      </c>
      <c r="Q303" t="s">
        <v>1003</v>
      </c>
      <c r="R303" t="s">
        <v>1126</v>
      </c>
    </row>
    <row r="304" spans="1:18" x14ac:dyDescent="0.4">
      <c r="A304" s="2">
        <v>45875</v>
      </c>
      <c r="B304" t="s">
        <v>28</v>
      </c>
      <c r="C304" t="s">
        <v>747</v>
      </c>
      <c r="D304" s="3" t="str">
        <f t="shared" si="8"/>
        <v>PASS</v>
      </c>
      <c r="E304" s="3" t="str">
        <f t="shared" si="9"/>
        <v>PASS</v>
      </c>
      <c r="F304" t="s">
        <v>747</v>
      </c>
      <c r="G304" t="s">
        <v>747</v>
      </c>
      <c r="H304" s="3">
        <v>15402911.49</v>
      </c>
      <c r="I304" s="3">
        <v>15146464.381415</v>
      </c>
      <c r="J304" s="3">
        <v>978.2</v>
      </c>
      <c r="K304" s="4">
        <v>770145.5745000001</v>
      </c>
      <c r="L304" s="4">
        <v>0.2474267006150998</v>
      </c>
      <c r="M304" s="3">
        <v>3</v>
      </c>
      <c r="N304" t="s">
        <v>1127</v>
      </c>
      <c r="O304" s="4">
        <v>9.6094147679543662E-2</v>
      </c>
      <c r="P304" t="s">
        <v>1121</v>
      </c>
      <c r="Q304" t="s">
        <v>1128</v>
      </c>
      <c r="R304" t="s">
        <v>833</v>
      </c>
    </row>
    <row r="305" spans="1:18" x14ac:dyDescent="0.4">
      <c r="A305" s="2">
        <v>45875</v>
      </c>
      <c r="B305" t="s">
        <v>29</v>
      </c>
      <c r="C305" t="s">
        <v>747</v>
      </c>
      <c r="D305" s="3" t="str">
        <f t="shared" si="8"/>
        <v>PASS</v>
      </c>
      <c r="E305" s="3" t="str">
        <f t="shared" si="9"/>
        <v>PASS</v>
      </c>
      <c r="F305" t="s">
        <v>747</v>
      </c>
      <c r="G305" t="s">
        <v>747</v>
      </c>
      <c r="H305" s="3">
        <v>34646834.020000003</v>
      </c>
      <c r="I305" s="3">
        <v>34267483.98838</v>
      </c>
      <c r="J305" s="3">
        <v>2316.5700000000002</v>
      </c>
      <c r="K305" s="4">
        <v>1732341.7009999999</v>
      </c>
      <c r="L305" s="4">
        <v>0.23103146220977999</v>
      </c>
      <c r="M305" s="3">
        <v>3</v>
      </c>
      <c r="N305" t="s">
        <v>1129</v>
      </c>
      <c r="O305" s="4">
        <v>4.3176318434073178E-2</v>
      </c>
      <c r="P305" t="s">
        <v>1121</v>
      </c>
      <c r="Q305" t="s">
        <v>1130</v>
      </c>
      <c r="R305" t="s">
        <v>954</v>
      </c>
    </row>
    <row r="306" spans="1:18" x14ac:dyDescent="0.4">
      <c r="A306" s="2">
        <v>45875</v>
      </c>
      <c r="B306" t="s">
        <v>30</v>
      </c>
      <c r="C306" t="s">
        <v>747</v>
      </c>
      <c r="D306" s="3" t="str">
        <f t="shared" si="8"/>
        <v>PASS</v>
      </c>
      <c r="E306" s="3" t="str">
        <f t="shared" si="9"/>
        <v>PASS</v>
      </c>
      <c r="F306" t="s">
        <v>747</v>
      </c>
      <c r="G306" t="s">
        <v>747</v>
      </c>
      <c r="H306" s="3">
        <v>54857099.450000003</v>
      </c>
      <c r="I306" s="3">
        <v>51979338.095852003</v>
      </c>
      <c r="J306" s="3">
        <v>3596.59</v>
      </c>
      <c r="K306" s="4">
        <v>2742854.9725000001</v>
      </c>
      <c r="L306" s="4">
        <v>0</v>
      </c>
      <c r="M306" s="3">
        <v>0</v>
      </c>
      <c r="N306" t="s">
        <v>23</v>
      </c>
      <c r="O306" s="4">
        <v>3.8169211585101413E-2</v>
      </c>
      <c r="P306" t="s">
        <v>1131</v>
      </c>
      <c r="Q306" t="s">
        <v>1132</v>
      </c>
      <c r="R306" t="s">
        <v>1133</v>
      </c>
    </row>
    <row r="307" spans="1:18" x14ac:dyDescent="0.4">
      <c r="A307" s="2">
        <v>45875</v>
      </c>
      <c r="B307" t="s">
        <v>31</v>
      </c>
      <c r="C307" t="s">
        <v>747</v>
      </c>
      <c r="D307" s="3" t="str">
        <f t="shared" si="8"/>
        <v>PASS</v>
      </c>
      <c r="E307" s="3" t="str">
        <f t="shared" si="9"/>
        <v>PASS</v>
      </c>
      <c r="F307" t="s">
        <v>747</v>
      </c>
      <c r="G307" t="s">
        <v>747</v>
      </c>
      <c r="H307" s="3">
        <v>40406391.140000001</v>
      </c>
      <c r="I307" s="3">
        <v>38638537.135640003</v>
      </c>
      <c r="J307" s="3">
        <v>2506.77</v>
      </c>
      <c r="K307" s="4">
        <v>2020319.557</v>
      </c>
      <c r="L307" s="4">
        <v>0.24673795124926559</v>
      </c>
      <c r="M307" s="3">
        <v>3</v>
      </c>
      <c r="N307" t="s">
        <v>1134</v>
      </c>
      <c r="O307" s="4">
        <v>9.7825642283776576E-2</v>
      </c>
      <c r="P307" t="s">
        <v>1121</v>
      </c>
      <c r="Q307" t="s">
        <v>833</v>
      </c>
      <c r="R307" t="s">
        <v>924</v>
      </c>
    </row>
    <row r="308" spans="1:18" x14ac:dyDescent="0.4">
      <c r="A308" s="2">
        <v>45875</v>
      </c>
      <c r="B308" t="s">
        <v>32</v>
      </c>
      <c r="C308" t="s">
        <v>747</v>
      </c>
      <c r="D308" s="3" t="str">
        <f t="shared" si="8"/>
        <v>PASS</v>
      </c>
      <c r="E308" s="3" t="str">
        <f t="shared" si="9"/>
        <v>PASS</v>
      </c>
      <c r="F308" t="s">
        <v>747</v>
      </c>
      <c r="G308" t="s">
        <v>747</v>
      </c>
      <c r="H308" s="3">
        <v>78713311.599999994</v>
      </c>
      <c r="I308" s="3">
        <v>76990832.697170004</v>
      </c>
      <c r="J308" s="3">
        <v>5047.3599999999997</v>
      </c>
      <c r="K308" s="4">
        <v>3935665.58</v>
      </c>
      <c r="L308" s="4">
        <v>0.2415891113439986</v>
      </c>
      <c r="M308" s="3">
        <v>3</v>
      </c>
      <c r="N308" t="s">
        <v>1135</v>
      </c>
      <c r="O308" s="4">
        <v>7.6795295411888148E-2</v>
      </c>
      <c r="P308" t="s">
        <v>1121</v>
      </c>
      <c r="Q308" t="s">
        <v>912</v>
      </c>
      <c r="R308" t="s">
        <v>954</v>
      </c>
    </row>
    <row r="309" spans="1:18" x14ac:dyDescent="0.4">
      <c r="A309" s="2">
        <v>45875</v>
      </c>
      <c r="B309" t="s">
        <v>33</v>
      </c>
      <c r="C309" t="s">
        <v>746</v>
      </c>
      <c r="D309" s="3" t="e">
        <f t="shared" si="8"/>
        <v>#DIV/0!</v>
      </c>
      <c r="E309" s="3" t="str">
        <f t="shared" si="9"/>
        <v>PASS</v>
      </c>
      <c r="F309" t="s">
        <v>746</v>
      </c>
      <c r="G309" t="s">
        <v>747</v>
      </c>
      <c r="H309" s="3">
        <v>0</v>
      </c>
      <c r="I309" s="3">
        <v>0</v>
      </c>
      <c r="J309" s="3">
        <v>0</v>
      </c>
      <c r="K309" s="4">
        <v>0</v>
      </c>
      <c r="L309" s="4">
        <v>0</v>
      </c>
      <c r="M309" s="3">
        <v>0</v>
      </c>
      <c r="N309" t="s">
        <v>23</v>
      </c>
      <c r="O309" s="4">
        <v>0</v>
      </c>
      <c r="P309" t="s">
        <v>23</v>
      </c>
      <c r="Q309" t="s">
        <v>748</v>
      </c>
      <c r="R309" t="s">
        <v>748</v>
      </c>
    </row>
    <row r="310" spans="1:18" x14ac:dyDescent="0.4">
      <c r="A310" s="2">
        <v>45876</v>
      </c>
      <c r="B310" t="s">
        <v>21</v>
      </c>
      <c r="C310" t="s">
        <v>747</v>
      </c>
      <c r="D310" s="3" t="str">
        <f t="shared" si="8"/>
        <v>PASS</v>
      </c>
      <c r="E310" s="3" t="str">
        <f t="shared" si="9"/>
        <v>PASS</v>
      </c>
      <c r="F310" t="s">
        <v>747</v>
      </c>
      <c r="G310" t="s">
        <v>747</v>
      </c>
      <c r="H310" s="3">
        <v>24463920.07</v>
      </c>
      <c r="I310" s="3">
        <v>23299716.38468799</v>
      </c>
      <c r="J310" s="3">
        <v>1489.69</v>
      </c>
      <c r="K310" s="4">
        <v>1223196.0035000001</v>
      </c>
      <c r="L310" s="4">
        <v>0.25603563005059748</v>
      </c>
      <c r="M310" s="3">
        <v>3</v>
      </c>
      <c r="N310" t="s">
        <v>1136</v>
      </c>
      <c r="O310" s="4">
        <v>0.1138416033374491</v>
      </c>
      <c r="P310" t="s">
        <v>1137</v>
      </c>
      <c r="Q310" t="s">
        <v>1070</v>
      </c>
      <c r="R310" t="s">
        <v>941</v>
      </c>
    </row>
    <row r="311" spans="1:18" x14ac:dyDescent="0.4">
      <c r="A311" s="2">
        <v>45876</v>
      </c>
      <c r="B311" t="s">
        <v>24</v>
      </c>
      <c r="C311" t="s">
        <v>747</v>
      </c>
      <c r="D311" s="3" t="str">
        <f t="shared" si="8"/>
        <v>PASS</v>
      </c>
      <c r="E311" s="3" t="str">
        <f t="shared" si="9"/>
        <v>PASS</v>
      </c>
      <c r="F311" t="s">
        <v>747</v>
      </c>
      <c r="G311" t="s">
        <v>747</v>
      </c>
      <c r="H311" s="3">
        <v>136414495.44999999</v>
      </c>
      <c r="I311" s="3">
        <v>134668589.44933599</v>
      </c>
      <c r="J311" s="3">
        <v>8645.3799999999992</v>
      </c>
      <c r="K311" s="4">
        <v>6820724.7725</v>
      </c>
      <c r="L311" s="4">
        <v>0.25132093645582848</v>
      </c>
      <c r="M311" s="3">
        <v>3</v>
      </c>
      <c r="N311" t="s">
        <v>1138</v>
      </c>
      <c r="O311" s="4">
        <v>8.2054916982328668E-2</v>
      </c>
      <c r="P311" t="s">
        <v>1137</v>
      </c>
      <c r="Q311" t="s">
        <v>816</v>
      </c>
      <c r="R311" t="s">
        <v>833</v>
      </c>
    </row>
    <row r="312" spans="1:18" x14ac:dyDescent="0.4">
      <c r="A312" s="2">
        <v>45876</v>
      </c>
      <c r="B312" t="s">
        <v>25</v>
      </c>
      <c r="C312" t="s">
        <v>747</v>
      </c>
      <c r="D312" s="3" t="str">
        <f t="shared" si="8"/>
        <v>PASS</v>
      </c>
      <c r="E312" s="3" t="str">
        <f t="shared" si="9"/>
        <v>PASS</v>
      </c>
      <c r="F312" t="s">
        <v>747</v>
      </c>
      <c r="G312" t="s">
        <v>747</v>
      </c>
      <c r="H312" s="3">
        <v>101897399.8</v>
      </c>
      <c r="I312" s="3">
        <v>98725107.917127997</v>
      </c>
      <c r="J312" s="3">
        <v>6661.04</v>
      </c>
      <c r="K312" s="4">
        <v>5094869.99</v>
      </c>
      <c r="L312" s="4">
        <v>0.2377466920441316</v>
      </c>
      <c r="M312" s="3">
        <v>3</v>
      </c>
      <c r="N312" t="s">
        <v>1139</v>
      </c>
      <c r="O312" s="4">
        <v>6.6790099948438528E-2</v>
      </c>
      <c r="P312" t="s">
        <v>1137</v>
      </c>
      <c r="Q312" t="s">
        <v>1130</v>
      </c>
      <c r="R312" t="s">
        <v>1059</v>
      </c>
    </row>
    <row r="313" spans="1:18" x14ac:dyDescent="0.4">
      <c r="A313" s="2">
        <v>45876</v>
      </c>
      <c r="B313" t="s">
        <v>26</v>
      </c>
      <c r="C313" t="s">
        <v>747</v>
      </c>
      <c r="D313" s="3" t="str">
        <f t="shared" si="8"/>
        <v>PASS</v>
      </c>
      <c r="E313" s="3" t="str">
        <f t="shared" si="9"/>
        <v>PASS</v>
      </c>
      <c r="F313" t="s">
        <v>747</v>
      </c>
      <c r="G313" t="s">
        <v>747</v>
      </c>
      <c r="H313" s="3">
        <v>23641430.530000001</v>
      </c>
      <c r="I313" s="3">
        <v>22990815.189968001</v>
      </c>
      <c r="J313" s="3">
        <v>1549.46</v>
      </c>
      <c r="K313" s="4">
        <v>1182071.5264999999</v>
      </c>
      <c r="L313" s="4">
        <v>0.2375170275308873</v>
      </c>
      <c r="M313" s="3">
        <v>3</v>
      </c>
      <c r="N313" t="s">
        <v>1140</v>
      </c>
      <c r="O313" s="4">
        <v>6.102073341701459E-2</v>
      </c>
      <c r="P313" t="s">
        <v>1137</v>
      </c>
      <c r="Q313" t="s">
        <v>1130</v>
      </c>
      <c r="R313" t="s">
        <v>954</v>
      </c>
    </row>
    <row r="314" spans="1:18" x14ac:dyDescent="0.4">
      <c r="A314" s="2">
        <v>45876</v>
      </c>
      <c r="B314" t="s">
        <v>27</v>
      </c>
      <c r="C314" t="s">
        <v>747</v>
      </c>
      <c r="D314" s="3" t="str">
        <f t="shared" si="8"/>
        <v>PASS</v>
      </c>
      <c r="E314" s="3" t="str">
        <f t="shared" si="9"/>
        <v>PASS</v>
      </c>
      <c r="F314" t="s">
        <v>747</v>
      </c>
      <c r="G314" t="s">
        <v>747</v>
      </c>
      <c r="H314" s="3">
        <v>43316755.030000001</v>
      </c>
      <c r="I314" s="3">
        <v>42515716.00865601</v>
      </c>
      <c r="J314" s="3">
        <v>2652.71</v>
      </c>
      <c r="K314" s="4">
        <v>2165837.7514999998</v>
      </c>
      <c r="L314" s="4">
        <v>0.26179483997876851</v>
      </c>
      <c r="M314" s="3">
        <v>3</v>
      </c>
      <c r="N314" t="s">
        <v>1141</v>
      </c>
      <c r="O314" s="4">
        <v>0.1116485799849629</v>
      </c>
      <c r="P314" t="s">
        <v>1137</v>
      </c>
      <c r="Q314" t="s">
        <v>1142</v>
      </c>
      <c r="R314" t="s">
        <v>1143</v>
      </c>
    </row>
    <row r="315" spans="1:18" x14ac:dyDescent="0.4">
      <c r="A315" s="2">
        <v>45876</v>
      </c>
      <c r="B315" t="s">
        <v>28</v>
      </c>
      <c r="C315" t="s">
        <v>747</v>
      </c>
      <c r="D315" s="3" t="str">
        <f t="shared" si="8"/>
        <v>PASS</v>
      </c>
      <c r="E315" s="3" t="str">
        <f t="shared" si="9"/>
        <v>PASS</v>
      </c>
      <c r="F315" t="s">
        <v>747</v>
      </c>
      <c r="G315" t="s">
        <v>747</v>
      </c>
      <c r="H315" s="3">
        <v>15391144.42</v>
      </c>
      <c r="I315" s="3">
        <v>15143529.821192</v>
      </c>
      <c r="J315" s="3">
        <v>983.8</v>
      </c>
      <c r="K315" s="4">
        <v>769557.22100000002</v>
      </c>
      <c r="L315" s="4">
        <v>0.24997089545810841</v>
      </c>
      <c r="M315" s="3">
        <v>3</v>
      </c>
      <c r="N315" t="s">
        <v>1144</v>
      </c>
      <c r="O315" s="4">
        <v>9.6568077761692517E-2</v>
      </c>
      <c r="P315" t="s">
        <v>1137</v>
      </c>
      <c r="Q315" t="s">
        <v>1128</v>
      </c>
      <c r="R315" t="s">
        <v>849</v>
      </c>
    </row>
    <row r="316" spans="1:18" x14ac:dyDescent="0.4">
      <c r="A316" s="2">
        <v>45876</v>
      </c>
      <c r="B316" t="s">
        <v>29</v>
      </c>
      <c r="C316" t="s">
        <v>747</v>
      </c>
      <c r="D316" s="3" t="str">
        <f t="shared" si="8"/>
        <v>PASS</v>
      </c>
      <c r="E316" s="3" t="str">
        <f t="shared" si="9"/>
        <v>PASS</v>
      </c>
      <c r="F316" t="s">
        <v>747</v>
      </c>
      <c r="G316" t="s">
        <v>747</v>
      </c>
      <c r="H316" s="3">
        <v>34614536.399999999</v>
      </c>
      <c r="I316" s="3">
        <v>34256508.930919997</v>
      </c>
      <c r="J316" s="3">
        <v>2330.4</v>
      </c>
      <c r="K316" s="4">
        <v>1730726.82</v>
      </c>
      <c r="L316" s="4">
        <v>0.23348273808990641</v>
      </c>
      <c r="M316" s="3">
        <v>3</v>
      </c>
      <c r="N316" t="s">
        <v>1145</v>
      </c>
      <c r="O316" s="4">
        <v>4.3530102310427012E-2</v>
      </c>
      <c r="P316" t="s">
        <v>1137</v>
      </c>
      <c r="Q316" t="s">
        <v>1146</v>
      </c>
      <c r="R316" t="s">
        <v>1110</v>
      </c>
    </row>
    <row r="317" spans="1:18" x14ac:dyDescent="0.4">
      <c r="A317" s="2">
        <v>45876</v>
      </c>
      <c r="B317" t="s">
        <v>30</v>
      </c>
      <c r="C317" t="s">
        <v>747</v>
      </c>
      <c r="D317" s="3" t="str">
        <f t="shared" si="8"/>
        <v>PASS</v>
      </c>
      <c r="E317" s="3" t="str">
        <f t="shared" si="9"/>
        <v>PASS</v>
      </c>
      <c r="F317" t="s">
        <v>747</v>
      </c>
      <c r="G317" t="s">
        <v>747</v>
      </c>
      <c r="H317" s="3">
        <v>54619620.82</v>
      </c>
      <c r="I317" s="3">
        <v>51732421.954934001</v>
      </c>
      <c r="J317" s="3">
        <v>3596.73</v>
      </c>
      <c r="K317" s="4">
        <v>2730981.0410000002</v>
      </c>
      <c r="L317" s="4">
        <v>0</v>
      </c>
      <c r="M317" s="3">
        <v>0</v>
      </c>
      <c r="N317" t="s">
        <v>23</v>
      </c>
      <c r="O317" s="4">
        <v>3.8691151516749032E-2</v>
      </c>
      <c r="P317" t="s">
        <v>1147</v>
      </c>
      <c r="Q317" t="s">
        <v>1148</v>
      </c>
      <c r="R317" t="s">
        <v>1149</v>
      </c>
    </row>
    <row r="318" spans="1:18" x14ac:dyDescent="0.4">
      <c r="A318" s="2">
        <v>45876</v>
      </c>
      <c r="B318" t="s">
        <v>31</v>
      </c>
      <c r="C318" t="s">
        <v>747</v>
      </c>
      <c r="D318" s="3" t="str">
        <f t="shared" si="8"/>
        <v>PASS</v>
      </c>
      <c r="E318" s="3" t="str">
        <f t="shared" si="9"/>
        <v>PASS</v>
      </c>
      <c r="F318" t="s">
        <v>747</v>
      </c>
      <c r="G318" t="s">
        <v>747</v>
      </c>
      <c r="H318" s="3">
        <v>40374981.780000001</v>
      </c>
      <c r="I318" s="3">
        <v>38633409.762735993</v>
      </c>
      <c r="J318" s="3">
        <v>2520.44</v>
      </c>
      <c r="K318" s="4">
        <v>2018749.0889999999</v>
      </c>
      <c r="L318" s="4">
        <v>0.24929665721119629</v>
      </c>
      <c r="M318" s="3">
        <v>3</v>
      </c>
      <c r="N318" t="s">
        <v>1150</v>
      </c>
      <c r="O318" s="4">
        <v>9.8346356522764494E-2</v>
      </c>
      <c r="P318" t="s">
        <v>1137</v>
      </c>
      <c r="Q318" t="s">
        <v>865</v>
      </c>
      <c r="R318" t="s">
        <v>912</v>
      </c>
    </row>
    <row r="319" spans="1:18" x14ac:dyDescent="0.4">
      <c r="A319" s="2">
        <v>45876</v>
      </c>
      <c r="B319" t="s">
        <v>32</v>
      </c>
      <c r="C319" t="s">
        <v>747</v>
      </c>
      <c r="D319" s="3" t="str">
        <f t="shared" si="8"/>
        <v>PASS</v>
      </c>
      <c r="E319" s="3" t="str">
        <f t="shared" si="9"/>
        <v>PASS</v>
      </c>
      <c r="F319" t="s">
        <v>747</v>
      </c>
      <c r="G319" t="s">
        <v>747</v>
      </c>
      <c r="H319" s="3">
        <v>78650869.870000005</v>
      </c>
      <c r="I319" s="3">
        <v>76974567.17833598</v>
      </c>
      <c r="J319" s="3">
        <v>5078.46</v>
      </c>
      <c r="K319" s="4">
        <v>3932543.4934999999</v>
      </c>
      <c r="L319" s="4">
        <v>0.24410432543447089</v>
      </c>
      <c r="M319" s="3">
        <v>3</v>
      </c>
      <c r="N319" t="s">
        <v>1151</v>
      </c>
      <c r="O319" s="4">
        <v>7.7250958423964344E-2</v>
      </c>
      <c r="P319" t="s">
        <v>1137</v>
      </c>
      <c r="Q319" t="s">
        <v>855</v>
      </c>
      <c r="R319" t="s">
        <v>1152</v>
      </c>
    </row>
    <row r="320" spans="1:18" x14ac:dyDescent="0.4">
      <c r="A320" s="2">
        <v>45876</v>
      </c>
      <c r="B320" t="s">
        <v>33</v>
      </c>
      <c r="C320" t="s">
        <v>747</v>
      </c>
      <c r="D320" s="3" t="str">
        <f t="shared" si="8"/>
        <v>PASS</v>
      </c>
      <c r="E320" s="3" t="str">
        <f t="shared" si="9"/>
        <v>PASS</v>
      </c>
      <c r="F320" t="s">
        <v>747</v>
      </c>
      <c r="G320" t="s">
        <v>747</v>
      </c>
      <c r="H320" s="3">
        <v>165870976.43000001</v>
      </c>
      <c r="I320" s="3">
        <v>158669963.10224</v>
      </c>
      <c r="J320" s="3">
        <v>10294.57</v>
      </c>
      <c r="K320" s="4">
        <v>8293548.8215000005</v>
      </c>
      <c r="L320" s="4">
        <v>0.25078785374379281</v>
      </c>
      <c r="M320" s="3">
        <v>3</v>
      </c>
      <c r="N320" t="s">
        <v>1153</v>
      </c>
      <c r="O320" s="4">
        <v>0.1001029246321897</v>
      </c>
      <c r="P320" t="s">
        <v>1137</v>
      </c>
      <c r="Q320" t="s">
        <v>924</v>
      </c>
      <c r="R320" t="s">
        <v>849</v>
      </c>
    </row>
    <row r="321" spans="1:18" x14ac:dyDescent="0.4">
      <c r="A321" s="2">
        <v>45877</v>
      </c>
      <c r="B321" t="s">
        <v>21</v>
      </c>
      <c r="C321" t="s">
        <v>746</v>
      </c>
      <c r="D321" s="3" t="e">
        <f t="shared" si="8"/>
        <v>#DIV/0!</v>
      </c>
      <c r="E321" s="3" t="str">
        <f t="shared" si="9"/>
        <v>PASS</v>
      </c>
      <c r="F321" t="s">
        <v>746</v>
      </c>
      <c r="G321" t="s">
        <v>747</v>
      </c>
      <c r="H321" s="3">
        <v>0</v>
      </c>
      <c r="I321" s="3">
        <v>0</v>
      </c>
      <c r="J321" s="3">
        <v>0</v>
      </c>
      <c r="K321" s="4">
        <v>0</v>
      </c>
      <c r="L321" s="4">
        <v>0</v>
      </c>
      <c r="M321" s="3">
        <v>0</v>
      </c>
      <c r="N321" t="s">
        <v>23</v>
      </c>
      <c r="O321" s="4">
        <v>0</v>
      </c>
      <c r="P321" t="s">
        <v>23</v>
      </c>
      <c r="Q321" t="s">
        <v>748</v>
      </c>
      <c r="R321" t="s">
        <v>748</v>
      </c>
    </row>
    <row r="322" spans="1:18" x14ac:dyDescent="0.4">
      <c r="A322" s="2">
        <v>45877</v>
      </c>
      <c r="B322" t="s">
        <v>24</v>
      </c>
      <c r="C322" t="s">
        <v>746</v>
      </c>
      <c r="D322" s="3" t="e">
        <f t="shared" ref="D322:D385" si="10">IF(I322/H322&gt;=0.5,"PASS","FAIL")</f>
        <v>#DIV/0!</v>
      </c>
      <c r="E322" s="3" t="str">
        <f t="shared" ref="E322:E385" si="11">IF(L322&lt;=0.5,"PASS","FAIL")</f>
        <v>PASS</v>
      </c>
      <c r="F322" t="s">
        <v>746</v>
      </c>
      <c r="G322" t="s">
        <v>747</v>
      </c>
      <c r="H322" s="3">
        <v>0</v>
      </c>
      <c r="I322" s="3">
        <v>0</v>
      </c>
      <c r="J322" s="3">
        <v>0</v>
      </c>
      <c r="K322" s="4">
        <v>0</v>
      </c>
      <c r="L322" s="4">
        <v>0</v>
      </c>
      <c r="M322" s="3">
        <v>0</v>
      </c>
      <c r="N322" t="s">
        <v>23</v>
      </c>
      <c r="O322" s="4">
        <v>0</v>
      </c>
      <c r="P322" t="s">
        <v>23</v>
      </c>
      <c r="Q322" t="s">
        <v>748</v>
      </c>
      <c r="R322" t="s">
        <v>748</v>
      </c>
    </row>
    <row r="323" spans="1:18" x14ac:dyDescent="0.4">
      <c r="A323" s="2">
        <v>45877</v>
      </c>
      <c r="B323" t="s">
        <v>25</v>
      </c>
      <c r="C323" t="s">
        <v>746</v>
      </c>
      <c r="D323" s="3" t="e">
        <f t="shared" si="10"/>
        <v>#DIV/0!</v>
      </c>
      <c r="E323" s="3" t="str">
        <f t="shared" si="11"/>
        <v>PASS</v>
      </c>
      <c r="F323" t="s">
        <v>746</v>
      </c>
      <c r="G323" t="s">
        <v>747</v>
      </c>
      <c r="H323" s="3">
        <v>0</v>
      </c>
      <c r="I323" s="3">
        <v>0</v>
      </c>
      <c r="J323" s="3">
        <v>0</v>
      </c>
      <c r="K323" s="4">
        <v>0</v>
      </c>
      <c r="L323" s="4">
        <v>0</v>
      </c>
      <c r="M323" s="3">
        <v>0</v>
      </c>
      <c r="N323" t="s">
        <v>23</v>
      </c>
      <c r="O323" s="4">
        <v>0</v>
      </c>
      <c r="P323" t="s">
        <v>23</v>
      </c>
      <c r="Q323" t="s">
        <v>748</v>
      </c>
      <c r="R323" t="s">
        <v>748</v>
      </c>
    </row>
    <row r="324" spans="1:18" x14ac:dyDescent="0.4">
      <c r="A324" s="2">
        <v>45877</v>
      </c>
      <c r="B324" t="s">
        <v>26</v>
      </c>
      <c r="C324" t="s">
        <v>746</v>
      </c>
      <c r="D324" s="3" t="e">
        <f t="shared" si="10"/>
        <v>#DIV/0!</v>
      </c>
      <c r="E324" s="3" t="str">
        <f t="shared" si="11"/>
        <v>PASS</v>
      </c>
      <c r="F324" t="s">
        <v>746</v>
      </c>
      <c r="G324" t="s">
        <v>747</v>
      </c>
      <c r="H324" s="3">
        <v>0</v>
      </c>
      <c r="I324" s="3">
        <v>0</v>
      </c>
      <c r="J324" s="3">
        <v>0</v>
      </c>
      <c r="K324" s="4">
        <v>0</v>
      </c>
      <c r="L324" s="4">
        <v>0</v>
      </c>
      <c r="M324" s="3">
        <v>0</v>
      </c>
      <c r="N324" t="s">
        <v>23</v>
      </c>
      <c r="O324" s="4">
        <v>0</v>
      </c>
      <c r="P324" t="s">
        <v>23</v>
      </c>
      <c r="Q324" t="s">
        <v>748</v>
      </c>
      <c r="R324" t="s">
        <v>748</v>
      </c>
    </row>
    <row r="325" spans="1:18" x14ac:dyDescent="0.4">
      <c r="A325" s="2">
        <v>45877</v>
      </c>
      <c r="B325" t="s">
        <v>27</v>
      </c>
      <c r="C325" t="s">
        <v>746</v>
      </c>
      <c r="D325" s="3" t="e">
        <f t="shared" si="10"/>
        <v>#DIV/0!</v>
      </c>
      <c r="E325" s="3" t="str">
        <f t="shared" si="11"/>
        <v>PASS</v>
      </c>
      <c r="F325" t="s">
        <v>746</v>
      </c>
      <c r="G325" t="s">
        <v>747</v>
      </c>
      <c r="H325" s="3">
        <v>0</v>
      </c>
      <c r="I325" s="3">
        <v>0</v>
      </c>
      <c r="J325" s="3">
        <v>0</v>
      </c>
      <c r="K325" s="4">
        <v>0</v>
      </c>
      <c r="L325" s="4">
        <v>0</v>
      </c>
      <c r="M325" s="3">
        <v>0</v>
      </c>
      <c r="N325" t="s">
        <v>23</v>
      </c>
      <c r="O325" s="4">
        <v>0</v>
      </c>
      <c r="P325" t="s">
        <v>23</v>
      </c>
      <c r="Q325" t="s">
        <v>748</v>
      </c>
      <c r="R325" t="s">
        <v>748</v>
      </c>
    </row>
    <row r="326" spans="1:18" x14ac:dyDescent="0.4">
      <c r="A326" s="2">
        <v>45877</v>
      </c>
      <c r="B326" t="s">
        <v>28</v>
      </c>
      <c r="C326" t="s">
        <v>746</v>
      </c>
      <c r="D326" s="3" t="e">
        <f t="shared" si="10"/>
        <v>#DIV/0!</v>
      </c>
      <c r="E326" s="3" t="str">
        <f t="shared" si="11"/>
        <v>PASS</v>
      </c>
      <c r="F326" t="s">
        <v>746</v>
      </c>
      <c r="G326" t="s">
        <v>747</v>
      </c>
      <c r="H326" s="3">
        <v>0</v>
      </c>
      <c r="I326" s="3">
        <v>0</v>
      </c>
      <c r="J326" s="3">
        <v>0</v>
      </c>
      <c r="K326" s="4">
        <v>0</v>
      </c>
      <c r="L326" s="4">
        <v>0</v>
      </c>
      <c r="M326" s="3">
        <v>0</v>
      </c>
      <c r="N326" t="s">
        <v>23</v>
      </c>
      <c r="O326" s="4">
        <v>0</v>
      </c>
      <c r="P326" t="s">
        <v>23</v>
      </c>
      <c r="Q326" t="s">
        <v>748</v>
      </c>
      <c r="R326" t="s">
        <v>748</v>
      </c>
    </row>
    <row r="327" spans="1:18" x14ac:dyDescent="0.4">
      <c r="A327" s="2">
        <v>45877</v>
      </c>
      <c r="B327" t="s">
        <v>29</v>
      </c>
      <c r="C327" t="s">
        <v>746</v>
      </c>
      <c r="D327" s="3" t="e">
        <f t="shared" si="10"/>
        <v>#DIV/0!</v>
      </c>
      <c r="E327" s="3" t="str">
        <f t="shared" si="11"/>
        <v>PASS</v>
      </c>
      <c r="F327" t="s">
        <v>746</v>
      </c>
      <c r="G327" t="s">
        <v>747</v>
      </c>
      <c r="H327" s="3">
        <v>0</v>
      </c>
      <c r="I327" s="3">
        <v>0</v>
      </c>
      <c r="J327" s="3">
        <v>0</v>
      </c>
      <c r="K327" s="4">
        <v>0</v>
      </c>
      <c r="L327" s="4">
        <v>0</v>
      </c>
      <c r="M327" s="3">
        <v>0</v>
      </c>
      <c r="N327" t="s">
        <v>23</v>
      </c>
      <c r="O327" s="4">
        <v>0</v>
      </c>
      <c r="P327" t="s">
        <v>23</v>
      </c>
      <c r="Q327" t="s">
        <v>748</v>
      </c>
      <c r="R327" t="s">
        <v>748</v>
      </c>
    </row>
    <row r="328" spans="1:18" x14ac:dyDescent="0.4">
      <c r="A328" s="2">
        <v>45877</v>
      </c>
      <c r="B328" t="s">
        <v>30</v>
      </c>
      <c r="C328" t="s">
        <v>746</v>
      </c>
      <c r="D328" s="3" t="e">
        <f t="shared" si="10"/>
        <v>#DIV/0!</v>
      </c>
      <c r="E328" s="3" t="str">
        <f t="shared" si="11"/>
        <v>PASS</v>
      </c>
      <c r="F328" t="s">
        <v>746</v>
      </c>
      <c r="G328" t="s">
        <v>747</v>
      </c>
      <c r="H328" s="3">
        <v>0</v>
      </c>
      <c r="I328" s="3">
        <v>0</v>
      </c>
      <c r="J328" s="3">
        <v>0</v>
      </c>
      <c r="K328" s="4">
        <v>0</v>
      </c>
      <c r="L328" s="4">
        <v>0</v>
      </c>
      <c r="M328" s="3">
        <v>0</v>
      </c>
      <c r="N328" t="s">
        <v>23</v>
      </c>
      <c r="O328" s="4">
        <v>0</v>
      </c>
      <c r="P328" t="s">
        <v>23</v>
      </c>
      <c r="Q328" t="s">
        <v>748</v>
      </c>
      <c r="R328" t="s">
        <v>748</v>
      </c>
    </row>
    <row r="329" spans="1:18" x14ac:dyDescent="0.4">
      <c r="A329" s="2">
        <v>45877</v>
      </c>
      <c r="B329" t="s">
        <v>31</v>
      </c>
      <c r="C329" t="s">
        <v>746</v>
      </c>
      <c r="D329" s="3" t="e">
        <f t="shared" si="10"/>
        <v>#DIV/0!</v>
      </c>
      <c r="E329" s="3" t="str">
        <f t="shared" si="11"/>
        <v>PASS</v>
      </c>
      <c r="F329" t="s">
        <v>746</v>
      </c>
      <c r="G329" t="s">
        <v>747</v>
      </c>
      <c r="H329" s="3">
        <v>0</v>
      </c>
      <c r="I329" s="3">
        <v>0</v>
      </c>
      <c r="J329" s="3">
        <v>0</v>
      </c>
      <c r="K329" s="4">
        <v>0</v>
      </c>
      <c r="L329" s="4">
        <v>0</v>
      </c>
      <c r="M329" s="3">
        <v>0</v>
      </c>
      <c r="N329" t="s">
        <v>23</v>
      </c>
      <c r="O329" s="4">
        <v>0</v>
      </c>
      <c r="P329" t="s">
        <v>23</v>
      </c>
      <c r="Q329" t="s">
        <v>748</v>
      </c>
      <c r="R329" t="s">
        <v>748</v>
      </c>
    </row>
    <row r="330" spans="1:18" x14ac:dyDescent="0.4">
      <c r="A330" s="2">
        <v>45877</v>
      </c>
      <c r="B330" t="s">
        <v>32</v>
      </c>
      <c r="C330" t="s">
        <v>746</v>
      </c>
      <c r="D330" s="3" t="e">
        <f t="shared" si="10"/>
        <v>#DIV/0!</v>
      </c>
      <c r="E330" s="3" t="str">
        <f t="shared" si="11"/>
        <v>PASS</v>
      </c>
      <c r="F330" t="s">
        <v>746</v>
      </c>
      <c r="G330" t="s">
        <v>747</v>
      </c>
      <c r="H330" s="3">
        <v>0</v>
      </c>
      <c r="I330" s="3">
        <v>0</v>
      </c>
      <c r="J330" s="3">
        <v>0</v>
      </c>
      <c r="K330" s="4">
        <v>0</v>
      </c>
      <c r="L330" s="4">
        <v>0</v>
      </c>
      <c r="M330" s="3">
        <v>0</v>
      </c>
      <c r="N330" t="s">
        <v>23</v>
      </c>
      <c r="O330" s="4">
        <v>0</v>
      </c>
      <c r="P330" t="s">
        <v>23</v>
      </c>
      <c r="Q330" t="s">
        <v>748</v>
      </c>
      <c r="R330" t="s">
        <v>748</v>
      </c>
    </row>
    <row r="331" spans="1:18" x14ac:dyDescent="0.4">
      <c r="A331" s="2">
        <v>45877</v>
      </c>
      <c r="B331" t="s">
        <v>33</v>
      </c>
      <c r="C331" t="s">
        <v>746</v>
      </c>
      <c r="D331" s="3" t="e">
        <f t="shared" si="10"/>
        <v>#DIV/0!</v>
      </c>
      <c r="E331" s="3" t="str">
        <f t="shared" si="11"/>
        <v>PASS</v>
      </c>
      <c r="F331" t="s">
        <v>746</v>
      </c>
      <c r="G331" t="s">
        <v>747</v>
      </c>
      <c r="H331" s="3">
        <v>0</v>
      </c>
      <c r="I331" s="3">
        <v>0</v>
      </c>
      <c r="J331" s="3">
        <v>0</v>
      </c>
      <c r="K331" s="4">
        <v>0</v>
      </c>
      <c r="L331" s="4">
        <v>0</v>
      </c>
      <c r="M331" s="3">
        <v>0</v>
      </c>
      <c r="N331" t="s">
        <v>23</v>
      </c>
      <c r="O331" s="4">
        <v>0</v>
      </c>
      <c r="P331" t="s">
        <v>23</v>
      </c>
      <c r="Q331" t="s">
        <v>748</v>
      </c>
      <c r="R331" t="s">
        <v>748</v>
      </c>
    </row>
    <row r="332" spans="1:18" x14ac:dyDescent="0.4">
      <c r="A332" s="2">
        <v>45880</v>
      </c>
      <c r="B332" t="s">
        <v>21</v>
      </c>
      <c r="C332" t="s">
        <v>747</v>
      </c>
      <c r="D332" s="3" t="str">
        <f t="shared" si="10"/>
        <v>PASS</v>
      </c>
      <c r="E332" s="3" t="str">
        <f t="shared" si="11"/>
        <v>PASS</v>
      </c>
      <c r="F332" t="s">
        <v>747</v>
      </c>
      <c r="G332" t="s">
        <v>747</v>
      </c>
      <c r="H332" s="3">
        <v>24520444.370000001</v>
      </c>
      <c r="I332" s="3">
        <v>23344811.875043999</v>
      </c>
      <c r="J332" s="3">
        <v>1496.18</v>
      </c>
      <c r="K332" s="4">
        <v>1226022.2185</v>
      </c>
      <c r="L332" s="4">
        <v>0.25679541065880429</v>
      </c>
      <c r="M332" s="3">
        <v>3</v>
      </c>
      <c r="N332" t="s">
        <v>1154</v>
      </c>
      <c r="O332" s="4">
        <v>0.1131552961755725</v>
      </c>
      <c r="P332" t="s">
        <v>1155</v>
      </c>
      <c r="Q332" t="s">
        <v>921</v>
      </c>
      <c r="R332" t="s">
        <v>877</v>
      </c>
    </row>
    <row r="333" spans="1:18" x14ac:dyDescent="0.4">
      <c r="A333" s="2">
        <v>45880</v>
      </c>
      <c r="B333" t="s">
        <v>24</v>
      </c>
      <c r="C333" t="s">
        <v>747</v>
      </c>
      <c r="D333" s="3" t="str">
        <f t="shared" si="10"/>
        <v>PASS</v>
      </c>
      <c r="E333" s="3" t="str">
        <f t="shared" si="11"/>
        <v>PASS</v>
      </c>
      <c r="F333" t="s">
        <v>747</v>
      </c>
      <c r="G333" t="s">
        <v>747</v>
      </c>
      <c r="H333" s="3">
        <v>136588281.86000001</v>
      </c>
      <c r="I333" s="3">
        <v>134641978.20838001</v>
      </c>
      <c r="J333" s="3">
        <v>8687.5499999999993</v>
      </c>
      <c r="K333" s="4">
        <v>6829414.0930000013</v>
      </c>
      <c r="L333" s="4">
        <v>0.25137776943513018</v>
      </c>
      <c r="M333" s="3">
        <v>3</v>
      </c>
      <c r="N333" t="s">
        <v>1156</v>
      </c>
      <c r="O333" s="4">
        <v>8.2289437243968866E-2</v>
      </c>
      <c r="P333" t="s">
        <v>1155</v>
      </c>
      <c r="Q333" t="s">
        <v>898</v>
      </c>
      <c r="R333" t="s">
        <v>842</v>
      </c>
    </row>
    <row r="334" spans="1:18" x14ac:dyDescent="0.4">
      <c r="A334" s="2">
        <v>45880</v>
      </c>
      <c r="B334" t="s">
        <v>25</v>
      </c>
      <c r="C334" t="s">
        <v>747</v>
      </c>
      <c r="D334" s="3" t="str">
        <f t="shared" si="10"/>
        <v>PASS</v>
      </c>
      <c r="E334" s="3" t="str">
        <f t="shared" si="11"/>
        <v>PASS</v>
      </c>
      <c r="F334" t="s">
        <v>747</v>
      </c>
      <c r="G334" t="s">
        <v>747</v>
      </c>
      <c r="H334" s="3">
        <v>101970644.69</v>
      </c>
      <c r="I334" s="3">
        <v>98582058.702920005</v>
      </c>
      <c r="J334" s="3">
        <v>6687.33</v>
      </c>
      <c r="K334" s="4">
        <v>5098532.2345000003</v>
      </c>
      <c r="L334" s="4">
        <v>0.23746940896773261</v>
      </c>
      <c r="M334" s="3">
        <v>3</v>
      </c>
      <c r="N334" t="s">
        <v>1157</v>
      </c>
      <c r="O334" s="4">
        <v>6.5760890433770203E-2</v>
      </c>
      <c r="P334" t="s">
        <v>1155</v>
      </c>
      <c r="Q334" t="s">
        <v>844</v>
      </c>
      <c r="R334" t="s">
        <v>1158</v>
      </c>
    </row>
    <row r="335" spans="1:18" x14ac:dyDescent="0.4">
      <c r="A335" s="2">
        <v>45880</v>
      </c>
      <c r="B335" t="s">
        <v>26</v>
      </c>
      <c r="C335" t="s">
        <v>747</v>
      </c>
      <c r="D335" s="3" t="str">
        <f t="shared" si="10"/>
        <v>PASS</v>
      </c>
      <c r="E335" s="3" t="str">
        <f t="shared" si="11"/>
        <v>PASS</v>
      </c>
      <c r="F335" t="s">
        <v>747</v>
      </c>
      <c r="G335" t="s">
        <v>747</v>
      </c>
      <c r="H335" s="3">
        <v>23661572.07</v>
      </c>
      <c r="I335" s="3">
        <v>22964634.995618001</v>
      </c>
      <c r="J335" s="3">
        <v>1555.91</v>
      </c>
      <c r="K335" s="4">
        <v>1183078.6035</v>
      </c>
      <c r="L335" s="4">
        <v>0.23733167576413919</v>
      </c>
      <c r="M335" s="3">
        <v>3</v>
      </c>
      <c r="N335" t="s">
        <v>1159</v>
      </c>
      <c r="O335" s="4">
        <v>6.054218466042946E-2</v>
      </c>
      <c r="P335" t="s">
        <v>1155</v>
      </c>
      <c r="Q335" t="s">
        <v>844</v>
      </c>
      <c r="R335" t="s">
        <v>1160</v>
      </c>
    </row>
    <row r="336" spans="1:18" x14ac:dyDescent="0.4">
      <c r="A336" s="2">
        <v>45880</v>
      </c>
      <c r="B336" t="s">
        <v>27</v>
      </c>
      <c r="C336" t="s">
        <v>747</v>
      </c>
      <c r="D336" s="3" t="str">
        <f t="shared" si="10"/>
        <v>PASS</v>
      </c>
      <c r="E336" s="3" t="str">
        <f t="shared" si="11"/>
        <v>PASS</v>
      </c>
      <c r="F336" t="s">
        <v>747</v>
      </c>
      <c r="G336" t="s">
        <v>747</v>
      </c>
      <c r="H336" s="3">
        <v>43377784.609999999</v>
      </c>
      <c r="I336" s="3">
        <v>42592009.02262</v>
      </c>
      <c r="J336" s="3">
        <v>2666.72</v>
      </c>
      <c r="K336" s="4">
        <v>2168889.2305000001</v>
      </c>
      <c r="L336" s="4">
        <v>0.26251023505154358</v>
      </c>
      <c r="M336" s="3">
        <v>3</v>
      </c>
      <c r="N336" t="s">
        <v>1161</v>
      </c>
      <c r="O336" s="4">
        <v>0.11247159937935799</v>
      </c>
      <c r="P336" t="s">
        <v>1155</v>
      </c>
      <c r="Q336" t="s">
        <v>1162</v>
      </c>
      <c r="R336" t="s">
        <v>790</v>
      </c>
    </row>
    <row r="337" spans="1:18" x14ac:dyDescent="0.4">
      <c r="A337" s="2">
        <v>45880</v>
      </c>
      <c r="B337" t="s">
        <v>28</v>
      </c>
      <c r="C337" t="s">
        <v>747</v>
      </c>
      <c r="D337" s="3" t="str">
        <f t="shared" si="10"/>
        <v>PASS</v>
      </c>
      <c r="E337" s="3" t="str">
        <f t="shared" si="11"/>
        <v>PASS</v>
      </c>
      <c r="F337" t="s">
        <v>747</v>
      </c>
      <c r="G337" t="s">
        <v>747</v>
      </c>
      <c r="H337" s="3">
        <v>15403317.48</v>
      </c>
      <c r="I337" s="3">
        <v>15151276.702542</v>
      </c>
      <c r="J337" s="3">
        <v>988.35</v>
      </c>
      <c r="K337" s="4">
        <v>770165.87400000007</v>
      </c>
      <c r="L337" s="4">
        <v>0.25035510775040348</v>
      </c>
      <c r="M337" s="3">
        <v>3</v>
      </c>
      <c r="N337" t="s">
        <v>1163</v>
      </c>
      <c r="O337" s="4">
        <v>9.6495097531548099E-2</v>
      </c>
      <c r="P337" t="s">
        <v>1155</v>
      </c>
      <c r="Q337" t="s">
        <v>865</v>
      </c>
      <c r="R337" t="s">
        <v>912</v>
      </c>
    </row>
    <row r="338" spans="1:18" x14ac:dyDescent="0.4">
      <c r="A338" s="2">
        <v>45880</v>
      </c>
      <c r="B338" t="s">
        <v>29</v>
      </c>
      <c r="C338" t="s">
        <v>747</v>
      </c>
      <c r="D338" s="3" t="str">
        <f t="shared" si="10"/>
        <v>PASS</v>
      </c>
      <c r="E338" s="3" t="str">
        <f t="shared" si="11"/>
        <v>PASS</v>
      </c>
      <c r="F338" t="s">
        <v>747</v>
      </c>
      <c r="G338" t="s">
        <v>747</v>
      </c>
      <c r="H338" s="3">
        <v>34664573.579999998</v>
      </c>
      <c r="I338" s="3">
        <v>34233228.570795991</v>
      </c>
      <c r="J338" s="3">
        <v>2342.0300000000002</v>
      </c>
      <c r="K338" s="4">
        <v>1733228.679</v>
      </c>
      <c r="L338" s="4">
        <v>0.23317540870302261</v>
      </c>
      <c r="M338" s="3">
        <v>3</v>
      </c>
      <c r="N338" t="s">
        <v>1164</v>
      </c>
      <c r="O338" s="4">
        <v>4.3289540467960373E-2</v>
      </c>
      <c r="P338" t="s">
        <v>1155</v>
      </c>
      <c r="Q338" t="s">
        <v>1165</v>
      </c>
      <c r="R338" t="s">
        <v>1051</v>
      </c>
    </row>
    <row r="339" spans="1:18" x14ac:dyDescent="0.4">
      <c r="A339" s="2">
        <v>45880</v>
      </c>
      <c r="B339" t="s">
        <v>30</v>
      </c>
      <c r="C339" t="s">
        <v>747</v>
      </c>
      <c r="D339" s="3" t="str">
        <f t="shared" si="10"/>
        <v>PASS</v>
      </c>
      <c r="E339" s="3" t="str">
        <f t="shared" si="11"/>
        <v>PASS</v>
      </c>
      <c r="F339" t="s">
        <v>747</v>
      </c>
      <c r="G339" t="s">
        <v>747</v>
      </c>
      <c r="H339" s="3">
        <v>54704624.990000002</v>
      </c>
      <c r="I339" s="3">
        <v>51953676.010006003</v>
      </c>
      <c r="J339" s="3">
        <v>3592.03</v>
      </c>
      <c r="K339" s="4">
        <v>2735231.2494999999</v>
      </c>
      <c r="L339" s="4">
        <v>0</v>
      </c>
      <c r="M339" s="3">
        <v>0</v>
      </c>
      <c r="N339" t="s">
        <v>23</v>
      </c>
      <c r="O339" s="4">
        <v>3.8452790241968161E-2</v>
      </c>
      <c r="P339" t="s">
        <v>1166</v>
      </c>
      <c r="Q339" t="s">
        <v>943</v>
      </c>
      <c r="R339" t="s">
        <v>1167</v>
      </c>
    </row>
    <row r="340" spans="1:18" x14ac:dyDescent="0.4">
      <c r="A340" s="2">
        <v>45880</v>
      </c>
      <c r="B340" t="s">
        <v>31</v>
      </c>
      <c r="C340" t="s">
        <v>747</v>
      </c>
      <c r="D340" s="3" t="str">
        <f t="shared" si="10"/>
        <v>PASS</v>
      </c>
      <c r="E340" s="3" t="str">
        <f t="shared" si="11"/>
        <v>PASS</v>
      </c>
      <c r="F340" t="s">
        <v>747</v>
      </c>
      <c r="G340" t="s">
        <v>747</v>
      </c>
      <c r="H340" s="3">
        <v>40404877.539999999</v>
      </c>
      <c r="I340" s="3">
        <v>38651600.665097997</v>
      </c>
      <c r="J340" s="3">
        <v>2531.79</v>
      </c>
      <c r="K340" s="4">
        <v>2020243.8770000001</v>
      </c>
      <c r="L340" s="4">
        <v>0.24964391437942701</v>
      </c>
      <c r="M340" s="3">
        <v>3</v>
      </c>
      <c r="N340" t="s">
        <v>1168</v>
      </c>
      <c r="O340" s="4">
        <v>9.794871154305694E-2</v>
      </c>
      <c r="P340" t="s">
        <v>1155</v>
      </c>
      <c r="Q340" t="s">
        <v>871</v>
      </c>
      <c r="R340" t="s">
        <v>912</v>
      </c>
    </row>
    <row r="341" spans="1:18" x14ac:dyDescent="0.4">
      <c r="A341" s="2">
        <v>45880</v>
      </c>
      <c r="B341" t="s">
        <v>32</v>
      </c>
      <c r="C341" t="s">
        <v>747</v>
      </c>
      <c r="D341" s="3" t="str">
        <f t="shared" si="10"/>
        <v>PASS</v>
      </c>
      <c r="E341" s="3" t="str">
        <f t="shared" si="11"/>
        <v>PASS</v>
      </c>
      <c r="F341" t="s">
        <v>747</v>
      </c>
      <c r="G341" t="s">
        <v>747</v>
      </c>
      <c r="H341" s="3">
        <v>78749667.900000006</v>
      </c>
      <c r="I341" s="3">
        <v>76989636.712692007</v>
      </c>
      <c r="J341" s="3">
        <v>5104.07</v>
      </c>
      <c r="K341" s="4">
        <v>3937483.395</v>
      </c>
      <c r="L341" s="4">
        <v>0.24431444801788371</v>
      </c>
      <c r="M341" s="3">
        <v>3</v>
      </c>
      <c r="N341" t="s">
        <v>1169</v>
      </c>
      <c r="O341" s="4">
        <v>7.7016496760261233E-2</v>
      </c>
      <c r="P341" t="s">
        <v>1155</v>
      </c>
      <c r="Q341" t="s">
        <v>885</v>
      </c>
      <c r="R341" t="s">
        <v>951</v>
      </c>
    </row>
    <row r="342" spans="1:18" x14ac:dyDescent="0.4">
      <c r="A342" s="2">
        <v>45880</v>
      </c>
      <c r="B342" t="s">
        <v>33</v>
      </c>
      <c r="C342" t="s">
        <v>747</v>
      </c>
      <c r="D342" s="3" t="str">
        <f t="shared" si="10"/>
        <v>PASS</v>
      </c>
      <c r="E342" s="3" t="str">
        <f t="shared" si="11"/>
        <v>PASS</v>
      </c>
      <c r="F342" t="s">
        <v>747</v>
      </c>
      <c r="G342" t="s">
        <v>747</v>
      </c>
      <c r="H342" s="3">
        <v>166208714.66999999</v>
      </c>
      <c r="I342" s="3">
        <v>158777561.86254001</v>
      </c>
      <c r="J342" s="3">
        <v>10332.200000000001</v>
      </c>
      <c r="K342" s="4">
        <v>8310435.7335000001</v>
      </c>
      <c r="L342" s="4">
        <v>0.25122495220217977</v>
      </c>
      <c r="M342" s="3">
        <v>3</v>
      </c>
      <c r="N342" t="s">
        <v>1170</v>
      </c>
      <c r="O342" s="4">
        <v>9.9498541188857162E-2</v>
      </c>
      <c r="P342" t="s">
        <v>1155</v>
      </c>
      <c r="Q342" t="s">
        <v>885</v>
      </c>
      <c r="R342" t="s">
        <v>849</v>
      </c>
    </row>
    <row r="343" spans="1:18" x14ac:dyDescent="0.4">
      <c r="A343" s="2">
        <v>45881</v>
      </c>
      <c r="B343" t="s">
        <v>21</v>
      </c>
      <c r="C343" t="s">
        <v>747</v>
      </c>
      <c r="D343" s="3" t="str">
        <f t="shared" si="10"/>
        <v>PASS</v>
      </c>
      <c r="E343" s="3" t="str">
        <f t="shared" si="11"/>
        <v>PASS</v>
      </c>
      <c r="F343" t="s">
        <v>747</v>
      </c>
      <c r="G343" t="s">
        <v>747</v>
      </c>
      <c r="H343" s="3">
        <v>24643522.77</v>
      </c>
      <c r="I343" s="3">
        <v>23459649.601971999</v>
      </c>
      <c r="J343" s="3">
        <v>1492.84</v>
      </c>
      <c r="K343" s="4">
        <v>1232176.1384999999</v>
      </c>
      <c r="L343" s="4">
        <v>0.25731200327135723</v>
      </c>
      <c r="M343" s="3">
        <v>3</v>
      </c>
      <c r="N343" t="s">
        <v>1171</v>
      </c>
      <c r="O343" s="4">
        <v>0.1122155666534197</v>
      </c>
      <c r="P343" t="s">
        <v>1172</v>
      </c>
      <c r="Q343" t="s">
        <v>1173</v>
      </c>
      <c r="R343" t="s">
        <v>899</v>
      </c>
    </row>
    <row r="344" spans="1:18" x14ac:dyDescent="0.4">
      <c r="A344" s="2">
        <v>45881</v>
      </c>
      <c r="B344" t="s">
        <v>24</v>
      </c>
      <c r="C344" t="s">
        <v>747</v>
      </c>
      <c r="D344" s="3" t="str">
        <f t="shared" si="10"/>
        <v>PASS</v>
      </c>
      <c r="E344" s="3" t="str">
        <f t="shared" si="11"/>
        <v>PASS</v>
      </c>
      <c r="F344" t="s">
        <v>747</v>
      </c>
      <c r="G344" t="s">
        <v>747</v>
      </c>
      <c r="H344" s="3">
        <v>137423599.83000001</v>
      </c>
      <c r="I344" s="3">
        <v>135485471.41360801</v>
      </c>
      <c r="J344" s="3">
        <v>8667.2099999999991</v>
      </c>
      <c r="K344" s="4">
        <v>6871179.9915000014</v>
      </c>
      <c r="L344" s="4">
        <v>0.25215709003079673</v>
      </c>
      <c r="M344" s="3">
        <v>3</v>
      </c>
      <c r="N344" t="s">
        <v>1174</v>
      </c>
      <c r="O344" s="4">
        <v>8.2511111320289127E-2</v>
      </c>
      <c r="P344" t="s">
        <v>1172</v>
      </c>
      <c r="Q344" t="s">
        <v>898</v>
      </c>
      <c r="R344" t="s">
        <v>833</v>
      </c>
    </row>
    <row r="345" spans="1:18" x14ac:dyDescent="0.4">
      <c r="A345" s="2">
        <v>45881</v>
      </c>
      <c r="B345" t="s">
        <v>25</v>
      </c>
      <c r="C345" t="s">
        <v>747</v>
      </c>
      <c r="D345" s="3" t="str">
        <f t="shared" si="10"/>
        <v>PASS</v>
      </c>
      <c r="E345" s="3" t="str">
        <f t="shared" si="11"/>
        <v>PASS</v>
      </c>
      <c r="F345" t="s">
        <v>747</v>
      </c>
      <c r="G345" t="s">
        <v>747</v>
      </c>
      <c r="H345" s="3">
        <v>102487664.55</v>
      </c>
      <c r="I345" s="3">
        <v>99096376.651432008</v>
      </c>
      <c r="J345" s="3">
        <v>6674.69</v>
      </c>
      <c r="K345" s="4">
        <v>5124383.2275</v>
      </c>
      <c r="L345" s="4">
        <v>0.23821756712114231</v>
      </c>
      <c r="M345" s="3">
        <v>3</v>
      </c>
      <c r="N345" t="s">
        <v>1175</v>
      </c>
      <c r="O345" s="4">
        <v>6.5040550301348421E-2</v>
      </c>
      <c r="P345" t="s">
        <v>1172</v>
      </c>
      <c r="Q345" t="s">
        <v>1130</v>
      </c>
      <c r="R345" t="s">
        <v>1176</v>
      </c>
    </row>
    <row r="346" spans="1:18" x14ac:dyDescent="0.4">
      <c r="A346" s="2">
        <v>45881</v>
      </c>
      <c r="B346" t="s">
        <v>26</v>
      </c>
      <c r="C346" t="s">
        <v>747</v>
      </c>
      <c r="D346" s="3" t="str">
        <f t="shared" si="10"/>
        <v>PASS</v>
      </c>
      <c r="E346" s="3" t="str">
        <f t="shared" si="11"/>
        <v>PASS</v>
      </c>
      <c r="F346" t="s">
        <v>747</v>
      </c>
      <c r="G346" t="s">
        <v>747</v>
      </c>
      <c r="H346" s="3">
        <v>23794259.170000002</v>
      </c>
      <c r="I346" s="3">
        <v>23095004.75296399</v>
      </c>
      <c r="J346" s="3">
        <v>1552.56</v>
      </c>
      <c r="K346" s="4">
        <v>1189712.9584999999</v>
      </c>
      <c r="L346" s="4">
        <v>0.23810184081687549</v>
      </c>
      <c r="M346" s="3">
        <v>3</v>
      </c>
      <c r="N346" t="s">
        <v>1177</v>
      </c>
      <c r="O346" s="4">
        <v>6.022447527051962E-2</v>
      </c>
      <c r="P346" t="s">
        <v>1172</v>
      </c>
      <c r="Q346" t="s">
        <v>881</v>
      </c>
      <c r="R346" t="s">
        <v>1178</v>
      </c>
    </row>
    <row r="347" spans="1:18" x14ac:dyDescent="0.4">
      <c r="A347" s="2">
        <v>45881</v>
      </c>
      <c r="B347" t="s">
        <v>27</v>
      </c>
      <c r="C347" t="s">
        <v>747</v>
      </c>
      <c r="D347" s="3" t="str">
        <f t="shared" si="10"/>
        <v>PASS</v>
      </c>
      <c r="E347" s="3" t="str">
        <f t="shared" si="11"/>
        <v>PASS</v>
      </c>
      <c r="F347" t="s">
        <v>747</v>
      </c>
      <c r="G347" t="s">
        <v>747</v>
      </c>
      <c r="H347" s="3">
        <v>43642940.780000001</v>
      </c>
      <c r="I347" s="3">
        <v>42848426.894320011</v>
      </c>
      <c r="J347" s="3">
        <v>2659.64</v>
      </c>
      <c r="K347" s="4">
        <v>2182147.0389999999</v>
      </c>
      <c r="L347" s="4">
        <v>0.26310989154919429</v>
      </c>
      <c r="M347" s="3">
        <v>3</v>
      </c>
      <c r="N347" t="s">
        <v>1179</v>
      </c>
      <c r="O347" s="4">
        <v>0.1124520526483183</v>
      </c>
      <c r="P347" t="s">
        <v>1172</v>
      </c>
      <c r="Q347" t="s">
        <v>1180</v>
      </c>
      <c r="R347" t="s">
        <v>839</v>
      </c>
    </row>
    <row r="348" spans="1:18" x14ac:dyDescent="0.4">
      <c r="A348" s="2">
        <v>45881</v>
      </c>
      <c r="B348" t="s">
        <v>28</v>
      </c>
      <c r="C348" t="s">
        <v>747</v>
      </c>
      <c r="D348" s="3" t="str">
        <f t="shared" si="10"/>
        <v>PASS</v>
      </c>
      <c r="E348" s="3" t="str">
        <f t="shared" si="11"/>
        <v>PASS</v>
      </c>
      <c r="F348" t="s">
        <v>747</v>
      </c>
      <c r="G348" t="s">
        <v>747</v>
      </c>
      <c r="H348" s="3">
        <v>15492584.9</v>
      </c>
      <c r="I348" s="3">
        <v>15238504.989259999</v>
      </c>
      <c r="J348" s="3">
        <v>985.91</v>
      </c>
      <c r="K348" s="4">
        <v>774629.24500000011</v>
      </c>
      <c r="L348" s="4">
        <v>0.25103274394276309</v>
      </c>
      <c r="M348" s="3">
        <v>3</v>
      </c>
      <c r="N348" t="s">
        <v>1181</v>
      </c>
      <c r="O348" s="4">
        <v>9.6246472676099398E-2</v>
      </c>
      <c r="P348" t="s">
        <v>1172</v>
      </c>
      <c r="Q348" t="s">
        <v>865</v>
      </c>
      <c r="R348" t="s">
        <v>842</v>
      </c>
    </row>
    <row r="349" spans="1:18" x14ac:dyDescent="0.4">
      <c r="A349" s="2">
        <v>45881</v>
      </c>
      <c r="B349" t="s">
        <v>29</v>
      </c>
      <c r="C349" t="s">
        <v>747</v>
      </c>
      <c r="D349" s="3" t="str">
        <f t="shared" si="10"/>
        <v>PASS</v>
      </c>
      <c r="E349" s="3" t="str">
        <f t="shared" si="11"/>
        <v>PASS</v>
      </c>
      <c r="F349" t="s">
        <v>747</v>
      </c>
      <c r="G349" t="s">
        <v>747</v>
      </c>
      <c r="H349" s="3">
        <v>34895278.43</v>
      </c>
      <c r="I349" s="3">
        <v>34433681.479680002</v>
      </c>
      <c r="J349" s="3">
        <v>2336.44</v>
      </c>
      <c r="K349" s="4">
        <v>1744763.9214999999</v>
      </c>
      <c r="L349" s="4">
        <v>0.23380069753926641</v>
      </c>
      <c r="M349" s="3">
        <v>3</v>
      </c>
      <c r="N349" t="s">
        <v>1182</v>
      </c>
      <c r="O349" s="4">
        <v>4.3088970695454622E-2</v>
      </c>
      <c r="P349" t="s">
        <v>1172</v>
      </c>
      <c r="Q349" t="s">
        <v>1146</v>
      </c>
      <c r="R349" t="s">
        <v>1158</v>
      </c>
    </row>
    <row r="350" spans="1:18" x14ac:dyDescent="0.4">
      <c r="A350" s="2">
        <v>45881</v>
      </c>
      <c r="B350" t="s">
        <v>30</v>
      </c>
      <c r="C350" t="s">
        <v>747</v>
      </c>
      <c r="D350" s="3" t="str">
        <f t="shared" si="10"/>
        <v>PASS</v>
      </c>
      <c r="E350" s="3" t="str">
        <f t="shared" si="11"/>
        <v>PASS</v>
      </c>
      <c r="F350" t="s">
        <v>747</v>
      </c>
      <c r="G350" t="s">
        <v>747</v>
      </c>
      <c r="H350" s="3">
        <v>55130368.969999999</v>
      </c>
      <c r="I350" s="3">
        <v>52393861.788063988</v>
      </c>
      <c r="J350" s="3">
        <v>3592.3</v>
      </c>
      <c r="K350" s="4">
        <v>2756518.4484999999</v>
      </c>
      <c r="L350" s="4">
        <v>0</v>
      </c>
      <c r="M350" s="3">
        <v>0</v>
      </c>
      <c r="N350" t="s">
        <v>23</v>
      </c>
      <c r="O350" s="4">
        <v>3.7978312991218142E-2</v>
      </c>
      <c r="P350" t="s">
        <v>1183</v>
      </c>
      <c r="Q350" t="s">
        <v>1149</v>
      </c>
      <c r="R350" t="s">
        <v>1184</v>
      </c>
    </row>
    <row r="351" spans="1:18" x14ac:dyDescent="0.4">
      <c r="A351" s="2">
        <v>45881</v>
      </c>
      <c r="B351" t="s">
        <v>31</v>
      </c>
      <c r="C351" t="s">
        <v>747</v>
      </c>
      <c r="D351" s="3" t="str">
        <f t="shared" si="10"/>
        <v>PASS</v>
      </c>
      <c r="E351" s="3" t="str">
        <f t="shared" si="11"/>
        <v>PASS</v>
      </c>
      <c r="F351" t="s">
        <v>747</v>
      </c>
      <c r="G351" t="s">
        <v>747</v>
      </c>
      <c r="H351" s="3">
        <v>40621849.460000001</v>
      </c>
      <c r="I351" s="3">
        <v>38860640.475256003</v>
      </c>
      <c r="J351" s="3">
        <v>2525.4</v>
      </c>
      <c r="K351" s="4">
        <v>2031092.473</v>
      </c>
      <c r="L351" s="4">
        <v>0.25027889002175252</v>
      </c>
      <c r="M351" s="3">
        <v>3</v>
      </c>
      <c r="N351" t="s">
        <v>1185</v>
      </c>
      <c r="O351" s="4">
        <v>9.742109327525432E-2</v>
      </c>
      <c r="P351" t="s">
        <v>1172</v>
      </c>
      <c r="Q351" t="s">
        <v>849</v>
      </c>
      <c r="R351" t="s">
        <v>871</v>
      </c>
    </row>
    <row r="352" spans="1:18" x14ac:dyDescent="0.4">
      <c r="A352" s="2">
        <v>45881</v>
      </c>
      <c r="B352" t="s">
        <v>32</v>
      </c>
      <c r="C352" t="s">
        <v>747</v>
      </c>
      <c r="D352" s="3" t="str">
        <f t="shared" si="10"/>
        <v>PASS</v>
      </c>
      <c r="E352" s="3" t="str">
        <f t="shared" si="11"/>
        <v>PASS</v>
      </c>
      <c r="F352" t="s">
        <v>747</v>
      </c>
      <c r="G352" t="s">
        <v>747</v>
      </c>
      <c r="H352" s="3">
        <v>79242609.920000002</v>
      </c>
      <c r="I352" s="3">
        <v>77484816.958368003</v>
      </c>
      <c r="J352" s="3">
        <v>5091.42</v>
      </c>
      <c r="K352" s="4">
        <v>3962130.4959999998</v>
      </c>
      <c r="L352" s="4">
        <v>0.24496392638996481</v>
      </c>
      <c r="M352" s="3">
        <v>3</v>
      </c>
      <c r="N352" t="s">
        <v>1186</v>
      </c>
      <c r="O352" s="4">
        <v>7.6907837645941085E-2</v>
      </c>
      <c r="P352" t="s">
        <v>1172</v>
      </c>
      <c r="Q352" t="s">
        <v>885</v>
      </c>
      <c r="R352" t="s">
        <v>1152</v>
      </c>
    </row>
    <row r="353" spans="1:18" x14ac:dyDescent="0.4">
      <c r="A353" s="2">
        <v>45881</v>
      </c>
      <c r="B353" t="s">
        <v>33</v>
      </c>
      <c r="C353" t="s">
        <v>747</v>
      </c>
      <c r="D353" s="3" t="str">
        <f t="shared" si="10"/>
        <v>PASS</v>
      </c>
      <c r="E353" s="3" t="str">
        <f t="shared" si="11"/>
        <v>PASS</v>
      </c>
      <c r="F353" t="s">
        <v>747</v>
      </c>
      <c r="G353" t="s">
        <v>747</v>
      </c>
      <c r="H353" s="3">
        <v>166983604.78</v>
      </c>
      <c r="I353" s="3">
        <v>159635534.18551201</v>
      </c>
      <c r="J353" s="3">
        <v>10312.73</v>
      </c>
      <c r="K353" s="4">
        <v>8349180.2390000001</v>
      </c>
      <c r="L353" s="4">
        <v>0.25208863193876357</v>
      </c>
      <c r="M353" s="3">
        <v>3</v>
      </c>
      <c r="N353" t="s">
        <v>1174</v>
      </c>
      <c r="O353" s="4">
        <v>9.9130621699781471E-2</v>
      </c>
      <c r="P353" t="s">
        <v>1172</v>
      </c>
      <c r="Q353" t="s">
        <v>842</v>
      </c>
      <c r="R353" t="s">
        <v>885</v>
      </c>
    </row>
    <row r="354" spans="1:18" x14ac:dyDescent="0.4">
      <c r="A354" s="2">
        <v>45882</v>
      </c>
      <c r="B354" t="s">
        <v>21</v>
      </c>
      <c r="C354" t="s">
        <v>747</v>
      </c>
      <c r="D354" s="3" t="str">
        <f t="shared" si="10"/>
        <v>PASS</v>
      </c>
      <c r="E354" s="3" t="str">
        <f t="shared" si="11"/>
        <v>PASS</v>
      </c>
      <c r="F354" t="s">
        <v>747</v>
      </c>
      <c r="G354" t="s">
        <v>747</v>
      </c>
      <c r="H354" s="3">
        <v>24667269.309999999</v>
      </c>
      <c r="I354" s="3">
        <v>23492608.509659991</v>
      </c>
      <c r="J354" s="3">
        <v>1501.67</v>
      </c>
      <c r="K354" s="4">
        <v>1233363.4654999999</v>
      </c>
      <c r="L354" s="4">
        <v>0.25663649605599159</v>
      </c>
      <c r="M354" s="3">
        <v>3</v>
      </c>
      <c r="N354" t="s">
        <v>1187</v>
      </c>
      <c r="O354" s="4">
        <v>0.112547300423502</v>
      </c>
      <c r="P354" t="s">
        <v>1188</v>
      </c>
      <c r="Q354" t="s">
        <v>1055</v>
      </c>
      <c r="R354" t="s">
        <v>833</v>
      </c>
    </row>
    <row r="355" spans="1:18" x14ac:dyDescent="0.4">
      <c r="A355" s="2">
        <v>45882</v>
      </c>
      <c r="B355" t="s">
        <v>24</v>
      </c>
      <c r="C355" t="s">
        <v>747</v>
      </c>
      <c r="D355" s="3" t="str">
        <f t="shared" si="10"/>
        <v>PASS</v>
      </c>
      <c r="E355" s="3" t="str">
        <f t="shared" si="11"/>
        <v>PASS</v>
      </c>
      <c r="F355" t="s">
        <v>747</v>
      </c>
      <c r="G355" t="s">
        <v>747</v>
      </c>
      <c r="H355" s="3">
        <v>137577697.63</v>
      </c>
      <c r="I355" s="3">
        <v>135678954.39019999</v>
      </c>
      <c r="J355" s="3">
        <v>8727.23</v>
      </c>
      <c r="K355" s="4">
        <v>6878884.8815000001</v>
      </c>
      <c r="L355" s="4">
        <v>0.25151213021279317</v>
      </c>
      <c r="M355" s="3">
        <v>3</v>
      </c>
      <c r="N355" t="s">
        <v>1189</v>
      </c>
      <c r="O355" s="4">
        <v>8.3089536219330615E-2</v>
      </c>
      <c r="P355" t="s">
        <v>1188</v>
      </c>
      <c r="Q355" t="s">
        <v>898</v>
      </c>
      <c r="R355" t="s">
        <v>912</v>
      </c>
    </row>
    <row r="356" spans="1:18" x14ac:dyDescent="0.4">
      <c r="A356" s="2">
        <v>45882</v>
      </c>
      <c r="B356" t="s">
        <v>25</v>
      </c>
      <c r="C356" t="s">
        <v>747</v>
      </c>
      <c r="D356" s="3" t="str">
        <f t="shared" si="10"/>
        <v>PASS</v>
      </c>
      <c r="E356" s="3" t="str">
        <f t="shared" si="11"/>
        <v>PASS</v>
      </c>
      <c r="F356" t="s">
        <v>747</v>
      </c>
      <c r="G356" t="s">
        <v>747</v>
      </c>
      <c r="H356" s="3">
        <v>102579625.45999999</v>
      </c>
      <c r="I356" s="3">
        <v>99208862.906671003</v>
      </c>
      <c r="J356" s="3">
        <v>6711.74</v>
      </c>
      <c r="K356" s="4">
        <v>5128981.273</v>
      </c>
      <c r="L356" s="4">
        <v>0.23755700803889371</v>
      </c>
      <c r="M356" s="3">
        <v>3</v>
      </c>
      <c r="N356" t="s">
        <v>1190</v>
      </c>
      <c r="O356" s="4">
        <v>6.5320528385861804E-2</v>
      </c>
      <c r="P356" t="s">
        <v>1188</v>
      </c>
      <c r="Q356" t="s">
        <v>1146</v>
      </c>
      <c r="R356" t="s">
        <v>1191</v>
      </c>
    </row>
    <row r="357" spans="1:18" x14ac:dyDescent="0.4">
      <c r="A357" s="2">
        <v>45882</v>
      </c>
      <c r="B357" t="s">
        <v>26</v>
      </c>
      <c r="C357" t="s">
        <v>747</v>
      </c>
      <c r="D357" s="3" t="str">
        <f t="shared" si="10"/>
        <v>PASS</v>
      </c>
      <c r="E357" s="3" t="str">
        <f t="shared" si="11"/>
        <v>PASS</v>
      </c>
      <c r="F357" t="s">
        <v>747</v>
      </c>
      <c r="G357" t="s">
        <v>747</v>
      </c>
      <c r="H357" s="3">
        <v>23816542.239999998</v>
      </c>
      <c r="I357" s="3">
        <v>23119733.614610009</v>
      </c>
      <c r="J357" s="3">
        <v>1562.08</v>
      </c>
      <c r="K357" s="4">
        <v>1190827.112</v>
      </c>
      <c r="L357" s="4">
        <v>0.2374844517124157</v>
      </c>
      <c r="M357" s="3">
        <v>3</v>
      </c>
      <c r="N357" t="s">
        <v>1190</v>
      </c>
      <c r="O357" s="4">
        <v>6.0676208999934172E-2</v>
      </c>
      <c r="P357" t="s">
        <v>1188</v>
      </c>
      <c r="Q357" t="s">
        <v>1146</v>
      </c>
      <c r="R357" t="s">
        <v>1192</v>
      </c>
    </row>
    <row r="358" spans="1:18" x14ac:dyDescent="0.4">
      <c r="A358" s="2">
        <v>45882</v>
      </c>
      <c r="B358" t="s">
        <v>27</v>
      </c>
      <c r="C358" t="s">
        <v>747</v>
      </c>
      <c r="D358" s="3" t="str">
        <f t="shared" si="10"/>
        <v>PASS</v>
      </c>
      <c r="E358" s="3" t="str">
        <f t="shared" si="11"/>
        <v>PASS</v>
      </c>
      <c r="F358" t="s">
        <v>747</v>
      </c>
      <c r="G358" t="s">
        <v>747</v>
      </c>
      <c r="H358" s="3">
        <v>43693467.939999998</v>
      </c>
      <c r="I358" s="3">
        <v>42907413.540456012</v>
      </c>
      <c r="J358" s="3">
        <v>2678.7</v>
      </c>
      <c r="K358" s="4">
        <v>2184673.3969999999</v>
      </c>
      <c r="L358" s="4">
        <v>0.26243327444507408</v>
      </c>
      <c r="M358" s="3">
        <v>3</v>
      </c>
      <c r="N358" t="s">
        <v>1193</v>
      </c>
      <c r="O358" s="4">
        <v>0.1129837891841185</v>
      </c>
      <c r="P358" t="s">
        <v>1188</v>
      </c>
      <c r="Q358" t="s">
        <v>1194</v>
      </c>
      <c r="R358" t="s">
        <v>863</v>
      </c>
    </row>
    <row r="359" spans="1:18" x14ac:dyDescent="0.4">
      <c r="A359" s="2">
        <v>45882</v>
      </c>
      <c r="B359" t="s">
        <v>28</v>
      </c>
      <c r="C359" t="s">
        <v>747</v>
      </c>
      <c r="D359" s="3" t="str">
        <f t="shared" si="10"/>
        <v>PASS</v>
      </c>
      <c r="E359" s="3" t="str">
        <f t="shared" si="11"/>
        <v>PASS</v>
      </c>
      <c r="F359" t="s">
        <v>747</v>
      </c>
      <c r="G359" t="s">
        <v>747</v>
      </c>
      <c r="H359" s="3">
        <v>15508747.98</v>
      </c>
      <c r="I359" s="3">
        <v>15261251.936577</v>
      </c>
      <c r="J359" s="3">
        <v>992.31</v>
      </c>
      <c r="K359" s="4">
        <v>775437.39900000009</v>
      </c>
      <c r="L359" s="4">
        <v>0.25037389434372892</v>
      </c>
      <c r="M359" s="3">
        <v>3</v>
      </c>
      <c r="N359" t="s">
        <v>1195</v>
      </c>
      <c r="O359" s="4">
        <v>9.6666650235746499E-2</v>
      </c>
      <c r="P359" t="s">
        <v>1188</v>
      </c>
      <c r="Q359" t="s">
        <v>865</v>
      </c>
      <c r="R359" t="s">
        <v>1196</v>
      </c>
    </row>
    <row r="360" spans="1:18" x14ac:dyDescent="0.4">
      <c r="A360" s="2">
        <v>45882</v>
      </c>
      <c r="B360" t="s">
        <v>29</v>
      </c>
      <c r="C360" t="s">
        <v>747</v>
      </c>
      <c r="D360" s="3" t="str">
        <f t="shared" si="10"/>
        <v>PASS</v>
      </c>
      <c r="E360" s="3" t="str">
        <f t="shared" si="11"/>
        <v>PASS</v>
      </c>
      <c r="F360" t="s">
        <v>747</v>
      </c>
      <c r="G360" t="s">
        <v>747</v>
      </c>
      <c r="H360" s="3">
        <v>34932199.079999998</v>
      </c>
      <c r="I360" s="3">
        <v>34470381.098499008</v>
      </c>
      <c r="J360" s="3">
        <v>2353.02</v>
      </c>
      <c r="K360" s="4">
        <v>1746609.9539999999</v>
      </c>
      <c r="L360" s="4">
        <v>0.23310168819109611</v>
      </c>
      <c r="M360" s="3">
        <v>3</v>
      </c>
      <c r="N360" t="s">
        <v>1197</v>
      </c>
      <c r="O360" s="4">
        <v>4.3387283034429583E-2</v>
      </c>
      <c r="P360" t="s">
        <v>1188</v>
      </c>
      <c r="Q360" t="s">
        <v>1198</v>
      </c>
      <c r="R360" t="s">
        <v>1176</v>
      </c>
    </row>
    <row r="361" spans="1:18" x14ac:dyDescent="0.4">
      <c r="A361" s="2">
        <v>45882</v>
      </c>
      <c r="B361" t="s">
        <v>30</v>
      </c>
      <c r="C361" t="s">
        <v>747</v>
      </c>
      <c r="D361" s="3" t="str">
        <f t="shared" si="10"/>
        <v>PASS</v>
      </c>
      <c r="E361" s="3" t="str">
        <f t="shared" si="11"/>
        <v>PASS</v>
      </c>
      <c r="F361" t="s">
        <v>747</v>
      </c>
      <c r="G361" t="s">
        <v>747</v>
      </c>
      <c r="H361" s="3">
        <v>55565609.350000001</v>
      </c>
      <c r="I361" s="3">
        <v>52919313.861086003</v>
      </c>
      <c r="J361" s="3">
        <v>3622.95</v>
      </c>
      <c r="K361" s="4">
        <v>2778280.4674999998</v>
      </c>
      <c r="L361" s="4">
        <v>0</v>
      </c>
      <c r="M361" s="3">
        <v>0</v>
      </c>
      <c r="N361" t="s">
        <v>23</v>
      </c>
      <c r="O361" s="4">
        <v>3.7973669429146643E-2</v>
      </c>
      <c r="P361" t="s">
        <v>1199</v>
      </c>
      <c r="Q361" t="s">
        <v>1200</v>
      </c>
      <c r="R361" t="s">
        <v>1201</v>
      </c>
    </row>
    <row r="362" spans="1:18" x14ac:dyDescent="0.4">
      <c r="A362" s="2">
        <v>45882</v>
      </c>
      <c r="B362" t="s">
        <v>31</v>
      </c>
      <c r="C362" t="s">
        <v>747</v>
      </c>
      <c r="D362" s="3" t="str">
        <f t="shared" si="10"/>
        <v>PASS</v>
      </c>
      <c r="E362" s="3" t="str">
        <f t="shared" si="11"/>
        <v>PASS</v>
      </c>
      <c r="F362" t="s">
        <v>747</v>
      </c>
      <c r="G362" t="s">
        <v>747</v>
      </c>
      <c r="H362" s="3">
        <v>40662985.090000004</v>
      </c>
      <c r="I362" s="3">
        <v>38904734.400458999</v>
      </c>
      <c r="J362" s="3">
        <v>2540.9699999999998</v>
      </c>
      <c r="K362" s="4">
        <v>2033149.2545</v>
      </c>
      <c r="L362" s="4">
        <v>0.24959719951032069</v>
      </c>
      <c r="M362" s="3">
        <v>3</v>
      </c>
      <c r="N362" t="s">
        <v>1202</v>
      </c>
      <c r="O362" s="4">
        <v>9.7748335781587356E-2</v>
      </c>
      <c r="P362" t="s">
        <v>1188</v>
      </c>
      <c r="Q362" t="s">
        <v>871</v>
      </c>
      <c r="R362" t="s">
        <v>851</v>
      </c>
    </row>
    <row r="363" spans="1:18" x14ac:dyDescent="0.4">
      <c r="A363" s="2">
        <v>45882</v>
      </c>
      <c r="B363" t="s">
        <v>32</v>
      </c>
      <c r="C363" t="s">
        <v>747</v>
      </c>
      <c r="D363" s="3" t="str">
        <f t="shared" si="10"/>
        <v>PASS</v>
      </c>
      <c r="E363" s="3" t="str">
        <f t="shared" si="11"/>
        <v>PASS</v>
      </c>
      <c r="F363" t="s">
        <v>747</v>
      </c>
      <c r="G363" t="s">
        <v>747</v>
      </c>
      <c r="H363" s="3">
        <v>79337383.75</v>
      </c>
      <c r="I363" s="3">
        <v>77579067.522618011</v>
      </c>
      <c r="J363" s="3">
        <v>5126.84</v>
      </c>
      <c r="K363" s="4">
        <v>3966869.1875</v>
      </c>
      <c r="L363" s="4">
        <v>0.24425919132466939</v>
      </c>
      <c r="M363" s="3">
        <v>3</v>
      </c>
      <c r="N363" t="s">
        <v>1203</v>
      </c>
      <c r="O363" s="4">
        <v>7.7306975132237082E-2</v>
      </c>
      <c r="P363" t="s">
        <v>1188</v>
      </c>
      <c r="Q363" t="s">
        <v>885</v>
      </c>
      <c r="R363" t="s">
        <v>1123</v>
      </c>
    </row>
    <row r="364" spans="1:18" x14ac:dyDescent="0.4">
      <c r="A364" s="2">
        <v>45882</v>
      </c>
      <c r="B364" t="s">
        <v>33</v>
      </c>
      <c r="C364" t="s">
        <v>747</v>
      </c>
      <c r="D364" s="3" t="str">
        <f t="shared" si="10"/>
        <v>PASS</v>
      </c>
      <c r="E364" s="3" t="str">
        <f t="shared" si="11"/>
        <v>PASS</v>
      </c>
      <c r="F364" t="s">
        <v>747</v>
      </c>
      <c r="G364" t="s">
        <v>747</v>
      </c>
      <c r="H364" s="3">
        <v>167130197.78</v>
      </c>
      <c r="I364" s="3">
        <v>159831070.495226</v>
      </c>
      <c r="J364" s="3">
        <v>10368.24</v>
      </c>
      <c r="K364" s="4">
        <v>8356509.8890000004</v>
      </c>
      <c r="L364" s="4">
        <v>0.25146927334768188</v>
      </c>
      <c r="M364" s="3">
        <v>3</v>
      </c>
      <c r="N364" t="s">
        <v>1204</v>
      </c>
      <c r="O364" s="4">
        <v>9.954880539976825E-2</v>
      </c>
      <c r="P364" t="s">
        <v>1188</v>
      </c>
      <c r="Q364" t="s">
        <v>885</v>
      </c>
      <c r="R364" t="s">
        <v>1196</v>
      </c>
    </row>
    <row r="365" spans="1:18" x14ac:dyDescent="0.4">
      <c r="A365" s="2">
        <v>45883</v>
      </c>
      <c r="B365" t="s">
        <v>21</v>
      </c>
      <c r="C365" t="s">
        <v>747</v>
      </c>
      <c r="D365" s="3" t="str">
        <f t="shared" si="10"/>
        <v>PASS</v>
      </c>
      <c r="E365" s="3" t="str">
        <f t="shared" si="11"/>
        <v>PASS</v>
      </c>
      <c r="F365" t="s">
        <v>747</v>
      </c>
      <c r="G365" t="s">
        <v>747</v>
      </c>
      <c r="H365" s="3">
        <v>24687125.530000001</v>
      </c>
      <c r="I365" s="3">
        <v>23517210.090638999</v>
      </c>
      <c r="J365" s="3">
        <v>1503.28</v>
      </c>
      <c r="K365" s="4">
        <v>1234356.2764999999</v>
      </c>
      <c r="L365" s="4">
        <v>0.25607883768811801</v>
      </c>
      <c r="M365" s="3">
        <v>3</v>
      </c>
      <c r="N365" t="s">
        <v>1205</v>
      </c>
      <c r="O365" s="4">
        <v>0.1118719231723775</v>
      </c>
      <c r="P365" t="s">
        <v>1206</v>
      </c>
      <c r="Q365" t="s">
        <v>1207</v>
      </c>
      <c r="R365" t="s">
        <v>941</v>
      </c>
    </row>
    <row r="366" spans="1:18" x14ac:dyDescent="0.4">
      <c r="A366" s="2">
        <v>45883</v>
      </c>
      <c r="B366" t="s">
        <v>24</v>
      </c>
      <c r="C366" t="s">
        <v>747</v>
      </c>
      <c r="D366" s="3" t="str">
        <f t="shared" si="10"/>
        <v>PASS</v>
      </c>
      <c r="E366" s="3" t="str">
        <f t="shared" si="11"/>
        <v>PASS</v>
      </c>
      <c r="F366" t="s">
        <v>747</v>
      </c>
      <c r="G366" t="s">
        <v>747</v>
      </c>
      <c r="H366" s="3">
        <v>137739169.83000001</v>
      </c>
      <c r="I366" s="3">
        <v>135910872.428455</v>
      </c>
      <c r="J366" s="3">
        <v>8737.81</v>
      </c>
      <c r="K366" s="4">
        <v>6886958.4915000014</v>
      </c>
      <c r="L366" s="4">
        <v>0.25111503851811562</v>
      </c>
      <c r="M366" s="3">
        <v>3</v>
      </c>
      <c r="N366" t="s">
        <v>1208</v>
      </c>
      <c r="O366" s="4">
        <v>8.2941300448921118E-2</v>
      </c>
      <c r="P366" t="s">
        <v>1206</v>
      </c>
      <c r="Q366" t="s">
        <v>883</v>
      </c>
      <c r="R366" t="s">
        <v>833</v>
      </c>
    </row>
    <row r="367" spans="1:18" x14ac:dyDescent="0.4">
      <c r="A367" s="2">
        <v>45883</v>
      </c>
      <c r="B367" t="s">
        <v>25</v>
      </c>
      <c r="C367" t="s">
        <v>747</v>
      </c>
      <c r="D367" s="3" t="str">
        <f t="shared" si="10"/>
        <v>PASS</v>
      </c>
      <c r="E367" s="3" t="str">
        <f t="shared" si="11"/>
        <v>PASS</v>
      </c>
      <c r="F367" t="s">
        <v>747</v>
      </c>
      <c r="G367" t="s">
        <v>747</v>
      </c>
      <c r="H367" s="3">
        <v>102686190.28</v>
      </c>
      <c r="I367" s="3">
        <v>99359175.43506597</v>
      </c>
      <c r="J367" s="3">
        <v>6717.95</v>
      </c>
      <c r="K367" s="4">
        <v>5134309.5140000004</v>
      </c>
      <c r="L367" s="4">
        <v>0.23714527426643589</v>
      </c>
      <c r="M367" s="3">
        <v>3</v>
      </c>
      <c r="N367" t="s">
        <v>1209</v>
      </c>
      <c r="O367" s="4">
        <v>6.4884462817233271E-2</v>
      </c>
      <c r="P367" t="s">
        <v>1206</v>
      </c>
      <c r="Q367" t="s">
        <v>1130</v>
      </c>
      <c r="R367" t="s">
        <v>1191</v>
      </c>
    </row>
    <row r="368" spans="1:18" x14ac:dyDescent="0.4">
      <c r="A368" s="2">
        <v>45883</v>
      </c>
      <c r="B368" t="s">
        <v>26</v>
      </c>
      <c r="C368" t="s">
        <v>747</v>
      </c>
      <c r="D368" s="3" t="str">
        <f t="shared" si="10"/>
        <v>PASS</v>
      </c>
      <c r="E368" s="3" t="str">
        <f t="shared" si="11"/>
        <v>PASS</v>
      </c>
      <c r="F368" t="s">
        <v>747</v>
      </c>
      <c r="G368" t="s">
        <v>747</v>
      </c>
      <c r="H368" s="3">
        <v>23844178.210000001</v>
      </c>
      <c r="I368" s="3">
        <v>23165142.411809001</v>
      </c>
      <c r="J368" s="3">
        <v>1563.59</v>
      </c>
      <c r="K368" s="4">
        <v>1192208.9105</v>
      </c>
      <c r="L368" s="4">
        <v>0.23708109586028631</v>
      </c>
      <c r="M368" s="3">
        <v>3</v>
      </c>
      <c r="N368" t="s">
        <v>1209</v>
      </c>
      <c r="O368" s="4">
        <v>6.0329976950335838E-2</v>
      </c>
      <c r="P368" t="s">
        <v>1206</v>
      </c>
      <c r="Q368" t="s">
        <v>1130</v>
      </c>
      <c r="R368" t="s">
        <v>1192</v>
      </c>
    </row>
    <row r="369" spans="1:18" x14ac:dyDescent="0.4">
      <c r="A369" s="2">
        <v>45883</v>
      </c>
      <c r="B369" t="s">
        <v>27</v>
      </c>
      <c r="C369" t="s">
        <v>747</v>
      </c>
      <c r="D369" s="3" t="str">
        <f t="shared" si="10"/>
        <v>PASS</v>
      </c>
      <c r="E369" s="3" t="str">
        <f t="shared" si="11"/>
        <v>PASS</v>
      </c>
      <c r="F369" t="s">
        <v>747</v>
      </c>
      <c r="G369" t="s">
        <v>747</v>
      </c>
      <c r="H369" s="3">
        <v>43736908.579999998</v>
      </c>
      <c r="I369" s="3">
        <v>42981297.064663999</v>
      </c>
      <c r="J369" s="3">
        <v>2682.18</v>
      </c>
      <c r="K369" s="4">
        <v>2186845.429</v>
      </c>
      <c r="L369" s="4">
        <v>0.2619804486153734</v>
      </c>
      <c r="M369" s="3">
        <v>3</v>
      </c>
      <c r="N369" t="s">
        <v>1210</v>
      </c>
      <c r="O369" s="4">
        <v>0.1127367650058087</v>
      </c>
      <c r="P369" t="s">
        <v>1206</v>
      </c>
      <c r="Q369" t="s">
        <v>1211</v>
      </c>
      <c r="R369" t="s">
        <v>1143</v>
      </c>
    </row>
    <row r="370" spans="1:18" x14ac:dyDescent="0.4">
      <c r="A370" s="2">
        <v>45883</v>
      </c>
      <c r="B370" t="s">
        <v>28</v>
      </c>
      <c r="C370" t="s">
        <v>747</v>
      </c>
      <c r="D370" s="3" t="str">
        <f t="shared" si="10"/>
        <v>PASS</v>
      </c>
      <c r="E370" s="3" t="str">
        <f t="shared" si="11"/>
        <v>PASS</v>
      </c>
      <c r="F370" t="s">
        <v>747</v>
      </c>
      <c r="G370" t="s">
        <v>747</v>
      </c>
      <c r="H370" s="3">
        <v>15523839.119999999</v>
      </c>
      <c r="I370" s="3">
        <v>15279576.176777</v>
      </c>
      <c r="J370" s="3">
        <v>993.42</v>
      </c>
      <c r="K370" s="4">
        <v>776191.95600000001</v>
      </c>
      <c r="L370" s="4">
        <v>0.249962894068707</v>
      </c>
      <c r="M370" s="3">
        <v>3</v>
      </c>
      <c r="N370" t="s">
        <v>1212</v>
      </c>
      <c r="O370" s="4">
        <v>9.6370686736220207E-2</v>
      </c>
      <c r="P370" t="s">
        <v>1206</v>
      </c>
      <c r="Q370" t="s">
        <v>924</v>
      </c>
      <c r="R370" t="s">
        <v>849</v>
      </c>
    </row>
    <row r="371" spans="1:18" x14ac:dyDescent="0.4">
      <c r="A371" s="2">
        <v>45883</v>
      </c>
      <c r="B371" t="s">
        <v>29</v>
      </c>
      <c r="C371" t="s">
        <v>747</v>
      </c>
      <c r="D371" s="3" t="str">
        <f t="shared" si="10"/>
        <v>PASS</v>
      </c>
      <c r="E371" s="3" t="str">
        <f t="shared" si="11"/>
        <v>PASS</v>
      </c>
      <c r="F371" t="s">
        <v>747</v>
      </c>
      <c r="G371" t="s">
        <v>747</v>
      </c>
      <c r="H371" s="3">
        <v>34975579.340000004</v>
      </c>
      <c r="I371" s="3">
        <v>34536137.493602</v>
      </c>
      <c r="J371" s="3">
        <v>2355.54</v>
      </c>
      <c r="K371" s="4">
        <v>1748778.9669999999</v>
      </c>
      <c r="L371" s="4">
        <v>0.23280039068318001</v>
      </c>
      <c r="M371" s="3">
        <v>3</v>
      </c>
      <c r="N371" t="s">
        <v>1213</v>
      </c>
      <c r="O371" s="4">
        <v>4.3293785326101758E-2</v>
      </c>
      <c r="P371" t="s">
        <v>1206</v>
      </c>
      <c r="Q371" t="s">
        <v>1146</v>
      </c>
      <c r="R371" t="s">
        <v>1176</v>
      </c>
    </row>
    <row r="372" spans="1:18" x14ac:dyDescent="0.4">
      <c r="A372" s="2">
        <v>45883</v>
      </c>
      <c r="B372" t="s">
        <v>30</v>
      </c>
      <c r="C372" t="s">
        <v>747</v>
      </c>
      <c r="D372" s="3" t="str">
        <f t="shared" si="10"/>
        <v>PASS</v>
      </c>
      <c r="E372" s="3" t="str">
        <f t="shared" si="11"/>
        <v>PASS</v>
      </c>
      <c r="F372" t="s">
        <v>747</v>
      </c>
      <c r="G372" t="s">
        <v>747</v>
      </c>
      <c r="H372" s="3">
        <v>55447250.049999997</v>
      </c>
      <c r="I372" s="3">
        <v>52859702.581913002</v>
      </c>
      <c r="J372" s="3">
        <v>3654.28</v>
      </c>
      <c r="K372" s="4">
        <v>2772362.5024999999</v>
      </c>
      <c r="L372" s="4">
        <v>0</v>
      </c>
      <c r="M372" s="3">
        <v>0</v>
      </c>
      <c r="N372" t="s">
        <v>23</v>
      </c>
      <c r="O372" s="4">
        <v>3.7755542971476909E-2</v>
      </c>
      <c r="P372" t="s">
        <v>1214</v>
      </c>
      <c r="Q372" t="s">
        <v>1215</v>
      </c>
      <c r="R372" t="s">
        <v>1216</v>
      </c>
    </row>
    <row r="373" spans="1:18" x14ac:dyDescent="0.4">
      <c r="A373" s="2">
        <v>45883</v>
      </c>
      <c r="B373" t="s">
        <v>31</v>
      </c>
      <c r="C373" t="s">
        <v>747</v>
      </c>
      <c r="D373" s="3" t="str">
        <f t="shared" si="10"/>
        <v>PASS</v>
      </c>
      <c r="E373" s="3" t="str">
        <f t="shared" si="11"/>
        <v>PASS</v>
      </c>
      <c r="F373" t="s">
        <v>747</v>
      </c>
      <c r="G373" t="s">
        <v>747</v>
      </c>
      <c r="H373" s="3">
        <v>40703366.57</v>
      </c>
      <c r="I373" s="3">
        <v>38987277.598821007</v>
      </c>
      <c r="J373" s="3">
        <v>2543.7800000000002</v>
      </c>
      <c r="K373" s="4">
        <v>2035168.3285000001</v>
      </c>
      <c r="L373" s="4">
        <v>0.24909936244518471</v>
      </c>
      <c r="M373" s="3">
        <v>3</v>
      </c>
      <c r="N373" t="s">
        <v>1217</v>
      </c>
      <c r="O373" s="4">
        <v>9.7253512483132187E-2</v>
      </c>
      <c r="P373" t="s">
        <v>1206</v>
      </c>
      <c r="Q373" t="s">
        <v>865</v>
      </c>
      <c r="R373" t="s">
        <v>912</v>
      </c>
    </row>
    <row r="374" spans="1:18" x14ac:dyDescent="0.4">
      <c r="A374" s="2">
        <v>45883</v>
      </c>
      <c r="B374" t="s">
        <v>32</v>
      </c>
      <c r="C374" t="s">
        <v>747</v>
      </c>
      <c r="D374" s="3" t="str">
        <f t="shared" si="10"/>
        <v>PASS</v>
      </c>
      <c r="E374" s="3" t="str">
        <f t="shared" si="11"/>
        <v>PASS</v>
      </c>
      <c r="F374" t="s">
        <v>747</v>
      </c>
      <c r="G374" t="s">
        <v>747</v>
      </c>
      <c r="H374" s="3">
        <v>79429720.640000001</v>
      </c>
      <c r="I374" s="3">
        <v>77718875.498861998</v>
      </c>
      <c r="J374" s="3">
        <v>5133.37</v>
      </c>
      <c r="K374" s="4">
        <v>3971486.0320000001</v>
      </c>
      <c r="L374" s="4">
        <v>0.24387157623907771</v>
      </c>
      <c r="M374" s="3">
        <v>3</v>
      </c>
      <c r="N374" t="s">
        <v>1218</v>
      </c>
      <c r="O374" s="4">
        <v>7.7110790388170758E-2</v>
      </c>
      <c r="P374" t="s">
        <v>1206</v>
      </c>
      <c r="Q374" t="s">
        <v>924</v>
      </c>
      <c r="R374" t="s">
        <v>1152</v>
      </c>
    </row>
    <row r="375" spans="1:18" x14ac:dyDescent="0.4">
      <c r="A375" s="2">
        <v>45883</v>
      </c>
      <c r="B375" t="s">
        <v>33</v>
      </c>
      <c r="C375" t="s">
        <v>747</v>
      </c>
      <c r="D375" s="3" t="str">
        <f t="shared" si="10"/>
        <v>PASS</v>
      </c>
      <c r="E375" s="3" t="str">
        <f t="shared" si="11"/>
        <v>PASS</v>
      </c>
      <c r="F375" t="s">
        <v>747</v>
      </c>
      <c r="G375" t="s">
        <v>747</v>
      </c>
      <c r="H375" s="3">
        <v>167285412.21000001</v>
      </c>
      <c r="I375" s="3">
        <v>160055178.32172999</v>
      </c>
      <c r="J375" s="3">
        <v>10378.17</v>
      </c>
      <c r="K375" s="4">
        <v>8364270.6105000004</v>
      </c>
      <c r="L375" s="4">
        <v>0.2509942871565482</v>
      </c>
      <c r="M375" s="3">
        <v>3</v>
      </c>
      <c r="N375" t="s">
        <v>1219</v>
      </c>
      <c r="O375" s="4">
        <v>9.9098833082464116E-2</v>
      </c>
      <c r="P375" t="s">
        <v>1206</v>
      </c>
      <c r="Q375" t="s">
        <v>924</v>
      </c>
      <c r="R375" t="s">
        <v>842</v>
      </c>
    </row>
    <row r="376" spans="1:18" x14ac:dyDescent="0.4">
      <c r="A376" s="2">
        <v>45884</v>
      </c>
      <c r="B376" t="s">
        <v>21</v>
      </c>
      <c r="C376" t="s">
        <v>747</v>
      </c>
      <c r="D376" s="3" t="str">
        <f t="shared" si="10"/>
        <v>PASS</v>
      </c>
      <c r="E376" s="3" t="str">
        <f t="shared" si="11"/>
        <v>PASS</v>
      </c>
      <c r="F376" t="s">
        <v>747</v>
      </c>
      <c r="G376" t="s">
        <v>747</v>
      </c>
      <c r="H376" s="3">
        <v>24673328.960000001</v>
      </c>
      <c r="I376" s="3">
        <v>23392508.674865998</v>
      </c>
      <c r="J376" s="3">
        <v>4513.8599999999997</v>
      </c>
      <c r="K376" s="4">
        <v>1233666.4480000001</v>
      </c>
      <c r="L376" s="4">
        <v>0.25489565074236659</v>
      </c>
      <c r="M376" s="3">
        <v>3</v>
      </c>
      <c r="N376" t="s">
        <v>1220</v>
      </c>
      <c r="O376" s="4">
        <v>0.11193561068891129</v>
      </c>
      <c r="P376" t="s">
        <v>1221</v>
      </c>
      <c r="Q376" t="s">
        <v>974</v>
      </c>
      <c r="R376" t="s">
        <v>833</v>
      </c>
    </row>
    <row r="377" spans="1:18" x14ac:dyDescent="0.4">
      <c r="A377" s="2">
        <v>45884</v>
      </c>
      <c r="B377" t="s">
        <v>24</v>
      </c>
      <c r="C377" t="s">
        <v>747</v>
      </c>
      <c r="D377" s="3" t="str">
        <f t="shared" si="10"/>
        <v>PASS</v>
      </c>
      <c r="E377" s="3" t="str">
        <f t="shared" si="11"/>
        <v>PASS</v>
      </c>
      <c r="F377" t="s">
        <v>747</v>
      </c>
      <c r="G377" t="s">
        <v>747</v>
      </c>
      <c r="H377" s="3">
        <v>135759686.16</v>
      </c>
      <c r="I377" s="3">
        <v>134815505.711312</v>
      </c>
      <c r="J377" s="3">
        <v>26246.880000000001</v>
      </c>
      <c r="K377" s="4">
        <v>6787984.3080000002</v>
      </c>
      <c r="L377" s="4">
        <v>0.24977788200060011</v>
      </c>
      <c r="M377" s="3">
        <v>3</v>
      </c>
      <c r="N377" t="s">
        <v>1222</v>
      </c>
      <c r="O377" s="4">
        <v>8.3755034155803751E-2</v>
      </c>
      <c r="P377" t="s">
        <v>1221</v>
      </c>
      <c r="Q377" t="s">
        <v>1223</v>
      </c>
      <c r="R377" t="s">
        <v>849</v>
      </c>
    </row>
    <row r="378" spans="1:18" x14ac:dyDescent="0.4">
      <c r="A378" s="2">
        <v>45884</v>
      </c>
      <c r="B378" t="s">
        <v>25</v>
      </c>
      <c r="C378" t="s">
        <v>747</v>
      </c>
      <c r="D378" s="3" t="str">
        <f t="shared" si="10"/>
        <v>PASS</v>
      </c>
      <c r="E378" s="3" t="str">
        <f t="shared" si="11"/>
        <v>PASS</v>
      </c>
      <c r="F378" t="s">
        <v>747</v>
      </c>
      <c r="G378" t="s">
        <v>747</v>
      </c>
      <c r="H378" s="3">
        <v>101497508.09</v>
      </c>
      <c r="I378" s="3">
        <v>98485161.701701</v>
      </c>
      <c r="J378" s="3">
        <v>20175.72</v>
      </c>
      <c r="K378" s="4">
        <v>5074875.4045000002</v>
      </c>
      <c r="L378" s="4">
        <v>0.2359515152627539</v>
      </c>
      <c r="M378" s="3">
        <v>3</v>
      </c>
      <c r="N378" t="s">
        <v>1224</v>
      </c>
      <c r="O378" s="4">
        <v>6.5828117531481378E-2</v>
      </c>
      <c r="P378" t="s">
        <v>1221</v>
      </c>
      <c r="Q378" t="s">
        <v>1146</v>
      </c>
      <c r="R378" t="s">
        <v>1176</v>
      </c>
    </row>
    <row r="379" spans="1:18" x14ac:dyDescent="0.4">
      <c r="A379" s="2">
        <v>45884</v>
      </c>
      <c r="B379" t="s">
        <v>26</v>
      </c>
      <c r="C379" t="s">
        <v>747</v>
      </c>
      <c r="D379" s="3" t="str">
        <f t="shared" si="10"/>
        <v>PASS</v>
      </c>
      <c r="E379" s="3" t="str">
        <f t="shared" si="11"/>
        <v>PASS</v>
      </c>
      <c r="F379" t="s">
        <v>747</v>
      </c>
      <c r="G379" t="s">
        <v>747</v>
      </c>
      <c r="H379" s="3">
        <v>23467122.73</v>
      </c>
      <c r="I379" s="3">
        <v>22961143.483775999</v>
      </c>
      <c r="J379" s="3">
        <v>4696.47</v>
      </c>
      <c r="K379" s="4">
        <v>1173356.1365</v>
      </c>
      <c r="L379" s="4">
        <v>0.23587549855529</v>
      </c>
      <c r="M379" s="3">
        <v>3</v>
      </c>
      <c r="N379" t="s">
        <v>1225</v>
      </c>
      <c r="O379" s="4">
        <v>6.130857328907828E-2</v>
      </c>
      <c r="P379" t="s">
        <v>1221</v>
      </c>
      <c r="Q379" t="s">
        <v>1146</v>
      </c>
      <c r="R379" t="s">
        <v>1158</v>
      </c>
    </row>
    <row r="380" spans="1:18" x14ac:dyDescent="0.4">
      <c r="A380" s="2">
        <v>45884</v>
      </c>
      <c r="B380" t="s">
        <v>27</v>
      </c>
      <c r="C380" t="s">
        <v>747</v>
      </c>
      <c r="D380" s="3" t="str">
        <f t="shared" si="10"/>
        <v>PASS</v>
      </c>
      <c r="E380" s="3" t="str">
        <f t="shared" si="11"/>
        <v>PASS</v>
      </c>
      <c r="F380" t="s">
        <v>747</v>
      </c>
      <c r="G380" t="s">
        <v>747</v>
      </c>
      <c r="H380" s="3">
        <v>43317718.32</v>
      </c>
      <c r="I380" s="3">
        <v>42714905.089411996</v>
      </c>
      <c r="J380" s="3">
        <v>8055.48</v>
      </c>
      <c r="K380" s="4">
        <v>2165885.9160000002</v>
      </c>
      <c r="L380" s="4">
        <v>0.26061352922943909</v>
      </c>
      <c r="M380" s="3">
        <v>3</v>
      </c>
      <c r="N380" t="s">
        <v>1226</v>
      </c>
      <c r="O380" s="4">
        <v>0.1132962778223264</v>
      </c>
      <c r="P380" t="s">
        <v>1221</v>
      </c>
      <c r="Q380" t="s">
        <v>1112</v>
      </c>
      <c r="R380" t="s">
        <v>1016</v>
      </c>
    </row>
    <row r="381" spans="1:18" x14ac:dyDescent="0.4">
      <c r="A381" s="2">
        <v>45884</v>
      </c>
      <c r="B381" t="s">
        <v>28</v>
      </c>
      <c r="C381" t="s">
        <v>747</v>
      </c>
      <c r="D381" s="3" t="str">
        <f t="shared" si="10"/>
        <v>PASS</v>
      </c>
      <c r="E381" s="3" t="str">
        <f t="shared" si="11"/>
        <v>PASS</v>
      </c>
      <c r="F381" t="s">
        <v>747</v>
      </c>
      <c r="G381" t="s">
        <v>747</v>
      </c>
      <c r="H381" s="3">
        <v>15335080.57</v>
      </c>
      <c r="I381" s="3">
        <v>15127887.237174001</v>
      </c>
      <c r="J381" s="3">
        <v>2983.35</v>
      </c>
      <c r="K381" s="4">
        <v>766754.02850000001</v>
      </c>
      <c r="L381" s="4">
        <v>0.24869791760236309</v>
      </c>
      <c r="M381" s="3">
        <v>3</v>
      </c>
      <c r="N381" t="s">
        <v>1227</v>
      </c>
      <c r="O381" s="4">
        <v>9.7289253249355473E-2</v>
      </c>
      <c r="P381" t="s">
        <v>1221</v>
      </c>
      <c r="Q381" t="s">
        <v>1228</v>
      </c>
      <c r="R381" t="s">
        <v>1196</v>
      </c>
    </row>
    <row r="382" spans="1:18" x14ac:dyDescent="0.4">
      <c r="A382" s="2">
        <v>45884</v>
      </c>
      <c r="B382" t="s">
        <v>29</v>
      </c>
      <c r="C382" t="s">
        <v>747</v>
      </c>
      <c r="D382" s="3" t="str">
        <f t="shared" si="10"/>
        <v>PASS</v>
      </c>
      <c r="E382" s="3" t="str">
        <f t="shared" si="11"/>
        <v>PASS</v>
      </c>
      <c r="F382" t="s">
        <v>747</v>
      </c>
      <c r="G382" t="s">
        <v>747</v>
      </c>
      <c r="H382" s="3">
        <v>34639203.710000001</v>
      </c>
      <c r="I382" s="3">
        <v>34122314.950626001</v>
      </c>
      <c r="J382" s="3">
        <v>7075.59</v>
      </c>
      <c r="K382" s="4">
        <v>1731960.1854999999</v>
      </c>
      <c r="L382" s="4">
        <v>0.23157214292805511</v>
      </c>
      <c r="M382" s="3">
        <v>3</v>
      </c>
      <c r="N382" t="s">
        <v>1229</v>
      </c>
      <c r="O382" s="4">
        <v>4.3568743763884879E-2</v>
      </c>
      <c r="P382" t="s">
        <v>1221</v>
      </c>
      <c r="Q382" t="s">
        <v>1230</v>
      </c>
      <c r="R382" t="s">
        <v>1231</v>
      </c>
    </row>
    <row r="383" spans="1:18" x14ac:dyDescent="0.4">
      <c r="A383" s="2">
        <v>45884</v>
      </c>
      <c r="B383" t="s">
        <v>30</v>
      </c>
      <c r="C383" t="s">
        <v>747</v>
      </c>
      <c r="D383" s="3" t="str">
        <f t="shared" si="10"/>
        <v>PASS</v>
      </c>
      <c r="E383" s="3" t="str">
        <f t="shared" si="11"/>
        <v>PASS</v>
      </c>
      <c r="F383" t="s">
        <v>747</v>
      </c>
      <c r="G383" t="s">
        <v>747</v>
      </c>
      <c r="H383" s="3">
        <v>54285267.359999999</v>
      </c>
      <c r="I383" s="3">
        <v>51965392.183504999</v>
      </c>
      <c r="J383" s="3">
        <v>10936.29</v>
      </c>
      <c r="K383" s="4">
        <v>2714263.3679999998</v>
      </c>
      <c r="L383" s="4">
        <v>0</v>
      </c>
      <c r="M383" s="3">
        <v>0</v>
      </c>
      <c r="N383" t="s">
        <v>23</v>
      </c>
      <c r="O383" s="4">
        <v>3.8580094477865708E-2</v>
      </c>
      <c r="P383" t="s">
        <v>1232</v>
      </c>
      <c r="Q383" t="s">
        <v>1233</v>
      </c>
      <c r="R383" t="s">
        <v>1234</v>
      </c>
    </row>
    <row r="384" spans="1:18" x14ac:dyDescent="0.4">
      <c r="A384" s="2">
        <v>45884</v>
      </c>
      <c r="B384" t="s">
        <v>31</v>
      </c>
      <c r="C384" t="s">
        <v>747</v>
      </c>
      <c r="D384" s="3" t="str">
        <f t="shared" si="10"/>
        <v>PASS</v>
      </c>
      <c r="E384" s="3" t="str">
        <f t="shared" si="11"/>
        <v>PASS</v>
      </c>
      <c r="F384" t="s">
        <v>747</v>
      </c>
      <c r="G384" t="s">
        <v>747</v>
      </c>
      <c r="H384" s="3">
        <v>40270098.68</v>
      </c>
      <c r="I384" s="3">
        <v>38645046.418430999</v>
      </c>
      <c r="J384" s="3">
        <v>7639.59</v>
      </c>
      <c r="K384" s="4">
        <v>2013504.9339999999</v>
      </c>
      <c r="L384" s="4">
        <v>0.24787372467445681</v>
      </c>
      <c r="M384" s="3">
        <v>3</v>
      </c>
      <c r="N384" t="s">
        <v>1235</v>
      </c>
      <c r="O384" s="4">
        <v>9.8117462284574672E-2</v>
      </c>
      <c r="P384" t="s">
        <v>1221</v>
      </c>
      <c r="Q384" t="s">
        <v>1236</v>
      </c>
      <c r="R384" t="s">
        <v>851</v>
      </c>
    </row>
    <row r="385" spans="1:18" x14ac:dyDescent="0.4">
      <c r="A385" s="2">
        <v>45884</v>
      </c>
      <c r="B385" t="s">
        <v>32</v>
      </c>
      <c r="C385" t="s">
        <v>747</v>
      </c>
      <c r="D385" s="3" t="str">
        <f t="shared" si="10"/>
        <v>PASS</v>
      </c>
      <c r="E385" s="3" t="str">
        <f t="shared" si="11"/>
        <v>PASS</v>
      </c>
      <c r="F385" t="s">
        <v>747</v>
      </c>
      <c r="G385" t="s">
        <v>747</v>
      </c>
      <c r="H385" s="3">
        <v>78609434.439999998</v>
      </c>
      <c r="I385" s="3">
        <v>77033407.867262006</v>
      </c>
      <c r="J385" s="3">
        <v>15419.19</v>
      </c>
      <c r="K385" s="4">
        <v>3930471.7220000001</v>
      </c>
      <c r="L385" s="4">
        <v>0.242638884849744</v>
      </c>
      <c r="M385" s="3">
        <v>3</v>
      </c>
      <c r="N385" t="s">
        <v>1237</v>
      </c>
      <c r="O385" s="4">
        <v>7.7666601480538541E-2</v>
      </c>
      <c r="P385" t="s">
        <v>1221</v>
      </c>
      <c r="Q385" t="s">
        <v>1238</v>
      </c>
      <c r="R385" t="s">
        <v>1123</v>
      </c>
    </row>
    <row r="386" spans="1:18" x14ac:dyDescent="0.4">
      <c r="A386" s="2">
        <v>45884</v>
      </c>
      <c r="B386" t="s">
        <v>33</v>
      </c>
      <c r="C386" t="s">
        <v>747</v>
      </c>
      <c r="D386" s="3" t="str">
        <f t="shared" ref="D386:D449" si="12">IF(I386/H386&gt;=0.5,"PASS","FAIL")</f>
        <v>PASS</v>
      </c>
      <c r="E386" s="3" t="str">
        <f t="shared" ref="E386:E449" si="13">IF(L386&lt;=0.5,"PASS","FAIL")</f>
        <v>PASS</v>
      </c>
      <c r="F386" t="s">
        <v>747</v>
      </c>
      <c r="G386" t="s">
        <v>747</v>
      </c>
      <c r="H386" s="3">
        <v>167232880.87</v>
      </c>
      <c r="I386" s="3">
        <v>159154109.184632</v>
      </c>
      <c r="J386" s="3">
        <v>31166.25</v>
      </c>
      <c r="K386" s="4">
        <v>8361644.0435000006</v>
      </c>
      <c r="L386" s="4">
        <v>0.24972746966398801</v>
      </c>
      <c r="M386" s="3">
        <v>3</v>
      </c>
      <c r="N386" t="s">
        <v>1239</v>
      </c>
      <c r="O386" s="4">
        <v>9.9105647815250719E-2</v>
      </c>
      <c r="P386" t="s">
        <v>1221</v>
      </c>
      <c r="Q386" t="s">
        <v>1238</v>
      </c>
      <c r="R386" t="s">
        <v>912</v>
      </c>
    </row>
    <row r="387" spans="1:18" x14ac:dyDescent="0.4">
      <c r="A387" s="2">
        <v>45887</v>
      </c>
      <c r="B387" t="s">
        <v>21</v>
      </c>
      <c r="C387" t="s">
        <v>747</v>
      </c>
      <c r="D387" s="3" t="str">
        <f t="shared" si="12"/>
        <v>PASS</v>
      </c>
      <c r="E387" s="3" t="str">
        <f t="shared" si="13"/>
        <v>PASS</v>
      </c>
      <c r="F387" t="s">
        <v>747</v>
      </c>
      <c r="G387" t="s">
        <v>747</v>
      </c>
      <c r="H387" s="3">
        <v>24676467.460000001</v>
      </c>
      <c r="I387" s="3">
        <v>23742513.624329999</v>
      </c>
      <c r="J387" s="3">
        <v>1503.39</v>
      </c>
      <c r="K387" s="4">
        <v>1233823.3729999999</v>
      </c>
      <c r="L387" s="4">
        <v>0.27187599427650699</v>
      </c>
      <c r="M387" s="3">
        <v>3</v>
      </c>
      <c r="N387" t="s">
        <v>1240</v>
      </c>
      <c r="O387" s="4">
        <v>0.111503370925767</v>
      </c>
      <c r="P387" t="s">
        <v>1241</v>
      </c>
      <c r="Q387" t="s">
        <v>833</v>
      </c>
      <c r="R387" t="s">
        <v>1242</v>
      </c>
    </row>
    <row r="388" spans="1:18" x14ac:dyDescent="0.4">
      <c r="A388" s="2">
        <v>45887</v>
      </c>
      <c r="B388" t="s">
        <v>24</v>
      </c>
      <c r="C388" t="s">
        <v>747</v>
      </c>
      <c r="D388" s="3" t="str">
        <f t="shared" si="12"/>
        <v>PASS</v>
      </c>
      <c r="E388" s="3" t="str">
        <f t="shared" si="13"/>
        <v>PASS</v>
      </c>
      <c r="F388" t="s">
        <v>747</v>
      </c>
      <c r="G388" t="s">
        <v>747</v>
      </c>
      <c r="H388" s="3">
        <v>135777661.97999999</v>
      </c>
      <c r="I388" s="3">
        <v>136418527.417665</v>
      </c>
      <c r="J388" s="3">
        <v>8741.3700000000008</v>
      </c>
      <c r="K388" s="4">
        <v>6788883.0989999995</v>
      </c>
      <c r="L388" s="4">
        <v>0.26716015454882552</v>
      </c>
      <c r="M388" s="3">
        <v>3</v>
      </c>
      <c r="N388" t="s">
        <v>1243</v>
      </c>
      <c r="O388" s="4">
        <v>7.6676996464989502E-2</v>
      </c>
      <c r="P388" t="s">
        <v>1241</v>
      </c>
      <c r="Q388" t="s">
        <v>1223</v>
      </c>
      <c r="R388" t="s">
        <v>1196</v>
      </c>
    </row>
    <row r="389" spans="1:18" x14ac:dyDescent="0.4">
      <c r="A389" s="2">
        <v>45887</v>
      </c>
      <c r="B389" t="s">
        <v>25</v>
      </c>
      <c r="C389" t="s">
        <v>747</v>
      </c>
      <c r="D389" s="3" t="str">
        <f t="shared" si="12"/>
        <v>PASS</v>
      </c>
      <c r="E389" s="3" t="str">
        <f t="shared" si="13"/>
        <v>PASS</v>
      </c>
      <c r="F389" t="s">
        <v>747</v>
      </c>
      <c r="G389" t="s">
        <v>747</v>
      </c>
      <c r="H389" s="3">
        <v>101490868.86</v>
      </c>
      <c r="I389" s="3">
        <v>100135346.32939</v>
      </c>
      <c r="J389" s="3">
        <v>6722.1</v>
      </c>
      <c r="K389" s="4">
        <v>5074543.443</v>
      </c>
      <c r="L389" s="4">
        <v>0.25344088709651619</v>
      </c>
      <c r="M389" s="3">
        <v>3</v>
      </c>
      <c r="N389" t="s">
        <v>1244</v>
      </c>
      <c r="O389" s="4">
        <v>6.1291826144190917E-2</v>
      </c>
      <c r="P389" t="s">
        <v>1241</v>
      </c>
      <c r="Q389" t="s">
        <v>1165</v>
      </c>
      <c r="R389" t="s">
        <v>1245</v>
      </c>
    </row>
    <row r="390" spans="1:18" x14ac:dyDescent="0.4">
      <c r="A390" s="2">
        <v>45887</v>
      </c>
      <c r="B390" t="s">
        <v>26</v>
      </c>
      <c r="C390" t="s">
        <v>747</v>
      </c>
      <c r="D390" s="3" t="str">
        <f t="shared" si="12"/>
        <v>PASS</v>
      </c>
      <c r="E390" s="3" t="str">
        <f t="shared" si="13"/>
        <v>PASS</v>
      </c>
      <c r="F390" t="s">
        <v>747</v>
      </c>
      <c r="G390" t="s">
        <v>747</v>
      </c>
      <c r="H390" s="3">
        <v>23466942.350000001</v>
      </c>
      <c r="I390" s="3">
        <v>23258836.300765</v>
      </c>
      <c r="J390" s="3">
        <v>1564.41</v>
      </c>
      <c r="K390" s="4">
        <v>1173347.1174999999</v>
      </c>
      <c r="L390" s="4">
        <v>0.25239455591413629</v>
      </c>
      <c r="M390" s="3">
        <v>3</v>
      </c>
      <c r="N390" t="s">
        <v>1246</v>
      </c>
      <c r="O390" s="4">
        <v>5.4834961520455597E-2</v>
      </c>
      <c r="P390" t="s">
        <v>1241</v>
      </c>
      <c r="Q390" t="s">
        <v>1165</v>
      </c>
      <c r="R390" t="s">
        <v>1191</v>
      </c>
    </row>
    <row r="391" spans="1:18" x14ac:dyDescent="0.4">
      <c r="A391" s="2">
        <v>45887</v>
      </c>
      <c r="B391" t="s">
        <v>27</v>
      </c>
      <c r="C391" t="s">
        <v>747</v>
      </c>
      <c r="D391" s="3" t="str">
        <f t="shared" si="12"/>
        <v>PASS</v>
      </c>
      <c r="E391" s="3" t="str">
        <f t="shared" si="13"/>
        <v>PASS</v>
      </c>
      <c r="F391" t="s">
        <v>747</v>
      </c>
      <c r="G391" t="s">
        <v>747</v>
      </c>
      <c r="H391" s="3">
        <v>43325302.509999998</v>
      </c>
      <c r="I391" s="3">
        <v>43189382.869659998</v>
      </c>
      <c r="J391" s="3">
        <v>2682.57</v>
      </c>
      <c r="K391" s="4">
        <v>2166265.1255000001</v>
      </c>
      <c r="L391" s="4">
        <v>0.27531369534840722</v>
      </c>
      <c r="M391" s="3">
        <v>3</v>
      </c>
      <c r="N391" t="s">
        <v>1247</v>
      </c>
      <c r="O391" s="4">
        <v>0.10833620004330349</v>
      </c>
      <c r="P391" t="s">
        <v>1241</v>
      </c>
      <c r="Q391" t="s">
        <v>988</v>
      </c>
      <c r="R391" t="s">
        <v>1248</v>
      </c>
    </row>
    <row r="392" spans="1:18" x14ac:dyDescent="0.4">
      <c r="A392" s="2">
        <v>45887</v>
      </c>
      <c r="B392" t="s">
        <v>28</v>
      </c>
      <c r="C392" t="s">
        <v>747</v>
      </c>
      <c r="D392" s="3" t="str">
        <f t="shared" si="12"/>
        <v>PASS</v>
      </c>
      <c r="E392" s="3" t="str">
        <f t="shared" si="13"/>
        <v>PASS</v>
      </c>
      <c r="F392" t="s">
        <v>747</v>
      </c>
      <c r="G392" t="s">
        <v>747</v>
      </c>
      <c r="H392" s="3">
        <v>15337230.18</v>
      </c>
      <c r="I392" s="3">
        <v>15310033.994419999</v>
      </c>
      <c r="J392" s="3">
        <v>993.58</v>
      </c>
      <c r="K392" s="4">
        <v>766861.50900000008</v>
      </c>
      <c r="L392" s="4">
        <v>0.26464287779494272</v>
      </c>
      <c r="M392" s="3">
        <v>3</v>
      </c>
      <c r="N392" t="s">
        <v>1249</v>
      </c>
      <c r="O392" s="4">
        <v>9.0888326513985984E-2</v>
      </c>
      <c r="P392" t="s">
        <v>1241</v>
      </c>
      <c r="Q392" t="s">
        <v>1228</v>
      </c>
      <c r="R392" t="s">
        <v>1152</v>
      </c>
    </row>
    <row r="393" spans="1:18" x14ac:dyDescent="0.4">
      <c r="A393" s="2">
        <v>45887</v>
      </c>
      <c r="B393" t="s">
        <v>29</v>
      </c>
      <c r="C393" t="s">
        <v>747</v>
      </c>
      <c r="D393" s="3" t="str">
        <f t="shared" si="12"/>
        <v>PASS</v>
      </c>
      <c r="E393" s="3" t="str">
        <f t="shared" si="13"/>
        <v>PASS</v>
      </c>
      <c r="F393" t="s">
        <v>747</v>
      </c>
      <c r="G393" t="s">
        <v>747</v>
      </c>
      <c r="H393" s="3">
        <v>34641542.770000003</v>
      </c>
      <c r="I393" s="3">
        <v>34789252.993969999</v>
      </c>
      <c r="J393" s="3">
        <v>2356.5500000000002</v>
      </c>
      <c r="K393" s="4">
        <v>1732077.1384999999</v>
      </c>
      <c r="L393" s="4">
        <v>0.24903139220932441</v>
      </c>
      <c r="M393" s="3">
        <v>3</v>
      </c>
      <c r="N393" t="s">
        <v>1250</v>
      </c>
      <c r="O393" s="4">
        <v>3.9430205895821302E-2</v>
      </c>
      <c r="P393" t="s">
        <v>1241</v>
      </c>
      <c r="Q393" t="s">
        <v>1176</v>
      </c>
      <c r="R393" t="s">
        <v>972</v>
      </c>
    </row>
    <row r="394" spans="1:18" x14ac:dyDescent="0.4">
      <c r="A394" s="2">
        <v>45887</v>
      </c>
      <c r="B394" t="s">
        <v>30</v>
      </c>
      <c r="C394" t="s">
        <v>747</v>
      </c>
      <c r="D394" s="3" t="str">
        <f t="shared" si="12"/>
        <v>PASS</v>
      </c>
      <c r="E394" s="3" t="str">
        <f t="shared" si="13"/>
        <v>PASS</v>
      </c>
      <c r="F394" t="s">
        <v>747</v>
      </c>
      <c r="G394" t="s">
        <v>747</v>
      </c>
      <c r="H394" s="3">
        <v>54287795.560000002</v>
      </c>
      <c r="I394" s="3">
        <v>51635646.424131013</v>
      </c>
      <c r="J394" s="3">
        <v>3614.09</v>
      </c>
      <c r="K394" s="4">
        <v>2714389.7779999999</v>
      </c>
      <c r="L394" s="4">
        <v>0</v>
      </c>
      <c r="M394" s="3">
        <v>0</v>
      </c>
      <c r="N394" t="s">
        <v>23</v>
      </c>
      <c r="O394" s="4">
        <v>3.5023297861295592E-2</v>
      </c>
      <c r="P394" t="s">
        <v>1251</v>
      </c>
      <c r="Q394" t="s">
        <v>1252</v>
      </c>
      <c r="R394" t="s">
        <v>1253</v>
      </c>
    </row>
    <row r="395" spans="1:18" x14ac:dyDescent="0.4">
      <c r="A395" s="2">
        <v>45887</v>
      </c>
      <c r="B395" t="s">
        <v>31</v>
      </c>
      <c r="C395" t="s">
        <v>747</v>
      </c>
      <c r="D395" s="3" t="str">
        <f t="shared" si="12"/>
        <v>PASS</v>
      </c>
      <c r="E395" s="3" t="str">
        <f t="shared" si="13"/>
        <v>PASS</v>
      </c>
      <c r="F395" t="s">
        <v>747</v>
      </c>
      <c r="G395" t="s">
        <v>747</v>
      </c>
      <c r="H395" s="3">
        <v>40278255.460000001</v>
      </c>
      <c r="I395" s="3">
        <v>39267897.332644992</v>
      </c>
      <c r="J395" s="3">
        <v>2544.3000000000002</v>
      </c>
      <c r="K395" s="4">
        <v>2013912.773</v>
      </c>
      <c r="L395" s="4">
        <v>0.26181590426290557</v>
      </c>
      <c r="M395" s="3">
        <v>3</v>
      </c>
      <c r="N395" t="s">
        <v>1254</v>
      </c>
      <c r="O395" s="4">
        <v>9.3672412559970414E-2</v>
      </c>
      <c r="P395" t="s">
        <v>1241</v>
      </c>
      <c r="Q395" t="s">
        <v>1238</v>
      </c>
      <c r="R395" t="s">
        <v>1152</v>
      </c>
    </row>
    <row r="396" spans="1:18" x14ac:dyDescent="0.4">
      <c r="A396" s="2">
        <v>45887</v>
      </c>
      <c r="B396" t="s">
        <v>32</v>
      </c>
      <c r="C396" t="s">
        <v>747</v>
      </c>
      <c r="D396" s="3" t="str">
        <f t="shared" si="12"/>
        <v>PASS</v>
      </c>
      <c r="E396" s="3" t="str">
        <f t="shared" si="13"/>
        <v>PASS</v>
      </c>
      <c r="F396" t="s">
        <v>747</v>
      </c>
      <c r="G396" t="s">
        <v>747</v>
      </c>
      <c r="H396" s="3">
        <v>78617927.930000007</v>
      </c>
      <c r="I396" s="3">
        <v>78009645.154850006</v>
      </c>
      <c r="J396" s="3">
        <v>5134.71</v>
      </c>
      <c r="K396" s="4">
        <v>3930896.3965000012</v>
      </c>
      <c r="L396" s="4">
        <v>0.25669124583194702</v>
      </c>
      <c r="M396" s="3">
        <v>3</v>
      </c>
      <c r="N396" t="s">
        <v>1255</v>
      </c>
      <c r="O396" s="4">
        <v>7.2821532131290806E-2</v>
      </c>
      <c r="P396" t="s">
        <v>1241</v>
      </c>
      <c r="Q396" t="s">
        <v>926</v>
      </c>
      <c r="R396" t="s">
        <v>1176</v>
      </c>
    </row>
    <row r="397" spans="1:18" x14ac:dyDescent="0.4">
      <c r="A397" s="2">
        <v>45887</v>
      </c>
      <c r="B397" t="s">
        <v>33</v>
      </c>
      <c r="C397" t="s">
        <v>747</v>
      </c>
      <c r="D397" s="3" t="str">
        <f t="shared" si="12"/>
        <v>PASS</v>
      </c>
      <c r="E397" s="3" t="str">
        <f t="shared" si="13"/>
        <v>PASS</v>
      </c>
      <c r="F397" t="s">
        <v>747</v>
      </c>
      <c r="G397" t="s">
        <v>747</v>
      </c>
      <c r="H397" s="3">
        <v>167246407.99000001</v>
      </c>
      <c r="I397" s="3">
        <v>162068139.58151999</v>
      </c>
      <c r="J397" s="3">
        <v>10383.44</v>
      </c>
      <c r="K397" s="4">
        <v>8362320.3995000012</v>
      </c>
      <c r="L397" s="4">
        <v>0.2691939574139614</v>
      </c>
      <c r="M397" s="3">
        <v>3</v>
      </c>
      <c r="N397" t="s">
        <v>1256</v>
      </c>
      <c r="O397" s="4">
        <v>9.8779548272915935E-2</v>
      </c>
      <c r="P397" t="s">
        <v>1241</v>
      </c>
      <c r="Q397" t="s">
        <v>1257</v>
      </c>
      <c r="R397" t="s">
        <v>912</v>
      </c>
    </row>
    <row r="398" spans="1:18" x14ac:dyDescent="0.4">
      <c r="A398" s="2">
        <v>45888</v>
      </c>
      <c r="B398" t="s">
        <v>21</v>
      </c>
      <c r="C398" t="s">
        <v>747</v>
      </c>
      <c r="D398" s="3" t="str">
        <f t="shared" si="12"/>
        <v>PASS</v>
      </c>
      <c r="E398" s="3" t="str">
        <f t="shared" si="13"/>
        <v>PASS</v>
      </c>
      <c r="F398" t="s">
        <v>747</v>
      </c>
      <c r="G398" t="s">
        <v>747</v>
      </c>
      <c r="H398" s="3">
        <v>24585274.66</v>
      </c>
      <c r="I398" s="3">
        <v>23316646.425299998</v>
      </c>
      <c r="J398" s="3">
        <v>1503.1</v>
      </c>
      <c r="K398" s="4">
        <v>1229263.733</v>
      </c>
      <c r="L398" s="4">
        <v>0.25189698406181271</v>
      </c>
      <c r="M398" s="3">
        <v>3</v>
      </c>
      <c r="N398" t="s">
        <v>1258</v>
      </c>
      <c r="O398" s="4">
        <v>0.1126057139318532</v>
      </c>
      <c r="P398" t="s">
        <v>1259</v>
      </c>
      <c r="Q398" t="s">
        <v>877</v>
      </c>
      <c r="R398" t="s">
        <v>1242</v>
      </c>
    </row>
    <row r="399" spans="1:18" x14ac:dyDescent="0.4">
      <c r="A399" s="2">
        <v>45888</v>
      </c>
      <c r="B399" t="s">
        <v>24</v>
      </c>
      <c r="C399" t="s">
        <v>747</v>
      </c>
      <c r="D399" s="3" t="str">
        <f t="shared" si="12"/>
        <v>PASS</v>
      </c>
      <c r="E399" s="3" t="str">
        <f t="shared" si="13"/>
        <v>PASS</v>
      </c>
      <c r="F399" t="s">
        <v>747</v>
      </c>
      <c r="G399" t="s">
        <v>747</v>
      </c>
      <c r="H399" s="3">
        <v>135149641.22</v>
      </c>
      <c r="I399" s="3">
        <v>133370398.7321</v>
      </c>
      <c r="J399" s="3">
        <v>8739.0400000000009</v>
      </c>
      <c r="K399" s="4">
        <v>6757482.0610000007</v>
      </c>
      <c r="L399" s="4">
        <v>0.243687981092122</v>
      </c>
      <c r="M399" s="3">
        <v>3</v>
      </c>
      <c r="N399" t="s">
        <v>1260</v>
      </c>
      <c r="O399" s="4">
        <v>7.6615376101847099E-2</v>
      </c>
      <c r="P399" t="s">
        <v>1259</v>
      </c>
      <c r="Q399" t="s">
        <v>1261</v>
      </c>
      <c r="R399" t="s">
        <v>1196</v>
      </c>
    </row>
    <row r="400" spans="1:18" x14ac:dyDescent="0.4">
      <c r="A400" s="2">
        <v>45888</v>
      </c>
      <c r="B400" t="s">
        <v>25</v>
      </c>
      <c r="C400" t="s">
        <v>747</v>
      </c>
      <c r="D400" s="3" t="str">
        <f t="shared" si="12"/>
        <v>PASS</v>
      </c>
      <c r="E400" s="3" t="str">
        <f t="shared" si="13"/>
        <v>PASS</v>
      </c>
      <c r="F400" t="s">
        <v>747</v>
      </c>
      <c r="G400" t="s">
        <v>747</v>
      </c>
      <c r="H400" s="3">
        <v>101086404.78</v>
      </c>
      <c r="I400" s="3">
        <v>97943017.408850014</v>
      </c>
      <c r="J400" s="3">
        <v>6718.86</v>
      </c>
      <c r="K400" s="4">
        <v>5054320.2390000001</v>
      </c>
      <c r="L400" s="4">
        <v>0.23125595959369299</v>
      </c>
      <c r="M400" s="3">
        <v>3</v>
      </c>
      <c r="N400" t="s">
        <v>1262</v>
      </c>
      <c r="O400" s="4">
        <v>6.221604599092756E-2</v>
      </c>
      <c r="P400" t="s">
        <v>1259</v>
      </c>
      <c r="Q400" t="s">
        <v>1178</v>
      </c>
      <c r="R400" t="s">
        <v>1263</v>
      </c>
    </row>
    <row r="401" spans="1:18" x14ac:dyDescent="0.4">
      <c r="A401" s="2">
        <v>45888</v>
      </c>
      <c r="B401" t="s">
        <v>26</v>
      </c>
      <c r="C401" t="s">
        <v>747</v>
      </c>
      <c r="D401" s="3" t="str">
        <f t="shared" si="12"/>
        <v>PASS</v>
      </c>
      <c r="E401" s="3" t="str">
        <f t="shared" si="13"/>
        <v>PASS</v>
      </c>
      <c r="F401" t="s">
        <v>747</v>
      </c>
      <c r="G401" t="s">
        <v>747</v>
      </c>
      <c r="H401" s="3">
        <v>23367308.5</v>
      </c>
      <c r="I401" s="3">
        <v>22776991.910549998</v>
      </c>
      <c r="J401" s="3">
        <v>1563.78</v>
      </c>
      <c r="K401" s="4">
        <v>1168365.425</v>
      </c>
      <c r="L401" s="4">
        <v>0.2304598373020825</v>
      </c>
      <c r="M401" s="3">
        <v>3</v>
      </c>
      <c r="N401" t="s">
        <v>1264</v>
      </c>
      <c r="O401" s="4">
        <v>5.5393638533509322E-2</v>
      </c>
      <c r="P401" t="s">
        <v>1259</v>
      </c>
      <c r="Q401" t="s">
        <v>1158</v>
      </c>
      <c r="R401" t="s">
        <v>1263</v>
      </c>
    </row>
    <row r="402" spans="1:18" x14ac:dyDescent="0.4">
      <c r="A402" s="2">
        <v>45888</v>
      </c>
      <c r="B402" t="s">
        <v>27</v>
      </c>
      <c r="C402" t="s">
        <v>747</v>
      </c>
      <c r="D402" s="3" t="str">
        <f t="shared" si="12"/>
        <v>PASS</v>
      </c>
      <c r="E402" s="3" t="str">
        <f t="shared" si="13"/>
        <v>PASS</v>
      </c>
      <c r="F402" t="s">
        <v>747</v>
      </c>
      <c r="G402" t="s">
        <v>747</v>
      </c>
      <c r="H402" s="3">
        <v>43133520.450000003</v>
      </c>
      <c r="I402" s="3">
        <v>42369747.488300003</v>
      </c>
      <c r="J402" s="3">
        <v>2682.04</v>
      </c>
      <c r="K402" s="4">
        <v>2156676.0225</v>
      </c>
      <c r="L402" s="4">
        <v>0.25578047095552731</v>
      </c>
      <c r="M402" s="3">
        <v>3</v>
      </c>
      <c r="N402" t="s">
        <v>1265</v>
      </c>
      <c r="O402" s="4">
        <v>0.1085271626211535</v>
      </c>
      <c r="P402" t="s">
        <v>1259</v>
      </c>
      <c r="Q402" t="s">
        <v>840</v>
      </c>
      <c r="R402" t="s">
        <v>1266</v>
      </c>
    </row>
    <row r="403" spans="1:18" x14ac:dyDescent="0.4">
      <c r="A403" s="2">
        <v>45888</v>
      </c>
      <c r="B403" t="s">
        <v>28</v>
      </c>
      <c r="C403" t="s">
        <v>747</v>
      </c>
      <c r="D403" s="3" t="str">
        <f t="shared" si="12"/>
        <v>PASS</v>
      </c>
      <c r="E403" s="3" t="str">
        <f t="shared" si="13"/>
        <v>PASS</v>
      </c>
      <c r="F403" t="s">
        <v>747</v>
      </c>
      <c r="G403" t="s">
        <v>747</v>
      </c>
      <c r="H403" s="3">
        <v>15270757.35</v>
      </c>
      <c r="I403" s="3">
        <v>15020353.312249999</v>
      </c>
      <c r="J403" s="3">
        <v>993.33</v>
      </c>
      <c r="K403" s="4">
        <v>763537.86750000005</v>
      </c>
      <c r="L403" s="4">
        <v>0.24307012101133549</v>
      </c>
      <c r="M403" s="3">
        <v>3</v>
      </c>
      <c r="N403" t="s">
        <v>1267</v>
      </c>
      <c r="O403" s="4">
        <v>9.1370460565271205E-2</v>
      </c>
      <c r="P403" t="s">
        <v>1259</v>
      </c>
      <c r="Q403" t="s">
        <v>1257</v>
      </c>
      <c r="R403" t="s">
        <v>851</v>
      </c>
    </row>
    <row r="404" spans="1:18" x14ac:dyDescent="0.4">
      <c r="A404" s="2">
        <v>45888</v>
      </c>
      <c r="B404" t="s">
        <v>29</v>
      </c>
      <c r="C404" t="s">
        <v>747</v>
      </c>
      <c r="D404" s="3" t="str">
        <f t="shared" si="12"/>
        <v>PASS</v>
      </c>
      <c r="E404" s="3" t="str">
        <f t="shared" si="13"/>
        <v>PASS</v>
      </c>
      <c r="F404" t="s">
        <v>747</v>
      </c>
      <c r="G404" t="s">
        <v>747</v>
      </c>
      <c r="H404" s="3">
        <v>34469876.969999999</v>
      </c>
      <c r="I404" s="3">
        <v>34056145.935399987</v>
      </c>
      <c r="J404" s="3">
        <v>2355.64</v>
      </c>
      <c r="K404" s="4">
        <v>1723493.8485000001</v>
      </c>
      <c r="L404" s="4">
        <v>0.2271806908570185</v>
      </c>
      <c r="M404" s="3">
        <v>3</v>
      </c>
      <c r="N404" t="s">
        <v>1268</v>
      </c>
      <c r="O404" s="4">
        <v>3.9659467209290707E-2</v>
      </c>
      <c r="P404" t="s">
        <v>1259</v>
      </c>
      <c r="Q404" t="s">
        <v>1160</v>
      </c>
      <c r="R404" t="s">
        <v>1269</v>
      </c>
    </row>
    <row r="405" spans="1:18" x14ac:dyDescent="0.4">
      <c r="A405" s="2">
        <v>45888</v>
      </c>
      <c r="B405" t="s">
        <v>30</v>
      </c>
      <c r="C405" t="s">
        <v>747</v>
      </c>
      <c r="D405" s="3" t="str">
        <f t="shared" si="12"/>
        <v>PASS</v>
      </c>
      <c r="E405" s="3" t="str">
        <f t="shared" si="13"/>
        <v>PASS</v>
      </c>
      <c r="F405" t="s">
        <v>747</v>
      </c>
      <c r="G405" t="s">
        <v>747</v>
      </c>
      <c r="H405" s="3">
        <v>54591282.280000001</v>
      </c>
      <c r="I405" s="3">
        <v>51777585.662024997</v>
      </c>
      <c r="J405" s="3">
        <v>3614.16</v>
      </c>
      <c r="K405" s="4">
        <v>2729564.1140000001</v>
      </c>
      <c r="L405" s="4">
        <v>0</v>
      </c>
      <c r="M405" s="3">
        <v>0</v>
      </c>
      <c r="N405" t="s">
        <v>23</v>
      </c>
      <c r="O405" s="4">
        <v>3.5118934781412488E-2</v>
      </c>
      <c r="P405" t="s">
        <v>1270</v>
      </c>
      <c r="Q405" t="s">
        <v>1271</v>
      </c>
      <c r="R405" t="s">
        <v>1272</v>
      </c>
    </row>
    <row r="406" spans="1:18" x14ac:dyDescent="0.4">
      <c r="A406" s="2">
        <v>45888</v>
      </c>
      <c r="B406" t="s">
        <v>31</v>
      </c>
      <c r="C406" t="s">
        <v>747</v>
      </c>
      <c r="D406" s="3" t="str">
        <f t="shared" si="12"/>
        <v>PASS</v>
      </c>
      <c r="E406" s="3" t="str">
        <f t="shared" si="13"/>
        <v>PASS</v>
      </c>
      <c r="F406" t="s">
        <v>747</v>
      </c>
      <c r="G406" t="s">
        <v>747</v>
      </c>
      <c r="H406" s="3">
        <v>40119486.079999998</v>
      </c>
      <c r="I406" s="3">
        <v>38396204.978300013</v>
      </c>
      <c r="J406" s="3">
        <v>2543.9499999999998</v>
      </c>
      <c r="K406" s="4">
        <v>2005974.304</v>
      </c>
      <c r="L406" s="4">
        <v>0.24303737110647941</v>
      </c>
      <c r="M406" s="3">
        <v>3</v>
      </c>
      <c r="N406" t="s">
        <v>1267</v>
      </c>
      <c r="O406" s="4">
        <v>9.459989818244452E-2</v>
      </c>
      <c r="P406" t="s">
        <v>1259</v>
      </c>
      <c r="Q406" t="s">
        <v>851</v>
      </c>
      <c r="R406" t="s">
        <v>1158</v>
      </c>
    </row>
    <row r="407" spans="1:18" x14ac:dyDescent="0.4">
      <c r="A407" s="2">
        <v>45888</v>
      </c>
      <c r="B407" t="s">
        <v>32</v>
      </c>
      <c r="C407" t="s">
        <v>747</v>
      </c>
      <c r="D407" s="3" t="str">
        <f t="shared" si="12"/>
        <v>PASS</v>
      </c>
      <c r="E407" s="3" t="str">
        <f t="shared" si="13"/>
        <v>PASS</v>
      </c>
      <c r="F407" t="s">
        <v>747</v>
      </c>
      <c r="G407" t="s">
        <v>747</v>
      </c>
      <c r="H407" s="3">
        <v>78247529.840000004</v>
      </c>
      <c r="I407" s="3">
        <v>76587055.871900007</v>
      </c>
      <c r="J407" s="3">
        <v>5133.4399999999996</v>
      </c>
      <c r="K407" s="4">
        <v>3912376.492000001</v>
      </c>
      <c r="L407" s="4">
        <v>0.23792264144098299</v>
      </c>
      <c r="M407" s="3">
        <v>3</v>
      </c>
      <c r="N407" t="s">
        <v>1273</v>
      </c>
      <c r="O407" s="4">
        <v>7.3100808595442324E-2</v>
      </c>
      <c r="P407" t="s">
        <v>1259</v>
      </c>
      <c r="Q407" t="s">
        <v>1123</v>
      </c>
      <c r="R407" t="s">
        <v>1160</v>
      </c>
    </row>
    <row r="408" spans="1:18" x14ac:dyDescent="0.4">
      <c r="A408" s="2">
        <v>45888</v>
      </c>
      <c r="B408" t="s">
        <v>33</v>
      </c>
      <c r="C408" t="s">
        <v>747</v>
      </c>
      <c r="D408" s="3" t="str">
        <f t="shared" si="12"/>
        <v>PASS</v>
      </c>
      <c r="E408" s="3" t="str">
        <f t="shared" si="13"/>
        <v>PASS</v>
      </c>
      <c r="F408" t="s">
        <v>747</v>
      </c>
      <c r="G408" t="s">
        <v>747</v>
      </c>
      <c r="H408" s="3">
        <v>166627224.40000001</v>
      </c>
      <c r="I408" s="3">
        <v>158645082.64489999</v>
      </c>
      <c r="J408" s="3">
        <v>10380.56</v>
      </c>
      <c r="K408" s="4">
        <v>8331361.2200000007</v>
      </c>
      <c r="L408" s="4">
        <v>0.24656204079089919</v>
      </c>
      <c r="M408" s="3">
        <v>3</v>
      </c>
      <c r="N408" t="s">
        <v>1274</v>
      </c>
      <c r="O408" s="4">
        <v>9.9289261550587288E-2</v>
      </c>
      <c r="P408" t="s">
        <v>1259</v>
      </c>
      <c r="Q408" t="s">
        <v>1257</v>
      </c>
      <c r="R408" t="s">
        <v>912</v>
      </c>
    </row>
    <row r="409" spans="1:18" x14ac:dyDescent="0.4">
      <c r="A409" s="2">
        <v>45889</v>
      </c>
      <c r="B409" t="s">
        <v>21</v>
      </c>
      <c r="C409" t="s">
        <v>747</v>
      </c>
      <c r="D409" s="3" t="str">
        <f t="shared" si="12"/>
        <v>PASS</v>
      </c>
      <c r="E409" s="3" t="str">
        <f t="shared" si="13"/>
        <v>PASS</v>
      </c>
      <c r="F409" t="s">
        <v>747</v>
      </c>
      <c r="G409" t="s">
        <v>747</v>
      </c>
      <c r="H409" s="3">
        <v>24577663.379999999</v>
      </c>
      <c r="I409" s="3">
        <v>23333299.229247998</v>
      </c>
      <c r="J409" s="3">
        <v>1496.37</v>
      </c>
      <c r="K409" s="4">
        <v>1228883.169</v>
      </c>
      <c r="L409" s="4">
        <v>0.25017760843827508</v>
      </c>
      <c r="M409" s="3">
        <v>3</v>
      </c>
      <c r="N409" t="s">
        <v>1275</v>
      </c>
      <c r="O409" s="4">
        <v>0.11224994771036691</v>
      </c>
      <c r="P409" t="s">
        <v>1276</v>
      </c>
      <c r="Q409" t="s">
        <v>899</v>
      </c>
      <c r="R409" t="s">
        <v>1223</v>
      </c>
    </row>
    <row r="410" spans="1:18" x14ac:dyDescent="0.4">
      <c r="A410" s="2">
        <v>45889</v>
      </c>
      <c r="B410" t="s">
        <v>24</v>
      </c>
      <c r="C410" t="s">
        <v>747</v>
      </c>
      <c r="D410" s="3" t="str">
        <f t="shared" si="12"/>
        <v>PASS</v>
      </c>
      <c r="E410" s="3" t="str">
        <f t="shared" si="13"/>
        <v>PASS</v>
      </c>
      <c r="F410" t="s">
        <v>747</v>
      </c>
      <c r="G410" t="s">
        <v>747</v>
      </c>
      <c r="H410" s="3">
        <v>135066113.87</v>
      </c>
      <c r="I410" s="3">
        <v>133461620.16496</v>
      </c>
      <c r="J410" s="3">
        <v>8692.81</v>
      </c>
      <c r="K410" s="4">
        <v>6753305.693500001</v>
      </c>
      <c r="L410" s="4">
        <v>0.2421684651007808</v>
      </c>
      <c r="M410" s="3">
        <v>3</v>
      </c>
      <c r="N410" t="s">
        <v>1277</v>
      </c>
      <c r="O410" s="4">
        <v>7.6294319349990758E-2</v>
      </c>
      <c r="P410" t="s">
        <v>1276</v>
      </c>
      <c r="Q410" t="s">
        <v>1278</v>
      </c>
      <c r="R410" t="s">
        <v>849</v>
      </c>
    </row>
    <row r="411" spans="1:18" x14ac:dyDescent="0.4">
      <c r="A411" s="2">
        <v>45889</v>
      </c>
      <c r="B411" t="s">
        <v>25</v>
      </c>
      <c r="C411" t="s">
        <v>747</v>
      </c>
      <c r="D411" s="3" t="str">
        <f t="shared" si="12"/>
        <v>PASS</v>
      </c>
      <c r="E411" s="3" t="str">
        <f t="shared" si="13"/>
        <v>PASS</v>
      </c>
      <c r="F411" t="s">
        <v>747</v>
      </c>
      <c r="G411" t="s">
        <v>747</v>
      </c>
      <c r="H411" s="3">
        <v>101053018</v>
      </c>
      <c r="I411" s="3">
        <v>98079774.234399989</v>
      </c>
      <c r="J411" s="3">
        <v>6689.01</v>
      </c>
      <c r="K411" s="4">
        <v>5052650.9000000004</v>
      </c>
      <c r="L411" s="4">
        <v>0.2299262479074542</v>
      </c>
      <c r="M411" s="3">
        <v>3</v>
      </c>
      <c r="N411" t="s">
        <v>1279</v>
      </c>
      <c r="O411" s="4">
        <v>6.2139472117497749E-2</v>
      </c>
      <c r="P411" t="s">
        <v>1276</v>
      </c>
      <c r="Q411" t="s">
        <v>1160</v>
      </c>
      <c r="R411" t="s">
        <v>1280</v>
      </c>
    </row>
    <row r="412" spans="1:18" x14ac:dyDescent="0.4">
      <c r="A412" s="2">
        <v>45889</v>
      </c>
      <c r="B412" t="s">
        <v>26</v>
      </c>
      <c r="C412" t="s">
        <v>747</v>
      </c>
      <c r="D412" s="3" t="str">
        <f t="shared" si="12"/>
        <v>PASS</v>
      </c>
      <c r="E412" s="3" t="str">
        <f t="shared" si="13"/>
        <v>PASS</v>
      </c>
      <c r="F412" t="s">
        <v>747</v>
      </c>
      <c r="G412" t="s">
        <v>747</v>
      </c>
      <c r="H412" s="3">
        <v>23355135.109999999</v>
      </c>
      <c r="I412" s="3">
        <v>22811400.325199999</v>
      </c>
      <c r="J412" s="3">
        <v>1556.43</v>
      </c>
      <c r="K412" s="4">
        <v>1167756.7555</v>
      </c>
      <c r="L412" s="4">
        <v>0.2292058645157026</v>
      </c>
      <c r="M412" s="3">
        <v>3</v>
      </c>
      <c r="N412" t="s">
        <v>1281</v>
      </c>
      <c r="O412" s="4">
        <v>5.5258357492756129E-2</v>
      </c>
      <c r="P412" t="s">
        <v>1276</v>
      </c>
      <c r="Q412" t="s">
        <v>1053</v>
      </c>
      <c r="R412" t="s">
        <v>1280</v>
      </c>
    </row>
    <row r="413" spans="1:18" x14ac:dyDescent="0.4">
      <c r="A413" s="2">
        <v>45889</v>
      </c>
      <c r="B413" t="s">
        <v>27</v>
      </c>
      <c r="C413" t="s">
        <v>747</v>
      </c>
      <c r="D413" s="3" t="str">
        <f t="shared" si="12"/>
        <v>PASS</v>
      </c>
      <c r="E413" s="3" t="str">
        <f t="shared" si="13"/>
        <v>PASS</v>
      </c>
      <c r="F413" t="s">
        <v>747</v>
      </c>
      <c r="G413" t="s">
        <v>747</v>
      </c>
      <c r="H413" s="3">
        <v>43100524.549999997</v>
      </c>
      <c r="I413" s="3">
        <v>42382350.590976</v>
      </c>
      <c r="J413" s="3">
        <v>2667.92</v>
      </c>
      <c r="K413" s="4">
        <v>2155026.2275</v>
      </c>
      <c r="L413" s="4">
        <v>0.25407921967287572</v>
      </c>
      <c r="M413" s="3">
        <v>3</v>
      </c>
      <c r="N413" t="s">
        <v>1282</v>
      </c>
      <c r="O413" s="4">
        <v>0.1078790358011084</v>
      </c>
      <c r="P413" t="s">
        <v>1276</v>
      </c>
      <c r="Q413" t="s">
        <v>1207</v>
      </c>
      <c r="R413" t="s">
        <v>790</v>
      </c>
    </row>
    <row r="414" spans="1:18" x14ac:dyDescent="0.4">
      <c r="A414" s="2">
        <v>45889</v>
      </c>
      <c r="B414" t="s">
        <v>28</v>
      </c>
      <c r="C414" t="s">
        <v>747</v>
      </c>
      <c r="D414" s="3" t="str">
        <f t="shared" si="12"/>
        <v>PASS</v>
      </c>
      <c r="E414" s="3" t="str">
        <f t="shared" si="13"/>
        <v>PASS</v>
      </c>
      <c r="F414" t="s">
        <v>747</v>
      </c>
      <c r="G414" t="s">
        <v>747</v>
      </c>
      <c r="H414" s="3">
        <v>15261733.18</v>
      </c>
      <c r="I414" s="3">
        <v>15028381.80112</v>
      </c>
      <c r="J414" s="3">
        <v>988.44</v>
      </c>
      <c r="K414" s="4">
        <v>763086.65899999999</v>
      </c>
      <c r="L414" s="4">
        <v>0.2414805057204239</v>
      </c>
      <c r="M414" s="3">
        <v>3</v>
      </c>
      <c r="N414" t="s">
        <v>1283</v>
      </c>
      <c r="O414" s="4">
        <v>9.1039413068811109E-2</v>
      </c>
      <c r="P414" t="s">
        <v>1276</v>
      </c>
      <c r="Q414" t="s">
        <v>912</v>
      </c>
      <c r="R414" t="s">
        <v>1053</v>
      </c>
    </row>
    <row r="415" spans="1:18" x14ac:dyDescent="0.4">
      <c r="A415" s="2">
        <v>45889</v>
      </c>
      <c r="B415" t="s">
        <v>29</v>
      </c>
      <c r="C415" t="s">
        <v>747</v>
      </c>
      <c r="D415" s="3" t="str">
        <f t="shared" si="12"/>
        <v>PASS</v>
      </c>
      <c r="E415" s="3" t="str">
        <f t="shared" si="13"/>
        <v>PASS</v>
      </c>
      <c r="F415" t="s">
        <v>747</v>
      </c>
      <c r="G415" t="s">
        <v>747</v>
      </c>
      <c r="H415" s="3">
        <v>34440299.079999998</v>
      </c>
      <c r="I415" s="3">
        <v>33995416.707728013</v>
      </c>
      <c r="J415" s="3">
        <v>2343</v>
      </c>
      <c r="K415" s="4">
        <v>1722014.9539999999</v>
      </c>
      <c r="L415" s="4">
        <v>0.22530081216397219</v>
      </c>
      <c r="M415" s="3">
        <v>3</v>
      </c>
      <c r="N415" t="s">
        <v>1284</v>
      </c>
      <c r="O415" s="4">
        <v>3.9540748022098768E-2</v>
      </c>
      <c r="P415" t="s">
        <v>1276</v>
      </c>
      <c r="Q415" t="s">
        <v>1053</v>
      </c>
      <c r="R415" t="s">
        <v>1285</v>
      </c>
    </row>
    <row r="416" spans="1:18" x14ac:dyDescent="0.4">
      <c r="A416" s="2">
        <v>45889</v>
      </c>
      <c r="B416" t="s">
        <v>30</v>
      </c>
      <c r="C416" t="s">
        <v>747</v>
      </c>
      <c r="D416" s="3" t="str">
        <f t="shared" si="12"/>
        <v>PASS</v>
      </c>
      <c r="E416" s="3" t="str">
        <f t="shared" si="13"/>
        <v>PASS</v>
      </c>
      <c r="F416" t="s">
        <v>747</v>
      </c>
      <c r="G416" t="s">
        <v>747</v>
      </c>
      <c r="H416" s="3">
        <v>54618565.159999996</v>
      </c>
      <c r="I416" s="3">
        <v>51700872.518946007</v>
      </c>
      <c r="J416" s="3">
        <v>3635.94</v>
      </c>
      <c r="K416" s="4">
        <v>2730928.2579999999</v>
      </c>
      <c r="L416" s="4">
        <v>0</v>
      </c>
      <c r="M416" s="3">
        <v>0</v>
      </c>
      <c r="N416" t="s">
        <v>23</v>
      </c>
      <c r="O416" s="4">
        <v>3.4989059916673948E-2</v>
      </c>
      <c r="P416" t="s">
        <v>1286</v>
      </c>
      <c r="Q416" t="s">
        <v>1287</v>
      </c>
      <c r="R416" t="s">
        <v>1288</v>
      </c>
    </row>
    <row r="417" spans="1:18" x14ac:dyDescent="0.4">
      <c r="A417" s="2">
        <v>45889</v>
      </c>
      <c r="B417" t="s">
        <v>31</v>
      </c>
      <c r="C417" t="s">
        <v>747</v>
      </c>
      <c r="D417" s="3" t="str">
        <f t="shared" si="12"/>
        <v>PASS</v>
      </c>
      <c r="E417" s="3" t="str">
        <f t="shared" si="13"/>
        <v>PASS</v>
      </c>
      <c r="F417" t="s">
        <v>747</v>
      </c>
      <c r="G417" t="s">
        <v>747</v>
      </c>
      <c r="H417" s="3">
        <v>40098586.670000002</v>
      </c>
      <c r="I417" s="3">
        <v>38483356.408752002</v>
      </c>
      <c r="J417" s="3">
        <v>2532.2399999999998</v>
      </c>
      <c r="K417" s="4">
        <v>2004929.3334999999</v>
      </c>
      <c r="L417" s="4">
        <v>0.24185892274774021</v>
      </c>
      <c r="M417" s="3">
        <v>3</v>
      </c>
      <c r="N417" t="s">
        <v>1289</v>
      </c>
      <c r="O417" s="4">
        <v>9.4243650526947609E-2</v>
      </c>
      <c r="P417" t="s">
        <v>1276</v>
      </c>
      <c r="Q417" t="s">
        <v>912</v>
      </c>
      <c r="R417" t="s">
        <v>1051</v>
      </c>
    </row>
    <row r="418" spans="1:18" x14ac:dyDescent="0.4">
      <c r="A418" s="2">
        <v>45889</v>
      </c>
      <c r="B418" t="s">
        <v>32</v>
      </c>
      <c r="C418" t="s">
        <v>747</v>
      </c>
      <c r="D418" s="3" t="str">
        <f t="shared" si="12"/>
        <v>PASS</v>
      </c>
      <c r="E418" s="3" t="str">
        <f t="shared" si="13"/>
        <v>PASS</v>
      </c>
      <c r="F418" t="s">
        <v>747</v>
      </c>
      <c r="G418" t="s">
        <v>747</v>
      </c>
      <c r="H418" s="3">
        <v>78198631.969999999</v>
      </c>
      <c r="I418" s="3">
        <v>76638536.275008008</v>
      </c>
      <c r="J418" s="3">
        <v>5106.18</v>
      </c>
      <c r="K418" s="4">
        <v>3909931.5984999998</v>
      </c>
      <c r="L418" s="4">
        <v>0.23644717768370199</v>
      </c>
      <c r="M418" s="3">
        <v>3</v>
      </c>
      <c r="N418" t="s">
        <v>1290</v>
      </c>
      <c r="O418" s="4">
        <v>7.2902562249363603E-2</v>
      </c>
      <c r="P418" t="s">
        <v>1276</v>
      </c>
      <c r="Q418" t="s">
        <v>951</v>
      </c>
      <c r="R418" t="s">
        <v>1059</v>
      </c>
    </row>
    <row r="419" spans="1:18" x14ac:dyDescent="0.4">
      <c r="A419" s="2">
        <v>45889</v>
      </c>
      <c r="B419" t="s">
        <v>33</v>
      </c>
      <c r="C419" t="s">
        <v>747</v>
      </c>
      <c r="D419" s="3" t="str">
        <f t="shared" si="12"/>
        <v>PASS</v>
      </c>
      <c r="E419" s="3" t="str">
        <f t="shared" si="13"/>
        <v>PASS</v>
      </c>
      <c r="F419" t="s">
        <v>747</v>
      </c>
      <c r="G419" t="s">
        <v>747</v>
      </c>
      <c r="H419" s="3">
        <v>166565442.62</v>
      </c>
      <c r="I419" s="3">
        <v>158784997.78140801</v>
      </c>
      <c r="J419" s="3">
        <v>10334.85</v>
      </c>
      <c r="K419" s="4">
        <v>8328272.131000001</v>
      </c>
      <c r="L419" s="4">
        <v>0.24497414943618351</v>
      </c>
      <c r="M419" s="3">
        <v>3</v>
      </c>
      <c r="N419" t="s">
        <v>1291</v>
      </c>
      <c r="O419" s="4">
        <v>9.888040737827325E-2</v>
      </c>
      <c r="P419" t="s">
        <v>1276</v>
      </c>
      <c r="Q419" t="s">
        <v>1292</v>
      </c>
      <c r="R419" t="s">
        <v>842</v>
      </c>
    </row>
    <row r="420" spans="1:18" x14ac:dyDescent="0.4">
      <c r="A420" s="2">
        <v>45890</v>
      </c>
      <c r="B420" t="s">
        <v>21</v>
      </c>
      <c r="C420" t="s">
        <v>747</v>
      </c>
      <c r="D420" s="3" t="str">
        <f t="shared" si="12"/>
        <v>PASS</v>
      </c>
      <c r="E420" s="3" t="str">
        <f t="shared" si="13"/>
        <v>PASS</v>
      </c>
      <c r="F420" t="s">
        <v>747</v>
      </c>
      <c r="G420" t="s">
        <v>747</v>
      </c>
      <c r="H420" s="3">
        <v>24537976.16</v>
      </c>
      <c r="I420" s="3">
        <v>23265035.334931999</v>
      </c>
      <c r="J420" s="3">
        <v>1495.71</v>
      </c>
      <c r="K420" s="4">
        <v>1226898.808</v>
      </c>
      <c r="L420" s="4">
        <v>0.24979049744767071</v>
      </c>
      <c r="M420" s="3">
        <v>3</v>
      </c>
      <c r="N420" t="s">
        <v>1293</v>
      </c>
      <c r="O420" s="4">
        <v>0.11250720666328989</v>
      </c>
      <c r="P420" t="s">
        <v>1294</v>
      </c>
      <c r="Q420" t="s">
        <v>899</v>
      </c>
      <c r="R420" t="s">
        <v>1223</v>
      </c>
    </row>
    <row r="421" spans="1:18" x14ac:dyDescent="0.4">
      <c r="A421" s="2">
        <v>45890</v>
      </c>
      <c r="B421" t="s">
        <v>24</v>
      </c>
      <c r="C421" t="s">
        <v>747</v>
      </c>
      <c r="D421" s="3" t="str">
        <f t="shared" si="12"/>
        <v>PASS</v>
      </c>
      <c r="E421" s="3" t="str">
        <f t="shared" si="13"/>
        <v>PASS</v>
      </c>
      <c r="F421" t="s">
        <v>747</v>
      </c>
      <c r="G421" t="s">
        <v>747</v>
      </c>
      <c r="H421" s="3">
        <v>134819980.75</v>
      </c>
      <c r="I421" s="3">
        <v>133012643.56779601</v>
      </c>
      <c r="J421" s="3">
        <v>8686.11</v>
      </c>
      <c r="K421" s="4">
        <v>6740999.0375000006</v>
      </c>
      <c r="L421" s="4">
        <v>0.24175352005920489</v>
      </c>
      <c r="M421" s="3">
        <v>3</v>
      </c>
      <c r="N421" t="s">
        <v>1295</v>
      </c>
      <c r="O421" s="4">
        <v>7.6218439808640931E-2</v>
      </c>
      <c r="P421" t="s">
        <v>1294</v>
      </c>
      <c r="Q421" t="s">
        <v>849</v>
      </c>
      <c r="R421" t="s">
        <v>1034</v>
      </c>
    </row>
    <row r="422" spans="1:18" x14ac:dyDescent="0.4">
      <c r="A422" s="2">
        <v>45890</v>
      </c>
      <c r="B422" t="s">
        <v>25</v>
      </c>
      <c r="C422" t="s">
        <v>747</v>
      </c>
      <c r="D422" s="3" t="str">
        <f t="shared" si="12"/>
        <v>PASS</v>
      </c>
      <c r="E422" s="3" t="str">
        <f t="shared" si="13"/>
        <v>PASS</v>
      </c>
      <c r="F422" t="s">
        <v>747</v>
      </c>
      <c r="G422" t="s">
        <v>747</v>
      </c>
      <c r="H422" s="3">
        <v>100914387.16</v>
      </c>
      <c r="I422" s="3">
        <v>97828984.817088008</v>
      </c>
      <c r="J422" s="3">
        <v>6686.1</v>
      </c>
      <c r="K422" s="4">
        <v>5045719.358</v>
      </c>
      <c r="L422" s="4">
        <v>0.22968587291504081</v>
      </c>
      <c r="M422" s="3">
        <v>3</v>
      </c>
      <c r="N422" t="s">
        <v>1296</v>
      </c>
      <c r="O422" s="4">
        <v>6.2841730654652081E-2</v>
      </c>
      <c r="P422" t="s">
        <v>1294</v>
      </c>
      <c r="Q422" t="s">
        <v>1051</v>
      </c>
      <c r="R422" t="s">
        <v>1297</v>
      </c>
    </row>
    <row r="423" spans="1:18" x14ac:dyDescent="0.4">
      <c r="A423" s="2">
        <v>45890</v>
      </c>
      <c r="B423" t="s">
        <v>26</v>
      </c>
      <c r="C423" t="s">
        <v>747</v>
      </c>
      <c r="D423" s="3" t="str">
        <f t="shared" si="12"/>
        <v>PASS</v>
      </c>
      <c r="E423" s="3" t="str">
        <f t="shared" si="13"/>
        <v>PASS</v>
      </c>
      <c r="F423" t="s">
        <v>747</v>
      </c>
      <c r="G423" t="s">
        <v>747</v>
      </c>
      <c r="H423" s="3">
        <v>23320271.82</v>
      </c>
      <c r="I423" s="3">
        <v>22744701.346471991</v>
      </c>
      <c r="J423" s="3">
        <v>1555.44</v>
      </c>
      <c r="K423" s="4">
        <v>1166013.591</v>
      </c>
      <c r="L423" s="4">
        <v>0.22889025200914609</v>
      </c>
      <c r="M423" s="3">
        <v>3</v>
      </c>
      <c r="N423" t="s">
        <v>1298</v>
      </c>
      <c r="O423" s="4">
        <v>5.562664391242074E-2</v>
      </c>
      <c r="P423" t="s">
        <v>1294</v>
      </c>
      <c r="Q423" t="s">
        <v>1053</v>
      </c>
      <c r="R423" t="s">
        <v>1115</v>
      </c>
    </row>
    <row r="424" spans="1:18" x14ac:dyDescent="0.4">
      <c r="A424" s="2">
        <v>45890</v>
      </c>
      <c r="B424" t="s">
        <v>27</v>
      </c>
      <c r="C424" t="s">
        <v>747</v>
      </c>
      <c r="D424" s="3" t="str">
        <f t="shared" si="12"/>
        <v>PASS</v>
      </c>
      <c r="E424" s="3" t="str">
        <f t="shared" si="13"/>
        <v>PASS</v>
      </c>
      <c r="F424" t="s">
        <v>747</v>
      </c>
      <c r="G424" t="s">
        <v>747</v>
      </c>
      <c r="H424" s="3">
        <v>43021107.899999999</v>
      </c>
      <c r="I424" s="3">
        <v>42229187.892511994</v>
      </c>
      <c r="J424" s="3">
        <v>2665.33</v>
      </c>
      <c r="K424" s="4">
        <v>2151055.395</v>
      </c>
      <c r="L424" s="4">
        <v>0.25352408617060529</v>
      </c>
      <c r="M424" s="3">
        <v>3</v>
      </c>
      <c r="N424" t="s">
        <v>1299</v>
      </c>
      <c r="O424" s="4">
        <v>0.1075085951589824</v>
      </c>
      <c r="P424" t="s">
        <v>1294</v>
      </c>
      <c r="Q424" t="s">
        <v>1300</v>
      </c>
      <c r="R424" t="s">
        <v>1143</v>
      </c>
    </row>
    <row r="425" spans="1:18" x14ac:dyDescent="0.4">
      <c r="A425" s="2">
        <v>45890</v>
      </c>
      <c r="B425" t="s">
        <v>28</v>
      </c>
      <c r="C425" t="s">
        <v>747</v>
      </c>
      <c r="D425" s="3" t="str">
        <f t="shared" si="12"/>
        <v>PASS</v>
      </c>
      <c r="E425" s="3" t="str">
        <f t="shared" si="13"/>
        <v>PASS</v>
      </c>
      <c r="F425" t="s">
        <v>747</v>
      </c>
      <c r="G425" t="s">
        <v>747</v>
      </c>
      <c r="H425" s="3">
        <v>15234919.630000001</v>
      </c>
      <c r="I425" s="3">
        <v>14980618.977436</v>
      </c>
      <c r="J425" s="3">
        <v>987.71</v>
      </c>
      <c r="K425" s="4">
        <v>761745.98150000011</v>
      </c>
      <c r="L425" s="4">
        <v>0.2410804637315016</v>
      </c>
      <c r="M425" s="3">
        <v>3</v>
      </c>
      <c r="N425" t="s">
        <v>1301</v>
      </c>
      <c r="O425" s="4">
        <v>9.1116071574313937E-2</v>
      </c>
      <c r="P425" t="s">
        <v>1294</v>
      </c>
      <c r="Q425" t="s">
        <v>912</v>
      </c>
      <c r="R425" t="s">
        <v>1059</v>
      </c>
    </row>
    <row r="426" spans="1:18" x14ac:dyDescent="0.4">
      <c r="A426" s="2">
        <v>45890</v>
      </c>
      <c r="B426" t="s">
        <v>29</v>
      </c>
      <c r="C426" t="s">
        <v>747</v>
      </c>
      <c r="D426" s="3" t="str">
        <f t="shared" si="12"/>
        <v>PASS</v>
      </c>
      <c r="E426" s="3" t="str">
        <f t="shared" si="13"/>
        <v>PASS</v>
      </c>
      <c r="F426" t="s">
        <v>747</v>
      </c>
      <c r="G426" t="s">
        <v>747</v>
      </c>
      <c r="H426" s="3">
        <v>34374720.350000001</v>
      </c>
      <c r="I426" s="3">
        <v>33885047.928648002</v>
      </c>
      <c r="J426" s="3">
        <v>2340.6799999999998</v>
      </c>
      <c r="K426" s="4">
        <v>1718736.0175000001</v>
      </c>
      <c r="L426" s="4">
        <v>0.22500900109695779</v>
      </c>
      <c r="M426" s="3">
        <v>3</v>
      </c>
      <c r="N426" t="s">
        <v>1302</v>
      </c>
      <c r="O426" s="4">
        <v>3.9641336853755663E-2</v>
      </c>
      <c r="P426" t="s">
        <v>1294</v>
      </c>
      <c r="Q426" t="s">
        <v>1059</v>
      </c>
      <c r="R426" t="s">
        <v>1297</v>
      </c>
    </row>
    <row r="427" spans="1:18" x14ac:dyDescent="0.4">
      <c r="A427" s="2">
        <v>45890</v>
      </c>
      <c r="B427" t="s">
        <v>30</v>
      </c>
      <c r="C427" t="s">
        <v>747</v>
      </c>
      <c r="D427" s="3" t="str">
        <f t="shared" si="12"/>
        <v>PASS</v>
      </c>
      <c r="E427" s="3" t="str">
        <f t="shared" si="13"/>
        <v>PASS</v>
      </c>
      <c r="F427" t="s">
        <v>747</v>
      </c>
      <c r="G427" t="s">
        <v>747</v>
      </c>
      <c r="H427" s="3">
        <v>54567359.810000002</v>
      </c>
      <c r="I427" s="3">
        <v>51572250.281150013</v>
      </c>
      <c r="J427" s="3">
        <v>3637.65</v>
      </c>
      <c r="K427" s="4">
        <v>2728367.9904999998</v>
      </c>
      <c r="L427" s="4">
        <v>0</v>
      </c>
      <c r="M427" s="3">
        <v>0</v>
      </c>
      <c r="N427" t="s">
        <v>23</v>
      </c>
      <c r="O427" s="4">
        <v>3.5239389038529328E-2</v>
      </c>
      <c r="P427" t="s">
        <v>1303</v>
      </c>
      <c r="Q427" t="s">
        <v>1287</v>
      </c>
      <c r="R427" t="s">
        <v>1304</v>
      </c>
    </row>
    <row r="428" spans="1:18" x14ac:dyDescent="0.4">
      <c r="A428" s="2">
        <v>45890</v>
      </c>
      <c r="B428" t="s">
        <v>31</v>
      </c>
      <c r="C428" t="s">
        <v>747</v>
      </c>
      <c r="D428" s="3" t="str">
        <f t="shared" si="12"/>
        <v>PASS</v>
      </c>
      <c r="E428" s="3" t="str">
        <f t="shared" si="13"/>
        <v>PASS</v>
      </c>
      <c r="F428" t="s">
        <v>747</v>
      </c>
      <c r="G428" t="s">
        <v>747</v>
      </c>
      <c r="H428" s="3">
        <v>40037196.399999999</v>
      </c>
      <c r="I428" s="3">
        <v>38366572.848559998</v>
      </c>
      <c r="J428" s="3">
        <v>2530.54</v>
      </c>
      <c r="K428" s="4">
        <v>2001859.82</v>
      </c>
      <c r="L428" s="4">
        <v>0.24144503756085819</v>
      </c>
      <c r="M428" s="3">
        <v>3</v>
      </c>
      <c r="N428" t="s">
        <v>1305</v>
      </c>
      <c r="O428" s="4">
        <v>9.4426918428284365E-2</v>
      </c>
      <c r="P428" t="s">
        <v>1294</v>
      </c>
      <c r="Q428" t="s">
        <v>912</v>
      </c>
      <c r="R428" t="s">
        <v>1053</v>
      </c>
    </row>
    <row r="429" spans="1:18" x14ac:dyDescent="0.4">
      <c r="A429" s="2">
        <v>45890</v>
      </c>
      <c r="B429" t="s">
        <v>32</v>
      </c>
      <c r="C429" t="s">
        <v>747</v>
      </c>
      <c r="D429" s="3" t="str">
        <f t="shared" si="12"/>
        <v>PASS</v>
      </c>
      <c r="E429" s="3" t="str">
        <f t="shared" si="13"/>
        <v>PASS</v>
      </c>
      <c r="F429" t="s">
        <v>747</v>
      </c>
      <c r="G429" t="s">
        <v>747</v>
      </c>
      <c r="H429" s="3">
        <v>78049299.040000007</v>
      </c>
      <c r="I429" s="3">
        <v>76392622.691271991</v>
      </c>
      <c r="J429" s="3">
        <v>5102.26</v>
      </c>
      <c r="K429" s="4">
        <v>3902464.952000001</v>
      </c>
      <c r="L429" s="4">
        <v>0.23611385217698719</v>
      </c>
      <c r="M429" s="3">
        <v>3</v>
      </c>
      <c r="N429" t="s">
        <v>1306</v>
      </c>
      <c r="O429" s="4">
        <v>7.2990733694512366E-2</v>
      </c>
      <c r="P429" t="s">
        <v>1294</v>
      </c>
      <c r="Q429" t="s">
        <v>1152</v>
      </c>
      <c r="R429" t="s">
        <v>1059</v>
      </c>
    </row>
    <row r="430" spans="1:18" x14ac:dyDescent="0.4">
      <c r="A430" s="2">
        <v>45890</v>
      </c>
      <c r="B430" t="s">
        <v>33</v>
      </c>
      <c r="C430" t="s">
        <v>747</v>
      </c>
      <c r="D430" s="3" t="str">
        <f t="shared" si="12"/>
        <v>PASS</v>
      </c>
      <c r="E430" s="3" t="str">
        <f t="shared" si="13"/>
        <v>PASS</v>
      </c>
      <c r="F430" t="s">
        <v>747</v>
      </c>
      <c r="G430" t="s">
        <v>747</v>
      </c>
      <c r="H430" s="3">
        <v>166335364.99000001</v>
      </c>
      <c r="I430" s="3">
        <v>158313065.86161599</v>
      </c>
      <c r="J430" s="3">
        <v>10329.620000000001</v>
      </c>
      <c r="K430" s="4">
        <v>8316768.2495000008</v>
      </c>
      <c r="L430" s="4">
        <v>0.24453040565639031</v>
      </c>
      <c r="M430" s="3">
        <v>3</v>
      </c>
      <c r="N430" t="s">
        <v>1307</v>
      </c>
      <c r="O430" s="4">
        <v>9.9097339658388184E-2</v>
      </c>
      <c r="P430" t="s">
        <v>1294</v>
      </c>
      <c r="Q430" t="s">
        <v>1292</v>
      </c>
      <c r="R430" t="s">
        <v>842</v>
      </c>
    </row>
    <row r="431" spans="1:18" x14ac:dyDescent="0.4">
      <c r="A431" s="2">
        <v>45891</v>
      </c>
      <c r="B431" t="s">
        <v>21</v>
      </c>
      <c r="C431" t="s">
        <v>747</v>
      </c>
      <c r="D431" s="3" t="str">
        <f t="shared" si="12"/>
        <v>PASS</v>
      </c>
      <c r="E431" s="3" t="str">
        <f t="shared" si="13"/>
        <v>PASS</v>
      </c>
      <c r="F431" t="s">
        <v>747</v>
      </c>
      <c r="G431" t="s">
        <v>747</v>
      </c>
      <c r="H431" s="3">
        <v>24706494.620000001</v>
      </c>
      <c r="I431" s="3">
        <v>23481800.931060001</v>
      </c>
      <c r="J431" s="3">
        <v>4478.16</v>
      </c>
      <c r="K431" s="4">
        <v>1235324.7309999999</v>
      </c>
      <c r="L431" s="4">
        <v>0.24992586841501649</v>
      </c>
      <c r="M431" s="3">
        <v>3</v>
      </c>
      <c r="N431" t="s">
        <v>1308</v>
      </c>
      <c r="O431" s="4">
        <v>0.11052398865395981</v>
      </c>
      <c r="P431" t="s">
        <v>1309</v>
      </c>
      <c r="Q431" t="s">
        <v>974</v>
      </c>
      <c r="R431" t="s">
        <v>1292</v>
      </c>
    </row>
    <row r="432" spans="1:18" x14ac:dyDescent="0.4">
      <c r="A432" s="2">
        <v>45891</v>
      </c>
      <c r="B432" t="s">
        <v>24</v>
      </c>
      <c r="C432" t="s">
        <v>747</v>
      </c>
      <c r="D432" s="3" t="str">
        <f t="shared" si="12"/>
        <v>PASS</v>
      </c>
      <c r="E432" s="3" t="str">
        <f t="shared" si="13"/>
        <v>PASS</v>
      </c>
      <c r="F432" t="s">
        <v>747</v>
      </c>
      <c r="G432" t="s">
        <v>747</v>
      </c>
      <c r="H432" s="3">
        <v>135943273.15000001</v>
      </c>
      <c r="I432" s="3">
        <v>134567000.70008999</v>
      </c>
      <c r="J432" s="3">
        <v>26002.83</v>
      </c>
      <c r="K432" s="4">
        <v>6797163.6575000007</v>
      </c>
      <c r="L432" s="4">
        <v>0.24221402746276019</v>
      </c>
      <c r="M432" s="3">
        <v>3</v>
      </c>
      <c r="N432" t="s">
        <v>1310</v>
      </c>
      <c r="O432" s="4">
        <v>7.5725148450201202E-2</v>
      </c>
      <c r="P432" t="s">
        <v>1309</v>
      </c>
      <c r="Q432" t="s">
        <v>1311</v>
      </c>
      <c r="R432" t="s">
        <v>842</v>
      </c>
    </row>
    <row r="433" spans="1:18" x14ac:dyDescent="0.4">
      <c r="A433" s="2">
        <v>45891</v>
      </c>
      <c r="B433" t="s">
        <v>25</v>
      </c>
      <c r="C433" t="s">
        <v>747</v>
      </c>
      <c r="D433" s="3" t="str">
        <f t="shared" si="12"/>
        <v>PASS</v>
      </c>
      <c r="E433" s="3" t="str">
        <f t="shared" si="13"/>
        <v>PASS</v>
      </c>
      <c r="F433" t="s">
        <v>747</v>
      </c>
      <c r="G433" t="s">
        <v>747</v>
      </c>
      <c r="H433" s="3">
        <v>101595006.53</v>
      </c>
      <c r="I433" s="3">
        <v>98761867.748834997</v>
      </c>
      <c r="J433" s="3">
        <v>20026.650000000001</v>
      </c>
      <c r="K433" s="4">
        <v>5079750.3265000004</v>
      </c>
      <c r="L433" s="4">
        <v>0.22989814546456519</v>
      </c>
      <c r="M433" s="3">
        <v>3</v>
      </c>
      <c r="N433" t="s">
        <v>1312</v>
      </c>
      <c r="O433" s="4">
        <v>6.0340554110056413E-2</v>
      </c>
      <c r="P433" t="s">
        <v>1309</v>
      </c>
      <c r="Q433" t="s">
        <v>1051</v>
      </c>
      <c r="R433" t="s">
        <v>1313</v>
      </c>
    </row>
    <row r="434" spans="1:18" x14ac:dyDescent="0.4">
      <c r="A434" s="2">
        <v>45891</v>
      </c>
      <c r="B434" t="s">
        <v>26</v>
      </c>
      <c r="C434" t="s">
        <v>747</v>
      </c>
      <c r="D434" s="3" t="str">
        <f t="shared" si="12"/>
        <v>PASS</v>
      </c>
      <c r="E434" s="3" t="str">
        <f t="shared" si="13"/>
        <v>PASS</v>
      </c>
      <c r="F434" t="s">
        <v>747</v>
      </c>
      <c r="G434" t="s">
        <v>747</v>
      </c>
      <c r="H434" s="3">
        <v>23493131.120000001</v>
      </c>
      <c r="I434" s="3">
        <v>22976560.291099999</v>
      </c>
      <c r="J434" s="3">
        <v>4658.37</v>
      </c>
      <c r="K434" s="4">
        <v>1174656.5560000001</v>
      </c>
      <c r="L434" s="4">
        <v>0.2292701545071042</v>
      </c>
      <c r="M434" s="3">
        <v>3</v>
      </c>
      <c r="N434" t="s">
        <v>1314</v>
      </c>
      <c r="O434" s="4">
        <v>5.4040471856013697E-2</v>
      </c>
      <c r="P434" t="s">
        <v>1309</v>
      </c>
      <c r="Q434" t="s">
        <v>1053</v>
      </c>
      <c r="R434" t="s">
        <v>1313</v>
      </c>
    </row>
    <row r="435" spans="1:18" x14ac:dyDescent="0.4">
      <c r="A435" s="2">
        <v>45891</v>
      </c>
      <c r="B435" t="s">
        <v>27</v>
      </c>
      <c r="C435" t="s">
        <v>747</v>
      </c>
      <c r="D435" s="3" t="str">
        <f t="shared" si="12"/>
        <v>PASS</v>
      </c>
      <c r="E435" s="3" t="str">
        <f t="shared" si="13"/>
        <v>PASS</v>
      </c>
      <c r="F435" t="s">
        <v>747</v>
      </c>
      <c r="G435" t="s">
        <v>747</v>
      </c>
      <c r="H435" s="3">
        <v>43379713.079999998</v>
      </c>
      <c r="I435" s="3">
        <v>42746552.116880007</v>
      </c>
      <c r="J435" s="3">
        <v>7978.11</v>
      </c>
      <c r="K435" s="4">
        <v>2168985.6540000001</v>
      </c>
      <c r="L435" s="4">
        <v>0.25406426507911839</v>
      </c>
      <c r="M435" s="3">
        <v>3</v>
      </c>
      <c r="N435" t="s">
        <v>1315</v>
      </c>
      <c r="O435" s="4">
        <v>0.1075466109763398</v>
      </c>
      <c r="P435" t="s">
        <v>1309</v>
      </c>
      <c r="Q435" t="s">
        <v>839</v>
      </c>
      <c r="R435" t="s">
        <v>840</v>
      </c>
    </row>
    <row r="436" spans="1:18" x14ac:dyDescent="0.4">
      <c r="A436" s="2">
        <v>45891</v>
      </c>
      <c r="B436" t="s">
        <v>28</v>
      </c>
      <c r="C436" t="s">
        <v>747</v>
      </c>
      <c r="D436" s="3" t="str">
        <f t="shared" si="12"/>
        <v>PASS</v>
      </c>
      <c r="E436" s="3" t="str">
        <f t="shared" si="13"/>
        <v>PASS</v>
      </c>
      <c r="F436" t="s">
        <v>747</v>
      </c>
      <c r="G436" t="s">
        <v>747</v>
      </c>
      <c r="H436" s="3">
        <v>15348443.07</v>
      </c>
      <c r="I436" s="3">
        <v>15156225.22449</v>
      </c>
      <c r="J436" s="3">
        <v>2957.07</v>
      </c>
      <c r="K436" s="4">
        <v>767422.15350000001</v>
      </c>
      <c r="L436" s="4">
        <v>0.2415242336393145</v>
      </c>
      <c r="M436" s="3">
        <v>3</v>
      </c>
      <c r="N436" t="s">
        <v>1316</v>
      </c>
      <c r="O436" s="4">
        <v>8.9952924748998658E-2</v>
      </c>
      <c r="P436" t="s">
        <v>1309</v>
      </c>
      <c r="Q436" t="s">
        <v>849</v>
      </c>
      <c r="R436" t="s">
        <v>1059</v>
      </c>
    </row>
    <row r="437" spans="1:18" x14ac:dyDescent="0.4">
      <c r="A437" s="2">
        <v>45891</v>
      </c>
      <c r="B437" t="s">
        <v>29</v>
      </c>
      <c r="C437" t="s">
        <v>747</v>
      </c>
      <c r="D437" s="3" t="str">
        <f t="shared" si="12"/>
        <v>PASS</v>
      </c>
      <c r="E437" s="3" t="str">
        <f t="shared" si="13"/>
        <v>PASS</v>
      </c>
      <c r="F437" t="s">
        <v>747</v>
      </c>
      <c r="G437" t="s">
        <v>747</v>
      </c>
      <c r="H437" s="3">
        <v>34684836.049999997</v>
      </c>
      <c r="I437" s="3">
        <v>34273465.930919997</v>
      </c>
      <c r="J437" s="3">
        <v>7007.25</v>
      </c>
      <c r="K437" s="4">
        <v>1734241.8025</v>
      </c>
      <c r="L437" s="4">
        <v>0.22528726687376879</v>
      </c>
      <c r="M437" s="3">
        <v>3</v>
      </c>
      <c r="N437" t="s">
        <v>1317</v>
      </c>
      <c r="O437" s="4">
        <v>3.8703390697445723E-2</v>
      </c>
      <c r="P437" t="s">
        <v>1309</v>
      </c>
      <c r="Q437" t="s">
        <v>1059</v>
      </c>
      <c r="R437" t="s">
        <v>1115</v>
      </c>
    </row>
    <row r="438" spans="1:18" x14ac:dyDescent="0.4">
      <c r="A438" s="2">
        <v>45891</v>
      </c>
      <c r="B438" t="s">
        <v>30</v>
      </c>
      <c r="C438" t="s">
        <v>747</v>
      </c>
      <c r="D438" s="3" t="str">
        <f t="shared" si="12"/>
        <v>PASS</v>
      </c>
      <c r="E438" s="3" t="str">
        <f t="shared" si="13"/>
        <v>PASS</v>
      </c>
      <c r="F438" t="s">
        <v>747</v>
      </c>
      <c r="G438" t="s">
        <v>747</v>
      </c>
      <c r="H438" s="3">
        <v>55230371.060000002</v>
      </c>
      <c r="I438" s="3">
        <v>52514731.004167013</v>
      </c>
      <c r="J438" s="3">
        <v>10901.01</v>
      </c>
      <c r="K438" s="4">
        <v>2761518.5529999998</v>
      </c>
      <c r="L438" s="4">
        <v>0</v>
      </c>
      <c r="M438" s="3">
        <v>0</v>
      </c>
      <c r="N438" t="s">
        <v>23</v>
      </c>
      <c r="O438" s="4">
        <v>3.3929394248161687E-2</v>
      </c>
      <c r="P438" t="s">
        <v>1318</v>
      </c>
      <c r="Q438" t="s">
        <v>1319</v>
      </c>
      <c r="R438" t="s">
        <v>1271</v>
      </c>
    </row>
    <row r="439" spans="1:18" x14ac:dyDescent="0.4">
      <c r="A439" s="2">
        <v>45891</v>
      </c>
      <c r="B439" t="s">
        <v>31</v>
      </c>
      <c r="C439" t="s">
        <v>747</v>
      </c>
      <c r="D439" s="3" t="str">
        <f t="shared" si="12"/>
        <v>PASS</v>
      </c>
      <c r="E439" s="3" t="str">
        <f t="shared" si="13"/>
        <v>PASS</v>
      </c>
      <c r="F439" t="s">
        <v>747</v>
      </c>
      <c r="G439" t="s">
        <v>747</v>
      </c>
      <c r="H439" s="3">
        <v>40318852.640000001</v>
      </c>
      <c r="I439" s="3">
        <v>38762176.946310014</v>
      </c>
      <c r="J439" s="3">
        <v>7577.7</v>
      </c>
      <c r="K439" s="4">
        <v>2015942.632</v>
      </c>
      <c r="L439" s="4">
        <v>0.24174574524523351</v>
      </c>
      <c r="M439" s="3">
        <v>3</v>
      </c>
      <c r="N439" t="s">
        <v>1320</v>
      </c>
      <c r="O439" s="4">
        <v>9.2753493004904125E-2</v>
      </c>
      <c r="P439" t="s">
        <v>1309</v>
      </c>
      <c r="Q439" t="s">
        <v>849</v>
      </c>
      <c r="R439" t="s">
        <v>1053</v>
      </c>
    </row>
    <row r="440" spans="1:18" x14ac:dyDescent="0.4">
      <c r="A440" s="2">
        <v>45891</v>
      </c>
      <c r="B440" t="s">
        <v>32</v>
      </c>
      <c r="C440" t="s">
        <v>747</v>
      </c>
      <c r="D440" s="3" t="str">
        <f t="shared" si="12"/>
        <v>PASS</v>
      </c>
      <c r="E440" s="3" t="str">
        <f t="shared" si="13"/>
        <v>PASS</v>
      </c>
      <c r="F440" t="s">
        <v>747</v>
      </c>
      <c r="G440" t="s">
        <v>747</v>
      </c>
      <c r="H440" s="3">
        <v>78700340.829999998</v>
      </c>
      <c r="I440" s="3">
        <v>77307556.680500016</v>
      </c>
      <c r="J440" s="3">
        <v>15273.15</v>
      </c>
      <c r="K440" s="4">
        <v>3935017.0414999998</v>
      </c>
      <c r="L440" s="4">
        <v>0.2364019930043928</v>
      </c>
      <c r="M440" s="3">
        <v>3</v>
      </c>
      <c r="N440" t="s">
        <v>1321</v>
      </c>
      <c r="O440" s="4">
        <v>7.1912325420865675E-2</v>
      </c>
      <c r="P440" t="s">
        <v>1309</v>
      </c>
      <c r="Q440" t="s">
        <v>851</v>
      </c>
      <c r="R440" t="s">
        <v>1063</v>
      </c>
    </row>
    <row r="441" spans="1:18" x14ac:dyDescent="0.4">
      <c r="A441" s="2">
        <v>45891</v>
      </c>
      <c r="B441" t="s">
        <v>33</v>
      </c>
      <c r="C441" t="s">
        <v>747</v>
      </c>
      <c r="D441" s="3" t="str">
        <f t="shared" si="12"/>
        <v>PASS</v>
      </c>
      <c r="E441" s="3" t="str">
        <f t="shared" si="13"/>
        <v>PASS</v>
      </c>
      <c r="F441" t="s">
        <v>747</v>
      </c>
      <c r="G441" t="s">
        <v>747</v>
      </c>
      <c r="H441" s="3">
        <v>167373373.53</v>
      </c>
      <c r="I441" s="3">
        <v>159944604.39849001</v>
      </c>
      <c r="J441" s="3">
        <v>30936.48</v>
      </c>
      <c r="K441" s="4">
        <v>8368668.6765000001</v>
      </c>
      <c r="L441" s="4">
        <v>0.2450830587826254</v>
      </c>
      <c r="M441" s="3">
        <v>3</v>
      </c>
      <c r="N441" t="s">
        <v>1322</v>
      </c>
      <c r="O441" s="4">
        <v>9.7693495528183238E-2</v>
      </c>
      <c r="P441" t="s">
        <v>1309</v>
      </c>
      <c r="Q441" t="s">
        <v>877</v>
      </c>
      <c r="R441" t="s">
        <v>1292</v>
      </c>
    </row>
    <row r="442" spans="1:18" x14ac:dyDescent="0.4">
      <c r="A442" s="2">
        <v>45894</v>
      </c>
      <c r="B442" t="s">
        <v>21</v>
      </c>
      <c r="C442" t="s">
        <v>747</v>
      </c>
      <c r="D442" s="3" t="str">
        <f t="shared" si="12"/>
        <v>PASS</v>
      </c>
      <c r="E442" s="3" t="str">
        <f t="shared" si="13"/>
        <v>PASS</v>
      </c>
      <c r="F442" t="s">
        <v>747</v>
      </c>
      <c r="G442" t="s">
        <v>747</v>
      </c>
      <c r="H442" s="3">
        <v>24646236.640000001</v>
      </c>
      <c r="I442" s="3">
        <v>23367903.834270999</v>
      </c>
      <c r="J442" s="3">
        <v>1504.65</v>
      </c>
      <c r="K442" s="4">
        <v>1232311.8319999999</v>
      </c>
      <c r="L442" s="4">
        <v>0.25007785863112719</v>
      </c>
      <c r="M442" s="3">
        <v>3</v>
      </c>
      <c r="N442" t="s">
        <v>1323</v>
      </c>
      <c r="O442" s="4">
        <v>0.11024838412291579</v>
      </c>
      <c r="P442" t="s">
        <v>1324</v>
      </c>
      <c r="Q442" t="s">
        <v>1292</v>
      </c>
      <c r="R442" t="s">
        <v>1128</v>
      </c>
    </row>
    <row r="443" spans="1:18" x14ac:dyDescent="0.4">
      <c r="A443" s="2">
        <v>45894</v>
      </c>
      <c r="B443" t="s">
        <v>24</v>
      </c>
      <c r="C443" t="s">
        <v>747</v>
      </c>
      <c r="D443" s="3" t="str">
        <f t="shared" si="12"/>
        <v>PASS</v>
      </c>
      <c r="E443" s="3" t="str">
        <f t="shared" si="13"/>
        <v>PASS</v>
      </c>
      <c r="F443" t="s">
        <v>747</v>
      </c>
      <c r="G443" t="s">
        <v>747</v>
      </c>
      <c r="H443" s="3">
        <v>135593074.78</v>
      </c>
      <c r="I443" s="3">
        <v>133789286.23195399</v>
      </c>
      <c r="J443" s="3">
        <v>8747.3700000000008</v>
      </c>
      <c r="K443" s="4">
        <v>6779653.7390000001</v>
      </c>
      <c r="L443" s="4">
        <v>0.24229366183717199</v>
      </c>
      <c r="M443" s="3">
        <v>3</v>
      </c>
      <c r="N443" t="s">
        <v>1325</v>
      </c>
      <c r="O443" s="4">
        <v>7.5344880323201427E-2</v>
      </c>
      <c r="P443" t="s">
        <v>1324</v>
      </c>
      <c r="Q443" t="s">
        <v>1261</v>
      </c>
      <c r="R443" t="s">
        <v>849</v>
      </c>
    </row>
    <row r="444" spans="1:18" x14ac:dyDescent="0.4">
      <c r="A444" s="2">
        <v>45894</v>
      </c>
      <c r="B444" t="s">
        <v>25</v>
      </c>
      <c r="C444" t="s">
        <v>747</v>
      </c>
      <c r="D444" s="3" t="str">
        <f t="shared" si="12"/>
        <v>PASS</v>
      </c>
      <c r="E444" s="3" t="str">
        <f t="shared" si="13"/>
        <v>PASS</v>
      </c>
      <c r="F444" t="s">
        <v>747</v>
      </c>
      <c r="G444" t="s">
        <v>747</v>
      </c>
      <c r="H444" s="3">
        <v>101366496.51000001</v>
      </c>
      <c r="I444" s="3">
        <v>98247180.847298011</v>
      </c>
      <c r="J444" s="3">
        <v>6723.58</v>
      </c>
      <c r="K444" s="4">
        <v>5068324.8255000003</v>
      </c>
      <c r="L444" s="4">
        <v>0.23007436161891159</v>
      </c>
      <c r="M444" s="3">
        <v>3</v>
      </c>
      <c r="N444" t="s">
        <v>1326</v>
      </c>
      <c r="O444" s="4">
        <v>6.0463687493563158E-2</v>
      </c>
      <c r="P444" t="s">
        <v>1324</v>
      </c>
      <c r="Q444" t="s">
        <v>1051</v>
      </c>
      <c r="R444" t="s">
        <v>1327</v>
      </c>
    </row>
    <row r="445" spans="1:18" x14ac:dyDescent="0.4">
      <c r="A445" s="2">
        <v>45894</v>
      </c>
      <c r="B445" t="s">
        <v>26</v>
      </c>
      <c r="C445" t="s">
        <v>747</v>
      </c>
      <c r="D445" s="3" t="str">
        <f t="shared" si="12"/>
        <v>PASS</v>
      </c>
      <c r="E445" s="3" t="str">
        <f t="shared" si="13"/>
        <v>PASS</v>
      </c>
      <c r="F445" t="s">
        <v>747</v>
      </c>
      <c r="G445" t="s">
        <v>747</v>
      </c>
      <c r="H445" s="3">
        <v>23437026.350000001</v>
      </c>
      <c r="I445" s="3">
        <v>22856115.213714998</v>
      </c>
      <c r="J445" s="3">
        <v>1565.03</v>
      </c>
      <c r="K445" s="4">
        <v>1171851.3174999999</v>
      </c>
      <c r="L445" s="4">
        <v>0.2293732400003223</v>
      </c>
      <c r="M445" s="3">
        <v>3</v>
      </c>
      <c r="N445" t="s">
        <v>1328</v>
      </c>
      <c r="O445" s="4">
        <v>5.3925839176052301E-2</v>
      </c>
      <c r="P445" t="s">
        <v>1324</v>
      </c>
      <c r="Q445" t="s">
        <v>1053</v>
      </c>
      <c r="R445" t="s">
        <v>1327</v>
      </c>
    </row>
    <row r="446" spans="1:18" x14ac:dyDescent="0.4">
      <c r="A446" s="2">
        <v>45894</v>
      </c>
      <c r="B446" t="s">
        <v>27</v>
      </c>
      <c r="C446" t="s">
        <v>747</v>
      </c>
      <c r="D446" s="3" t="str">
        <f t="shared" si="12"/>
        <v>PASS</v>
      </c>
      <c r="E446" s="3" t="str">
        <f t="shared" si="13"/>
        <v>PASS</v>
      </c>
      <c r="F446" t="s">
        <v>747</v>
      </c>
      <c r="G446" t="s">
        <v>747</v>
      </c>
      <c r="H446" s="3">
        <v>43261463.25</v>
      </c>
      <c r="I446" s="3">
        <v>42520663.099540003</v>
      </c>
      <c r="J446" s="3">
        <v>2684.85</v>
      </c>
      <c r="K446" s="4">
        <v>2163073.1625000001</v>
      </c>
      <c r="L446" s="4">
        <v>0.25418442498137223</v>
      </c>
      <c r="M446" s="3">
        <v>3</v>
      </c>
      <c r="N446" t="s">
        <v>1329</v>
      </c>
      <c r="O446" s="4">
        <v>0.1069388527800201</v>
      </c>
      <c r="P446" t="s">
        <v>1324</v>
      </c>
      <c r="Q446" t="s">
        <v>1143</v>
      </c>
      <c r="R446" t="s">
        <v>988</v>
      </c>
    </row>
    <row r="447" spans="1:18" x14ac:dyDescent="0.4">
      <c r="A447" s="2">
        <v>45894</v>
      </c>
      <c r="B447" t="s">
        <v>28</v>
      </c>
      <c r="C447" t="s">
        <v>747</v>
      </c>
      <c r="D447" s="3" t="str">
        <f t="shared" si="12"/>
        <v>PASS</v>
      </c>
      <c r="E447" s="3" t="str">
        <f t="shared" si="13"/>
        <v>PASS</v>
      </c>
      <c r="F447" t="s">
        <v>747</v>
      </c>
      <c r="G447" t="s">
        <v>747</v>
      </c>
      <c r="H447" s="3">
        <v>15310175.470000001</v>
      </c>
      <c r="I447" s="3">
        <v>15059561.219488</v>
      </c>
      <c r="J447" s="3">
        <v>993.72</v>
      </c>
      <c r="K447" s="4">
        <v>765508.77350000013</v>
      </c>
      <c r="L447" s="4">
        <v>0.24169149214955221</v>
      </c>
      <c r="M447" s="3">
        <v>3</v>
      </c>
      <c r="N447" t="s">
        <v>1330</v>
      </c>
      <c r="O447" s="4">
        <v>8.9688930879901943E-2</v>
      </c>
      <c r="P447" t="s">
        <v>1324</v>
      </c>
      <c r="Q447" t="s">
        <v>1257</v>
      </c>
      <c r="R447" t="s">
        <v>912</v>
      </c>
    </row>
    <row r="448" spans="1:18" x14ac:dyDescent="0.4">
      <c r="A448" s="2">
        <v>45894</v>
      </c>
      <c r="B448" t="s">
        <v>29</v>
      </c>
      <c r="C448" t="s">
        <v>747</v>
      </c>
      <c r="D448" s="3" t="str">
        <f t="shared" si="12"/>
        <v>PASS</v>
      </c>
      <c r="E448" s="3" t="str">
        <f t="shared" si="13"/>
        <v>PASS</v>
      </c>
      <c r="F448" t="s">
        <v>747</v>
      </c>
      <c r="G448" t="s">
        <v>747</v>
      </c>
      <c r="H448" s="3">
        <v>34590535.460000001</v>
      </c>
      <c r="I448" s="3">
        <v>34088969.692421012</v>
      </c>
      <c r="J448" s="3">
        <v>2357.7800000000002</v>
      </c>
      <c r="K448" s="4">
        <v>1729526.773</v>
      </c>
      <c r="L448" s="4">
        <v>0.22559383364536739</v>
      </c>
      <c r="M448" s="3">
        <v>3</v>
      </c>
      <c r="N448" t="s">
        <v>1331</v>
      </c>
      <c r="O448" s="4">
        <v>3.8624036738776749E-2</v>
      </c>
      <c r="P448" t="s">
        <v>1324</v>
      </c>
      <c r="Q448" t="s">
        <v>1059</v>
      </c>
      <c r="R448" t="s">
        <v>1313</v>
      </c>
    </row>
    <row r="449" spans="1:18" x14ac:dyDescent="0.4">
      <c r="A449" s="2">
        <v>45894</v>
      </c>
      <c r="B449" t="s">
        <v>30</v>
      </c>
      <c r="C449" t="s">
        <v>747</v>
      </c>
      <c r="D449" s="3" t="str">
        <f t="shared" si="12"/>
        <v>PASS</v>
      </c>
      <c r="E449" s="3" t="str">
        <f t="shared" si="13"/>
        <v>PASS</v>
      </c>
      <c r="F449" t="s">
        <v>747</v>
      </c>
      <c r="G449" t="s">
        <v>747</v>
      </c>
      <c r="H449" s="3">
        <v>55153702.590000004</v>
      </c>
      <c r="I449" s="3">
        <v>52424678.703965001</v>
      </c>
      <c r="J449" s="3">
        <v>3681.02</v>
      </c>
      <c r="K449" s="4">
        <v>2757685.1294999998</v>
      </c>
      <c r="L449" s="4">
        <v>0</v>
      </c>
      <c r="M449" s="3">
        <v>0</v>
      </c>
      <c r="N449" t="s">
        <v>23</v>
      </c>
      <c r="O449" s="4">
        <v>3.3888856888891587E-2</v>
      </c>
      <c r="P449" t="s">
        <v>1332</v>
      </c>
      <c r="Q449" t="s">
        <v>1272</v>
      </c>
      <c r="R449" t="s">
        <v>1333</v>
      </c>
    </row>
    <row r="450" spans="1:18" x14ac:dyDescent="0.4">
      <c r="A450" s="2">
        <v>45894</v>
      </c>
      <c r="B450" t="s">
        <v>31</v>
      </c>
      <c r="C450" t="s">
        <v>747</v>
      </c>
      <c r="D450" s="3" t="str">
        <f t="shared" ref="D450:D513" si="14">IF(I450/H450&gt;=0.5,"PASS","FAIL")</f>
        <v>PASS</v>
      </c>
      <c r="E450" s="3" t="str">
        <f t="shared" ref="E450:E513" si="15">IF(L450&lt;=0.5,"PASS","FAIL")</f>
        <v>PASS</v>
      </c>
      <c r="F450" t="s">
        <v>747</v>
      </c>
      <c r="G450" t="s">
        <v>747</v>
      </c>
      <c r="H450" s="3">
        <v>40220797.280000001</v>
      </c>
      <c r="I450" s="3">
        <v>38560078.944499999</v>
      </c>
      <c r="J450" s="3">
        <v>2545.8200000000002</v>
      </c>
      <c r="K450" s="4">
        <v>2011039.8640000001</v>
      </c>
      <c r="L450" s="4">
        <v>0.24194464119063741</v>
      </c>
      <c r="M450" s="3">
        <v>3</v>
      </c>
      <c r="N450" t="s">
        <v>1334</v>
      </c>
      <c r="O450" s="4">
        <v>9.2504416523590094E-2</v>
      </c>
      <c r="P450" t="s">
        <v>1324</v>
      </c>
      <c r="Q450" t="s">
        <v>912</v>
      </c>
      <c r="R450" t="s">
        <v>1053</v>
      </c>
    </row>
    <row r="451" spans="1:18" x14ac:dyDescent="0.4">
      <c r="A451" s="2">
        <v>45894</v>
      </c>
      <c r="B451" t="s">
        <v>32</v>
      </c>
      <c r="C451" t="s">
        <v>747</v>
      </c>
      <c r="D451" s="3" t="str">
        <f t="shared" si="14"/>
        <v>PASS</v>
      </c>
      <c r="E451" s="3" t="str">
        <f t="shared" si="15"/>
        <v>PASS</v>
      </c>
      <c r="F451" t="s">
        <v>747</v>
      </c>
      <c r="G451" t="s">
        <v>747</v>
      </c>
      <c r="H451" s="3">
        <v>78495505.269999996</v>
      </c>
      <c r="I451" s="3">
        <v>76844130.930124</v>
      </c>
      <c r="J451" s="3">
        <v>5137.21</v>
      </c>
      <c r="K451" s="4">
        <v>3924775.2634999999</v>
      </c>
      <c r="L451" s="4">
        <v>0.2366635269792228</v>
      </c>
      <c r="M451" s="3">
        <v>3</v>
      </c>
      <c r="N451" t="s">
        <v>1335</v>
      </c>
      <c r="O451" s="4">
        <v>7.1674889419104729E-2</v>
      </c>
      <c r="P451" t="s">
        <v>1324</v>
      </c>
      <c r="Q451" t="s">
        <v>1152</v>
      </c>
      <c r="R451" t="s">
        <v>1059</v>
      </c>
    </row>
    <row r="452" spans="1:18" x14ac:dyDescent="0.4">
      <c r="A452" s="2">
        <v>45894</v>
      </c>
      <c r="B452" t="s">
        <v>33</v>
      </c>
      <c r="C452" t="s">
        <v>747</v>
      </c>
      <c r="D452" s="3" t="str">
        <f t="shared" si="14"/>
        <v>PASS</v>
      </c>
      <c r="E452" s="3" t="str">
        <f t="shared" si="15"/>
        <v>PASS</v>
      </c>
      <c r="F452" t="s">
        <v>747</v>
      </c>
      <c r="G452" t="s">
        <v>747</v>
      </c>
      <c r="H452" s="3">
        <v>167041380.37</v>
      </c>
      <c r="I452" s="3">
        <v>159055368.278144</v>
      </c>
      <c r="J452" s="3">
        <v>10385.4</v>
      </c>
      <c r="K452" s="4">
        <v>8352069.0185000002</v>
      </c>
      <c r="L452" s="4">
        <v>0.24504677794447929</v>
      </c>
      <c r="M452" s="3">
        <v>3</v>
      </c>
      <c r="N452" t="s">
        <v>1336</v>
      </c>
      <c r="O452" s="4">
        <v>9.7496523269086283E-2</v>
      </c>
      <c r="P452" t="s">
        <v>1324</v>
      </c>
      <c r="Q452" t="s">
        <v>1242</v>
      </c>
      <c r="R452" t="s">
        <v>833</v>
      </c>
    </row>
    <row r="453" spans="1:18" x14ac:dyDescent="0.4">
      <c r="A453" s="2">
        <v>45895</v>
      </c>
      <c r="B453" t="s">
        <v>21</v>
      </c>
      <c r="C453" t="s">
        <v>747</v>
      </c>
      <c r="D453" s="3" t="str">
        <f t="shared" si="14"/>
        <v>PASS</v>
      </c>
      <c r="E453" s="3" t="str">
        <f t="shared" si="15"/>
        <v>PASS</v>
      </c>
      <c r="F453" t="s">
        <v>747</v>
      </c>
      <c r="G453" t="s">
        <v>747</v>
      </c>
      <c r="H453" s="3">
        <v>24720340.25</v>
      </c>
      <c r="I453" s="3">
        <v>23479856.090130009</v>
      </c>
      <c r="J453" s="3">
        <v>1500.37</v>
      </c>
      <c r="K453" s="4">
        <v>1236017.0125</v>
      </c>
      <c r="L453" s="4">
        <v>0.25085689636299058</v>
      </c>
      <c r="M453" s="3">
        <v>3</v>
      </c>
      <c r="N453" t="s">
        <v>1337</v>
      </c>
      <c r="O453" s="4">
        <v>0.11071760147516579</v>
      </c>
      <c r="P453" t="s">
        <v>1338</v>
      </c>
      <c r="Q453" t="s">
        <v>1311</v>
      </c>
      <c r="R453" t="s">
        <v>974</v>
      </c>
    </row>
    <row r="454" spans="1:18" x14ac:dyDescent="0.4">
      <c r="A454" s="2">
        <v>45895</v>
      </c>
      <c r="B454" t="s">
        <v>24</v>
      </c>
      <c r="C454" t="s">
        <v>747</v>
      </c>
      <c r="D454" s="3" t="str">
        <f t="shared" si="14"/>
        <v>PASS</v>
      </c>
      <c r="E454" s="3" t="str">
        <f t="shared" si="15"/>
        <v>PASS</v>
      </c>
      <c r="F454" t="s">
        <v>747</v>
      </c>
      <c r="G454" t="s">
        <v>747</v>
      </c>
      <c r="H454" s="3">
        <v>136038927.72</v>
      </c>
      <c r="I454" s="3">
        <v>134465501.59656999</v>
      </c>
      <c r="J454" s="3">
        <v>8722.85</v>
      </c>
      <c r="K454" s="4">
        <v>6801946.3859999999</v>
      </c>
      <c r="L454" s="4">
        <v>0.24305411835171289</v>
      </c>
      <c r="M454" s="3">
        <v>3</v>
      </c>
      <c r="N454" t="s">
        <v>1339</v>
      </c>
      <c r="O454" s="4">
        <v>7.6013431963046343E-2</v>
      </c>
      <c r="P454" t="s">
        <v>1338</v>
      </c>
      <c r="Q454" t="s">
        <v>863</v>
      </c>
      <c r="R454" t="s">
        <v>833</v>
      </c>
    </row>
    <row r="455" spans="1:18" x14ac:dyDescent="0.4">
      <c r="A455" s="2">
        <v>45895</v>
      </c>
      <c r="B455" t="s">
        <v>25</v>
      </c>
      <c r="C455" t="s">
        <v>747</v>
      </c>
      <c r="D455" s="3" t="str">
        <f t="shared" si="14"/>
        <v>PASS</v>
      </c>
      <c r="E455" s="3" t="str">
        <f t="shared" si="15"/>
        <v>PASS</v>
      </c>
      <c r="F455" t="s">
        <v>747</v>
      </c>
      <c r="G455" t="s">
        <v>747</v>
      </c>
      <c r="H455" s="3">
        <v>101668825.65000001</v>
      </c>
      <c r="I455" s="3">
        <v>98687436.757760003</v>
      </c>
      <c r="J455" s="3">
        <v>6707.62</v>
      </c>
      <c r="K455" s="4">
        <v>5083441.2825000007</v>
      </c>
      <c r="L455" s="4">
        <v>0.2307113438605253</v>
      </c>
      <c r="M455" s="3">
        <v>3</v>
      </c>
      <c r="N455" t="s">
        <v>1340</v>
      </c>
      <c r="O455" s="4">
        <v>6.0611349628193513E-2</v>
      </c>
      <c r="P455" t="s">
        <v>1338</v>
      </c>
      <c r="Q455" t="s">
        <v>881</v>
      </c>
      <c r="R455" t="s">
        <v>1178</v>
      </c>
    </row>
    <row r="456" spans="1:18" x14ac:dyDescent="0.4">
      <c r="A456" s="2">
        <v>45895</v>
      </c>
      <c r="B456" t="s">
        <v>26</v>
      </c>
      <c r="C456" t="s">
        <v>747</v>
      </c>
      <c r="D456" s="3" t="str">
        <f t="shared" si="14"/>
        <v>PASS</v>
      </c>
      <c r="E456" s="3" t="str">
        <f t="shared" si="15"/>
        <v>PASS</v>
      </c>
      <c r="F456" t="s">
        <v>747</v>
      </c>
      <c r="G456" t="s">
        <v>747</v>
      </c>
      <c r="H456" s="3">
        <v>23507716.82</v>
      </c>
      <c r="I456" s="3">
        <v>22961174.493779998</v>
      </c>
      <c r="J456" s="3">
        <v>1561.17</v>
      </c>
      <c r="K456" s="4">
        <v>1175385.841</v>
      </c>
      <c r="L456" s="4">
        <v>0.23001843889657869</v>
      </c>
      <c r="M456" s="3">
        <v>3</v>
      </c>
      <c r="N456" t="s">
        <v>1341</v>
      </c>
      <c r="O456" s="4">
        <v>5.4132767274844167E-2</v>
      </c>
      <c r="P456" t="s">
        <v>1338</v>
      </c>
      <c r="Q456" t="s">
        <v>881</v>
      </c>
      <c r="R456" t="s">
        <v>1158</v>
      </c>
    </row>
    <row r="457" spans="1:18" x14ac:dyDescent="0.4">
      <c r="A457" s="2">
        <v>45895</v>
      </c>
      <c r="B457" t="s">
        <v>27</v>
      </c>
      <c r="C457" t="s">
        <v>747</v>
      </c>
      <c r="D457" s="3" t="str">
        <f t="shared" si="14"/>
        <v>PASS</v>
      </c>
      <c r="E457" s="3" t="str">
        <f t="shared" si="15"/>
        <v>PASS</v>
      </c>
      <c r="F457" t="s">
        <v>747</v>
      </c>
      <c r="G457" t="s">
        <v>747</v>
      </c>
      <c r="H457" s="3">
        <v>43405823.659999996</v>
      </c>
      <c r="I457" s="3">
        <v>42719177.95291999</v>
      </c>
      <c r="J457" s="3">
        <v>2676.61</v>
      </c>
      <c r="K457" s="4">
        <v>2170291.1830000002</v>
      </c>
      <c r="L457" s="4">
        <v>0.25497245380105138</v>
      </c>
      <c r="M457" s="3">
        <v>3</v>
      </c>
      <c r="N457" t="s">
        <v>1342</v>
      </c>
      <c r="O457" s="4">
        <v>0.1076339423832972</v>
      </c>
      <c r="P457" t="s">
        <v>1338</v>
      </c>
      <c r="Q457" t="s">
        <v>1343</v>
      </c>
      <c r="R457" t="s">
        <v>815</v>
      </c>
    </row>
    <row r="458" spans="1:18" x14ac:dyDescent="0.4">
      <c r="A458" s="2">
        <v>45895</v>
      </c>
      <c r="B458" t="s">
        <v>28</v>
      </c>
      <c r="C458" t="s">
        <v>747</v>
      </c>
      <c r="D458" s="3" t="str">
        <f t="shared" si="14"/>
        <v>PASS</v>
      </c>
      <c r="E458" s="3" t="str">
        <f t="shared" si="15"/>
        <v>PASS</v>
      </c>
      <c r="F458" t="s">
        <v>747</v>
      </c>
      <c r="G458" t="s">
        <v>747</v>
      </c>
      <c r="H458" s="3">
        <v>15359865.58</v>
      </c>
      <c r="I458" s="3">
        <v>15133859.33207</v>
      </c>
      <c r="J458" s="3">
        <v>991.01</v>
      </c>
      <c r="K458" s="4">
        <v>767993.2790000001</v>
      </c>
      <c r="L458" s="4">
        <v>0.2424453842144155</v>
      </c>
      <c r="M458" s="3">
        <v>3</v>
      </c>
      <c r="N458" t="s">
        <v>1344</v>
      </c>
      <c r="O458" s="4">
        <v>9.0257874644108713E-2</v>
      </c>
      <c r="P458" t="s">
        <v>1338</v>
      </c>
      <c r="Q458" t="s">
        <v>1128</v>
      </c>
      <c r="R458" t="s">
        <v>842</v>
      </c>
    </row>
    <row r="459" spans="1:18" x14ac:dyDescent="0.4">
      <c r="A459" s="2">
        <v>45895</v>
      </c>
      <c r="B459" t="s">
        <v>29</v>
      </c>
      <c r="C459" t="s">
        <v>747</v>
      </c>
      <c r="D459" s="3" t="str">
        <f t="shared" si="14"/>
        <v>PASS</v>
      </c>
      <c r="E459" s="3" t="str">
        <f t="shared" si="15"/>
        <v>PASS</v>
      </c>
      <c r="F459" t="s">
        <v>747</v>
      </c>
      <c r="G459" t="s">
        <v>747</v>
      </c>
      <c r="H459" s="3">
        <v>34704483.859999999</v>
      </c>
      <c r="I459" s="3">
        <v>34247891.785949998</v>
      </c>
      <c r="J459" s="3">
        <v>2351.14</v>
      </c>
      <c r="K459" s="4">
        <v>1735224.193</v>
      </c>
      <c r="L459" s="4">
        <v>0.22617603544492279</v>
      </c>
      <c r="M459" s="3">
        <v>3</v>
      </c>
      <c r="N459" t="s">
        <v>1345</v>
      </c>
      <c r="O459" s="4">
        <v>3.8862720200386232E-2</v>
      </c>
      <c r="P459" t="s">
        <v>1338</v>
      </c>
      <c r="Q459" t="s">
        <v>1231</v>
      </c>
      <c r="R459" t="s">
        <v>1115</v>
      </c>
    </row>
    <row r="460" spans="1:18" x14ac:dyDescent="0.4">
      <c r="A460" s="2">
        <v>45895</v>
      </c>
      <c r="B460" t="s">
        <v>30</v>
      </c>
      <c r="C460" t="s">
        <v>747</v>
      </c>
      <c r="D460" s="3" t="str">
        <f t="shared" si="14"/>
        <v>PASS</v>
      </c>
      <c r="E460" s="3" t="str">
        <f t="shared" si="15"/>
        <v>PASS</v>
      </c>
      <c r="F460" t="s">
        <v>747</v>
      </c>
      <c r="G460" t="s">
        <v>747</v>
      </c>
      <c r="H460" s="3">
        <v>55196910.450000003</v>
      </c>
      <c r="I460" s="3">
        <v>52570035.628531016</v>
      </c>
      <c r="J460" s="3">
        <v>3674.45</v>
      </c>
      <c r="K460" s="4">
        <v>2759845.5225</v>
      </c>
      <c r="L460" s="4">
        <v>0</v>
      </c>
      <c r="M460" s="3">
        <v>0</v>
      </c>
      <c r="N460" t="s">
        <v>23</v>
      </c>
      <c r="O460" s="4">
        <v>3.4145086802245102E-2</v>
      </c>
      <c r="P460" t="s">
        <v>1346</v>
      </c>
      <c r="Q460" t="s">
        <v>1347</v>
      </c>
      <c r="R460" t="s">
        <v>1272</v>
      </c>
    </row>
    <row r="461" spans="1:18" x14ac:dyDescent="0.4">
      <c r="A461" s="2">
        <v>45895</v>
      </c>
      <c r="B461" t="s">
        <v>31</v>
      </c>
      <c r="C461" t="s">
        <v>747</v>
      </c>
      <c r="D461" s="3" t="str">
        <f t="shared" si="14"/>
        <v>PASS</v>
      </c>
      <c r="E461" s="3" t="str">
        <f t="shared" si="15"/>
        <v>PASS</v>
      </c>
      <c r="F461" t="s">
        <v>747</v>
      </c>
      <c r="G461" t="s">
        <v>747</v>
      </c>
      <c r="H461" s="3">
        <v>40350330.670000002</v>
      </c>
      <c r="I461" s="3">
        <v>38747188.666469999</v>
      </c>
      <c r="J461" s="3">
        <v>2538.91</v>
      </c>
      <c r="K461" s="4">
        <v>2017516.5334999999</v>
      </c>
      <c r="L461" s="4">
        <v>0.2426645225314675</v>
      </c>
      <c r="M461" s="3">
        <v>3</v>
      </c>
      <c r="N461" t="s">
        <v>1348</v>
      </c>
      <c r="O461" s="4">
        <v>9.2990188287594505E-2</v>
      </c>
      <c r="P461" t="s">
        <v>1338</v>
      </c>
      <c r="Q461" t="s">
        <v>924</v>
      </c>
      <c r="R461" t="s">
        <v>842</v>
      </c>
    </row>
    <row r="462" spans="1:18" x14ac:dyDescent="0.4">
      <c r="A462" s="2">
        <v>45895</v>
      </c>
      <c r="B462" t="s">
        <v>32</v>
      </c>
      <c r="C462" t="s">
        <v>747</v>
      </c>
      <c r="D462" s="3" t="str">
        <f t="shared" si="14"/>
        <v>PASS</v>
      </c>
      <c r="E462" s="3" t="str">
        <f t="shared" si="15"/>
        <v>PASS</v>
      </c>
      <c r="F462" t="s">
        <v>747</v>
      </c>
      <c r="G462" t="s">
        <v>747</v>
      </c>
      <c r="H462" s="3">
        <v>78764206.709999993</v>
      </c>
      <c r="I462" s="3">
        <v>77224619.316180006</v>
      </c>
      <c r="J462" s="3">
        <v>5122.68</v>
      </c>
      <c r="K462" s="4">
        <v>3938210.3355</v>
      </c>
      <c r="L462" s="4">
        <v>0.2373458008534477</v>
      </c>
      <c r="M462" s="3">
        <v>3</v>
      </c>
      <c r="N462" t="s">
        <v>1349</v>
      </c>
      <c r="O462" s="4">
        <v>7.222451026676506E-2</v>
      </c>
      <c r="P462" t="s">
        <v>1338</v>
      </c>
      <c r="Q462" t="s">
        <v>1196</v>
      </c>
      <c r="R462" t="s">
        <v>1231</v>
      </c>
    </row>
    <row r="463" spans="1:18" x14ac:dyDescent="0.4">
      <c r="A463" s="2">
        <v>45895</v>
      </c>
      <c r="B463" t="s">
        <v>33</v>
      </c>
      <c r="C463" t="s">
        <v>747</v>
      </c>
      <c r="D463" s="3" t="str">
        <f t="shared" si="14"/>
        <v>PASS</v>
      </c>
      <c r="E463" s="3" t="str">
        <f t="shared" si="15"/>
        <v>PASS</v>
      </c>
      <c r="F463" t="s">
        <v>747</v>
      </c>
      <c r="G463" t="s">
        <v>747</v>
      </c>
      <c r="H463" s="3">
        <v>167509633.66</v>
      </c>
      <c r="I463" s="3">
        <v>159830814.71621999</v>
      </c>
      <c r="J463" s="3">
        <v>10362.11</v>
      </c>
      <c r="K463" s="4">
        <v>8375481.6830000002</v>
      </c>
      <c r="L463" s="4">
        <v>0.2458950378189666</v>
      </c>
      <c r="M463" s="3">
        <v>3</v>
      </c>
      <c r="N463" t="s">
        <v>1350</v>
      </c>
      <c r="O463" s="4">
        <v>9.8048157573768974E-2</v>
      </c>
      <c r="P463" t="s">
        <v>1338</v>
      </c>
      <c r="Q463" t="s">
        <v>877</v>
      </c>
      <c r="R463" t="s">
        <v>1128</v>
      </c>
    </row>
    <row r="464" spans="1:18" x14ac:dyDescent="0.4">
      <c r="A464" s="2">
        <v>45896</v>
      </c>
      <c r="B464" t="s">
        <v>21</v>
      </c>
      <c r="C464" t="s">
        <v>747</v>
      </c>
      <c r="D464" s="3" t="str">
        <f t="shared" si="14"/>
        <v>PASS</v>
      </c>
      <c r="E464" s="3" t="str">
        <f t="shared" si="15"/>
        <v>PASS</v>
      </c>
      <c r="F464" t="s">
        <v>747</v>
      </c>
      <c r="G464" t="s">
        <v>747</v>
      </c>
      <c r="H464" s="3">
        <v>24744868.300000001</v>
      </c>
      <c r="I464" s="3">
        <v>23567495.593609009</v>
      </c>
      <c r="J464" s="3">
        <v>1505.64</v>
      </c>
      <c r="K464" s="4">
        <v>1237243.415</v>
      </c>
      <c r="L464" s="4">
        <v>0.25207026433282909</v>
      </c>
      <c r="M464" s="3">
        <v>3</v>
      </c>
      <c r="N464" t="s">
        <v>1351</v>
      </c>
      <c r="O464" s="4">
        <v>0.1107653954904662</v>
      </c>
      <c r="P464" t="s">
        <v>1352</v>
      </c>
      <c r="Q464" t="s">
        <v>1248</v>
      </c>
      <c r="R464" t="s">
        <v>974</v>
      </c>
    </row>
    <row r="465" spans="1:18" x14ac:dyDescent="0.4">
      <c r="A465" s="2">
        <v>45896</v>
      </c>
      <c r="B465" t="s">
        <v>24</v>
      </c>
      <c r="C465" t="s">
        <v>747</v>
      </c>
      <c r="D465" s="3" t="str">
        <f t="shared" si="14"/>
        <v>PASS</v>
      </c>
      <c r="E465" s="3" t="str">
        <f t="shared" si="15"/>
        <v>PASS</v>
      </c>
      <c r="F465" t="s">
        <v>747</v>
      </c>
      <c r="G465" t="s">
        <v>747</v>
      </c>
      <c r="H465" s="3">
        <v>136207031.33000001</v>
      </c>
      <c r="I465" s="3">
        <v>135037638.28007901</v>
      </c>
      <c r="J465" s="3">
        <v>8754.59</v>
      </c>
      <c r="K465" s="4">
        <v>6810351.5665000007</v>
      </c>
      <c r="L465" s="4">
        <v>0.2443442836972983</v>
      </c>
      <c r="M465" s="3">
        <v>3</v>
      </c>
      <c r="N465" t="s">
        <v>1353</v>
      </c>
      <c r="O465" s="4">
        <v>7.6027943263734896E-2</v>
      </c>
      <c r="P465" t="s">
        <v>1352</v>
      </c>
      <c r="Q465" t="s">
        <v>988</v>
      </c>
      <c r="R465" t="s">
        <v>877</v>
      </c>
    </row>
    <row r="466" spans="1:18" x14ac:dyDescent="0.4">
      <c r="A466" s="2">
        <v>45896</v>
      </c>
      <c r="B466" t="s">
        <v>25</v>
      </c>
      <c r="C466" t="s">
        <v>747</v>
      </c>
      <c r="D466" s="3" t="str">
        <f t="shared" si="14"/>
        <v>PASS</v>
      </c>
      <c r="E466" s="3" t="str">
        <f t="shared" si="15"/>
        <v>PASS</v>
      </c>
      <c r="F466" t="s">
        <v>747</v>
      </c>
      <c r="G466" t="s">
        <v>747</v>
      </c>
      <c r="H466" s="3">
        <v>101754120.22</v>
      </c>
      <c r="I466" s="3">
        <v>99066176.879666001</v>
      </c>
      <c r="J466" s="3">
        <v>6729.08</v>
      </c>
      <c r="K466" s="4">
        <v>5087706.0109999999</v>
      </c>
      <c r="L466" s="4">
        <v>0.2319333244446718</v>
      </c>
      <c r="M466" s="3">
        <v>3</v>
      </c>
      <c r="N466" t="s">
        <v>1354</v>
      </c>
      <c r="O466" s="4">
        <v>6.0311765620865383E-2</v>
      </c>
      <c r="P466" t="s">
        <v>1352</v>
      </c>
      <c r="Q466" t="s">
        <v>926</v>
      </c>
      <c r="R466" t="s">
        <v>1100</v>
      </c>
    </row>
    <row r="467" spans="1:18" x14ac:dyDescent="0.4">
      <c r="A467" s="2">
        <v>45896</v>
      </c>
      <c r="B467" t="s">
        <v>26</v>
      </c>
      <c r="C467" t="s">
        <v>747</v>
      </c>
      <c r="D467" s="3" t="str">
        <f t="shared" si="14"/>
        <v>PASS</v>
      </c>
      <c r="E467" s="3" t="str">
        <f t="shared" si="15"/>
        <v>PASS</v>
      </c>
      <c r="F467" t="s">
        <v>747</v>
      </c>
      <c r="G467" t="s">
        <v>747</v>
      </c>
      <c r="H467" s="3">
        <v>23528779.050000001</v>
      </c>
      <c r="I467" s="3">
        <v>23056021.347410001</v>
      </c>
      <c r="J467" s="3">
        <v>1566.19</v>
      </c>
      <c r="K467" s="4">
        <v>1176438.9524999999</v>
      </c>
      <c r="L467" s="4">
        <v>0.23129867374367771</v>
      </c>
      <c r="M467" s="3">
        <v>3</v>
      </c>
      <c r="N467" t="s">
        <v>1355</v>
      </c>
      <c r="O467" s="4">
        <v>5.3894946045234773E-2</v>
      </c>
      <c r="P467" t="s">
        <v>1352</v>
      </c>
      <c r="Q467" t="s">
        <v>926</v>
      </c>
      <c r="R467" t="s">
        <v>1100</v>
      </c>
    </row>
    <row r="468" spans="1:18" x14ac:dyDescent="0.4">
      <c r="A468" s="2">
        <v>45896</v>
      </c>
      <c r="B468" t="s">
        <v>27</v>
      </c>
      <c r="C468" t="s">
        <v>747</v>
      </c>
      <c r="D468" s="3" t="str">
        <f t="shared" si="14"/>
        <v>PASS</v>
      </c>
      <c r="E468" s="3" t="str">
        <f t="shared" si="15"/>
        <v>PASS</v>
      </c>
      <c r="F468" t="s">
        <v>747</v>
      </c>
      <c r="G468" t="s">
        <v>747</v>
      </c>
      <c r="H468" s="3">
        <v>43450161.240000002</v>
      </c>
      <c r="I468" s="3">
        <v>42862043.205594003</v>
      </c>
      <c r="J468" s="3">
        <v>2686.9</v>
      </c>
      <c r="K468" s="4">
        <v>2172508.0619999999</v>
      </c>
      <c r="L468" s="4">
        <v>0.25612693964516109</v>
      </c>
      <c r="M468" s="3">
        <v>3</v>
      </c>
      <c r="N468" t="s">
        <v>1356</v>
      </c>
      <c r="O468" s="4">
        <v>0.10773205857023881</v>
      </c>
      <c r="P468" t="s">
        <v>1352</v>
      </c>
      <c r="Q468" t="s">
        <v>1021</v>
      </c>
      <c r="R468" t="s">
        <v>815</v>
      </c>
    </row>
    <row r="469" spans="1:18" x14ac:dyDescent="0.4">
      <c r="A469" s="2">
        <v>45896</v>
      </c>
      <c r="B469" t="s">
        <v>28</v>
      </c>
      <c r="C469" t="s">
        <v>747</v>
      </c>
      <c r="D469" s="3" t="str">
        <f t="shared" si="14"/>
        <v>PASS</v>
      </c>
      <c r="E469" s="3" t="str">
        <f t="shared" si="15"/>
        <v>PASS</v>
      </c>
      <c r="F469" t="s">
        <v>747</v>
      </c>
      <c r="G469" t="s">
        <v>747</v>
      </c>
      <c r="H469" s="3">
        <v>15375414.939999999</v>
      </c>
      <c r="I469" s="3">
        <v>15189551.597669</v>
      </c>
      <c r="J469" s="3">
        <v>994.54</v>
      </c>
      <c r="K469" s="4">
        <v>768770.74699999997</v>
      </c>
      <c r="L469" s="4">
        <v>0.24360944399679771</v>
      </c>
      <c r="M469" s="3">
        <v>3</v>
      </c>
      <c r="N469" t="s">
        <v>1357</v>
      </c>
      <c r="O469" s="4">
        <v>9.0247893997259493E-2</v>
      </c>
      <c r="P469" t="s">
        <v>1352</v>
      </c>
      <c r="Q469" t="s">
        <v>1128</v>
      </c>
      <c r="R469" t="s">
        <v>833</v>
      </c>
    </row>
    <row r="470" spans="1:18" x14ac:dyDescent="0.4">
      <c r="A470" s="2">
        <v>45896</v>
      </c>
      <c r="B470" t="s">
        <v>29</v>
      </c>
      <c r="C470" t="s">
        <v>747</v>
      </c>
      <c r="D470" s="3" t="str">
        <f t="shared" si="14"/>
        <v>PASS</v>
      </c>
      <c r="E470" s="3" t="str">
        <f t="shared" si="15"/>
        <v>PASS</v>
      </c>
      <c r="F470" t="s">
        <v>747</v>
      </c>
      <c r="G470" t="s">
        <v>747</v>
      </c>
      <c r="H470" s="3">
        <v>34744337.759999998</v>
      </c>
      <c r="I470" s="3">
        <v>34398281.557963997</v>
      </c>
      <c r="J470" s="3">
        <v>2359.2399999999998</v>
      </c>
      <c r="K470" s="4">
        <v>1737216.888</v>
      </c>
      <c r="L470" s="4">
        <v>0.22744082628352441</v>
      </c>
      <c r="M470" s="3">
        <v>3</v>
      </c>
      <c r="N470" t="s">
        <v>1358</v>
      </c>
      <c r="O470" s="4">
        <v>3.8749703542025428E-2</v>
      </c>
      <c r="P470" t="s">
        <v>1352</v>
      </c>
      <c r="Q470" t="s">
        <v>1176</v>
      </c>
      <c r="R470" t="s">
        <v>1327</v>
      </c>
    </row>
    <row r="471" spans="1:18" x14ac:dyDescent="0.4">
      <c r="A471" s="2">
        <v>45896</v>
      </c>
      <c r="B471" t="s">
        <v>30</v>
      </c>
      <c r="C471" t="s">
        <v>747</v>
      </c>
      <c r="D471" s="3" t="str">
        <f t="shared" si="14"/>
        <v>PASS</v>
      </c>
      <c r="E471" s="3" t="str">
        <f t="shared" si="15"/>
        <v>PASS</v>
      </c>
      <c r="F471" t="s">
        <v>747</v>
      </c>
      <c r="G471" t="s">
        <v>747</v>
      </c>
      <c r="H471" s="3">
        <v>55205905.590000004</v>
      </c>
      <c r="I471" s="3">
        <v>52638205.89176999</v>
      </c>
      <c r="J471" s="3">
        <v>3677.32</v>
      </c>
      <c r="K471" s="4">
        <v>2760295.2795000002</v>
      </c>
      <c r="L471" s="4">
        <v>0</v>
      </c>
      <c r="M471" s="3">
        <v>0</v>
      </c>
      <c r="N471" t="s">
        <v>23</v>
      </c>
      <c r="O471" s="4">
        <v>3.3949385518448838E-2</v>
      </c>
      <c r="P471" t="s">
        <v>1359</v>
      </c>
      <c r="Q471" t="s">
        <v>1360</v>
      </c>
      <c r="R471" t="s">
        <v>1347</v>
      </c>
    </row>
    <row r="472" spans="1:18" x14ac:dyDescent="0.4">
      <c r="A472" s="2">
        <v>45896</v>
      </c>
      <c r="B472" t="s">
        <v>31</v>
      </c>
      <c r="C472" t="s">
        <v>747</v>
      </c>
      <c r="D472" s="3" t="str">
        <f t="shared" si="14"/>
        <v>PASS</v>
      </c>
      <c r="E472" s="3" t="str">
        <f t="shared" si="15"/>
        <v>PASS</v>
      </c>
      <c r="F472" t="s">
        <v>747</v>
      </c>
      <c r="G472" t="s">
        <v>747</v>
      </c>
      <c r="H472" s="3">
        <v>40384454.619999997</v>
      </c>
      <c r="I472" s="3">
        <v>38886906.998604998</v>
      </c>
      <c r="J472" s="3">
        <v>2548.13</v>
      </c>
      <c r="K472" s="4">
        <v>2019222.7309999999</v>
      </c>
      <c r="L472" s="4">
        <v>0.24385935081159971</v>
      </c>
      <c r="M472" s="3">
        <v>3</v>
      </c>
      <c r="N472" t="s">
        <v>1361</v>
      </c>
      <c r="O472" s="4">
        <v>9.297325899123407E-2</v>
      </c>
      <c r="P472" t="s">
        <v>1352</v>
      </c>
      <c r="Q472" t="s">
        <v>924</v>
      </c>
      <c r="R472" t="s">
        <v>833</v>
      </c>
    </row>
    <row r="473" spans="1:18" x14ac:dyDescent="0.4">
      <c r="A473" s="2">
        <v>45896</v>
      </c>
      <c r="B473" t="s">
        <v>32</v>
      </c>
      <c r="C473" t="s">
        <v>747</v>
      </c>
      <c r="D473" s="3" t="str">
        <f t="shared" si="14"/>
        <v>PASS</v>
      </c>
      <c r="E473" s="3" t="str">
        <f t="shared" si="15"/>
        <v>PASS</v>
      </c>
      <c r="F473" t="s">
        <v>747</v>
      </c>
      <c r="G473" t="s">
        <v>747</v>
      </c>
      <c r="H473" s="3">
        <v>78865778.239999995</v>
      </c>
      <c r="I473" s="3">
        <v>77510333.35022001</v>
      </c>
      <c r="J473" s="3">
        <v>5141.82</v>
      </c>
      <c r="K473" s="4">
        <v>3943288.912</v>
      </c>
      <c r="L473" s="4">
        <v>0.2384649220129246</v>
      </c>
      <c r="M473" s="3">
        <v>3</v>
      </c>
      <c r="N473" t="s">
        <v>1362</v>
      </c>
      <c r="O473" s="4">
        <v>7.2235074545052763E-2</v>
      </c>
      <c r="P473" t="s">
        <v>1352</v>
      </c>
      <c r="Q473" t="s">
        <v>1196</v>
      </c>
      <c r="R473" t="s">
        <v>901</v>
      </c>
    </row>
    <row r="474" spans="1:18" x14ac:dyDescent="0.4">
      <c r="A474" s="2">
        <v>45896</v>
      </c>
      <c r="B474" t="s">
        <v>33</v>
      </c>
      <c r="C474" t="s">
        <v>747</v>
      </c>
      <c r="D474" s="3" t="str">
        <f t="shared" si="14"/>
        <v>PASS</v>
      </c>
      <c r="E474" s="3" t="str">
        <f t="shared" si="15"/>
        <v>PASS</v>
      </c>
      <c r="F474" t="s">
        <v>747</v>
      </c>
      <c r="G474" t="s">
        <v>747</v>
      </c>
      <c r="H474" s="3">
        <v>167665840.94999999</v>
      </c>
      <c r="I474" s="3">
        <v>160483094.40027601</v>
      </c>
      <c r="J474" s="3">
        <v>10395.36</v>
      </c>
      <c r="K474" s="4">
        <v>8383292.0474999994</v>
      </c>
      <c r="L474" s="4">
        <v>0.247181430661819</v>
      </c>
      <c r="M474" s="3">
        <v>3</v>
      </c>
      <c r="N474" t="s">
        <v>1363</v>
      </c>
      <c r="O474" s="4">
        <v>9.7969301482073903E-2</v>
      </c>
      <c r="P474" t="s">
        <v>1352</v>
      </c>
      <c r="Q474" t="s">
        <v>941</v>
      </c>
      <c r="R474" t="s">
        <v>974</v>
      </c>
    </row>
    <row r="475" spans="1:18" x14ac:dyDescent="0.4">
      <c r="A475" s="2">
        <v>45897</v>
      </c>
      <c r="B475" t="s">
        <v>21</v>
      </c>
      <c r="C475" t="s">
        <v>747</v>
      </c>
      <c r="D475" s="3" t="str">
        <f t="shared" si="14"/>
        <v>PASS</v>
      </c>
      <c r="E475" s="3" t="str">
        <f t="shared" si="15"/>
        <v>PASS</v>
      </c>
      <c r="F475" t="s">
        <v>747</v>
      </c>
      <c r="G475" t="s">
        <v>747</v>
      </c>
      <c r="H475" s="3">
        <v>24798905.93</v>
      </c>
      <c r="I475" s="3">
        <v>23632615.388420001</v>
      </c>
      <c r="J475" s="3">
        <v>1507.31</v>
      </c>
      <c r="K475" s="4">
        <v>1239945.2964999999</v>
      </c>
      <c r="L475" s="4">
        <v>0.25173497773269943</v>
      </c>
      <c r="M475" s="3">
        <v>3</v>
      </c>
      <c r="N475" t="s">
        <v>1364</v>
      </c>
      <c r="O475" s="4">
        <v>0.11027863632934071</v>
      </c>
      <c r="P475" t="s">
        <v>1365</v>
      </c>
      <c r="Q475" t="s">
        <v>790</v>
      </c>
      <c r="R475" t="s">
        <v>974</v>
      </c>
    </row>
    <row r="476" spans="1:18" x14ac:dyDescent="0.4">
      <c r="A476" s="2">
        <v>45897</v>
      </c>
      <c r="B476" t="s">
        <v>24</v>
      </c>
      <c r="C476" t="s">
        <v>747</v>
      </c>
      <c r="D476" s="3" t="str">
        <f t="shared" si="14"/>
        <v>PASS</v>
      </c>
      <c r="E476" s="3" t="str">
        <f t="shared" si="15"/>
        <v>PASS</v>
      </c>
      <c r="F476" t="s">
        <v>747</v>
      </c>
      <c r="G476" t="s">
        <v>747</v>
      </c>
      <c r="H476" s="3">
        <v>136569142.99000001</v>
      </c>
      <c r="I476" s="3">
        <v>135512534.384525</v>
      </c>
      <c r="J476" s="3">
        <v>8766.16</v>
      </c>
      <c r="K476" s="4">
        <v>6828457.1495000012</v>
      </c>
      <c r="L476" s="4">
        <v>0.24412717926946109</v>
      </c>
      <c r="M476" s="3">
        <v>3</v>
      </c>
      <c r="N476" t="s">
        <v>1366</v>
      </c>
      <c r="O476" s="4">
        <v>7.6182989486042463E-2</v>
      </c>
      <c r="P476" t="s">
        <v>1365</v>
      </c>
      <c r="Q476" t="s">
        <v>863</v>
      </c>
      <c r="R476" t="s">
        <v>941</v>
      </c>
    </row>
    <row r="477" spans="1:18" x14ac:dyDescent="0.4">
      <c r="A477" s="2">
        <v>45897</v>
      </c>
      <c r="B477" t="s">
        <v>25</v>
      </c>
      <c r="C477" t="s">
        <v>747</v>
      </c>
      <c r="D477" s="3" t="str">
        <f t="shared" si="14"/>
        <v>PASS</v>
      </c>
      <c r="E477" s="3" t="str">
        <f t="shared" si="15"/>
        <v>PASS</v>
      </c>
      <c r="F477" t="s">
        <v>747</v>
      </c>
      <c r="G477" t="s">
        <v>747</v>
      </c>
      <c r="H477" s="3">
        <v>101988455.98999999</v>
      </c>
      <c r="I477" s="3">
        <v>99350198.12332499</v>
      </c>
      <c r="J477" s="3">
        <v>6734.79</v>
      </c>
      <c r="K477" s="4">
        <v>5099422.7994999997</v>
      </c>
      <c r="L477" s="4">
        <v>0.23161163296778289</v>
      </c>
      <c r="M477" s="3">
        <v>3</v>
      </c>
      <c r="N477" t="s">
        <v>1367</v>
      </c>
      <c r="O477" s="4">
        <v>5.9843385548688323E-2</v>
      </c>
      <c r="P477" t="s">
        <v>1365</v>
      </c>
      <c r="Q477" t="s">
        <v>1123</v>
      </c>
      <c r="R477" t="s">
        <v>1018</v>
      </c>
    </row>
    <row r="478" spans="1:18" x14ac:dyDescent="0.4">
      <c r="A478" s="2">
        <v>45897</v>
      </c>
      <c r="B478" t="s">
        <v>26</v>
      </c>
      <c r="C478" t="s">
        <v>747</v>
      </c>
      <c r="D478" s="3" t="str">
        <f t="shared" si="14"/>
        <v>PASS</v>
      </c>
      <c r="E478" s="3" t="str">
        <f t="shared" si="15"/>
        <v>PASS</v>
      </c>
      <c r="F478" t="s">
        <v>747</v>
      </c>
      <c r="G478" t="s">
        <v>747</v>
      </c>
      <c r="H478" s="3">
        <v>23588400.949999999</v>
      </c>
      <c r="I478" s="3">
        <v>23128759.675335001</v>
      </c>
      <c r="J478" s="3">
        <v>1567.6</v>
      </c>
      <c r="K478" s="4">
        <v>1179420.0475000001</v>
      </c>
      <c r="L478" s="4">
        <v>0.23100755191182909</v>
      </c>
      <c r="M478" s="3">
        <v>3</v>
      </c>
      <c r="N478" t="s">
        <v>1368</v>
      </c>
      <c r="O478" s="4">
        <v>5.36850385924528E-2</v>
      </c>
      <c r="P478" t="s">
        <v>1365</v>
      </c>
      <c r="Q478" t="s">
        <v>1123</v>
      </c>
      <c r="R478" t="s">
        <v>1018</v>
      </c>
    </row>
    <row r="479" spans="1:18" x14ac:dyDescent="0.4">
      <c r="A479" s="2">
        <v>45897</v>
      </c>
      <c r="B479" t="s">
        <v>27</v>
      </c>
      <c r="C479" t="s">
        <v>747</v>
      </c>
      <c r="D479" s="3" t="str">
        <f t="shared" si="14"/>
        <v>PASS</v>
      </c>
      <c r="E479" s="3" t="str">
        <f t="shared" si="15"/>
        <v>PASS</v>
      </c>
      <c r="F479" t="s">
        <v>747</v>
      </c>
      <c r="G479" t="s">
        <v>747</v>
      </c>
      <c r="H479" s="3">
        <v>43564386.159999996</v>
      </c>
      <c r="I479" s="3">
        <v>43012506.148479998</v>
      </c>
      <c r="J479" s="3">
        <v>2689.92</v>
      </c>
      <c r="K479" s="4">
        <v>2178219.3080000002</v>
      </c>
      <c r="L479" s="4">
        <v>0.25591470410281059</v>
      </c>
      <c r="M479" s="3">
        <v>3</v>
      </c>
      <c r="N479" t="s">
        <v>1369</v>
      </c>
      <c r="O479" s="4">
        <v>0.1079076677728173</v>
      </c>
      <c r="P479" t="s">
        <v>1365</v>
      </c>
      <c r="Q479" t="s">
        <v>1055</v>
      </c>
      <c r="R479" t="s">
        <v>1126</v>
      </c>
    </row>
    <row r="480" spans="1:18" x14ac:dyDescent="0.4">
      <c r="A480" s="2">
        <v>45897</v>
      </c>
      <c r="B480" t="s">
        <v>28</v>
      </c>
      <c r="C480" t="s">
        <v>747</v>
      </c>
      <c r="D480" s="3" t="str">
        <f t="shared" si="14"/>
        <v>PASS</v>
      </c>
      <c r="E480" s="3" t="str">
        <f t="shared" si="15"/>
        <v>PASS</v>
      </c>
      <c r="F480" t="s">
        <v>747</v>
      </c>
      <c r="G480" t="s">
        <v>747</v>
      </c>
      <c r="H480" s="3">
        <v>15413216.5</v>
      </c>
      <c r="I480" s="3">
        <v>15238366.921490001</v>
      </c>
      <c r="J480" s="3">
        <v>995.6</v>
      </c>
      <c r="K480" s="4">
        <v>770660.82500000007</v>
      </c>
      <c r="L480" s="4">
        <v>0.24336766090458431</v>
      </c>
      <c r="M480" s="3">
        <v>3</v>
      </c>
      <c r="N480" t="s">
        <v>1370</v>
      </c>
      <c r="O480" s="4">
        <v>9.013370839824382E-2</v>
      </c>
      <c r="P480" t="s">
        <v>1365</v>
      </c>
      <c r="Q480" t="s">
        <v>1128</v>
      </c>
      <c r="R480" t="s">
        <v>833</v>
      </c>
    </row>
    <row r="481" spans="1:18" x14ac:dyDescent="0.4">
      <c r="A481" s="2">
        <v>45897</v>
      </c>
      <c r="B481" t="s">
        <v>29</v>
      </c>
      <c r="C481" t="s">
        <v>747</v>
      </c>
      <c r="D481" s="3" t="str">
        <f t="shared" si="14"/>
        <v>PASS</v>
      </c>
      <c r="E481" s="3" t="str">
        <f t="shared" si="15"/>
        <v>PASS</v>
      </c>
      <c r="F481" t="s">
        <v>747</v>
      </c>
      <c r="G481" t="s">
        <v>747</v>
      </c>
      <c r="H481" s="3">
        <v>34846737.299999997</v>
      </c>
      <c r="I481" s="3">
        <v>34511935.656719998</v>
      </c>
      <c r="J481" s="3">
        <v>2361.9699999999998</v>
      </c>
      <c r="K481" s="4">
        <v>1742336.865</v>
      </c>
      <c r="L481" s="4">
        <v>0.22709651853355889</v>
      </c>
      <c r="M481" s="3">
        <v>3</v>
      </c>
      <c r="N481" t="s">
        <v>1371</v>
      </c>
      <c r="O481" s="4">
        <v>3.8655574125156328E-2</v>
      </c>
      <c r="P481" t="s">
        <v>1365</v>
      </c>
      <c r="Q481" t="s">
        <v>1100</v>
      </c>
      <c r="R481" t="s">
        <v>1191</v>
      </c>
    </row>
    <row r="482" spans="1:18" x14ac:dyDescent="0.4">
      <c r="A482" s="2">
        <v>45897</v>
      </c>
      <c r="B482" t="s">
        <v>30</v>
      </c>
      <c r="C482" t="s">
        <v>747</v>
      </c>
      <c r="D482" s="3" t="str">
        <f t="shared" si="14"/>
        <v>PASS</v>
      </c>
      <c r="E482" s="3" t="str">
        <f t="shared" si="15"/>
        <v>PASS</v>
      </c>
      <c r="F482" t="s">
        <v>747</v>
      </c>
      <c r="G482" t="s">
        <v>747</v>
      </c>
      <c r="H482" s="3">
        <v>55159685.100000001</v>
      </c>
      <c r="I482" s="3">
        <v>52654726.694071993</v>
      </c>
      <c r="J482" s="3">
        <v>3677.7</v>
      </c>
      <c r="K482" s="4">
        <v>2757984.2549999999</v>
      </c>
      <c r="L482" s="4">
        <v>0</v>
      </c>
      <c r="M482" s="3">
        <v>0</v>
      </c>
      <c r="N482" t="s">
        <v>23</v>
      </c>
      <c r="O482" s="4">
        <v>3.3865321578349622E-2</v>
      </c>
      <c r="P482" t="s">
        <v>1372</v>
      </c>
      <c r="Q482" t="s">
        <v>1373</v>
      </c>
      <c r="R482" t="s">
        <v>1233</v>
      </c>
    </row>
    <row r="483" spans="1:18" x14ac:dyDescent="0.4">
      <c r="A483" s="2">
        <v>45897</v>
      </c>
      <c r="B483" t="s">
        <v>31</v>
      </c>
      <c r="C483" t="s">
        <v>747</v>
      </c>
      <c r="D483" s="3" t="str">
        <f t="shared" si="14"/>
        <v>PASS</v>
      </c>
      <c r="E483" s="3" t="str">
        <f t="shared" si="15"/>
        <v>PASS</v>
      </c>
      <c r="F483" t="s">
        <v>747</v>
      </c>
      <c r="G483" t="s">
        <v>747</v>
      </c>
      <c r="H483" s="3">
        <v>40477776.460000001</v>
      </c>
      <c r="I483" s="3">
        <v>39002238.024130002</v>
      </c>
      <c r="J483" s="3">
        <v>2550.42</v>
      </c>
      <c r="K483" s="4">
        <v>2023888.8230000001</v>
      </c>
      <c r="L483" s="4">
        <v>0.2435653504973998</v>
      </c>
      <c r="M483" s="3">
        <v>3</v>
      </c>
      <c r="N483" t="s">
        <v>1370</v>
      </c>
      <c r="O483" s="4">
        <v>9.2641446296726729E-2</v>
      </c>
      <c r="P483" t="s">
        <v>1365</v>
      </c>
      <c r="Q483" t="s">
        <v>833</v>
      </c>
      <c r="R483" t="s">
        <v>924</v>
      </c>
    </row>
    <row r="484" spans="1:18" x14ac:dyDescent="0.4">
      <c r="A484" s="2">
        <v>45897</v>
      </c>
      <c r="B484" t="s">
        <v>32</v>
      </c>
      <c r="C484" t="s">
        <v>747</v>
      </c>
      <c r="D484" s="3" t="str">
        <f t="shared" si="14"/>
        <v>PASS</v>
      </c>
      <c r="E484" s="3" t="str">
        <f t="shared" si="15"/>
        <v>PASS</v>
      </c>
      <c r="F484" t="s">
        <v>747</v>
      </c>
      <c r="G484" t="s">
        <v>747</v>
      </c>
      <c r="H484" s="3">
        <v>79070548.790000007</v>
      </c>
      <c r="I484" s="3">
        <v>77771143.956709996</v>
      </c>
      <c r="J484" s="3">
        <v>5148.82</v>
      </c>
      <c r="K484" s="4">
        <v>3953527.4394999999</v>
      </c>
      <c r="L484" s="4">
        <v>0.23822602636065379</v>
      </c>
      <c r="M484" s="3">
        <v>3</v>
      </c>
      <c r="N484" t="s">
        <v>1374</v>
      </c>
      <c r="O484" s="4">
        <v>7.2241659051598975E-2</v>
      </c>
      <c r="P484" t="s">
        <v>1365</v>
      </c>
      <c r="Q484" t="s">
        <v>912</v>
      </c>
      <c r="R484" t="s">
        <v>901</v>
      </c>
    </row>
    <row r="485" spans="1:18" x14ac:dyDescent="0.4">
      <c r="A485" s="2">
        <v>45897</v>
      </c>
      <c r="B485" t="s">
        <v>33</v>
      </c>
      <c r="C485" t="s">
        <v>747</v>
      </c>
      <c r="D485" s="3" t="str">
        <f t="shared" si="14"/>
        <v>PASS</v>
      </c>
      <c r="E485" s="3" t="str">
        <f t="shared" si="15"/>
        <v>PASS</v>
      </c>
      <c r="F485" t="s">
        <v>747</v>
      </c>
      <c r="G485" t="s">
        <v>747</v>
      </c>
      <c r="H485" s="3">
        <v>168014888.40000001</v>
      </c>
      <c r="I485" s="3">
        <v>160982475.32137001</v>
      </c>
      <c r="J485" s="3">
        <v>10405.94</v>
      </c>
      <c r="K485" s="4">
        <v>8400744.4199999999</v>
      </c>
      <c r="L485" s="4">
        <v>0.24699430646377379</v>
      </c>
      <c r="M485" s="3">
        <v>3</v>
      </c>
      <c r="N485" t="s">
        <v>1375</v>
      </c>
      <c r="O485" s="4">
        <v>9.7807337955949841E-2</v>
      </c>
      <c r="P485" t="s">
        <v>1365</v>
      </c>
      <c r="Q485" t="s">
        <v>899</v>
      </c>
      <c r="R485" t="s">
        <v>1128</v>
      </c>
    </row>
    <row r="486" spans="1:18" x14ac:dyDescent="0.4">
      <c r="A486" s="2">
        <v>45898</v>
      </c>
      <c r="B486" t="s">
        <v>21</v>
      </c>
      <c r="C486" t="s">
        <v>747</v>
      </c>
      <c r="D486" s="3" t="str">
        <f t="shared" si="14"/>
        <v>PASS</v>
      </c>
      <c r="E486" s="3" t="str">
        <f t="shared" si="15"/>
        <v>PASS</v>
      </c>
      <c r="F486" t="s">
        <v>747</v>
      </c>
      <c r="G486" t="s">
        <v>747</v>
      </c>
      <c r="H486" s="3">
        <v>24737094.07</v>
      </c>
      <c r="I486" s="3">
        <v>23272841.44128399</v>
      </c>
      <c r="J486" s="3">
        <v>4494.21</v>
      </c>
      <c r="K486" s="4">
        <v>1236854.7035000001</v>
      </c>
      <c r="L486" s="4">
        <v>0.24960655251155461</v>
      </c>
      <c r="M486" s="3">
        <v>3</v>
      </c>
      <c r="N486" t="s">
        <v>1376</v>
      </c>
      <c r="O486" s="4">
        <v>0.1110597026275528</v>
      </c>
      <c r="P486" t="s">
        <v>1377</v>
      </c>
      <c r="Q486" t="s">
        <v>1266</v>
      </c>
      <c r="R486" t="s">
        <v>1128</v>
      </c>
    </row>
    <row r="487" spans="1:18" x14ac:dyDescent="0.4">
      <c r="A487" s="2">
        <v>45898</v>
      </c>
      <c r="B487" t="s">
        <v>24</v>
      </c>
      <c r="C487" t="s">
        <v>747</v>
      </c>
      <c r="D487" s="3" t="str">
        <f t="shared" si="14"/>
        <v>PASS</v>
      </c>
      <c r="E487" s="3" t="str">
        <f t="shared" si="15"/>
        <v>PASS</v>
      </c>
      <c r="F487" t="s">
        <v>747</v>
      </c>
      <c r="G487" t="s">
        <v>747</v>
      </c>
      <c r="H487" s="3">
        <v>136103739.50999999</v>
      </c>
      <c r="I487" s="3">
        <v>132704886.63132299</v>
      </c>
      <c r="J487" s="3">
        <v>25298.39</v>
      </c>
      <c r="K487" s="4">
        <v>6805186.9754999997</v>
      </c>
      <c r="L487" s="4">
        <v>0.24174436074040581</v>
      </c>
      <c r="M487" s="3">
        <v>3</v>
      </c>
      <c r="N487" t="s">
        <v>1378</v>
      </c>
      <c r="O487" s="4">
        <v>7.5999850765033558E-2</v>
      </c>
      <c r="P487" t="s">
        <v>1377</v>
      </c>
      <c r="Q487" t="s">
        <v>883</v>
      </c>
      <c r="R487" t="s">
        <v>899</v>
      </c>
    </row>
    <row r="488" spans="1:18" x14ac:dyDescent="0.4">
      <c r="A488" s="2">
        <v>45898</v>
      </c>
      <c r="B488" t="s">
        <v>25</v>
      </c>
      <c r="C488" t="s">
        <v>747</v>
      </c>
      <c r="D488" s="3" t="str">
        <f t="shared" si="14"/>
        <v>PASS</v>
      </c>
      <c r="E488" s="3" t="str">
        <f t="shared" si="15"/>
        <v>PASS</v>
      </c>
      <c r="F488" t="s">
        <v>747</v>
      </c>
      <c r="G488" t="s">
        <v>747</v>
      </c>
      <c r="H488" s="3">
        <v>101719724.40000001</v>
      </c>
      <c r="I488" s="3">
        <v>97373348.430437997</v>
      </c>
      <c r="J488" s="3">
        <v>19134.98</v>
      </c>
      <c r="K488" s="4">
        <v>5085986.2200000007</v>
      </c>
      <c r="L488" s="4">
        <v>0.22933974088299289</v>
      </c>
      <c r="M488" s="3">
        <v>3</v>
      </c>
      <c r="N488" t="s">
        <v>1379</v>
      </c>
      <c r="O488" s="4">
        <v>6.0767852615593601E-2</v>
      </c>
      <c r="P488" t="s">
        <v>1377</v>
      </c>
      <c r="Q488" t="s">
        <v>951</v>
      </c>
      <c r="R488" t="s">
        <v>1019</v>
      </c>
    </row>
    <row r="489" spans="1:18" x14ac:dyDescent="0.4">
      <c r="A489" s="2">
        <v>45898</v>
      </c>
      <c r="B489" t="s">
        <v>26</v>
      </c>
      <c r="C489" t="s">
        <v>747</v>
      </c>
      <c r="D489" s="3" t="str">
        <f t="shared" si="14"/>
        <v>PASS</v>
      </c>
      <c r="E489" s="3" t="str">
        <f t="shared" si="15"/>
        <v>PASS</v>
      </c>
      <c r="F489" t="s">
        <v>747</v>
      </c>
      <c r="G489" t="s">
        <v>747</v>
      </c>
      <c r="H489" s="3">
        <v>23519976.100000001</v>
      </c>
      <c r="I489" s="3">
        <v>22691017.781203002</v>
      </c>
      <c r="J489" s="3">
        <v>2920.34</v>
      </c>
      <c r="K489" s="4">
        <v>1175998.8049999999</v>
      </c>
      <c r="L489" s="4">
        <v>0.2285971135736943</v>
      </c>
      <c r="M489" s="3">
        <v>3</v>
      </c>
      <c r="N489" t="s">
        <v>1380</v>
      </c>
      <c r="O489" s="4">
        <v>5.4250491402625181E-2</v>
      </c>
      <c r="P489" t="s">
        <v>1377</v>
      </c>
      <c r="Q489" t="s">
        <v>1035</v>
      </c>
      <c r="R489" t="s">
        <v>1192</v>
      </c>
    </row>
    <row r="490" spans="1:18" x14ac:dyDescent="0.4">
      <c r="A490" s="2">
        <v>45898</v>
      </c>
      <c r="B490" t="s">
        <v>27</v>
      </c>
      <c r="C490" t="s">
        <v>747</v>
      </c>
      <c r="D490" s="3" t="str">
        <f t="shared" si="14"/>
        <v>PASS</v>
      </c>
      <c r="E490" s="3" t="str">
        <f t="shared" si="15"/>
        <v>PASS</v>
      </c>
      <c r="F490" t="s">
        <v>747</v>
      </c>
      <c r="G490" t="s">
        <v>747</v>
      </c>
      <c r="H490" s="3">
        <v>43423946.32</v>
      </c>
      <c r="I490" s="3">
        <v>42259487.225658</v>
      </c>
      <c r="J490" s="3">
        <v>8027.1</v>
      </c>
      <c r="K490" s="4">
        <v>2171197.3160000001</v>
      </c>
      <c r="L490" s="4">
        <v>0.25369638229390667</v>
      </c>
      <c r="M490" s="3">
        <v>3</v>
      </c>
      <c r="N490" t="s">
        <v>1381</v>
      </c>
      <c r="O490" s="4">
        <v>0.1076952668280196</v>
      </c>
      <c r="P490" t="s">
        <v>1377</v>
      </c>
      <c r="Q490" t="s">
        <v>1055</v>
      </c>
      <c r="R490" t="s">
        <v>904</v>
      </c>
    </row>
    <row r="491" spans="1:18" x14ac:dyDescent="0.4">
      <c r="A491" s="2">
        <v>45898</v>
      </c>
      <c r="B491" t="s">
        <v>28</v>
      </c>
      <c r="C491" t="s">
        <v>747</v>
      </c>
      <c r="D491" s="3" t="str">
        <f t="shared" si="14"/>
        <v>PASS</v>
      </c>
      <c r="E491" s="3" t="str">
        <f t="shared" si="15"/>
        <v>PASS</v>
      </c>
      <c r="F491" t="s">
        <v>747</v>
      </c>
      <c r="G491" t="s">
        <v>747</v>
      </c>
      <c r="H491" s="3">
        <v>15364369.5</v>
      </c>
      <c r="I491" s="3">
        <v>14993424.025785999</v>
      </c>
      <c r="J491" s="3">
        <v>2920.32</v>
      </c>
      <c r="K491" s="4">
        <v>768218.47500000009</v>
      </c>
      <c r="L491" s="4">
        <v>0.24108190804328461</v>
      </c>
      <c r="M491" s="3">
        <v>3</v>
      </c>
      <c r="N491" t="s">
        <v>1382</v>
      </c>
      <c r="O491" s="4">
        <v>9.0345233872825031E-2</v>
      </c>
      <c r="P491" t="s">
        <v>1377</v>
      </c>
      <c r="Q491" t="s">
        <v>877</v>
      </c>
      <c r="R491" t="s">
        <v>924</v>
      </c>
    </row>
    <row r="492" spans="1:18" x14ac:dyDescent="0.4">
      <c r="A492" s="2">
        <v>45898</v>
      </c>
      <c r="B492" t="s">
        <v>29</v>
      </c>
      <c r="C492" t="s">
        <v>747</v>
      </c>
      <c r="D492" s="3" t="str">
        <f t="shared" si="14"/>
        <v>PASS</v>
      </c>
      <c r="E492" s="3" t="str">
        <f t="shared" si="15"/>
        <v>PASS</v>
      </c>
      <c r="F492" t="s">
        <v>747</v>
      </c>
      <c r="G492" t="s">
        <v>747</v>
      </c>
      <c r="H492" s="3">
        <v>34723989.43</v>
      </c>
      <c r="I492" s="3">
        <v>33763881.211356997</v>
      </c>
      <c r="J492" s="3">
        <v>4462.07</v>
      </c>
      <c r="K492" s="4">
        <v>1736199.4715</v>
      </c>
      <c r="L492" s="4">
        <v>0.22465420579511919</v>
      </c>
      <c r="M492" s="3">
        <v>3</v>
      </c>
      <c r="N492" t="s">
        <v>1383</v>
      </c>
      <c r="O492" s="4">
        <v>3.8929089472338328E-2</v>
      </c>
      <c r="P492" t="s">
        <v>1377</v>
      </c>
      <c r="Q492" t="s">
        <v>1019</v>
      </c>
      <c r="R492" t="s">
        <v>1176</v>
      </c>
    </row>
    <row r="493" spans="1:18" x14ac:dyDescent="0.4">
      <c r="A493" s="2">
        <v>45898</v>
      </c>
      <c r="B493" t="s">
        <v>30</v>
      </c>
      <c r="C493" t="s">
        <v>747</v>
      </c>
      <c r="D493" s="3" t="str">
        <f t="shared" si="14"/>
        <v>PASS</v>
      </c>
      <c r="E493" s="3" t="str">
        <f t="shared" si="15"/>
        <v>PASS</v>
      </c>
      <c r="F493" t="s">
        <v>747</v>
      </c>
      <c r="G493" t="s">
        <v>747</v>
      </c>
      <c r="H493" s="3">
        <v>55353441.18</v>
      </c>
      <c r="I493" s="3">
        <v>51878998.166259997</v>
      </c>
      <c r="J493" s="3">
        <v>10891.15</v>
      </c>
      <c r="K493" s="4">
        <v>2767672.0589999999</v>
      </c>
      <c r="L493" s="4">
        <v>0</v>
      </c>
      <c r="M493" s="3">
        <v>0</v>
      </c>
      <c r="N493" t="s">
        <v>23</v>
      </c>
      <c r="O493" s="4">
        <v>3.4093301446665357E-2</v>
      </c>
      <c r="P493" t="s">
        <v>1384</v>
      </c>
      <c r="Q493" t="s">
        <v>1385</v>
      </c>
      <c r="R493" t="s">
        <v>1386</v>
      </c>
    </row>
    <row r="494" spans="1:18" x14ac:dyDescent="0.4">
      <c r="A494" s="2">
        <v>45898</v>
      </c>
      <c r="B494" t="s">
        <v>31</v>
      </c>
      <c r="C494" t="s">
        <v>747</v>
      </c>
      <c r="D494" s="3" t="str">
        <f t="shared" si="14"/>
        <v>PASS</v>
      </c>
      <c r="E494" s="3" t="str">
        <f t="shared" si="15"/>
        <v>PASS</v>
      </c>
      <c r="F494" t="s">
        <v>747</v>
      </c>
      <c r="G494" t="s">
        <v>747</v>
      </c>
      <c r="H494" s="3">
        <v>40365222.93</v>
      </c>
      <c r="I494" s="3">
        <v>38318077.520691998</v>
      </c>
      <c r="J494" s="3">
        <v>7485.45</v>
      </c>
      <c r="K494" s="4">
        <v>2018261.1465</v>
      </c>
      <c r="L494" s="4">
        <v>0.24136450104127011</v>
      </c>
      <c r="M494" s="3">
        <v>3</v>
      </c>
      <c r="N494" t="s">
        <v>1387</v>
      </c>
      <c r="O494" s="4">
        <v>9.3181949402700831E-2</v>
      </c>
      <c r="P494" t="s">
        <v>1377</v>
      </c>
      <c r="Q494" t="s">
        <v>877</v>
      </c>
      <c r="R494" t="s">
        <v>885</v>
      </c>
    </row>
    <row r="495" spans="1:18" x14ac:dyDescent="0.4">
      <c r="A495" s="2">
        <v>45898</v>
      </c>
      <c r="B495" t="s">
        <v>32</v>
      </c>
      <c r="C495" t="s">
        <v>747</v>
      </c>
      <c r="D495" s="3" t="str">
        <f t="shared" si="14"/>
        <v>PASS</v>
      </c>
      <c r="E495" s="3" t="str">
        <f t="shared" si="15"/>
        <v>PASS</v>
      </c>
      <c r="F495" t="s">
        <v>747</v>
      </c>
      <c r="G495" t="s">
        <v>747</v>
      </c>
      <c r="H495" s="3">
        <v>78785429.159999996</v>
      </c>
      <c r="I495" s="3">
        <v>76415264.183686003</v>
      </c>
      <c r="J495" s="3">
        <v>15194.83</v>
      </c>
      <c r="K495" s="4">
        <v>3939271.4580000001</v>
      </c>
      <c r="L495" s="4">
        <v>0.2359501080875675</v>
      </c>
      <c r="M495" s="3">
        <v>3</v>
      </c>
      <c r="N495" t="s">
        <v>1388</v>
      </c>
      <c r="O495" s="4">
        <v>7.2331432784518701E-2</v>
      </c>
      <c r="P495" t="s">
        <v>1377</v>
      </c>
      <c r="Q495" t="s">
        <v>849</v>
      </c>
      <c r="R495" t="s">
        <v>859</v>
      </c>
    </row>
    <row r="496" spans="1:18" x14ac:dyDescent="0.4">
      <c r="A496" s="2">
        <v>45898</v>
      </c>
      <c r="B496" t="s">
        <v>33</v>
      </c>
      <c r="C496" t="s">
        <v>747</v>
      </c>
      <c r="D496" s="3" t="str">
        <f t="shared" si="14"/>
        <v>PASS</v>
      </c>
      <c r="E496" s="3" t="str">
        <f t="shared" si="15"/>
        <v>PASS</v>
      </c>
      <c r="F496" t="s">
        <v>747</v>
      </c>
      <c r="G496" t="s">
        <v>747</v>
      </c>
      <c r="H496" s="3">
        <v>167600320.13</v>
      </c>
      <c r="I496" s="3">
        <v>157804790.30574399</v>
      </c>
      <c r="J496" s="3">
        <v>29957.87</v>
      </c>
      <c r="K496" s="4">
        <v>8380016.0065000001</v>
      </c>
      <c r="L496" s="4">
        <v>0.2446881223737451</v>
      </c>
      <c r="M496" s="3">
        <v>3</v>
      </c>
      <c r="N496" t="s">
        <v>1389</v>
      </c>
      <c r="O496" s="4">
        <v>9.8116193471402061E-2</v>
      </c>
      <c r="P496" t="s">
        <v>1377</v>
      </c>
      <c r="Q496" t="s">
        <v>916</v>
      </c>
      <c r="R496" t="s">
        <v>924</v>
      </c>
    </row>
    <row r="497" spans="1:18" x14ac:dyDescent="0.4">
      <c r="A497" s="2">
        <v>45901</v>
      </c>
      <c r="B497" t="s">
        <v>21</v>
      </c>
      <c r="C497" t="s">
        <v>746</v>
      </c>
      <c r="D497" s="3" t="e">
        <f t="shared" si="14"/>
        <v>#DIV/0!</v>
      </c>
      <c r="E497" s="3" t="str">
        <f t="shared" si="15"/>
        <v>PASS</v>
      </c>
      <c r="F497" t="s">
        <v>746</v>
      </c>
      <c r="G497" t="s">
        <v>747</v>
      </c>
      <c r="H497" s="3">
        <v>0</v>
      </c>
      <c r="I497" s="3">
        <v>0</v>
      </c>
      <c r="J497" s="3">
        <v>0</v>
      </c>
      <c r="K497" s="4">
        <v>0</v>
      </c>
      <c r="L497" s="4">
        <v>0</v>
      </c>
      <c r="M497" s="3">
        <v>0</v>
      </c>
      <c r="N497" t="s">
        <v>23</v>
      </c>
      <c r="O497" s="4">
        <v>0</v>
      </c>
      <c r="P497" t="s">
        <v>23</v>
      </c>
      <c r="Q497" t="s">
        <v>748</v>
      </c>
      <c r="R497" t="s">
        <v>748</v>
      </c>
    </row>
    <row r="498" spans="1:18" x14ac:dyDescent="0.4">
      <c r="A498" s="2">
        <v>45901</v>
      </c>
      <c r="B498" t="s">
        <v>24</v>
      </c>
      <c r="C498" t="s">
        <v>746</v>
      </c>
      <c r="D498" s="3" t="e">
        <f t="shared" si="14"/>
        <v>#DIV/0!</v>
      </c>
      <c r="E498" s="3" t="str">
        <f t="shared" si="15"/>
        <v>PASS</v>
      </c>
      <c r="F498" t="s">
        <v>746</v>
      </c>
      <c r="G498" t="s">
        <v>747</v>
      </c>
      <c r="H498" s="3">
        <v>0</v>
      </c>
      <c r="I498" s="3">
        <v>0</v>
      </c>
      <c r="J498" s="3">
        <v>0</v>
      </c>
      <c r="K498" s="4">
        <v>0</v>
      </c>
      <c r="L498" s="4">
        <v>0</v>
      </c>
      <c r="M498" s="3">
        <v>0</v>
      </c>
      <c r="N498" t="s">
        <v>23</v>
      </c>
      <c r="O498" s="4">
        <v>0</v>
      </c>
      <c r="P498" t="s">
        <v>23</v>
      </c>
      <c r="Q498" t="s">
        <v>748</v>
      </c>
      <c r="R498" t="s">
        <v>748</v>
      </c>
    </row>
    <row r="499" spans="1:18" x14ac:dyDescent="0.4">
      <c r="A499" s="2">
        <v>45901</v>
      </c>
      <c r="B499" t="s">
        <v>25</v>
      </c>
      <c r="C499" t="s">
        <v>746</v>
      </c>
      <c r="D499" s="3" t="e">
        <f t="shared" si="14"/>
        <v>#DIV/0!</v>
      </c>
      <c r="E499" s="3" t="str">
        <f t="shared" si="15"/>
        <v>PASS</v>
      </c>
      <c r="F499" t="s">
        <v>746</v>
      </c>
      <c r="G499" t="s">
        <v>747</v>
      </c>
      <c r="H499" s="3">
        <v>0</v>
      </c>
      <c r="I499" s="3">
        <v>0</v>
      </c>
      <c r="J499" s="3">
        <v>0</v>
      </c>
      <c r="K499" s="4">
        <v>0</v>
      </c>
      <c r="L499" s="4">
        <v>0</v>
      </c>
      <c r="M499" s="3">
        <v>0</v>
      </c>
      <c r="N499" t="s">
        <v>23</v>
      </c>
      <c r="O499" s="4">
        <v>0</v>
      </c>
      <c r="P499" t="s">
        <v>23</v>
      </c>
      <c r="Q499" t="s">
        <v>748</v>
      </c>
      <c r="R499" t="s">
        <v>748</v>
      </c>
    </row>
    <row r="500" spans="1:18" x14ac:dyDescent="0.4">
      <c r="A500" s="2">
        <v>45901</v>
      </c>
      <c r="B500" t="s">
        <v>26</v>
      </c>
      <c r="C500" t="s">
        <v>746</v>
      </c>
      <c r="D500" s="3" t="e">
        <f t="shared" si="14"/>
        <v>#DIV/0!</v>
      </c>
      <c r="E500" s="3" t="str">
        <f t="shared" si="15"/>
        <v>PASS</v>
      </c>
      <c r="F500" t="s">
        <v>746</v>
      </c>
      <c r="G500" t="s">
        <v>747</v>
      </c>
      <c r="H500" s="3">
        <v>0</v>
      </c>
      <c r="I500" s="3">
        <v>0</v>
      </c>
      <c r="J500" s="3">
        <v>0</v>
      </c>
      <c r="K500" s="4">
        <v>0</v>
      </c>
      <c r="L500" s="4">
        <v>0</v>
      </c>
      <c r="M500" s="3">
        <v>0</v>
      </c>
      <c r="N500" t="s">
        <v>23</v>
      </c>
      <c r="O500" s="4">
        <v>0</v>
      </c>
      <c r="P500" t="s">
        <v>23</v>
      </c>
      <c r="Q500" t="s">
        <v>748</v>
      </c>
      <c r="R500" t="s">
        <v>748</v>
      </c>
    </row>
    <row r="501" spans="1:18" x14ac:dyDescent="0.4">
      <c r="A501" s="2">
        <v>45901</v>
      </c>
      <c r="B501" t="s">
        <v>27</v>
      </c>
      <c r="C501" t="s">
        <v>746</v>
      </c>
      <c r="D501" s="3" t="e">
        <f t="shared" si="14"/>
        <v>#DIV/0!</v>
      </c>
      <c r="E501" s="3" t="str">
        <f t="shared" si="15"/>
        <v>PASS</v>
      </c>
      <c r="F501" t="s">
        <v>746</v>
      </c>
      <c r="G501" t="s">
        <v>747</v>
      </c>
      <c r="H501" s="3">
        <v>0</v>
      </c>
      <c r="I501" s="3">
        <v>0</v>
      </c>
      <c r="J501" s="3">
        <v>0</v>
      </c>
      <c r="K501" s="4">
        <v>0</v>
      </c>
      <c r="L501" s="4">
        <v>0</v>
      </c>
      <c r="M501" s="3">
        <v>0</v>
      </c>
      <c r="N501" t="s">
        <v>23</v>
      </c>
      <c r="O501" s="4">
        <v>0</v>
      </c>
      <c r="P501" t="s">
        <v>23</v>
      </c>
      <c r="Q501" t="s">
        <v>748</v>
      </c>
      <c r="R501" t="s">
        <v>748</v>
      </c>
    </row>
    <row r="502" spans="1:18" x14ac:dyDescent="0.4">
      <c r="A502" s="2">
        <v>45901</v>
      </c>
      <c r="B502" t="s">
        <v>28</v>
      </c>
      <c r="C502" t="s">
        <v>746</v>
      </c>
      <c r="D502" s="3" t="e">
        <f t="shared" si="14"/>
        <v>#DIV/0!</v>
      </c>
      <c r="E502" s="3" t="str">
        <f t="shared" si="15"/>
        <v>PASS</v>
      </c>
      <c r="F502" t="s">
        <v>746</v>
      </c>
      <c r="G502" t="s">
        <v>747</v>
      </c>
      <c r="H502" s="3">
        <v>0</v>
      </c>
      <c r="I502" s="3">
        <v>0</v>
      </c>
      <c r="J502" s="3">
        <v>0</v>
      </c>
      <c r="K502" s="4">
        <v>0</v>
      </c>
      <c r="L502" s="4">
        <v>0</v>
      </c>
      <c r="M502" s="3">
        <v>0</v>
      </c>
      <c r="N502" t="s">
        <v>23</v>
      </c>
      <c r="O502" s="4">
        <v>0</v>
      </c>
      <c r="P502" t="s">
        <v>23</v>
      </c>
      <c r="Q502" t="s">
        <v>748</v>
      </c>
      <c r="R502" t="s">
        <v>748</v>
      </c>
    </row>
    <row r="503" spans="1:18" x14ac:dyDescent="0.4">
      <c r="A503" s="2">
        <v>45901</v>
      </c>
      <c r="B503" t="s">
        <v>29</v>
      </c>
      <c r="C503" t="s">
        <v>746</v>
      </c>
      <c r="D503" s="3" t="e">
        <f t="shared" si="14"/>
        <v>#DIV/0!</v>
      </c>
      <c r="E503" s="3" t="str">
        <f t="shared" si="15"/>
        <v>PASS</v>
      </c>
      <c r="F503" t="s">
        <v>746</v>
      </c>
      <c r="G503" t="s">
        <v>747</v>
      </c>
      <c r="H503" s="3">
        <v>0</v>
      </c>
      <c r="I503" s="3">
        <v>0</v>
      </c>
      <c r="J503" s="3">
        <v>0</v>
      </c>
      <c r="K503" s="4">
        <v>0</v>
      </c>
      <c r="L503" s="4">
        <v>0</v>
      </c>
      <c r="M503" s="3">
        <v>0</v>
      </c>
      <c r="N503" t="s">
        <v>23</v>
      </c>
      <c r="O503" s="4">
        <v>0</v>
      </c>
      <c r="P503" t="s">
        <v>23</v>
      </c>
      <c r="Q503" t="s">
        <v>748</v>
      </c>
      <c r="R503" t="s">
        <v>748</v>
      </c>
    </row>
    <row r="504" spans="1:18" x14ac:dyDescent="0.4">
      <c r="A504" s="2">
        <v>45901</v>
      </c>
      <c r="B504" t="s">
        <v>30</v>
      </c>
      <c r="C504" t="s">
        <v>746</v>
      </c>
      <c r="D504" s="3" t="e">
        <f t="shared" si="14"/>
        <v>#DIV/0!</v>
      </c>
      <c r="E504" s="3" t="str">
        <f t="shared" si="15"/>
        <v>PASS</v>
      </c>
      <c r="F504" t="s">
        <v>746</v>
      </c>
      <c r="G504" t="s">
        <v>747</v>
      </c>
      <c r="H504" s="3">
        <v>0</v>
      </c>
      <c r="I504" s="3">
        <v>0</v>
      </c>
      <c r="J504" s="3">
        <v>0</v>
      </c>
      <c r="K504" s="4">
        <v>0</v>
      </c>
      <c r="L504" s="4">
        <v>0</v>
      </c>
      <c r="M504" s="3">
        <v>0</v>
      </c>
      <c r="N504" t="s">
        <v>23</v>
      </c>
      <c r="O504" s="4">
        <v>0</v>
      </c>
      <c r="P504" t="s">
        <v>23</v>
      </c>
      <c r="Q504" t="s">
        <v>748</v>
      </c>
      <c r="R504" t="s">
        <v>748</v>
      </c>
    </row>
    <row r="505" spans="1:18" x14ac:dyDescent="0.4">
      <c r="A505" s="2">
        <v>45901</v>
      </c>
      <c r="B505" t="s">
        <v>31</v>
      </c>
      <c r="C505" t="s">
        <v>746</v>
      </c>
      <c r="D505" s="3" t="e">
        <f t="shared" si="14"/>
        <v>#DIV/0!</v>
      </c>
      <c r="E505" s="3" t="str">
        <f t="shared" si="15"/>
        <v>PASS</v>
      </c>
      <c r="F505" t="s">
        <v>746</v>
      </c>
      <c r="G505" t="s">
        <v>747</v>
      </c>
      <c r="H505" s="3">
        <v>0</v>
      </c>
      <c r="I505" s="3">
        <v>0</v>
      </c>
      <c r="J505" s="3">
        <v>0</v>
      </c>
      <c r="K505" s="4">
        <v>0</v>
      </c>
      <c r="L505" s="4">
        <v>0</v>
      </c>
      <c r="M505" s="3">
        <v>0</v>
      </c>
      <c r="N505" t="s">
        <v>23</v>
      </c>
      <c r="O505" s="4">
        <v>0</v>
      </c>
      <c r="P505" t="s">
        <v>23</v>
      </c>
      <c r="Q505" t="s">
        <v>748</v>
      </c>
      <c r="R505" t="s">
        <v>748</v>
      </c>
    </row>
    <row r="506" spans="1:18" x14ac:dyDescent="0.4">
      <c r="A506" s="2">
        <v>45901</v>
      </c>
      <c r="B506" t="s">
        <v>32</v>
      </c>
      <c r="C506" t="s">
        <v>746</v>
      </c>
      <c r="D506" s="3" t="e">
        <f t="shared" si="14"/>
        <v>#DIV/0!</v>
      </c>
      <c r="E506" s="3" t="str">
        <f t="shared" si="15"/>
        <v>PASS</v>
      </c>
      <c r="F506" t="s">
        <v>746</v>
      </c>
      <c r="G506" t="s">
        <v>747</v>
      </c>
      <c r="H506" s="3">
        <v>0</v>
      </c>
      <c r="I506" s="3">
        <v>0</v>
      </c>
      <c r="J506" s="3">
        <v>0</v>
      </c>
      <c r="K506" s="4">
        <v>0</v>
      </c>
      <c r="L506" s="4">
        <v>0</v>
      </c>
      <c r="M506" s="3">
        <v>0</v>
      </c>
      <c r="N506" t="s">
        <v>23</v>
      </c>
      <c r="O506" s="4">
        <v>0</v>
      </c>
      <c r="P506" t="s">
        <v>23</v>
      </c>
      <c r="Q506" t="s">
        <v>748</v>
      </c>
      <c r="R506" t="s">
        <v>748</v>
      </c>
    </row>
    <row r="507" spans="1:18" x14ac:dyDescent="0.4">
      <c r="A507" s="2">
        <v>45901</v>
      </c>
      <c r="B507" t="s">
        <v>33</v>
      </c>
      <c r="C507" t="s">
        <v>746</v>
      </c>
      <c r="D507" s="3" t="e">
        <f t="shared" si="14"/>
        <v>#DIV/0!</v>
      </c>
      <c r="E507" s="3" t="str">
        <f t="shared" si="15"/>
        <v>PASS</v>
      </c>
      <c r="F507" t="s">
        <v>746</v>
      </c>
      <c r="G507" t="s">
        <v>747</v>
      </c>
      <c r="H507" s="3">
        <v>0</v>
      </c>
      <c r="I507" s="3">
        <v>0</v>
      </c>
      <c r="J507" s="3">
        <v>0</v>
      </c>
      <c r="K507" s="4">
        <v>0</v>
      </c>
      <c r="L507" s="4">
        <v>0</v>
      </c>
      <c r="M507" s="3">
        <v>0</v>
      </c>
      <c r="N507" t="s">
        <v>23</v>
      </c>
      <c r="O507" s="4">
        <v>0</v>
      </c>
      <c r="P507" t="s">
        <v>23</v>
      </c>
      <c r="Q507" t="s">
        <v>748</v>
      </c>
      <c r="R507" t="s">
        <v>748</v>
      </c>
    </row>
    <row r="508" spans="1:18" x14ac:dyDescent="0.4">
      <c r="A508" s="2">
        <v>45902</v>
      </c>
      <c r="B508" t="s">
        <v>21</v>
      </c>
      <c r="C508" t="s">
        <v>747</v>
      </c>
      <c r="D508" s="3" t="str">
        <f t="shared" si="14"/>
        <v>PASS</v>
      </c>
      <c r="E508" s="3" t="str">
        <f t="shared" si="15"/>
        <v>PASS</v>
      </c>
      <c r="F508" t="s">
        <v>747</v>
      </c>
      <c r="G508" t="s">
        <v>747</v>
      </c>
      <c r="H508" s="3">
        <v>24458059.949999999</v>
      </c>
      <c r="I508" s="3">
        <v>23414498.539335001</v>
      </c>
      <c r="J508" s="3">
        <v>2981.84</v>
      </c>
      <c r="K508" s="4">
        <v>1222902.9975000001</v>
      </c>
      <c r="L508" s="4">
        <v>0.26247584799867851</v>
      </c>
      <c r="M508" s="3">
        <v>3</v>
      </c>
      <c r="N508" t="s">
        <v>1390</v>
      </c>
      <c r="O508" s="4">
        <v>0.1120018413126426</v>
      </c>
      <c r="P508" t="s">
        <v>1391</v>
      </c>
      <c r="Q508" t="s">
        <v>1143</v>
      </c>
      <c r="R508" t="s">
        <v>1261</v>
      </c>
    </row>
    <row r="509" spans="1:18" x14ac:dyDescent="0.4">
      <c r="A509" s="2">
        <v>45902</v>
      </c>
      <c r="B509" t="s">
        <v>24</v>
      </c>
      <c r="C509" t="s">
        <v>747</v>
      </c>
      <c r="D509" s="3" t="str">
        <f t="shared" si="14"/>
        <v>PASS</v>
      </c>
      <c r="E509" s="3" t="str">
        <f t="shared" si="15"/>
        <v>PASS</v>
      </c>
      <c r="F509" t="s">
        <v>747</v>
      </c>
      <c r="G509" t="s">
        <v>747</v>
      </c>
      <c r="H509" s="3">
        <v>134115805.76000001</v>
      </c>
      <c r="I509" s="3">
        <v>134197455.761935</v>
      </c>
      <c r="J509" s="3">
        <v>17288.72</v>
      </c>
      <c r="K509" s="4">
        <v>6705790.2880000006</v>
      </c>
      <c r="L509" s="4">
        <v>0.25900026249356117</v>
      </c>
      <c r="M509" s="3">
        <v>3</v>
      </c>
      <c r="N509" t="s">
        <v>1392</v>
      </c>
      <c r="O509" s="4">
        <v>7.6476945307173305E-2</v>
      </c>
      <c r="P509" t="s">
        <v>1391</v>
      </c>
      <c r="Q509" t="s">
        <v>898</v>
      </c>
      <c r="R509" t="s">
        <v>899</v>
      </c>
    </row>
    <row r="510" spans="1:18" x14ac:dyDescent="0.4">
      <c r="A510" s="2">
        <v>45902</v>
      </c>
      <c r="B510" t="s">
        <v>25</v>
      </c>
      <c r="C510" t="s">
        <v>747</v>
      </c>
      <c r="D510" s="3" t="str">
        <f t="shared" si="14"/>
        <v>PASS</v>
      </c>
      <c r="E510" s="3" t="str">
        <f t="shared" si="15"/>
        <v>PASS</v>
      </c>
      <c r="F510" t="s">
        <v>747</v>
      </c>
      <c r="G510" t="s">
        <v>747</v>
      </c>
      <c r="H510" s="3">
        <v>100276144.08</v>
      </c>
      <c r="I510" s="3">
        <v>98541043.857659996</v>
      </c>
      <c r="J510" s="3">
        <v>13289.06</v>
      </c>
      <c r="K510" s="4">
        <v>5013807.2039999999</v>
      </c>
      <c r="L510" s="4">
        <v>0.24585866074441209</v>
      </c>
      <c r="M510" s="3">
        <v>3</v>
      </c>
      <c r="N510" t="s">
        <v>1393</v>
      </c>
      <c r="O510" s="4">
        <v>6.1871361374947677E-2</v>
      </c>
      <c r="P510" t="s">
        <v>1391</v>
      </c>
      <c r="Q510" t="s">
        <v>951</v>
      </c>
      <c r="R510" t="s">
        <v>901</v>
      </c>
    </row>
    <row r="511" spans="1:18" x14ac:dyDescent="0.4">
      <c r="A511" s="2">
        <v>45902</v>
      </c>
      <c r="B511" t="s">
        <v>26</v>
      </c>
      <c r="C511" t="s">
        <v>747</v>
      </c>
      <c r="D511" s="3" t="str">
        <f t="shared" si="14"/>
        <v>PASS</v>
      </c>
      <c r="E511" s="3" t="str">
        <f t="shared" si="15"/>
        <v>PASS</v>
      </c>
      <c r="F511" t="s">
        <v>747</v>
      </c>
      <c r="G511" t="s">
        <v>747</v>
      </c>
      <c r="H511" s="3">
        <v>23173047.809999999</v>
      </c>
      <c r="I511" s="3">
        <v>22934361.06346501</v>
      </c>
      <c r="J511" s="3">
        <v>3093.24</v>
      </c>
      <c r="K511" s="4">
        <v>1158652.3905</v>
      </c>
      <c r="L511" s="4">
        <v>0.24589122242753819</v>
      </c>
      <c r="M511" s="3">
        <v>3</v>
      </c>
      <c r="N511" t="s">
        <v>1394</v>
      </c>
      <c r="O511" s="4">
        <v>5.4986852135830461E-2</v>
      </c>
      <c r="P511" t="s">
        <v>1391</v>
      </c>
      <c r="Q511" t="s">
        <v>1123</v>
      </c>
      <c r="R511" t="s">
        <v>901</v>
      </c>
    </row>
    <row r="512" spans="1:18" x14ac:dyDescent="0.4">
      <c r="A512" s="2">
        <v>45902</v>
      </c>
      <c r="B512" t="s">
        <v>27</v>
      </c>
      <c r="C512" t="s">
        <v>747</v>
      </c>
      <c r="D512" s="3" t="str">
        <f t="shared" si="14"/>
        <v>PASS</v>
      </c>
      <c r="E512" s="3" t="str">
        <f t="shared" si="15"/>
        <v>PASS</v>
      </c>
      <c r="F512" t="s">
        <v>747</v>
      </c>
      <c r="G512" t="s">
        <v>747</v>
      </c>
      <c r="H512" s="3">
        <v>42899424.770000003</v>
      </c>
      <c r="I512" s="3">
        <v>42588424.587899998</v>
      </c>
      <c r="J512" s="3">
        <v>5319.6</v>
      </c>
      <c r="K512" s="4">
        <v>2144971.2385</v>
      </c>
      <c r="L512" s="4">
        <v>0.26691785794111822</v>
      </c>
      <c r="M512" s="3">
        <v>3</v>
      </c>
      <c r="N512" t="s">
        <v>1395</v>
      </c>
      <c r="O512" s="4">
        <v>0.108052443890613</v>
      </c>
      <c r="P512" t="s">
        <v>1391</v>
      </c>
      <c r="Q512" t="s">
        <v>904</v>
      </c>
      <c r="R512" t="s">
        <v>1343</v>
      </c>
    </row>
    <row r="513" spans="1:18" x14ac:dyDescent="0.4">
      <c r="A513" s="2">
        <v>45902</v>
      </c>
      <c r="B513" t="s">
        <v>28</v>
      </c>
      <c r="C513" t="s">
        <v>747</v>
      </c>
      <c r="D513" s="3" t="str">
        <f t="shared" si="14"/>
        <v>PASS</v>
      </c>
      <c r="E513" s="3" t="str">
        <f t="shared" si="15"/>
        <v>PASS</v>
      </c>
      <c r="F513" t="s">
        <v>747</v>
      </c>
      <c r="G513" t="s">
        <v>747</v>
      </c>
      <c r="H513" s="3">
        <v>15176984.4</v>
      </c>
      <c r="I513" s="3">
        <v>15081159.13029</v>
      </c>
      <c r="J513" s="3">
        <v>1968.7</v>
      </c>
      <c r="K513" s="4">
        <v>758849.22000000009</v>
      </c>
      <c r="L513" s="4">
        <v>0.25420979197502402</v>
      </c>
      <c r="M513" s="3">
        <v>3</v>
      </c>
      <c r="N513" t="s">
        <v>1396</v>
      </c>
      <c r="O513" s="4">
        <v>9.11988787634255E-2</v>
      </c>
      <c r="P513" t="s">
        <v>1391</v>
      </c>
      <c r="Q513" t="s">
        <v>877</v>
      </c>
      <c r="R513" t="s">
        <v>865</v>
      </c>
    </row>
    <row r="514" spans="1:18" x14ac:dyDescent="0.4">
      <c r="A514" s="2">
        <v>45902</v>
      </c>
      <c r="B514" t="s">
        <v>29</v>
      </c>
      <c r="C514" t="s">
        <v>747</v>
      </c>
      <c r="D514" s="3" t="str">
        <f t="shared" ref="D514:D577" si="16">IF(I514/H514&gt;=0.5,"PASS","FAIL")</f>
        <v>PASS</v>
      </c>
      <c r="E514" s="3" t="str">
        <f t="shared" ref="E514:E577" si="17">IF(L514&lt;=0.5,"PASS","FAIL")</f>
        <v>PASS</v>
      </c>
      <c r="F514" t="s">
        <v>747</v>
      </c>
      <c r="G514" t="s">
        <v>747</v>
      </c>
      <c r="H514" s="3">
        <v>34181669.020000003</v>
      </c>
      <c r="I514" s="3">
        <v>34233145.781515002</v>
      </c>
      <c r="J514" s="3">
        <v>4659.76</v>
      </c>
      <c r="K514" s="4">
        <v>1709083.4509999999</v>
      </c>
      <c r="L514" s="4">
        <v>0.24196611869775739</v>
      </c>
      <c r="M514" s="3">
        <v>3</v>
      </c>
      <c r="N514" t="s">
        <v>1397</v>
      </c>
      <c r="O514" s="4">
        <v>3.9279388631649682E-2</v>
      </c>
      <c r="P514" t="s">
        <v>1391</v>
      </c>
      <c r="Q514" t="s">
        <v>881</v>
      </c>
      <c r="R514" t="s">
        <v>1035</v>
      </c>
    </row>
    <row r="515" spans="1:18" x14ac:dyDescent="0.4">
      <c r="A515" s="2">
        <v>45902</v>
      </c>
      <c r="B515" t="s">
        <v>30</v>
      </c>
      <c r="C515" t="s">
        <v>747</v>
      </c>
      <c r="D515" s="3" t="str">
        <f t="shared" si="16"/>
        <v>PASS</v>
      </c>
      <c r="E515" s="3" t="str">
        <f t="shared" si="17"/>
        <v>PASS</v>
      </c>
      <c r="F515" t="s">
        <v>747</v>
      </c>
      <c r="G515" t="s">
        <v>747</v>
      </c>
      <c r="H515" s="3">
        <v>55285164.399999999</v>
      </c>
      <c r="I515" s="3">
        <v>51567246.462094001</v>
      </c>
      <c r="J515" s="3">
        <v>7281.12</v>
      </c>
      <c r="K515" s="4">
        <v>2764258.22</v>
      </c>
      <c r="L515" s="4">
        <v>0</v>
      </c>
      <c r="M515" s="3">
        <v>0</v>
      </c>
      <c r="N515" t="s">
        <v>23</v>
      </c>
      <c r="O515" s="4">
        <v>3.4168205206494787E-2</v>
      </c>
      <c r="P515" t="s">
        <v>1398</v>
      </c>
      <c r="Q515" t="s">
        <v>1399</v>
      </c>
      <c r="R515" t="s">
        <v>1400</v>
      </c>
    </row>
    <row r="516" spans="1:18" x14ac:dyDescent="0.4">
      <c r="A516" s="2">
        <v>45902</v>
      </c>
      <c r="B516" t="s">
        <v>31</v>
      </c>
      <c r="C516" t="s">
        <v>747</v>
      </c>
      <c r="D516" s="3" t="str">
        <f t="shared" si="16"/>
        <v>PASS</v>
      </c>
      <c r="E516" s="3" t="str">
        <f t="shared" si="17"/>
        <v>PASS</v>
      </c>
      <c r="F516" t="s">
        <v>747</v>
      </c>
      <c r="G516" t="s">
        <v>747</v>
      </c>
      <c r="H516" s="3">
        <v>39894241.350000001</v>
      </c>
      <c r="I516" s="3">
        <v>38653308.923644997</v>
      </c>
      <c r="J516" s="3">
        <v>5044.6000000000004</v>
      </c>
      <c r="K516" s="4">
        <v>1994712.0674999999</v>
      </c>
      <c r="L516" s="4">
        <v>0.25413349144622133</v>
      </c>
      <c r="M516" s="3">
        <v>3</v>
      </c>
      <c r="N516" t="s">
        <v>1401</v>
      </c>
      <c r="O516" s="4">
        <v>9.4203305200714141E-2</v>
      </c>
      <c r="P516" t="s">
        <v>1391</v>
      </c>
      <c r="Q516" t="s">
        <v>1292</v>
      </c>
      <c r="R516" t="s">
        <v>871</v>
      </c>
    </row>
    <row r="517" spans="1:18" x14ac:dyDescent="0.4">
      <c r="A517" s="2">
        <v>45902</v>
      </c>
      <c r="B517" t="s">
        <v>32</v>
      </c>
      <c r="C517" t="s">
        <v>747</v>
      </c>
      <c r="D517" s="3" t="str">
        <f t="shared" si="16"/>
        <v>PASS</v>
      </c>
      <c r="E517" s="3" t="str">
        <f t="shared" si="17"/>
        <v>PASS</v>
      </c>
      <c r="F517" t="s">
        <v>747</v>
      </c>
      <c r="G517" t="s">
        <v>747</v>
      </c>
      <c r="H517" s="3">
        <v>77788720.569999993</v>
      </c>
      <c r="I517" s="3">
        <v>77059652.664190009</v>
      </c>
      <c r="J517" s="3">
        <v>10177.879999999999</v>
      </c>
      <c r="K517" s="4">
        <v>3889436.0285</v>
      </c>
      <c r="L517" s="4">
        <v>0.24941013793609179</v>
      </c>
      <c r="M517" s="3">
        <v>3</v>
      </c>
      <c r="N517" t="s">
        <v>1402</v>
      </c>
      <c r="O517" s="4">
        <v>7.2943037147448486E-2</v>
      </c>
      <c r="P517" t="s">
        <v>1391</v>
      </c>
      <c r="Q517" t="s">
        <v>865</v>
      </c>
      <c r="R517" t="s">
        <v>849</v>
      </c>
    </row>
    <row r="518" spans="1:18" x14ac:dyDescent="0.4">
      <c r="A518" s="2">
        <v>45902</v>
      </c>
      <c r="B518" t="s">
        <v>33</v>
      </c>
      <c r="C518" t="s">
        <v>747</v>
      </c>
      <c r="D518" s="3" t="str">
        <f t="shared" si="16"/>
        <v>PASS</v>
      </c>
      <c r="E518" s="3" t="str">
        <f t="shared" si="17"/>
        <v>PASS</v>
      </c>
      <c r="F518" t="s">
        <v>747</v>
      </c>
      <c r="G518" t="s">
        <v>747</v>
      </c>
      <c r="H518" s="3">
        <v>165374595.72</v>
      </c>
      <c r="I518" s="3">
        <v>159563898.27693999</v>
      </c>
      <c r="J518" s="3">
        <v>20531.16</v>
      </c>
      <c r="K518" s="4">
        <v>8268729.7860000003</v>
      </c>
      <c r="L518" s="4">
        <v>0.26133674161073239</v>
      </c>
      <c r="M518" s="3">
        <v>3</v>
      </c>
      <c r="N518" t="s">
        <v>1403</v>
      </c>
      <c r="O518" s="4">
        <v>9.9253995001330919E-2</v>
      </c>
      <c r="P518" t="s">
        <v>1391</v>
      </c>
      <c r="Q518" t="s">
        <v>916</v>
      </c>
      <c r="R518" t="s">
        <v>1223</v>
      </c>
    </row>
    <row r="519" spans="1:18" x14ac:dyDescent="0.4">
      <c r="A519" s="2">
        <v>45903</v>
      </c>
      <c r="B519" t="s">
        <v>21</v>
      </c>
      <c r="C519" t="s">
        <v>747</v>
      </c>
      <c r="D519" s="3" t="str">
        <f t="shared" si="16"/>
        <v>PASS</v>
      </c>
      <c r="E519" s="3" t="str">
        <f t="shared" si="17"/>
        <v>PASS</v>
      </c>
      <c r="F519" t="s">
        <v>747</v>
      </c>
      <c r="G519" t="s">
        <v>747</v>
      </c>
      <c r="H519" s="3">
        <v>24498363.82</v>
      </c>
      <c r="I519" s="3">
        <v>23220861.540399998</v>
      </c>
      <c r="J519" s="3">
        <v>1485.71</v>
      </c>
      <c r="K519" s="4">
        <v>1224918.1910000001</v>
      </c>
      <c r="L519" s="4">
        <v>0.24925642788547689</v>
      </c>
      <c r="M519" s="3">
        <v>3</v>
      </c>
      <c r="N519" t="s">
        <v>1404</v>
      </c>
      <c r="O519" s="4">
        <v>0.1115219240955823</v>
      </c>
      <c r="P519" t="s">
        <v>1405</v>
      </c>
      <c r="Q519" t="s">
        <v>1223</v>
      </c>
      <c r="R519" t="s">
        <v>885</v>
      </c>
    </row>
    <row r="520" spans="1:18" x14ac:dyDescent="0.4">
      <c r="A520" s="2">
        <v>45903</v>
      </c>
      <c r="B520" t="s">
        <v>24</v>
      </c>
      <c r="C520" t="s">
        <v>747</v>
      </c>
      <c r="D520" s="3" t="str">
        <f t="shared" si="16"/>
        <v>PASS</v>
      </c>
      <c r="E520" s="3" t="str">
        <f t="shared" si="17"/>
        <v>PASS</v>
      </c>
      <c r="F520" t="s">
        <v>747</v>
      </c>
      <c r="G520" t="s">
        <v>747</v>
      </c>
      <c r="H520" s="3">
        <v>134381525.05000001</v>
      </c>
      <c r="I520" s="3">
        <v>132637500.847495</v>
      </c>
      <c r="J520" s="3">
        <v>8609.6299999999992</v>
      </c>
      <c r="K520" s="4">
        <v>6719076.2525000013</v>
      </c>
      <c r="L520" s="4">
        <v>0.2416611599342626</v>
      </c>
      <c r="M520" s="3">
        <v>3</v>
      </c>
      <c r="N520" t="s">
        <v>1406</v>
      </c>
      <c r="O520" s="4">
        <v>7.6444382541966088E-2</v>
      </c>
      <c r="P520" t="s">
        <v>1405</v>
      </c>
      <c r="Q520" t="s">
        <v>941</v>
      </c>
      <c r="R520" t="s">
        <v>1128</v>
      </c>
    </row>
    <row r="521" spans="1:18" x14ac:dyDescent="0.4">
      <c r="A521" s="2">
        <v>45903</v>
      </c>
      <c r="B521" t="s">
        <v>25</v>
      </c>
      <c r="C521" t="s">
        <v>747</v>
      </c>
      <c r="D521" s="3" t="str">
        <f t="shared" si="16"/>
        <v>PASS</v>
      </c>
      <c r="E521" s="3" t="str">
        <f t="shared" si="17"/>
        <v>PASS</v>
      </c>
      <c r="F521" t="s">
        <v>747</v>
      </c>
      <c r="G521" t="s">
        <v>747</v>
      </c>
      <c r="H521" s="3">
        <v>100412704.94</v>
      </c>
      <c r="I521" s="3">
        <v>97316876.799910009</v>
      </c>
      <c r="J521" s="3">
        <v>6623.79</v>
      </c>
      <c r="K521" s="4">
        <v>5020635.2470000004</v>
      </c>
      <c r="L521" s="4">
        <v>0.2293127313058779</v>
      </c>
      <c r="M521" s="3">
        <v>3</v>
      </c>
      <c r="N521" t="s">
        <v>1407</v>
      </c>
      <c r="O521" s="4">
        <v>6.1143343898350307E-2</v>
      </c>
      <c r="P521" t="s">
        <v>1405</v>
      </c>
      <c r="Q521" t="s">
        <v>1123</v>
      </c>
      <c r="R521" t="s">
        <v>1327</v>
      </c>
    </row>
    <row r="522" spans="1:18" x14ac:dyDescent="0.4">
      <c r="A522" s="2">
        <v>45903</v>
      </c>
      <c r="B522" t="s">
        <v>26</v>
      </c>
      <c r="C522" t="s">
        <v>747</v>
      </c>
      <c r="D522" s="3" t="str">
        <f t="shared" si="16"/>
        <v>PASS</v>
      </c>
      <c r="E522" s="3" t="str">
        <f t="shared" si="17"/>
        <v>PASS</v>
      </c>
      <c r="F522" t="s">
        <v>747</v>
      </c>
      <c r="G522" t="s">
        <v>747</v>
      </c>
      <c r="H522" s="3">
        <v>23208868.18</v>
      </c>
      <c r="I522" s="3">
        <v>22641548.215544999</v>
      </c>
      <c r="J522" s="3">
        <v>1541.09</v>
      </c>
      <c r="K522" s="4">
        <v>1160443.409</v>
      </c>
      <c r="L522" s="4">
        <v>0.22863925278687111</v>
      </c>
      <c r="M522" s="3">
        <v>3</v>
      </c>
      <c r="N522" t="s">
        <v>1408</v>
      </c>
      <c r="O522" s="4">
        <v>5.4500564427997882E-2</v>
      </c>
      <c r="P522" t="s">
        <v>1405</v>
      </c>
      <c r="Q522" t="s">
        <v>1123</v>
      </c>
      <c r="R522" t="s">
        <v>1100</v>
      </c>
    </row>
    <row r="523" spans="1:18" x14ac:dyDescent="0.4">
      <c r="A523" s="2">
        <v>45903</v>
      </c>
      <c r="B523" t="s">
        <v>27</v>
      </c>
      <c r="C523" t="s">
        <v>747</v>
      </c>
      <c r="D523" s="3" t="str">
        <f t="shared" si="16"/>
        <v>PASS</v>
      </c>
      <c r="E523" s="3" t="str">
        <f t="shared" si="17"/>
        <v>PASS</v>
      </c>
      <c r="F523" t="s">
        <v>747</v>
      </c>
      <c r="G523" t="s">
        <v>747</v>
      </c>
      <c r="H523" s="3">
        <v>42991751.710000001</v>
      </c>
      <c r="I523" s="3">
        <v>42236840.336320013</v>
      </c>
      <c r="J523" s="3">
        <v>2648.48</v>
      </c>
      <c r="K523" s="4">
        <v>2149587.5855</v>
      </c>
      <c r="L523" s="4">
        <v>0.25340680401125187</v>
      </c>
      <c r="M523" s="3">
        <v>3</v>
      </c>
      <c r="N523" t="s">
        <v>1409</v>
      </c>
      <c r="O523" s="4">
        <v>0.10808795411886229</v>
      </c>
      <c r="P523" t="s">
        <v>1405</v>
      </c>
      <c r="Q523" t="s">
        <v>904</v>
      </c>
      <c r="R523" t="s">
        <v>1300</v>
      </c>
    </row>
    <row r="524" spans="1:18" x14ac:dyDescent="0.4">
      <c r="A524" s="2">
        <v>45903</v>
      </c>
      <c r="B524" t="s">
        <v>28</v>
      </c>
      <c r="C524" t="s">
        <v>747</v>
      </c>
      <c r="D524" s="3" t="str">
        <f t="shared" si="16"/>
        <v>PASS</v>
      </c>
      <c r="E524" s="3" t="str">
        <f t="shared" si="17"/>
        <v>PASS</v>
      </c>
      <c r="F524" t="s">
        <v>747</v>
      </c>
      <c r="G524" t="s">
        <v>747</v>
      </c>
      <c r="H524" s="3">
        <v>15208118.17</v>
      </c>
      <c r="I524" s="3">
        <v>14963177.275165001</v>
      </c>
      <c r="J524" s="3">
        <v>980.73</v>
      </c>
      <c r="K524" s="4">
        <v>760405.90850000002</v>
      </c>
      <c r="L524" s="4">
        <v>0.24089203676406851</v>
      </c>
      <c r="M524" s="3">
        <v>3</v>
      </c>
      <c r="N524" t="s">
        <v>1410</v>
      </c>
      <c r="O524" s="4">
        <v>9.0889644577571052E-2</v>
      </c>
      <c r="P524" t="s">
        <v>1405</v>
      </c>
      <c r="Q524" t="s">
        <v>877</v>
      </c>
      <c r="R524" t="s">
        <v>871</v>
      </c>
    </row>
    <row r="525" spans="1:18" x14ac:dyDescent="0.4">
      <c r="A525" s="2">
        <v>45903</v>
      </c>
      <c r="B525" t="s">
        <v>29</v>
      </c>
      <c r="C525" t="s">
        <v>747</v>
      </c>
      <c r="D525" s="3" t="str">
        <f t="shared" si="16"/>
        <v>PASS</v>
      </c>
      <c r="E525" s="3" t="str">
        <f t="shared" si="17"/>
        <v>PASS</v>
      </c>
      <c r="F525" t="s">
        <v>747</v>
      </c>
      <c r="G525" t="s">
        <v>747</v>
      </c>
      <c r="H525" s="3">
        <v>34251284</v>
      </c>
      <c r="I525" s="3">
        <v>33765663.413589999</v>
      </c>
      <c r="J525" s="3">
        <v>2320.0300000000002</v>
      </c>
      <c r="K525" s="4">
        <v>1712564.2</v>
      </c>
      <c r="L525" s="4">
        <v>0.22481144350060461</v>
      </c>
      <c r="M525" s="3">
        <v>3</v>
      </c>
      <c r="N525" t="s">
        <v>1411</v>
      </c>
      <c r="O525" s="4">
        <v>3.9042773800538381E-2</v>
      </c>
      <c r="P525" t="s">
        <v>1405</v>
      </c>
      <c r="Q525" t="s">
        <v>1327</v>
      </c>
      <c r="R525" t="s">
        <v>1412</v>
      </c>
    </row>
    <row r="526" spans="1:18" x14ac:dyDescent="0.4">
      <c r="A526" s="2">
        <v>45903</v>
      </c>
      <c r="B526" t="s">
        <v>30</v>
      </c>
      <c r="C526" t="s">
        <v>747</v>
      </c>
      <c r="D526" s="3" t="str">
        <f t="shared" si="16"/>
        <v>PASS</v>
      </c>
      <c r="E526" s="3" t="str">
        <f t="shared" si="17"/>
        <v>PASS</v>
      </c>
      <c r="F526" t="s">
        <v>747</v>
      </c>
      <c r="G526" t="s">
        <v>747</v>
      </c>
      <c r="H526" s="3">
        <v>55252204.039999999</v>
      </c>
      <c r="I526" s="3">
        <v>51624518.191728987</v>
      </c>
      <c r="J526" s="3">
        <v>3634.09</v>
      </c>
      <c r="K526" s="4">
        <v>2762610.202</v>
      </c>
      <c r="L526" s="4">
        <v>0</v>
      </c>
      <c r="M526" s="3">
        <v>0</v>
      </c>
      <c r="N526" t="s">
        <v>23</v>
      </c>
      <c r="O526" s="4">
        <v>3.3784300267508387E-2</v>
      </c>
      <c r="P526" t="s">
        <v>1413</v>
      </c>
      <c r="Q526" t="s">
        <v>1414</v>
      </c>
      <c r="R526" t="s">
        <v>1415</v>
      </c>
    </row>
    <row r="527" spans="1:18" x14ac:dyDescent="0.4">
      <c r="A527" s="2">
        <v>45903</v>
      </c>
      <c r="B527" t="s">
        <v>31</v>
      </c>
      <c r="C527" t="s">
        <v>747</v>
      </c>
      <c r="D527" s="3" t="str">
        <f t="shared" si="16"/>
        <v>PASS</v>
      </c>
      <c r="E527" s="3" t="str">
        <f t="shared" si="17"/>
        <v>PASS</v>
      </c>
      <c r="F527" t="s">
        <v>747</v>
      </c>
      <c r="G527" t="s">
        <v>747</v>
      </c>
      <c r="H527" s="3">
        <v>39964799.130000003</v>
      </c>
      <c r="I527" s="3">
        <v>38314584.768204987</v>
      </c>
      <c r="J527" s="3">
        <v>2513.54</v>
      </c>
      <c r="K527" s="4">
        <v>1998239.9565000001</v>
      </c>
      <c r="L527" s="4">
        <v>0.2411595913717729</v>
      </c>
      <c r="M527" s="3">
        <v>3</v>
      </c>
      <c r="N527" t="s">
        <v>1416</v>
      </c>
      <c r="O527" s="4">
        <v>9.3716949158728316E-2</v>
      </c>
      <c r="P527" t="s">
        <v>1405</v>
      </c>
      <c r="Q527" t="s">
        <v>1242</v>
      </c>
      <c r="R527" t="s">
        <v>893</v>
      </c>
    </row>
    <row r="528" spans="1:18" x14ac:dyDescent="0.4">
      <c r="A528" s="2">
        <v>45903</v>
      </c>
      <c r="B528" t="s">
        <v>32</v>
      </c>
      <c r="C528" t="s">
        <v>747</v>
      </c>
      <c r="D528" s="3" t="str">
        <f t="shared" si="16"/>
        <v>PASS</v>
      </c>
      <c r="E528" s="3" t="str">
        <f t="shared" si="17"/>
        <v>PASS</v>
      </c>
      <c r="F528" t="s">
        <v>747</v>
      </c>
      <c r="G528" t="s">
        <v>747</v>
      </c>
      <c r="H528" s="3">
        <v>77960727.480000004</v>
      </c>
      <c r="I528" s="3">
        <v>76333339.897080004</v>
      </c>
      <c r="J528" s="3">
        <v>5067.92</v>
      </c>
      <c r="K528" s="4">
        <v>3898036.3739999998</v>
      </c>
      <c r="L528" s="4">
        <v>0.23590363622835481</v>
      </c>
      <c r="M528" s="3">
        <v>3</v>
      </c>
      <c r="N528" t="s">
        <v>1417</v>
      </c>
      <c r="O528" s="4">
        <v>7.271771031811311E-2</v>
      </c>
      <c r="P528" t="s">
        <v>1405</v>
      </c>
      <c r="Q528" t="s">
        <v>871</v>
      </c>
      <c r="R528" t="s">
        <v>1035</v>
      </c>
    </row>
    <row r="529" spans="1:18" x14ac:dyDescent="0.4">
      <c r="A529" s="2">
        <v>45903</v>
      </c>
      <c r="B529" t="s">
        <v>33</v>
      </c>
      <c r="C529" t="s">
        <v>747</v>
      </c>
      <c r="D529" s="3" t="str">
        <f t="shared" si="16"/>
        <v>PASS</v>
      </c>
      <c r="E529" s="3" t="str">
        <f t="shared" si="17"/>
        <v>PASS</v>
      </c>
      <c r="F529" t="s">
        <v>747</v>
      </c>
      <c r="G529" t="s">
        <v>747</v>
      </c>
      <c r="H529" s="3">
        <v>165594256.33000001</v>
      </c>
      <c r="I529" s="3">
        <v>157708487.38676</v>
      </c>
      <c r="J529" s="3">
        <v>10234.39</v>
      </c>
      <c r="K529" s="4">
        <v>8279712.8165000007</v>
      </c>
      <c r="L529" s="4">
        <v>0.24446612143759619</v>
      </c>
      <c r="M529" s="3">
        <v>3</v>
      </c>
      <c r="N529" t="s">
        <v>1418</v>
      </c>
      <c r="O529" s="4">
        <v>9.8906693503431606E-2</v>
      </c>
      <c r="P529" t="s">
        <v>1405</v>
      </c>
      <c r="Q529" t="s">
        <v>1292</v>
      </c>
      <c r="R529" t="s">
        <v>871</v>
      </c>
    </row>
    <row r="530" spans="1:18" x14ac:dyDescent="0.4">
      <c r="A530" s="2">
        <v>45904</v>
      </c>
      <c r="B530" t="s">
        <v>21</v>
      </c>
      <c r="C530" t="s">
        <v>747</v>
      </c>
      <c r="D530" s="3" t="str">
        <f t="shared" si="16"/>
        <v>PASS</v>
      </c>
      <c r="E530" s="3" t="str">
        <f t="shared" si="17"/>
        <v>PASS</v>
      </c>
      <c r="F530" t="s">
        <v>747</v>
      </c>
      <c r="G530" t="s">
        <v>747</v>
      </c>
      <c r="H530" s="3">
        <v>24587493.370000001</v>
      </c>
      <c r="I530" s="3">
        <v>23438979.622462001</v>
      </c>
      <c r="J530" s="3">
        <v>1488.53</v>
      </c>
      <c r="K530" s="4">
        <v>1229374.6684999999</v>
      </c>
      <c r="L530" s="4">
        <v>0.25035452731716079</v>
      </c>
      <c r="M530" s="3">
        <v>3</v>
      </c>
      <c r="N530" t="s">
        <v>1419</v>
      </c>
      <c r="O530" s="4">
        <v>0.1109378329630842</v>
      </c>
      <c r="P530" t="s">
        <v>1420</v>
      </c>
      <c r="Q530" t="s">
        <v>815</v>
      </c>
      <c r="R530" t="s">
        <v>1261</v>
      </c>
    </row>
    <row r="531" spans="1:18" x14ac:dyDescent="0.4">
      <c r="A531" s="2">
        <v>45904</v>
      </c>
      <c r="B531" t="s">
        <v>24</v>
      </c>
      <c r="C531" t="s">
        <v>747</v>
      </c>
      <c r="D531" s="3" t="str">
        <f t="shared" si="16"/>
        <v>PASS</v>
      </c>
      <c r="E531" s="3" t="str">
        <f t="shared" si="17"/>
        <v>PASS</v>
      </c>
      <c r="F531" t="s">
        <v>747</v>
      </c>
      <c r="G531" t="s">
        <v>747</v>
      </c>
      <c r="H531" s="3">
        <v>134977597.75999999</v>
      </c>
      <c r="I531" s="3">
        <v>133950469.039664</v>
      </c>
      <c r="J531" s="3">
        <v>8628.2900000000009</v>
      </c>
      <c r="K531" s="4">
        <v>6748879.8880000003</v>
      </c>
      <c r="L531" s="4">
        <v>0.242631809407923</v>
      </c>
      <c r="M531" s="3">
        <v>3</v>
      </c>
      <c r="N531" t="s">
        <v>1421</v>
      </c>
      <c r="O531" s="4">
        <v>7.6518252517935453E-2</v>
      </c>
      <c r="P531" t="s">
        <v>1420</v>
      </c>
      <c r="Q531" t="s">
        <v>916</v>
      </c>
      <c r="R531" t="s">
        <v>1128</v>
      </c>
    </row>
    <row r="532" spans="1:18" x14ac:dyDescent="0.4">
      <c r="A532" s="2">
        <v>45904</v>
      </c>
      <c r="B532" t="s">
        <v>25</v>
      </c>
      <c r="C532" t="s">
        <v>747</v>
      </c>
      <c r="D532" s="3" t="str">
        <f t="shared" si="16"/>
        <v>PASS</v>
      </c>
      <c r="E532" s="3" t="str">
        <f t="shared" si="17"/>
        <v>PASS</v>
      </c>
      <c r="F532" t="s">
        <v>747</v>
      </c>
      <c r="G532" t="s">
        <v>747</v>
      </c>
      <c r="H532" s="3">
        <v>100791948.18000001</v>
      </c>
      <c r="I532" s="3">
        <v>98199030.462834001</v>
      </c>
      <c r="J532" s="3">
        <v>6633.23</v>
      </c>
      <c r="K532" s="4">
        <v>5039597.4090000009</v>
      </c>
      <c r="L532" s="4">
        <v>0.23011064732599701</v>
      </c>
      <c r="M532" s="3">
        <v>3</v>
      </c>
      <c r="N532" t="s">
        <v>1422</v>
      </c>
      <c r="O532" s="4">
        <v>6.0331905996838728E-2</v>
      </c>
      <c r="P532" t="s">
        <v>1420</v>
      </c>
      <c r="Q532" t="s">
        <v>1423</v>
      </c>
      <c r="R532" t="s">
        <v>1100</v>
      </c>
    </row>
    <row r="533" spans="1:18" x14ac:dyDescent="0.4">
      <c r="A533" s="2">
        <v>45904</v>
      </c>
      <c r="B533" t="s">
        <v>26</v>
      </c>
      <c r="C533" t="s">
        <v>747</v>
      </c>
      <c r="D533" s="3" t="str">
        <f t="shared" si="16"/>
        <v>PASS</v>
      </c>
      <c r="E533" s="3" t="str">
        <f t="shared" si="17"/>
        <v>PASS</v>
      </c>
      <c r="F533" t="s">
        <v>747</v>
      </c>
      <c r="G533" t="s">
        <v>747</v>
      </c>
      <c r="H533" s="3">
        <v>23302338.539999999</v>
      </c>
      <c r="I533" s="3">
        <v>22849899.556318</v>
      </c>
      <c r="J533" s="3">
        <v>1543.58</v>
      </c>
      <c r="K533" s="4">
        <v>1165116.9269999999</v>
      </c>
      <c r="L533" s="4">
        <v>0.2294789057535426</v>
      </c>
      <c r="M533" s="3">
        <v>3</v>
      </c>
      <c r="N533" t="s">
        <v>1424</v>
      </c>
      <c r="O533" s="4">
        <v>5.3970584718747293E-2</v>
      </c>
      <c r="P533" t="s">
        <v>1420</v>
      </c>
      <c r="Q533" t="s">
        <v>1152</v>
      </c>
      <c r="R533" t="s">
        <v>1100</v>
      </c>
    </row>
    <row r="534" spans="1:18" x14ac:dyDescent="0.4">
      <c r="A534" s="2">
        <v>45904</v>
      </c>
      <c r="B534" t="s">
        <v>27</v>
      </c>
      <c r="C534" t="s">
        <v>747</v>
      </c>
      <c r="D534" s="3" t="str">
        <f t="shared" si="16"/>
        <v>PASS</v>
      </c>
      <c r="E534" s="3" t="str">
        <f t="shared" si="17"/>
        <v>PASS</v>
      </c>
      <c r="F534" t="s">
        <v>747</v>
      </c>
      <c r="G534" t="s">
        <v>747</v>
      </c>
      <c r="H534" s="3">
        <v>43181647.619999997</v>
      </c>
      <c r="I534" s="3">
        <v>42626918.709360003</v>
      </c>
      <c r="J534" s="3">
        <v>2654.99</v>
      </c>
      <c r="K534" s="4">
        <v>2159082.3810000001</v>
      </c>
      <c r="L534" s="4">
        <v>0.2543242411191502</v>
      </c>
      <c r="M534" s="3">
        <v>3</v>
      </c>
      <c r="N534" t="s">
        <v>1425</v>
      </c>
      <c r="O534" s="4">
        <v>0.1083549256974832</v>
      </c>
      <c r="P534" t="s">
        <v>1420</v>
      </c>
      <c r="Q534" t="s">
        <v>1426</v>
      </c>
      <c r="R534" t="s">
        <v>1300</v>
      </c>
    </row>
    <row r="535" spans="1:18" x14ac:dyDescent="0.4">
      <c r="A535" s="2">
        <v>45904</v>
      </c>
      <c r="B535" t="s">
        <v>28</v>
      </c>
      <c r="C535" t="s">
        <v>747</v>
      </c>
      <c r="D535" s="3" t="str">
        <f t="shared" si="16"/>
        <v>PASS</v>
      </c>
      <c r="E535" s="3" t="str">
        <f t="shared" si="17"/>
        <v>PASS</v>
      </c>
      <c r="F535" t="s">
        <v>747</v>
      </c>
      <c r="G535" t="s">
        <v>747</v>
      </c>
      <c r="H535" s="3">
        <v>15269245.98</v>
      </c>
      <c r="I535" s="3">
        <v>15094205.23494</v>
      </c>
      <c r="J535" s="3">
        <v>982.92</v>
      </c>
      <c r="K535" s="4">
        <v>763462.29900000012</v>
      </c>
      <c r="L535" s="4">
        <v>0.2416874338434635</v>
      </c>
      <c r="M535" s="3">
        <v>3</v>
      </c>
      <c r="N535" t="s">
        <v>1427</v>
      </c>
      <c r="O535" s="4">
        <v>9.0527201981718292E-2</v>
      </c>
      <c r="P535" t="s">
        <v>1420</v>
      </c>
      <c r="Q535" t="s">
        <v>1223</v>
      </c>
      <c r="R535" t="s">
        <v>871</v>
      </c>
    </row>
    <row r="536" spans="1:18" x14ac:dyDescent="0.4">
      <c r="A536" s="2">
        <v>45904</v>
      </c>
      <c r="B536" t="s">
        <v>29</v>
      </c>
      <c r="C536" t="s">
        <v>747</v>
      </c>
      <c r="D536" s="3" t="str">
        <f t="shared" si="16"/>
        <v>PASS</v>
      </c>
      <c r="E536" s="3" t="str">
        <f t="shared" si="17"/>
        <v>PASS</v>
      </c>
      <c r="F536" t="s">
        <v>747</v>
      </c>
      <c r="G536" t="s">
        <v>747</v>
      </c>
      <c r="H536" s="3">
        <v>34416379.479999997</v>
      </c>
      <c r="I536" s="3">
        <v>34096201.092014</v>
      </c>
      <c r="J536" s="3">
        <v>2324.92</v>
      </c>
      <c r="K536" s="4">
        <v>1720818.9739999999</v>
      </c>
      <c r="L536" s="4">
        <v>0.22554431191354971</v>
      </c>
      <c r="M536" s="3">
        <v>3</v>
      </c>
      <c r="N536" t="s">
        <v>1428</v>
      </c>
      <c r="O536" s="4">
        <v>3.8701514282989298E-2</v>
      </c>
      <c r="P536" t="s">
        <v>1420</v>
      </c>
      <c r="Q536" t="s">
        <v>926</v>
      </c>
      <c r="R536" t="s">
        <v>1327</v>
      </c>
    </row>
    <row r="537" spans="1:18" x14ac:dyDescent="0.4">
      <c r="A537" s="2">
        <v>45904</v>
      </c>
      <c r="B537" t="s">
        <v>30</v>
      </c>
      <c r="C537" t="s">
        <v>747</v>
      </c>
      <c r="D537" s="3" t="str">
        <f t="shared" si="16"/>
        <v>PASS</v>
      </c>
      <c r="E537" s="3" t="str">
        <f t="shared" si="17"/>
        <v>PASS</v>
      </c>
      <c r="F537" t="s">
        <v>747</v>
      </c>
      <c r="G537" t="s">
        <v>747</v>
      </c>
      <c r="H537" s="3">
        <v>54974433.68</v>
      </c>
      <c r="I537" s="3">
        <v>52511687.318155989</v>
      </c>
      <c r="J537" s="3">
        <v>3631.43</v>
      </c>
      <c r="K537" s="4">
        <v>2748721.6839999999</v>
      </c>
      <c r="L537" s="4">
        <v>0</v>
      </c>
      <c r="M537" s="3">
        <v>0</v>
      </c>
      <c r="N537" t="s">
        <v>23</v>
      </c>
      <c r="O537" s="4">
        <v>3.3928608323882961E-2</v>
      </c>
      <c r="P537" t="s">
        <v>1429</v>
      </c>
      <c r="Q537" t="s">
        <v>1430</v>
      </c>
      <c r="R537" t="s">
        <v>1431</v>
      </c>
    </row>
    <row r="538" spans="1:18" x14ac:dyDescent="0.4">
      <c r="A538" s="2">
        <v>45904</v>
      </c>
      <c r="B538" t="s">
        <v>31</v>
      </c>
      <c r="C538" t="s">
        <v>747</v>
      </c>
      <c r="D538" s="3" t="str">
        <f t="shared" si="16"/>
        <v>PASS</v>
      </c>
      <c r="E538" s="3" t="str">
        <f t="shared" si="17"/>
        <v>PASS</v>
      </c>
      <c r="F538" t="s">
        <v>747</v>
      </c>
      <c r="G538" t="s">
        <v>747</v>
      </c>
      <c r="H538" s="3">
        <v>40114099.82</v>
      </c>
      <c r="I538" s="3">
        <v>38639705.151306003</v>
      </c>
      <c r="J538" s="3">
        <v>2518.48</v>
      </c>
      <c r="K538" s="4">
        <v>2005704.9909999999</v>
      </c>
      <c r="L538" s="4">
        <v>0.24194075603059051</v>
      </c>
      <c r="M538" s="3">
        <v>3</v>
      </c>
      <c r="N538" t="s">
        <v>1432</v>
      </c>
      <c r="O538" s="4">
        <v>9.3151495560744715E-2</v>
      </c>
      <c r="P538" t="s">
        <v>1420</v>
      </c>
      <c r="Q538" t="s">
        <v>1292</v>
      </c>
      <c r="R538" t="s">
        <v>893</v>
      </c>
    </row>
    <row r="539" spans="1:18" x14ac:dyDescent="0.4">
      <c r="A539" s="2">
        <v>45904</v>
      </c>
      <c r="B539" t="s">
        <v>32</v>
      </c>
      <c r="C539" t="s">
        <v>747</v>
      </c>
      <c r="D539" s="3" t="str">
        <f t="shared" si="16"/>
        <v>PASS</v>
      </c>
      <c r="E539" s="3" t="str">
        <f t="shared" si="17"/>
        <v>PASS</v>
      </c>
      <c r="F539" t="s">
        <v>747</v>
      </c>
      <c r="G539" t="s">
        <v>747</v>
      </c>
      <c r="H539" s="3">
        <v>78306081.640000001</v>
      </c>
      <c r="I539" s="3">
        <v>77038232.026151985</v>
      </c>
      <c r="J539" s="3">
        <v>5080.04</v>
      </c>
      <c r="K539" s="4">
        <v>3915304.0819999999</v>
      </c>
      <c r="L539" s="4">
        <v>0.23666258814087399</v>
      </c>
      <c r="M539" s="3">
        <v>3</v>
      </c>
      <c r="N539" t="s">
        <v>1433</v>
      </c>
      <c r="O539" s="4">
        <v>7.2387016147881428E-2</v>
      </c>
      <c r="P539" t="s">
        <v>1420</v>
      </c>
      <c r="Q539" t="s">
        <v>871</v>
      </c>
      <c r="R539" t="s">
        <v>1035</v>
      </c>
    </row>
    <row r="540" spans="1:18" x14ac:dyDescent="0.4">
      <c r="A540" s="2">
        <v>45904</v>
      </c>
      <c r="B540" t="s">
        <v>33</v>
      </c>
      <c r="C540" t="s">
        <v>747</v>
      </c>
      <c r="D540" s="3" t="str">
        <f t="shared" si="16"/>
        <v>PASS</v>
      </c>
      <c r="E540" s="3" t="str">
        <f t="shared" si="17"/>
        <v>PASS</v>
      </c>
      <c r="F540" t="s">
        <v>747</v>
      </c>
      <c r="G540" t="s">
        <v>747</v>
      </c>
      <c r="H540" s="3">
        <v>166134692.38</v>
      </c>
      <c r="I540" s="3">
        <v>159124430.455908</v>
      </c>
      <c r="J540" s="3">
        <v>10249.59</v>
      </c>
      <c r="K540" s="4">
        <v>8306734.6189999999</v>
      </c>
      <c r="L540" s="4">
        <v>0.24549810163976529</v>
      </c>
      <c r="M540" s="3">
        <v>3</v>
      </c>
      <c r="N540" t="s">
        <v>1434</v>
      </c>
      <c r="O540" s="4">
        <v>9.8393547799868628E-2</v>
      </c>
      <c r="P540" t="s">
        <v>1420</v>
      </c>
      <c r="Q540" t="s">
        <v>1223</v>
      </c>
      <c r="R540" t="s">
        <v>871</v>
      </c>
    </row>
    <row r="541" spans="1:18" x14ac:dyDescent="0.4">
      <c r="A541" s="2">
        <v>45905</v>
      </c>
      <c r="B541" t="s">
        <v>21</v>
      </c>
      <c r="C541" t="s">
        <v>747</v>
      </c>
      <c r="D541" s="3" t="str">
        <f t="shared" si="16"/>
        <v>PASS</v>
      </c>
      <c r="E541" s="3" t="str">
        <f t="shared" si="17"/>
        <v>PASS</v>
      </c>
      <c r="F541" t="s">
        <v>747</v>
      </c>
      <c r="G541" t="s">
        <v>747</v>
      </c>
      <c r="H541" s="3">
        <v>24541645.77</v>
      </c>
      <c r="I541" s="3">
        <v>23388830.557788011</v>
      </c>
      <c r="J541" s="3">
        <v>4484.67</v>
      </c>
      <c r="K541" s="4">
        <v>1227082.2885</v>
      </c>
      <c r="L541" s="4">
        <v>0.24731569832350861</v>
      </c>
      <c r="M541" s="3">
        <v>3</v>
      </c>
      <c r="N541" t="s">
        <v>1435</v>
      </c>
      <c r="O541" s="4">
        <v>0.1120432913732827</v>
      </c>
      <c r="P541" t="s">
        <v>1436</v>
      </c>
      <c r="Q541" t="s">
        <v>916</v>
      </c>
      <c r="R541" t="s">
        <v>1292</v>
      </c>
    </row>
    <row r="542" spans="1:18" x14ac:dyDescent="0.4">
      <c r="A542" s="2">
        <v>45905</v>
      </c>
      <c r="B542" t="s">
        <v>24</v>
      </c>
      <c r="C542" t="s">
        <v>747</v>
      </c>
      <c r="D542" s="3" t="str">
        <f t="shared" si="16"/>
        <v>PASS</v>
      </c>
      <c r="E542" s="3" t="str">
        <f t="shared" si="17"/>
        <v>PASS</v>
      </c>
      <c r="F542" t="s">
        <v>747</v>
      </c>
      <c r="G542" t="s">
        <v>747</v>
      </c>
      <c r="H542" s="3">
        <v>134606911.09</v>
      </c>
      <c r="I542" s="3">
        <v>133538393.40795501</v>
      </c>
      <c r="J542" s="3">
        <v>26012.82</v>
      </c>
      <c r="K542" s="4">
        <v>6730345.5545000006</v>
      </c>
      <c r="L542" s="4">
        <v>0.23944412904879281</v>
      </c>
      <c r="M542" s="3">
        <v>3</v>
      </c>
      <c r="N542" t="s">
        <v>1437</v>
      </c>
      <c r="O542" s="4">
        <v>7.6869900320621021E-2</v>
      </c>
      <c r="P542" t="s">
        <v>1436</v>
      </c>
      <c r="Q542" t="s">
        <v>1128</v>
      </c>
      <c r="R542" t="s">
        <v>842</v>
      </c>
    </row>
    <row r="543" spans="1:18" x14ac:dyDescent="0.4">
      <c r="A543" s="2">
        <v>45905</v>
      </c>
      <c r="B543" t="s">
        <v>25</v>
      </c>
      <c r="C543" t="s">
        <v>747</v>
      </c>
      <c r="D543" s="3" t="str">
        <f t="shared" si="16"/>
        <v>PASS</v>
      </c>
      <c r="E543" s="3" t="str">
        <f t="shared" si="17"/>
        <v>PASS</v>
      </c>
      <c r="F543" t="s">
        <v>747</v>
      </c>
      <c r="G543" t="s">
        <v>747</v>
      </c>
      <c r="H543" s="3">
        <v>100551804.95999999</v>
      </c>
      <c r="I543" s="3">
        <v>97936598.99465102</v>
      </c>
      <c r="J543" s="3">
        <v>19980.84</v>
      </c>
      <c r="K543" s="4">
        <v>5027590.2479999997</v>
      </c>
      <c r="L543" s="4">
        <v>0.22705198151790379</v>
      </c>
      <c r="M543" s="3">
        <v>3</v>
      </c>
      <c r="N543" t="s">
        <v>1438</v>
      </c>
      <c r="O543" s="4">
        <v>6.1060438020912877E-2</v>
      </c>
      <c r="P543" t="s">
        <v>1436</v>
      </c>
      <c r="Q543" t="s">
        <v>1130</v>
      </c>
      <c r="R543" t="s">
        <v>1280</v>
      </c>
    </row>
    <row r="544" spans="1:18" x14ac:dyDescent="0.4">
      <c r="A544" s="2">
        <v>45905</v>
      </c>
      <c r="B544" t="s">
        <v>26</v>
      </c>
      <c r="C544" t="s">
        <v>747</v>
      </c>
      <c r="D544" s="3" t="str">
        <f t="shared" si="16"/>
        <v>PASS</v>
      </c>
      <c r="E544" s="3" t="str">
        <f t="shared" si="17"/>
        <v>PASS</v>
      </c>
      <c r="F544" t="s">
        <v>747</v>
      </c>
      <c r="G544" t="s">
        <v>747</v>
      </c>
      <c r="H544" s="3">
        <v>23241617.07</v>
      </c>
      <c r="I544" s="3">
        <v>22783371.050126001</v>
      </c>
      <c r="J544" s="3">
        <v>4650.78</v>
      </c>
      <c r="K544" s="4">
        <v>1162080.8535</v>
      </c>
      <c r="L544" s="4">
        <v>0.22637910709526959</v>
      </c>
      <c r="M544" s="3">
        <v>3</v>
      </c>
      <c r="N544" t="s">
        <v>1439</v>
      </c>
      <c r="O544" s="4">
        <v>5.4488000826785843E-2</v>
      </c>
      <c r="P544" t="s">
        <v>1436</v>
      </c>
      <c r="Q544" t="s">
        <v>1130</v>
      </c>
      <c r="R544" t="s">
        <v>1297</v>
      </c>
    </row>
    <row r="545" spans="1:18" x14ac:dyDescent="0.4">
      <c r="A545" s="2">
        <v>45905</v>
      </c>
      <c r="B545" t="s">
        <v>27</v>
      </c>
      <c r="C545" t="s">
        <v>747</v>
      </c>
      <c r="D545" s="3" t="str">
        <f t="shared" si="16"/>
        <v>PASS</v>
      </c>
      <c r="E545" s="3" t="str">
        <f t="shared" si="17"/>
        <v>PASS</v>
      </c>
      <c r="F545" t="s">
        <v>747</v>
      </c>
      <c r="G545" t="s">
        <v>747</v>
      </c>
      <c r="H545" s="3">
        <v>43080100.75</v>
      </c>
      <c r="I545" s="3">
        <v>42506921.527507998</v>
      </c>
      <c r="J545" s="3">
        <v>8005.74</v>
      </c>
      <c r="K545" s="4">
        <v>2154005.0375000001</v>
      </c>
      <c r="L545" s="4">
        <v>0.25111375989952489</v>
      </c>
      <c r="M545" s="3">
        <v>3</v>
      </c>
      <c r="N545" t="s">
        <v>1440</v>
      </c>
      <c r="O545" s="4">
        <v>0.1088954288833226</v>
      </c>
      <c r="P545" t="s">
        <v>1436</v>
      </c>
      <c r="Q545" t="s">
        <v>839</v>
      </c>
      <c r="R545" t="s">
        <v>1248</v>
      </c>
    </row>
    <row r="546" spans="1:18" x14ac:dyDescent="0.4">
      <c r="A546" s="2">
        <v>45905</v>
      </c>
      <c r="B546" t="s">
        <v>28</v>
      </c>
      <c r="C546" t="s">
        <v>747</v>
      </c>
      <c r="D546" s="3" t="str">
        <f t="shared" si="16"/>
        <v>PASS</v>
      </c>
      <c r="E546" s="3" t="str">
        <f t="shared" si="17"/>
        <v>PASS</v>
      </c>
      <c r="F546" t="s">
        <v>747</v>
      </c>
      <c r="G546" t="s">
        <v>747</v>
      </c>
      <c r="H546" s="3">
        <v>15236994.73</v>
      </c>
      <c r="I546" s="3">
        <v>15053649.796983</v>
      </c>
      <c r="J546" s="3">
        <v>2961.84</v>
      </c>
      <c r="K546" s="4">
        <v>761849.73650000012</v>
      </c>
      <c r="L546" s="4">
        <v>0.23852088166346291</v>
      </c>
      <c r="M546" s="3">
        <v>3</v>
      </c>
      <c r="N546" t="s">
        <v>1441</v>
      </c>
      <c r="O546" s="4">
        <v>9.1196602847614147E-2</v>
      </c>
      <c r="P546" t="s">
        <v>1436</v>
      </c>
      <c r="Q546" t="s">
        <v>849</v>
      </c>
      <c r="R546" t="s">
        <v>893</v>
      </c>
    </row>
    <row r="547" spans="1:18" x14ac:dyDescent="0.4">
      <c r="A547" s="2">
        <v>45905</v>
      </c>
      <c r="B547" t="s">
        <v>29</v>
      </c>
      <c r="C547" t="s">
        <v>747</v>
      </c>
      <c r="D547" s="3" t="str">
        <f t="shared" si="16"/>
        <v>PASS</v>
      </c>
      <c r="E547" s="3" t="str">
        <f t="shared" si="17"/>
        <v>PASS</v>
      </c>
      <c r="F547" t="s">
        <v>747</v>
      </c>
      <c r="G547" t="s">
        <v>747</v>
      </c>
      <c r="H547" s="3">
        <v>34307534.68</v>
      </c>
      <c r="I547" s="3">
        <v>33987533.69033701</v>
      </c>
      <c r="J547" s="3">
        <v>7010.19</v>
      </c>
      <c r="K547" s="4">
        <v>1715376.7339999999</v>
      </c>
      <c r="L547" s="4">
        <v>0.2224737433972907</v>
      </c>
      <c r="M547" s="3">
        <v>3</v>
      </c>
      <c r="N547" t="s">
        <v>1442</v>
      </c>
      <c r="O547" s="4">
        <v>3.8986757655796678E-2</v>
      </c>
      <c r="P547" t="s">
        <v>1436</v>
      </c>
      <c r="Q547" t="s">
        <v>1165</v>
      </c>
      <c r="R547" t="s">
        <v>1443</v>
      </c>
    </row>
    <row r="548" spans="1:18" x14ac:dyDescent="0.4">
      <c r="A548" s="2">
        <v>45905</v>
      </c>
      <c r="B548" t="s">
        <v>30</v>
      </c>
      <c r="C548" t="s">
        <v>747</v>
      </c>
      <c r="D548" s="3" t="str">
        <f t="shared" si="16"/>
        <v>PASS</v>
      </c>
      <c r="E548" s="3" t="str">
        <f t="shared" si="17"/>
        <v>PASS</v>
      </c>
      <c r="F548" t="s">
        <v>747</v>
      </c>
      <c r="G548" t="s">
        <v>747</v>
      </c>
      <c r="H548" s="3">
        <v>54959694.020000003</v>
      </c>
      <c r="I548" s="3">
        <v>52301118.169462003</v>
      </c>
      <c r="J548" s="3">
        <v>10973.4</v>
      </c>
      <c r="K548" s="4">
        <v>2747984.7009999999</v>
      </c>
      <c r="L548" s="4">
        <v>0</v>
      </c>
      <c r="M548" s="3">
        <v>0</v>
      </c>
      <c r="N548" t="s">
        <v>23</v>
      </c>
      <c r="O548" s="4">
        <v>3.4135637996443119E-2</v>
      </c>
      <c r="P548" t="s">
        <v>1444</v>
      </c>
      <c r="Q548" t="s">
        <v>869</v>
      </c>
      <c r="R548" t="s">
        <v>1445</v>
      </c>
    </row>
    <row r="549" spans="1:18" x14ac:dyDescent="0.4">
      <c r="A549" s="2">
        <v>45905</v>
      </c>
      <c r="B549" t="s">
        <v>31</v>
      </c>
      <c r="C549" t="s">
        <v>747</v>
      </c>
      <c r="D549" s="3" t="str">
        <f t="shared" si="16"/>
        <v>PASS</v>
      </c>
      <c r="E549" s="3" t="str">
        <f t="shared" si="17"/>
        <v>PASS</v>
      </c>
      <c r="F549" t="s">
        <v>747</v>
      </c>
      <c r="G549" t="s">
        <v>747</v>
      </c>
      <c r="H549" s="3">
        <v>40032541.740000002</v>
      </c>
      <c r="I549" s="3">
        <v>38551217.766433001</v>
      </c>
      <c r="J549" s="3">
        <v>7587.39</v>
      </c>
      <c r="K549" s="4">
        <v>2001627.0870000001</v>
      </c>
      <c r="L549" s="4">
        <v>0.2389131553064584</v>
      </c>
      <c r="M549" s="3">
        <v>3</v>
      </c>
      <c r="N549" t="s">
        <v>1446</v>
      </c>
      <c r="O549" s="4">
        <v>9.4171377149059335E-2</v>
      </c>
      <c r="P549" t="s">
        <v>1436</v>
      </c>
      <c r="Q549" t="s">
        <v>849</v>
      </c>
      <c r="R549" t="s">
        <v>1447</v>
      </c>
    </row>
    <row r="550" spans="1:18" x14ac:dyDescent="0.4">
      <c r="A550" s="2">
        <v>45905</v>
      </c>
      <c r="B550" t="s">
        <v>32</v>
      </c>
      <c r="C550" t="s">
        <v>747</v>
      </c>
      <c r="D550" s="3" t="str">
        <f t="shared" si="16"/>
        <v>PASS</v>
      </c>
      <c r="E550" s="3" t="str">
        <f t="shared" si="17"/>
        <v>PASS</v>
      </c>
      <c r="F550" t="s">
        <v>747</v>
      </c>
      <c r="G550" t="s">
        <v>747</v>
      </c>
      <c r="H550" s="3">
        <v>78117396.109999999</v>
      </c>
      <c r="I550" s="3">
        <v>76822817.260406002</v>
      </c>
      <c r="J550" s="3">
        <v>15314.25</v>
      </c>
      <c r="K550" s="4">
        <v>3905869.8054999998</v>
      </c>
      <c r="L550" s="4">
        <v>0.2335336251144462</v>
      </c>
      <c r="M550" s="3">
        <v>3</v>
      </c>
      <c r="N550" t="s">
        <v>1448</v>
      </c>
      <c r="O550" s="4">
        <v>7.2989509947018152E-2</v>
      </c>
      <c r="P550" t="s">
        <v>1436</v>
      </c>
      <c r="Q550" t="s">
        <v>893</v>
      </c>
      <c r="R550" t="s">
        <v>1152</v>
      </c>
    </row>
    <row r="551" spans="1:18" x14ac:dyDescent="0.4">
      <c r="A551" s="2">
        <v>45905</v>
      </c>
      <c r="B551" t="s">
        <v>33</v>
      </c>
      <c r="C551" t="s">
        <v>747</v>
      </c>
      <c r="D551" s="3" t="str">
        <f t="shared" si="16"/>
        <v>PASS</v>
      </c>
      <c r="E551" s="3" t="str">
        <f t="shared" si="17"/>
        <v>PASS</v>
      </c>
      <c r="F551" t="s">
        <v>747</v>
      </c>
      <c r="G551" t="s">
        <v>747</v>
      </c>
      <c r="H551" s="3">
        <v>165804046.66999999</v>
      </c>
      <c r="I551" s="3">
        <v>158725120.10385799</v>
      </c>
      <c r="J551" s="3">
        <v>30864.27</v>
      </c>
      <c r="K551" s="4">
        <v>8290202.3334999997</v>
      </c>
      <c r="L551" s="4">
        <v>0.24237171944054811</v>
      </c>
      <c r="M551" s="3">
        <v>3</v>
      </c>
      <c r="N551" t="s">
        <v>1449</v>
      </c>
      <c r="O551" s="4">
        <v>9.918397568781126E-2</v>
      </c>
      <c r="P551" t="s">
        <v>1436</v>
      </c>
      <c r="Q551" t="s">
        <v>1242</v>
      </c>
      <c r="R551" t="s">
        <v>871</v>
      </c>
    </row>
    <row r="552" spans="1:18" x14ac:dyDescent="0.4">
      <c r="A552" s="2">
        <v>45908</v>
      </c>
      <c r="B552" t="s">
        <v>21</v>
      </c>
      <c r="C552" t="s">
        <v>747</v>
      </c>
      <c r="D552" s="3" t="str">
        <f t="shared" si="16"/>
        <v>PASS</v>
      </c>
      <c r="E552" s="3" t="str">
        <f t="shared" si="17"/>
        <v>PASS</v>
      </c>
      <c r="F552" t="s">
        <v>747</v>
      </c>
      <c r="G552" t="s">
        <v>747</v>
      </c>
      <c r="H552" s="3">
        <v>24566256.050000001</v>
      </c>
      <c r="I552" s="3">
        <v>23495666.021464001</v>
      </c>
      <c r="J552" s="3">
        <v>1491.24</v>
      </c>
      <c r="K552" s="4">
        <v>1228312.8025</v>
      </c>
      <c r="L552" s="4">
        <v>0.24570452192156131</v>
      </c>
      <c r="M552" s="3">
        <v>3</v>
      </c>
      <c r="N552" t="s">
        <v>1450</v>
      </c>
      <c r="O552" s="4">
        <v>0.11150731661709599</v>
      </c>
      <c r="P552" t="s">
        <v>1451</v>
      </c>
      <c r="Q552" t="s">
        <v>877</v>
      </c>
      <c r="R552" t="s">
        <v>1257</v>
      </c>
    </row>
    <row r="553" spans="1:18" x14ac:dyDescent="0.4">
      <c r="A553" s="2">
        <v>45908</v>
      </c>
      <c r="B553" t="s">
        <v>24</v>
      </c>
      <c r="C553" t="s">
        <v>747</v>
      </c>
      <c r="D553" s="3" t="str">
        <f t="shared" si="16"/>
        <v>PASS</v>
      </c>
      <c r="E553" s="3" t="str">
        <f t="shared" si="17"/>
        <v>PASS</v>
      </c>
      <c r="F553" t="s">
        <v>747</v>
      </c>
      <c r="G553" t="s">
        <v>747</v>
      </c>
      <c r="H553" s="3">
        <v>134765805.72999999</v>
      </c>
      <c r="I553" s="3">
        <v>134254353.10974601</v>
      </c>
      <c r="J553" s="3">
        <v>8642.14</v>
      </c>
      <c r="K553" s="4">
        <v>6738290.2864999995</v>
      </c>
      <c r="L553" s="4">
        <v>0.2380420728233294</v>
      </c>
      <c r="M553" s="3">
        <v>3</v>
      </c>
      <c r="N553" t="s">
        <v>1452</v>
      </c>
      <c r="O553" s="4">
        <v>7.6449711066822273E-2</v>
      </c>
      <c r="P553" t="s">
        <v>1451</v>
      </c>
      <c r="Q553" t="s">
        <v>1128</v>
      </c>
      <c r="R553" t="s">
        <v>1196</v>
      </c>
    </row>
    <row r="554" spans="1:18" x14ac:dyDescent="0.4">
      <c r="A554" s="2">
        <v>45908</v>
      </c>
      <c r="B554" t="s">
        <v>25</v>
      </c>
      <c r="C554" t="s">
        <v>747</v>
      </c>
      <c r="D554" s="3" t="str">
        <f t="shared" si="16"/>
        <v>PASS</v>
      </c>
      <c r="E554" s="3" t="str">
        <f t="shared" si="17"/>
        <v>PASS</v>
      </c>
      <c r="F554" t="s">
        <v>747</v>
      </c>
      <c r="G554" t="s">
        <v>747</v>
      </c>
      <c r="H554" s="3">
        <v>100646158.56999999</v>
      </c>
      <c r="I554" s="3">
        <v>98387772.86570999</v>
      </c>
      <c r="J554" s="3">
        <v>6641.39</v>
      </c>
      <c r="K554" s="4">
        <v>5032307.9284999995</v>
      </c>
      <c r="L554" s="4">
        <v>0.22576556144144691</v>
      </c>
      <c r="M554" s="3">
        <v>3</v>
      </c>
      <c r="N554" t="s">
        <v>1453</v>
      </c>
      <c r="O554" s="4">
        <v>6.0397959565263927E-2</v>
      </c>
      <c r="P554" t="s">
        <v>1451</v>
      </c>
      <c r="Q554" t="s">
        <v>1146</v>
      </c>
      <c r="R554" t="s">
        <v>1454</v>
      </c>
    </row>
    <row r="555" spans="1:18" x14ac:dyDescent="0.4">
      <c r="A555" s="2">
        <v>45908</v>
      </c>
      <c r="B555" t="s">
        <v>26</v>
      </c>
      <c r="C555" t="s">
        <v>747</v>
      </c>
      <c r="D555" s="3" t="str">
        <f t="shared" si="16"/>
        <v>PASS</v>
      </c>
      <c r="E555" s="3" t="str">
        <f t="shared" si="17"/>
        <v>PASS</v>
      </c>
      <c r="F555" t="s">
        <v>747</v>
      </c>
      <c r="G555" t="s">
        <v>747</v>
      </c>
      <c r="H555" s="3">
        <v>23266703.879999999</v>
      </c>
      <c r="I555" s="3">
        <v>22908992.355459999</v>
      </c>
      <c r="J555" s="3">
        <v>1545.51</v>
      </c>
      <c r="K555" s="4">
        <v>1163335.1939999999</v>
      </c>
      <c r="L555" s="4">
        <v>0.22516228327498949</v>
      </c>
      <c r="M555" s="3">
        <v>3</v>
      </c>
      <c r="N555" t="s">
        <v>1455</v>
      </c>
      <c r="O555" s="4">
        <v>5.4007247951444681E-2</v>
      </c>
      <c r="P555" t="s">
        <v>1451</v>
      </c>
      <c r="Q555" t="s">
        <v>1165</v>
      </c>
      <c r="R555" t="s">
        <v>1456</v>
      </c>
    </row>
    <row r="556" spans="1:18" x14ac:dyDescent="0.4">
      <c r="A556" s="2">
        <v>45908</v>
      </c>
      <c r="B556" t="s">
        <v>27</v>
      </c>
      <c r="C556" t="s">
        <v>747</v>
      </c>
      <c r="D556" s="3" t="str">
        <f t="shared" si="16"/>
        <v>PASS</v>
      </c>
      <c r="E556" s="3" t="str">
        <f t="shared" si="17"/>
        <v>PASS</v>
      </c>
      <c r="F556" t="s">
        <v>747</v>
      </c>
      <c r="G556" t="s">
        <v>747</v>
      </c>
      <c r="H556" s="3">
        <v>43129366.549999997</v>
      </c>
      <c r="I556" s="3">
        <v>42762221.479644001</v>
      </c>
      <c r="J556" s="3">
        <v>2660.63</v>
      </c>
      <c r="K556" s="4">
        <v>2156468.3275000001</v>
      </c>
      <c r="L556" s="4">
        <v>0.2498782585706123</v>
      </c>
      <c r="M556" s="3">
        <v>3</v>
      </c>
      <c r="N556" t="s">
        <v>1457</v>
      </c>
      <c r="O556" s="4">
        <v>0.1086127113463019</v>
      </c>
      <c r="P556" t="s">
        <v>1451</v>
      </c>
      <c r="Q556" t="s">
        <v>1016</v>
      </c>
      <c r="R556" t="s">
        <v>1311</v>
      </c>
    </row>
    <row r="557" spans="1:18" x14ac:dyDescent="0.4">
      <c r="A557" s="2">
        <v>45908</v>
      </c>
      <c r="B557" t="s">
        <v>28</v>
      </c>
      <c r="C557" t="s">
        <v>747</v>
      </c>
      <c r="D557" s="3" t="str">
        <f t="shared" si="16"/>
        <v>PASS</v>
      </c>
      <c r="E557" s="3" t="str">
        <f t="shared" si="17"/>
        <v>PASS</v>
      </c>
      <c r="F557" t="s">
        <v>747</v>
      </c>
      <c r="G557" t="s">
        <v>747</v>
      </c>
      <c r="H557" s="3">
        <v>15256672.24</v>
      </c>
      <c r="I557" s="3">
        <v>15156068.001267999</v>
      </c>
      <c r="J557" s="3">
        <v>984.73</v>
      </c>
      <c r="K557" s="4">
        <v>762833.61200000008</v>
      </c>
      <c r="L557" s="4">
        <v>0.23733315158224361</v>
      </c>
      <c r="M557" s="3">
        <v>3</v>
      </c>
      <c r="N557" t="s">
        <v>1458</v>
      </c>
      <c r="O557" s="4">
        <v>9.0773188247242606E-2</v>
      </c>
      <c r="P557" t="s">
        <v>1451</v>
      </c>
      <c r="Q557" t="s">
        <v>871</v>
      </c>
      <c r="R557" t="s">
        <v>851</v>
      </c>
    </row>
    <row r="558" spans="1:18" x14ac:dyDescent="0.4">
      <c r="A558" s="2">
        <v>45908</v>
      </c>
      <c r="B558" t="s">
        <v>29</v>
      </c>
      <c r="C558" t="s">
        <v>747</v>
      </c>
      <c r="D558" s="3" t="str">
        <f t="shared" si="16"/>
        <v>PASS</v>
      </c>
      <c r="E558" s="3" t="str">
        <f t="shared" si="17"/>
        <v>PASS</v>
      </c>
      <c r="F558" t="s">
        <v>747</v>
      </c>
      <c r="G558" t="s">
        <v>747</v>
      </c>
      <c r="H558" s="3">
        <v>34350870.149999999</v>
      </c>
      <c r="I558" s="3">
        <v>34223458.817613989</v>
      </c>
      <c r="J558" s="3">
        <v>2328.3200000000002</v>
      </c>
      <c r="K558" s="4">
        <v>1717543.5075000001</v>
      </c>
      <c r="L558" s="4">
        <v>0.22131716052300909</v>
      </c>
      <c r="M558" s="3">
        <v>3</v>
      </c>
      <c r="N558" t="s">
        <v>1459</v>
      </c>
      <c r="O558" s="4">
        <v>3.8727297497993668E-2</v>
      </c>
      <c r="P558" t="s">
        <v>1451</v>
      </c>
      <c r="Q558" t="s">
        <v>1460</v>
      </c>
      <c r="R558" t="s">
        <v>1285</v>
      </c>
    </row>
    <row r="559" spans="1:18" x14ac:dyDescent="0.4">
      <c r="A559" s="2">
        <v>45908</v>
      </c>
      <c r="B559" t="s">
        <v>30</v>
      </c>
      <c r="C559" t="s">
        <v>747</v>
      </c>
      <c r="D559" s="3" t="str">
        <f t="shared" si="16"/>
        <v>PASS</v>
      </c>
      <c r="E559" s="3" t="str">
        <f t="shared" si="17"/>
        <v>PASS</v>
      </c>
      <c r="F559" t="s">
        <v>747</v>
      </c>
      <c r="G559" t="s">
        <v>747</v>
      </c>
      <c r="H559" s="3">
        <v>54867418.32</v>
      </c>
      <c r="I559" s="3">
        <v>52356449.83602</v>
      </c>
      <c r="J559" s="3">
        <v>3655.93</v>
      </c>
      <c r="K559" s="4">
        <v>2743370.9160000002</v>
      </c>
      <c r="L559" s="4">
        <v>0</v>
      </c>
      <c r="M559" s="3">
        <v>0</v>
      </c>
      <c r="N559" t="s">
        <v>23</v>
      </c>
      <c r="O559" s="4">
        <v>3.3656668247991302E-2</v>
      </c>
      <c r="P559" t="s">
        <v>1461</v>
      </c>
      <c r="Q559" t="s">
        <v>891</v>
      </c>
      <c r="R559" t="s">
        <v>1462</v>
      </c>
    </row>
    <row r="560" spans="1:18" x14ac:dyDescent="0.4">
      <c r="A560" s="2">
        <v>45908</v>
      </c>
      <c r="B560" t="s">
        <v>31</v>
      </c>
      <c r="C560" t="s">
        <v>747</v>
      </c>
      <c r="D560" s="3" t="str">
        <f t="shared" si="16"/>
        <v>PASS</v>
      </c>
      <c r="E560" s="3" t="str">
        <f t="shared" si="17"/>
        <v>PASS</v>
      </c>
      <c r="F560" t="s">
        <v>747</v>
      </c>
      <c r="G560" t="s">
        <v>747</v>
      </c>
      <c r="H560" s="3">
        <v>40081618.530000001</v>
      </c>
      <c r="I560" s="3">
        <v>38753663.287119992</v>
      </c>
      <c r="J560" s="3">
        <v>2522.66</v>
      </c>
      <c r="K560" s="4">
        <v>2004080.9265000001</v>
      </c>
      <c r="L560" s="4">
        <v>0.23764866960831491</v>
      </c>
      <c r="M560" s="3">
        <v>3</v>
      </c>
      <c r="N560" t="s">
        <v>1463</v>
      </c>
      <c r="O560" s="4">
        <v>9.3638772953014232E-2</v>
      </c>
      <c r="P560" t="s">
        <v>1451</v>
      </c>
      <c r="Q560" t="s">
        <v>893</v>
      </c>
      <c r="R560" t="s">
        <v>851</v>
      </c>
    </row>
    <row r="561" spans="1:18" x14ac:dyDescent="0.4">
      <c r="A561" s="2">
        <v>45908</v>
      </c>
      <c r="B561" t="s">
        <v>32</v>
      </c>
      <c r="C561" t="s">
        <v>747</v>
      </c>
      <c r="D561" s="3" t="str">
        <f t="shared" si="16"/>
        <v>PASS</v>
      </c>
      <c r="E561" s="3" t="str">
        <f t="shared" si="17"/>
        <v>PASS</v>
      </c>
      <c r="F561" t="s">
        <v>747</v>
      </c>
      <c r="G561" t="s">
        <v>747</v>
      </c>
      <c r="H561" s="3">
        <v>78207257.170000002</v>
      </c>
      <c r="I561" s="3">
        <v>77195842.994180009</v>
      </c>
      <c r="J561" s="3">
        <v>5089.9399999999996</v>
      </c>
      <c r="K561" s="4">
        <v>3910362.8585000001</v>
      </c>
      <c r="L561" s="4">
        <v>0.2323688355597664</v>
      </c>
      <c r="M561" s="3">
        <v>3</v>
      </c>
      <c r="N561" t="s">
        <v>1464</v>
      </c>
      <c r="O561" s="4">
        <v>7.2563704821461378E-2</v>
      </c>
      <c r="P561" t="s">
        <v>1451</v>
      </c>
      <c r="Q561" t="s">
        <v>871</v>
      </c>
      <c r="R561" t="s">
        <v>1123</v>
      </c>
    </row>
    <row r="562" spans="1:18" x14ac:dyDescent="0.4">
      <c r="A562" s="2">
        <v>45908</v>
      </c>
      <c r="B562" t="s">
        <v>33</v>
      </c>
      <c r="C562" t="s">
        <v>747</v>
      </c>
      <c r="D562" s="3" t="str">
        <f t="shared" si="16"/>
        <v>PASS</v>
      </c>
      <c r="E562" s="3" t="str">
        <f t="shared" si="17"/>
        <v>PASS</v>
      </c>
      <c r="F562" t="s">
        <v>747</v>
      </c>
      <c r="G562" t="s">
        <v>747</v>
      </c>
      <c r="H562" s="3">
        <v>165961487.19999999</v>
      </c>
      <c r="I562" s="3">
        <v>159646607.26299199</v>
      </c>
      <c r="J562" s="3">
        <v>10261.84</v>
      </c>
      <c r="K562" s="4">
        <v>8298074.3599999994</v>
      </c>
      <c r="L562" s="4">
        <v>0.24088999261426339</v>
      </c>
      <c r="M562" s="3">
        <v>3</v>
      </c>
      <c r="N562" t="s">
        <v>1465</v>
      </c>
      <c r="O562" s="4">
        <v>9.8624890383556416E-2</v>
      </c>
      <c r="P562" t="s">
        <v>1451</v>
      </c>
      <c r="Q562" t="s">
        <v>885</v>
      </c>
      <c r="R562" t="s">
        <v>912</v>
      </c>
    </row>
    <row r="563" spans="1:18" x14ac:dyDescent="0.4">
      <c r="A563" s="2">
        <v>45909</v>
      </c>
      <c r="B563" t="s">
        <v>21</v>
      </c>
      <c r="C563" t="s">
        <v>747</v>
      </c>
      <c r="D563" s="3" t="str">
        <f t="shared" si="16"/>
        <v>PASS</v>
      </c>
      <c r="E563" s="3" t="str">
        <f t="shared" si="17"/>
        <v>PASS</v>
      </c>
      <c r="F563" t="s">
        <v>747</v>
      </c>
      <c r="G563" t="s">
        <v>747</v>
      </c>
      <c r="H563" s="3">
        <v>24610112.890000001</v>
      </c>
      <c r="I563" s="3">
        <v>23378892.384484001</v>
      </c>
      <c r="J563" s="3">
        <v>1492.75</v>
      </c>
      <c r="K563" s="4">
        <v>1230505.6444999999</v>
      </c>
      <c r="L563" s="4">
        <v>0.2452228021786628</v>
      </c>
      <c r="M563" s="3">
        <v>3</v>
      </c>
      <c r="N563" t="s">
        <v>1466</v>
      </c>
      <c r="O563" s="4">
        <v>0.11101369208241769</v>
      </c>
      <c r="P563" t="s">
        <v>1467</v>
      </c>
      <c r="Q563" t="s">
        <v>899</v>
      </c>
      <c r="R563" t="s">
        <v>1242</v>
      </c>
    </row>
    <row r="564" spans="1:18" x14ac:dyDescent="0.4">
      <c r="A564" s="2">
        <v>45909</v>
      </c>
      <c r="B564" t="s">
        <v>24</v>
      </c>
      <c r="C564" t="s">
        <v>747</v>
      </c>
      <c r="D564" s="3" t="str">
        <f t="shared" si="16"/>
        <v>PASS</v>
      </c>
      <c r="E564" s="3" t="str">
        <f t="shared" si="17"/>
        <v>PASS</v>
      </c>
      <c r="F564" t="s">
        <v>747</v>
      </c>
      <c r="G564" t="s">
        <v>747</v>
      </c>
      <c r="H564" s="3">
        <v>135116079.05000001</v>
      </c>
      <c r="I564" s="3">
        <v>133668233.685966</v>
      </c>
      <c r="J564" s="3">
        <v>8651.9</v>
      </c>
      <c r="K564" s="4">
        <v>6755803.9525000006</v>
      </c>
      <c r="L564" s="4">
        <v>0.23776670292968261</v>
      </c>
      <c r="M564" s="3">
        <v>3</v>
      </c>
      <c r="N564" t="s">
        <v>1468</v>
      </c>
      <c r="O564" s="4">
        <v>7.7050750208000493E-2</v>
      </c>
      <c r="P564" t="s">
        <v>1467</v>
      </c>
      <c r="Q564" t="s">
        <v>924</v>
      </c>
      <c r="R564" t="s">
        <v>842</v>
      </c>
    </row>
    <row r="565" spans="1:18" x14ac:dyDescent="0.4">
      <c r="A565" s="2">
        <v>45909</v>
      </c>
      <c r="B565" t="s">
        <v>25</v>
      </c>
      <c r="C565" t="s">
        <v>747</v>
      </c>
      <c r="D565" s="3" t="str">
        <f t="shared" si="16"/>
        <v>PASS</v>
      </c>
      <c r="E565" s="3" t="str">
        <f t="shared" si="17"/>
        <v>PASS</v>
      </c>
      <c r="F565" t="s">
        <v>747</v>
      </c>
      <c r="G565" t="s">
        <v>747</v>
      </c>
      <c r="H565" s="3">
        <v>100879756.08</v>
      </c>
      <c r="I565" s="3">
        <v>97932059.860382006</v>
      </c>
      <c r="J565" s="3">
        <v>6646.95</v>
      </c>
      <c r="K565" s="4">
        <v>5043987.8039999995</v>
      </c>
      <c r="L565" s="4">
        <v>0.22534697929982991</v>
      </c>
      <c r="M565" s="3">
        <v>3</v>
      </c>
      <c r="N565" t="s">
        <v>1469</v>
      </c>
      <c r="O565" s="4">
        <v>6.0262603386560462E-2</v>
      </c>
      <c r="P565" t="s">
        <v>1467</v>
      </c>
      <c r="Q565" t="s">
        <v>1130</v>
      </c>
      <c r="R565" t="s">
        <v>1297</v>
      </c>
    </row>
    <row r="566" spans="1:18" x14ac:dyDescent="0.4">
      <c r="A566" s="2">
        <v>45909</v>
      </c>
      <c r="B566" t="s">
        <v>26</v>
      </c>
      <c r="C566" t="s">
        <v>747</v>
      </c>
      <c r="D566" s="3" t="str">
        <f t="shared" si="16"/>
        <v>PASS</v>
      </c>
      <c r="E566" s="3" t="str">
        <f t="shared" si="17"/>
        <v>PASS</v>
      </c>
      <c r="F566" t="s">
        <v>747</v>
      </c>
      <c r="G566" t="s">
        <v>747</v>
      </c>
      <c r="H566" s="3">
        <v>23325897.699999999</v>
      </c>
      <c r="I566" s="3">
        <v>22792354.516626</v>
      </c>
      <c r="J566" s="3">
        <v>1546.96</v>
      </c>
      <c r="K566" s="4">
        <v>1166294.885</v>
      </c>
      <c r="L566" s="4">
        <v>0.22475915437666649</v>
      </c>
      <c r="M566" s="3">
        <v>3</v>
      </c>
      <c r="N566" t="s">
        <v>1470</v>
      </c>
      <c r="O566" s="4">
        <v>5.4069638512819158E-2</v>
      </c>
      <c r="P566" t="s">
        <v>1467</v>
      </c>
      <c r="Q566" t="s">
        <v>1130</v>
      </c>
      <c r="R566" t="s">
        <v>1297</v>
      </c>
    </row>
    <row r="567" spans="1:18" x14ac:dyDescent="0.4">
      <c r="A567" s="2">
        <v>45909</v>
      </c>
      <c r="B567" t="s">
        <v>27</v>
      </c>
      <c r="C567" t="s">
        <v>747</v>
      </c>
      <c r="D567" s="3" t="str">
        <f t="shared" si="16"/>
        <v>PASS</v>
      </c>
      <c r="E567" s="3" t="str">
        <f t="shared" si="17"/>
        <v>PASS</v>
      </c>
      <c r="F567" t="s">
        <v>747</v>
      </c>
      <c r="G567" t="s">
        <v>747</v>
      </c>
      <c r="H567" s="3">
        <v>43231803.119999997</v>
      </c>
      <c r="I567" s="3">
        <v>42603177.837636001</v>
      </c>
      <c r="J567" s="3">
        <v>2663.75</v>
      </c>
      <c r="K567" s="4">
        <v>2161590.156</v>
      </c>
      <c r="L567" s="4">
        <v>0.24958682283528391</v>
      </c>
      <c r="M567" s="3">
        <v>3</v>
      </c>
      <c r="N567" t="s">
        <v>1471</v>
      </c>
      <c r="O567" s="4">
        <v>0.1090906246622452</v>
      </c>
      <c r="P567" t="s">
        <v>1467</v>
      </c>
      <c r="Q567" t="s">
        <v>1143</v>
      </c>
      <c r="R567" t="s">
        <v>1248</v>
      </c>
    </row>
    <row r="568" spans="1:18" x14ac:dyDescent="0.4">
      <c r="A568" s="2">
        <v>45909</v>
      </c>
      <c r="B568" t="s">
        <v>28</v>
      </c>
      <c r="C568" t="s">
        <v>747</v>
      </c>
      <c r="D568" s="3" t="str">
        <f t="shared" si="16"/>
        <v>PASS</v>
      </c>
      <c r="E568" s="3" t="str">
        <f t="shared" si="17"/>
        <v>PASS</v>
      </c>
      <c r="F568" t="s">
        <v>747</v>
      </c>
      <c r="G568" t="s">
        <v>747</v>
      </c>
      <c r="H568" s="3">
        <v>15291904.27</v>
      </c>
      <c r="I568" s="3">
        <v>15076045.512801999</v>
      </c>
      <c r="J568" s="3">
        <v>985.87</v>
      </c>
      <c r="K568" s="4">
        <v>764595.21350000007</v>
      </c>
      <c r="L568" s="4">
        <v>0.23696713964269711</v>
      </c>
      <c r="M568" s="3">
        <v>3</v>
      </c>
      <c r="N568" t="s">
        <v>1472</v>
      </c>
      <c r="O568" s="4">
        <v>9.0862038387714825E-2</v>
      </c>
      <c r="P568" t="s">
        <v>1467</v>
      </c>
      <c r="Q568" t="s">
        <v>912</v>
      </c>
      <c r="R568" t="s">
        <v>893</v>
      </c>
    </row>
    <row r="569" spans="1:18" x14ac:dyDescent="0.4">
      <c r="A569" s="2">
        <v>45909</v>
      </c>
      <c r="B569" t="s">
        <v>29</v>
      </c>
      <c r="C569" t="s">
        <v>747</v>
      </c>
      <c r="D569" s="3" t="str">
        <f t="shared" si="16"/>
        <v>PASS</v>
      </c>
      <c r="E569" s="3" t="str">
        <f t="shared" si="17"/>
        <v>PASS</v>
      </c>
      <c r="F569" t="s">
        <v>747</v>
      </c>
      <c r="G569" t="s">
        <v>747</v>
      </c>
      <c r="H569" s="3">
        <v>34450155.329999998</v>
      </c>
      <c r="I569" s="3">
        <v>34008487.143148012</v>
      </c>
      <c r="J569" s="3">
        <v>2331.0100000000002</v>
      </c>
      <c r="K569" s="4">
        <v>1722507.7664999999</v>
      </c>
      <c r="L569" s="4">
        <v>0.22090423743417351</v>
      </c>
      <c r="M569" s="3">
        <v>3</v>
      </c>
      <c r="N569" t="s">
        <v>1473</v>
      </c>
      <c r="O569" s="4">
        <v>3.8962012225795102E-2</v>
      </c>
      <c r="P569" t="s">
        <v>1467</v>
      </c>
      <c r="Q569" t="s">
        <v>1165</v>
      </c>
      <c r="R569" t="s">
        <v>1280</v>
      </c>
    </row>
    <row r="570" spans="1:18" x14ac:dyDescent="0.4">
      <c r="A570" s="2">
        <v>45909</v>
      </c>
      <c r="B570" t="s">
        <v>30</v>
      </c>
      <c r="C570" t="s">
        <v>747</v>
      </c>
      <c r="D570" s="3" t="str">
        <f t="shared" si="16"/>
        <v>PASS</v>
      </c>
      <c r="E570" s="3" t="str">
        <f t="shared" si="17"/>
        <v>PASS</v>
      </c>
      <c r="F570" t="s">
        <v>747</v>
      </c>
      <c r="G570" t="s">
        <v>747</v>
      </c>
      <c r="H570" s="3">
        <v>54645769.890000001</v>
      </c>
      <c r="I570" s="3">
        <v>52201352.541499987</v>
      </c>
      <c r="J570" s="3">
        <v>3651.38</v>
      </c>
      <c r="K570" s="4">
        <v>2732288.4945</v>
      </c>
      <c r="L570" s="4">
        <v>0</v>
      </c>
      <c r="M570" s="3">
        <v>0</v>
      </c>
      <c r="N570" t="s">
        <v>23</v>
      </c>
      <c r="O570" s="4">
        <v>3.3787292872194903E-2</v>
      </c>
      <c r="P570" t="s">
        <v>1474</v>
      </c>
      <c r="Q570" t="s">
        <v>1475</v>
      </c>
      <c r="R570" t="s">
        <v>1476</v>
      </c>
    </row>
    <row r="571" spans="1:18" x14ac:dyDescent="0.4">
      <c r="A571" s="2">
        <v>45909</v>
      </c>
      <c r="B571" t="s">
        <v>31</v>
      </c>
      <c r="C571" t="s">
        <v>747</v>
      </c>
      <c r="D571" s="3" t="str">
        <f t="shared" si="16"/>
        <v>PASS</v>
      </c>
      <c r="E571" s="3" t="str">
        <f t="shared" si="17"/>
        <v>PASS</v>
      </c>
      <c r="F571" t="s">
        <v>747</v>
      </c>
      <c r="G571" t="s">
        <v>747</v>
      </c>
      <c r="H571" s="3">
        <v>40161171.240000002</v>
      </c>
      <c r="I571" s="3">
        <v>38591012.682010002</v>
      </c>
      <c r="J571" s="3">
        <v>2525.63</v>
      </c>
      <c r="K571" s="4">
        <v>2008058.5619999999</v>
      </c>
      <c r="L571" s="4">
        <v>0.23725862443615289</v>
      </c>
      <c r="M571" s="3">
        <v>3</v>
      </c>
      <c r="N571" t="s">
        <v>1477</v>
      </c>
      <c r="O571" s="4">
        <v>9.3465094919129146E-2</v>
      </c>
      <c r="P571" t="s">
        <v>1467</v>
      </c>
      <c r="Q571" t="s">
        <v>912</v>
      </c>
      <c r="R571" t="s">
        <v>1447</v>
      </c>
    </row>
    <row r="572" spans="1:18" x14ac:dyDescent="0.4">
      <c r="A572" s="2">
        <v>45909</v>
      </c>
      <c r="B572" t="s">
        <v>32</v>
      </c>
      <c r="C572" t="s">
        <v>747</v>
      </c>
      <c r="D572" s="3" t="str">
        <f t="shared" si="16"/>
        <v>PASS</v>
      </c>
      <c r="E572" s="3" t="str">
        <f t="shared" si="17"/>
        <v>PASS</v>
      </c>
      <c r="F572" t="s">
        <v>747</v>
      </c>
      <c r="G572" t="s">
        <v>747</v>
      </c>
      <c r="H572" s="3">
        <v>78413558.390000001</v>
      </c>
      <c r="I572" s="3">
        <v>76929903.012567997</v>
      </c>
      <c r="J572" s="3">
        <v>5095.57</v>
      </c>
      <c r="K572" s="4">
        <v>3920677.9194999998</v>
      </c>
      <c r="L572" s="4">
        <v>0.23199135443999941</v>
      </c>
      <c r="M572" s="3">
        <v>3</v>
      </c>
      <c r="N572" t="s">
        <v>1478</v>
      </c>
      <c r="O572" s="4">
        <v>7.2828615609622477E-2</v>
      </c>
      <c r="P572" t="s">
        <v>1467</v>
      </c>
      <c r="Q572" t="s">
        <v>893</v>
      </c>
      <c r="R572" t="s">
        <v>1152</v>
      </c>
    </row>
    <row r="573" spans="1:18" x14ac:dyDescent="0.4">
      <c r="A573" s="2">
        <v>45909</v>
      </c>
      <c r="B573" t="s">
        <v>33</v>
      </c>
      <c r="C573" t="s">
        <v>747</v>
      </c>
      <c r="D573" s="3" t="str">
        <f t="shared" si="16"/>
        <v>PASS</v>
      </c>
      <c r="E573" s="3" t="str">
        <f t="shared" si="17"/>
        <v>PASS</v>
      </c>
      <c r="F573" t="s">
        <v>747</v>
      </c>
      <c r="G573" t="s">
        <v>747</v>
      </c>
      <c r="H573" s="3">
        <v>166281307.13</v>
      </c>
      <c r="I573" s="3">
        <v>158781309.61058801</v>
      </c>
      <c r="J573" s="3">
        <v>10270.99</v>
      </c>
      <c r="K573" s="4">
        <v>8314065.3564999998</v>
      </c>
      <c r="L573" s="4">
        <v>0.24060286431056949</v>
      </c>
      <c r="M573" s="3">
        <v>3</v>
      </c>
      <c r="N573" t="s">
        <v>1479</v>
      </c>
      <c r="O573" s="4">
        <v>9.8749416900785938E-2</v>
      </c>
      <c r="P573" t="s">
        <v>1467</v>
      </c>
      <c r="Q573" t="s">
        <v>1257</v>
      </c>
      <c r="R573" t="s">
        <v>871</v>
      </c>
    </row>
    <row r="574" spans="1:18" x14ac:dyDescent="0.4">
      <c r="A574" s="2">
        <v>45910</v>
      </c>
      <c r="B574" t="s">
        <v>21</v>
      </c>
      <c r="C574" t="s">
        <v>747</v>
      </c>
      <c r="D574" s="3" t="str">
        <f t="shared" si="16"/>
        <v>PASS</v>
      </c>
      <c r="E574" s="3" t="str">
        <f t="shared" si="17"/>
        <v>PASS</v>
      </c>
      <c r="F574" t="s">
        <v>747</v>
      </c>
      <c r="G574" t="s">
        <v>747</v>
      </c>
      <c r="H574" s="3">
        <v>24626609.82</v>
      </c>
      <c r="I574" s="3">
        <v>23493904.354207002</v>
      </c>
      <c r="J574" s="3">
        <v>1495.83</v>
      </c>
      <c r="K574" s="4">
        <v>1231330.4909999999</v>
      </c>
      <c r="L574" s="4">
        <v>0.24550763355568109</v>
      </c>
      <c r="M574" s="3">
        <v>3</v>
      </c>
      <c r="N574" t="s">
        <v>1480</v>
      </c>
      <c r="O574" s="4">
        <v>0.11087664173691771</v>
      </c>
      <c r="P574" t="s">
        <v>1481</v>
      </c>
      <c r="Q574" t="s">
        <v>1016</v>
      </c>
      <c r="R574" t="s">
        <v>1292</v>
      </c>
    </row>
    <row r="575" spans="1:18" x14ac:dyDescent="0.4">
      <c r="A575" s="2">
        <v>45910</v>
      </c>
      <c r="B575" t="s">
        <v>24</v>
      </c>
      <c r="C575" t="s">
        <v>747</v>
      </c>
      <c r="D575" s="3" t="str">
        <f t="shared" si="16"/>
        <v>PASS</v>
      </c>
      <c r="E575" s="3" t="str">
        <f t="shared" si="17"/>
        <v>PASS</v>
      </c>
      <c r="F575" t="s">
        <v>747</v>
      </c>
      <c r="G575" t="s">
        <v>747</v>
      </c>
      <c r="H575" s="3">
        <v>135226364.96000001</v>
      </c>
      <c r="I575" s="3">
        <v>134522146.22891301</v>
      </c>
      <c r="J575" s="3">
        <v>8676.7099999999991</v>
      </c>
      <c r="K575" s="4">
        <v>6761318.2480000006</v>
      </c>
      <c r="L575" s="4">
        <v>0.2384536211048221</v>
      </c>
      <c r="M575" s="3">
        <v>3</v>
      </c>
      <c r="N575" t="s">
        <v>1482</v>
      </c>
      <c r="O575" s="4">
        <v>7.7358073346180098E-2</v>
      </c>
      <c r="P575" t="s">
        <v>1481</v>
      </c>
      <c r="Q575" t="s">
        <v>833</v>
      </c>
      <c r="R575" t="s">
        <v>924</v>
      </c>
    </row>
    <row r="576" spans="1:18" x14ac:dyDescent="0.4">
      <c r="A576" s="2">
        <v>45910</v>
      </c>
      <c r="B576" t="s">
        <v>25</v>
      </c>
      <c r="C576" t="s">
        <v>747</v>
      </c>
      <c r="D576" s="3" t="str">
        <f t="shared" si="16"/>
        <v>PASS</v>
      </c>
      <c r="E576" s="3" t="str">
        <f t="shared" si="17"/>
        <v>PASS</v>
      </c>
      <c r="F576" t="s">
        <v>747</v>
      </c>
      <c r="G576" t="s">
        <v>747</v>
      </c>
      <c r="H576" s="3">
        <v>100942546.63</v>
      </c>
      <c r="I576" s="3">
        <v>98536409.443558007</v>
      </c>
      <c r="J576" s="3">
        <v>6663.43</v>
      </c>
      <c r="K576" s="4">
        <v>5047127.3315000003</v>
      </c>
      <c r="L576" s="4">
        <v>0.22601782666133841</v>
      </c>
      <c r="M576" s="3">
        <v>3</v>
      </c>
      <c r="N576" t="s">
        <v>1483</v>
      </c>
      <c r="O576" s="4">
        <v>6.038623362555838E-2</v>
      </c>
      <c r="P576" t="s">
        <v>1481</v>
      </c>
      <c r="Q576" t="s">
        <v>881</v>
      </c>
      <c r="R576" t="s">
        <v>1313</v>
      </c>
    </row>
    <row r="577" spans="1:18" x14ac:dyDescent="0.4">
      <c r="A577" s="2">
        <v>45910</v>
      </c>
      <c r="B577" t="s">
        <v>26</v>
      </c>
      <c r="C577" t="s">
        <v>747</v>
      </c>
      <c r="D577" s="3" t="str">
        <f t="shared" si="16"/>
        <v>PASS</v>
      </c>
      <c r="E577" s="3" t="str">
        <f t="shared" si="17"/>
        <v>PASS</v>
      </c>
      <c r="F577" t="s">
        <v>747</v>
      </c>
      <c r="G577" t="s">
        <v>747</v>
      </c>
      <c r="H577" s="3">
        <v>23344068.539999999</v>
      </c>
      <c r="I577" s="3">
        <v>22935161.254976001</v>
      </c>
      <c r="J577" s="3">
        <v>1551.15</v>
      </c>
      <c r="K577" s="4">
        <v>1167203.4269999999</v>
      </c>
      <c r="L577" s="4">
        <v>0.22543696651240189</v>
      </c>
      <c r="M577" s="3">
        <v>3</v>
      </c>
      <c r="N577" t="s">
        <v>1484</v>
      </c>
      <c r="O577" s="4">
        <v>5.4187927558920712E-2</v>
      </c>
      <c r="P577" t="s">
        <v>1481</v>
      </c>
      <c r="Q577" t="s">
        <v>881</v>
      </c>
      <c r="R577" t="s">
        <v>1327</v>
      </c>
    </row>
    <row r="578" spans="1:18" x14ac:dyDescent="0.4">
      <c r="A578" s="2">
        <v>45910</v>
      </c>
      <c r="B578" t="s">
        <v>27</v>
      </c>
      <c r="C578" t="s">
        <v>747</v>
      </c>
      <c r="D578" s="3" t="str">
        <f t="shared" ref="D578:D641" si="18">IF(I578/H578&gt;=0.5,"PASS","FAIL")</f>
        <v>PASS</v>
      </c>
      <c r="E578" s="3" t="str">
        <f t="shared" ref="E578:E641" si="19">IF(L578&lt;=0.5,"PASS","FAIL")</f>
        <v>PASS</v>
      </c>
      <c r="F578" t="s">
        <v>747</v>
      </c>
      <c r="G578" t="s">
        <v>747</v>
      </c>
      <c r="H578" s="3">
        <v>43279245.32</v>
      </c>
      <c r="I578" s="3">
        <v>42832041.306038</v>
      </c>
      <c r="J578" s="3">
        <v>2670.99</v>
      </c>
      <c r="K578" s="4">
        <v>2163962.2659999998</v>
      </c>
      <c r="L578" s="4">
        <v>0.2499110393095976</v>
      </c>
      <c r="M578" s="3">
        <v>3</v>
      </c>
      <c r="N578" t="s">
        <v>1485</v>
      </c>
      <c r="O578" s="4">
        <v>0.1093155867450325</v>
      </c>
      <c r="P578" t="s">
        <v>1481</v>
      </c>
      <c r="Q578" t="s">
        <v>815</v>
      </c>
      <c r="R578" t="s">
        <v>1207</v>
      </c>
    </row>
    <row r="579" spans="1:18" x14ac:dyDescent="0.4">
      <c r="A579" s="2">
        <v>45910</v>
      </c>
      <c r="B579" t="s">
        <v>28</v>
      </c>
      <c r="C579" t="s">
        <v>747</v>
      </c>
      <c r="D579" s="3" t="str">
        <f t="shared" si="18"/>
        <v>PASS</v>
      </c>
      <c r="E579" s="3" t="str">
        <f t="shared" si="19"/>
        <v>PASS</v>
      </c>
      <c r="F579" t="s">
        <v>747</v>
      </c>
      <c r="G579" t="s">
        <v>747</v>
      </c>
      <c r="H579" s="3">
        <v>15301579.01</v>
      </c>
      <c r="I579" s="3">
        <v>15157217.953042001</v>
      </c>
      <c r="J579" s="3">
        <v>988.36</v>
      </c>
      <c r="K579" s="4">
        <v>765078.95050000004</v>
      </c>
      <c r="L579" s="4">
        <v>0.23742544363685961</v>
      </c>
      <c r="M579" s="3">
        <v>3</v>
      </c>
      <c r="N579" t="s">
        <v>1486</v>
      </c>
      <c r="O579" s="4">
        <v>9.1062724450291871E-2</v>
      </c>
      <c r="P579" t="s">
        <v>1481</v>
      </c>
      <c r="Q579" t="s">
        <v>842</v>
      </c>
      <c r="R579" t="s">
        <v>1447</v>
      </c>
    </row>
    <row r="580" spans="1:18" x14ac:dyDescent="0.4">
      <c r="A580" s="2">
        <v>45910</v>
      </c>
      <c r="B580" t="s">
        <v>29</v>
      </c>
      <c r="C580" t="s">
        <v>747</v>
      </c>
      <c r="D580" s="3" t="str">
        <f t="shared" si="18"/>
        <v>PASS</v>
      </c>
      <c r="E580" s="3" t="str">
        <f t="shared" si="19"/>
        <v>PASS</v>
      </c>
      <c r="F580" t="s">
        <v>747</v>
      </c>
      <c r="G580" t="s">
        <v>747</v>
      </c>
      <c r="H580" s="3">
        <v>34555943.159999996</v>
      </c>
      <c r="I580" s="3">
        <v>34228432.680566996</v>
      </c>
      <c r="J580" s="3">
        <v>2338.0500000000002</v>
      </c>
      <c r="K580" s="4">
        <v>1727797.1580000001</v>
      </c>
      <c r="L580" s="4">
        <v>0.22156317682983359</v>
      </c>
      <c r="M580" s="3">
        <v>3</v>
      </c>
      <c r="N580" t="s">
        <v>1487</v>
      </c>
      <c r="O580" s="4">
        <v>3.9012208821071578E-2</v>
      </c>
      <c r="P580" t="s">
        <v>1481</v>
      </c>
      <c r="Q580" t="s">
        <v>844</v>
      </c>
      <c r="R580" t="s">
        <v>1115</v>
      </c>
    </row>
    <row r="581" spans="1:18" x14ac:dyDescent="0.4">
      <c r="A581" s="2">
        <v>45910</v>
      </c>
      <c r="B581" t="s">
        <v>30</v>
      </c>
      <c r="C581" t="s">
        <v>747</v>
      </c>
      <c r="D581" s="3" t="str">
        <f t="shared" si="18"/>
        <v>PASS</v>
      </c>
      <c r="E581" s="3" t="str">
        <f t="shared" si="19"/>
        <v>PASS</v>
      </c>
      <c r="F581" t="s">
        <v>747</v>
      </c>
      <c r="G581" t="s">
        <v>747</v>
      </c>
      <c r="H581" s="3">
        <v>54407054.549999997</v>
      </c>
      <c r="I581" s="3">
        <v>52016532.534668997</v>
      </c>
      <c r="J581" s="3">
        <v>3635.03</v>
      </c>
      <c r="K581" s="4">
        <v>2720352.7275</v>
      </c>
      <c r="L581" s="4">
        <v>0</v>
      </c>
      <c r="M581" s="3">
        <v>0</v>
      </c>
      <c r="N581" t="s">
        <v>23</v>
      </c>
      <c r="O581" s="4">
        <v>3.4057505042220673E-2</v>
      </c>
      <c r="P581" t="s">
        <v>1488</v>
      </c>
      <c r="Q581" t="s">
        <v>891</v>
      </c>
      <c r="R581" t="s">
        <v>1489</v>
      </c>
    </row>
    <row r="582" spans="1:18" x14ac:dyDescent="0.4">
      <c r="A582" s="2">
        <v>45910</v>
      </c>
      <c r="B582" t="s">
        <v>31</v>
      </c>
      <c r="C582" t="s">
        <v>747</v>
      </c>
      <c r="D582" s="3" t="str">
        <f t="shared" si="18"/>
        <v>PASS</v>
      </c>
      <c r="E582" s="3" t="str">
        <f t="shared" si="19"/>
        <v>PASS</v>
      </c>
      <c r="F582" t="s">
        <v>747</v>
      </c>
      <c r="G582" t="s">
        <v>747</v>
      </c>
      <c r="H582" s="3">
        <v>40190436.909999996</v>
      </c>
      <c r="I582" s="3">
        <v>38789486.770421997</v>
      </c>
      <c r="J582" s="3">
        <v>2531.2199999999998</v>
      </c>
      <c r="K582" s="4">
        <v>2009521.8455000001</v>
      </c>
      <c r="L582" s="4">
        <v>0.2376054762947519</v>
      </c>
      <c r="M582" s="3">
        <v>3</v>
      </c>
      <c r="N582" t="s">
        <v>1490</v>
      </c>
      <c r="O582" s="4">
        <v>9.3440972757566368E-2</v>
      </c>
      <c r="P582" t="s">
        <v>1481</v>
      </c>
      <c r="Q582" t="s">
        <v>842</v>
      </c>
      <c r="R582" t="s">
        <v>1423</v>
      </c>
    </row>
    <row r="583" spans="1:18" x14ac:dyDescent="0.4">
      <c r="A583" s="2">
        <v>45910</v>
      </c>
      <c r="B583" t="s">
        <v>32</v>
      </c>
      <c r="C583" t="s">
        <v>747</v>
      </c>
      <c r="D583" s="3" t="str">
        <f t="shared" si="18"/>
        <v>PASS</v>
      </c>
      <c r="E583" s="3" t="str">
        <f t="shared" si="19"/>
        <v>PASS</v>
      </c>
      <c r="F583" t="s">
        <v>747</v>
      </c>
      <c r="G583" t="s">
        <v>747</v>
      </c>
      <c r="H583" s="3">
        <v>78505763.659999996</v>
      </c>
      <c r="I583" s="3">
        <v>77354942.094302014</v>
      </c>
      <c r="J583" s="3">
        <v>5110.18</v>
      </c>
      <c r="K583" s="4">
        <v>3925288.1830000002</v>
      </c>
      <c r="L583" s="4">
        <v>0.23235296785420159</v>
      </c>
      <c r="M583" s="3">
        <v>3</v>
      </c>
      <c r="N583" t="s">
        <v>1491</v>
      </c>
      <c r="O583" s="4">
        <v>7.3033741689762691E-2</v>
      </c>
      <c r="P583" t="s">
        <v>1481</v>
      </c>
      <c r="Q583" t="s">
        <v>851</v>
      </c>
      <c r="R583" t="s">
        <v>1447</v>
      </c>
    </row>
    <row r="584" spans="1:18" x14ac:dyDescent="0.4">
      <c r="A584" s="2">
        <v>45910</v>
      </c>
      <c r="B584" t="s">
        <v>33</v>
      </c>
      <c r="C584" t="s">
        <v>747</v>
      </c>
      <c r="D584" s="3" t="str">
        <f t="shared" si="18"/>
        <v>PASS</v>
      </c>
      <c r="E584" s="3" t="str">
        <f t="shared" si="19"/>
        <v>PASS</v>
      </c>
      <c r="F584" t="s">
        <v>747</v>
      </c>
      <c r="G584" t="s">
        <v>747</v>
      </c>
      <c r="H584" s="3">
        <v>166363595.44</v>
      </c>
      <c r="I584" s="3">
        <v>159740347.377886</v>
      </c>
      <c r="J584" s="3">
        <v>10293.459999999999</v>
      </c>
      <c r="K584" s="4">
        <v>8318179.7719999999</v>
      </c>
      <c r="L584" s="4">
        <v>0.24125774470447869</v>
      </c>
      <c r="M584" s="3">
        <v>3</v>
      </c>
      <c r="N584" t="s">
        <v>1492</v>
      </c>
      <c r="O584" s="4">
        <v>9.8937361231906315E-2</v>
      </c>
      <c r="P584" t="s">
        <v>1481</v>
      </c>
      <c r="Q584" t="s">
        <v>1292</v>
      </c>
      <c r="R584" t="s">
        <v>893</v>
      </c>
    </row>
    <row r="585" spans="1:18" x14ac:dyDescent="0.4">
      <c r="A585" s="2">
        <v>45911</v>
      </c>
      <c r="B585" t="s">
        <v>21</v>
      </c>
      <c r="C585" t="s">
        <v>747</v>
      </c>
      <c r="D585" s="3" t="str">
        <f t="shared" si="18"/>
        <v>PASS</v>
      </c>
      <c r="E585" s="3" t="str">
        <f t="shared" si="19"/>
        <v>PASS</v>
      </c>
      <c r="F585" t="s">
        <v>747</v>
      </c>
      <c r="G585" t="s">
        <v>747</v>
      </c>
      <c r="H585" s="3">
        <v>24707809.949999999</v>
      </c>
      <c r="I585" s="3">
        <v>23628643.008515999</v>
      </c>
      <c r="J585" s="3">
        <v>1500.28</v>
      </c>
      <c r="K585" s="4">
        <v>1235390.4975000001</v>
      </c>
      <c r="L585" s="4">
        <v>0.24561816341594711</v>
      </c>
      <c r="M585" s="3">
        <v>3</v>
      </c>
      <c r="N585" t="s">
        <v>1493</v>
      </c>
      <c r="O585" s="4">
        <v>0.1109054057830812</v>
      </c>
      <c r="P585" t="s">
        <v>1494</v>
      </c>
      <c r="Q585" t="s">
        <v>1143</v>
      </c>
      <c r="R585" t="s">
        <v>924</v>
      </c>
    </row>
    <row r="586" spans="1:18" x14ac:dyDescent="0.4">
      <c r="A586" s="2">
        <v>45911</v>
      </c>
      <c r="B586" t="s">
        <v>24</v>
      </c>
      <c r="C586" t="s">
        <v>747</v>
      </c>
      <c r="D586" s="3" t="str">
        <f t="shared" si="18"/>
        <v>PASS</v>
      </c>
      <c r="E586" s="3" t="str">
        <f t="shared" si="19"/>
        <v>PASS</v>
      </c>
      <c r="F586" t="s">
        <v>747</v>
      </c>
      <c r="G586" t="s">
        <v>747</v>
      </c>
      <c r="H586" s="3">
        <v>135833799.66</v>
      </c>
      <c r="I586" s="3">
        <v>135364781.93112499</v>
      </c>
      <c r="J586" s="3">
        <v>8703.57</v>
      </c>
      <c r="K586" s="4">
        <v>6791689.983</v>
      </c>
      <c r="L586" s="4">
        <v>0.23843542162836781</v>
      </c>
      <c r="M586" s="3">
        <v>3</v>
      </c>
      <c r="N586" t="s">
        <v>1495</v>
      </c>
      <c r="O586" s="4">
        <v>7.7716850500749668E-2</v>
      </c>
      <c r="P586" t="s">
        <v>1494</v>
      </c>
      <c r="Q586" t="s">
        <v>899</v>
      </c>
      <c r="R586" t="s">
        <v>1223</v>
      </c>
    </row>
    <row r="587" spans="1:18" x14ac:dyDescent="0.4">
      <c r="A587" s="2">
        <v>45911</v>
      </c>
      <c r="B587" t="s">
        <v>25</v>
      </c>
      <c r="C587" t="s">
        <v>747</v>
      </c>
      <c r="D587" s="3" t="str">
        <f t="shared" si="18"/>
        <v>PASS</v>
      </c>
      <c r="E587" s="3" t="str">
        <f t="shared" si="19"/>
        <v>PASS</v>
      </c>
      <c r="F587" t="s">
        <v>747</v>
      </c>
      <c r="G587" t="s">
        <v>747</v>
      </c>
      <c r="H587" s="3">
        <v>101334668.13</v>
      </c>
      <c r="I587" s="3">
        <v>99084759.719935983</v>
      </c>
      <c r="J587" s="3">
        <v>6682.48</v>
      </c>
      <c r="K587" s="4">
        <v>5066733.4065000014</v>
      </c>
      <c r="L587" s="4">
        <v>0.2259525140695581</v>
      </c>
      <c r="M587" s="3">
        <v>3</v>
      </c>
      <c r="N587" t="s">
        <v>1496</v>
      </c>
      <c r="O587" s="4">
        <v>6.0071441316872053E-2</v>
      </c>
      <c r="P587" t="s">
        <v>1494</v>
      </c>
      <c r="Q587" t="s">
        <v>951</v>
      </c>
      <c r="R587" t="s">
        <v>1115</v>
      </c>
    </row>
    <row r="588" spans="1:18" x14ac:dyDescent="0.4">
      <c r="A588" s="2">
        <v>45911</v>
      </c>
      <c r="B588" t="s">
        <v>26</v>
      </c>
      <c r="C588" t="s">
        <v>747</v>
      </c>
      <c r="D588" s="3" t="str">
        <f t="shared" si="18"/>
        <v>PASS</v>
      </c>
      <c r="E588" s="3" t="str">
        <f t="shared" si="19"/>
        <v>PASS</v>
      </c>
      <c r="F588" t="s">
        <v>747</v>
      </c>
      <c r="G588" t="s">
        <v>747</v>
      </c>
      <c r="H588" s="3">
        <v>23442746.07</v>
      </c>
      <c r="I588" s="3">
        <v>23078113.135770999</v>
      </c>
      <c r="J588" s="3">
        <v>1555.73</v>
      </c>
      <c r="K588" s="4">
        <v>1172137.3034999999</v>
      </c>
      <c r="L588" s="4">
        <v>0.22549806498477831</v>
      </c>
      <c r="M588" s="3">
        <v>3</v>
      </c>
      <c r="N588" t="s">
        <v>1497</v>
      </c>
      <c r="O588" s="4">
        <v>5.4492275433796887E-2</v>
      </c>
      <c r="P588" t="s">
        <v>1494</v>
      </c>
      <c r="Q588" t="s">
        <v>951</v>
      </c>
      <c r="R588" t="s">
        <v>1115</v>
      </c>
    </row>
    <row r="589" spans="1:18" x14ac:dyDescent="0.4">
      <c r="A589" s="2">
        <v>45911</v>
      </c>
      <c r="B589" t="s">
        <v>27</v>
      </c>
      <c r="C589" t="s">
        <v>747</v>
      </c>
      <c r="D589" s="3" t="str">
        <f t="shared" si="18"/>
        <v>PASS</v>
      </c>
      <c r="E589" s="3" t="str">
        <f t="shared" si="19"/>
        <v>PASS</v>
      </c>
      <c r="F589" t="s">
        <v>747</v>
      </c>
      <c r="G589" t="s">
        <v>747</v>
      </c>
      <c r="H589" s="3">
        <v>43455337.729999997</v>
      </c>
      <c r="I589" s="3">
        <v>43106280.978653997</v>
      </c>
      <c r="J589" s="3">
        <v>2680.24</v>
      </c>
      <c r="K589" s="4">
        <v>2172766.8865</v>
      </c>
      <c r="L589" s="4">
        <v>0.25003616833933812</v>
      </c>
      <c r="M589" s="3">
        <v>3</v>
      </c>
      <c r="N589" t="s">
        <v>1498</v>
      </c>
      <c r="O589" s="4">
        <v>0.1099035892512899</v>
      </c>
      <c r="P589" t="s">
        <v>1494</v>
      </c>
      <c r="Q589" t="s">
        <v>904</v>
      </c>
      <c r="R589" t="s">
        <v>863</v>
      </c>
    </row>
    <row r="590" spans="1:18" x14ac:dyDescent="0.4">
      <c r="A590" s="2">
        <v>45911</v>
      </c>
      <c r="B590" t="s">
        <v>28</v>
      </c>
      <c r="C590" t="s">
        <v>747</v>
      </c>
      <c r="D590" s="3" t="str">
        <f t="shared" si="18"/>
        <v>PASS</v>
      </c>
      <c r="E590" s="3" t="str">
        <f t="shared" si="19"/>
        <v>PASS</v>
      </c>
      <c r="F590" t="s">
        <v>747</v>
      </c>
      <c r="G590" t="s">
        <v>747</v>
      </c>
      <c r="H590" s="3">
        <v>15363529.32</v>
      </c>
      <c r="I590" s="3">
        <v>15249167.382222001</v>
      </c>
      <c r="J590" s="3">
        <v>991.21</v>
      </c>
      <c r="K590" s="4">
        <v>768176.46600000001</v>
      </c>
      <c r="L590" s="4">
        <v>0.2374771285786571</v>
      </c>
      <c r="M590" s="3">
        <v>3</v>
      </c>
      <c r="N590" t="s">
        <v>1499</v>
      </c>
      <c r="O590" s="4">
        <v>9.128549716739176E-2</v>
      </c>
      <c r="P590" t="s">
        <v>1494</v>
      </c>
      <c r="Q590" t="s">
        <v>865</v>
      </c>
      <c r="R590" t="s">
        <v>1228</v>
      </c>
    </row>
    <row r="591" spans="1:18" x14ac:dyDescent="0.4">
      <c r="A591" s="2">
        <v>45911</v>
      </c>
      <c r="B591" t="s">
        <v>29</v>
      </c>
      <c r="C591" t="s">
        <v>747</v>
      </c>
      <c r="D591" s="3" t="str">
        <f t="shared" si="18"/>
        <v>PASS</v>
      </c>
      <c r="E591" s="3" t="str">
        <f t="shared" si="19"/>
        <v>PASS</v>
      </c>
      <c r="F591" t="s">
        <v>747</v>
      </c>
      <c r="G591" t="s">
        <v>747</v>
      </c>
      <c r="H591" s="3">
        <v>34650539.539999999</v>
      </c>
      <c r="I591" s="3">
        <v>34434557.812298991</v>
      </c>
      <c r="J591" s="3">
        <v>2345.56</v>
      </c>
      <c r="K591" s="4">
        <v>1732526.977</v>
      </c>
      <c r="L591" s="4">
        <v>0.22144009842851109</v>
      </c>
      <c r="M591" s="3">
        <v>3</v>
      </c>
      <c r="N591" t="s">
        <v>1500</v>
      </c>
      <c r="O591" s="4">
        <v>3.914205493779737E-2</v>
      </c>
      <c r="P591" t="s">
        <v>1494</v>
      </c>
      <c r="Q591" t="s">
        <v>881</v>
      </c>
      <c r="R591" t="s">
        <v>1297</v>
      </c>
    </row>
    <row r="592" spans="1:18" x14ac:dyDescent="0.4">
      <c r="A592" s="2">
        <v>45911</v>
      </c>
      <c r="B592" t="s">
        <v>30</v>
      </c>
      <c r="C592" t="s">
        <v>747</v>
      </c>
      <c r="D592" s="3" t="str">
        <f t="shared" si="18"/>
        <v>PASS</v>
      </c>
      <c r="E592" s="3" t="str">
        <f t="shared" si="19"/>
        <v>PASS</v>
      </c>
      <c r="F592" t="s">
        <v>747</v>
      </c>
      <c r="G592" t="s">
        <v>747</v>
      </c>
      <c r="H592" s="3">
        <v>54853468.310000002</v>
      </c>
      <c r="I592" s="3">
        <v>52756009.656719998</v>
      </c>
      <c r="J592" s="3">
        <v>3625.58</v>
      </c>
      <c r="K592" s="4">
        <v>2742673.4155000001</v>
      </c>
      <c r="L592" s="4">
        <v>0</v>
      </c>
      <c r="M592" s="3">
        <v>0</v>
      </c>
      <c r="N592" t="s">
        <v>23</v>
      </c>
      <c r="O592" s="4">
        <v>3.3608079370688021E-2</v>
      </c>
      <c r="P592" t="s">
        <v>1501</v>
      </c>
      <c r="Q592" t="s">
        <v>1502</v>
      </c>
      <c r="R592" t="s">
        <v>823</v>
      </c>
    </row>
    <row r="593" spans="1:18" x14ac:dyDescent="0.4">
      <c r="A593" s="2">
        <v>45911</v>
      </c>
      <c r="B593" t="s">
        <v>31</v>
      </c>
      <c r="C593" t="s">
        <v>747</v>
      </c>
      <c r="D593" s="3" t="str">
        <f t="shared" si="18"/>
        <v>PASS</v>
      </c>
      <c r="E593" s="3" t="str">
        <f t="shared" si="19"/>
        <v>PASS</v>
      </c>
      <c r="F593" t="s">
        <v>747</v>
      </c>
      <c r="G593" t="s">
        <v>747</v>
      </c>
      <c r="H593" s="3">
        <v>40333590.549999997</v>
      </c>
      <c r="I593" s="3">
        <v>39014837.950416997</v>
      </c>
      <c r="J593" s="3">
        <v>2538.85</v>
      </c>
      <c r="K593" s="4">
        <v>2016679.5275000001</v>
      </c>
      <c r="L593" s="4">
        <v>0.23768325769567281</v>
      </c>
      <c r="M593" s="3">
        <v>3</v>
      </c>
      <c r="N593" t="s">
        <v>1503</v>
      </c>
      <c r="O593" s="4">
        <v>9.3466832211321696E-2</v>
      </c>
      <c r="P593" t="s">
        <v>1494</v>
      </c>
      <c r="Q593" t="s">
        <v>885</v>
      </c>
      <c r="R593" t="s">
        <v>1238</v>
      </c>
    </row>
    <row r="594" spans="1:18" x14ac:dyDescent="0.4">
      <c r="A594" s="2">
        <v>45911</v>
      </c>
      <c r="B594" t="s">
        <v>32</v>
      </c>
      <c r="C594" t="s">
        <v>747</v>
      </c>
      <c r="D594" s="3" t="str">
        <f t="shared" si="18"/>
        <v>PASS</v>
      </c>
      <c r="E594" s="3" t="str">
        <f t="shared" si="19"/>
        <v>PASS</v>
      </c>
      <c r="F594" t="s">
        <v>747</v>
      </c>
      <c r="G594" t="s">
        <v>747</v>
      </c>
      <c r="H594" s="3">
        <v>78847647.140000001</v>
      </c>
      <c r="I594" s="3">
        <v>77845699.143070012</v>
      </c>
      <c r="J594" s="3">
        <v>5127.97</v>
      </c>
      <c r="K594" s="4">
        <v>3942382.3569999998</v>
      </c>
      <c r="L594" s="4">
        <v>0.23241063211279969</v>
      </c>
      <c r="M594" s="3">
        <v>3</v>
      </c>
      <c r="N594" t="s">
        <v>1504</v>
      </c>
      <c r="O594" s="4">
        <v>7.3471606867151984E-2</v>
      </c>
      <c r="P594" t="s">
        <v>1494</v>
      </c>
      <c r="Q594" t="s">
        <v>849</v>
      </c>
      <c r="R594" t="s">
        <v>1228</v>
      </c>
    </row>
    <row r="595" spans="1:18" x14ac:dyDescent="0.4">
      <c r="A595" s="2">
        <v>45911</v>
      </c>
      <c r="B595" t="s">
        <v>33</v>
      </c>
      <c r="C595" t="s">
        <v>747</v>
      </c>
      <c r="D595" s="3" t="str">
        <f t="shared" si="18"/>
        <v>PASS</v>
      </c>
      <c r="E595" s="3" t="str">
        <f t="shared" si="19"/>
        <v>PASS</v>
      </c>
      <c r="F595" t="s">
        <v>747</v>
      </c>
      <c r="G595" t="s">
        <v>747</v>
      </c>
      <c r="H595" s="3">
        <v>166925460.13999999</v>
      </c>
      <c r="I595" s="3">
        <v>160748871.65413201</v>
      </c>
      <c r="J595" s="3">
        <v>10321.85</v>
      </c>
      <c r="K595" s="4">
        <v>8346273.0069999993</v>
      </c>
      <c r="L595" s="4">
        <v>0.24154137938329839</v>
      </c>
      <c r="M595" s="3">
        <v>3</v>
      </c>
      <c r="N595" t="s">
        <v>1505</v>
      </c>
      <c r="O595" s="4">
        <v>9.9478166123999651E-2</v>
      </c>
      <c r="P595" t="s">
        <v>1494</v>
      </c>
      <c r="Q595" t="s">
        <v>924</v>
      </c>
      <c r="R595" t="s">
        <v>1257</v>
      </c>
    </row>
    <row r="596" spans="1:18" x14ac:dyDescent="0.4">
      <c r="A596" s="2">
        <v>45912</v>
      </c>
      <c r="B596" t="s">
        <v>21</v>
      </c>
      <c r="C596" t="s">
        <v>747</v>
      </c>
      <c r="D596" s="3" t="str">
        <f t="shared" si="18"/>
        <v>PASS</v>
      </c>
      <c r="E596" s="3" t="str">
        <f t="shared" si="19"/>
        <v>PASS</v>
      </c>
      <c r="F596" t="s">
        <v>747</v>
      </c>
      <c r="G596" t="s">
        <v>747</v>
      </c>
      <c r="H596" s="3">
        <v>24712942.559999999</v>
      </c>
      <c r="I596" s="3">
        <v>23630875.015884999</v>
      </c>
      <c r="J596" s="3">
        <v>4518.18</v>
      </c>
      <c r="K596" s="4">
        <v>1235647.128</v>
      </c>
      <c r="L596" s="4">
        <v>0.24814009931576531</v>
      </c>
      <c r="M596" s="3">
        <v>3</v>
      </c>
      <c r="N596" t="s">
        <v>1506</v>
      </c>
      <c r="O596" s="4">
        <v>0.11099616645105009</v>
      </c>
      <c r="P596" t="s">
        <v>1507</v>
      </c>
      <c r="Q596" t="s">
        <v>839</v>
      </c>
      <c r="R596" t="s">
        <v>865</v>
      </c>
    </row>
    <row r="597" spans="1:18" x14ac:dyDescent="0.4">
      <c r="A597" s="2">
        <v>45912</v>
      </c>
      <c r="B597" t="s">
        <v>24</v>
      </c>
      <c r="C597" t="s">
        <v>747</v>
      </c>
      <c r="D597" s="3" t="str">
        <f t="shared" si="18"/>
        <v>PASS</v>
      </c>
      <c r="E597" s="3" t="str">
        <f t="shared" si="19"/>
        <v>PASS</v>
      </c>
      <c r="F597" t="s">
        <v>747</v>
      </c>
      <c r="G597" t="s">
        <v>747</v>
      </c>
      <c r="H597" s="3">
        <v>135849423.94</v>
      </c>
      <c r="I597" s="3">
        <v>135422458.85839999</v>
      </c>
      <c r="J597" s="3">
        <v>26241.119999999999</v>
      </c>
      <c r="K597" s="4">
        <v>6792471.1970000006</v>
      </c>
      <c r="L597" s="4">
        <v>0.2411929905805375</v>
      </c>
      <c r="M597" s="3">
        <v>3</v>
      </c>
      <c r="N597" t="s">
        <v>1508</v>
      </c>
      <c r="O597" s="4">
        <v>7.8158919194898729E-2</v>
      </c>
      <c r="P597" t="s">
        <v>1507</v>
      </c>
      <c r="Q597" t="s">
        <v>898</v>
      </c>
      <c r="R597" t="s">
        <v>1257</v>
      </c>
    </row>
    <row r="598" spans="1:18" x14ac:dyDescent="0.4">
      <c r="A598" s="2">
        <v>45912</v>
      </c>
      <c r="B598" t="s">
        <v>25</v>
      </c>
      <c r="C598" t="s">
        <v>747</v>
      </c>
      <c r="D598" s="3" t="str">
        <f t="shared" si="18"/>
        <v>PASS</v>
      </c>
      <c r="E598" s="3" t="str">
        <f t="shared" si="19"/>
        <v>PASS</v>
      </c>
      <c r="F598" t="s">
        <v>747</v>
      </c>
      <c r="G598" t="s">
        <v>747</v>
      </c>
      <c r="H598" s="3">
        <v>101359761.3</v>
      </c>
      <c r="I598" s="3">
        <v>99115346.548962995</v>
      </c>
      <c r="J598" s="3">
        <v>20131.38</v>
      </c>
      <c r="K598" s="4">
        <v>5067988.0650000004</v>
      </c>
      <c r="L598" s="4">
        <v>0.2285694945281421</v>
      </c>
      <c r="M598" s="3">
        <v>3</v>
      </c>
      <c r="N598" t="s">
        <v>1509</v>
      </c>
      <c r="O598" s="4">
        <v>6.0384472994639928E-2</v>
      </c>
      <c r="P598" t="s">
        <v>1507</v>
      </c>
      <c r="Q598" t="s">
        <v>1510</v>
      </c>
      <c r="R598" t="s">
        <v>1115</v>
      </c>
    </row>
    <row r="599" spans="1:18" x14ac:dyDescent="0.4">
      <c r="A599" s="2">
        <v>45912</v>
      </c>
      <c r="B599" t="s">
        <v>26</v>
      </c>
      <c r="C599" t="s">
        <v>747</v>
      </c>
      <c r="D599" s="3" t="str">
        <f t="shared" si="18"/>
        <v>PASS</v>
      </c>
      <c r="E599" s="3" t="str">
        <f t="shared" si="19"/>
        <v>PASS</v>
      </c>
      <c r="F599" t="s">
        <v>747</v>
      </c>
      <c r="G599" t="s">
        <v>747</v>
      </c>
      <c r="H599" s="3">
        <v>23448381.969999999</v>
      </c>
      <c r="I599" s="3">
        <v>23076971.044119999</v>
      </c>
      <c r="J599" s="3">
        <v>4688.34</v>
      </c>
      <c r="K599" s="4">
        <v>1172419.0985000001</v>
      </c>
      <c r="L599" s="4">
        <v>0.228026517151252</v>
      </c>
      <c r="M599" s="3">
        <v>3</v>
      </c>
      <c r="N599" t="s">
        <v>1511</v>
      </c>
      <c r="O599" s="4">
        <v>5.4457434024817709E-2</v>
      </c>
      <c r="P599" t="s">
        <v>1507</v>
      </c>
      <c r="Q599" t="s">
        <v>1512</v>
      </c>
      <c r="R599" t="s">
        <v>1115</v>
      </c>
    </row>
    <row r="600" spans="1:18" x14ac:dyDescent="0.4">
      <c r="A600" s="2">
        <v>45912</v>
      </c>
      <c r="B600" t="s">
        <v>27</v>
      </c>
      <c r="C600" t="s">
        <v>747</v>
      </c>
      <c r="D600" s="3" t="str">
        <f t="shared" si="18"/>
        <v>PASS</v>
      </c>
      <c r="E600" s="3" t="str">
        <f t="shared" si="19"/>
        <v>PASS</v>
      </c>
      <c r="F600" t="s">
        <v>747</v>
      </c>
      <c r="G600" t="s">
        <v>747</v>
      </c>
      <c r="H600" s="3">
        <v>43466163.170000002</v>
      </c>
      <c r="I600" s="3">
        <v>43119653.823013991</v>
      </c>
      <c r="J600" s="3">
        <v>8078.49</v>
      </c>
      <c r="K600" s="4">
        <v>2173308.1584999999</v>
      </c>
      <c r="L600" s="4">
        <v>0.25268983919973231</v>
      </c>
      <c r="M600" s="3">
        <v>3</v>
      </c>
      <c r="N600" t="s">
        <v>1513</v>
      </c>
      <c r="O600" s="4">
        <v>0.1102079899318153</v>
      </c>
      <c r="P600" t="s">
        <v>1507</v>
      </c>
      <c r="Q600" t="s">
        <v>1426</v>
      </c>
      <c r="R600" t="s">
        <v>863</v>
      </c>
    </row>
    <row r="601" spans="1:18" x14ac:dyDescent="0.4">
      <c r="A601" s="2">
        <v>45912</v>
      </c>
      <c r="B601" t="s">
        <v>28</v>
      </c>
      <c r="C601" t="s">
        <v>747</v>
      </c>
      <c r="D601" s="3" t="str">
        <f t="shared" si="18"/>
        <v>PASS</v>
      </c>
      <c r="E601" s="3" t="str">
        <f t="shared" si="19"/>
        <v>PASS</v>
      </c>
      <c r="F601" t="s">
        <v>747</v>
      </c>
      <c r="G601" t="s">
        <v>747</v>
      </c>
      <c r="H601" s="3">
        <v>15366570.98</v>
      </c>
      <c r="I601" s="3">
        <v>15253603.803175</v>
      </c>
      <c r="J601" s="3">
        <v>2986.89</v>
      </c>
      <c r="K601" s="4">
        <v>768328.54900000012</v>
      </c>
      <c r="L601" s="4">
        <v>0.2400932067126503</v>
      </c>
      <c r="M601" s="3">
        <v>3</v>
      </c>
      <c r="N601" t="s">
        <v>1514</v>
      </c>
      <c r="O601" s="4">
        <v>9.1582026010008422E-2</v>
      </c>
      <c r="P601" t="s">
        <v>1507</v>
      </c>
      <c r="Q601" t="s">
        <v>885</v>
      </c>
      <c r="R601" t="s">
        <v>1515</v>
      </c>
    </row>
    <row r="602" spans="1:18" x14ac:dyDescent="0.4">
      <c r="A602" s="2">
        <v>45912</v>
      </c>
      <c r="B602" t="s">
        <v>29</v>
      </c>
      <c r="C602" t="s">
        <v>747</v>
      </c>
      <c r="D602" s="3" t="str">
        <f t="shared" si="18"/>
        <v>PASS</v>
      </c>
      <c r="E602" s="3" t="str">
        <f t="shared" si="19"/>
        <v>PASS</v>
      </c>
      <c r="F602" t="s">
        <v>747</v>
      </c>
      <c r="G602" t="s">
        <v>747</v>
      </c>
      <c r="H602" s="3">
        <v>34653589.560000002</v>
      </c>
      <c r="I602" s="3">
        <v>34441073.019579001</v>
      </c>
      <c r="J602" s="3">
        <v>7072.02</v>
      </c>
      <c r="K602" s="4">
        <v>1732679.4779999999</v>
      </c>
      <c r="L602" s="4">
        <v>0.22410409675008419</v>
      </c>
      <c r="M602" s="3">
        <v>3</v>
      </c>
      <c r="N602" t="s">
        <v>1516</v>
      </c>
      <c r="O602" s="4">
        <v>3.9353415241956242E-2</v>
      </c>
      <c r="P602" t="s">
        <v>1507</v>
      </c>
      <c r="Q602" t="s">
        <v>926</v>
      </c>
      <c r="R602" t="s">
        <v>1297</v>
      </c>
    </row>
    <row r="603" spans="1:18" x14ac:dyDescent="0.4">
      <c r="A603" s="2">
        <v>45912</v>
      </c>
      <c r="B603" t="s">
        <v>30</v>
      </c>
      <c r="C603" t="s">
        <v>747</v>
      </c>
      <c r="D603" s="3" t="str">
        <f t="shared" si="18"/>
        <v>PASS</v>
      </c>
      <c r="E603" s="3" t="str">
        <f t="shared" si="19"/>
        <v>PASS</v>
      </c>
      <c r="F603" t="s">
        <v>747</v>
      </c>
      <c r="G603" t="s">
        <v>747</v>
      </c>
      <c r="H603" s="3">
        <v>54596246.43</v>
      </c>
      <c r="I603" s="3">
        <v>52468235.39670001</v>
      </c>
      <c r="J603" s="3">
        <v>10973.19</v>
      </c>
      <c r="K603" s="4">
        <v>2729812.3215000001</v>
      </c>
      <c r="L603" s="4">
        <v>0</v>
      </c>
      <c r="M603" s="3">
        <v>0</v>
      </c>
      <c r="N603" t="s">
        <v>23</v>
      </c>
      <c r="O603" s="4">
        <v>3.4054091595541937E-2</v>
      </c>
      <c r="P603" t="s">
        <v>1517</v>
      </c>
      <c r="Q603" t="s">
        <v>1518</v>
      </c>
      <c r="R603" t="s">
        <v>1519</v>
      </c>
    </row>
    <row r="604" spans="1:18" x14ac:dyDescent="0.4">
      <c r="A604" s="2">
        <v>45912</v>
      </c>
      <c r="B604" t="s">
        <v>31</v>
      </c>
      <c r="C604" t="s">
        <v>747</v>
      </c>
      <c r="D604" s="3" t="str">
        <f t="shared" si="18"/>
        <v>PASS</v>
      </c>
      <c r="E604" s="3" t="str">
        <f t="shared" si="19"/>
        <v>PASS</v>
      </c>
      <c r="F604" t="s">
        <v>747</v>
      </c>
      <c r="G604" t="s">
        <v>747</v>
      </c>
      <c r="H604" s="3">
        <v>40344706.140000001</v>
      </c>
      <c r="I604" s="3">
        <v>39023402.730062</v>
      </c>
      <c r="J604" s="3">
        <v>7647.15</v>
      </c>
      <c r="K604" s="4">
        <v>2017235.307</v>
      </c>
      <c r="L604" s="4">
        <v>0.24023452130109091</v>
      </c>
      <c r="M604" s="3">
        <v>3</v>
      </c>
      <c r="N604" t="s">
        <v>1520</v>
      </c>
      <c r="O604" s="4">
        <v>9.367850039474844E-2</v>
      </c>
      <c r="P604" t="s">
        <v>1507</v>
      </c>
      <c r="Q604" t="s">
        <v>871</v>
      </c>
      <c r="R604" t="s">
        <v>1521</v>
      </c>
    </row>
    <row r="605" spans="1:18" x14ac:dyDescent="0.4">
      <c r="A605" s="2">
        <v>45912</v>
      </c>
      <c r="B605" t="s">
        <v>32</v>
      </c>
      <c r="C605" t="s">
        <v>747</v>
      </c>
      <c r="D605" s="3" t="str">
        <f t="shared" si="18"/>
        <v>PASS</v>
      </c>
      <c r="E605" s="3" t="str">
        <f t="shared" si="19"/>
        <v>PASS</v>
      </c>
      <c r="F605" t="s">
        <v>747</v>
      </c>
      <c r="G605" t="s">
        <v>747</v>
      </c>
      <c r="H605" s="3">
        <v>78857266.140000001</v>
      </c>
      <c r="I605" s="3">
        <v>77843034.414752007</v>
      </c>
      <c r="J605" s="3">
        <v>15457.26</v>
      </c>
      <c r="K605" s="4">
        <v>3942863.307</v>
      </c>
      <c r="L605" s="4">
        <v>0.23496521876041729</v>
      </c>
      <c r="M605" s="3">
        <v>3</v>
      </c>
      <c r="N605" t="s">
        <v>1522</v>
      </c>
      <c r="O605" s="4">
        <v>7.3454881310091549E-2</v>
      </c>
      <c r="P605" t="s">
        <v>1507</v>
      </c>
      <c r="Q605" t="s">
        <v>885</v>
      </c>
      <c r="R605" t="s">
        <v>1521</v>
      </c>
    </row>
    <row r="606" spans="1:18" x14ac:dyDescent="0.4">
      <c r="A606" s="2">
        <v>45912</v>
      </c>
      <c r="B606" t="s">
        <v>33</v>
      </c>
      <c r="C606" t="s">
        <v>747</v>
      </c>
      <c r="D606" s="3" t="str">
        <f t="shared" si="18"/>
        <v>PASS</v>
      </c>
      <c r="E606" s="3" t="str">
        <f t="shared" si="19"/>
        <v>PASS</v>
      </c>
      <c r="F606" t="s">
        <v>747</v>
      </c>
      <c r="G606" t="s">
        <v>747</v>
      </c>
      <c r="H606" s="3">
        <v>166972047.44</v>
      </c>
      <c r="I606" s="3">
        <v>160728518.051884</v>
      </c>
      <c r="J606" s="3">
        <v>31085.7</v>
      </c>
      <c r="K606" s="4">
        <v>8348602.3720000004</v>
      </c>
      <c r="L606" s="4">
        <v>0.24398674400446679</v>
      </c>
      <c r="M606" s="3">
        <v>3</v>
      </c>
      <c r="N606" t="s">
        <v>1523</v>
      </c>
      <c r="O606" s="4">
        <v>9.9352980610992236E-2</v>
      </c>
      <c r="P606" t="s">
        <v>1507</v>
      </c>
      <c r="Q606" t="s">
        <v>1016</v>
      </c>
      <c r="R606" t="s">
        <v>865</v>
      </c>
    </row>
    <row r="607" spans="1:18" x14ac:dyDescent="0.4">
      <c r="A607" s="2">
        <v>45915</v>
      </c>
      <c r="B607" t="s">
        <v>21</v>
      </c>
      <c r="C607" t="s">
        <v>747</v>
      </c>
      <c r="D607" s="3" t="str">
        <f t="shared" si="18"/>
        <v>PASS</v>
      </c>
      <c r="E607" s="3" t="str">
        <f t="shared" si="19"/>
        <v>PASS</v>
      </c>
      <c r="F607" t="s">
        <v>747</v>
      </c>
      <c r="G607" t="s">
        <v>747</v>
      </c>
      <c r="H607" s="3">
        <v>24790138.030000001</v>
      </c>
      <c r="I607" s="3">
        <v>23727395.879439998</v>
      </c>
      <c r="J607" s="3">
        <v>1506.11</v>
      </c>
      <c r="K607" s="4">
        <v>1239506.9014999999</v>
      </c>
      <c r="L607" s="4">
        <v>0.24816222296927859</v>
      </c>
      <c r="M607" s="3">
        <v>3</v>
      </c>
      <c r="N607" t="s">
        <v>1524</v>
      </c>
      <c r="O607" s="4">
        <v>0.11167083442979921</v>
      </c>
      <c r="P607" t="s">
        <v>1525</v>
      </c>
      <c r="Q607" t="s">
        <v>839</v>
      </c>
      <c r="R607" t="s">
        <v>893</v>
      </c>
    </row>
    <row r="608" spans="1:18" x14ac:dyDescent="0.4">
      <c r="A608" s="2">
        <v>45915</v>
      </c>
      <c r="B608" t="s">
        <v>24</v>
      </c>
      <c r="C608" t="s">
        <v>747</v>
      </c>
      <c r="D608" s="3" t="str">
        <f t="shared" si="18"/>
        <v>PASS</v>
      </c>
      <c r="E608" s="3" t="str">
        <f t="shared" si="19"/>
        <v>PASS</v>
      </c>
      <c r="F608" t="s">
        <v>747</v>
      </c>
      <c r="G608" t="s">
        <v>747</v>
      </c>
      <c r="H608" s="3">
        <v>136342508.08000001</v>
      </c>
      <c r="I608" s="3">
        <v>136055625.46678001</v>
      </c>
      <c r="J608" s="3">
        <v>8746.27</v>
      </c>
      <c r="K608" s="4">
        <v>6817125.404000001</v>
      </c>
      <c r="L608" s="4">
        <v>0.24063825398340449</v>
      </c>
      <c r="M608" s="3">
        <v>3</v>
      </c>
      <c r="N608" t="s">
        <v>1526</v>
      </c>
      <c r="O608" s="4">
        <v>7.888878199650616E-2</v>
      </c>
      <c r="P608" t="s">
        <v>1525</v>
      </c>
      <c r="Q608" t="s">
        <v>885</v>
      </c>
      <c r="R608" t="s">
        <v>1228</v>
      </c>
    </row>
    <row r="609" spans="1:18" x14ac:dyDescent="0.4">
      <c r="A609" s="2">
        <v>45915</v>
      </c>
      <c r="B609" t="s">
        <v>25</v>
      </c>
      <c r="C609" t="s">
        <v>747</v>
      </c>
      <c r="D609" s="3" t="str">
        <f t="shared" si="18"/>
        <v>PASS</v>
      </c>
      <c r="E609" s="3" t="str">
        <f t="shared" si="19"/>
        <v>PASS</v>
      </c>
      <c r="F609" t="s">
        <v>747</v>
      </c>
      <c r="G609" t="s">
        <v>747</v>
      </c>
      <c r="H609" s="3">
        <v>101692799.54000001</v>
      </c>
      <c r="I609" s="3">
        <v>99549100.690499976</v>
      </c>
      <c r="J609" s="3">
        <v>6710.82</v>
      </c>
      <c r="K609" s="4">
        <v>5084639.9770000009</v>
      </c>
      <c r="L609" s="4">
        <v>0.22799442088819971</v>
      </c>
      <c r="M609" s="3">
        <v>3</v>
      </c>
      <c r="N609" t="s">
        <v>1527</v>
      </c>
      <c r="O609" s="4">
        <v>6.0793416136294513E-2</v>
      </c>
      <c r="P609" t="s">
        <v>1525</v>
      </c>
      <c r="Q609" t="s">
        <v>1510</v>
      </c>
      <c r="R609" t="s">
        <v>1297</v>
      </c>
    </row>
    <row r="610" spans="1:18" x14ac:dyDescent="0.4">
      <c r="A610" s="2">
        <v>45915</v>
      </c>
      <c r="B610" t="s">
        <v>26</v>
      </c>
      <c r="C610" t="s">
        <v>747</v>
      </c>
      <c r="D610" s="3" t="str">
        <f t="shared" si="18"/>
        <v>PASS</v>
      </c>
      <c r="E610" s="3" t="str">
        <f t="shared" si="19"/>
        <v>PASS</v>
      </c>
      <c r="F610" t="s">
        <v>747</v>
      </c>
      <c r="G610" t="s">
        <v>747</v>
      </c>
      <c r="H610" s="3">
        <v>23531632.140000001</v>
      </c>
      <c r="I610" s="3">
        <v>23148164.057580002</v>
      </c>
      <c r="J610" s="3">
        <v>1562.85</v>
      </c>
      <c r="K610" s="4">
        <v>1176581.6070000001</v>
      </c>
      <c r="L610" s="4">
        <v>0.22737978580850199</v>
      </c>
      <c r="M610" s="3">
        <v>3</v>
      </c>
      <c r="N610" t="s">
        <v>1528</v>
      </c>
      <c r="O610" s="4">
        <v>5.49694487778951E-2</v>
      </c>
      <c r="P610" t="s">
        <v>1525</v>
      </c>
      <c r="Q610" t="s">
        <v>1510</v>
      </c>
      <c r="R610" t="s">
        <v>1297</v>
      </c>
    </row>
    <row r="611" spans="1:18" x14ac:dyDescent="0.4">
      <c r="A611" s="2">
        <v>45915</v>
      </c>
      <c r="B611" t="s">
        <v>27</v>
      </c>
      <c r="C611" t="s">
        <v>747</v>
      </c>
      <c r="D611" s="3" t="str">
        <f t="shared" si="18"/>
        <v>PASS</v>
      </c>
      <c r="E611" s="3" t="str">
        <f t="shared" si="19"/>
        <v>PASS</v>
      </c>
      <c r="F611" t="s">
        <v>747</v>
      </c>
      <c r="G611" t="s">
        <v>747</v>
      </c>
      <c r="H611" s="3">
        <v>43623643</v>
      </c>
      <c r="I611" s="3">
        <v>43352345.79496</v>
      </c>
      <c r="J611" s="3">
        <v>2693.03</v>
      </c>
      <c r="K611" s="4">
        <v>2181182.15</v>
      </c>
      <c r="L611" s="4">
        <v>0.25265838200460089</v>
      </c>
      <c r="M611" s="3">
        <v>3</v>
      </c>
      <c r="N611" t="s">
        <v>1529</v>
      </c>
      <c r="O611" s="4">
        <v>0.11105984626180811</v>
      </c>
      <c r="P611" t="s">
        <v>1525</v>
      </c>
      <c r="Q611" t="s">
        <v>922</v>
      </c>
      <c r="R611" t="s">
        <v>924</v>
      </c>
    </row>
    <row r="612" spans="1:18" x14ac:dyDescent="0.4">
      <c r="A612" s="2">
        <v>45915</v>
      </c>
      <c r="B612" t="s">
        <v>28</v>
      </c>
      <c r="C612" t="s">
        <v>747</v>
      </c>
      <c r="D612" s="3" t="str">
        <f t="shared" si="18"/>
        <v>PASS</v>
      </c>
      <c r="E612" s="3" t="str">
        <f t="shared" si="19"/>
        <v>PASS</v>
      </c>
      <c r="F612" t="s">
        <v>747</v>
      </c>
      <c r="G612" t="s">
        <v>747</v>
      </c>
      <c r="H612" s="3">
        <v>15420428.34</v>
      </c>
      <c r="I612" s="3">
        <v>15338611.141960001</v>
      </c>
      <c r="J612" s="3">
        <v>995.64</v>
      </c>
      <c r="K612" s="4">
        <v>771021.41700000002</v>
      </c>
      <c r="L612" s="4">
        <v>0.2399090579515307</v>
      </c>
      <c r="M612" s="3">
        <v>3</v>
      </c>
      <c r="N612" t="s">
        <v>1530</v>
      </c>
      <c r="O612" s="4">
        <v>9.2072025540115454E-2</v>
      </c>
      <c r="P612" t="s">
        <v>1525</v>
      </c>
      <c r="Q612" t="s">
        <v>1423</v>
      </c>
      <c r="R612" t="s">
        <v>1521</v>
      </c>
    </row>
    <row r="613" spans="1:18" x14ac:dyDescent="0.4">
      <c r="A613" s="2">
        <v>45915</v>
      </c>
      <c r="B613" t="s">
        <v>29</v>
      </c>
      <c r="C613" t="s">
        <v>747</v>
      </c>
      <c r="D613" s="3" t="str">
        <f t="shared" si="18"/>
        <v>PASS</v>
      </c>
      <c r="E613" s="3" t="str">
        <f t="shared" si="19"/>
        <v>PASS</v>
      </c>
      <c r="F613" t="s">
        <v>747</v>
      </c>
      <c r="G613" t="s">
        <v>747</v>
      </c>
      <c r="H613" s="3">
        <v>34788721.609999999</v>
      </c>
      <c r="I613" s="3">
        <v>34552262.237659998</v>
      </c>
      <c r="J613" s="3">
        <v>2357.0500000000002</v>
      </c>
      <c r="K613" s="4">
        <v>1739436.0804999999</v>
      </c>
      <c r="L613" s="4">
        <v>0.2233527228615515</v>
      </c>
      <c r="M613" s="3">
        <v>3</v>
      </c>
      <c r="N613" t="s">
        <v>1531</v>
      </c>
      <c r="O613" s="4">
        <v>3.986954287108109E-2</v>
      </c>
      <c r="P613" t="s">
        <v>1525</v>
      </c>
      <c r="Q613" t="s">
        <v>881</v>
      </c>
      <c r="R613" t="s">
        <v>1280</v>
      </c>
    </row>
    <row r="614" spans="1:18" x14ac:dyDescent="0.4">
      <c r="A614" s="2">
        <v>45915</v>
      </c>
      <c r="B614" t="s">
        <v>30</v>
      </c>
      <c r="C614" t="s">
        <v>747</v>
      </c>
      <c r="D614" s="3" t="str">
        <f t="shared" si="18"/>
        <v>PASS</v>
      </c>
      <c r="E614" s="3" t="str">
        <f t="shared" si="19"/>
        <v>PASS</v>
      </c>
      <c r="F614" t="s">
        <v>747</v>
      </c>
      <c r="G614" t="s">
        <v>747</v>
      </c>
      <c r="H614" s="3">
        <v>54413596.82</v>
      </c>
      <c r="I614" s="3">
        <v>52079297.046160012</v>
      </c>
      <c r="J614" s="3">
        <v>3638.25</v>
      </c>
      <c r="K614" s="4">
        <v>2720679.841</v>
      </c>
      <c r="L614" s="4">
        <v>0</v>
      </c>
      <c r="M614" s="3">
        <v>0</v>
      </c>
      <c r="N614" t="s">
        <v>23</v>
      </c>
      <c r="O614" s="4">
        <v>3.4621669881369922E-2</v>
      </c>
      <c r="P614" t="s">
        <v>1532</v>
      </c>
      <c r="Q614" t="s">
        <v>1533</v>
      </c>
      <c r="R614" t="s">
        <v>1534</v>
      </c>
    </row>
    <row r="615" spans="1:18" x14ac:dyDescent="0.4">
      <c r="A615" s="2">
        <v>45915</v>
      </c>
      <c r="B615" t="s">
        <v>31</v>
      </c>
      <c r="C615" t="s">
        <v>747</v>
      </c>
      <c r="D615" s="3" t="str">
        <f t="shared" si="18"/>
        <v>PASS</v>
      </c>
      <c r="E615" s="3" t="str">
        <f t="shared" si="19"/>
        <v>PASS</v>
      </c>
      <c r="F615" t="s">
        <v>747</v>
      </c>
      <c r="G615" t="s">
        <v>747</v>
      </c>
      <c r="H615" s="3">
        <v>40477589.950000003</v>
      </c>
      <c r="I615" s="3">
        <v>39219053.109799989</v>
      </c>
      <c r="J615" s="3">
        <v>2549.31</v>
      </c>
      <c r="K615" s="4">
        <v>2023879.4975000001</v>
      </c>
      <c r="L615" s="4">
        <v>0.24013052594547329</v>
      </c>
      <c r="M615" s="3">
        <v>3</v>
      </c>
      <c r="N615" t="s">
        <v>1535</v>
      </c>
      <c r="O615" s="4">
        <v>9.4208180242707343E-2</v>
      </c>
      <c r="P615" t="s">
        <v>1525</v>
      </c>
      <c r="Q615" t="s">
        <v>1536</v>
      </c>
      <c r="R615" t="s">
        <v>1537</v>
      </c>
    </row>
    <row r="616" spans="1:18" x14ac:dyDescent="0.4">
      <c r="A616" s="2">
        <v>45915</v>
      </c>
      <c r="B616" t="s">
        <v>32</v>
      </c>
      <c r="C616" t="s">
        <v>747</v>
      </c>
      <c r="D616" s="3" t="str">
        <f t="shared" si="18"/>
        <v>PASS</v>
      </c>
      <c r="E616" s="3" t="str">
        <f t="shared" si="19"/>
        <v>PASS</v>
      </c>
      <c r="F616" t="s">
        <v>747</v>
      </c>
      <c r="G616" t="s">
        <v>747</v>
      </c>
      <c r="H616" s="3">
        <v>79157184.760000005</v>
      </c>
      <c r="I616" s="3">
        <v>78192385.445439994</v>
      </c>
      <c r="J616" s="3">
        <v>5152</v>
      </c>
      <c r="K616" s="4">
        <v>3957859.2379999999</v>
      </c>
      <c r="L616" s="4">
        <v>0.23469889501907881</v>
      </c>
      <c r="M616" s="3">
        <v>3</v>
      </c>
      <c r="N616" t="s">
        <v>1538</v>
      </c>
      <c r="O616" s="4">
        <v>7.3942408932128889E-2</v>
      </c>
      <c r="P616" t="s">
        <v>1525</v>
      </c>
      <c r="Q616" t="s">
        <v>1423</v>
      </c>
      <c r="R616" t="s">
        <v>1521</v>
      </c>
    </row>
    <row r="617" spans="1:18" x14ac:dyDescent="0.4">
      <c r="A617" s="2">
        <v>45915</v>
      </c>
      <c r="B617" t="s">
        <v>33</v>
      </c>
      <c r="C617" t="s">
        <v>747</v>
      </c>
      <c r="D617" s="3" t="str">
        <f t="shared" si="18"/>
        <v>PASS</v>
      </c>
      <c r="E617" s="3" t="str">
        <f t="shared" si="19"/>
        <v>PASS</v>
      </c>
      <c r="F617" t="s">
        <v>747</v>
      </c>
      <c r="G617" t="s">
        <v>747</v>
      </c>
      <c r="H617" s="3">
        <v>167463286.09</v>
      </c>
      <c r="I617" s="3">
        <v>161311626.04480001</v>
      </c>
      <c r="J617" s="3">
        <v>10363.02</v>
      </c>
      <c r="K617" s="4">
        <v>8373164.3045000006</v>
      </c>
      <c r="L617" s="4">
        <v>0.24366177546145881</v>
      </c>
      <c r="M617" s="3">
        <v>3</v>
      </c>
      <c r="N617" t="s">
        <v>1539</v>
      </c>
      <c r="O617" s="4">
        <v>9.9966520636666681E-2</v>
      </c>
      <c r="P617" t="s">
        <v>1525</v>
      </c>
      <c r="Q617" t="s">
        <v>1016</v>
      </c>
      <c r="R617" t="s">
        <v>1447</v>
      </c>
    </row>
    <row r="618" spans="1:18" x14ac:dyDescent="0.4">
      <c r="A618" s="2">
        <v>45916</v>
      </c>
      <c r="B618" t="s">
        <v>21</v>
      </c>
      <c r="C618" t="s">
        <v>747</v>
      </c>
      <c r="D618" s="3" t="str">
        <f t="shared" si="18"/>
        <v>PASS</v>
      </c>
      <c r="E618" s="3" t="str">
        <f t="shared" si="19"/>
        <v>PASS</v>
      </c>
      <c r="F618" t="s">
        <v>747</v>
      </c>
      <c r="G618" t="s">
        <v>747</v>
      </c>
      <c r="H618" s="3">
        <v>24794543.690000001</v>
      </c>
      <c r="I618" s="3">
        <v>23648540.124793999</v>
      </c>
      <c r="J618" s="3">
        <v>1511.85</v>
      </c>
      <c r="K618" s="4">
        <v>1239727.1845</v>
      </c>
      <c r="L618" s="4">
        <v>0.24660870880679281</v>
      </c>
      <c r="M618" s="3">
        <v>3</v>
      </c>
      <c r="N618" t="s">
        <v>1540</v>
      </c>
      <c r="O618" s="4">
        <v>0.11203274194210421</v>
      </c>
      <c r="P618" t="s">
        <v>1541</v>
      </c>
      <c r="Q618" t="s">
        <v>839</v>
      </c>
      <c r="R618" t="s">
        <v>1515</v>
      </c>
    </row>
    <row r="619" spans="1:18" x14ac:dyDescent="0.4">
      <c r="A619" s="2">
        <v>45916</v>
      </c>
      <c r="B619" t="s">
        <v>24</v>
      </c>
      <c r="C619" t="s">
        <v>747</v>
      </c>
      <c r="D619" s="3" t="str">
        <f t="shared" si="18"/>
        <v>PASS</v>
      </c>
      <c r="E619" s="3" t="str">
        <f t="shared" si="19"/>
        <v>PASS</v>
      </c>
      <c r="F619" t="s">
        <v>747</v>
      </c>
      <c r="G619" t="s">
        <v>747</v>
      </c>
      <c r="H619" s="3">
        <v>136371727.21000001</v>
      </c>
      <c r="I619" s="3">
        <v>135297680.47147599</v>
      </c>
      <c r="J619" s="3">
        <v>8783.18</v>
      </c>
      <c r="K619" s="4">
        <v>6818586.3605000004</v>
      </c>
      <c r="L619" s="4">
        <v>0.23902827469701751</v>
      </c>
      <c r="M619" s="3">
        <v>3</v>
      </c>
      <c r="N619" t="s">
        <v>1542</v>
      </c>
      <c r="O619" s="4">
        <v>7.9297889839170577E-2</v>
      </c>
      <c r="P619" t="s">
        <v>1541</v>
      </c>
      <c r="Q619" t="s">
        <v>1238</v>
      </c>
      <c r="R619" t="s">
        <v>893</v>
      </c>
    </row>
    <row r="620" spans="1:18" x14ac:dyDescent="0.4">
      <c r="A620" s="2">
        <v>45916</v>
      </c>
      <c r="B620" t="s">
        <v>25</v>
      </c>
      <c r="C620" t="s">
        <v>747</v>
      </c>
      <c r="D620" s="3" t="str">
        <f t="shared" si="18"/>
        <v>PASS</v>
      </c>
      <c r="E620" s="3" t="str">
        <f t="shared" si="19"/>
        <v>PASS</v>
      </c>
      <c r="F620" t="s">
        <v>747</v>
      </c>
      <c r="G620" t="s">
        <v>747</v>
      </c>
      <c r="H620" s="3">
        <v>101740630.58</v>
      </c>
      <c r="I620" s="3">
        <v>98992724.487609014</v>
      </c>
      <c r="J620" s="3">
        <v>6735.91</v>
      </c>
      <c r="K620" s="4">
        <v>5087031.5290000001</v>
      </c>
      <c r="L620" s="4">
        <v>0.22637009432574939</v>
      </c>
      <c r="M620" s="3">
        <v>3</v>
      </c>
      <c r="N620" t="s">
        <v>1543</v>
      </c>
      <c r="O620" s="4">
        <v>6.1212305566673453E-2</v>
      </c>
      <c r="P620" t="s">
        <v>1541</v>
      </c>
      <c r="Q620" t="s">
        <v>1544</v>
      </c>
      <c r="R620" t="s">
        <v>1327</v>
      </c>
    </row>
    <row r="621" spans="1:18" x14ac:dyDescent="0.4">
      <c r="A621" s="2">
        <v>45916</v>
      </c>
      <c r="B621" t="s">
        <v>26</v>
      </c>
      <c r="C621" t="s">
        <v>747</v>
      </c>
      <c r="D621" s="3" t="str">
        <f t="shared" si="18"/>
        <v>PASS</v>
      </c>
      <c r="E621" s="3" t="str">
        <f t="shared" si="19"/>
        <v>PASS</v>
      </c>
      <c r="F621" t="s">
        <v>747</v>
      </c>
      <c r="G621" t="s">
        <v>747</v>
      </c>
      <c r="H621" s="3">
        <v>23540077.899999999</v>
      </c>
      <c r="I621" s="3">
        <v>23048957.113614</v>
      </c>
      <c r="J621" s="3">
        <v>1569.12</v>
      </c>
      <c r="K621" s="4">
        <v>1177003.895</v>
      </c>
      <c r="L621" s="4">
        <v>0.22576318534224321</v>
      </c>
      <c r="M621" s="3">
        <v>3</v>
      </c>
      <c r="N621" t="s">
        <v>1545</v>
      </c>
      <c r="O621" s="4">
        <v>5.5377221313868297E-2</v>
      </c>
      <c r="P621" t="s">
        <v>1541</v>
      </c>
      <c r="Q621" t="s">
        <v>1546</v>
      </c>
      <c r="R621" t="s">
        <v>1327</v>
      </c>
    </row>
    <row r="622" spans="1:18" x14ac:dyDescent="0.4">
      <c r="A622" s="2">
        <v>45916</v>
      </c>
      <c r="B622" t="s">
        <v>27</v>
      </c>
      <c r="C622" t="s">
        <v>747</v>
      </c>
      <c r="D622" s="3" t="str">
        <f t="shared" si="18"/>
        <v>PASS</v>
      </c>
      <c r="E622" s="3" t="str">
        <f t="shared" si="19"/>
        <v>PASS</v>
      </c>
      <c r="F622" t="s">
        <v>747</v>
      </c>
      <c r="G622" t="s">
        <v>747</v>
      </c>
      <c r="H622" s="3">
        <v>43624531.920000002</v>
      </c>
      <c r="I622" s="3">
        <v>43154990.498735987</v>
      </c>
      <c r="J622" s="3">
        <v>2704.74</v>
      </c>
      <c r="K622" s="4">
        <v>2181226.5959999999</v>
      </c>
      <c r="L622" s="4">
        <v>0.25106098316542691</v>
      </c>
      <c r="M622" s="3">
        <v>3</v>
      </c>
      <c r="N622" t="s">
        <v>1547</v>
      </c>
      <c r="O622" s="4">
        <v>0.11131281150800711</v>
      </c>
      <c r="P622" t="s">
        <v>1541</v>
      </c>
      <c r="Q622" t="s">
        <v>922</v>
      </c>
      <c r="R622" t="s">
        <v>1242</v>
      </c>
    </row>
    <row r="623" spans="1:18" x14ac:dyDescent="0.4">
      <c r="A623" s="2">
        <v>45916</v>
      </c>
      <c r="B623" t="s">
        <v>28</v>
      </c>
      <c r="C623" t="s">
        <v>747</v>
      </c>
      <c r="D623" s="3" t="str">
        <f t="shared" si="18"/>
        <v>PASS</v>
      </c>
      <c r="E623" s="3" t="str">
        <f t="shared" si="19"/>
        <v>PASS</v>
      </c>
      <c r="F623" t="s">
        <v>747</v>
      </c>
      <c r="G623" t="s">
        <v>747</v>
      </c>
      <c r="H623" s="3">
        <v>15424565.25</v>
      </c>
      <c r="I623" s="3">
        <v>15261368.541289</v>
      </c>
      <c r="J623" s="3">
        <v>999.69</v>
      </c>
      <c r="K623" s="4">
        <v>771228.26250000007</v>
      </c>
      <c r="L623" s="4">
        <v>0.23834249222789641</v>
      </c>
      <c r="M623" s="3">
        <v>3</v>
      </c>
      <c r="N623" t="s">
        <v>1548</v>
      </c>
      <c r="O623" s="4">
        <v>9.2514591378126509E-2</v>
      </c>
      <c r="P623" t="s">
        <v>1541</v>
      </c>
      <c r="Q623" t="s">
        <v>1521</v>
      </c>
      <c r="R623" t="s">
        <v>1549</v>
      </c>
    </row>
    <row r="624" spans="1:18" x14ac:dyDescent="0.4">
      <c r="A624" s="2">
        <v>45916</v>
      </c>
      <c r="B624" t="s">
        <v>29</v>
      </c>
      <c r="C624" t="s">
        <v>747</v>
      </c>
      <c r="D624" s="3" t="str">
        <f t="shared" si="18"/>
        <v>PASS</v>
      </c>
      <c r="E624" s="3" t="str">
        <f t="shared" si="19"/>
        <v>PASS</v>
      </c>
      <c r="F624" t="s">
        <v>747</v>
      </c>
      <c r="G624" t="s">
        <v>747</v>
      </c>
      <c r="H624" s="3">
        <v>34789572.75</v>
      </c>
      <c r="I624" s="3">
        <v>34390182.867239989</v>
      </c>
      <c r="J624" s="3">
        <v>2367.0700000000002</v>
      </c>
      <c r="K624" s="4">
        <v>1739478.6375</v>
      </c>
      <c r="L624" s="4">
        <v>0.22175449529881761</v>
      </c>
      <c r="M624" s="3">
        <v>3</v>
      </c>
      <c r="N624" t="s">
        <v>1550</v>
      </c>
      <c r="O624" s="4">
        <v>4.0148046866715248E-2</v>
      </c>
      <c r="P624" t="s">
        <v>1541</v>
      </c>
      <c r="Q624" t="s">
        <v>1546</v>
      </c>
      <c r="R624" t="s">
        <v>1313</v>
      </c>
    </row>
    <row r="625" spans="1:18" x14ac:dyDescent="0.4">
      <c r="A625" s="2">
        <v>45916</v>
      </c>
      <c r="B625" t="s">
        <v>30</v>
      </c>
      <c r="C625" t="s">
        <v>747</v>
      </c>
      <c r="D625" s="3" t="str">
        <f t="shared" si="18"/>
        <v>PASS</v>
      </c>
      <c r="E625" s="3" t="str">
        <f t="shared" si="19"/>
        <v>PASS</v>
      </c>
      <c r="F625" t="s">
        <v>747</v>
      </c>
      <c r="G625" t="s">
        <v>747</v>
      </c>
      <c r="H625" s="3">
        <v>54335983.289999999</v>
      </c>
      <c r="I625" s="3">
        <v>51925984.438320003</v>
      </c>
      <c r="J625" s="3">
        <v>3625.03</v>
      </c>
      <c r="K625" s="4">
        <v>2716799.1645</v>
      </c>
      <c r="L625" s="4">
        <v>0</v>
      </c>
      <c r="M625" s="3">
        <v>0</v>
      </c>
      <c r="N625" t="s">
        <v>23</v>
      </c>
      <c r="O625" s="4">
        <v>3.4932927562743299E-2</v>
      </c>
      <c r="P625" t="s">
        <v>1551</v>
      </c>
      <c r="Q625" t="s">
        <v>1044</v>
      </c>
      <c r="R625" t="s">
        <v>1552</v>
      </c>
    </row>
    <row r="626" spans="1:18" x14ac:dyDescent="0.4">
      <c r="A626" s="2">
        <v>45916</v>
      </c>
      <c r="B626" t="s">
        <v>31</v>
      </c>
      <c r="C626" t="s">
        <v>747</v>
      </c>
      <c r="D626" s="3" t="str">
        <f t="shared" si="18"/>
        <v>PASS</v>
      </c>
      <c r="E626" s="3" t="str">
        <f t="shared" si="19"/>
        <v>PASS</v>
      </c>
      <c r="F626" t="s">
        <v>747</v>
      </c>
      <c r="G626" t="s">
        <v>747</v>
      </c>
      <c r="H626" s="3">
        <v>40487727.009999998</v>
      </c>
      <c r="I626" s="3">
        <v>39040010.928331003</v>
      </c>
      <c r="J626" s="3">
        <v>2559.23</v>
      </c>
      <c r="K626" s="4">
        <v>2024386.3504999999</v>
      </c>
      <c r="L626" s="4">
        <v>0.23856184607718331</v>
      </c>
      <c r="M626" s="3">
        <v>3</v>
      </c>
      <c r="N626" t="s">
        <v>1553</v>
      </c>
      <c r="O626" s="4">
        <v>9.4590809886292024E-2</v>
      </c>
      <c r="P626" t="s">
        <v>1541</v>
      </c>
      <c r="Q626" t="s">
        <v>1537</v>
      </c>
      <c r="R626" t="s">
        <v>1554</v>
      </c>
    </row>
    <row r="627" spans="1:18" x14ac:dyDescent="0.4">
      <c r="A627" s="2">
        <v>45916</v>
      </c>
      <c r="B627" t="s">
        <v>32</v>
      </c>
      <c r="C627" t="s">
        <v>747</v>
      </c>
      <c r="D627" s="3" t="str">
        <f t="shared" si="18"/>
        <v>PASS</v>
      </c>
      <c r="E627" s="3" t="str">
        <f t="shared" si="19"/>
        <v>PASS</v>
      </c>
      <c r="F627" t="s">
        <v>747</v>
      </c>
      <c r="G627" t="s">
        <v>747</v>
      </c>
      <c r="H627" s="3">
        <v>79177985.060000002</v>
      </c>
      <c r="I627" s="3">
        <v>77879424.820052013</v>
      </c>
      <c r="J627" s="3">
        <v>5174.16</v>
      </c>
      <c r="K627" s="4">
        <v>3958899.253</v>
      </c>
      <c r="L627" s="4">
        <v>0.23310692213253109</v>
      </c>
      <c r="M627" s="3">
        <v>3</v>
      </c>
      <c r="N627" t="s">
        <v>1555</v>
      </c>
      <c r="O627" s="4">
        <v>7.4351897507759057E-2</v>
      </c>
      <c r="P627" t="s">
        <v>1541</v>
      </c>
      <c r="Q627" t="s">
        <v>1537</v>
      </c>
      <c r="R627" t="s">
        <v>1549</v>
      </c>
    </row>
    <row r="628" spans="1:18" x14ac:dyDescent="0.4">
      <c r="A628" s="2">
        <v>45916</v>
      </c>
      <c r="B628" t="s">
        <v>33</v>
      </c>
      <c r="C628" t="s">
        <v>747</v>
      </c>
      <c r="D628" s="3" t="str">
        <f t="shared" si="18"/>
        <v>PASS</v>
      </c>
      <c r="E628" s="3" t="str">
        <f t="shared" si="19"/>
        <v>PASS</v>
      </c>
      <c r="F628" t="s">
        <v>747</v>
      </c>
      <c r="G628" t="s">
        <v>747</v>
      </c>
      <c r="H628" s="3">
        <v>167544928.38</v>
      </c>
      <c r="I628" s="3">
        <v>160612102.351138</v>
      </c>
      <c r="J628" s="3">
        <v>10400.18</v>
      </c>
      <c r="K628" s="4">
        <v>8377246.4189999998</v>
      </c>
      <c r="L628" s="4">
        <v>0.2420462706208116</v>
      </c>
      <c r="M628" s="3">
        <v>3</v>
      </c>
      <c r="N628" t="s">
        <v>1556</v>
      </c>
      <c r="O628" s="4">
        <v>0.1003962268734714</v>
      </c>
      <c r="P628" t="s">
        <v>1541</v>
      </c>
      <c r="Q628" t="s">
        <v>1016</v>
      </c>
      <c r="R628" t="s">
        <v>1521</v>
      </c>
    </row>
    <row r="629" spans="1:18" x14ac:dyDescent="0.4">
      <c r="A629" s="2">
        <v>45917</v>
      </c>
      <c r="B629" t="s">
        <v>21</v>
      </c>
      <c r="C629" t="s">
        <v>747</v>
      </c>
      <c r="D629" s="3" t="str">
        <f t="shared" si="18"/>
        <v>PASS</v>
      </c>
      <c r="E629" s="3" t="str">
        <f t="shared" si="19"/>
        <v>FAIL</v>
      </c>
      <c r="F629" t="s">
        <v>747</v>
      </c>
      <c r="G629" t="s">
        <v>747</v>
      </c>
      <c r="H629" s="3">
        <v>24781783.140000001</v>
      </c>
      <c r="I629" s="3">
        <v>28808433.870000001</v>
      </c>
      <c r="J629" s="3">
        <v>1512.06</v>
      </c>
      <c r="K629" s="4">
        <v>1239089.1569999999</v>
      </c>
      <c r="L629" s="4">
        <v>0.54962234374076613</v>
      </c>
      <c r="M629" s="3">
        <v>7</v>
      </c>
      <c r="N629" t="s">
        <v>1557</v>
      </c>
      <c r="O629" s="4">
        <v>0</v>
      </c>
      <c r="P629" t="s">
        <v>23</v>
      </c>
      <c r="Q629" t="s">
        <v>1558</v>
      </c>
      <c r="R629" t="s">
        <v>1559</v>
      </c>
    </row>
    <row r="630" spans="1:18" x14ac:dyDescent="0.4">
      <c r="A630" s="2">
        <v>45917</v>
      </c>
      <c r="B630" t="s">
        <v>24</v>
      </c>
      <c r="C630" t="s">
        <v>747</v>
      </c>
      <c r="D630" s="3" t="str">
        <f t="shared" si="18"/>
        <v>PASS</v>
      </c>
      <c r="E630" s="3" t="str">
        <f t="shared" si="19"/>
        <v>PASS</v>
      </c>
      <c r="F630" t="s">
        <v>747</v>
      </c>
      <c r="G630" t="s">
        <v>747</v>
      </c>
      <c r="H630" s="3">
        <v>136323076.80000001</v>
      </c>
      <c r="I630" s="3">
        <v>158861813.56999999</v>
      </c>
      <c r="J630" s="3">
        <v>8784.67</v>
      </c>
      <c r="K630" s="4">
        <v>6816153.8400000008</v>
      </c>
      <c r="L630" s="4">
        <v>0.43273277852762843</v>
      </c>
      <c r="M630" s="3">
        <v>5</v>
      </c>
      <c r="N630" t="s">
        <v>1560</v>
      </c>
      <c r="O630" s="4">
        <v>0</v>
      </c>
      <c r="P630" t="s">
        <v>23</v>
      </c>
      <c r="Q630" t="s">
        <v>1561</v>
      </c>
      <c r="R630" t="s">
        <v>1562</v>
      </c>
    </row>
    <row r="631" spans="1:18" x14ac:dyDescent="0.4">
      <c r="A631" s="2">
        <v>45917</v>
      </c>
      <c r="B631" t="s">
        <v>25</v>
      </c>
      <c r="C631" t="s">
        <v>747</v>
      </c>
      <c r="D631" s="3" t="str">
        <f t="shared" si="18"/>
        <v>PASS</v>
      </c>
      <c r="E631" s="3" t="str">
        <f t="shared" si="19"/>
        <v>PASS</v>
      </c>
      <c r="F631" t="s">
        <v>747</v>
      </c>
      <c r="G631" t="s">
        <v>747</v>
      </c>
      <c r="H631" s="3">
        <v>101694823.14</v>
      </c>
      <c r="I631" s="3">
        <v>110514990.58</v>
      </c>
      <c r="J631" s="3">
        <v>6738.89</v>
      </c>
      <c r="K631" s="4">
        <v>5084741.1570000006</v>
      </c>
      <c r="L631" s="4">
        <v>0.28342521851743468</v>
      </c>
      <c r="M631" s="3">
        <v>4</v>
      </c>
      <c r="N631" t="s">
        <v>1563</v>
      </c>
      <c r="O631" s="4">
        <v>0</v>
      </c>
      <c r="P631" t="s">
        <v>23</v>
      </c>
      <c r="Q631" t="s">
        <v>1564</v>
      </c>
      <c r="R631" t="s">
        <v>1565</v>
      </c>
    </row>
    <row r="632" spans="1:18" x14ac:dyDescent="0.4">
      <c r="A632" s="2">
        <v>45917</v>
      </c>
      <c r="B632" t="s">
        <v>26</v>
      </c>
      <c r="C632" t="s">
        <v>747</v>
      </c>
      <c r="D632" s="3" t="str">
        <f t="shared" si="18"/>
        <v>PASS</v>
      </c>
      <c r="E632" s="3" t="str">
        <f t="shared" si="19"/>
        <v>PASS</v>
      </c>
      <c r="F632" t="s">
        <v>747</v>
      </c>
      <c r="G632" t="s">
        <v>747</v>
      </c>
      <c r="H632" s="3">
        <v>23531999.620000001</v>
      </c>
      <c r="I632" s="3">
        <v>25613228.66</v>
      </c>
      <c r="J632" s="3">
        <v>1569.62</v>
      </c>
      <c r="K632" s="4">
        <v>1176599.9809999999</v>
      </c>
      <c r="L632" s="4">
        <v>0.29177782263033042</v>
      </c>
      <c r="M632" s="3">
        <v>4</v>
      </c>
      <c r="N632" t="s">
        <v>1566</v>
      </c>
      <c r="O632" s="4">
        <v>0</v>
      </c>
      <c r="P632" t="s">
        <v>23</v>
      </c>
      <c r="Q632" t="s">
        <v>1567</v>
      </c>
      <c r="R632" t="s">
        <v>1568</v>
      </c>
    </row>
    <row r="633" spans="1:18" x14ac:dyDescent="0.4">
      <c r="A633" s="2">
        <v>45917</v>
      </c>
      <c r="B633" t="s">
        <v>27</v>
      </c>
      <c r="C633" t="s">
        <v>747</v>
      </c>
      <c r="D633" s="3" t="str">
        <f t="shared" si="18"/>
        <v>PASS</v>
      </c>
      <c r="E633" s="3" t="str">
        <f t="shared" si="19"/>
        <v>FAIL</v>
      </c>
      <c r="F633" t="s">
        <v>747</v>
      </c>
      <c r="G633" t="s">
        <v>747</v>
      </c>
      <c r="H633" s="3">
        <v>43605320.5</v>
      </c>
      <c r="I633" s="3">
        <v>53156952.840000004</v>
      </c>
      <c r="J633" s="3">
        <v>2704.6</v>
      </c>
      <c r="K633" s="4">
        <v>2180266.0249999999</v>
      </c>
      <c r="L633" s="4">
        <v>0.51590286104146077</v>
      </c>
      <c r="M633" s="3">
        <v>5</v>
      </c>
      <c r="N633" t="s">
        <v>1569</v>
      </c>
      <c r="O633" s="4">
        <v>0</v>
      </c>
      <c r="P633" t="s">
        <v>23</v>
      </c>
      <c r="Q633" t="s">
        <v>1570</v>
      </c>
      <c r="R633" t="s">
        <v>1571</v>
      </c>
    </row>
    <row r="634" spans="1:18" x14ac:dyDescent="0.4">
      <c r="A634" s="2">
        <v>45917</v>
      </c>
      <c r="B634" t="s">
        <v>28</v>
      </c>
      <c r="C634" t="s">
        <v>747</v>
      </c>
      <c r="D634" s="3" t="str">
        <f t="shared" si="18"/>
        <v>PASS</v>
      </c>
      <c r="E634" s="3" t="str">
        <f t="shared" si="19"/>
        <v>PASS</v>
      </c>
      <c r="F634" t="s">
        <v>747</v>
      </c>
      <c r="G634" t="s">
        <v>747</v>
      </c>
      <c r="H634" s="3">
        <v>15418677.27</v>
      </c>
      <c r="I634" s="3">
        <v>17972114.98</v>
      </c>
      <c r="J634" s="3">
        <v>999.92</v>
      </c>
      <c r="K634" s="4">
        <v>770933.86349999998</v>
      </c>
      <c r="L634" s="4">
        <v>0.42350673255216231</v>
      </c>
      <c r="M634" s="3">
        <v>5</v>
      </c>
      <c r="N634" t="s">
        <v>1572</v>
      </c>
      <c r="O634" s="4">
        <v>0</v>
      </c>
      <c r="P634" t="s">
        <v>23</v>
      </c>
      <c r="Q634" t="s">
        <v>1573</v>
      </c>
      <c r="R634" t="s">
        <v>1574</v>
      </c>
    </row>
    <row r="635" spans="1:18" x14ac:dyDescent="0.4">
      <c r="A635" s="2">
        <v>45917</v>
      </c>
      <c r="B635" t="s">
        <v>29</v>
      </c>
      <c r="C635" t="s">
        <v>747</v>
      </c>
      <c r="D635" s="3" t="str">
        <f t="shared" si="18"/>
        <v>PASS</v>
      </c>
      <c r="E635" s="3" t="str">
        <f t="shared" si="19"/>
        <v>PASS</v>
      </c>
      <c r="F635" t="s">
        <v>747</v>
      </c>
      <c r="G635" t="s">
        <v>747</v>
      </c>
      <c r="H635" s="3">
        <v>34772840.829999998</v>
      </c>
      <c r="I635" s="3">
        <v>37495964.490000002</v>
      </c>
      <c r="J635" s="3">
        <v>2366.96</v>
      </c>
      <c r="K635" s="4">
        <v>1738642.0415000001</v>
      </c>
      <c r="L635" s="4">
        <v>0.27965449570176981</v>
      </c>
      <c r="M635" s="3">
        <v>4</v>
      </c>
      <c r="N635" t="s">
        <v>1575</v>
      </c>
      <c r="O635" s="4">
        <v>0</v>
      </c>
      <c r="P635" t="s">
        <v>23</v>
      </c>
      <c r="Q635" t="s">
        <v>1576</v>
      </c>
      <c r="R635" t="s">
        <v>1577</v>
      </c>
    </row>
    <row r="636" spans="1:18" x14ac:dyDescent="0.4">
      <c r="A636" s="2">
        <v>45917</v>
      </c>
      <c r="B636" t="s">
        <v>30</v>
      </c>
      <c r="C636" t="s">
        <v>747</v>
      </c>
      <c r="D636" s="3" t="str">
        <f t="shared" si="18"/>
        <v>PASS</v>
      </c>
      <c r="E636" s="3" t="str">
        <f t="shared" si="19"/>
        <v>PASS</v>
      </c>
      <c r="F636" t="s">
        <v>747</v>
      </c>
      <c r="G636" t="s">
        <v>747</v>
      </c>
      <c r="H636" s="3">
        <v>54588603.82</v>
      </c>
      <c r="I636" s="3">
        <v>59621771.989999987</v>
      </c>
      <c r="J636" s="3">
        <v>3619.13</v>
      </c>
      <c r="K636" s="4">
        <v>2729430.1910000001</v>
      </c>
      <c r="L636" s="4">
        <v>8.5596372308627419E-2</v>
      </c>
      <c r="M636" s="3">
        <v>1</v>
      </c>
      <c r="N636" t="s">
        <v>1578</v>
      </c>
      <c r="O636" s="4">
        <v>0</v>
      </c>
      <c r="P636" t="s">
        <v>23</v>
      </c>
      <c r="Q636" t="s">
        <v>1579</v>
      </c>
      <c r="R636" t="s">
        <v>1580</v>
      </c>
    </row>
    <row r="637" spans="1:18" x14ac:dyDescent="0.4">
      <c r="A637" s="2">
        <v>45917</v>
      </c>
      <c r="B637" t="s">
        <v>31</v>
      </c>
      <c r="C637" t="s">
        <v>747</v>
      </c>
      <c r="D637" s="3" t="str">
        <f t="shared" si="18"/>
        <v>PASS</v>
      </c>
      <c r="E637" s="3" t="str">
        <f t="shared" si="19"/>
        <v>PASS</v>
      </c>
      <c r="F637" t="s">
        <v>747</v>
      </c>
      <c r="G637" t="s">
        <v>747</v>
      </c>
      <c r="H637" s="3">
        <v>40469308.969999999</v>
      </c>
      <c r="I637" s="3">
        <v>46048371.729999997</v>
      </c>
      <c r="J637" s="3">
        <v>2559.7800000000002</v>
      </c>
      <c r="K637" s="4">
        <v>2023465.4484999999</v>
      </c>
      <c r="L637" s="4">
        <v>0.46170923188868762</v>
      </c>
      <c r="M637" s="3">
        <v>6</v>
      </c>
      <c r="N637" t="s">
        <v>1581</v>
      </c>
      <c r="O637" s="4">
        <v>0</v>
      </c>
      <c r="P637" t="s">
        <v>23</v>
      </c>
      <c r="Q637" t="s">
        <v>1582</v>
      </c>
      <c r="R637" t="s">
        <v>1583</v>
      </c>
    </row>
    <row r="638" spans="1:18" x14ac:dyDescent="0.4">
      <c r="A638" s="2">
        <v>45917</v>
      </c>
      <c r="B638" t="s">
        <v>32</v>
      </c>
      <c r="C638" t="s">
        <v>747</v>
      </c>
      <c r="D638" s="3" t="str">
        <f t="shared" si="18"/>
        <v>PASS</v>
      </c>
      <c r="E638" s="3" t="str">
        <f t="shared" si="19"/>
        <v>PASS</v>
      </c>
      <c r="F638" t="s">
        <v>747</v>
      </c>
      <c r="G638" t="s">
        <v>747</v>
      </c>
      <c r="H638" s="3">
        <v>79147861.799999997</v>
      </c>
      <c r="I638" s="3">
        <v>89510262.410000026</v>
      </c>
      <c r="J638" s="3">
        <v>5175.3</v>
      </c>
      <c r="K638" s="4">
        <v>3957393.09</v>
      </c>
      <c r="L638" s="4">
        <v>0.38879476205366481</v>
      </c>
      <c r="M638" s="3">
        <v>5</v>
      </c>
      <c r="N638" t="s">
        <v>1584</v>
      </c>
      <c r="O638" s="4">
        <v>0</v>
      </c>
      <c r="P638" t="s">
        <v>23</v>
      </c>
      <c r="Q638" t="s">
        <v>1585</v>
      </c>
      <c r="R638" t="s">
        <v>1586</v>
      </c>
    </row>
    <row r="639" spans="1:18" x14ac:dyDescent="0.4">
      <c r="A639" s="2">
        <v>45917</v>
      </c>
      <c r="B639" t="s">
        <v>33</v>
      </c>
      <c r="C639" t="s">
        <v>747</v>
      </c>
      <c r="D639" s="3" t="str">
        <f t="shared" si="18"/>
        <v>PASS</v>
      </c>
      <c r="E639" s="3" t="str">
        <f t="shared" si="19"/>
        <v>FAIL</v>
      </c>
      <c r="F639" t="s">
        <v>747</v>
      </c>
      <c r="G639" t="s">
        <v>747</v>
      </c>
      <c r="H639" s="3">
        <v>167482275.74000001</v>
      </c>
      <c r="I639" s="3">
        <v>192448275.78999999</v>
      </c>
      <c r="J639" s="3">
        <v>10405.35</v>
      </c>
      <c r="K639" s="4">
        <v>8374113.7869999995</v>
      </c>
      <c r="L639" s="4">
        <v>0.51190440713472374</v>
      </c>
      <c r="M639" s="3">
        <v>6</v>
      </c>
      <c r="N639" t="s">
        <v>1587</v>
      </c>
      <c r="O639" s="4">
        <v>0</v>
      </c>
      <c r="P639" t="s">
        <v>23</v>
      </c>
      <c r="Q639" t="s">
        <v>1588</v>
      </c>
      <c r="R639" t="s">
        <v>1589</v>
      </c>
    </row>
    <row r="640" spans="1:18" x14ac:dyDescent="0.4">
      <c r="A640" s="2">
        <v>45918</v>
      </c>
      <c r="B640" t="s">
        <v>21</v>
      </c>
      <c r="C640" t="s">
        <v>747</v>
      </c>
      <c r="D640" s="3" t="str">
        <f t="shared" si="18"/>
        <v>PASS</v>
      </c>
      <c r="E640" s="3" t="str">
        <f t="shared" si="19"/>
        <v>FAIL</v>
      </c>
      <c r="F640" t="s">
        <v>747</v>
      </c>
      <c r="G640" t="s">
        <v>747</v>
      </c>
      <c r="H640" s="3">
        <v>24813121.530000001</v>
      </c>
      <c r="I640" s="3">
        <v>28906648.379999999</v>
      </c>
      <c r="J640" s="3">
        <v>1511.02</v>
      </c>
      <c r="K640" s="4">
        <v>1240656.0765</v>
      </c>
      <c r="L640" s="4">
        <v>0.55362293318722533</v>
      </c>
      <c r="M640" s="3">
        <v>7</v>
      </c>
      <c r="N640" t="s">
        <v>1590</v>
      </c>
      <c r="O640" s="4">
        <v>0</v>
      </c>
      <c r="P640" t="s">
        <v>23</v>
      </c>
      <c r="Q640" t="s">
        <v>1591</v>
      </c>
      <c r="R640" t="s">
        <v>1592</v>
      </c>
    </row>
    <row r="641" spans="1:18" x14ac:dyDescent="0.4">
      <c r="A641" s="2">
        <v>45918</v>
      </c>
      <c r="B641" t="s">
        <v>24</v>
      </c>
      <c r="C641" t="s">
        <v>747</v>
      </c>
      <c r="D641" s="3" t="str">
        <f t="shared" si="18"/>
        <v>PASS</v>
      </c>
      <c r="E641" s="3" t="str">
        <f t="shared" si="19"/>
        <v>PASS</v>
      </c>
      <c r="F641" t="s">
        <v>747</v>
      </c>
      <c r="G641" t="s">
        <v>747</v>
      </c>
      <c r="H641" s="3">
        <v>136564466.80000001</v>
      </c>
      <c r="I641" s="3">
        <v>159490483.88</v>
      </c>
      <c r="J641" s="3">
        <v>8780.5</v>
      </c>
      <c r="K641" s="4">
        <v>6828223.3400000008</v>
      </c>
      <c r="L641" s="4">
        <v>0.4378541704256636</v>
      </c>
      <c r="M641" s="3">
        <v>5</v>
      </c>
      <c r="N641" t="s">
        <v>1593</v>
      </c>
      <c r="O641" s="4">
        <v>0</v>
      </c>
      <c r="P641" t="s">
        <v>23</v>
      </c>
      <c r="Q641" t="s">
        <v>1594</v>
      </c>
      <c r="R641" t="s">
        <v>1595</v>
      </c>
    </row>
    <row r="642" spans="1:18" x14ac:dyDescent="0.4">
      <c r="A642" s="2">
        <v>45918</v>
      </c>
      <c r="B642" t="s">
        <v>25</v>
      </c>
      <c r="C642" t="s">
        <v>747</v>
      </c>
      <c r="D642" s="3" t="str">
        <f t="shared" ref="D642:D705" si="20">IF(I642/H642&gt;=0.5,"PASS","FAIL")</f>
        <v>PASS</v>
      </c>
      <c r="E642" s="3" t="str">
        <f t="shared" ref="E642:E705" si="21">IF(L642&lt;=0.5,"PASS","FAIL")</f>
        <v>PASS</v>
      </c>
      <c r="F642" t="s">
        <v>747</v>
      </c>
      <c r="G642" t="s">
        <v>747</v>
      </c>
      <c r="H642" s="3">
        <v>101828595.05</v>
      </c>
      <c r="I642" s="3">
        <v>110842814.62</v>
      </c>
      <c r="J642" s="3">
        <v>6735.07</v>
      </c>
      <c r="K642" s="4">
        <v>5091429.7525000004</v>
      </c>
      <c r="L642" s="4">
        <v>0.28669269372284573</v>
      </c>
      <c r="M642" s="3">
        <v>4</v>
      </c>
      <c r="N642" t="s">
        <v>1596</v>
      </c>
      <c r="O642" s="4">
        <v>0</v>
      </c>
      <c r="P642" t="s">
        <v>23</v>
      </c>
      <c r="Q642" t="s">
        <v>1597</v>
      </c>
      <c r="R642" t="s">
        <v>1598</v>
      </c>
    </row>
    <row r="643" spans="1:18" x14ac:dyDescent="0.4">
      <c r="A643" s="2">
        <v>45918</v>
      </c>
      <c r="B643" t="s">
        <v>26</v>
      </c>
      <c r="C643" t="s">
        <v>747</v>
      </c>
      <c r="D643" s="3" t="str">
        <f t="shared" si="20"/>
        <v>PASS</v>
      </c>
      <c r="E643" s="3" t="str">
        <f t="shared" si="21"/>
        <v>PASS</v>
      </c>
      <c r="F643" t="s">
        <v>747</v>
      </c>
      <c r="G643" t="s">
        <v>747</v>
      </c>
      <c r="H643" s="3">
        <v>23573350.859999999</v>
      </c>
      <c r="I643" s="3">
        <v>25707245.65000001</v>
      </c>
      <c r="J643" s="3">
        <v>1568.92</v>
      </c>
      <c r="K643" s="4">
        <v>1178667.5430000001</v>
      </c>
      <c r="L643" s="4">
        <v>0.29475096557446789</v>
      </c>
      <c r="M643" s="3">
        <v>4</v>
      </c>
      <c r="N643" t="s">
        <v>1599</v>
      </c>
      <c r="O643" s="4">
        <v>0</v>
      </c>
      <c r="P643" t="s">
        <v>23</v>
      </c>
      <c r="Q643" t="s">
        <v>1600</v>
      </c>
      <c r="R643" t="s">
        <v>1601</v>
      </c>
    </row>
    <row r="644" spans="1:18" x14ac:dyDescent="0.4">
      <c r="A644" s="2">
        <v>45918</v>
      </c>
      <c r="B644" t="s">
        <v>27</v>
      </c>
      <c r="C644" t="s">
        <v>747</v>
      </c>
      <c r="D644" s="3" t="str">
        <f t="shared" si="20"/>
        <v>PASS</v>
      </c>
      <c r="E644" s="3" t="str">
        <f t="shared" si="21"/>
        <v>FAIL</v>
      </c>
      <c r="F644" t="s">
        <v>747</v>
      </c>
      <c r="G644" t="s">
        <v>747</v>
      </c>
      <c r="H644" s="3">
        <v>43679573.350000001</v>
      </c>
      <c r="I644" s="3">
        <v>53377340.950000003</v>
      </c>
      <c r="J644" s="3">
        <v>2703.01</v>
      </c>
      <c r="K644" s="4">
        <v>2183978.6675</v>
      </c>
      <c r="L644" s="4">
        <v>0.52154023266287419</v>
      </c>
      <c r="M644" s="3">
        <v>5</v>
      </c>
      <c r="N644" t="s">
        <v>1602</v>
      </c>
      <c r="O644" s="4">
        <v>0</v>
      </c>
      <c r="P644" t="s">
        <v>23</v>
      </c>
      <c r="Q644" t="s">
        <v>1603</v>
      </c>
      <c r="R644" t="s">
        <v>1604</v>
      </c>
    </row>
    <row r="645" spans="1:18" x14ac:dyDescent="0.4">
      <c r="A645" s="2">
        <v>45918</v>
      </c>
      <c r="B645" t="s">
        <v>28</v>
      </c>
      <c r="C645" t="s">
        <v>747</v>
      </c>
      <c r="D645" s="3" t="str">
        <f t="shared" si="20"/>
        <v>PASS</v>
      </c>
      <c r="E645" s="3" t="str">
        <f t="shared" si="21"/>
        <v>PASS</v>
      </c>
      <c r="F645" t="s">
        <v>747</v>
      </c>
      <c r="G645" t="s">
        <v>747</v>
      </c>
      <c r="H645" s="3">
        <v>15443455.75</v>
      </c>
      <c r="I645" s="3">
        <v>18040787.27</v>
      </c>
      <c r="J645" s="3">
        <v>999.41</v>
      </c>
      <c r="K645" s="4">
        <v>772172.78750000009</v>
      </c>
      <c r="L645" s="4">
        <v>0.42832085643249229</v>
      </c>
      <c r="M645" s="3">
        <v>5</v>
      </c>
      <c r="N645" t="s">
        <v>1605</v>
      </c>
      <c r="O645" s="4">
        <v>0</v>
      </c>
      <c r="P645" t="s">
        <v>23</v>
      </c>
      <c r="Q645" t="s">
        <v>1606</v>
      </c>
      <c r="R645" t="s">
        <v>1607</v>
      </c>
    </row>
    <row r="646" spans="1:18" x14ac:dyDescent="0.4">
      <c r="A646" s="2">
        <v>45918</v>
      </c>
      <c r="B646" t="s">
        <v>29</v>
      </c>
      <c r="C646" t="s">
        <v>747</v>
      </c>
      <c r="D646" s="3" t="str">
        <f t="shared" si="20"/>
        <v>PASS</v>
      </c>
      <c r="E646" s="3" t="str">
        <f t="shared" si="21"/>
        <v>PASS</v>
      </c>
      <c r="F646" t="s">
        <v>747</v>
      </c>
      <c r="G646" t="s">
        <v>747</v>
      </c>
      <c r="H646" s="3">
        <v>34845174.710000001</v>
      </c>
      <c r="I646" s="3">
        <v>37635628.820000008</v>
      </c>
      <c r="J646" s="3">
        <v>2365.58</v>
      </c>
      <c r="K646" s="4">
        <v>1742258.7355</v>
      </c>
      <c r="L646" s="4">
        <v>0.28236512750959619</v>
      </c>
      <c r="M646" s="3">
        <v>4</v>
      </c>
      <c r="N646" t="s">
        <v>1608</v>
      </c>
      <c r="O646" s="4">
        <v>0</v>
      </c>
      <c r="P646" t="s">
        <v>23</v>
      </c>
      <c r="Q646" t="s">
        <v>1609</v>
      </c>
      <c r="R646" t="s">
        <v>1610</v>
      </c>
    </row>
    <row r="647" spans="1:18" x14ac:dyDescent="0.4">
      <c r="A647" s="2">
        <v>45918</v>
      </c>
      <c r="B647" t="s">
        <v>30</v>
      </c>
      <c r="C647" t="s">
        <v>747</v>
      </c>
      <c r="D647" s="3" t="str">
        <f t="shared" si="20"/>
        <v>PASS</v>
      </c>
      <c r="E647" s="3" t="str">
        <f t="shared" si="21"/>
        <v>PASS</v>
      </c>
      <c r="F647" t="s">
        <v>747</v>
      </c>
      <c r="G647" t="s">
        <v>747</v>
      </c>
      <c r="H647" s="3">
        <v>54968752.82</v>
      </c>
      <c r="I647" s="3">
        <v>60140447.539999999</v>
      </c>
      <c r="J647" s="3">
        <v>3637.21</v>
      </c>
      <c r="K647" s="4">
        <v>2748437.6409999998</v>
      </c>
      <c r="L647" s="4">
        <v>8.6266834053676508E-2</v>
      </c>
      <c r="M647" s="3">
        <v>1</v>
      </c>
      <c r="N647" t="s">
        <v>1611</v>
      </c>
      <c r="O647" s="4">
        <v>0</v>
      </c>
      <c r="P647" t="s">
        <v>23</v>
      </c>
      <c r="Q647" t="s">
        <v>1612</v>
      </c>
      <c r="R647" t="s">
        <v>1613</v>
      </c>
    </row>
    <row r="648" spans="1:18" x14ac:dyDescent="0.4">
      <c r="A648" s="2">
        <v>45918</v>
      </c>
      <c r="B648" t="s">
        <v>31</v>
      </c>
      <c r="C648" t="s">
        <v>747</v>
      </c>
      <c r="D648" s="3" t="str">
        <f t="shared" si="20"/>
        <v>PASS</v>
      </c>
      <c r="E648" s="3" t="str">
        <f t="shared" si="21"/>
        <v>PASS</v>
      </c>
      <c r="F648" t="s">
        <v>747</v>
      </c>
      <c r="G648" t="s">
        <v>747</v>
      </c>
      <c r="H648" s="3">
        <v>40527520.280000001</v>
      </c>
      <c r="I648" s="3">
        <v>46221972.010000013</v>
      </c>
      <c r="J648" s="3">
        <v>2558.2600000000002</v>
      </c>
      <c r="K648" s="4">
        <v>2026376.014</v>
      </c>
      <c r="L648" s="4">
        <v>0.46592858744725502</v>
      </c>
      <c r="M648" s="3">
        <v>6</v>
      </c>
      <c r="N648" t="s">
        <v>1614</v>
      </c>
      <c r="O648" s="4">
        <v>0</v>
      </c>
      <c r="P648" t="s">
        <v>23</v>
      </c>
      <c r="Q648" t="s">
        <v>1615</v>
      </c>
      <c r="R648" t="s">
        <v>1616</v>
      </c>
    </row>
    <row r="649" spans="1:18" x14ac:dyDescent="0.4">
      <c r="A649" s="2">
        <v>45918</v>
      </c>
      <c r="B649" t="s">
        <v>32</v>
      </c>
      <c r="C649" t="s">
        <v>747</v>
      </c>
      <c r="D649" s="3" t="str">
        <f t="shared" si="20"/>
        <v>PASS</v>
      </c>
      <c r="E649" s="3" t="str">
        <f t="shared" si="21"/>
        <v>PASS</v>
      </c>
      <c r="F649" t="s">
        <v>747</v>
      </c>
      <c r="G649" t="s">
        <v>747</v>
      </c>
      <c r="H649" s="3">
        <v>79287497.430000007</v>
      </c>
      <c r="I649" s="3">
        <v>89841075.299999997</v>
      </c>
      <c r="J649" s="3">
        <v>5172.7299999999996</v>
      </c>
      <c r="K649" s="4">
        <v>3964374.8714999999</v>
      </c>
      <c r="L649" s="4">
        <v>0.39311984270940481</v>
      </c>
      <c r="M649" s="3">
        <v>5</v>
      </c>
      <c r="N649" t="s">
        <v>1617</v>
      </c>
      <c r="O649" s="4">
        <v>0</v>
      </c>
      <c r="P649" t="s">
        <v>23</v>
      </c>
      <c r="Q649" t="s">
        <v>1618</v>
      </c>
      <c r="R649" t="s">
        <v>1619</v>
      </c>
    </row>
    <row r="650" spans="1:18" x14ac:dyDescent="0.4">
      <c r="A650" s="2">
        <v>45918</v>
      </c>
      <c r="B650" t="s">
        <v>33</v>
      </c>
      <c r="C650" t="s">
        <v>747</v>
      </c>
      <c r="D650" s="3" t="str">
        <f t="shared" si="20"/>
        <v>PASS</v>
      </c>
      <c r="E650" s="3" t="str">
        <f t="shared" si="21"/>
        <v>FAIL</v>
      </c>
      <c r="F650" t="s">
        <v>747</v>
      </c>
      <c r="G650" t="s">
        <v>747</v>
      </c>
      <c r="H650" s="3">
        <v>167709097.06</v>
      </c>
      <c r="I650" s="3">
        <v>193202407.03999999</v>
      </c>
      <c r="J650" s="3">
        <v>10400.040000000001</v>
      </c>
      <c r="K650" s="4">
        <v>8385454.8530000001</v>
      </c>
      <c r="L650" s="4">
        <v>0.51635830334482857</v>
      </c>
      <c r="M650" s="3">
        <v>6</v>
      </c>
      <c r="N650" t="s">
        <v>1620</v>
      </c>
      <c r="O650" s="4">
        <v>0</v>
      </c>
      <c r="P650" t="s">
        <v>23</v>
      </c>
      <c r="Q650" t="s">
        <v>1621</v>
      </c>
      <c r="R650" t="s">
        <v>1622</v>
      </c>
    </row>
    <row r="651" spans="1:18" x14ac:dyDescent="0.4">
      <c r="A651" s="2">
        <v>45919</v>
      </c>
      <c r="B651" t="s">
        <v>21</v>
      </c>
      <c r="C651" t="s">
        <v>747</v>
      </c>
      <c r="D651" s="3" t="str">
        <f t="shared" si="20"/>
        <v>PASS</v>
      </c>
      <c r="E651" s="3" t="str">
        <f t="shared" si="21"/>
        <v>PASS</v>
      </c>
      <c r="F651" t="s">
        <v>747</v>
      </c>
      <c r="G651" t="s">
        <v>747</v>
      </c>
      <c r="H651" s="3">
        <v>24913412.23</v>
      </c>
      <c r="I651" s="3">
        <v>29071465.73</v>
      </c>
      <c r="J651" s="3">
        <v>4539.57</v>
      </c>
      <c r="K651" s="4">
        <v>1245670.6115000001</v>
      </c>
      <c r="L651" s="4">
        <v>0.49843410298138502</v>
      </c>
      <c r="M651" s="3">
        <v>6</v>
      </c>
      <c r="N651" t="s">
        <v>1623</v>
      </c>
      <c r="O651" s="4">
        <v>0</v>
      </c>
      <c r="P651" t="s">
        <v>23</v>
      </c>
      <c r="Q651" t="s">
        <v>1624</v>
      </c>
      <c r="R651" t="s">
        <v>1625</v>
      </c>
    </row>
    <row r="652" spans="1:18" x14ac:dyDescent="0.4">
      <c r="A652" s="2">
        <v>45919</v>
      </c>
      <c r="B652" t="s">
        <v>24</v>
      </c>
      <c r="C652" t="s">
        <v>747</v>
      </c>
      <c r="D652" s="3" t="str">
        <f t="shared" si="20"/>
        <v>PASS</v>
      </c>
      <c r="E652" s="3" t="str">
        <f t="shared" si="21"/>
        <v>PASS</v>
      </c>
      <c r="F652" t="s">
        <v>747</v>
      </c>
      <c r="G652" t="s">
        <v>747</v>
      </c>
      <c r="H652" s="3">
        <v>137161907.34</v>
      </c>
      <c r="I652" s="3">
        <v>160556154.00999999</v>
      </c>
      <c r="J652" s="3">
        <v>26392.17</v>
      </c>
      <c r="K652" s="4">
        <v>6858095.3670000006</v>
      </c>
      <c r="L652" s="4">
        <v>0.44307341485189128</v>
      </c>
      <c r="M652" s="3">
        <v>5</v>
      </c>
      <c r="N652" t="s">
        <v>1626</v>
      </c>
      <c r="O652" s="4">
        <v>0</v>
      </c>
      <c r="P652" t="s">
        <v>23</v>
      </c>
      <c r="Q652" t="s">
        <v>1627</v>
      </c>
      <c r="R652" t="s">
        <v>1628</v>
      </c>
    </row>
    <row r="653" spans="1:18" x14ac:dyDescent="0.4">
      <c r="A653" s="2">
        <v>45919</v>
      </c>
      <c r="B653" t="s">
        <v>25</v>
      </c>
      <c r="C653" t="s">
        <v>747</v>
      </c>
      <c r="D653" s="3" t="str">
        <f t="shared" si="20"/>
        <v>PASS</v>
      </c>
      <c r="E653" s="3" t="str">
        <f t="shared" si="21"/>
        <v>PASS</v>
      </c>
      <c r="F653" t="s">
        <v>747</v>
      </c>
      <c r="G653" t="s">
        <v>747</v>
      </c>
      <c r="H653" s="3">
        <v>102251836.43000001</v>
      </c>
      <c r="I653" s="3">
        <v>111484016.06</v>
      </c>
      <c r="J653" s="3">
        <v>20232.900000000001</v>
      </c>
      <c r="K653" s="4">
        <v>5112591.8215000005</v>
      </c>
      <c r="L653" s="4">
        <v>0.2899238853181253</v>
      </c>
      <c r="M653" s="3">
        <v>4</v>
      </c>
      <c r="N653" t="s">
        <v>1629</v>
      </c>
      <c r="O653" s="4">
        <v>0</v>
      </c>
      <c r="P653" t="s">
        <v>23</v>
      </c>
      <c r="Q653" t="s">
        <v>1630</v>
      </c>
      <c r="R653" t="s">
        <v>1631</v>
      </c>
    </row>
    <row r="654" spans="1:18" x14ac:dyDescent="0.4">
      <c r="A654" s="2">
        <v>45919</v>
      </c>
      <c r="B654" t="s">
        <v>26</v>
      </c>
      <c r="C654" t="s">
        <v>747</v>
      </c>
      <c r="D654" s="3" t="str">
        <f t="shared" si="20"/>
        <v>PASS</v>
      </c>
      <c r="E654" s="3" t="str">
        <f t="shared" si="21"/>
        <v>PASS</v>
      </c>
      <c r="F654" t="s">
        <v>747</v>
      </c>
      <c r="G654" t="s">
        <v>747</v>
      </c>
      <c r="H654" s="3">
        <v>23674534.41</v>
      </c>
      <c r="I654" s="3">
        <v>25861944.690000001</v>
      </c>
      <c r="J654" s="3">
        <v>4715.43</v>
      </c>
      <c r="K654" s="4">
        <v>1183726.7205000001</v>
      </c>
      <c r="L654" s="4">
        <v>0.29778501667777407</v>
      </c>
      <c r="M654" s="3">
        <v>4</v>
      </c>
      <c r="N654" t="s">
        <v>1632</v>
      </c>
      <c r="O654" s="4">
        <v>0</v>
      </c>
      <c r="P654" t="s">
        <v>23</v>
      </c>
      <c r="Q654" t="s">
        <v>1633</v>
      </c>
      <c r="R654" t="s">
        <v>1598</v>
      </c>
    </row>
    <row r="655" spans="1:18" x14ac:dyDescent="0.4">
      <c r="A655" s="2">
        <v>45919</v>
      </c>
      <c r="B655" t="s">
        <v>27</v>
      </c>
      <c r="C655" t="s">
        <v>747</v>
      </c>
      <c r="D655" s="3" t="str">
        <f t="shared" si="20"/>
        <v>PASS</v>
      </c>
      <c r="E655" s="3" t="str">
        <f t="shared" si="21"/>
        <v>FAIL</v>
      </c>
      <c r="F655" t="s">
        <v>747</v>
      </c>
      <c r="G655" t="s">
        <v>747</v>
      </c>
      <c r="H655" s="3">
        <v>43873425.82</v>
      </c>
      <c r="I655" s="3">
        <v>53735527.359999992</v>
      </c>
      <c r="J655" s="3">
        <v>8124.63</v>
      </c>
      <c r="K655" s="4">
        <v>2193671.2910000002</v>
      </c>
      <c r="L655" s="4">
        <v>0.52717309875591267</v>
      </c>
      <c r="M655" s="3">
        <v>5</v>
      </c>
      <c r="N655" t="s">
        <v>1634</v>
      </c>
      <c r="O655" s="4">
        <v>0</v>
      </c>
      <c r="P655" t="s">
        <v>23</v>
      </c>
      <c r="Q655" t="s">
        <v>1635</v>
      </c>
      <c r="R655" t="s">
        <v>1636</v>
      </c>
    </row>
    <row r="656" spans="1:18" x14ac:dyDescent="0.4">
      <c r="A656" s="2">
        <v>45919</v>
      </c>
      <c r="B656" t="s">
        <v>28</v>
      </c>
      <c r="C656" t="s">
        <v>747</v>
      </c>
      <c r="D656" s="3" t="str">
        <f t="shared" si="20"/>
        <v>PASS</v>
      </c>
      <c r="E656" s="3" t="str">
        <f t="shared" si="21"/>
        <v>PASS</v>
      </c>
      <c r="F656" t="s">
        <v>747</v>
      </c>
      <c r="G656" t="s">
        <v>747</v>
      </c>
      <c r="H656" s="3">
        <v>15512465.68</v>
      </c>
      <c r="I656" s="3">
        <v>18156408.030000001</v>
      </c>
      <c r="J656" s="3">
        <v>3003.42</v>
      </c>
      <c r="K656" s="4">
        <v>775623.28399999999</v>
      </c>
      <c r="L656" s="4">
        <v>0.43320857702450799</v>
      </c>
      <c r="M656" s="3">
        <v>5</v>
      </c>
      <c r="N656" t="s">
        <v>1637</v>
      </c>
      <c r="O656" s="4">
        <v>0</v>
      </c>
      <c r="P656" t="s">
        <v>23</v>
      </c>
      <c r="Q656" t="s">
        <v>1638</v>
      </c>
      <c r="R656" t="s">
        <v>1616</v>
      </c>
    </row>
    <row r="657" spans="1:18" x14ac:dyDescent="0.4">
      <c r="A657" s="2">
        <v>45919</v>
      </c>
      <c r="B657" t="s">
        <v>29</v>
      </c>
      <c r="C657" t="s">
        <v>747</v>
      </c>
      <c r="D657" s="3" t="str">
        <f t="shared" si="20"/>
        <v>PASS</v>
      </c>
      <c r="E657" s="3" t="str">
        <f t="shared" si="21"/>
        <v>PASS</v>
      </c>
      <c r="F657" t="s">
        <v>747</v>
      </c>
      <c r="G657" t="s">
        <v>747</v>
      </c>
      <c r="H657" s="3">
        <v>35005584.299999997</v>
      </c>
      <c r="I657" s="3">
        <v>37866674.539999999</v>
      </c>
      <c r="J657" s="3">
        <v>7111.98</v>
      </c>
      <c r="K657" s="4">
        <v>1750279.2150000001</v>
      </c>
      <c r="L657" s="4">
        <v>0.28522827496524389</v>
      </c>
      <c r="M657" s="3">
        <v>4</v>
      </c>
      <c r="N657" t="s">
        <v>1639</v>
      </c>
      <c r="O657" s="4">
        <v>0</v>
      </c>
      <c r="P657" t="s">
        <v>23</v>
      </c>
      <c r="Q657" t="s">
        <v>1609</v>
      </c>
      <c r="R657" t="s">
        <v>1640</v>
      </c>
    </row>
    <row r="658" spans="1:18" x14ac:dyDescent="0.4">
      <c r="A658" s="2">
        <v>45919</v>
      </c>
      <c r="B658" t="s">
        <v>30</v>
      </c>
      <c r="C658" t="s">
        <v>747</v>
      </c>
      <c r="D658" s="3" t="str">
        <f t="shared" si="20"/>
        <v>PASS</v>
      </c>
      <c r="E658" s="3" t="str">
        <f t="shared" si="21"/>
        <v>PASS</v>
      </c>
      <c r="F658" t="s">
        <v>747</v>
      </c>
      <c r="G658" t="s">
        <v>747</v>
      </c>
      <c r="H658" s="3">
        <v>54803891.590000004</v>
      </c>
      <c r="I658" s="3">
        <v>60094057.899999999</v>
      </c>
      <c r="J658" s="3">
        <v>10993.65</v>
      </c>
      <c r="K658" s="4">
        <v>2740194.5795</v>
      </c>
      <c r="L658" s="4">
        <v>8.806936213654136E-2</v>
      </c>
      <c r="M658" s="3">
        <v>1</v>
      </c>
      <c r="N658" t="s">
        <v>1641</v>
      </c>
      <c r="O658" s="4">
        <v>0</v>
      </c>
      <c r="P658" t="s">
        <v>23</v>
      </c>
      <c r="Q658" t="s">
        <v>1642</v>
      </c>
      <c r="R658" t="s">
        <v>1643</v>
      </c>
    </row>
    <row r="659" spans="1:18" x14ac:dyDescent="0.4">
      <c r="A659" s="2">
        <v>45919</v>
      </c>
      <c r="B659" t="s">
        <v>31</v>
      </c>
      <c r="C659" t="s">
        <v>747</v>
      </c>
      <c r="D659" s="3" t="str">
        <f t="shared" si="20"/>
        <v>PASS</v>
      </c>
      <c r="E659" s="3" t="str">
        <f t="shared" si="21"/>
        <v>PASS</v>
      </c>
      <c r="F659" t="s">
        <v>747</v>
      </c>
      <c r="G659" t="s">
        <v>747</v>
      </c>
      <c r="H659" s="3">
        <v>40698560.100000001</v>
      </c>
      <c r="I659" s="3">
        <v>46494525.960000001</v>
      </c>
      <c r="J659" s="3">
        <v>7686.9</v>
      </c>
      <c r="K659" s="4">
        <v>2034928.0049999999</v>
      </c>
      <c r="L659" s="4">
        <v>0.46993485383422168</v>
      </c>
      <c r="M659" s="3">
        <v>6</v>
      </c>
      <c r="N659" t="s">
        <v>1644</v>
      </c>
      <c r="O659" s="4">
        <v>0</v>
      </c>
      <c r="P659" t="s">
        <v>23</v>
      </c>
      <c r="Q659" t="s">
        <v>1645</v>
      </c>
      <c r="R659" t="s">
        <v>1646</v>
      </c>
    </row>
    <row r="660" spans="1:18" x14ac:dyDescent="0.4">
      <c r="A660" s="2">
        <v>45919</v>
      </c>
      <c r="B660" t="s">
        <v>32</v>
      </c>
      <c r="C660" t="s">
        <v>747</v>
      </c>
      <c r="D660" s="3" t="str">
        <f t="shared" si="20"/>
        <v>PASS</v>
      </c>
      <c r="E660" s="3" t="str">
        <f t="shared" si="21"/>
        <v>PASS</v>
      </c>
      <c r="F660" t="s">
        <v>747</v>
      </c>
      <c r="G660" t="s">
        <v>747</v>
      </c>
      <c r="H660" s="3">
        <v>79643231.370000005</v>
      </c>
      <c r="I660" s="3">
        <v>90413488.049999982</v>
      </c>
      <c r="J660" s="3">
        <v>15547.5</v>
      </c>
      <c r="K660" s="4">
        <v>3982161.568500001</v>
      </c>
      <c r="L660" s="4">
        <v>0.39764807890021409</v>
      </c>
      <c r="M660" s="3">
        <v>5</v>
      </c>
      <c r="N660" t="s">
        <v>1647</v>
      </c>
      <c r="O660" s="4">
        <v>0</v>
      </c>
      <c r="P660" t="s">
        <v>23</v>
      </c>
      <c r="Q660" t="s">
        <v>1648</v>
      </c>
      <c r="R660" t="s">
        <v>1649</v>
      </c>
    </row>
    <row r="661" spans="1:18" x14ac:dyDescent="0.4">
      <c r="A661" s="2">
        <v>45919</v>
      </c>
      <c r="B661" t="s">
        <v>33</v>
      </c>
      <c r="C661" t="s">
        <v>747</v>
      </c>
      <c r="D661" s="3" t="str">
        <f t="shared" si="20"/>
        <v>PASS</v>
      </c>
      <c r="E661" s="3" t="str">
        <f t="shared" si="21"/>
        <v>FAIL</v>
      </c>
      <c r="F661" t="s">
        <v>747</v>
      </c>
      <c r="G661" t="s">
        <v>747</v>
      </c>
      <c r="H661" s="3">
        <v>168351067.34999999</v>
      </c>
      <c r="I661" s="3">
        <v>194374755.56</v>
      </c>
      <c r="J661" s="3">
        <v>31247.279999999999</v>
      </c>
      <c r="K661" s="4">
        <v>8417553.3674999997</v>
      </c>
      <c r="L661" s="4">
        <v>0.52053813454818854</v>
      </c>
      <c r="M661" s="3">
        <v>6</v>
      </c>
      <c r="N661" t="s">
        <v>1650</v>
      </c>
      <c r="O661" s="4">
        <v>0</v>
      </c>
      <c r="P661" t="s">
        <v>23</v>
      </c>
      <c r="Q661" t="s">
        <v>1651</v>
      </c>
      <c r="R661" t="s">
        <v>1625</v>
      </c>
    </row>
    <row r="662" spans="1:18" x14ac:dyDescent="0.4">
      <c r="A662" s="2">
        <v>45922</v>
      </c>
      <c r="B662" t="s">
        <v>21</v>
      </c>
      <c r="C662" t="s">
        <v>747</v>
      </c>
      <c r="D662" s="3" t="str">
        <f t="shared" si="20"/>
        <v>PASS</v>
      </c>
      <c r="E662" s="3" t="str">
        <f t="shared" si="21"/>
        <v>FAIL</v>
      </c>
      <c r="F662" t="s">
        <v>747</v>
      </c>
      <c r="G662" t="s">
        <v>747</v>
      </c>
      <c r="H662" s="3">
        <v>24970719.84</v>
      </c>
      <c r="I662" s="3">
        <v>29183736.030000001</v>
      </c>
      <c r="J662" s="3">
        <v>1520.14</v>
      </c>
      <c r="K662" s="4">
        <v>1248535.9920000001</v>
      </c>
      <c r="L662" s="4">
        <v>0.504464110464656</v>
      </c>
      <c r="M662" s="3">
        <v>6</v>
      </c>
      <c r="N662" t="s">
        <v>1652</v>
      </c>
      <c r="O662" s="4">
        <v>0</v>
      </c>
      <c r="P662" t="s">
        <v>23</v>
      </c>
      <c r="Q662" t="s">
        <v>1653</v>
      </c>
      <c r="R662" t="s">
        <v>1654</v>
      </c>
    </row>
    <row r="663" spans="1:18" x14ac:dyDescent="0.4">
      <c r="A663" s="2">
        <v>45922</v>
      </c>
      <c r="B663" t="s">
        <v>24</v>
      </c>
      <c r="C663" t="s">
        <v>747</v>
      </c>
      <c r="D663" s="3" t="str">
        <f t="shared" si="20"/>
        <v>PASS</v>
      </c>
      <c r="E663" s="3" t="str">
        <f t="shared" si="21"/>
        <v>PASS</v>
      </c>
      <c r="F663" t="s">
        <v>747</v>
      </c>
      <c r="G663" t="s">
        <v>747</v>
      </c>
      <c r="H663" s="3">
        <v>137601451.28999999</v>
      </c>
      <c r="I663" s="3">
        <v>161276570.09</v>
      </c>
      <c r="J663" s="3">
        <v>8838.85</v>
      </c>
      <c r="K663" s="4">
        <v>6880072.5645000003</v>
      </c>
      <c r="L663" s="4">
        <v>0.44798082073485412</v>
      </c>
      <c r="M663" s="3">
        <v>5</v>
      </c>
      <c r="N663" t="s">
        <v>1655</v>
      </c>
      <c r="O663" s="4">
        <v>0</v>
      </c>
      <c r="P663" t="s">
        <v>23</v>
      </c>
      <c r="Q663" t="s">
        <v>1656</v>
      </c>
      <c r="R663" t="s">
        <v>1648</v>
      </c>
    </row>
    <row r="664" spans="1:18" x14ac:dyDescent="0.4">
      <c r="A664" s="2">
        <v>45922</v>
      </c>
      <c r="B664" t="s">
        <v>25</v>
      </c>
      <c r="C664" t="s">
        <v>747</v>
      </c>
      <c r="D664" s="3" t="str">
        <f t="shared" si="20"/>
        <v>PASS</v>
      </c>
      <c r="E664" s="3" t="str">
        <f t="shared" si="21"/>
        <v>PASS</v>
      </c>
      <c r="F664" t="s">
        <v>747</v>
      </c>
      <c r="G664" t="s">
        <v>747</v>
      </c>
      <c r="H664" s="3">
        <v>102549846.89</v>
      </c>
      <c r="I664" s="3">
        <v>111883763.90000001</v>
      </c>
      <c r="J664" s="3">
        <v>6773.56</v>
      </c>
      <c r="K664" s="4">
        <v>5127492.3445000006</v>
      </c>
      <c r="L664" s="4">
        <v>0.29255397543580991</v>
      </c>
      <c r="M664" s="3">
        <v>4</v>
      </c>
      <c r="N664" t="s">
        <v>1657</v>
      </c>
      <c r="O664" s="4">
        <v>0</v>
      </c>
      <c r="P664" t="s">
        <v>23</v>
      </c>
      <c r="Q664" t="s">
        <v>1658</v>
      </c>
      <c r="R664" t="s">
        <v>1659</v>
      </c>
    </row>
    <row r="665" spans="1:18" x14ac:dyDescent="0.4">
      <c r="A665" s="2">
        <v>45922</v>
      </c>
      <c r="B665" t="s">
        <v>26</v>
      </c>
      <c r="C665" t="s">
        <v>747</v>
      </c>
      <c r="D665" s="3" t="str">
        <f t="shared" si="20"/>
        <v>PASS</v>
      </c>
      <c r="E665" s="3" t="str">
        <f t="shared" si="21"/>
        <v>PASS</v>
      </c>
      <c r="F665" t="s">
        <v>747</v>
      </c>
      <c r="G665" t="s">
        <v>747</v>
      </c>
      <c r="H665" s="3">
        <v>23751338.399999999</v>
      </c>
      <c r="I665" s="3">
        <v>25977273.789999999</v>
      </c>
      <c r="J665" s="3">
        <v>1578.81</v>
      </c>
      <c r="K665" s="4">
        <v>1187566.92</v>
      </c>
      <c r="L665" s="4">
        <v>0.30010704937840849</v>
      </c>
      <c r="M665" s="3">
        <v>4</v>
      </c>
      <c r="N665" t="s">
        <v>1660</v>
      </c>
      <c r="O665" s="4">
        <v>0</v>
      </c>
      <c r="P665" t="s">
        <v>23</v>
      </c>
      <c r="Q665" t="s">
        <v>1661</v>
      </c>
      <c r="R665" t="s">
        <v>1662</v>
      </c>
    </row>
    <row r="666" spans="1:18" x14ac:dyDescent="0.4">
      <c r="A666" s="2">
        <v>45922</v>
      </c>
      <c r="B666" t="s">
        <v>27</v>
      </c>
      <c r="C666" t="s">
        <v>747</v>
      </c>
      <c r="D666" s="3" t="str">
        <f t="shared" si="20"/>
        <v>PASS</v>
      </c>
      <c r="E666" s="3" t="str">
        <f t="shared" si="21"/>
        <v>FAIL</v>
      </c>
      <c r="F666" t="s">
        <v>747</v>
      </c>
      <c r="G666" t="s">
        <v>747</v>
      </c>
      <c r="H666" s="3">
        <v>44003392.530000001</v>
      </c>
      <c r="I666" s="3">
        <v>54020077.779999986</v>
      </c>
      <c r="J666" s="3">
        <v>2721.69</v>
      </c>
      <c r="K666" s="4">
        <v>2200169.6264999998</v>
      </c>
      <c r="L666" s="4">
        <v>0.53328668640652366</v>
      </c>
      <c r="M666" s="3">
        <v>5</v>
      </c>
      <c r="N666" t="s">
        <v>1663</v>
      </c>
      <c r="O666" s="4">
        <v>0</v>
      </c>
      <c r="P666" t="s">
        <v>23</v>
      </c>
      <c r="Q666" t="s">
        <v>1664</v>
      </c>
      <c r="R666" t="s">
        <v>1665</v>
      </c>
    </row>
    <row r="667" spans="1:18" x14ac:dyDescent="0.4">
      <c r="A667" s="2">
        <v>45922</v>
      </c>
      <c r="B667" t="s">
        <v>28</v>
      </c>
      <c r="C667" t="s">
        <v>747</v>
      </c>
      <c r="D667" s="3" t="str">
        <f t="shared" si="20"/>
        <v>PASS</v>
      </c>
      <c r="E667" s="3" t="str">
        <f t="shared" si="21"/>
        <v>PASS</v>
      </c>
      <c r="F667" t="s">
        <v>747</v>
      </c>
      <c r="G667" t="s">
        <v>747</v>
      </c>
      <c r="H667" s="3">
        <v>15557432.380000001</v>
      </c>
      <c r="I667" s="3">
        <v>18219033.41</v>
      </c>
      <c r="J667" s="3">
        <v>1005.93</v>
      </c>
      <c r="K667" s="4">
        <v>777871.61900000006</v>
      </c>
      <c r="L667" s="4">
        <v>0.43821915662757588</v>
      </c>
      <c r="M667" s="3">
        <v>5</v>
      </c>
      <c r="N667" t="s">
        <v>1666</v>
      </c>
      <c r="O667" s="4">
        <v>0</v>
      </c>
      <c r="P667" t="s">
        <v>23</v>
      </c>
      <c r="Q667" t="s">
        <v>1667</v>
      </c>
      <c r="R667" t="s">
        <v>1668</v>
      </c>
    </row>
    <row r="668" spans="1:18" x14ac:dyDescent="0.4">
      <c r="A668" s="2">
        <v>45922</v>
      </c>
      <c r="B668" t="s">
        <v>29</v>
      </c>
      <c r="C668" t="s">
        <v>747</v>
      </c>
      <c r="D668" s="3" t="str">
        <f t="shared" si="20"/>
        <v>PASS</v>
      </c>
      <c r="E668" s="3" t="str">
        <f t="shared" si="21"/>
        <v>PASS</v>
      </c>
      <c r="F668" t="s">
        <v>747</v>
      </c>
      <c r="G668" t="s">
        <v>747</v>
      </c>
      <c r="H668" s="3">
        <v>35125086.450000003</v>
      </c>
      <c r="I668" s="3">
        <v>37997320.710000001</v>
      </c>
      <c r="J668" s="3">
        <v>2381.79</v>
      </c>
      <c r="K668" s="4">
        <v>1756254.3225</v>
      </c>
      <c r="L668" s="4">
        <v>0.28720027538937942</v>
      </c>
      <c r="M668" s="3">
        <v>4</v>
      </c>
      <c r="N668" t="s">
        <v>1669</v>
      </c>
      <c r="O668" s="4">
        <v>0</v>
      </c>
      <c r="P668" t="s">
        <v>23</v>
      </c>
      <c r="Q668" t="s">
        <v>1609</v>
      </c>
      <c r="R668" t="s">
        <v>1670</v>
      </c>
    </row>
    <row r="669" spans="1:18" x14ac:dyDescent="0.4">
      <c r="A669" s="2">
        <v>45922</v>
      </c>
      <c r="B669" t="s">
        <v>30</v>
      </c>
      <c r="C669" t="s">
        <v>747</v>
      </c>
      <c r="D669" s="3" t="str">
        <f t="shared" si="20"/>
        <v>PASS</v>
      </c>
      <c r="E669" s="3" t="str">
        <f t="shared" si="21"/>
        <v>PASS</v>
      </c>
      <c r="F669" t="s">
        <v>747</v>
      </c>
      <c r="G669" t="s">
        <v>747</v>
      </c>
      <c r="H669" s="3">
        <v>54834776.780000001</v>
      </c>
      <c r="I669" s="3">
        <v>60640732.349999987</v>
      </c>
      <c r="J669" s="3">
        <v>3651.78</v>
      </c>
      <c r="K669" s="4">
        <v>2741738.8390000002</v>
      </c>
      <c r="L669" s="4">
        <v>8.9478199048323354E-2</v>
      </c>
      <c r="M669" s="3">
        <v>1</v>
      </c>
      <c r="N669" t="s">
        <v>1671</v>
      </c>
      <c r="O669" s="4">
        <v>0</v>
      </c>
      <c r="P669" t="s">
        <v>23</v>
      </c>
      <c r="Q669" t="s">
        <v>1672</v>
      </c>
      <c r="R669" t="s">
        <v>1673</v>
      </c>
    </row>
    <row r="670" spans="1:18" x14ac:dyDescent="0.4">
      <c r="A670" s="2">
        <v>45922</v>
      </c>
      <c r="B670" t="s">
        <v>31</v>
      </c>
      <c r="C670" t="s">
        <v>747</v>
      </c>
      <c r="D670" s="3" t="str">
        <f t="shared" si="20"/>
        <v>PASS</v>
      </c>
      <c r="E670" s="3" t="str">
        <f t="shared" si="21"/>
        <v>PASS</v>
      </c>
      <c r="F670" t="s">
        <v>747</v>
      </c>
      <c r="G670" t="s">
        <v>747</v>
      </c>
      <c r="H670" s="3">
        <v>40803971.950000003</v>
      </c>
      <c r="I670" s="3">
        <v>46717125.200000003</v>
      </c>
      <c r="J670" s="3">
        <v>2574.16</v>
      </c>
      <c r="K670" s="4">
        <v>2040198.5974999999</v>
      </c>
      <c r="L670" s="4">
        <v>0.47510276627156067</v>
      </c>
      <c r="M670" s="3">
        <v>6</v>
      </c>
      <c r="N670" t="s">
        <v>1674</v>
      </c>
      <c r="O670" s="4">
        <v>0</v>
      </c>
      <c r="P670" t="s">
        <v>23</v>
      </c>
      <c r="Q670" t="s">
        <v>1582</v>
      </c>
      <c r="R670" t="s">
        <v>1675</v>
      </c>
    </row>
    <row r="671" spans="1:18" x14ac:dyDescent="0.4">
      <c r="A671" s="2">
        <v>45922</v>
      </c>
      <c r="B671" t="s">
        <v>32</v>
      </c>
      <c r="C671" t="s">
        <v>747</v>
      </c>
      <c r="D671" s="3" t="str">
        <f t="shared" si="20"/>
        <v>PASS</v>
      </c>
      <c r="E671" s="3" t="str">
        <f t="shared" si="21"/>
        <v>PASS</v>
      </c>
      <c r="F671" t="s">
        <v>747</v>
      </c>
      <c r="G671" t="s">
        <v>747</v>
      </c>
      <c r="H671" s="3">
        <v>79908666.25</v>
      </c>
      <c r="I671" s="3">
        <v>90791984.609999999</v>
      </c>
      <c r="J671" s="3">
        <v>5207.1899999999996</v>
      </c>
      <c r="K671" s="4">
        <v>3995433.3125</v>
      </c>
      <c r="L671" s="4">
        <v>0.40206974810818319</v>
      </c>
      <c r="M671" s="3">
        <v>5</v>
      </c>
      <c r="N671" t="s">
        <v>1676</v>
      </c>
      <c r="O671" s="4">
        <v>0</v>
      </c>
      <c r="P671" t="s">
        <v>23</v>
      </c>
      <c r="Q671" t="s">
        <v>1677</v>
      </c>
      <c r="R671" t="s">
        <v>1678</v>
      </c>
    </row>
    <row r="672" spans="1:18" x14ac:dyDescent="0.4">
      <c r="A672" s="2">
        <v>45922</v>
      </c>
      <c r="B672" t="s">
        <v>33</v>
      </c>
      <c r="C672" t="s">
        <v>747</v>
      </c>
      <c r="D672" s="3" t="str">
        <f t="shared" si="20"/>
        <v>PASS</v>
      </c>
      <c r="E672" s="3" t="str">
        <f t="shared" si="21"/>
        <v>FAIL</v>
      </c>
      <c r="F672" t="s">
        <v>747</v>
      </c>
      <c r="G672" t="s">
        <v>747</v>
      </c>
      <c r="H672" s="3">
        <v>168800915.94999999</v>
      </c>
      <c r="I672" s="3">
        <v>195215532.56999999</v>
      </c>
      <c r="J672" s="3">
        <v>10460.1</v>
      </c>
      <c r="K672" s="4">
        <v>8440045.7974999994</v>
      </c>
      <c r="L672" s="4">
        <v>0.52558322842156147</v>
      </c>
      <c r="M672" s="3">
        <v>6</v>
      </c>
      <c r="N672" t="s">
        <v>1679</v>
      </c>
      <c r="O672" s="4">
        <v>0</v>
      </c>
      <c r="P672" t="s">
        <v>23</v>
      </c>
      <c r="Q672" t="s">
        <v>1680</v>
      </c>
      <c r="R672" t="s">
        <v>1559</v>
      </c>
    </row>
    <row r="673" spans="1:18" x14ac:dyDescent="0.4">
      <c r="A673" s="2">
        <v>45923</v>
      </c>
      <c r="B673" t="s">
        <v>21</v>
      </c>
      <c r="C673" t="s">
        <v>747</v>
      </c>
      <c r="D673" s="3" t="str">
        <f t="shared" si="20"/>
        <v>PASS</v>
      </c>
      <c r="E673" s="3" t="str">
        <f t="shared" si="21"/>
        <v>FAIL</v>
      </c>
      <c r="F673" t="s">
        <v>747</v>
      </c>
      <c r="G673" t="s">
        <v>747</v>
      </c>
      <c r="H673" s="3">
        <v>24923109.859999999</v>
      </c>
      <c r="I673" s="3">
        <v>29194086.77</v>
      </c>
      <c r="J673" s="3">
        <v>1523.92</v>
      </c>
      <c r="K673" s="4">
        <v>1246155.493</v>
      </c>
      <c r="L673" s="4">
        <v>0.56279071832484262</v>
      </c>
      <c r="M673" s="3">
        <v>7</v>
      </c>
      <c r="N673" t="s">
        <v>1681</v>
      </c>
      <c r="O673" s="4">
        <v>0</v>
      </c>
      <c r="P673" t="s">
        <v>23</v>
      </c>
      <c r="Q673" t="s">
        <v>1682</v>
      </c>
      <c r="R673" t="s">
        <v>1683</v>
      </c>
    </row>
    <row r="674" spans="1:18" x14ac:dyDescent="0.4">
      <c r="A674" s="2">
        <v>45923</v>
      </c>
      <c r="B674" t="s">
        <v>24</v>
      </c>
      <c r="C674" t="s">
        <v>747</v>
      </c>
      <c r="D674" s="3" t="str">
        <f t="shared" si="20"/>
        <v>PASS</v>
      </c>
      <c r="E674" s="3" t="str">
        <f t="shared" si="21"/>
        <v>PASS</v>
      </c>
      <c r="F674" t="s">
        <v>747</v>
      </c>
      <c r="G674" t="s">
        <v>747</v>
      </c>
      <c r="H674" s="3">
        <v>137235499.08000001</v>
      </c>
      <c r="I674" s="3">
        <v>161041021.19999999</v>
      </c>
      <c r="J674" s="3">
        <v>8868.27</v>
      </c>
      <c r="K674" s="4">
        <v>6861774.9540000008</v>
      </c>
      <c r="L674" s="4">
        <v>0.44561952353020629</v>
      </c>
      <c r="M674" s="3">
        <v>5</v>
      </c>
      <c r="N674" t="s">
        <v>1684</v>
      </c>
      <c r="O674" s="4">
        <v>0</v>
      </c>
      <c r="P674" t="s">
        <v>23</v>
      </c>
      <c r="Q674" t="s">
        <v>1685</v>
      </c>
      <c r="R674" t="s">
        <v>1618</v>
      </c>
    </row>
    <row r="675" spans="1:18" x14ac:dyDescent="0.4">
      <c r="A675" s="2">
        <v>45923</v>
      </c>
      <c r="B675" t="s">
        <v>25</v>
      </c>
      <c r="C675" t="s">
        <v>747</v>
      </c>
      <c r="D675" s="3" t="str">
        <f t="shared" si="20"/>
        <v>PASS</v>
      </c>
      <c r="E675" s="3" t="str">
        <f t="shared" si="21"/>
        <v>PASS</v>
      </c>
      <c r="F675" t="s">
        <v>747</v>
      </c>
      <c r="G675" t="s">
        <v>747</v>
      </c>
      <c r="H675" s="3">
        <v>102340054.90000001</v>
      </c>
      <c r="I675" s="3">
        <v>111893194.29000001</v>
      </c>
      <c r="J675" s="3">
        <v>6793.39</v>
      </c>
      <c r="K675" s="4">
        <v>5117002.745000001</v>
      </c>
      <c r="L675" s="4">
        <v>0.2923543221090425</v>
      </c>
      <c r="M675" s="3">
        <v>4</v>
      </c>
      <c r="N675" t="s">
        <v>1686</v>
      </c>
      <c r="O675" s="4">
        <v>0</v>
      </c>
      <c r="P675" t="s">
        <v>23</v>
      </c>
      <c r="Q675" t="s">
        <v>1687</v>
      </c>
      <c r="R675" t="s">
        <v>1688</v>
      </c>
    </row>
    <row r="676" spans="1:18" x14ac:dyDescent="0.4">
      <c r="A676" s="2">
        <v>45923</v>
      </c>
      <c r="B676" t="s">
        <v>26</v>
      </c>
      <c r="C676" t="s">
        <v>747</v>
      </c>
      <c r="D676" s="3" t="str">
        <f t="shared" si="20"/>
        <v>PASS</v>
      </c>
      <c r="E676" s="3" t="str">
        <f t="shared" si="21"/>
        <v>PASS</v>
      </c>
      <c r="F676" t="s">
        <v>747</v>
      </c>
      <c r="G676" t="s">
        <v>747</v>
      </c>
      <c r="H676" s="3">
        <v>23695183.059999999</v>
      </c>
      <c r="I676" s="3">
        <v>25938099.73</v>
      </c>
      <c r="J676" s="3">
        <v>1583.87</v>
      </c>
      <c r="K676" s="4">
        <v>1184759.1529999999</v>
      </c>
      <c r="L676" s="4">
        <v>0.30017564990734941</v>
      </c>
      <c r="M676" s="3">
        <v>4</v>
      </c>
      <c r="N676" t="s">
        <v>1689</v>
      </c>
      <c r="O676" s="4">
        <v>0</v>
      </c>
      <c r="P676" t="s">
        <v>23</v>
      </c>
      <c r="Q676" t="s">
        <v>1567</v>
      </c>
      <c r="R676" t="s">
        <v>1690</v>
      </c>
    </row>
    <row r="677" spans="1:18" x14ac:dyDescent="0.4">
      <c r="A677" s="2">
        <v>45923</v>
      </c>
      <c r="B677" t="s">
        <v>27</v>
      </c>
      <c r="C677" t="s">
        <v>747</v>
      </c>
      <c r="D677" s="3" t="str">
        <f t="shared" si="20"/>
        <v>PASS</v>
      </c>
      <c r="E677" s="3" t="str">
        <f t="shared" si="21"/>
        <v>FAIL</v>
      </c>
      <c r="F677" t="s">
        <v>747</v>
      </c>
      <c r="G677" t="s">
        <v>747</v>
      </c>
      <c r="H677" s="3">
        <v>43889760</v>
      </c>
      <c r="I677" s="3">
        <v>53903595.149999999</v>
      </c>
      <c r="J677" s="3">
        <v>2730.36</v>
      </c>
      <c r="K677" s="4">
        <v>2194488</v>
      </c>
      <c r="L677" s="4">
        <v>0.52992866074616629</v>
      </c>
      <c r="M677" s="3">
        <v>5</v>
      </c>
      <c r="N677" t="s">
        <v>1691</v>
      </c>
      <c r="O677" s="4">
        <v>0</v>
      </c>
      <c r="P677" t="s">
        <v>23</v>
      </c>
      <c r="Q677" t="s">
        <v>1692</v>
      </c>
      <c r="R677" t="s">
        <v>1571</v>
      </c>
    </row>
    <row r="678" spans="1:18" x14ac:dyDescent="0.4">
      <c r="A678" s="2">
        <v>45923</v>
      </c>
      <c r="B678" t="s">
        <v>28</v>
      </c>
      <c r="C678" t="s">
        <v>747</v>
      </c>
      <c r="D678" s="3" t="str">
        <f t="shared" si="20"/>
        <v>PASS</v>
      </c>
      <c r="E678" s="3" t="str">
        <f t="shared" si="21"/>
        <v>PASS</v>
      </c>
      <c r="F678" t="s">
        <v>747</v>
      </c>
      <c r="G678" t="s">
        <v>747</v>
      </c>
      <c r="H678" s="3">
        <v>15520964.6</v>
      </c>
      <c r="I678" s="3">
        <v>18213167.370000001</v>
      </c>
      <c r="J678" s="3">
        <v>1008.99</v>
      </c>
      <c r="K678" s="4">
        <v>776048.23</v>
      </c>
      <c r="L678" s="4">
        <v>0.43580700170690001</v>
      </c>
      <c r="M678" s="3">
        <v>5</v>
      </c>
      <c r="N678" t="s">
        <v>1693</v>
      </c>
      <c r="O678" s="4">
        <v>0</v>
      </c>
      <c r="P678" t="s">
        <v>23</v>
      </c>
      <c r="Q678" t="s">
        <v>1694</v>
      </c>
      <c r="R678" t="s">
        <v>1695</v>
      </c>
    </row>
    <row r="679" spans="1:18" x14ac:dyDescent="0.4">
      <c r="A679" s="2">
        <v>45923</v>
      </c>
      <c r="B679" t="s">
        <v>29</v>
      </c>
      <c r="C679" t="s">
        <v>747</v>
      </c>
      <c r="D679" s="3" t="str">
        <f t="shared" si="20"/>
        <v>PASS</v>
      </c>
      <c r="E679" s="3" t="str">
        <f t="shared" si="21"/>
        <v>PASS</v>
      </c>
      <c r="F679" t="s">
        <v>747</v>
      </c>
      <c r="G679" t="s">
        <v>747</v>
      </c>
      <c r="H679" s="3">
        <v>35022904.18</v>
      </c>
      <c r="I679" s="3">
        <v>37958499.07</v>
      </c>
      <c r="J679" s="3">
        <v>2389.8000000000002</v>
      </c>
      <c r="K679" s="4">
        <v>1751145.209</v>
      </c>
      <c r="L679" s="4">
        <v>0.28757085483324468</v>
      </c>
      <c r="M679" s="3">
        <v>4</v>
      </c>
      <c r="N679" t="s">
        <v>1696</v>
      </c>
      <c r="O679" s="4">
        <v>0</v>
      </c>
      <c r="P679" t="s">
        <v>23</v>
      </c>
      <c r="Q679" t="s">
        <v>1697</v>
      </c>
      <c r="R679" t="s">
        <v>1576</v>
      </c>
    </row>
    <row r="680" spans="1:18" x14ac:dyDescent="0.4">
      <c r="A680" s="2">
        <v>45923</v>
      </c>
      <c r="B680" t="s">
        <v>30</v>
      </c>
      <c r="C680" t="s">
        <v>747</v>
      </c>
      <c r="D680" s="3" t="str">
        <f t="shared" si="20"/>
        <v>PASS</v>
      </c>
      <c r="E680" s="3" t="str">
        <f t="shared" si="21"/>
        <v>PASS</v>
      </c>
      <c r="F680" t="s">
        <v>747</v>
      </c>
      <c r="G680" t="s">
        <v>747</v>
      </c>
      <c r="H680" s="3">
        <v>55032196.899999999</v>
      </c>
      <c r="I680" s="3">
        <v>60547895.82</v>
      </c>
      <c r="J680" s="3">
        <v>3653.9</v>
      </c>
      <c r="K680" s="4">
        <v>2751609.8450000002</v>
      </c>
      <c r="L680" s="4">
        <v>8.7572895496398323E-2</v>
      </c>
      <c r="M680" s="3">
        <v>1</v>
      </c>
      <c r="N680" t="s">
        <v>1698</v>
      </c>
      <c r="O680" s="4">
        <v>0</v>
      </c>
      <c r="P680" t="s">
        <v>23</v>
      </c>
      <c r="Q680" t="s">
        <v>1673</v>
      </c>
      <c r="R680" t="s">
        <v>1699</v>
      </c>
    </row>
    <row r="681" spans="1:18" x14ac:dyDescent="0.4">
      <c r="A681" s="2">
        <v>45923</v>
      </c>
      <c r="B681" t="s">
        <v>31</v>
      </c>
      <c r="C681" t="s">
        <v>747</v>
      </c>
      <c r="D681" s="3" t="str">
        <f t="shared" si="20"/>
        <v>PASS</v>
      </c>
      <c r="E681" s="3" t="str">
        <f t="shared" si="21"/>
        <v>PASS</v>
      </c>
      <c r="F681" t="s">
        <v>747</v>
      </c>
      <c r="G681" t="s">
        <v>747</v>
      </c>
      <c r="H681" s="3">
        <v>40718703.460000001</v>
      </c>
      <c r="I681" s="3">
        <v>46666735.57</v>
      </c>
      <c r="J681" s="3">
        <v>2581.23</v>
      </c>
      <c r="K681" s="4">
        <v>2035935.173</v>
      </c>
      <c r="L681" s="4">
        <v>0.47423033976542761</v>
      </c>
      <c r="M681" s="3">
        <v>6</v>
      </c>
      <c r="N681" t="s">
        <v>1700</v>
      </c>
      <c r="O681" s="4">
        <v>0</v>
      </c>
      <c r="P681" t="s">
        <v>23</v>
      </c>
      <c r="Q681" t="s">
        <v>1701</v>
      </c>
      <c r="R681" t="s">
        <v>1702</v>
      </c>
    </row>
    <row r="682" spans="1:18" x14ac:dyDescent="0.4">
      <c r="A682" s="2">
        <v>45923</v>
      </c>
      <c r="B682" t="s">
        <v>32</v>
      </c>
      <c r="C682" t="s">
        <v>747</v>
      </c>
      <c r="D682" s="3" t="str">
        <f t="shared" si="20"/>
        <v>PASS</v>
      </c>
      <c r="E682" s="3" t="str">
        <f t="shared" si="21"/>
        <v>PASS</v>
      </c>
      <c r="F682" t="s">
        <v>747</v>
      </c>
      <c r="G682" t="s">
        <v>747</v>
      </c>
      <c r="H682" s="3">
        <v>79685387.120000005</v>
      </c>
      <c r="I682" s="3">
        <v>90710780.180000007</v>
      </c>
      <c r="J682" s="3">
        <v>5225.3</v>
      </c>
      <c r="K682" s="4">
        <v>3984269.3560000011</v>
      </c>
      <c r="L682" s="4">
        <v>0.40034248449802828</v>
      </c>
      <c r="M682" s="3">
        <v>5</v>
      </c>
      <c r="N682" t="s">
        <v>1703</v>
      </c>
      <c r="O682" s="4">
        <v>0</v>
      </c>
      <c r="P682" t="s">
        <v>23</v>
      </c>
      <c r="Q682" t="s">
        <v>1704</v>
      </c>
      <c r="R682" t="s">
        <v>1705</v>
      </c>
    </row>
    <row r="683" spans="1:18" x14ac:dyDescent="0.4">
      <c r="A683" s="2">
        <v>45923</v>
      </c>
      <c r="B683" t="s">
        <v>33</v>
      </c>
      <c r="C683" t="s">
        <v>747</v>
      </c>
      <c r="D683" s="3" t="str">
        <f t="shared" si="20"/>
        <v>PASS</v>
      </c>
      <c r="E683" s="3" t="str">
        <f t="shared" si="21"/>
        <v>FAIL</v>
      </c>
      <c r="F683" t="s">
        <v>747</v>
      </c>
      <c r="G683" t="s">
        <v>747</v>
      </c>
      <c r="H683" s="3">
        <v>168477169.46000001</v>
      </c>
      <c r="I683" s="3">
        <v>194999867.59999999</v>
      </c>
      <c r="J683" s="3">
        <v>10489.44</v>
      </c>
      <c r="K683" s="4">
        <v>8423858.4730000012</v>
      </c>
      <c r="L683" s="4">
        <v>0.5244784220133385</v>
      </c>
      <c r="M683" s="3">
        <v>6</v>
      </c>
      <c r="N683" t="s">
        <v>1706</v>
      </c>
      <c r="O683" s="4">
        <v>0</v>
      </c>
      <c r="P683" t="s">
        <v>23</v>
      </c>
      <c r="Q683" t="s">
        <v>1707</v>
      </c>
      <c r="R683" t="s">
        <v>1589</v>
      </c>
    </row>
    <row r="684" spans="1:18" x14ac:dyDescent="0.4">
      <c r="A684" s="2">
        <v>45924</v>
      </c>
      <c r="B684" t="s">
        <v>21</v>
      </c>
      <c r="C684" t="s">
        <v>747</v>
      </c>
      <c r="D684" s="3" t="str">
        <f t="shared" si="20"/>
        <v>PASS</v>
      </c>
      <c r="E684" s="3" t="str">
        <f t="shared" si="21"/>
        <v>FAIL</v>
      </c>
      <c r="F684" t="s">
        <v>747</v>
      </c>
      <c r="G684" t="s">
        <v>747</v>
      </c>
      <c r="H684" s="3">
        <v>24915254.050000001</v>
      </c>
      <c r="I684" s="3">
        <v>29047448.609999999</v>
      </c>
      <c r="J684" s="3">
        <v>1520.36</v>
      </c>
      <c r="K684" s="4">
        <v>1245762.7024999999</v>
      </c>
      <c r="L684" s="4">
        <v>0.56004655604334552</v>
      </c>
      <c r="M684" s="3">
        <v>7</v>
      </c>
      <c r="N684" t="s">
        <v>1708</v>
      </c>
      <c r="O684" s="4">
        <v>0</v>
      </c>
      <c r="P684" t="s">
        <v>23</v>
      </c>
      <c r="Q684" t="s">
        <v>1709</v>
      </c>
      <c r="R684" t="s">
        <v>1710</v>
      </c>
    </row>
    <row r="685" spans="1:18" x14ac:dyDescent="0.4">
      <c r="A685" s="2">
        <v>45924</v>
      </c>
      <c r="B685" t="s">
        <v>24</v>
      </c>
      <c r="C685" t="s">
        <v>747</v>
      </c>
      <c r="D685" s="3" t="str">
        <f t="shared" si="20"/>
        <v>PASS</v>
      </c>
      <c r="E685" s="3" t="str">
        <f t="shared" si="21"/>
        <v>PASS</v>
      </c>
      <c r="F685" t="s">
        <v>747</v>
      </c>
      <c r="G685" t="s">
        <v>747</v>
      </c>
      <c r="H685" s="3">
        <v>137163778.53</v>
      </c>
      <c r="I685" s="3">
        <v>160073368.09999999</v>
      </c>
      <c r="J685" s="3">
        <v>8841.0499999999993</v>
      </c>
      <c r="K685" s="4">
        <v>6858188.9265000001</v>
      </c>
      <c r="L685" s="4">
        <v>0.44151391706797732</v>
      </c>
      <c r="M685" s="3">
        <v>5</v>
      </c>
      <c r="N685" t="s">
        <v>1711</v>
      </c>
      <c r="O685" s="4">
        <v>0</v>
      </c>
      <c r="P685" t="s">
        <v>23</v>
      </c>
      <c r="Q685" t="s">
        <v>1712</v>
      </c>
      <c r="R685" t="s">
        <v>1597</v>
      </c>
    </row>
    <row r="686" spans="1:18" x14ac:dyDescent="0.4">
      <c r="A686" s="2">
        <v>45924</v>
      </c>
      <c r="B686" t="s">
        <v>25</v>
      </c>
      <c r="C686" t="s">
        <v>747</v>
      </c>
      <c r="D686" s="3" t="str">
        <f t="shared" si="20"/>
        <v>PASS</v>
      </c>
      <c r="E686" s="3" t="str">
        <f t="shared" si="21"/>
        <v>PASS</v>
      </c>
      <c r="F686" t="s">
        <v>747</v>
      </c>
      <c r="G686" t="s">
        <v>747</v>
      </c>
      <c r="H686" s="3">
        <v>102299010.38</v>
      </c>
      <c r="I686" s="3">
        <v>111221180.58</v>
      </c>
      <c r="J686" s="3">
        <v>6777.66</v>
      </c>
      <c r="K686" s="4">
        <v>5114950.5190000003</v>
      </c>
      <c r="L686" s="4">
        <v>0.28926152296317731</v>
      </c>
      <c r="M686" s="3">
        <v>4</v>
      </c>
      <c r="N686" t="s">
        <v>1713</v>
      </c>
      <c r="O686" s="4">
        <v>0</v>
      </c>
      <c r="P686" t="s">
        <v>23</v>
      </c>
      <c r="Q686" t="s">
        <v>1714</v>
      </c>
      <c r="R686" t="s">
        <v>1659</v>
      </c>
    </row>
    <row r="687" spans="1:18" x14ac:dyDescent="0.4">
      <c r="A687" s="2">
        <v>45924</v>
      </c>
      <c r="B687" t="s">
        <v>26</v>
      </c>
      <c r="C687" t="s">
        <v>747</v>
      </c>
      <c r="D687" s="3" t="str">
        <f t="shared" si="20"/>
        <v>PASS</v>
      </c>
      <c r="E687" s="3" t="str">
        <f t="shared" si="21"/>
        <v>PASS</v>
      </c>
      <c r="F687" t="s">
        <v>747</v>
      </c>
      <c r="G687" t="s">
        <v>747</v>
      </c>
      <c r="H687" s="3">
        <v>23679131.460000001</v>
      </c>
      <c r="I687" s="3">
        <v>25767399.579999991</v>
      </c>
      <c r="J687" s="3">
        <v>1579.68</v>
      </c>
      <c r="K687" s="4">
        <v>1183956.5730000001</v>
      </c>
      <c r="L687" s="4">
        <v>0.29716741829745541</v>
      </c>
      <c r="M687" s="3">
        <v>4</v>
      </c>
      <c r="N687" t="s">
        <v>1715</v>
      </c>
      <c r="O687" s="4">
        <v>0</v>
      </c>
      <c r="P687" t="s">
        <v>23</v>
      </c>
      <c r="Q687" t="s">
        <v>1716</v>
      </c>
      <c r="R687" t="s">
        <v>1662</v>
      </c>
    </row>
    <row r="688" spans="1:18" x14ac:dyDescent="0.4">
      <c r="A688" s="2">
        <v>45924</v>
      </c>
      <c r="B688" t="s">
        <v>27</v>
      </c>
      <c r="C688" t="s">
        <v>747</v>
      </c>
      <c r="D688" s="3" t="str">
        <f t="shared" si="20"/>
        <v>PASS</v>
      </c>
      <c r="E688" s="3" t="str">
        <f t="shared" si="21"/>
        <v>FAIL</v>
      </c>
      <c r="F688" t="s">
        <v>747</v>
      </c>
      <c r="G688" t="s">
        <v>747</v>
      </c>
      <c r="H688" s="3">
        <v>43867215.950000003</v>
      </c>
      <c r="I688" s="3">
        <v>53610953.179999992</v>
      </c>
      <c r="J688" s="3">
        <v>2721.91</v>
      </c>
      <c r="K688" s="4">
        <v>2193360.7974999999</v>
      </c>
      <c r="L688" s="4">
        <v>0.52579902690052571</v>
      </c>
      <c r="M688" s="3">
        <v>5</v>
      </c>
      <c r="N688" t="s">
        <v>1717</v>
      </c>
      <c r="O688" s="4">
        <v>0</v>
      </c>
      <c r="P688" t="s">
        <v>23</v>
      </c>
      <c r="Q688" t="s">
        <v>1718</v>
      </c>
      <c r="R688" t="s">
        <v>1615</v>
      </c>
    </row>
    <row r="689" spans="1:18" x14ac:dyDescent="0.4">
      <c r="A689" s="2">
        <v>45924</v>
      </c>
      <c r="B689" t="s">
        <v>28</v>
      </c>
      <c r="C689" t="s">
        <v>747</v>
      </c>
      <c r="D689" s="3" t="str">
        <f t="shared" si="20"/>
        <v>PASS</v>
      </c>
      <c r="E689" s="3" t="str">
        <f t="shared" si="21"/>
        <v>PASS</v>
      </c>
      <c r="F689" t="s">
        <v>747</v>
      </c>
      <c r="G689" t="s">
        <v>747</v>
      </c>
      <c r="H689" s="3">
        <v>15513872.539999999</v>
      </c>
      <c r="I689" s="3">
        <v>18112355.66</v>
      </c>
      <c r="J689" s="3">
        <v>1006.27</v>
      </c>
      <c r="K689" s="4">
        <v>775693.62699999998</v>
      </c>
      <c r="L689" s="4">
        <v>0.43202721508183989</v>
      </c>
      <c r="M689" s="3">
        <v>5</v>
      </c>
      <c r="N689" t="s">
        <v>1719</v>
      </c>
      <c r="O689" s="4">
        <v>0</v>
      </c>
      <c r="P689" t="s">
        <v>23</v>
      </c>
      <c r="Q689" t="s">
        <v>1720</v>
      </c>
      <c r="R689" t="s">
        <v>1721</v>
      </c>
    </row>
    <row r="690" spans="1:18" x14ac:dyDescent="0.4">
      <c r="A690" s="2">
        <v>45924</v>
      </c>
      <c r="B690" t="s">
        <v>29</v>
      </c>
      <c r="C690" t="s">
        <v>747</v>
      </c>
      <c r="D690" s="3" t="str">
        <f t="shared" si="20"/>
        <v>PASS</v>
      </c>
      <c r="E690" s="3" t="str">
        <f t="shared" si="21"/>
        <v>PASS</v>
      </c>
      <c r="F690" t="s">
        <v>747</v>
      </c>
      <c r="G690" t="s">
        <v>747</v>
      </c>
      <c r="H690" s="3">
        <v>34986777.07</v>
      </c>
      <c r="I690" s="3">
        <v>37691702.709999993</v>
      </c>
      <c r="J690" s="3">
        <v>2382.21</v>
      </c>
      <c r="K690" s="4">
        <v>1749338.8535</v>
      </c>
      <c r="L690" s="4">
        <v>0.28472940264217977</v>
      </c>
      <c r="M690" s="3">
        <v>4</v>
      </c>
      <c r="N690" t="s">
        <v>1722</v>
      </c>
      <c r="O690" s="4">
        <v>0</v>
      </c>
      <c r="P690" t="s">
        <v>23</v>
      </c>
      <c r="Q690" t="s">
        <v>1723</v>
      </c>
      <c r="R690" t="s">
        <v>1576</v>
      </c>
    </row>
    <row r="691" spans="1:18" x14ac:dyDescent="0.4">
      <c r="A691" s="2">
        <v>45924</v>
      </c>
      <c r="B691" t="s">
        <v>30</v>
      </c>
      <c r="C691" t="s">
        <v>747</v>
      </c>
      <c r="D691" s="3" t="str">
        <f t="shared" si="20"/>
        <v>PASS</v>
      </c>
      <c r="E691" s="3" t="str">
        <f t="shared" si="21"/>
        <v>PASS</v>
      </c>
      <c r="F691" t="s">
        <v>747</v>
      </c>
      <c r="G691" t="s">
        <v>747</v>
      </c>
      <c r="H691" s="3">
        <v>55114785.049999997</v>
      </c>
      <c r="I691" s="3">
        <v>60429212.380000003</v>
      </c>
      <c r="J691" s="3">
        <v>3667.97</v>
      </c>
      <c r="K691" s="4">
        <v>2755739.2524999999</v>
      </c>
      <c r="L691" s="4">
        <v>8.6646645209979251E-2</v>
      </c>
      <c r="M691" s="3">
        <v>1</v>
      </c>
      <c r="N691" t="s">
        <v>1724</v>
      </c>
      <c r="O691" s="4">
        <v>0</v>
      </c>
      <c r="P691" t="s">
        <v>23</v>
      </c>
      <c r="Q691" t="s">
        <v>1725</v>
      </c>
      <c r="R691" t="s">
        <v>1726</v>
      </c>
    </row>
    <row r="692" spans="1:18" x14ac:dyDescent="0.4">
      <c r="A692" s="2">
        <v>45924</v>
      </c>
      <c r="B692" t="s">
        <v>31</v>
      </c>
      <c r="C692" t="s">
        <v>747</v>
      </c>
      <c r="D692" s="3" t="str">
        <f t="shared" si="20"/>
        <v>PASS</v>
      </c>
      <c r="E692" s="3" t="str">
        <f t="shared" si="21"/>
        <v>PASS</v>
      </c>
      <c r="F692" t="s">
        <v>747</v>
      </c>
      <c r="G692" t="s">
        <v>747</v>
      </c>
      <c r="H692" s="3">
        <v>40705899.479999997</v>
      </c>
      <c r="I692" s="3">
        <v>46427692.280000001</v>
      </c>
      <c r="J692" s="3">
        <v>2574.85</v>
      </c>
      <c r="K692" s="4">
        <v>2035294.9739999999</v>
      </c>
      <c r="L692" s="4">
        <v>0.47136486384030801</v>
      </c>
      <c r="M692" s="3">
        <v>6</v>
      </c>
      <c r="N692" t="s">
        <v>1727</v>
      </c>
      <c r="O692" s="4">
        <v>0</v>
      </c>
      <c r="P692" t="s">
        <v>23</v>
      </c>
      <c r="Q692" t="s">
        <v>1728</v>
      </c>
      <c r="R692" t="s">
        <v>1729</v>
      </c>
    </row>
    <row r="693" spans="1:18" x14ac:dyDescent="0.4">
      <c r="A693" s="2">
        <v>45924</v>
      </c>
      <c r="B693" t="s">
        <v>32</v>
      </c>
      <c r="C693" t="s">
        <v>747</v>
      </c>
      <c r="D693" s="3" t="str">
        <f t="shared" si="20"/>
        <v>PASS</v>
      </c>
      <c r="E693" s="3" t="str">
        <f t="shared" si="21"/>
        <v>PASS</v>
      </c>
      <c r="F693" t="s">
        <v>747</v>
      </c>
      <c r="G693" t="s">
        <v>747</v>
      </c>
      <c r="H693" s="3">
        <v>79643597.180000007</v>
      </c>
      <c r="I693" s="3">
        <v>90184550.410000011</v>
      </c>
      <c r="J693" s="3">
        <v>5208.71</v>
      </c>
      <c r="K693" s="4">
        <v>3982179.8590000011</v>
      </c>
      <c r="L693" s="4">
        <v>0.39671522451747199</v>
      </c>
      <c r="M693" s="3">
        <v>5</v>
      </c>
      <c r="N693" t="s">
        <v>1730</v>
      </c>
      <c r="O693" s="4">
        <v>0</v>
      </c>
      <c r="P693" t="s">
        <v>23</v>
      </c>
      <c r="Q693" t="s">
        <v>1731</v>
      </c>
      <c r="R693" t="s">
        <v>1687</v>
      </c>
    </row>
    <row r="694" spans="1:18" x14ac:dyDescent="0.4">
      <c r="A694" s="2">
        <v>45924</v>
      </c>
      <c r="B694" t="s">
        <v>33</v>
      </c>
      <c r="C694" t="s">
        <v>747</v>
      </c>
      <c r="D694" s="3" t="str">
        <f t="shared" si="20"/>
        <v>PASS</v>
      </c>
      <c r="E694" s="3" t="str">
        <f t="shared" si="21"/>
        <v>FAIL</v>
      </c>
      <c r="F694" t="s">
        <v>747</v>
      </c>
      <c r="G694" t="s">
        <v>747</v>
      </c>
      <c r="H694" s="3">
        <v>168452415.41</v>
      </c>
      <c r="I694" s="3">
        <v>193971223.69</v>
      </c>
      <c r="J694" s="3">
        <v>10465.17</v>
      </c>
      <c r="K694" s="4">
        <v>8422620.7705000006</v>
      </c>
      <c r="L694" s="4">
        <v>0.52126946949006681</v>
      </c>
      <c r="M694" s="3">
        <v>6</v>
      </c>
      <c r="N694" t="s">
        <v>1732</v>
      </c>
      <c r="O694" s="4">
        <v>0</v>
      </c>
      <c r="P694" t="s">
        <v>23</v>
      </c>
      <c r="Q694" t="s">
        <v>1733</v>
      </c>
      <c r="R694" t="s">
        <v>1710</v>
      </c>
    </row>
    <row r="695" spans="1:18" x14ac:dyDescent="0.4">
      <c r="A695" s="2">
        <v>45925</v>
      </c>
      <c r="B695" t="s">
        <v>21</v>
      </c>
      <c r="C695" t="s">
        <v>747</v>
      </c>
      <c r="D695" s="3" t="str">
        <f t="shared" si="20"/>
        <v>PASS</v>
      </c>
      <c r="E695" s="3" t="str">
        <f t="shared" si="21"/>
        <v>PASS</v>
      </c>
      <c r="F695" t="s">
        <v>747</v>
      </c>
      <c r="G695" t="s">
        <v>747</v>
      </c>
      <c r="H695" s="3">
        <v>24835743.600000001</v>
      </c>
      <c r="I695" s="3">
        <v>23661898.086656</v>
      </c>
      <c r="J695" s="3">
        <v>1519.68</v>
      </c>
      <c r="K695" s="4">
        <v>1241787.18</v>
      </c>
      <c r="L695" s="4">
        <v>0.25294277009159299</v>
      </c>
      <c r="M695" s="3">
        <v>3</v>
      </c>
      <c r="N695" t="s">
        <v>1734</v>
      </c>
      <c r="O695" s="4">
        <v>0.1126078635574253</v>
      </c>
      <c r="P695" t="s">
        <v>1735</v>
      </c>
      <c r="Q695" t="s">
        <v>904</v>
      </c>
      <c r="R695" t="s">
        <v>1228</v>
      </c>
    </row>
    <row r="696" spans="1:18" x14ac:dyDescent="0.4">
      <c r="A696" s="2">
        <v>45925</v>
      </c>
      <c r="B696" t="s">
        <v>24</v>
      </c>
      <c r="C696" t="s">
        <v>747</v>
      </c>
      <c r="D696" s="3" t="str">
        <f t="shared" si="20"/>
        <v>PASS</v>
      </c>
      <c r="E696" s="3" t="str">
        <f t="shared" si="21"/>
        <v>PASS</v>
      </c>
      <c r="F696" t="s">
        <v>747</v>
      </c>
      <c r="G696" t="s">
        <v>747</v>
      </c>
      <c r="H696" s="3">
        <v>136693868.27000001</v>
      </c>
      <c r="I696" s="3">
        <v>135437369.047178</v>
      </c>
      <c r="J696" s="3">
        <v>8835.2000000000007</v>
      </c>
      <c r="K696" s="4">
        <v>6834693.4135000007</v>
      </c>
      <c r="L696" s="4">
        <v>0.2451674109561347</v>
      </c>
      <c r="M696" s="3">
        <v>3</v>
      </c>
      <c r="N696" t="s">
        <v>1736</v>
      </c>
      <c r="O696" s="4">
        <v>8.007499543108805E-2</v>
      </c>
      <c r="P696" t="s">
        <v>1735</v>
      </c>
      <c r="Q696" t="s">
        <v>1292</v>
      </c>
      <c r="R696" t="s">
        <v>893</v>
      </c>
    </row>
    <row r="697" spans="1:18" x14ac:dyDescent="0.4">
      <c r="A697" s="2">
        <v>45925</v>
      </c>
      <c r="B697" t="s">
        <v>25</v>
      </c>
      <c r="C697" t="s">
        <v>747</v>
      </c>
      <c r="D697" s="3" t="str">
        <f t="shared" si="20"/>
        <v>PASS</v>
      </c>
      <c r="E697" s="3" t="str">
        <f t="shared" si="21"/>
        <v>PASS</v>
      </c>
      <c r="F697" t="s">
        <v>747</v>
      </c>
      <c r="G697" t="s">
        <v>747</v>
      </c>
      <c r="H697" s="3">
        <v>101976647.48999999</v>
      </c>
      <c r="I697" s="3">
        <v>99067104.703244001</v>
      </c>
      <c r="J697" s="3">
        <v>6774.19</v>
      </c>
      <c r="K697" s="4">
        <v>5098832.3744999999</v>
      </c>
      <c r="L697" s="4">
        <v>0.2322250604947067</v>
      </c>
      <c r="M697" s="3">
        <v>3</v>
      </c>
      <c r="N697" t="s">
        <v>1737</v>
      </c>
      <c r="O697" s="4">
        <v>6.1940896359270962E-2</v>
      </c>
      <c r="P697" t="s">
        <v>1735</v>
      </c>
      <c r="Q697" t="s">
        <v>1544</v>
      </c>
      <c r="R697" t="s">
        <v>1100</v>
      </c>
    </row>
    <row r="698" spans="1:18" x14ac:dyDescent="0.4">
      <c r="A698" s="2">
        <v>45925</v>
      </c>
      <c r="B698" t="s">
        <v>26</v>
      </c>
      <c r="C698" t="s">
        <v>747</v>
      </c>
      <c r="D698" s="3" t="str">
        <f t="shared" si="20"/>
        <v>PASS</v>
      </c>
      <c r="E698" s="3" t="str">
        <f t="shared" si="21"/>
        <v>PASS</v>
      </c>
      <c r="F698" t="s">
        <v>747</v>
      </c>
      <c r="G698" t="s">
        <v>747</v>
      </c>
      <c r="H698" s="3">
        <v>23602065.879999999</v>
      </c>
      <c r="I698" s="3">
        <v>23062643.669978</v>
      </c>
      <c r="J698" s="3">
        <v>1578.4</v>
      </c>
      <c r="K698" s="4">
        <v>1180103.294</v>
      </c>
      <c r="L698" s="4">
        <v>0.23152915072700139</v>
      </c>
      <c r="M698" s="3">
        <v>3</v>
      </c>
      <c r="N698" t="s">
        <v>1738</v>
      </c>
      <c r="O698" s="4">
        <v>5.5847831146635198E-2</v>
      </c>
      <c r="P698" t="s">
        <v>1735</v>
      </c>
      <c r="Q698" t="s">
        <v>1546</v>
      </c>
      <c r="R698" t="s">
        <v>1100</v>
      </c>
    </row>
    <row r="699" spans="1:18" x14ac:dyDescent="0.4">
      <c r="A699" s="2">
        <v>45925</v>
      </c>
      <c r="B699" t="s">
        <v>27</v>
      </c>
      <c r="C699" t="s">
        <v>747</v>
      </c>
      <c r="D699" s="3" t="str">
        <f t="shared" si="20"/>
        <v>PASS</v>
      </c>
      <c r="E699" s="3" t="str">
        <f t="shared" si="21"/>
        <v>PASS</v>
      </c>
      <c r="F699" t="s">
        <v>747</v>
      </c>
      <c r="G699" t="s">
        <v>747</v>
      </c>
      <c r="H699" s="3">
        <v>43718442.640000001</v>
      </c>
      <c r="I699" s="3">
        <v>43197385.109327987</v>
      </c>
      <c r="J699" s="3">
        <v>2720.07</v>
      </c>
      <c r="K699" s="4">
        <v>2185922.1320000002</v>
      </c>
      <c r="L699" s="4">
        <v>0.25747487281397019</v>
      </c>
      <c r="M699" s="3">
        <v>3</v>
      </c>
      <c r="N699" t="s">
        <v>1739</v>
      </c>
      <c r="O699" s="4">
        <v>0.1119370161381394</v>
      </c>
      <c r="P699" t="s">
        <v>1735</v>
      </c>
      <c r="Q699" t="s">
        <v>1069</v>
      </c>
      <c r="R699" t="s">
        <v>1223</v>
      </c>
    </row>
    <row r="700" spans="1:18" x14ac:dyDescent="0.4">
      <c r="A700" s="2">
        <v>45925</v>
      </c>
      <c r="B700" t="s">
        <v>28</v>
      </c>
      <c r="C700" t="s">
        <v>747</v>
      </c>
      <c r="D700" s="3" t="str">
        <f t="shared" si="20"/>
        <v>PASS</v>
      </c>
      <c r="E700" s="3" t="str">
        <f t="shared" si="21"/>
        <v>PASS</v>
      </c>
      <c r="F700" t="s">
        <v>747</v>
      </c>
      <c r="G700" t="s">
        <v>747</v>
      </c>
      <c r="H700" s="3">
        <v>15461426.960000001</v>
      </c>
      <c r="I700" s="3">
        <v>15276668.202919999</v>
      </c>
      <c r="J700" s="3">
        <v>1005.68</v>
      </c>
      <c r="K700" s="4">
        <v>773071.34800000011</v>
      </c>
      <c r="L700" s="4">
        <v>0.24448067411831509</v>
      </c>
      <c r="M700" s="3">
        <v>3</v>
      </c>
      <c r="N700" t="s">
        <v>1740</v>
      </c>
      <c r="O700" s="4">
        <v>9.3265834819168572E-2</v>
      </c>
      <c r="P700" t="s">
        <v>1735</v>
      </c>
      <c r="Q700" t="s">
        <v>1236</v>
      </c>
      <c r="R700" t="s">
        <v>1549</v>
      </c>
    </row>
    <row r="701" spans="1:18" x14ac:dyDescent="0.4">
      <c r="A701" s="2">
        <v>45925</v>
      </c>
      <c r="B701" t="s">
        <v>29</v>
      </c>
      <c r="C701" t="s">
        <v>747</v>
      </c>
      <c r="D701" s="3" t="str">
        <f t="shared" si="20"/>
        <v>PASS</v>
      </c>
      <c r="E701" s="3" t="str">
        <f t="shared" si="21"/>
        <v>PASS</v>
      </c>
      <c r="F701" t="s">
        <v>747</v>
      </c>
      <c r="G701" t="s">
        <v>747</v>
      </c>
      <c r="H701" s="3">
        <v>34868269.259999998</v>
      </c>
      <c r="I701" s="3">
        <v>34392561.430984013</v>
      </c>
      <c r="J701" s="3">
        <v>2379.41</v>
      </c>
      <c r="K701" s="4">
        <v>1743413.463</v>
      </c>
      <c r="L701" s="4">
        <v>0.22741450393166571</v>
      </c>
      <c r="M701" s="3">
        <v>3</v>
      </c>
      <c r="N701" t="s">
        <v>1741</v>
      </c>
      <c r="O701" s="4">
        <v>4.0462738499111847E-2</v>
      </c>
      <c r="P701" t="s">
        <v>1735</v>
      </c>
      <c r="Q701" t="s">
        <v>1546</v>
      </c>
      <c r="R701" t="s">
        <v>1327</v>
      </c>
    </row>
    <row r="702" spans="1:18" x14ac:dyDescent="0.4">
      <c r="A702" s="2">
        <v>45925</v>
      </c>
      <c r="B702" t="s">
        <v>30</v>
      </c>
      <c r="C702" t="s">
        <v>747</v>
      </c>
      <c r="D702" s="3" t="str">
        <f t="shared" si="20"/>
        <v>PASS</v>
      </c>
      <c r="E702" s="3" t="str">
        <f t="shared" si="21"/>
        <v>PASS</v>
      </c>
      <c r="F702" t="s">
        <v>747</v>
      </c>
      <c r="G702" t="s">
        <v>747</v>
      </c>
      <c r="H702" s="3">
        <v>54953721.409999996</v>
      </c>
      <c r="I702" s="3">
        <v>52438901.168229997</v>
      </c>
      <c r="J702" s="3">
        <v>3673.7</v>
      </c>
      <c r="K702" s="4">
        <v>2747686.0704999999</v>
      </c>
      <c r="L702" s="4">
        <v>0</v>
      </c>
      <c r="M702" s="3">
        <v>0</v>
      </c>
      <c r="N702" t="s">
        <v>23</v>
      </c>
      <c r="O702" s="4">
        <v>3.5808159806842821E-2</v>
      </c>
      <c r="P702" t="s">
        <v>1742</v>
      </c>
      <c r="Q702" t="s">
        <v>1743</v>
      </c>
      <c r="R702" t="s">
        <v>1744</v>
      </c>
    </row>
    <row r="703" spans="1:18" x14ac:dyDescent="0.4">
      <c r="A703" s="2">
        <v>45925</v>
      </c>
      <c r="B703" t="s">
        <v>31</v>
      </c>
      <c r="C703" t="s">
        <v>747</v>
      </c>
      <c r="D703" s="3" t="str">
        <f t="shared" si="20"/>
        <v>PASS</v>
      </c>
      <c r="E703" s="3" t="str">
        <f t="shared" si="21"/>
        <v>PASS</v>
      </c>
      <c r="F703" t="s">
        <v>747</v>
      </c>
      <c r="G703" t="s">
        <v>747</v>
      </c>
      <c r="H703" s="3">
        <v>40572648.100000001</v>
      </c>
      <c r="I703" s="3">
        <v>39079891.188364007</v>
      </c>
      <c r="J703" s="3">
        <v>2573.7399999999998</v>
      </c>
      <c r="K703" s="4">
        <v>2028632.405</v>
      </c>
      <c r="L703" s="4">
        <v>0.24471147716416841</v>
      </c>
      <c r="M703" s="3">
        <v>3</v>
      </c>
      <c r="N703" t="s">
        <v>1745</v>
      </c>
      <c r="O703" s="4">
        <v>9.5201264379980166E-2</v>
      </c>
      <c r="P703" t="s">
        <v>1735</v>
      </c>
      <c r="Q703" t="s">
        <v>1515</v>
      </c>
      <c r="R703" t="s">
        <v>1549</v>
      </c>
    </row>
    <row r="704" spans="1:18" x14ac:dyDescent="0.4">
      <c r="A704" s="2">
        <v>45925</v>
      </c>
      <c r="B704" t="s">
        <v>32</v>
      </c>
      <c r="C704" t="s">
        <v>747</v>
      </c>
      <c r="D704" s="3" t="str">
        <f t="shared" si="20"/>
        <v>PASS</v>
      </c>
      <c r="E704" s="3" t="str">
        <f t="shared" si="21"/>
        <v>PASS</v>
      </c>
      <c r="F704" t="s">
        <v>747</v>
      </c>
      <c r="G704" t="s">
        <v>747</v>
      </c>
      <c r="H704" s="3">
        <v>79358849.650000006</v>
      </c>
      <c r="I704" s="3">
        <v>77969664.027552009</v>
      </c>
      <c r="J704" s="3">
        <v>5205.3</v>
      </c>
      <c r="K704" s="4">
        <v>3967942.4824999999</v>
      </c>
      <c r="L704" s="4">
        <v>0.2392105590746075</v>
      </c>
      <c r="M704" s="3">
        <v>3</v>
      </c>
      <c r="N704" t="s">
        <v>1746</v>
      </c>
      <c r="O704" s="4">
        <v>7.517052154689341E-2</v>
      </c>
      <c r="P704" t="s">
        <v>1735</v>
      </c>
      <c r="Q704" t="s">
        <v>1236</v>
      </c>
      <c r="R704" t="s">
        <v>1549</v>
      </c>
    </row>
    <row r="705" spans="1:18" x14ac:dyDescent="0.4">
      <c r="A705" s="2">
        <v>45925</v>
      </c>
      <c r="B705" t="s">
        <v>33</v>
      </c>
      <c r="C705" t="s">
        <v>747</v>
      </c>
      <c r="D705" s="3" t="str">
        <f t="shared" si="20"/>
        <v>PASS</v>
      </c>
      <c r="E705" s="3" t="str">
        <f t="shared" si="21"/>
        <v>PASS</v>
      </c>
      <c r="F705" t="s">
        <v>747</v>
      </c>
      <c r="G705" t="s">
        <v>747</v>
      </c>
      <c r="H705" s="3">
        <v>167942154.84999999</v>
      </c>
      <c r="I705" s="3">
        <v>160825631.80616</v>
      </c>
      <c r="J705" s="3">
        <v>10462.61</v>
      </c>
      <c r="K705" s="4">
        <v>8397107.7424999997</v>
      </c>
      <c r="L705" s="4">
        <v>0.248245723012196</v>
      </c>
      <c r="M705" s="3">
        <v>3</v>
      </c>
      <c r="N705" t="s">
        <v>1747</v>
      </c>
      <c r="O705" s="4">
        <v>0.1013061352663715</v>
      </c>
      <c r="P705" t="s">
        <v>1735</v>
      </c>
      <c r="Q705" t="s">
        <v>1143</v>
      </c>
      <c r="R705" t="s">
        <v>1228</v>
      </c>
    </row>
    <row r="706" spans="1:18" x14ac:dyDescent="0.4">
      <c r="A706" s="2">
        <v>45926</v>
      </c>
      <c r="B706" t="s">
        <v>21</v>
      </c>
      <c r="C706" t="s">
        <v>747</v>
      </c>
      <c r="D706" s="3" t="str">
        <f t="shared" ref="D706:D738" si="22">IF(I706/H706&gt;=0.5,"PASS","FAIL")</f>
        <v>PASS</v>
      </c>
      <c r="E706" s="3" t="str">
        <f t="shared" ref="E706:E738" si="23">IF(L706&lt;=0.5,"PASS","FAIL")</f>
        <v>PASS</v>
      </c>
      <c r="F706" t="s">
        <v>747</v>
      </c>
      <c r="G706" t="s">
        <v>747</v>
      </c>
      <c r="H706" s="3">
        <v>24895464.149999999</v>
      </c>
      <c r="I706" s="3">
        <v>23751462.346021991</v>
      </c>
      <c r="J706" s="3">
        <v>4541.37</v>
      </c>
      <c r="K706" s="4">
        <v>1244773.2075</v>
      </c>
      <c r="L706" s="4">
        <v>0.25267242795760309</v>
      </c>
      <c r="M706" s="3">
        <v>3</v>
      </c>
      <c r="N706" t="s">
        <v>1748</v>
      </c>
      <c r="O706" s="4">
        <v>0.1122707879307404</v>
      </c>
      <c r="P706" t="s">
        <v>1735</v>
      </c>
      <c r="Q706" t="s">
        <v>904</v>
      </c>
      <c r="R706" t="s">
        <v>1515</v>
      </c>
    </row>
    <row r="707" spans="1:18" x14ac:dyDescent="0.4">
      <c r="A707" s="2">
        <v>45926</v>
      </c>
      <c r="B707" t="s">
        <v>24</v>
      </c>
      <c r="C707" t="s">
        <v>747</v>
      </c>
      <c r="D707" s="3" t="str">
        <f t="shared" si="22"/>
        <v>PASS</v>
      </c>
      <c r="E707" s="3" t="str">
        <f t="shared" si="23"/>
        <v>PASS</v>
      </c>
      <c r="F707" t="s">
        <v>747</v>
      </c>
      <c r="G707" t="s">
        <v>747</v>
      </c>
      <c r="H707" s="3">
        <v>137068569.41999999</v>
      </c>
      <c r="I707" s="3">
        <v>135983157.12463999</v>
      </c>
      <c r="J707" s="3">
        <v>26401.35</v>
      </c>
      <c r="K707" s="4">
        <v>6853428.4709999999</v>
      </c>
      <c r="L707" s="4">
        <v>0.24490060928701909</v>
      </c>
      <c r="M707" s="3">
        <v>3</v>
      </c>
      <c r="N707" t="s">
        <v>1749</v>
      </c>
      <c r="O707" s="4">
        <v>7.9866343327011272E-2</v>
      </c>
      <c r="P707" t="s">
        <v>1735</v>
      </c>
      <c r="Q707" t="s">
        <v>1228</v>
      </c>
      <c r="R707" t="s">
        <v>893</v>
      </c>
    </row>
    <row r="708" spans="1:18" x14ac:dyDescent="0.4">
      <c r="A708" s="2">
        <v>45926</v>
      </c>
      <c r="B708" t="s">
        <v>25</v>
      </c>
      <c r="C708" t="s">
        <v>747</v>
      </c>
      <c r="D708" s="3" t="str">
        <f t="shared" si="22"/>
        <v>PASS</v>
      </c>
      <c r="E708" s="3" t="str">
        <f t="shared" si="23"/>
        <v>PASS</v>
      </c>
      <c r="F708" t="s">
        <v>747</v>
      </c>
      <c r="G708" t="s">
        <v>747</v>
      </c>
      <c r="H708" s="3">
        <v>102193320.51000001</v>
      </c>
      <c r="I708" s="3">
        <v>99390501.054341987</v>
      </c>
      <c r="J708" s="3">
        <v>20250.87</v>
      </c>
      <c r="K708" s="4">
        <v>5109666.0255000005</v>
      </c>
      <c r="L708" s="4">
        <v>0.2318903728543715</v>
      </c>
      <c r="M708" s="3">
        <v>3</v>
      </c>
      <c r="N708" t="s">
        <v>1750</v>
      </c>
      <c r="O708" s="4">
        <v>6.1006963696144223E-2</v>
      </c>
      <c r="P708" t="s">
        <v>1735</v>
      </c>
      <c r="Q708" t="s">
        <v>1544</v>
      </c>
      <c r="R708" t="s">
        <v>1019</v>
      </c>
    </row>
    <row r="709" spans="1:18" x14ac:dyDescent="0.4">
      <c r="A709" s="2">
        <v>45926</v>
      </c>
      <c r="B709" t="s">
        <v>26</v>
      </c>
      <c r="C709" t="s">
        <v>747</v>
      </c>
      <c r="D709" s="3" t="str">
        <f t="shared" si="22"/>
        <v>PASS</v>
      </c>
      <c r="E709" s="3" t="str">
        <f t="shared" si="23"/>
        <v>PASS</v>
      </c>
      <c r="F709" t="s">
        <v>747</v>
      </c>
      <c r="G709" t="s">
        <v>747</v>
      </c>
      <c r="H709" s="3">
        <v>23659727.940000001</v>
      </c>
      <c r="I709" s="3">
        <v>23144317.342408001</v>
      </c>
      <c r="J709" s="3">
        <v>4718.07</v>
      </c>
      <c r="K709" s="4">
        <v>1182986.3970000001</v>
      </c>
      <c r="L709" s="4">
        <v>0.2312013736848966</v>
      </c>
      <c r="M709" s="3">
        <v>3</v>
      </c>
      <c r="N709" t="s">
        <v>1751</v>
      </c>
      <c r="O709" s="4">
        <v>5.5145760581725441E-2</v>
      </c>
      <c r="P709" t="s">
        <v>1735</v>
      </c>
      <c r="Q709" t="s">
        <v>1546</v>
      </c>
      <c r="R709" t="s">
        <v>1019</v>
      </c>
    </row>
    <row r="710" spans="1:18" x14ac:dyDescent="0.4">
      <c r="A710" s="2">
        <v>45926</v>
      </c>
      <c r="B710" t="s">
        <v>27</v>
      </c>
      <c r="C710" t="s">
        <v>747</v>
      </c>
      <c r="D710" s="3" t="str">
        <f t="shared" si="22"/>
        <v>PASS</v>
      </c>
      <c r="E710" s="3" t="str">
        <f t="shared" si="23"/>
        <v>PASS</v>
      </c>
      <c r="F710" t="s">
        <v>747</v>
      </c>
      <c r="G710" t="s">
        <v>747</v>
      </c>
      <c r="H710" s="3">
        <v>43849758.729999997</v>
      </c>
      <c r="I710" s="3">
        <v>43403476.729759991</v>
      </c>
      <c r="J710" s="3">
        <v>8127.21</v>
      </c>
      <c r="K710" s="4">
        <v>2192487.9364999998</v>
      </c>
      <c r="L710" s="4">
        <v>0.25737030614719458</v>
      </c>
      <c r="M710" s="3">
        <v>3</v>
      </c>
      <c r="N710" t="s">
        <v>1752</v>
      </c>
      <c r="O710" s="4">
        <v>0.1124821824021927</v>
      </c>
      <c r="P710" t="s">
        <v>1735</v>
      </c>
      <c r="Q710" t="s">
        <v>1753</v>
      </c>
      <c r="R710" t="s">
        <v>1242</v>
      </c>
    </row>
    <row r="711" spans="1:18" x14ac:dyDescent="0.4">
      <c r="A711" s="2">
        <v>45926</v>
      </c>
      <c r="B711" t="s">
        <v>28</v>
      </c>
      <c r="C711" t="s">
        <v>747</v>
      </c>
      <c r="D711" s="3" t="str">
        <f t="shared" si="22"/>
        <v>PASS</v>
      </c>
      <c r="E711" s="3" t="str">
        <f t="shared" si="23"/>
        <v>PASS</v>
      </c>
      <c r="F711" t="s">
        <v>747</v>
      </c>
      <c r="G711" t="s">
        <v>747</v>
      </c>
      <c r="H711" s="3">
        <v>15500570.359999999</v>
      </c>
      <c r="I711" s="3">
        <v>15340162.156284001</v>
      </c>
      <c r="J711" s="3">
        <v>3005.4</v>
      </c>
      <c r="K711" s="4">
        <v>775028.51800000004</v>
      </c>
      <c r="L711" s="4">
        <v>0.24432983077274581</v>
      </c>
      <c r="M711" s="3">
        <v>3</v>
      </c>
      <c r="N711" t="s">
        <v>1754</v>
      </c>
      <c r="O711" s="4">
        <v>9.3224683526032526E-2</v>
      </c>
      <c r="P711" t="s">
        <v>1735</v>
      </c>
      <c r="Q711" t="s">
        <v>1521</v>
      </c>
      <c r="R711" t="s">
        <v>1549</v>
      </c>
    </row>
    <row r="712" spans="1:18" x14ac:dyDescent="0.4">
      <c r="A712" s="2">
        <v>45926</v>
      </c>
      <c r="B712" t="s">
        <v>29</v>
      </c>
      <c r="C712" t="s">
        <v>747</v>
      </c>
      <c r="D712" s="3" t="str">
        <f t="shared" si="22"/>
        <v>PASS</v>
      </c>
      <c r="E712" s="3" t="str">
        <f t="shared" si="23"/>
        <v>PASS</v>
      </c>
      <c r="F712" t="s">
        <v>747</v>
      </c>
      <c r="G712" t="s">
        <v>747</v>
      </c>
      <c r="H712" s="3">
        <v>34967982.329999998</v>
      </c>
      <c r="I712" s="3">
        <v>34524354.109711997</v>
      </c>
      <c r="J712" s="3">
        <v>7111.89</v>
      </c>
      <c r="K712" s="4">
        <v>1748399.1165</v>
      </c>
      <c r="L712" s="4">
        <v>0.22708242440016599</v>
      </c>
      <c r="M712" s="3">
        <v>3</v>
      </c>
      <c r="N712" t="s">
        <v>1755</v>
      </c>
      <c r="O712" s="4">
        <v>3.9992747265609807E-2</v>
      </c>
      <c r="P712" t="s">
        <v>1735</v>
      </c>
      <c r="Q712" t="s">
        <v>1546</v>
      </c>
      <c r="R712" t="s">
        <v>1018</v>
      </c>
    </row>
    <row r="713" spans="1:18" x14ac:dyDescent="0.4">
      <c r="A713" s="2">
        <v>45926</v>
      </c>
      <c r="B713" t="s">
        <v>30</v>
      </c>
      <c r="C713" t="s">
        <v>747</v>
      </c>
      <c r="D713" s="3" t="str">
        <f t="shared" si="22"/>
        <v>PASS</v>
      </c>
      <c r="E713" s="3" t="str">
        <f t="shared" si="23"/>
        <v>PASS</v>
      </c>
      <c r="F713" t="s">
        <v>747</v>
      </c>
      <c r="G713" t="s">
        <v>747</v>
      </c>
      <c r="H713" s="3">
        <v>55347988.390000001</v>
      </c>
      <c r="I713" s="3">
        <v>52903882.843420006</v>
      </c>
      <c r="J713" s="3">
        <v>10985.22</v>
      </c>
      <c r="K713" s="4">
        <v>2767399.4194999998</v>
      </c>
      <c r="L713" s="4">
        <v>0</v>
      </c>
      <c r="M713" s="3">
        <v>0</v>
      </c>
      <c r="N713" t="s">
        <v>23</v>
      </c>
      <c r="O713" s="4">
        <v>3.5144437223511543E-2</v>
      </c>
      <c r="P713" t="s">
        <v>1742</v>
      </c>
      <c r="Q713" t="s">
        <v>1756</v>
      </c>
      <c r="R713" t="s">
        <v>1757</v>
      </c>
    </row>
    <row r="714" spans="1:18" x14ac:dyDescent="0.4">
      <c r="A714" s="2">
        <v>45926</v>
      </c>
      <c r="B714" t="s">
        <v>31</v>
      </c>
      <c r="C714" t="s">
        <v>747</v>
      </c>
      <c r="D714" s="3" t="str">
        <f t="shared" si="22"/>
        <v>PASS</v>
      </c>
      <c r="E714" s="3" t="str">
        <f t="shared" si="23"/>
        <v>PASS</v>
      </c>
      <c r="F714" t="s">
        <v>747</v>
      </c>
      <c r="G714" t="s">
        <v>747</v>
      </c>
      <c r="H714" s="3">
        <v>40675886.380000003</v>
      </c>
      <c r="I714" s="3">
        <v>39244057.18407999</v>
      </c>
      <c r="J714" s="3">
        <v>7691.64</v>
      </c>
      <c r="K714" s="4">
        <v>2033794.3189999999</v>
      </c>
      <c r="L714" s="4">
        <v>0.24455752841819109</v>
      </c>
      <c r="M714" s="3">
        <v>3</v>
      </c>
      <c r="N714" t="s">
        <v>1758</v>
      </c>
      <c r="O714" s="4">
        <v>9.5209795501449632E-2</v>
      </c>
      <c r="P714" t="s">
        <v>1735</v>
      </c>
      <c r="Q714" t="s">
        <v>1537</v>
      </c>
      <c r="R714" t="s">
        <v>1554</v>
      </c>
    </row>
    <row r="715" spans="1:18" x14ac:dyDescent="0.4">
      <c r="A715" s="2">
        <v>45926</v>
      </c>
      <c r="B715" t="s">
        <v>32</v>
      </c>
      <c r="C715" t="s">
        <v>747</v>
      </c>
      <c r="D715" s="3" t="str">
        <f t="shared" si="22"/>
        <v>PASS</v>
      </c>
      <c r="E715" s="3" t="str">
        <f t="shared" si="23"/>
        <v>PASS</v>
      </c>
      <c r="F715" t="s">
        <v>747</v>
      </c>
      <c r="G715" t="s">
        <v>747</v>
      </c>
      <c r="H715" s="3">
        <v>79580337.260000005</v>
      </c>
      <c r="I715" s="3">
        <v>78280067.998904005</v>
      </c>
      <c r="J715" s="3">
        <v>15552.75</v>
      </c>
      <c r="K715" s="4">
        <v>3979016.8629999999</v>
      </c>
      <c r="L715" s="4">
        <v>0.23892860830622309</v>
      </c>
      <c r="M715" s="3">
        <v>3</v>
      </c>
      <c r="N715" t="s">
        <v>1759</v>
      </c>
      <c r="O715" s="4">
        <v>7.4906115934497849E-2</v>
      </c>
      <c r="P715" t="s">
        <v>1735</v>
      </c>
      <c r="Q715" t="s">
        <v>1521</v>
      </c>
      <c r="R715" t="s">
        <v>1549</v>
      </c>
    </row>
    <row r="716" spans="1:18" x14ac:dyDescent="0.4">
      <c r="A716" s="2">
        <v>45926</v>
      </c>
      <c r="B716" t="s">
        <v>33</v>
      </c>
      <c r="C716" t="s">
        <v>747</v>
      </c>
      <c r="D716" s="3" t="str">
        <f t="shared" si="22"/>
        <v>PASS</v>
      </c>
      <c r="E716" s="3" t="str">
        <f t="shared" si="23"/>
        <v>PASS</v>
      </c>
      <c r="F716" t="s">
        <v>747</v>
      </c>
      <c r="G716" t="s">
        <v>747</v>
      </c>
      <c r="H716" s="3">
        <v>168286622.34</v>
      </c>
      <c r="I716" s="3">
        <v>161427074.56886399</v>
      </c>
      <c r="J716" s="3">
        <v>31274.43</v>
      </c>
      <c r="K716" s="4">
        <v>8414331.1170000006</v>
      </c>
      <c r="L716" s="4">
        <v>0.24806987318089649</v>
      </c>
      <c r="M716" s="3">
        <v>3</v>
      </c>
      <c r="N716" t="s">
        <v>1760</v>
      </c>
      <c r="O716" s="4">
        <v>0.1009362059364748</v>
      </c>
      <c r="P716" t="s">
        <v>1735</v>
      </c>
      <c r="Q716" t="s">
        <v>839</v>
      </c>
      <c r="R716" t="s">
        <v>1515</v>
      </c>
    </row>
    <row r="717" spans="1:18" x14ac:dyDescent="0.4">
      <c r="A717" s="2">
        <v>45929</v>
      </c>
      <c r="B717" t="s">
        <v>21</v>
      </c>
      <c r="C717" t="s">
        <v>747</v>
      </c>
      <c r="D717" s="3" t="str">
        <f t="shared" si="22"/>
        <v>PASS</v>
      </c>
      <c r="E717" s="3" t="str">
        <f t="shared" si="23"/>
        <v>PASS</v>
      </c>
      <c r="F717" t="s">
        <v>747</v>
      </c>
      <c r="G717" t="s">
        <v>747</v>
      </c>
      <c r="H717" s="3">
        <v>24912662.870000001</v>
      </c>
      <c r="I717" s="3">
        <v>23729793.088144001</v>
      </c>
      <c r="J717" s="3">
        <v>1518.88</v>
      </c>
      <c r="K717" s="4">
        <v>1245633.1435</v>
      </c>
      <c r="L717" s="4">
        <v>0.25358816644554311</v>
      </c>
      <c r="M717" s="3">
        <v>3</v>
      </c>
      <c r="N717" t="s">
        <v>1761</v>
      </c>
      <c r="O717" s="4">
        <v>0.1125756974587117</v>
      </c>
      <c r="P717" t="s">
        <v>1762</v>
      </c>
      <c r="Q717" t="s">
        <v>904</v>
      </c>
      <c r="R717" t="s">
        <v>1236</v>
      </c>
    </row>
    <row r="718" spans="1:18" x14ac:dyDescent="0.4">
      <c r="A718" s="2">
        <v>45929</v>
      </c>
      <c r="B718" t="s">
        <v>24</v>
      </c>
      <c r="C718" t="s">
        <v>747</v>
      </c>
      <c r="D718" s="3" t="str">
        <f t="shared" si="22"/>
        <v>PASS</v>
      </c>
      <c r="E718" s="3" t="str">
        <f t="shared" si="23"/>
        <v>PASS</v>
      </c>
      <c r="F718" t="s">
        <v>747</v>
      </c>
      <c r="G718" t="s">
        <v>747</v>
      </c>
      <c r="H718" s="3">
        <v>137183343.09</v>
      </c>
      <c r="I718" s="3">
        <v>137060407.87563899</v>
      </c>
      <c r="J718" s="3">
        <v>8825.73</v>
      </c>
      <c r="K718" s="4">
        <v>6859167.1545000002</v>
      </c>
      <c r="L718" s="4">
        <v>0.25609586654483402</v>
      </c>
      <c r="M718" s="3">
        <v>3</v>
      </c>
      <c r="N718" t="s">
        <v>1763</v>
      </c>
      <c r="O718" s="4">
        <v>8.0274690845041435E-2</v>
      </c>
      <c r="P718" t="s">
        <v>1762</v>
      </c>
      <c r="Q718" t="s">
        <v>790</v>
      </c>
      <c r="R718" t="s">
        <v>1228</v>
      </c>
    </row>
    <row r="719" spans="1:18" x14ac:dyDescent="0.4">
      <c r="A719" s="2">
        <v>45929</v>
      </c>
      <c r="B719" t="s">
        <v>25</v>
      </c>
      <c r="C719" t="s">
        <v>747</v>
      </c>
      <c r="D719" s="3" t="str">
        <f t="shared" si="22"/>
        <v>PASS</v>
      </c>
      <c r="E719" s="3" t="str">
        <f t="shared" si="23"/>
        <v>PASS</v>
      </c>
      <c r="F719" t="s">
        <v>747</v>
      </c>
      <c r="G719" t="s">
        <v>747</v>
      </c>
      <c r="H719" s="3">
        <v>102254387.18000001</v>
      </c>
      <c r="I719" s="3">
        <v>99331220.027808011</v>
      </c>
      <c r="J719" s="3">
        <v>6764.55</v>
      </c>
      <c r="K719" s="4">
        <v>5112719.3590000011</v>
      </c>
      <c r="L719" s="4">
        <v>0.23346596300698161</v>
      </c>
      <c r="M719" s="3">
        <v>3</v>
      </c>
      <c r="N719" t="s">
        <v>1764</v>
      </c>
      <c r="O719" s="4">
        <v>6.1186179100506333E-2</v>
      </c>
      <c r="P719" t="s">
        <v>1762</v>
      </c>
      <c r="Q719" t="s">
        <v>1544</v>
      </c>
      <c r="R719" t="s">
        <v>1115</v>
      </c>
    </row>
    <row r="720" spans="1:18" x14ac:dyDescent="0.4">
      <c r="A720" s="2">
        <v>45929</v>
      </c>
      <c r="B720" t="s">
        <v>26</v>
      </c>
      <c r="C720" t="s">
        <v>747</v>
      </c>
      <c r="D720" s="3" t="str">
        <f t="shared" si="22"/>
        <v>PASS</v>
      </c>
      <c r="E720" s="3" t="str">
        <f t="shared" si="23"/>
        <v>PASS</v>
      </c>
      <c r="F720" t="s">
        <v>747</v>
      </c>
      <c r="G720" t="s">
        <v>747</v>
      </c>
      <c r="H720" s="3">
        <v>23675969.739999998</v>
      </c>
      <c r="I720" s="3">
        <v>23123818.014252</v>
      </c>
      <c r="J720" s="3">
        <v>1576.54</v>
      </c>
      <c r="K720" s="4">
        <v>1183798.487</v>
      </c>
      <c r="L720" s="4">
        <v>0.2322183198997137</v>
      </c>
      <c r="M720" s="3">
        <v>3</v>
      </c>
      <c r="N720" t="s">
        <v>1765</v>
      </c>
      <c r="O720" s="4">
        <v>5.5339102416507822E-2</v>
      </c>
      <c r="P720" t="s">
        <v>1762</v>
      </c>
      <c r="Q720" t="s">
        <v>1546</v>
      </c>
      <c r="R720" t="s">
        <v>1115</v>
      </c>
    </row>
    <row r="721" spans="1:18" x14ac:dyDescent="0.4">
      <c r="A721" s="2">
        <v>45929</v>
      </c>
      <c r="B721" t="s">
        <v>27</v>
      </c>
      <c r="C721" t="s">
        <v>747</v>
      </c>
      <c r="D721" s="3" t="str">
        <f t="shared" si="22"/>
        <v>PASS</v>
      </c>
      <c r="E721" s="3" t="str">
        <f t="shared" si="23"/>
        <v>PASS</v>
      </c>
      <c r="F721" t="s">
        <v>747</v>
      </c>
      <c r="G721" t="s">
        <v>747</v>
      </c>
      <c r="H721" s="3">
        <v>43888203.729999997</v>
      </c>
      <c r="I721" s="3">
        <v>43369230.182774007</v>
      </c>
      <c r="J721" s="3">
        <v>2718.02</v>
      </c>
      <c r="K721" s="4">
        <v>2194410.1864999998</v>
      </c>
      <c r="L721" s="4">
        <v>0.25832327081691198</v>
      </c>
      <c r="M721" s="3">
        <v>3</v>
      </c>
      <c r="N721" t="s">
        <v>1766</v>
      </c>
      <c r="O721" s="4">
        <v>0.11280504559337549</v>
      </c>
      <c r="P721" t="s">
        <v>1762</v>
      </c>
      <c r="Q721" t="s">
        <v>1069</v>
      </c>
      <c r="R721" t="s">
        <v>1292</v>
      </c>
    </row>
    <row r="722" spans="1:18" x14ac:dyDescent="0.4">
      <c r="A722" s="2">
        <v>45929</v>
      </c>
      <c r="B722" t="s">
        <v>28</v>
      </c>
      <c r="C722" t="s">
        <v>747</v>
      </c>
      <c r="D722" s="3" t="str">
        <f t="shared" si="22"/>
        <v>PASS</v>
      </c>
      <c r="E722" s="3" t="str">
        <f t="shared" si="23"/>
        <v>PASS</v>
      </c>
      <c r="F722" t="s">
        <v>747</v>
      </c>
      <c r="G722" t="s">
        <v>747</v>
      </c>
      <c r="H722" s="3">
        <v>15514182.289999999</v>
      </c>
      <c r="I722" s="3">
        <v>15340369.443391999</v>
      </c>
      <c r="J722" s="3">
        <v>1004.43</v>
      </c>
      <c r="K722" s="4">
        <v>775709.11450000003</v>
      </c>
      <c r="L722" s="4">
        <v>0.24522660566313459</v>
      </c>
      <c r="M722" s="3">
        <v>3</v>
      </c>
      <c r="N722" t="s">
        <v>1767</v>
      </c>
      <c r="O722" s="4">
        <v>9.3469365402950935E-2</v>
      </c>
      <c r="P722" t="s">
        <v>1762</v>
      </c>
      <c r="Q722" t="s">
        <v>1515</v>
      </c>
      <c r="R722" t="s">
        <v>1549</v>
      </c>
    </row>
    <row r="723" spans="1:18" x14ac:dyDescent="0.4">
      <c r="A723" s="2">
        <v>45929</v>
      </c>
      <c r="B723" t="s">
        <v>29</v>
      </c>
      <c r="C723" t="s">
        <v>747</v>
      </c>
      <c r="D723" s="3" t="str">
        <f t="shared" si="22"/>
        <v>PASS</v>
      </c>
      <c r="E723" s="3" t="str">
        <f t="shared" si="23"/>
        <v>PASS</v>
      </c>
      <c r="F723" t="s">
        <v>747</v>
      </c>
      <c r="G723" t="s">
        <v>747</v>
      </c>
      <c r="H723" s="3">
        <v>34991693.590000004</v>
      </c>
      <c r="I723" s="3">
        <v>34477619.261209004</v>
      </c>
      <c r="J723" s="3">
        <v>2378.36</v>
      </c>
      <c r="K723" s="4">
        <v>1749584.6795000001</v>
      </c>
      <c r="L723" s="4">
        <v>0.22811123311210399</v>
      </c>
      <c r="M723" s="3">
        <v>3</v>
      </c>
      <c r="N723" t="s">
        <v>1768</v>
      </c>
      <c r="O723" s="4">
        <v>4.0140306087110993E-2</v>
      </c>
      <c r="P723" t="s">
        <v>1762</v>
      </c>
      <c r="Q723" t="s">
        <v>1546</v>
      </c>
      <c r="R723" t="s">
        <v>1297</v>
      </c>
    </row>
    <row r="724" spans="1:18" x14ac:dyDescent="0.4">
      <c r="A724" s="2">
        <v>45929</v>
      </c>
      <c r="B724" t="s">
        <v>30</v>
      </c>
      <c r="C724" t="s">
        <v>747</v>
      </c>
      <c r="D724" s="3" t="str">
        <f t="shared" si="22"/>
        <v>PASS</v>
      </c>
      <c r="E724" s="3" t="str">
        <f t="shared" si="23"/>
        <v>PASS</v>
      </c>
      <c r="F724" t="s">
        <v>747</v>
      </c>
      <c r="G724" t="s">
        <v>747</v>
      </c>
      <c r="H724" s="3">
        <v>55395797.75</v>
      </c>
      <c r="I724" s="3">
        <v>52923366.844343998</v>
      </c>
      <c r="J724" s="3">
        <v>3689.56</v>
      </c>
      <c r="K724" s="4">
        <v>2769789.8875000002</v>
      </c>
      <c r="L724" s="4">
        <v>0</v>
      </c>
      <c r="M724" s="3">
        <v>0</v>
      </c>
      <c r="N724" t="s">
        <v>23</v>
      </c>
      <c r="O724" s="4">
        <v>3.5133657667092623E-2</v>
      </c>
      <c r="P724" t="s">
        <v>1769</v>
      </c>
      <c r="Q724" t="s">
        <v>1743</v>
      </c>
      <c r="R724" t="s">
        <v>1770</v>
      </c>
    </row>
    <row r="725" spans="1:18" x14ac:dyDescent="0.4">
      <c r="A725" s="2">
        <v>45929</v>
      </c>
      <c r="B725" t="s">
        <v>31</v>
      </c>
      <c r="C725" t="s">
        <v>747</v>
      </c>
      <c r="D725" s="3" t="str">
        <f t="shared" si="22"/>
        <v>PASS</v>
      </c>
      <c r="E725" s="3" t="str">
        <f t="shared" si="23"/>
        <v>PASS</v>
      </c>
      <c r="F725" t="s">
        <v>747</v>
      </c>
      <c r="G725" t="s">
        <v>747</v>
      </c>
      <c r="H725" s="3">
        <v>40711704.909999996</v>
      </c>
      <c r="I725" s="3">
        <v>39204325.019152008</v>
      </c>
      <c r="J725" s="3">
        <v>2570.81</v>
      </c>
      <c r="K725" s="4">
        <v>2035585.2455</v>
      </c>
      <c r="L725" s="4">
        <v>0.24543644870530951</v>
      </c>
      <c r="M725" s="3">
        <v>3</v>
      </c>
      <c r="N725" t="s">
        <v>1771</v>
      </c>
      <c r="O725" s="4">
        <v>9.5353547284099727E-2</v>
      </c>
      <c r="P725" t="s">
        <v>1762</v>
      </c>
      <c r="Q725" t="s">
        <v>1521</v>
      </c>
      <c r="R725" t="s">
        <v>1554</v>
      </c>
    </row>
    <row r="726" spans="1:18" x14ac:dyDescent="0.4">
      <c r="A726" s="2">
        <v>45929</v>
      </c>
      <c r="B726" t="s">
        <v>32</v>
      </c>
      <c r="C726" t="s">
        <v>747</v>
      </c>
      <c r="D726" s="3" t="str">
        <f t="shared" si="22"/>
        <v>PASS</v>
      </c>
      <c r="E726" s="3" t="str">
        <f t="shared" si="23"/>
        <v>PASS</v>
      </c>
      <c r="F726" t="s">
        <v>747</v>
      </c>
      <c r="G726" t="s">
        <v>747</v>
      </c>
      <c r="H726" s="3">
        <v>79649747.640000001</v>
      </c>
      <c r="I726" s="3">
        <v>78209918.866183996</v>
      </c>
      <c r="J726" s="3">
        <v>5199.2</v>
      </c>
      <c r="K726" s="4">
        <v>3982487.3820000002</v>
      </c>
      <c r="L726" s="4">
        <v>0.23993744481377369</v>
      </c>
      <c r="M726" s="3">
        <v>3</v>
      </c>
      <c r="N726" t="s">
        <v>1772</v>
      </c>
      <c r="O726" s="4">
        <v>7.5215514344898926E-2</v>
      </c>
      <c r="P726" t="s">
        <v>1762</v>
      </c>
      <c r="Q726" t="s">
        <v>1521</v>
      </c>
      <c r="R726" t="s">
        <v>1549</v>
      </c>
    </row>
    <row r="727" spans="1:18" x14ac:dyDescent="0.4">
      <c r="A727" s="2">
        <v>45929</v>
      </c>
      <c r="B727" t="s">
        <v>33</v>
      </c>
      <c r="C727" t="s">
        <v>747</v>
      </c>
      <c r="D727" s="3" t="str">
        <f t="shared" si="22"/>
        <v>PASS</v>
      </c>
      <c r="E727" s="3" t="str">
        <f t="shared" si="23"/>
        <v>PASS</v>
      </c>
      <c r="F727" t="s">
        <v>747</v>
      </c>
      <c r="G727" t="s">
        <v>747</v>
      </c>
      <c r="H727" s="3">
        <v>168398611.09</v>
      </c>
      <c r="I727" s="3">
        <v>162900733.506084</v>
      </c>
      <c r="J727" s="3">
        <v>10447.549999999999</v>
      </c>
      <c r="K727" s="4">
        <v>8419930.5545000006</v>
      </c>
      <c r="L727" s="4">
        <v>0.26040718131283203</v>
      </c>
      <c r="M727" s="3">
        <v>3</v>
      </c>
      <c r="N727" t="s">
        <v>1773</v>
      </c>
      <c r="O727" s="4">
        <v>0.1013353850463993</v>
      </c>
      <c r="P727" t="s">
        <v>1762</v>
      </c>
      <c r="Q727" t="s">
        <v>839</v>
      </c>
      <c r="R727" t="s">
        <v>1515</v>
      </c>
    </row>
    <row r="728" spans="1:18" x14ac:dyDescent="0.4">
      <c r="A728" s="2">
        <v>45930</v>
      </c>
      <c r="B728" t="s">
        <v>21</v>
      </c>
      <c r="C728" t="s">
        <v>747</v>
      </c>
      <c r="D728" s="3" t="str">
        <f t="shared" si="22"/>
        <v>PASS</v>
      </c>
      <c r="E728" s="3" t="str">
        <f t="shared" si="23"/>
        <v>PASS</v>
      </c>
      <c r="F728" t="s">
        <v>747</v>
      </c>
      <c r="G728" t="s">
        <v>747</v>
      </c>
      <c r="H728" s="3">
        <v>24957044.100000001</v>
      </c>
      <c r="I728" s="3">
        <v>23641898.175255001</v>
      </c>
      <c r="J728" s="3">
        <v>1309.6300000000001</v>
      </c>
      <c r="K728" s="4">
        <v>1247852.2050000001</v>
      </c>
      <c r="L728" s="4">
        <v>0.25671859847408701</v>
      </c>
      <c r="M728" s="3">
        <v>3</v>
      </c>
      <c r="N728" t="s">
        <v>1774</v>
      </c>
      <c r="O728" s="4">
        <v>0.1127649818615739</v>
      </c>
      <c r="P728" t="s">
        <v>1775</v>
      </c>
      <c r="Q728" t="s">
        <v>904</v>
      </c>
      <c r="R728" t="s">
        <v>1228</v>
      </c>
    </row>
    <row r="729" spans="1:18" x14ac:dyDescent="0.4">
      <c r="A729" s="2">
        <v>45930</v>
      </c>
      <c r="B729" t="s">
        <v>24</v>
      </c>
      <c r="C729" t="s">
        <v>747</v>
      </c>
      <c r="D729" s="3" t="str">
        <f t="shared" si="22"/>
        <v>PASS</v>
      </c>
      <c r="E729" s="3" t="str">
        <f t="shared" si="23"/>
        <v>PASS</v>
      </c>
      <c r="F729" t="s">
        <v>747</v>
      </c>
      <c r="G729" t="s">
        <v>747</v>
      </c>
      <c r="H729" s="3">
        <v>137499213.66</v>
      </c>
      <c r="I729" s="3">
        <v>135071726.82210001</v>
      </c>
      <c r="J729" s="3">
        <v>7155.69</v>
      </c>
      <c r="K729" s="4">
        <v>6874960.6830000002</v>
      </c>
      <c r="L729" s="4">
        <v>0.24901222481285401</v>
      </c>
      <c r="M729" s="3">
        <v>3</v>
      </c>
      <c r="N729" t="s">
        <v>1776</v>
      </c>
      <c r="O729" s="4">
        <v>8.0675519421730471E-2</v>
      </c>
      <c r="P729" t="s">
        <v>1775</v>
      </c>
      <c r="Q729" t="s">
        <v>1242</v>
      </c>
      <c r="R729" t="s">
        <v>1447</v>
      </c>
    </row>
    <row r="730" spans="1:18" x14ac:dyDescent="0.4">
      <c r="A730" s="2">
        <v>45930</v>
      </c>
      <c r="B730" t="s">
        <v>25</v>
      </c>
      <c r="C730" t="s">
        <v>747</v>
      </c>
      <c r="D730" s="3" t="str">
        <f t="shared" si="22"/>
        <v>PASS</v>
      </c>
      <c r="E730" s="3" t="str">
        <f t="shared" si="23"/>
        <v>PASS</v>
      </c>
      <c r="F730" t="s">
        <v>747</v>
      </c>
      <c r="G730" t="s">
        <v>747</v>
      </c>
      <c r="H730" s="3">
        <v>102465861.95</v>
      </c>
      <c r="I730" s="3">
        <v>98618701.797505006</v>
      </c>
      <c r="J730" s="3">
        <v>5366.15</v>
      </c>
      <c r="K730" s="4">
        <v>5123293.0975000001</v>
      </c>
      <c r="L730" s="4">
        <v>0.23561352326446641</v>
      </c>
      <c r="M730" s="3">
        <v>3</v>
      </c>
      <c r="N730" t="s">
        <v>1777</v>
      </c>
      <c r="O730" s="4">
        <v>6.1094003001308878E-2</v>
      </c>
      <c r="P730" t="s">
        <v>1775</v>
      </c>
      <c r="Q730" t="s">
        <v>1544</v>
      </c>
      <c r="R730" t="s">
        <v>1280</v>
      </c>
    </row>
    <row r="731" spans="1:18" x14ac:dyDescent="0.4">
      <c r="A731" s="2">
        <v>45930</v>
      </c>
      <c r="B731" t="s">
        <v>26</v>
      </c>
      <c r="C731" t="s">
        <v>747</v>
      </c>
      <c r="D731" s="3" t="str">
        <f t="shared" si="22"/>
        <v>PASS</v>
      </c>
      <c r="E731" s="3" t="str">
        <f t="shared" si="23"/>
        <v>PASS</v>
      </c>
      <c r="F731" t="s">
        <v>747</v>
      </c>
      <c r="G731" t="s">
        <v>747</v>
      </c>
      <c r="H731" s="3">
        <v>23727158.620000001</v>
      </c>
      <c r="I731" s="3">
        <v>22974531.256859999</v>
      </c>
      <c r="J731" s="3">
        <v>2830.53</v>
      </c>
      <c r="K731" s="4">
        <v>1186357.9310000001</v>
      </c>
      <c r="L731" s="4">
        <v>0.2349465770396007</v>
      </c>
      <c r="M731" s="3">
        <v>3</v>
      </c>
      <c r="N731" t="s">
        <v>1778</v>
      </c>
      <c r="O731" s="4">
        <v>5.5380470451796539E-2</v>
      </c>
      <c r="P731" t="s">
        <v>1775</v>
      </c>
      <c r="Q731" t="s">
        <v>1544</v>
      </c>
      <c r="R731" t="s">
        <v>1280</v>
      </c>
    </row>
    <row r="732" spans="1:18" x14ac:dyDescent="0.4">
      <c r="A732" s="2">
        <v>45930</v>
      </c>
      <c r="B732" t="s">
        <v>27</v>
      </c>
      <c r="C732" t="s">
        <v>747</v>
      </c>
      <c r="D732" s="3" t="str">
        <f t="shared" si="22"/>
        <v>PASS</v>
      </c>
      <c r="E732" s="3" t="str">
        <f t="shared" si="23"/>
        <v>PASS</v>
      </c>
      <c r="F732" t="s">
        <v>747</v>
      </c>
      <c r="G732" t="s">
        <v>747</v>
      </c>
      <c r="H732" s="3">
        <v>43987988.25</v>
      </c>
      <c r="I732" s="3">
        <v>43251182.192610003</v>
      </c>
      <c r="J732" s="3">
        <v>2431.5700000000002</v>
      </c>
      <c r="K732" s="4">
        <v>2199399.4125000001</v>
      </c>
      <c r="L732" s="4">
        <v>0.26160391620790152</v>
      </c>
      <c r="M732" s="3">
        <v>3</v>
      </c>
      <c r="N732" t="s">
        <v>1779</v>
      </c>
      <c r="O732" s="4">
        <v>0.1134952563467141</v>
      </c>
      <c r="P732" t="s">
        <v>1775</v>
      </c>
      <c r="Q732" t="s">
        <v>1069</v>
      </c>
      <c r="R732" t="s">
        <v>1261</v>
      </c>
    </row>
    <row r="733" spans="1:18" x14ac:dyDescent="0.4">
      <c r="A733" s="2">
        <v>45930</v>
      </c>
      <c r="B733" t="s">
        <v>28</v>
      </c>
      <c r="C733" t="s">
        <v>747</v>
      </c>
      <c r="D733" s="3" t="str">
        <f t="shared" si="22"/>
        <v>PASS</v>
      </c>
      <c r="E733" s="3" t="str">
        <f t="shared" si="23"/>
        <v>PASS</v>
      </c>
      <c r="F733" t="s">
        <v>747</v>
      </c>
      <c r="G733" t="s">
        <v>747</v>
      </c>
      <c r="H733" s="3">
        <v>15548235.439999999</v>
      </c>
      <c r="I733" s="3">
        <v>15268623.413480001</v>
      </c>
      <c r="J733" s="3">
        <v>891.11</v>
      </c>
      <c r="K733" s="4">
        <v>777411.772</v>
      </c>
      <c r="L733" s="4">
        <v>0.24820036976494059</v>
      </c>
      <c r="M733" s="3">
        <v>3</v>
      </c>
      <c r="N733" t="s">
        <v>1780</v>
      </c>
      <c r="O733" s="4">
        <v>9.3828775561685202E-2</v>
      </c>
      <c r="P733" t="s">
        <v>1775</v>
      </c>
      <c r="Q733" t="s">
        <v>1236</v>
      </c>
      <c r="R733" t="s">
        <v>1549</v>
      </c>
    </row>
    <row r="734" spans="1:18" x14ac:dyDescent="0.4">
      <c r="A734" s="2">
        <v>45930</v>
      </c>
      <c r="B734" t="s">
        <v>29</v>
      </c>
      <c r="C734" t="s">
        <v>747</v>
      </c>
      <c r="D734" s="3" t="str">
        <f t="shared" si="22"/>
        <v>PASS</v>
      </c>
      <c r="E734" s="3" t="str">
        <f t="shared" si="23"/>
        <v>PASS</v>
      </c>
      <c r="F734" t="s">
        <v>747</v>
      </c>
      <c r="G734" t="s">
        <v>747</v>
      </c>
      <c r="H734" s="3">
        <v>35076130.810000002</v>
      </c>
      <c r="I734" s="3">
        <v>34268075.224744998</v>
      </c>
      <c r="J734" s="3">
        <v>4201</v>
      </c>
      <c r="K734" s="4">
        <v>1753806.5404999999</v>
      </c>
      <c r="L734" s="4">
        <v>0.2307846678368862</v>
      </c>
      <c r="M734" s="3">
        <v>3</v>
      </c>
      <c r="N734" t="s">
        <v>1781</v>
      </c>
      <c r="O734" s="4">
        <v>4.0350215718248428E-2</v>
      </c>
      <c r="P734" t="s">
        <v>1775</v>
      </c>
      <c r="Q734" t="s">
        <v>1544</v>
      </c>
      <c r="R734" t="s">
        <v>1285</v>
      </c>
    </row>
    <row r="735" spans="1:18" x14ac:dyDescent="0.4">
      <c r="A735" s="2">
        <v>45930</v>
      </c>
      <c r="B735" t="s">
        <v>30</v>
      </c>
      <c r="C735" t="s">
        <v>747</v>
      </c>
      <c r="D735" s="3" t="str">
        <f t="shared" si="22"/>
        <v>PASS</v>
      </c>
      <c r="E735" s="3" t="str">
        <f t="shared" si="23"/>
        <v>PASS</v>
      </c>
      <c r="F735" t="s">
        <v>747</v>
      </c>
      <c r="G735" t="s">
        <v>747</v>
      </c>
      <c r="H735" s="3">
        <v>55285466.399999999</v>
      </c>
      <c r="I735" s="3">
        <v>52306083.036591999</v>
      </c>
      <c r="J735" s="3">
        <v>3867.31</v>
      </c>
      <c r="K735" s="4">
        <v>2764273.32</v>
      </c>
      <c r="L735" s="4">
        <v>0</v>
      </c>
      <c r="M735" s="3">
        <v>0</v>
      </c>
      <c r="N735" t="s">
        <v>23</v>
      </c>
      <c r="O735" s="4">
        <v>3.5282310770050777E-2</v>
      </c>
      <c r="P735" t="s">
        <v>1782</v>
      </c>
      <c r="Q735" t="s">
        <v>1783</v>
      </c>
      <c r="R735" t="s">
        <v>1770</v>
      </c>
    </row>
    <row r="736" spans="1:18" x14ac:dyDescent="0.4">
      <c r="A736" s="2">
        <v>45930</v>
      </c>
      <c r="B736" t="s">
        <v>31</v>
      </c>
      <c r="C736" t="s">
        <v>747</v>
      </c>
      <c r="D736" s="3" t="str">
        <f t="shared" si="22"/>
        <v>PASS</v>
      </c>
      <c r="E736" s="3" t="str">
        <f t="shared" si="23"/>
        <v>PASS</v>
      </c>
      <c r="F736" t="s">
        <v>747</v>
      </c>
      <c r="G736" t="s">
        <v>747</v>
      </c>
      <c r="H736" s="3">
        <v>40797748.600000001</v>
      </c>
      <c r="I736" s="3">
        <v>39062019.925315</v>
      </c>
      <c r="J736" s="3">
        <v>2280.0500000000002</v>
      </c>
      <c r="K736" s="4">
        <v>2039887.43</v>
      </c>
      <c r="L736" s="4">
        <v>0.2484115626029417</v>
      </c>
      <c r="M736" s="3">
        <v>3</v>
      </c>
      <c r="N736" t="s">
        <v>1784</v>
      </c>
      <c r="O736" s="4">
        <v>9.5670488427760936E-2</v>
      </c>
      <c r="P736" t="s">
        <v>1775</v>
      </c>
      <c r="Q736" t="s">
        <v>1515</v>
      </c>
      <c r="R736" t="s">
        <v>1554</v>
      </c>
    </row>
    <row r="737" spans="1:18" x14ac:dyDescent="0.4">
      <c r="A737" s="2">
        <v>45930</v>
      </c>
      <c r="B737" t="s">
        <v>32</v>
      </c>
      <c r="C737" t="s">
        <v>747</v>
      </c>
      <c r="D737" s="3" t="str">
        <f t="shared" si="22"/>
        <v>PASS</v>
      </c>
      <c r="E737" s="3" t="str">
        <f t="shared" si="23"/>
        <v>PASS</v>
      </c>
      <c r="F737" t="s">
        <v>747</v>
      </c>
      <c r="G737" t="s">
        <v>747</v>
      </c>
      <c r="H737" s="3">
        <v>79845989.989999995</v>
      </c>
      <c r="I737" s="3">
        <v>77919894.894620016</v>
      </c>
      <c r="J737" s="3">
        <v>4537.97</v>
      </c>
      <c r="K737" s="4">
        <v>3992299.4994999999</v>
      </c>
      <c r="L737" s="4">
        <v>0.24273924948070769</v>
      </c>
      <c r="M737" s="3">
        <v>3</v>
      </c>
      <c r="N737" t="s">
        <v>1785</v>
      </c>
      <c r="O737" s="4">
        <v>7.5482898457077549E-2</v>
      </c>
      <c r="P737" t="s">
        <v>1775</v>
      </c>
      <c r="Q737" t="s">
        <v>1236</v>
      </c>
      <c r="R737" t="s">
        <v>1554</v>
      </c>
    </row>
    <row r="738" spans="1:18" x14ac:dyDescent="0.4">
      <c r="A738" s="2">
        <v>45930</v>
      </c>
      <c r="B738" t="s">
        <v>33</v>
      </c>
      <c r="C738" t="s">
        <v>747</v>
      </c>
      <c r="D738" s="3" t="str">
        <f t="shared" si="22"/>
        <v>PASS</v>
      </c>
      <c r="E738" s="3" t="str">
        <f t="shared" si="23"/>
        <v>PASS</v>
      </c>
      <c r="F738" t="s">
        <v>747</v>
      </c>
      <c r="G738" t="s">
        <v>747</v>
      </c>
      <c r="H738" s="3">
        <v>168723434.47</v>
      </c>
      <c r="I738" s="3">
        <v>160298748.07689989</v>
      </c>
      <c r="J738" s="3">
        <v>8271.24</v>
      </c>
      <c r="K738" s="4">
        <v>8436171.7235000003</v>
      </c>
      <c r="L738" s="4">
        <v>0.25218555520874641</v>
      </c>
      <c r="M738" s="3">
        <v>3</v>
      </c>
      <c r="N738" t="s">
        <v>1786</v>
      </c>
      <c r="O738" s="4">
        <v>0.1015401603263725</v>
      </c>
      <c r="P738" t="s">
        <v>1775</v>
      </c>
      <c r="Q738" t="s">
        <v>839</v>
      </c>
      <c r="R738" t="s">
        <v>1238</v>
      </c>
    </row>
    <row r="739" spans="1:18" x14ac:dyDescent="0.4">
      <c r="A739" t="s">
        <v>1787</v>
      </c>
    </row>
    <row r="740" spans="1:18" x14ac:dyDescent="0.4">
      <c r="A740" t="s">
        <v>1788</v>
      </c>
    </row>
    <row r="741" spans="1:18" x14ac:dyDescent="0.4">
      <c r="A741" t="s">
        <v>1789</v>
      </c>
    </row>
    <row r="742" spans="1:18" x14ac:dyDescent="0.4">
      <c r="A742" t="s">
        <v>1790</v>
      </c>
    </row>
    <row r="743" spans="1:18" x14ac:dyDescent="0.4">
      <c r="A743" t="s">
        <v>1791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40Act_Diversification</vt:lpstr>
      <vt:lpstr>IRS_Diversification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Patrick Corcoran</cp:lastModifiedBy>
  <dcterms:created xsi:type="dcterms:W3CDTF">2025-11-01T19:09:00Z</dcterms:created>
  <dcterms:modified xsi:type="dcterms:W3CDTF">2025-11-03T19:29:56Z</dcterms:modified>
</cp:coreProperties>
</file>