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40Act_Diversification" sheetId="2" state="visible" r:id="rId2"/>
    <sheet xmlns:r="http://schemas.openxmlformats.org/officeDocument/2006/relationships" name="IRS_Diver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" customWidth="1" min="4" max="4"/>
    <col width="8" customWidth="1" min="5" max="5"/>
    <col width="12" customWidth="1" min="6" max="6"/>
    <col width="11" customWidth="1" min="7" max="7"/>
    <col width="14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Cash</t>
        </is>
      </c>
      <c r="D1" s="1" t="inlineStr">
        <is>
          <t>Treasury</t>
        </is>
      </c>
      <c r="E1" s="1" t="inlineStr">
        <is>
          <t>Equity</t>
        </is>
      </c>
      <c r="F1" s="1" t="inlineStr">
        <is>
          <t>Option DAN</t>
        </is>
      </c>
      <c r="G1" s="1" t="inlineStr">
        <is>
          <t>Option MV</t>
        </is>
      </c>
      <c r="H1" s="1" t="inlineStr">
        <is>
          <t>Total Assets</t>
        </is>
      </c>
      <c r="I1" s="1" t="inlineStr">
        <is>
          <t>Total Net 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9" customWidth="1" min="3" max="3"/>
    <col width="34" customWidth="1" min="4" max="4"/>
    <col width="26" customWidth="1" min="5" max="5"/>
    <col width="43" customWidth="1" min="6" max="6"/>
    <col width="50" customWidth="1" min="7" max="7"/>
    <col width="14" customWidth="1" min="8" max="8"/>
    <col width="30" customWidth="1" min="9" max="9"/>
    <col width="14" customWidth="1" min="10" max="10"/>
    <col width="10" customWidth="1" min="11" max="11"/>
    <col width="42" customWidth="1" min="12" max="12"/>
    <col width="50" customWidth="1" min="13" max="13"/>
    <col width="50" customWidth="1" min="14" max="14"/>
    <col width="42" customWidth="1" min="15" max="15"/>
    <col width="43" customWidth="1" min="16" max="16"/>
    <col width="50" customWidth="1" min="17" max="17"/>
    <col width="40" customWidth="1" min="18" max="18"/>
    <col width="20" customWidth="1" min="19" max="19"/>
    <col width="21" customWidth="1" min="20" max="20"/>
    <col width="7" customWidth="1" min="21" max="21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Fund Registration</t>
        </is>
      </c>
      <c r="D1" s="1" t="inlineStr">
        <is>
          <t>Condition 40 Act 1</t>
        </is>
      </c>
      <c r="E1" s="1" t="inlineStr">
        <is>
          <t>Condition 40 Act 2a</t>
        </is>
      </c>
      <c r="F1" s="1" t="inlineStr">
        <is>
          <t>Condition 40 Act 2b</t>
        </is>
      </c>
      <c r="G1" s="1" t="inlineStr">
        <is>
          <t>Condition 2a OCC</t>
        </is>
      </c>
      <c r="H1" s="1" t="inlineStr">
        <is>
          <t>Total Assets</t>
        </is>
      </c>
      <c r="I1" s="1" t="inlineStr">
        <is>
          <t>Non-Qualifying Assets Weight</t>
        </is>
      </c>
      <c r="J1" s="1" t="inlineStr">
        <is>
          <t>Net Assets</t>
        </is>
      </c>
      <c r="K1" s="1" t="inlineStr">
        <is>
          <t>Expenses</t>
        </is>
      </c>
      <c r="L1" s="1" t="inlineStr">
        <is>
          <t>Issuer Limited Assets (Condition 2a) Sum</t>
        </is>
      </c>
      <c r="M1" s="1" t="inlineStr">
        <is>
          <t>Issuer Limited Assets (Condition 2a) (Ticker, Shares, Mkt Value)</t>
        </is>
      </c>
      <c r="N1" s="1" t="inlineStr">
        <is>
          <t>Excluded Securities (25% Bucket)</t>
        </is>
      </c>
      <c r="O1" s="1" t="inlineStr">
        <is>
          <t>Cumulative Weight of Excluded Securities</t>
        </is>
      </c>
      <c r="P1" s="1" t="inlineStr">
        <is>
          <t>Cumulative Weight of Remaining Securities</t>
        </is>
      </c>
      <c r="Q1" s="1" t="inlineStr">
        <is>
          <t>Remaining Securities (Ticker, Shares Held, Vest Weight, Vest Ownership of Float)</t>
        </is>
      </c>
      <c r="R1" s="1" t="inlineStr">
        <is>
          <t>Max Ownership % of Float in 75% bucket</t>
        </is>
      </c>
      <c r="S1" s="1" t="inlineStr">
        <is>
          <t>OCC Market Value</t>
        </is>
      </c>
      <c r="T1" s="1" t="inlineStr">
        <is>
          <t>OCC Weight</t>
        </is>
      </c>
      <c r="U1" s="1" t="inlineStr">
        <is>
          <t>Notes</t>
        </is>
      </c>
    </row>
    <row r="2">
      <c r="A2" s="2" t="n">
        <v>45926</v>
      </c>
      <c r="B2" t="inlineStr">
        <is>
          <t>P2726</t>
        </is>
      </c>
      <c r="C2" t="inlineStr">
        <is>
          <t>diversified</t>
        </is>
      </c>
      <c r="D2" s="3">
        <f>IF(J2/H2&gt;=0.75,"PASS","FAIL")</f>
        <v/>
      </c>
      <c r="E2" s="3">
        <f>IF(L2=0,"PASS","FAIL")</f>
        <v/>
      </c>
      <c r="F2" s="3">
        <f>IF(R2="","",IF(R2&lt;=0.1,"PASS","FAIL"))</f>
        <v/>
      </c>
      <c r="G2" s="3">
        <f>IF(S2=0,"PASS",IF(S2&lt;=0.05*J2,"PASS","FAIL"))</f>
        <v/>
      </c>
      <c r="H2" s="3" t="n">
        <v>34967982.33</v>
      </c>
      <c r="I2" s="4" t="n">
        <v>0</v>
      </c>
      <c r="J2" s="3" t="n">
        <v>32744731.3</v>
      </c>
      <c r="K2" s="3" t="n">
        <v>7111.89</v>
      </c>
      <c r="L2" s="3" t="n">
        <v>0</v>
      </c>
      <c r="M2" t="inlineStr">
        <is>
          <t>None</t>
        </is>
      </c>
      <c r="N2" t="inlineStr">
        <is>
          <t>NVDA, AAPL, MSFT, GOOGLE</t>
        </is>
      </c>
      <c r="O2" s="4" t="n">
        <v>0.2624761794884541</v>
      </c>
      <c r="P2" s="4" t="n">
        <v>0.737523820511546</v>
      </c>
      <c r="Q2" t="inlineStr">
        <is>
          <t>(AMZN, 0, 3.84%, 0.00%), (AVGO, 0, 3.62%, 0.00%), (META, 0, 2.86%, 0.00%), (TSLA, 0, 2.24%, 0.00%), (BRK/B, 0, 2.23%, 0.00%), (CSCO, 0, 1.82%, 0.00%), (LIN, 0, 1.82%, 0.00%), (JPM, 0, 1.79%, 0.00%), (XOM, 0, 1.59%, 0.00%), (AMT, 0, 1.51%, 0.00%), (V, 0, 1.42%, 0.00%), (CB, 0, 1.21%, 0.00%), (GE, 0, 1.18%, 0.00%), (LLY, 0, 1.17%, 0.00%), (ORCL, 0, 1.14%, 0.00%), (MA, 0, 1.13%, 0.00%), (WM, 0, 1.05%, 0.00%), (UNH, 0, 1.03%, 0.00%), (NEE, 0, 0.92%, 0.00%), (PLTR, 0, 0.91%, 0.00%), (NFLX, 0, 0.91%, 0.00%), (JNJ, 0, 0.88%, 0.00%), (WMT, 0, 0.85%, 0.00%), (CAT, 0, 0.83%, 0.00%), (CVX, 0, 0.83%, 0.00%), (ABBV, 0, 0.80%, 0.00%), (RTX, 0, 0.80%, 0.00%), (PG, 0, 0.79%, 0.00%), (COST, 0, 0.77%, 0.00%), (HD, 0, 0.76%, 0.00%), (ABT, 0, 0.76%, 0.00%), (MCD, 0, 0.75%, 0.00%), (BAC, 0, 0.70%, 0.00%), (IBM, 0, 0.65%, 0.00%), (BKNG, 0, 0.63%, 0.00%), (SO, 0, 0.62%, 0.00%), (PM, 0, 0.62%, 0.00%), (KO, 0, 0.62%, 0.00%), (GS, 0, 0.62%, 0.00%), (BA, 0, 0.61%, 0.00%), (AMD, 0, 0.60%, 0.00%), (UBER, 0, 0.59%, 0.00%), (CRM, 0, 0.58%, 0.00%), (DUK, 0, 0.57%, 0.00%), (WFC, 0, 0.57%, 0.00%), (NKE, 0, 0.56%, 0.00%), (MET, 0, 0.54%, 0.00%), (ETN, 0, 0.54%, 0.00%), (ISRG, 0, 0.51%, 0.00%), (HON, 0, 0.50%, 0.00%), (INTU, 0, 0.49%, 0.00%), (NOW, 0, 0.48%, 0.00%), (MS, 0, 0.48%, 0.00%), (PEP, 0, 0.47%, 0.00%), (AXP, 0, 0.46%, 0.00%), (T, 0, 0.45%, 0.00%), (DE, 0, 0.44%, 0.00%), (QCOM, 0, 0.43%, 0.00%), (BLK, 0, 0.41%, 0.00%), (VZ, 0, 0.41%, 0.00%), (MRK, 0, 0.41%, 0.00%), (ADBE, 0, 0.40%, 0.00%), (UNP, 0, 0.40%, 0.00%), (MDT, 0, 0.39%, 0.00%), (C, 0, 0.39%, 0.00%), (COP, 0, 0.39%, 0.00%), (TXN, 0, 0.39%, 0.00%), (AMAT, 0, 0.38%, 0.00%), (SPGI, 0, 0.38%, 0.00%), (LMT, 0, 0.38%, 0.00%), (ACN, 0, 0.37%, 0.00%), (TMO, 0, 0.36%, 0.00%), (DIS, 0, 0.36%, 0.00%), (SCHW, 0, 0.35%, 0.00%), (INTC, 0, 0.34%, 0.00%), (SBUX, 0, 0.32%, 0.00%), (CVS, 0, 0.31%, 0.00%), (MMM, 0, 0.31%, 0.00%), (AMGN, 0, 0.30%, 0.00%), (TJX, 0, 0.30%, 0.00%), (GILD, 0, 0.29%, 0.00%), (PFE, 0, 0.28%, 0.00%), (LOW, 0, 0.27%, 0.00%), (EMR, 0, 0.27%, 0.00%), (MO, 0, 0.27%, 0.00%), (DHR, 0, 0.24%, 0.00%), (ELV, 0, 0.24%, 0.00%), (CMCSA, 0, 0.21%, 0.00%), (MDLZ, 0, 0.20%, 0.00%), (BMY, 0, 0.18%, 0.00%), (UPS, 0, 0.17%, 0.00%), (PYPL, 0, 0.16%, 0.00%), (USB, 0, 0.16%, 0.00%), (FDX, 0, 0.15%, 0.00%), (CL, 0, 0.14%, 0.00%), (TGT, 0, 0.08%, 0.00%)</t>
        </is>
      </c>
      <c r="R2" s="4" t="n">
        <v>0</v>
      </c>
      <c r="S2" s="3" t="n">
        <v>4527273.27</v>
      </c>
      <c r="T2" s="4" t="n">
        <v>0.1294691019709172</v>
      </c>
      <c r="U2" t="inlineStr"/>
    </row>
    <row r="3">
      <c r="A3" s="2" t="n">
        <v>45926</v>
      </c>
      <c r="B3" t="inlineStr">
        <is>
          <t>P3727</t>
        </is>
      </c>
      <c r="C3" t="inlineStr">
        <is>
          <t>diversified</t>
        </is>
      </c>
      <c r="D3" s="3">
        <f>IF(J3/H3&gt;=0.75,"PASS","FAIL")</f>
        <v/>
      </c>
      <c r="E3" s="3">
        <f>IF(L3=0,"PASS","FAIL")</f>
        <v/>
      </c>
      <c r="F3" s="3">
        <f>IF(R3="","",IF(R3&lt;=0.1,"PASS","FAIL"))</f>
        <v/>
      </c>
      <c r="G3" s="3">
        <f>IF(S3=0,"PASS",IF(S3&lt;=0.05*J3,"PASS","FAIL"))</f>
        <v/>
      </c>
      <c r="H3" s="3" t="n">
        <v>79580337.26000001</v>
      </c>
      <c r="I3" s="4" t="n">
        <v>0</v>
      </c>
      <c r="J3" s="3" t="n">
        <v>71611640.76000001</v>
      </c>
      <c r="K3" s="3" t="n">
        <v>15552.75</v>
      </c>
      <c r="L3" s="3" t="n">
        <v>0</v>
      </c>
      <c r="M3" t="inlineStr">
        <is>
          <t>None</t>
        </is>
      </c>
      <c r="N3" t="inlineStr">
        <is>
          <t>NVDA, AAPL, MSFT, GOOGLE</t>
        </is>
      </c>
      <c r="O3" s="4" t="n">
        <v>0.2622143449126021</v>
      </c>
      <c r="P3" s="4" t="n">
        <v>0.7377856550873978</v>
      </c>
      <c r="Q3" t="inlineStr">
        <is>
          <t>(AMZN, 0, 3.68%, 0.00%), (AVGO, 0, 3.47%, 0.00%), (META, 0, 2.74%, 0.00%), (TSLA, 0, 2.15%, 0.00%), (BRK/B, 0, 2.14%, 0.00%), (CSCO, 0, 1.76%, 0.00%), (LIN, 0, 1.75%, 0.00%), (JPM, 0, 1.71%, 0.00%), (XOM, 0, 1.53%, 0.00%), (AMT, 0, 1.45%, 0.00%), (V, 0, 1.36%, 0.00%), (CB, 0, 1.16%, 0.00%), (GE, 0, 1.13%, 0.00%), (LLY, 0, 1.12%, 0.00%), (ORCL, 0, 1.10%, 0.00%), (MA, 0, 1.08%, 0.00%), (WM, 0, 1.01%, 0.00%), (UNH, 0, 0.99%, 0.00%), (NEE, 0, 0.89%, 0.00%), (PLTR, 0, 0.88%, 0.00%), (NFLX, 0, 0.87%, 0.00%), (JNJ, 0, 0.85%, 0.00%), (WMT, 0, 0.81%, 0.00%), (CAT, 0, 0.80%, 0.00%), (CVX, 0, 0.79%, 0.00%), (RTX, 0, 0.77%, 0.00%), (ABBV, 0, 0.77%, 0.00%), (PG, 0, 0.76%, 0.00%), (COST, 0, 0.74%, 0.00%), (HD, 0, 0.73%, 0.00%), (ABT, 0, 0.72%, 0.00%), (MCD, 0, 0.72%, 0.00%), (BAC, 0, 0.67%, 0.00%), (IBM, 0, 0.62%, 0.00%), (BKNG, 0, 0.60%, 0.00%), (SO, 0, 0.59%, 0.00%), (PM, 0, 0.59%, 0.00%), (KO, 0, 0.59%, 0.00%), (GS, 0, 0.59%, 0.00%), (BA, 0, 0.58%, 0.00%), (AMD, 0, 0.57%, 0.00%), (UBER, 0, 0.56%, 0.00%), (CRM, 0, 0.56%, 0.00%), (DUK, 0, 0.55%, 0.00%), (WFC, 0, 0.55%, 0.00%), (NKE, 0, 0.53%, 0.00%), (MET, 0, 0.52%, 0.00%), (ETN, 0, 0.51%, 0.00%), (ISRG, 0, 0.49%, 0.00%), (HON, 0, 0.48%, 0.00%), (INTU, 0, 0.47%, 0.00%), (NOW, 0, 0.46%, 0.00%), (MS, 0, 0.46%, 0.00%), (PEP, 0, 0.45%, 0.00%), (AXP, 0, 0.44%, 0.00%), (T, 0, 0.43%, 0.00%), (DE, 0, 0.42%, 0.00%), (QCOM, 0, 0.42%, 0.00%), (BLK, 0, 0.39%, 0.00%), (VZ, 0, 0.39%, 0.00%), (MRK, 0, 0.39%, 0.00%), (UNP, 0, 0.38%, 0.00%), (ADBE, 0, 0.38%, 0.00%), (MDT, 0, 0.38%, 0.00%), (C, 0, 0.38%, 0.00%), (COP, 0, 0.38%, 0.00%), (TXN, 0, 0.37%, 0.00%), (AMAT, 0, 0.37%, 0.00%), (LMT, 0, 0.36%, 0.00%), (SPGI, 0, 0.36%, 0.00%), (ACN, 0, 0.36%, 0.00%), (TMO, 0, 0.35%, 0.00%), (DIS, 0, 0.35%, 0.00%), (SCHW, 0, 0.33%, 0.00%), (INTC, 0, 0.33%, 0.00%), (SBUX, 0, 0.31%, 0.00%), (CVS, 0, 0.30%, 0.00%), (MMM, 0, 0.30%, 0.00%), (AMGN, 0, 0.29%, 0.00%), (TJX, 0, 0.29%, 0.00%), (GILD, 0, 0.27%, 0.00%), (PFE, 0, 0.27%, 0.00%), (LOW, 0, 0.26%, 0.00%), (EMR, 0, 0.26%, 0.00%), (MO, 0, 0.26%, 0.00%), (DHR, 0, 0.23%, 0.00%), (ELV, 0, 0.23%, 0.00%), (CMCSA, 0, 0.20%, 0.00%), (MDLZ, 0, 0.20%, 0.00%), (BMY, 0, 0.18%, 0.00%), (UPS, 0, 0.17%, 0.00%), (PYPL, 0, 0.16%, 0.00%), (USB, 0, 0.15%, 0.00%), (FDX, 0, 0.14%, 0.00%), (CL, 0, 0.14%, 0.00%), (TGT, 0, 0.07%, 0.00%)</t>
        </is>
      </c>
      <c r="R3" s="4" t="n">
        <v>0</v>
      </c>
      <c r="S3" s="3" t="n">
        <v>17757666.12</v>
      </c>
      <c r="T3" s="4" t="n">
        <v>0.223141378026374</v>
      </c>
      <c r="U3" t="inlineStr"/>
    </row>
    <row r="4">
      <c r="A4" s="2" t="n">
        <v>45926</v>
      </c>
      <c r="B4" t="inlineStr">
        <is>
          <t>P21026</t>
        </is>
      </c>
      <c r="C4" t="inlineStr">
        <is>
          <t>diversified</t>
        </is>
      </c>
      <c r="D4" s="3">
        <f>IF(J4/H4&gt;=0.75,"PASS","FAIL")</f>
        <v/>
      </c>
      <c r="E4" s="3">
        <f>IF(L4=0,"PASS","FAIL")</f>
        <v/>
      </c>
      <c r="F4" s="3">
        <f>IF(R4="","",IF(R4&lt;=0.1,"PASS","FAIL"))</f>
        <v/>
      </c>
      <c r="G4" s="3">
        <f>IF(S4=0,"PASS",IF(S4&lt;=0.05*J4,"PASS","FAIL"))</f>
        <v/>
      </c>
      <c r="H4" s="3" t="n">
        <v>23659727.94</v>
      </c>
      <c r="I4" s="4" t="n">
        <v>0</v>
      </c>
      <c r="J4" s="3" t="n">
        <v>21704768.01</v>
      </c>
      <c r="K4" s="3" t="n">
        <v>4718.07</v>
      </c>
      <c r="L4" s="3" t="n">
        <v>0</v>
      </c>
      <c r="M4" t="inlineStr">
        <is>
          <t>None</t>
        </is>
      </c>
      <c r="N4" t="inlineStr">
        <is>
          <t>NVDA, AAPL, MSFT, GOOGLE</t>
        </is>
      </c>
      <c r="O4" s="4" t="n">
        <v>0.2611071165279872</v>
      </c>
      <c r="P4" s="4" t="n">
        <v>0.7388928834720128</v>
      </c>
      <c r="Q4" t="inlineStr">
        <is>
          <t>(AMZN, 0, 3.74%, 0.00%), (AVGO, 0, 3.52%, 0.00%), (META, 0, 2.79%, 0.00%), (TSLA, 0, 2.19%, 0.00%), (BRK/B, 0, 2.17%, 0.00%), (CSCO, 0, 1.78%, 0.00%), (LIN, 0, 1.77%, 0.00%), (JPM, 0, 1.74%, 0.00%), (XOM, 0, 1.55%, 0.00%), (AMT, 0, 1.47%, 0.00%), (V, 0, 1.38%, 0.00%), (CB, 0, 1.18%, 0.00%), (GE, 0, 1.15%, 0.00%), (LLY, 0, 1.14%, 0.00%), (ORCL, 0, 1.11%, 0.00%), (MA, 0, 1.10%, 0.00%), (WM, 0, 1.03%, 0.00%), (UNH, 0, 1.00%, 0.00%), (NEE, 0, 0.90%, 0.00%), (NFLX, 0, 0.89%, 0.00%), (PLTR, 0, 0.89%, 0.00%), (JNJ, 0, 0.86%, 0.00%), (WMT, 0, 0.82%, 0.00%), (CAT, 0, 0.81%, 0.00%), (CVX, 0, 0.80%, 0.00%), (ABBV, 0, 0.78%, 0.00%), (RTX, 0, 0.78%, 0.00%), (PG, 0, 0.77%, 0.00%), (COST, 0, 0.75%, 0.00%), (HD, 0, 0.74%, 0.00%), (ABT, 0, 0.74%, 0.00%), (MCD, 0, 0.73%, 0.00%), (BAC, 0, 0.68%, 0.00%), (IBM, 0, 0.63%, 0.00%), (BKNG, 0, 0.61%, 0.00%), (SO, 0, 0.60%, 0.00%), (PM, 0, 0.60%, 0.00%), (KO, 0, 0.60%, 0.00%), (GS, 0, 0.60%, 0.00%), (BA, 0, 0.59%, 0.00%), (AMD, 0, 0.58%, 0.00%), (UBER, 0, 0.57%, 0.00%), (CRM, 0, 0.57%, 0.00%), (DUK, 0, 0.56%, 0.00%), (WFC, 0, 0.55%, 0.00%), (NKE, 0, 0.54%, 0.00%), (MET, 0, 0.53%, 0.00%), (ETN, 0, 0.52%, 0.00%), (ISRG, 0, 0.50%, 0.00%), (HON, 0, 0.49%, 0.00%), (INTU, 0, 0.48%, 0.00%), (MS, 0, 0.47%, 0.00%), (NOW, 0, 0.47%, 0.00%), (PEP, 0, 0.45%, 0.00%), (AXP, 0, 0.45%, 0.00%), (T, 0, 0.44%, 0.00%), (DE, 0, 0.43%, 0.00%), (QCOM, 0, 0.42%, 0.00%), (BLK, 0, 0.40%, 0.00%), (VZ, 0, 0.40%, 0.00%), (MRK, 0, 0.40%, 0.00%), (ADBE, 0, 0.39%, 0.00%), (UNP, 0, 0.39%, 0.00%), (MDT, 0, 0.38%, 0.00%), (C, 0, 0.38%, 0.00%), (COP, 0, 0.38%, 0.00%), (TXN, 0, 0.38%, 0.00%), (AMAT, 0, 0.37%, 0.00%), (SPGI, 0, 0.37%, 0.00%), (LMT, 0, 0.37%, 0.00%), (ACN, 0, 0.36%, 0.00%), (TMO, 0, 0.35%, 0.00%), (DIS, 0, 0.35%, 0.00%), (SCHW, 0, 0.34%, 0.00%), (INTC, 0, 0.33%, 0.00%), (SBUX, 0, 0.32%, 0.00%), (CVS, 0, 0.30%, 0.00%), (MMM, 0, 0.30%, 0.00%), (AMGN, 0, 0.29%, 0.00%), (TJX, 0, 0.29%, 0.00%), (GILD, 0, 0.28%, 0.00%), (PFE, 0, 0.27%, 0.00%), (LOW, 0, 0.27%, 0.00%), (EMR, 0, 0.26%, 0.00%), (MO, 0, 0.26%, 0.00%), (DHR, 0, 0.24%, 0.00%), (ELV, 0, 0.23%, 0.00%), (CMCSA, 0, 0.21%, 0.00%), (MDLZ, 0, 0.20%, 0.00%), (BMY, 0, 0.18%, 0.00%), (UPS, 0, 0.17%, 0.00%), (PYPL, 0, 0.16%, 0.00%), (USB, 0, 0.15%, 0.00%), (FDX, 0, 0.15%, 0.00%), (CL, 0, 0.14%, 0.00%), (TGT, 0, 0.07%, 0.00%)</t>
        </is>
      </c>
      <c r="R4" s="4" t="n">
        <v>0</v>
      </c>
      <c r="S4" s="3" t="n">
        <v>3892834.74</v>
      </c>
      <c r="T4" s="4" t="n">
        <v>0.1645342139973905</v>
      </c>
      <c r="U4" t="inlineStr"/>
    </row>
    <row r="5">
      <c r="A5" s="2" t="n">
        <v>45926</v>
      </c>
      <c r="B5" t="inlineStr">
        <is>
          <t>P20127</t>
        </is>
      </c>
      <c r="C5" t="inlineStr">
        <is>
          <t>diversified</t>
        </is>
      </c>
      <c r="D5" s="3">
        <f>IF(J5/H5&gt;=0.75,"PASS","FAIL")</f>
        <v/>
      </c>
      <c r="E5" s="3">
        <f>IF(L5=0,"PASS","FAIL")</f>
        <v/>
      </c>
      <c r="F5" s="3">
        <f>IF(R5="","",IF(R5&lt;=0.1,"PASS","FAIL"))</f>
        <v/>
      </c>
      <c r="G5" s="3">
        <f>IF(S5=0,"PASS",IF(S5&lt;=0.05*J5,"PASS","FAIL"))</f>
        <v/>
      </c>
      <c r="H5" s="3" t="n">
        <v>102193320.51</v>
      </c>
      <c r="I5" s="4" t="n">
        <v>0</v>
      </c>
      <c r="J5" s="3" t="n">
        <v>93162789.43000001</v>
      </c>
      <c r="K5" s="3" t="n">
        <v>20250.87</v>
      </c>
      <c r="L5" s="3" t="n">
        <v>0</v>
      </c>
      <c r="M5" t="inlineStr">
        <is>
          <t>None</t>
        </is>
      </c>
      <c r="N5" t="inlineStr">
        <is>
          <t>NVDA, AAPL, MSFT, GOOGLE</t>
        </is>
      </c>
      <c r="O5" s="4" t="n">
        <v>0.2594337104747208</v>
      </c>
      <c r="P5" s="4" t="n">
        <v>0.7405662895252791</v>
      </c>
      <c r="Q5" t="inlineStr">
        <is>
          <t>(AMZN, 0, 3.69%, 0.00%), (AVGO, 0, 3.48%, 0.00%), (META, 0, 2.75%, 0.00%), (TSLA, 0, 2.16%, 0.00%), (BRK/B, 0, 2.14%, 0.00%), (CSCO, 0, 1.76%, 0.00%), (LIN, 0, 1.75%, 0.00%), (JPM, 0, 1.72%, 0.00%), (XOM, 0, 1.53%, 0.00%), (AMT, 0, 1.46%, 0.00%), (V, 0, 1.37%, 0.00%), (CB, 0, 1.16%, 0.00%), (GE, 0, 1.14%, 0.00%), (LLY, 0, 1.12%, 0.00%), (ORCL, 0, 1.10%, 0.00%), (MA, 0, 1.09%, 0.00%), (WM, 0, 1.01%, 0.00%), (UNH, 0, 0.99%, 0.00%), (NEE, 0, 0.89%, 0.00%), (PLTR, 0, 0.88%, 0.00%), (NFLX, 0, 0.88%, 0.00%), (JNJ, 0, 0.85%, 0.00%), (WMT, 0, 0.81%, 0.00%), (CAT, 0, 0.80%, 0.00%), (CVX, 0, 0.80%, 0.00%), (ABBV, 0, 0.77%, 0.00%), (RTX, 0, 0.77%, 0.00%), (PG, 0, 0.76%, 0.00%), (COST, 0, 0.74%, 0.00%), (HD, 0, 0.73%, 0.00%), (ABT, 0, 0.73%, 0.00%), (MCD, 0, 0.72%, 0.00%), (BAC, 0, 0.67%, 0.00%), (IBM, 0, 0.62%, 0.00%), (BKNG, 0, 0.60%, 0.00%), (SO, 0, 0.60%, 0.00%), (PM, 0, 0.59%, 0.00%), (KO, 0, 0.59%, 0.00%), (GS, 0, 0.59%, 0.00%), (BA, 0, 0.58%, 0.00%), (AMD, 0, 0.57%, 0.00%), (UBER, 0, 0.56%, 0.00%), (CRM, 0, 0.56%, 0.00%), (DUK, 0, 0.55%, 0.00%), (WFC, 0, 0.55%, 0.00%), (NKE, 0, 0.53%, 0.00%), (MET, 0, 0.52%, 0.00%), (ETN, 0, 0.51%, 0.00%), (ISRG, 0, 0.49%, 0.00%), (HON, 0, 0.48%, 0.00%), (INTU, 0, 0.47%, 0.00%), (MS, 0, 0.47%, 0.00%), (NOW, 0, 0.47%, 0.00%), (PEP, 0, 0.45%, 0.00%), (AXP, 0, 0.45%, 0.00%), (T, 0, 0.43%, 0.00%), (DE, 0, 0.42%, 0.00%), (QCOM, 0, 0.42%, 0.00%), (BLK, 0, 0.39%, 0.00%), (VZ, 0, 0.39%, 0.00%), (MRK, 0, 0.39%, 0.00%), (ADBE, 0, 0.38%, 0.00%), (UNP, 0, 0.38%, 0.00%), (MDT, 0, 0.38%, 0.00%), (C, 0, 0.38%, 0.00%), (COP, 0, 0.37%, 0.00%), (TXN, 0, 0.37%, 0.00%), (AMAT, 0, 0.37%, 0.00%), (LMT, 0, 0.36%, 0.00%), (SPGI, 0, 0.36%, 0.00%), (ACN, 0, 0.36%, 0.00%), (TMO, 0, 0.35%, 0.00%), (DIS, 0, 0.35%, 0.00%), (SCHW, 0, 0.33%, 0.00%), (INTC, 0, 0.32%, 0.00%), (SBUX, 0, 0.31%, 0.00%), (CVS, 0, 0.30%, 0.00%), (MMM, 0, 0.30%, 0.00%), (AMGN, 0, 0.29%, 0.00%), (TJX, 0, 0.29%, 0.00%), (GILD, 0, 0.28%, 0.00%), (PFE, 0, 0.27%, 0.00%), (LOW, 0, 0.26%, 0.00%), (EMR, 0, 0.26%, 0.00%), (MO, 0, 0.26%, 0.00%), (DHR, 0, 0.23%, 0.00%), (ELV, 0, 0.23%, 0.00%), (CMCSA, 0, 0.20%, 0.00%), (MDLZ, 0, 0.20%, 0.00%), (BMY, 0, 0.18%, 0.00%), (UPS, 0, 0.17%, 0.00%), (PYPL, 0, 0.16%, 0.00%), (USB, 0, 0.15%, 0.00%), (FDX, 0, 0.14%, 0.00%), (CL, 0, 0.14%, 0.00%), (TGT, 0, 0.07%, 0.00%)</t>
        </is>
      </c>
      <c r="R5" s="4" t="n">
        <v>0</v>
      </c>
      <c r="S5" s="3" t="n">
        <v>17852734.16</v>
      </c>
      <c r="T5" s="4" t="n">
        <v>0.17469570487489</v>
      </c>
      <c r="U5" t="inlineStr"/>
    </row>
    <row r="6">
      <c r="A6" s="2" t="n">
        <v>45926</v>
      </c>
      <c r="B6" t="inlineStr">
        <is>
          <t>P31027</t>
        </is>
      </c>
      <c r="C6" t="inlineStr">
        <is>
          <t>diversified</t>
        </is>
      </c>
      <c r="D6" s="3">
        <f>IF(J6/H6&gt;=0.75,"PASS","FAIL")</f>
        <v/>
      </c>
      <c r="E6" s="3">
        <f>IF(L6=0,"PASS","FAIL")</f>
        <v/>
      </c>
      <c r="F6" s="3">
        <f>IF(R6="","",IF(R6&lt;=0.1,"PASS","FAIL"))</f>
        <v/>
      </c>
      <c r="G6" s="3">
        <f>IF(S6=0,"PASS",IF(S6&lt;=0.05*J6,"PASS","FAIL"))</f>
        <v/>
      </c>
      <c r="H6" s="3" t="n">
        <v>15500570.36</v>
      </c>
      <c r="I6" s="4" t="n">
        <v>0</v>
      </c>
      <c r="J6" s="3" t="n">
        <v>13824793.83</v>
      </c>
      <c r="K6" s="3" t="n">
        <v>3005.4</v>
      </c>
      <c r="L6" s="3" t="n">
        <v>0</v>
      </c>
      <c r="M6" t="inlineStr">
        <is>
          <t>None</t>
        </is>
      </c>
      <c r="N6" t="inlineStr">
        <is>
          <t>NVDA, AAPL, MSFT, GOOGLE</t>
        </is>
      </c>
      <c r="O6" s="4" t="n">
        <v>0.2609456064488739</v>
      </c>
      <c r="P6" s="4" t="n">
        <v>0.7390543935511261</v>
      </c>
      <c r="Q6" t="inlineStr">
        <is>
          <t>(AMZN, 0, 3.63%, 0.00%), (AVGO, 0, 3.42%, 0.00%), (META, 0, 2.70%, 0.00%), (TSLA, 0, 2.12%, 0.00%), (BRK/B, 0, 2.11%, 0.00%), (CSCO, 0, 1.73%, 0.00%), (LIN, 0, 1.72%, 0.00%), (JPM, 0, 1.69%, 0.00%), (XOM, 0, 1.51%, 0.00%), (AMT, 0, 1.43%, 0.00%), (V, 0, 1.35%, 0.00%), (CB, 0, 1.14%, 0.00%), (GE, 0, 1.12%, 0.00%), (LLY, 0, 1.11%, 0.00%), (ORCL, 0, 1.08%, 0.00%), (MA, 0, 1.07%, 0.00%), (WM, 0, 1.00%, 0.00%), (UNH, 0, 0.97%, 0.00%), (NEE, 0, 0.87%, 0.00%), (PLTR, 0, 0.86%, 0.00%), (NFLX, 0, 0.86%, 0.00%), (JNJ, 0, 0.84%, 0.00%), (WMT, 0, 0.80%, 0.00%), (CAT, 0, 0.79%, 0.00%), (CVX, 0, 0.78%, 0.00%), (ABBV, 0, 0.76%, 0.00%), (RTX, 0, 0.75%, 0.00%), (PG, 0, 0.75%, 0.00%), (COST, 0, 0.73%, 0.00%), (HD, 0, 0.72%, 0.00%), (ABT, 0, 0.71%, 0.00%), (MCD, 0, 0.71%, 0.00%), (BAC, 0, 0.66%, 0.00%), (IBM, 0, 0.61%, 0.00%), (BKNG, 0, 0.61%, 0.00%), (SO, 0, 0.59%, 0.00%), (PM, 0, 0.59%, 0.00%), (KO, 0, 0.58%, 0.00%), (GS, 0, 0.58%, 0.00%), (BA, 0, 0.58%, 0.00%), (AMD, 0, 0.57%, 0.00%), (UBER, 0, 0.56%, 0.00%), (CRM, 0, 0.55%, 0.00%), (DUK, 0, 0.54%, 0.00%), (WFC, 0, 0.54%, 0.00%), (NKE, 0, 0.53%, 0.00%), (MET, 0, 0.51%, 0.00%), (ETN, 0, 0.51%, 0.00%), (ISRG, 0, 0.48%, 0.00%), (HON, 0, 0.47%, 0.00%), (INTU, 0, 0.46%, 0.00%), (NOW, 0, 0.46%, 0.00%), (MS, 0, 0.46%, 0.00%), (PEP, 0, 0.44%, 0.00%), (AXP, 0, 0.44%, 0.00%), (T, 0, 0.43%, 0.00%), (DE, 0, 0.41%, 0.00%), (QCOM, 0, 0.41%, 0.00%), (BLK, 0, 0.39%, 0.00%), (VZ, 0, 0.39%, 0.00%), (MRK, 0, 0.39%, 0.00%), (ADBE, 0, 0.38%, 0.00%), (UNP, 0, 0.37%, 0.00%), (MDT, 0, 0.37%, 0.00%), (C, 0, 0.37%, 0.00%), (COP, 0, 0.37%, 0.00%), (TXN, 0, 0.37%, 0.00%), (LMT, 0, 0.36%, 0.00%), (AMAT, 0, 0.36%, 0.00%), (SPGI, 0, 0.36%, 0.00%), (ACN, 0, 0.35%, 0.00%), (TMO, 0, 0.34%, 0.00%), (DIS, 0, 0.34%, 0.00%), (SCHW, 0, 0.33%, 0.00%), (INTC, 0, 0.32%, 0.00%), (SBUX, 0, 0.31%, 0.00%), (CVS, 0, 0.30%, 0.00%), (MMM, 0, 0.29%, 0.00%), (AMGN, 0, 0.28%, 0.00%), (TJX, 0, 0.28%, 0.00%), (GILD, 0, 0.27%, 0.00%), (PFE, 0, 0.26%, 0.00%), (LOW, 0, 0.26%, 0.00%), (EMR, 0, 0.26%, 0.00%), (MO, 0, 0.25%, 0.00%), (DHR, 0, 0.23%, 0.00%), (ELV, 0, 0.23%, 0.00%), (CMCSA, 0, 0.20%, 0.00%), (MDLZ, 0, 0.19%, 0.00%), (BMY, 0, 0.17%, 0.00%), (UPS, 0, 0.16%, 0.00%), (PYPL, 0, 0.16%, 0.00%), (USB, 0, 0.15%, 0.00%), (FDX, 0, 0.14%, 0.00%), (CL, 0, 0.14%, 0.00%), (TGT, 0, 0.07%, 0.00%)</t>
        </is>
      </c>
      <c r="R6" s="4" t="n">
        <v>0</v>
      </c>
      <c r="S6" s="3" t="n">
        <v>4198640.91</v>
      </c>
      <c r="T6" s="4" t="n">
        <v>0.2708700913893339</v>
      </c>
      <c r="U6" t="inlineStr"/>
    </row>
    <row r="7">
      <c r="A7" s="2" t="n">
        <v>45926</v>
      </c>
      <c r="B7" t="inlineStr">
        <is>
          <t>TR2B1</t>
        </is>
      </c>
      <c r="C7" t="inlineStr">
        <is>
          <t>diversified</t>
        </is>
      </c>
      <c r="D7" s="3">
        <f>IF(J7/H7&gt;=0.75,"PASS","FAIL")</f>
        <v/>
      </c>
      <c r="E7" s="3">
        <f>IF(L7=0,"PASS","FAIL")</f>
        <v/>
      </c>
      <c r="F7" s="3">
        <f>IF(R7="","",IF(R7&lt;=0.1,"PASS","FAIL"))</f>
        <v/>
      </c>
      <c r="G7" s="3">
        <f>IF(S7=0,"PASS",IF(S7&lt;=0.05*J7,"PASS","FAIL"))</f>
        <v/>
      </c>
      <c r="H7" s="3" t="n">
        <v>137068569.42</v>
      </c>
      <c r="I7" s="4" t="n">
        <v>0</v>
      </c>
      <c r="J7" s="3" t="n">
        <v>121554413.06</v>
      </c>
      <c r="K7" s="3" t="n">
        <v>26401.35</v>
      </c>
      <c r="L7" s="3" t="n">
        <v>0</v>
      </c>
      <c r="M7" t="inlineStr">
        <is>
          <t>None</t>
        </is>
      </c>
      <c r="N7" t="inlineStr">
        <is>
          <t>NVDA, AAPL, MSFT, GOOGLE</t>
        </is>
      </c>
      <c r="O7" s="4" t="n">
        <v>0.2668117452386636</v>
      </c>
      <c r="P7" s="4" t="n">
        <v>0.7331882547613364</v>
      </c>
      <c r="Q7" t="inlineStr">
        <is>
          <t>(AMZN, 0, 3.70%, 0.00%), (AVGO, 0, 3.48%, 0.00%), (META, 0, 2.75%, 0.00%), (TSLA, 0, 2.16%, 0.00%), (BRK/B, 0, 2.14%, 0.00%), (CSCO, 0, 1.76%, 0.00%), (LIN, 0, 1.75%, 0.00%), (JPM, 0, 1.72%, 0.00%), (XOM, 0, 1.54%, 0.00%), (AMT, 0, 1.46%, 0.00%), (V, 0, 1.37%, 0.00%), (CB, 0, 1.16%, 0.00%), (GE, 0, 1.14%, 0.00%), (LLY, 0, 1.13%, 0.00%), (ORCL, 0, 1.10%, 0.00%), (MA, 0, 1.09%, 0.00%), (WM, 0, 1.01%, 0.00%), (UNH, 0, 0.99%, 0.00%), (NEE, 0, 0.89%, 0.00%), (PLTR, 0, 0.88%, 0.00%), (NFLX, 0, 0.88%, 0.00%), (JNJ, 0, 0.85%, 0.00%), (WMT, 0, 0.81%, 0.00%), (CAT, 0, 0.80%, 0.00%), (CVX, 0, 0.80%, 0.00%), (ABBV, 0, 0.77%, 0.00%), (RTX, 0, 0.77%, 0.00%), (PG, 0, 0.76%, 0.00%), (COST, 0, 0.74%, 0.00%), (HD, 0, 0.73%, 0.00%), (ABT, 0, 0.73%, 0.00%), (MCD, 0, 0.72%, 0.00%), (BAC, 0, 0.68%, 0.00%), (IBM, 0, 0.62%, 0.00%), (BKNG, 0, 0.60%, 0.00%), (SO, 0, 0.60%, 0.00%), (PM, 0, 0.59%, 0.00%), (KO, 0, 0.59%, 0.00%), (GS, 0, 0.59%, 0.00%), (BA, 0, 0.58%, 0.00%), (AMD, 0, 0.57%, 0.00%), (UBER, 0, 0.57%, 0.00%), (CRM, 0, 0.56%, 0.00%), (DUK, 0, 0.55%, 0.00%), (WFC, 0, 0.55%, 0.00%), (NKE, 0, 0.53%, 0.00%), (MET, 0, 0.52%, 0.00%), (ETN, 0, 0.52%, 0.00%), (ISRG, 0, 0.49%, 0.00%), (HON, 0, 0.48%, 0.00%), (INTU, 0, 0.47%, 0.00%), (MS, 0, 0.47%, 0.00%), (NOW, 0, 0.47%, 0.00%), (PEP, 0, 0.45%, 0.00%), (AXP, 0, 0.45%, 0.00%), (T, 0, 0.44%, 0.00%), (DE, 0, 0.42%, 0.00%), (QCOM, 0, 0.42%, 0.00%), (BLK, 0, 0.39%, 0.00%), (VZ, 0, 0.39%, 0.00%), (MRK, 0, 0.39%, 0.00%), (ADBE, 0, 0.38%, 0.00%), (UNP, 0, 0.38%, 0.00%), (MDT, 0, 0.38%, 0.00%), (C, 0, 0.38%, 0.00%), (COP, 0, 0.37%, 0.00%), (TXN, 0, 0.37%, 0.00%), (AMAT, 0, 0.37%, 0.00%), (LMT, 0, 0.36%, 0.00%), (SPGI, 0, 0.36%, 0.00%), (ACN, 0, 0.36%, 0.00%), (TMO, 0, 0.35%, 0.00%), (DIS, 0, 0.35%, 0.00%), (SCHW, 0, 0.33%, 0.00%), (INTC, 0, 0.32%, 0.00%), (SBUX, 0, 0.31%, 0.00%), (CVS, 0, 0.30%, 0.00%), (MMM, 0, 0.30%, 0.00%), (AMGN, 0, 0.29%, 0.00%), (TJX, 0, 0.29%, 0.00%), (GILD, 0, 0.28%, 0.00%), (PFE, 0, 0.27%, 0.00%), (LOW, 0, 0.26%, 0.00%), (EMR, 0, 0.26%, 0.00%), (MO, 0, 0.26%, 0.00%), (DHR, 0, 0.23%, 0.00%), (ELV, 0, 0.23%, 0.00%), (CMCSA, 0, 0.20%, 0.00%), (MDLZ, 0, 0.20%, 0.00%), (BMY, 0, 0.18%, 0.00%), (UPS, 0, 0.17%, 0.00%), (PYPL, 0, 0.16%, 0.00%), (USB, 0, 0.15%, 0.00%), (FDX, 0, 0.14%, 0.00%), (CL, 0, 0.14%, 0.00%), (TGT, 0, 0.07%, 0.00%)</t>
        </is>
      </c>
      <c r="R7" s="4" t="n">
        <v>0</v>
      </c>
      <c r="S7" s="3" t="n">
        <v>34819441.9</v>
      </c>
      <c r="T7" s="4" t="n">
        <v>0.2540293668149965</v>
      </c>
      <c r="U7" t="inlineStr"/>
    </row>
    <row r="8">
      <c r="A8" s="2" t="n">
        <v>45926</v>
      </c>
      <c r="B8" t="inlineStr">
        <is>
          <t>HE3B1</t>
        </is>
      </c>
      <c r="C8" t="inlineStr">
        <is>
          <t>diversified</t>
        </is>
      </c>
      <c r="D8" s="3">
        <f>IF(J8/H8&gt;=0.75,"PASS","FAIL")</f>
        <v/>
      </c>
      <c r="E8" s="3">
        <f>IF(L8=0,"PASS","FAIL")</f>
        <v/>
      </c>
      <c r="F8" s="3">
        <f>IF(R8="","",IF(R8&lt;=0.1,"PASS","FAIL"))</f>
        <v/>
      </c>
      <c r="G8" s="3">
        <f>IF(S8=0,"PASS",IF(S8&lt;=0.05*J8,"PASS","FAIL"))</f>
        <v/>
      </c>
      <c r="H8" s="3" t="n">
        <v>43849758.73</v>
      </c>
      <c r="I8" s="4" t="n">
        <v>0</v>
      </c>
      <c r="J8" s="3" t="n">
        <v>37429288.59</v>
      </c>
      <c r="K8" s="3" t="n">
        <v>8127.21</v>
      </c>
      <c r="L8" s="3" t="n">
        <v>0</v>
      </c>
      <c r="M8" t="inlineStr">
        <is>
          <t>None</t>
        </is>
      </c>
      <c r="N8" t="inlineStr">
        <is>
          <t>NVDA, AAPL, MSFT, GOOGLE</t>
        </is>
      </c>
      <c r="O8" s="4" t="n">
        <v>0.2669042091456967</v>
      </c>
      <c r="P8" s="4" t="n">
        <v>0.7330957908543033</v>
      </c>
      <c r="Q8" t="inlineStr">
        <is>
          <t>(AMZN, 0, 3.56%, 0.00%), (AVGO, 0, 3.35%, 0.00%), (META, 0, 2.65%, 0.00%), (TSLA, 0, 2.08%, 0.00%), (BRK/B, 0, 2.07%, 0.00%), (CSCO, 0, 1.69%, 0.00%), (LIN, 0, 1.69%, 0.00%), (JPM, 0, 1.65%, 0.00%), (XOM, 0, 1.47%, 0.00%), (AMT, 0, 1.40%, 0.00%), (V, 0, 1.32%, 0.00%), (CB, 0, 1.12%, 0.00%), (GE, 0, 1.10%, 0.00%), (LLY, 0, 1.08%, 0.00%), (ORCL, 0, 1.06%, 0.00%), (MA, 0, 1.05%, 0.00%), (WM, 0, 0.98%, 0.00%), (UNH, 0, 0.95%, 0.00%), (NEE, 0, 0.86%, 0.00%), (PLTR, 0, 0.85%, 0.00%), (NFLX, 0, 0.84%, 0.00%), (JNJ, 0, 0.82%, 0.00%), (WMT, 0, 0.78%, 0.00%), (CAT, 0, 0.77%, 0.00%), (CVX, 0, 0.77%, 0.00%), (RTX, 0, 0.74%, 0.00%), (ABBV, 0, 0.74%, 0.00%), (PG, 0, 0.73%, 0.00%), (COST, 0, 0.71%, 0.00%), (HD, 0, 0.70%, 0.00%), (ABT, 0, 0.70%, 0.00%), (MCD, 0, 0.69%, 0.00%), (BAC, 0, 0.65%, 0.00%), (IBM, 0, 0.60%, 0.00%), (BKNG, 0, 0.58%, 0.00%), (SO, 0, 0.57%, 0.00%), (PM, 0, 0.57%, 0.00%), (KO, 0, 0.57%, 0.00%), (GS, 0, 0.57%, 0.00%), (BA, 0, 0.56%, 0.00%), (AMD, 0, 0.55%, 0.00%), (UBER, 0, 0.54%, 0.00%), (CRM, 0, 0.54%, 0.00%), (DUK, 0, 0.53%, 0.00%), (WFC, 0, 0.53%, 0.00%), (NKE, 0, 0.51%, 0.00%), (MET, 0, 0.50%, 0.00%), (ETN, 0, 0.50%, 0.00%), (ISRG, 0, 0.47%, 0.00%), (HON, 0, 0.46%, 0.00%), (INTU, 0, 0.45%, 0.00%), (NOW, 0, 0.45%, 0.00%), (MS, 0, 0.45%, 0.00%), (PEP, 0, 0.43%, 0.00%), (AXP, 0, 0.43%, 0.00%), (T, 0, 0.42%, 0.00%), (DE, 0, 0.41%, 0.00%), (QCOM, 0, 0.40%, 0.00%), (BLK, 0, 0.38%, 0.00%), (VZ, 0, 0.38%, 0.00%), (MRK, 0, 0.38%, 0.00%), (ADBE, 0, 0.37%, 0.00%), (UNP, 0, 0.37%, 0.00%), (MDT, 0, 0.36%, 0.00%), (C, 0, 0.36%, 0.00%), (COP, 0, 0.36%, 0.00%), (TXN, 0, 0.36%, 0.00%), (AMAT, 0, 0.35%, 0.00%), (LMT, 0, 0.35%, 0.00%), (SPGI, 0, 0.35%, 0.00%), (ACN, 0, 0.35%, 0.00%), (TMO, 0, 0.34%, 0.00%), (DIS, 0, 0.34%, 0.00%), (SCHW, 0, 0.32%, 0.00%), (INTC, 0, 0.31%, 0.00%), (SBUX, 0, 0.30%, 0.00%), (CVS, 0, 0.29%, 0.00%), (MMM, 0, 0.29%, 0.00%), (AMGN, 0, 0.28%, 0.00%), (TJX, 0, 0.28%, 0.00%), (GILD, 0, 0.26%, 0.00%), (PFE, 0, 0.26%, 0.00%), (LOW, 0, 0.25%, 0.00%), (EMR, 0, 0.25%, 0.00%), (MO, 0, 0.25%, 0.00%), (DHR, 0, 0.23%, 0.00%), (ELV, 0, 0.22%, 0.00%), (CMCSA, 0, 0.20%, 0.00%), (MDLZ, 0, 0.19%, 0.00%), (BMY, 0, 0.17%, 0.00%), (UPS, 0, 0.16%, 0.00%), (PYPL, 0, 0.15%, 0.00%), (USB, 0, 0.14%, 0.00%), (FDX, 0, 0.14%, 0.00%), (CL, 0, 0.13%, 0.00%), (TGT, 0, 0.07%, 0.00%)</t>
        </is>
      </c>
      <c r="R8" s="4" t="n">
        <v>0</v>
      </c>
      <c r="S8" s="3" t="n">
        <v>15116305.64</v>
      </c>
      <c r="T8" s="4" t="n">
        <v>0.3447295054250348</v>
      </c>
      <c r="U8" t="inlineStr"/>
    </row>
    <row r="9">
      <c r="A9" s="2" t="n">
        <v>45926</v>
      </c>
      <c r="B9" t="inlineStr">
        <is>
          <t>TR2B2</t>
        </is>
      </c>
      <c r="C9" t="inlineStr">
        <is>
          <t>diversified</t>
        </is>
      </c>
      <c r="D9" s="3">
        <f>IF(J9/H9&gt;=0.75,"PASS","FAIL")</f>
        <v/>
      </c>
      <c r="E9" s="3">
        <f>IF(L9=0,"PASS","FAIL")</f>
        <v/>
      </c>
      <c r="F9" s="3">
        <f>IF(R9="","",IF(R9&lt;=0.1,"PASS","FAIL"))</f>
        <v/>
      </c>
      <c r="G9" s="3">
        <f>IF(S9=0,"PASS",IF(S9&lt;=0.05*J9,"PASS","FAIL"))</f>
        <v/>
      </c>
      <c r="H9" s="3" t="n">
        <v>168286622.34</v>
      </c>
      <c r="I9" s="4" t="n">
        <v>0</v>
      </c>
      <c r="J9" s="3" t="n">
        <v>143892577.71</v>
      </c>
      <c r="K9" s="3" t="n">
        <v>31274.43</v>
      </c>
      <c r="L9" s="3" t="n">
        <v>0</v>
      </c>
      <c r="M9" t="inlineStr">
        <is>
          <t>None</t>
        </is>
      </c>
      <c r="N9" t="inlineStr">
        <is>
          <t>NVDA, AAPL, MSFT, GOOGLE</t>
        </is>
      </c>
      <c r="O9" s="4" t="n">
        <v>0.2603819339139977</v>
      </c>
      <c r="P9" s="4" t="n">
        <v>0.7396180660860023</v>
      </c>
      <c r="Q9" t="inlineStr">
        <is>
          <t>(AMZN, 0, 3.48%, 0.00%), (AVGO, 0, 3.28%, 0.00%), (META, 0, 2.59%, 0.00%), (TSLA, 0, 2.03%, 0.00%), (BRK/B, 0, 2.02%, 0.00%), (CSCO, 0, 1.66%, 0.00%), (LIN, 0, 1.65%, 0.00%), (JPM, 0, 1.62%, 0.00%), (XOM, 0, 1.45%, 0.00%), (AMT, 0, 1.37%, 0.00%), (V, 0, 1.29%, 0.00%), (CB, 0, 1.09%, 0.00%), (GE, 0, 1.07%, 0.00%), (LLY, 0, 1.06%, 0.00%), (ORCL, 0, 1.04%, 0.00%), (MA, 0, 1.02%, 0.00%), (WM, 0, 0.95%, 0.00%), (UNH, 0, 0.93%, 0.00%), (NEE, 0, 0.84%, 0.00%), (PLTR, 0, 0.83%, 0.00%), (NFLX, 0, 0.83%, 0.00%), (JNJ, 0, 0.80%, 0.00%), (WMT, 0, 0.77%, 0.00%), (CAT, 0, 0.75%, 0.00%), (CVX, 0, 0.75%, 0.00%), (ABBV, 0, 0.72%, 0.00%), (RTX, 0, 0.72%, 0.00%), (PG, 0, 0.72%, 0.00%), (COST, 0, 0.70%, 0.00%), (HD, 0, 0.69%, 0.00%), (ABT, 0, 0.68%, 0.00%), (MCD, 0, 0.68%, 0.00%), (BAC, 0, 0.64%, 0.00%), (IBM, 0, 0.59%, 0.00%), (BKNG, 0, 0.56%, 0.00%), (SO, 0, 0.56%, 0.00%), (PM, 0, 0.56%, 0.00%), (KO, 0, 0.56%, 0.00%), (GS, 0, 0.56%, 0.00%), (BA, 0, 0.55%, 0.00%), (AMD, 0, 0.54%, 0.00%), (UBER, 0, 0.53%, 0.00%), (CRM, 0, 0.53%, 0.00%), (DUK, 0, 0.52%, 0.00%), (WFC, 0, 0.52%, 0.00%), (NKE, 0, 0.50%, 0.00%), (MET, 0, 0.49%, 0.00%), (ETN, 0, 0.48%, 0.00%), (ISRG, 0, 0.46%, 0.00%), (HON, 0, 0.45%, 0.00%), (INTU, 0, 0.44%, 0.00%), (MS, 0, 0.44%, 0.00%), (NOW, 0, 0.44%, 0.00%), (PEP, 0, 0.42%, 0.00%), (AXP, 0, 0.42%, 0.00%), (T, 0, 0.41%, 0.00%), (DE, 0, 0.40%, 0.00%), (QCOM, 0, 0.39%, 0.00%), (BLK, 0, 0.37%, 0.00%), (VZ, 0, 0.37%, 0.00%), (MRK, 0, 0.37%, 0.00%), (ADBE, 0, 0.36%, 0.00%), (UNP, 0, 0.36%, 0.00%), (MDT, 0, 0.36%, 0.00%), (C, 0, 0.36%, 0.00%), (COP, 0, 0.35%, 0.00%), (TXN, 0, 0.35%, 0.00%), (AMAT, 0, 0.35%, 0.00%), (LMT, 0, 0.34%, 0.00%), (SPGI, 0, 0.34%, 0.00%), (ACN, 0, 0.34%, 0.00%), (TMO, 0, 0.33%, 0.00%), (DIS, 0, 0.33%, 0.00%), (SCHW, 0, 0.31%, 0.00%), (INTC, 0, 0.30%, 0.00%), (SBUX, 0, 0.29%, 0.00%), (CVS, 0, 0.28%, 0.00%), (MMM, 0, 0.28%, 0.00%), (AMGN, 0, 0.27%, 0.00%), (TJX, 0, 0.27%, 0.00%), (GILD, 0, 0.26%, 0.00%), (PFE, 0, 0.25%, 0.00%), (LOW, 0, 0.25%, 0.00%), (EMR, 0, 0.25%, 0.00%), (MO, 0, 0.24%, 0.00%), (DHR, 0, 0.22%, 0.00%), (ELV, 0, 0.22%, 0.00%), (CMCSA, 0, 0.19%, 0.00%), (MDLZ, 0, 0.19%, 0.00%), (BMY, 0, 0.17%, 0.00%), (UPS, 0, 0.16%, 0.00%), (PYPL, 0, 0.15%, 0.00%), (USB, 0, 0.14%, 0.00%), (FDX, 0, 0.14%, 0.00%), (CL, 0, 0.13%, 0.00%), (TGT, 0, 0.07%, 0.00%)</t>
        </is>
      </c>
      <c r="R9" s="4" t="n">
        <v>0</v>
      </c>
      <c r="S9" s="3" t="n">
        <v>49234403.88000001</v>
      </c>
      <c r="T9" s="4" t="n">
        <v>0.292562790763776</v>
      </c>
      <c r="U9" t="inlineStr"/>
    </row>
    <row r="10">
      <c r="A10" s="2" t="n">
        <v>45926</v>
      </c>
      <c r="B10" t="inlineStr">
        <is>
          <t>R21126</t>
        </is>
      </c>
      <c r="C10" t="inlineStr">
        <is>
          <t>diversified</t>
        </is>
      </c>
      <c r="D10" s="3">
        <f>IF(J10/H10&gt;=0.75,"PASS","FAIL")</f>
        <v/>
      </c>
      <c r="E10" s="3">
        <f>IF(L10=0,"PASS","FAIL")</f>
        <v/>
      </c>
      <c r="F10" s="3">
        <f>IF(R10="","",IF(R10&lt;=0.1,"PASS","FAIL"))</f>
        <v/>
      </c>
      <c r="G10" s="3">
        <f>IF(S10=0,"PASS",IF(S10&lt;=0.05*J10,"PASS","FAIL"))</f>
        <v/>
      </c>
      <c r="H10" s="3" t="n">
        <v>55347988.39</v>
      </c>
      <c r="I10" s="4" t="n">
        <v>0</v>
      </c>
      <c r="J10" s="3" t="n">
        <v>50809158.46</v>
      </c>
      <c r="K10" s="3" t="n">
        <v>10985.22</v>
      </c>
      <c r="L10" s="3" t="n">
        <v>0</v>
      </c>
      <c r="M10" t="inlineStr">
        <is>
          <t>None</t>
        </is>
      </c>
      <c r="N10" t="inlineStr">
        <is>
          <t>KLAC, GOOGLE, EBAY, NVDA, AMAT, MLI, BK, BKR, JPM, MSFT, META</t>
        </is>
      </c>
      <c r="O10" s="4" t="n">
        <v>0.2559211814192287</v>
      </c>
      <c r="P10" s="4" t="n">
        <v>0.7440788185807713</v>
      </c>
      <c r="Q10" t="inlineStr">
        <is>
          <t>(PHM, 0, 1.95%, 0.00%), (WSM, 0, 1.94%, 0.00%), (LRCX, 0, 1.93%, 0.00%), (AXP, 0, 1.91%, 0.00%), (RJF, 0, 1.89%, 0.00%), (EWBC, 0, 1.87%, 0.00%), (HIG, 0, 1.82%, 0.00%), (BKNG, 0, 1.79%, 0.00%), (ROST, 0, 1.79%, 0.00%), (TRV, 0, 1.78%, 0.00%), (UNM, 0, 1.74%, 0.00%), (SNA, 0, 1.74%, 0.00%), (EA, 0, 1.69%, 0.00%), (CB, 0, 1.69%, 0.00%), (V, 0, 1.67%, 0.00%), (PCAR, 0, 1.66%, 0.00%), (MPWR, 0, 1.64%, 0.00%), (ADP, 0, 1.60%, 0.00%), (GE, 0, 1.57%, 0.00%), (CRM, 0, 1.47%, 0.00%), (BLK, 0, 1.47%, 0.00%), (CTSH, 0, 1.46%, 0.00%), (SYF, 0, 1.44%, 0.00%), (STT, 0, 1.44%, 0.00%), (AAPL, 0, 1.41%, 0.00%), (QCOM, 0, 1.39%, 0.00%), (PNC, 0, 1.37%, 0.00%), (ACN, 0, 1.30%, 0.00%), (ABT, 0, 1.27%, 0.00%), (LEN, 0, 1.24%, 0.00%), (ELV, 0, 1.01%, 0.00%), (DHI, 0, 0.98%, 0.00%), (GEV, 0, 0.97%, 0.00%), (ACM, 0, 0.95%, 0.00%), (MA, 0, 0.90%, 0.00%), (ALL, 0, 0.89%, 0.00%), (AFL, 0, 0.85%, 0.00%), (PAYC, 0, 0.82%, 0.00%), (AMP, 0, 0.82%, 0.00%), (COST, 0, 0.81%, 0.00%), (PGR, 0, 0.80%, 0.00%), (ODFL, 0, 0.68%, 0.00%), (NTRS, 0, 0.52%, 0.00%), (CSCO, 0, 0.49%, 0.00%), (JNJ, 0, 0.47%, 0.00%), (BAC, 0, 0.47%, 0.00%), (FOXA, 0, 0.47%, 0.00%), (MET, 0, 0.46%, 0.00%), (VLTO, 0, 0.45%, 0.00%), (COKE, 0, 0.45%, 0.00%), (RMD, 0, 0.45%, 0.00%), (CF, 0, 0.45%, 0.00%), (MTB, 0, 0.44%, 0.00%), (LNC, 0, 0.44%, 0.00%), (XOM, 0, 0.43%, 0.00%), (MCK, 0, 0.43%, 0.00%), (CINF, 0, 0.43%, 0.00%), (WTFC, 0, 0.42%, 0.00%), (EQH, 0, 0.40%, 0.00%), (EG, 0, 0.39%, 0.00%), (DOV, 0, 0.38%, 0.00%), (EOG, 0, 0.38%, 0.00%), (CSL, 0, 0.31%, 0.00%)</t>
        </is>
      </c>
      <c r="R10" s="4" t="n">
        <v>0</v>
      </c>
      <c r="S10" s="3" t="n">
        <v>9679457.809999999</v>
      </c>
      <c r="T10" s="4" t="n">
        <v>0.1748836424152469</v>
      </c>
      <c r="U10" t="inlineStr"/>
    </row>
    <row r="11">
      <c r="A11" s="2" t="n">
        <v>45926</v>
      </c>
      <c r="B11" t="inlineStr">
        <is>
          <t>HE3B2</t>
        </is>
      </c>
      <c r="C11" t="inlineStr">
        <is>
          <t>diversified</t>
        </is>
      </c>
      <c r="D11" s="3">
        <f>IF(J11/H11&gt;=0.75,"PASS","FAIL")</f>
        <v/>
      </c>
      <c r="E11" s="3">
        <f>IF(L11=0,"PASS","FAIL")</f>
        <v/>
      </c>
      <c r="F11" s="3">
        <f>IF(R11="","",IF(R11&lt;=0.1,"PASS","FAIL"))</f>
        <v/>
      </c>
      <c r="G11" s="3">
        <f>IF(S11=0,"PASS",IF(S11&lt;=0.05*J11,"PASS","FAIL"))</f>
        <v/>
      </c>
      <c r="H11" s="3" t="n">
        <v>24895464.15</v>
      </c>
      <c r="I11" s="4" t="n">
        <v>0</v>
      </c>
      <c r="J11" s="3" t="n">
        <v>20897956.84</v>
      </c>
      <c r="K11" s="3" t="n">
        <v>4541.37</v>
      </c>
      <c r="L11" s="3" t="n">
        <v>0</v>
      </c>
      <c r="M11" t="inlineStr">
        <is>
          <t>None</t>
        </is>
      </c>
      <c r="N11" t="inlineStr">
        <is>
          <t>NVDA, AAPL, MSFT, GOOGLE</t>
        </is>
      </c>
      <c r="O11" s="4" t="n">
        <v>0.2603611908885539</v>
      </c>
      <c r="P11" s="4" t="n">
        <v>0.7396388091114461</v>
      </c>
      <c r="Q11" t="inlineStr">
        <is>
          <t>(AMZN, 0, 3.41%, 0.00%), (AVGO, 0, 3.21%, 0.00%), (META, 0, 2.54%, 0.00%), (TSLA, 0, 1.99%, 0.00%), (BRK/B, 0, 1.98%, 0.00%), (CSCO, 0, 1.62%, 0.00%), (LIN, 0, 1.62%, 0.00%), (JPM, 0, 1.59%, 0.00%), (XOM, 0, 1.41%, 0.00%), (AMT, 0, 1.34%, 0.00%), (V, 0, 1.26%, 0.00%), (CB, 0, 1.07%, 0.00%), (GE, 0, 1.05%, 0.00%), (LLY, 0, 1.04%, 0.00%), (ORCL, 0, 1.02%, 0.00%), (MA, 0, 1.00%, 0.00%), (WM, 0, 0.94%, 0.00%), (UNH, 0, 0.91%, 0.00%), (NEE, 0, 0.82%, 0.00%), (NFLX, 0, 0.81%, 0.00%), (PLTR, 0, 0.81%, 0.00%), (JNJ, 0, 0.78%, 0.00%), (WMT, 0, 0.75%, 0.00%), (CAT, 0, 0.74%, 0.00%), (CVX, 0, 0.74%, 0.00%), (ABBV, 0, 0.71%, 0.00%), (RTX, 0, 0.71%, 0.00%), (PG, 0, 0.70%, 0.00%), (COST, 0, 0.68%, 0.00%), (HD, 0, 0.68%, 0.00%), (ABT, 0, 0.67%, 0.00%), (MCD, 0, 0.66%, 0.00%), (BAC, 0, 0.62%, 0.00%), (IBM, 0, 0.58%, 0.00%), (BKNG, 0, 0.56%, 0.00%), (SO, 0, 0.55%, 0.00%), (PM, 0, 0.55%, 0.00%), (KO, 0, 0.55%, 0.00%), (GS, 0, 0.54%, 0.00%), (BA, 0, 0.54%, 0.00%), (AMD, 0, 0.53%, 0.00%), (UBER, 0, 0.52%, 0.00%), (CRM, 0, 0.52%, 0.00%), (DUK, 0, 0.51%, 0.00%), (WFC, 0, 0.51%, 0.00%), (NKE, 0, 0.49%, 0.00%), (MET, 0, 0.48%, 0.00%), (ETN, 0, 0.48%, 0.00%), (ISRG, 0, 0.45%, 0.00%), (HON, 0, 0.45%, 0.00%), (INTU, 0, 0.44%, 0.00%), (MS, 0, 0.43%, 0.00%), (NOW, 0, 0.43%, 0.00%), (PEP, 0, 0.41%, 0.00%), (AXP, 0, 0.41%, 0.00%), (T, 0, 0.40%, 0.00%), (DE, 0, 0.39%, 0.00%), (QCOM, 0, 0.39%, 0.00%), (BLK, 0, 0.37%, 0.00%), (VZ, 0, 0.36%, 0.00%), (MRK, 0, 0.36%, 0.00%), (UNP, 0, 0.35%, 0.00%), (ADBE, 0, 0.35%, 0.00%), (MDT, 0, 0.35%, 0.00%), (C, 0, 0.35%, 0.00%), (COP, 0, 0.35%, 0.00%), (TXN, 0, 0.34%, 0.00%), (AMAT, 0, 0.34%, 0.00%), (LMT, 0, 0.34%, 0.00%), (SPGI, 0, 0.33%, 0.00%), (ACN, 0, 0.33%, 0.00%), (TMO, 0, 0.32%, 0.00%), (DIS, 0, 0.32%, 0.00%), (SCHW, 0, 0.31%, 0.00%), (INTC, 0, 0.30%, 0.00%), (SBUX, 0, 0.29%, 0.00%), (CVS, 0, 0.28%, 0.00%), (MMM, 0, 0.27%, 0.00%), (TJX, 0, 0.27%, 0.00%), (AMGN, 0, 0.27%, 0.00%), (GILD, 0, 0.25%, 0.00%), (PFE, 0, 0.25%, 0.00%), (LOW, 0, 0.24%, 0.00%), (EMR, 0, 0.24%, 0.00%), (MO, 0, 0.24%, 0.00%), (DHR, 0, 0.22%, 0.00%), (ELV, 0, 0.21%, 0.00%), (CMCSA, 0, 0.19%, 0.00%), (MDLZ, 0, 0.18%, 0.00%), (BMY, 0, 0.16%, 0.00%), (UPS, 0, 0.15%, 0.00%), (PYPL, 0, 0.15%, 0.00%), (USB, 0, 0.14%, 0.00%), (FDX, 0, 0.13%, 0.00%), (CL, 0, 0.13%, 0.00%), (TGT, 0, 0.07%, 0.00%)</t>
        </is>
      </c>
      <c r="R11" s="4" t="n">
        <v>0</v>
      </c>
      <c r="S11" s="3" t="n">
        <v>8046740.560000001</v>
      </c>
      <c r="T11" s="4" t="n">
        <v>0.3232211503074146</v>
      </c>
      <c r="U11" t="inlineStr"/>
    </row>
    <row r="12">
      <c r="A12" s="2" t="n">
        <v>45926</v>
      </c>
      <c r="B12" t="inlineStr">
        <is>
          <t>P30128</t>
        </is>
      </c>
      <c r="C12" t="inlineStr">
        <is>
          <t>diversified</t>
        </is>
      </c>
      <c r="D12" s="3">
        <f>IF(J12/H12&gt;=0.75,"PASS","FAIL")</f>
        <v/>
      </c>
      <c r="E12" s="3">
        <f>IF(L12=0,"PASS","FAIL")</f>
        <v/>
      </c>
      <c r="F12" s="3">
        <f>IF(R12="","",IF(R12&lt;=0.1,"PASS","FAIL"))</f>
        <v/>
      </c>
      <c r="G12" s="3">
        <f>IF(S12=0,"PASS",IF(S12&lt;=0.05*J12,"PASS","FAIL"))</f>
        <v/>
      </c>
      <c r="H12" s="3" t="n">
        <v>40675886.38</v>
      </c>
      <c r="I12" s="4" t="n">
        <v>0</v>
      </c>
      <c r="J12" s="3" t="n">
        <v>35399960.82</v>
      </c>
      <c r="K12" s="3" t="n">
        <v>7691.64</v>
      </c>
      <c r="L12" s="3" t="n">
        <v>0</v>
      </c>
      <c r="M12" t="inlineStr">
        <is>
          <t>None</t>
        </is>
      </c>
      <c r="N12" t="inlineStr">
        <is>
          <t>NVDA, AAPL, MSFT, GOOGLE</t>
        </is>
      </c>
      <c r="O12" s="4" t="n">
        <v>0.2594611111775801</v>
      </c>
      <c r="P12" s="4" t="n">
        <v>0.7405388888224199</v>
      </c>
      <c r="Q12" t="inlineStr">
        <is>
          <t>(AMZN, 0, 3.53%, 0.00%), (AVGO, 0, 3.32%, 0.00%), (META, 0, 2.62%, 0.00%), (TSLA, 0, 2.06%, 0.00%), (BRK/B, 0, 2.05%, 0.00%), (CSCO, 0, 1.67%, 0.00%), (LIN, 0, 1.67%, 0.00%), (JPM, 0, 1.64%, 0.00%), (XOM, 0, 1.46%, 0.00%), (AMT, 0, 1.39%, 0.00%), (V, 0, 1.30%, 0.00%), (CB, 0, 1.11%, 0.00%), (GE, 0, 1.09%, 0.00%), (LLY, 0, 1.07%, 0.00%), (ORCL, 0, 1.05%, 0.00%), (MA, 0, 1.04%, 0.00%), (WM, 0, 0.97%, 0.00%), (UNH, 0, 0.94%, 0.00%), (NEE, 0, 0.85%, 0.00%), (PLTR, 0, 0.84%, 0.00%), (NFLX, 0, 0.84%, 0.00%), (JNJ, 0, 0.81%, 0.00%), (WMT, 0, 0.78%, 0.00%), (CAT, 0, 0.76%, 0.00%), (CVX, 0, 0.76%, 0.00%), (RTX, 0, 0.73%, 0.00%), (ABBV, 0, 0.73%, 0.00%), (PG, 0, 0.73%, 0.00%), (COST, 0, 0.70%, 0.00%), (HD, 0, 0.70%, 0.00%), (ABT, 0, 0.69%, 0.00%), (MCD, 0, 0.69%, 0.00%), (BAC, 0, 0.64%, 0.00%), (IBM, 0, 0.60%, 0.00%), (BKNG, 0, 0.57%, 0.00%), (SO, 0, 0.57%, 0.00%), (PM, 0, 0.57%, 0.00%), (KO, 0, 0.57%, 0.00%), (GS, 0, 0.56%, 0.00%), (BA, 0, 0.56%, 0.00%), (AMD, 0, 0.55%, 0.00%), (UBER, 0, 0.54%, 0.00%), (CRM, 0, 0.54%, 0.00%), (DUK, 0, 0.52%, 0.00%), (WFC, 0, 0.52%, 0.00%), (NKE, 0, 0.51%, 0.00%), (MET, 0, 0.50%, 0.00%), (ETN, 0, 0.49%, 0.00%), (ISRG, 0, 0.47%, 0.00%), (HON, 0, 0.46%, 0.00%), (INTU, 0, 0.45%, 0.00%), (MS, 0, 0.44%, 0.00%), (NOW, 0, 0.44%, 0.00%), (PEP, 0, 0.43%, 0.00%), (AXP, 0, 0.43%, 0.00%), (T, 0, 0.41%, 0.00%), (DE, 0, 0.40%, 0.00%), (QCOM, 0, 0.40%, 0.00%), (BLK, 0, 0.38%, 0.00%), (VZ, 0, 0.37%, 0.00%), (MRK, 0, 0.37%, 0.00%), (ADBE, 0, 0.37%, 0.00%), (UNP, 0, 0.36%, 0.00%), (MDT, 0, 0.36%, 0.00%), (C, 0, 0.36%, 0.00%), (COP, 0, 0.36%, 0.00%), (TXN, 0, 0.36%, 0.00%), (AMAT, 0, 0.35%, 0.00%), (LMT, 0, 0.35%, 0.00%), (SPGI, 0, 0.35%, 0.00%), (ACN, 0, 0.34%, 0.00%), (TMO, 0, 0.33%, 0.00%), (DIS, 0, 0.33%, 0.00%), (SCHW, 0, 0.32%, 0.00%), (INTC, 0, 0.31%, 0.00%), (SBUX, 0, 0.30%, 0.00%), (CVS, 0, 0.29%, 0.00%), (MMM, 0, 0.28%, 0.00%), (AMGN, 0, 0.28%, 0.00%), (TJX, 0, 0.27%, 0.00%), (GILD, 0, 0.26%, 0.00%), (PFE, 0, 0.25%, 0.00%), (LOW, 0, 0.25%, 0.00%), (EMR, 0, 0.25%, 0.00%), (MO, 0, 0.25%, 0.00%), (DHR, 0, 0.22%, 0.00%), (ELV, 0, 0.22%, 0.00%), (CMCSA, 0, 0.20%, 0.00%), (MDLZ, 0, 0.19%, 0.00%), (BMY, 0, 0.17%, 0.00%), (UPS, 0, 0.16%, 0.00%), (PYPL, 0, 0.15%, 0.00%), (USB, 0, 0.14%, 0.00%), (FDX, 0, 0.14%, 0.00%), (CL, 0, 0.13%, 0.00%), (TGT, 0, 0.07%, 0.00%)</t>
        </is>
      </c>
      <c r="R12" s="4" t="n">
        <v>0</v>
      </c>
      <c r="S12" s="3" t="n">
        <v>11008848.9</v>
      </c>
      <c r="T12" s="4" t="n">
        <v>0.2706480394097315</v>
      </c>
      <c r="U12" t="inlineStr"/>
    </row>
    <row r="13">
      <c r="A13" s="2" t="n">
        <v>45929</v>
      </c>
      <c r="B13" t="inlineStr">
        <is>
          <t>P2726</t>
        </is>
      </c>
      <c r="C13" t="inlineStr">
        <is>
          <t>diversified</t>
        </is>
      </c>
      <c r="D13" s="3">
        <f>IF(J13/H13&gt;=0.75,"PASS","FAIL")</f>
        <v/>
      </c>
      <c r="E13" s="3">
        <f>IF(L13=0,"PASS","FAIL")</f>
        <v/>
      </c>
      <c r="F13" s="3">
        <f>IF(R13="","",IF(R13&lt;=0.1,"PASS","FAIL"))</f>
        <v/>
      </c>
      <c r="G13" s="3">
        <f>IF(S13=0,"PASS",IF(S13&lt;=0.05*J13,"PASS","FAIL"))</f>
        <v/>
      </c>
      <c r="H13" s="3" t="n">
        <v>34991693.59</v>
      </c>
      <c r="I13" s="4" t="n">
        <v>0</v>
      </c>
      <c r="J13" s="3" t="n">
        <v>32773714.14</v>
      </c>
      <c r="K13" s="3" t="n">
        <v>2378.36</v>
      </c>
      <c r="L13" s="3" t="n">
        <v>0</v>
      </c>
      <c r="M13" t="inlineStr">
        <is>
          <t>None</t>
        </is>
      </c>
      <c r="N13" t="inlineStr">
        <is>
          <t>NVDA, AAPL, MSFT, GOOGLE</t>
        </is>
      </c>
      <c r="O13" s="4" t="n">
        <v>0.2628251159818042</v>
      </c>
      <c r="P13" s="4" t="n">
        <v>0.7371748840181958</v>
      </c>
      <c r="Q13" t="inlineStr">
        <is>
          <t>(AMZN, 0, 3.85%, 0.00%), (AVGO, 0, 3.54%, 0.00%), (META, 0, 2.84%, 0.00%), (TSLA, 0, 2.25%, 0.00%), (BRK/B, 0, 2.22%, 0.00%), (CSCO, 0, 1.83%, 0.00%), (LIN, 0, 1.82%, 0.00%), (JPM, 0, 1.78%, 0.00%), (XOM, 0, 1.56%, 0.00%), (AMT, 0, 1.52%, 0.00%), (V, 0, 1.43%, 0.00%), (CB, 0, 1.20%, 0.00%), (GE, 0, 1.17%, 0.00%), (LLY, 0, 1.16%, 0.00%), (MA, 0, 1.13%, 0.00%), (ORCL, 0, 1.13%, 0.00%), (WM, 0, 1.05%, 0.00%), (UNH, 0, 1.02%, 0.00%), (NEE, 0, 0.93%, 0.00%), (PLTR, 0, 0.91%, 0.00%), (NFLX, 0, 0.90%, 0.00%), (JNJ, 0, 0.89%, 0.00%), (CAT, 0, 0.84%, 0.00%), (CVX, 0, 0.81%, 0.00%), (RTX, 0, 0.80%, 0.00%), (ABBV, 0, 0.80%, 0.00%), (PG, 0, 0.79%, 0.00%), (COST, 0, 0.76%, 0.00%), (HD, 0, 0.75%, 0.00%), (ABT, 0, 0.75%, 0.00%), (MCD, 0, 0.74%, 0.00%), (BAC, 0, 0.70%, 0.00%), (IBM, 0, 0.65%, 0.00%), (BKNG, 0, 0.63%, 0.00%), (SO, 0, 0.62%, 0.00%), (KO, 0, 0.62%, 0.00%), (PM, 0, 0.61%, 0.00%), (GS, 0, 0.61%, 0.00%), (WMT, 0, 0.60%, 0.00%), (AMD, 0, 0.60%, 0.00%), (BA, 0, 0.60%, 0.00%), (UBER, 0, 0.59%, 0.00%), (CRM, 0, 0.59%, 0.00%), (DUK, 0, 0.57%, 0.00%), (WFC, 0, 0.56%, 0.00%), (AXP, 0, 0.56%, 0.00%), (NKE, 0, 0.55%, 0.00%), (MET, 0, 0.55%, 0.00%), (ETN, 0, 0.54%, 0.00%), (ISRG, 0, 0.51%, 0.00%), (HON, 0, 0.50%, 0.00%), (INTU, 0, 0.49%, 0.00%), (NOW, 0, 0.48%, 0.00%), (MS, 0, 0.48%, 0.00%), (PEP, 0, 0.46%, 0.00%), (T, 0, 0.45%, 0.00%), (DE, 0, 0.44%, 0.00%), (QCOM, 0, 0.42%, 0.00%), (BLK, 0, 0.42%, 0.00%), (MRK, 0, 0.41%, 0.00%), (VZ, 0, 0.40%, 0.00%), (UNP, 0, 0.40%, 0.00%), (ADBE, 0, 0.40%, 0.00%), (MDT, 0, 0.39%, 0.00%), (C, 0, 0.39%, 0.00%), (AMAT, 0, 0.39%, 0.00%), (TXN, 0, 0.39%, 0.00%), (COP, 0, 0.38%, 0.00%), (ACN, 0, 0.38%, 0.00%), (LMT, 0, 0.38%, 0.00%), (SPGI, 0, 0.38%, 0.00%), (DIS, 0, 0.36%, 0.00%), (TMO, 0, 0.36%, 0.00%), (SCHW, 0, 0.35%, 0.00%), (INTC, 0, 0.34%, 0.00%), (SBUX, 0, 0.33%, 0.00%), (MMM, 0, 0.31%, 0.00%), (CVS, 0, 0.31%, 0.00%), (AMGN, 0, 0.30%, 0.00%), (TJX, 0, 0.30%, 0.00%), (GILD, 0, 0.29%, 0.00%), (PFE, 0, 0.27%, 0.00%), (EMR, 0, 0.27%, 0.00%), (MO, 0, 0.27%, 0.00%), (LOW, 0, 0.27%, 0.00%), (DHR, 0, 0.24%, 0.00%), (ELV, 0, 0.24%, 0.00%), (CMCSA, 0, 0.21%, 0.00%), (MDLZ, 0, 0.20%, 0.00%), (BMY, 0, 0.18%, 0.00%), (UPS, 0, 0.17%, 0.00%), (PYPL, 0, 0.17%, 0.00%), (USB, 0, 0.15%, 0.00%), (FDX, 0, 0.15%, 0.00%), (CL, 0, 0.14%, 0.00%), (TGT, 0, 0.10%, 0.00%)</t>
        </is>
      </c>
      <c r="R13" s="4" t="n">
        <v>0</v>
      </c>
      <c r="S13" s="3" t="n">
        <v>4526009.65</v>
      </c>
      <c r="T13" s="4" t="n">
        <v>0.1293452584213715</v>
      </c>
      <c r="U13" t="inlineStr"/>
    </row>
    <row r="14">
      <c r="A14" s="2" t="n">
        <v>45929</v>
      </c>
      <c r="B14" t="inlineStr">
        <is>
          <t>P3727</t>
        </is>
      </c>
      <c r="C14" t="inlineStr">
        <is>
          <t>diversified</t>
        </is>
      </c>
      <c r="D14" s="3">
        <f>IF(J14/H14&gt;=0.75,"PASS","FAIL")</f>
        <v/>
      </c>
      <c r="E14" s="3">
        <f>IF(L14=0,"PASS","FAIL")</f>
        <v/>
      </c>
      <c r="F14" s="3">
        <f>IF(R14="","",IF(R14&lt;=0.1,"PASS","FAIL"))</f>
        <v/>
      </c>
      <c r="G14" s="3">
        <f>IF(S14=0,"PASS",IF(S14&lt;=0.05*J14,"PASS","FAIL"))</f>
        <v/>
      </c>
      <c r="H14" s="3" t="n">
        <v>79649747.64</v>
      </c>
      <c r="I14" s="4" t="n">
        <v>0</v>
      </c>
      <c r="J14" s="3" t="n">
        <v>71686848.15000001</v>
      </c>
      <c r="K14" s="3" t="n">
        <v>5199.2</v>
      </c>
      <c r="L14" s="3" t="n">
        <v>0</v>
      </c>
      <c r="M14" t="inlineStr">
        <is>
          <t>None</t>
        </is>
      </c>
      <c r="N14" t="inlineStr">
        <is>
          <t>NVDA, AAPL, MSFT, GOOGLE</t>
        </is>
      </c>
      <c r="O14" s="4" t="n">
        <v>0.2625448373824202</v>
      </c>
      <c r="P14" s="4" t="n">
        <v>0.7374551626175798</v>
      </c>
      <c r="Q14" t="inlineStr">
        <is>
          <t>(AMZN, 0, 3.70%, 0.00%), (AVGO, 0, 3.40%, 0.00%), (META, 0, 2.73%, 0.00%), (TSLA, 0, 2.16%, 0.00%), (BRK/B, 0, 2.13%, 0.00%), (CSCO, 0, 1.76%, 0.00%), (LIN, 0, 1.75%, 0.00%), (JPM, 0, 1.71%, 0.00%), (XOM, 0, 1.49%, 0.00%), (AMT, 0, 1.45%, 0.00%), (V, 0, 1.37%, 0.00%), (CB, 0, 1.15%, 0.00%), (GE, 0, 1.12%, 0.00%), (LLY, 0, 1.12%, 0.00%), (MA, 0, 1.08%, 0.00%), (ORCL, 0, 1.08%, 0.00%), (WM, 0, 1.01%, 0.00%), (UNH, 0, 0.98%, 0.00%), (NEE, 0, 0.90%, 0.00%), (PLTR, 0, 0.87%, 0.00%), (NFLX, 0, 0.87%, 0.00%), (JNJ, 0, 0.85%, 0.00%), (CAT, 0, 0.80%, 0.00%), (CVX, 0, 0.78%, 0.00%), (RTX, 0, 0.77%, 0.00%), (ABBV, 0, 0.76%, 0.00%), (PG, 0, 0.76%, 0.00%), (COST, 0, 0.73%, 0.00%), (HD, 0, 0.72%, 0.00%), (ABT, 0, 0.72%, 0.00%), (MCD, 0, 0.71%, 0.00%), (BAC, 0, 0.67%, 0.00%), (IBM, 0, 0.63%, 0.00%), (WMT, 0, 0.61%, 0.00%), (BKNG, 0, 0.59%, 0.00%), (SO, 0, 0.59%, 0.00%), (KO, 0, 0.59%, 0.00%), (GS, 0, 0.59%, 0.00%), (PM, 0, 0.59%, 0.00%), (AMD, 0, 0.58%, 0.00%), (BA, 0, 0.57%, 0.00%), (UBER, 0, 0.56%, 0.00%), (CRM, 0, 0.56%, 0.00%), (DUK, 0, 0.55%, 0.00%), (WFC, 0, 0.54%, 0.00%), (AXP, 0, 0.53%, 0.00%), (NKE, 0, 0.53%, 0.00%), (MET, 0, 0.52%, 0.00%), (ETN, 0, 0.51%, 0.00%), (ISRG, 0, 0.49%, 0.00%), (HON, 0, 0.48%, 0.00%), (INTU, 0, 0.47%, 0.00%), (NOW, 0, 0.47%, 0.00%), (MS, 0, 0.46%, 0.00%), (PEP, 0, 0.44%, 0.00%), (T, 0, 0.43%, 0.00%), (DE, 0, 0.42%, 0.00%), (QCOM, 0, 0.41%, 0.00%), (BLK, 0, 0.40%, 0.00%), (MRK, 0, 0.39%, 0.00%), (UNP, 0, 0.39%, 0.00%), (VZ, 0, 0.39%, 0.00%), (ADBE, 0, 0.38%, 0.00%), (MDT, 0, 0.38%, 0.00%), (C, 0, 0.38%, 0.00%), (AMAT, 0, 0.37%, 0.00%), (TXN, 0, 0.37%, 0.00%), (ACN, 0, 0.37%, 0.00%), (COP, 0, 0.37%, 0.00%), (LMT, 0, 0.37%, 0.00%), (SPGI, 0, 0.36%, 0.00%), (DIS, 0, 0.35%, 0.00%), (TMO, 0, 0.35%, 0.00%), (SCHW, 0, 0.34%, 0.00%), (INTC, 0, 0.33%, 0.00%), (SBUX, 0, 0.31%, 0.00%), (MMM, 0, 0.30%, 0.00%), (CVS, 0, 0.30%, 0.00%), (AMGN, 0, 0.29%, 0.00%), (TJX, 0, 0.29%, 0.00%), (GILD, 0, 0.27%, 0.00%), (PFE, 0, 0.26%, 0.00%), (EMR, 0, 0.26%, 0.00%), (MO, 0, 0.26%, 0.00%), (LOW, 0, 0.26%, 0.00%), (DHR, 0, 0.23%, 0.00%), (ELV, 0, 0.23%, 0.00%), (CMCSA, 0, 0.20%, 0.00%), (MDLZ, 0, 0.19%, 0.00%), (BMY, 0, 0.18%, 0.00%), (UPS, 0, 0.17%, 0.00%), (PYPL, 0, 0.16%, 0.00%), (USB, 0, 0.15%, 0.00%), (FDX, 0, 0.14%, 0.00%), (CL, 0, 0.14%, 0.00%), (TGT, 0, 0.10%, 0.00%)</t>
        </is>
      </c>
      <c r="R14" s="4" t="n">
        <v>0</v>
      </c>
      <c r="S14" s="3" t="n">
        <v>17803777.72</v>
      </c>
      <c r="T14" s="4" t="n">
        <v>0.2235258522157447</v>
      </c>
      <c r="U14" t="inlineStr"/>
    </row>
    <row r="15">
      <c r="A15" s="2" t="n">
        <v>45929</v>
      </c>
      <c r="B15" t="inlineStr">
        <is>
          <t>P21026</t>
        </is>
      </c>
      <c r="C15" t="inlineStr">
        <is>
          <t>diversified</t>
        </is>
      </c>
      <c r="D15" s="3">
        <f>IF(J15/H15&gt;=0.75,"PASS","FAIL")</f>
        <v/>
      </c>
      <c r="E15" s="3">
        <f>IF(L15=0,"PASS","FAIL")</f>
        <v/>
      </c>
      <c r="F15" s="3">
        <f>IF(R15="","",IF(R15&lt;=0.1,"PASS","FAIL"))</f>
        <v/>
      </c>
      <c r="G15" s="3">
        <f>IF(S15=0,"PASS",IF(S15&lt;=0.05*J15,"PASS","FAIL"))</f>
        <v/>
      </c>
      <c r="H15" s="3" t="n">
        <v>23675969.74</v>
      </c>
      <c r="I15" s="4" t="n">
        <v>0</v>
      </c>
      <c r="J15" s="3" t="n">
        <v>21723837.26</v>
      </c>
      <c r="K15" s="3" t="n">
        <v>1576.54</v>
      </c>
      <c r="L15" s="3" t="n">
        <v>0</v>
      </c>
      <c r="M15" t="inlineStr">
        <is>
          <t>None</t>
        </is>
      </c>
      <c r="N15" t="inlineStr">
        <is>
          <t>NVDA, AAPL, MSFT, GOOGLE</t>
        </is>
      </c>
      <c r="O15" s="4" t="n">
        <v>0.2614185423151158</v>
      </c>
      <c r="P15" s="4" t="n">
        <v>0.7385814576848841</v>
      </c>
      <c r="Q15" t="inlineStr">
        <is>
          <t>(AMZN, 0, 3.75%, 0.00%), (AVGO, 0, 3.45%, 0.00%), (META, 0, 2.76%, 0.00%), (TSLA, 0, 2.19%, 0.00%), (BRK/B, 0, 2.17%, 0.00%), (CSCO, 0, 1.79%, 0.00%), (LIN, 0, 1.78%, 0.00%), (JPM, 0, 1.73%, 0.00%), (XOM, 0, 1.52%, 0.00%), (AMT, 0, 1.48%, 0.00%), (V, 0, 1.39%, 0.00%), (CB, 0, 1.17%, 0.00%), (GE, 0, 1.14%, 0.00%), (LLY, 0, 1.14%, 0.00%), (MA, 0, 1.10%, 0.00%), (ORCL, 0, 1.10%, 0.00%), (WM, 0, 1.03%, 0.00%), (UNH, 0, 1.00%, 0.00%), (NEE, 0, 0.91%, 0.00%), (PLTR, 0, 0.89%, 0.00%), (NFLX, 0, 0.88%, 0.00%), (JNJ, 0, 0.87%, 0.00%), (CAT, 0, 0.82%, 0.00%), (CVX, 0, 0.79%, 0.00%), (RTX, 0, 0.78%, 0.00%), (ABBV, 0, 0.78%, 0.00%), (PG, 0, 0.77%, 0.00%), (COST, 0, 0.74%, 0.00%), (HD, 0, 0.73%, 0.00%), (ABT, 0, 0.73%, 0.00%), (MCD, 0, 0.72%, 0.00%), (BAC, 0, 0.68%, 0.00%), (IBM, 0, 0.63%, 0.00%), (BKNG, 0, 0.60%, 0.00%), (SO, 0, 0.60%, 0.00%), (KO, 0, 0.60%, 0.00%), (PM, 0, 0.60%, 0.00%), (AXP, 0, 0.59%, 0.00%), (GS, 0, 0.59%, 0.00%), (AMD, 0, 0.59%, 0.00%), (BA, 0, 0.58%, 0.00%), (UBER, 0, 0.57%, 0.00%), (CRM, 0, 0.57%, 0.00%), (WMT, 0, 0.56%, 0.00%), (DUK, 0, 0.56%, 0.00%), (WFC, 0, 0.55%, 0.00%), (NKE, 0, 0.53%, 0.00%), (MET, 0, 0.53%, 0.00%), (ETN, 0, 0.52%, 0.00%), (ISRG, 0, 0.50%, 0.00%), (HON, 0, 0.49%, 0.00%), (NOW, 0, 0.48%, 0.00%), (INTU, 0, 0.47%, 0.00%), (MS, 0, 0.47%, 0.00%), (PEP, 0, 0.45%, 0.00%), (T, 0, 0.44%, 0.00%), (DE, 0, 0.43%, 0.00%), (QCOM, 0, 0.41%, 0.00%), (BLK, 0, 0.41%, 0.00%), (MRK, 0, 0.39%, 0.00%), (UNP, 0, 0.39%, 0.00%), (VZ, 0, 0.39%, 0.00%), (ADBE, 0, 0.39%, 0.00%), (MDT, 0, 0.38%, 0.00%), (C, 0, 0.38%, 0.00%), (AMAT, 0, 0.38%, 0.00%), (TXN, 0, 0.38%, 0.00%), (ACN, 0, 0.38%, 0.00%), (COP, 0, 0.37%, 0.00%), (LMT, 0, 0.37%, 0.00%), (SPGI, 0, 0.37%, 0.00%), (DIS, 0, 0.35%, 0.00%), (TMO, 0, 0.35%, 0.00%), (SCHW, 0, 0.34%, 0.00%), (INTC, 0, 0.34%, 0.00%), (SBUX, 0, 0.32%, 0.00%), (MMM, 0, 0.30%, 0.00%), (CVS, 0, 0.30%, 0.00%), (TJX, 0, 0.29%, 0.00%), (AMGN, 0, 0.29%, 0.00%), (GILD, 0, 0.28%, 0.00%), (PFE, 0, 0.27%, 0.00%), (EMR, 0, 0.27%, 0.00%), (MO, 0, 0.26%, 0.00%), (LOW, 0, 0.26%, 0.00%), (DHR, 0, 0.24%, 0.00%), (ELV, 0, 0.24%, 0.00%), (CMCSA, 0, 0.21%, 0.00%), (MDLZ, 0, 0.20%, 0.00%), (BMY, 0, 0.18%, 0.00%), (UPS, 0, 0.17%, 0.00%), (PYPL, 0, 0.16%, 0.00%), (USB, 0, 0.15%, 0.00%), (FDX, 0, 0.15%, 0.00%), (CL, 0, 0.14%, 0.00%), (TGT, 0, 0.11%, 0.00%)</t>
        </is>
      </c>
      <c r="R15" s="4" t="n">
        <v>0</v>
      </c>
      <c r="S15" s="3" t="n">
        <v>3894375.26</v>
      </c>
      <c r="T15" s="4" t="n">
        <v>0.1644864097549738</v>
      </c>
      <c r="U15" t="inlineStr"/>
    </row>
    <row r="16">
      <c r="A16" s="2" t="n">
        <v>45929</v>
      </c>
      <c r="B16" t="inlineStr">
        <is>
          <t>P20127</t>
        </is>
      </c>
      <c r="C16" t="inlineStr">
        <is>
          <t>diversified</t>
        </is>
      </c>
      <c r="D16" s="3">
        <f>IF(J16/H16&gt;=0.75,"PASS","FAIL")</f>
        <v/>
      </c>
      <c r="E16" s="3">
        <f>IF(L16=0,"PASS","FAIL")</f>
        <v/>
      </c>
      <c r="F16" s="3">
        <f>IF(R16="","",IF(R16&lt;=0.1,"PASS","FAIL"))</f>
        <v/>
      </c>
      <c r="G16" s="3">
        <f>IF(S16=0,"PASS",IF(S16&lt;=0.05*J16,"PASS","FAIL"))</f>
        <v/>
      </c>
      <c r="H16" s="3" t="n">
        <v>102254387.18</v>
      </c>
      <c r="I16" s="4" t="n">
        <v>0</v>
      </c>
      <c r="J16" s="3" t="n">
        <v>93236477.89</v>
      </c>
      <c r="K16" s="3" t="n">
        <v>6764.55</v>
      </c>
      <c r="L16" s="3" t="n">
        <v>0</v>
      </c>
      <c r="M16" t="inlineStr">
        <is>
          <t>None</t>
        </is>
      </c>
      <c r="N16" t="inlineStr">
        <is>
          <t>NVDA, MSFT, AAPL, GOOGLE</t>
        </is>
      </c>
      <c r="O16" s="4" t="n">
        <v>0.260339101704778</v>
      </c>
      <c r="P16" s="4" t="n">
        <v>0.739660898295222</v>
      </c>
      <c r="Q16" t="inlineStr">
        <is>
          <t>(AMZN, 0, 3.70%, 0.00%), (AVGO, 0, 3.41%, 0.00%), (META, 0, 2.73%, 0.00%), (TSLA, 0, 2.16%, 0.00%), (BRK/B, 0, 2.14%, 0.00%), (CSCO, 0, 1.76%, 0.00%), (LIN, 0, 1.75%, 0.00%), (JPM, 0, 1.71%, 0.00%), (XOM, 0, 1.50%, 0.00%), (AMT, 0, 1.46%, 0.00%), (V, 0, 1.37%, 0.00%), (CB, 0, 1.15%, 0.00%), (GE, 0, 1.13%, 0.00%), (LLY, 0, 1.12%, 0.00%), (MA, 0, 1.09%, 0.00%), (ORCL, 0, 1.09%, 0.00%), (WM, 0, 1.01%, 0.00%), (UNH, 0, 0.99%, 0.00%), (NEE, 0, 0.90%, 0.00%), (PLTR, 0, 0.87%, 0.00%), (NFLX, 0, 0.87%, 0.00%), (JNJ, 0, 0.86%, 0.00%), (CAT, 0, 0.81%, 0.00%), (CVX, 0, 0.78%, 0.00%), (RTX, 0, 0.77%, 0.00%), (ABBV, 0, 0.77%, 0.00%), (PG, 0, 0.76%, 0.00%), (COST, 0, 0.73%, 0.00%), (HD, 0, 0.72%, 0.00%), (ABT, 0, 0.72%, 0.00%), (MCD, 0, 0.71%, 0.00%), (BAC, 0, 0.67%, 0.00%), (IBM, 0, 0.63%, 0.00%), (BKNG, 0, 0.60%, 0.00%), (SO, 0, 0.59%, 0.00%), (KO, 0, 0.59%, 0.00%), (GS, 0, 0.59%, 0.00%), (PM, 0, 0.59%, 0.00%), (AMD, 0, 0.58%, 0.00%), (AXP, 0, 0.58%, 0.00%), (BA, 0, 0.57%, 0.00%), (WMT, 0, 0.57%, 0.00%), (UBER, 0, 0.57%, 0.00%), (CRM, 0, 0.56%, 0.00%), (DUK, 0, 0.55%, 0.00%), (WFC, 0, 0.54%, 0.00%), (NKE, 0, 0.53%, 0.00%), (MET, 0, 0.52%, 0.00%), (ETN, 0, 0.52%, 0.00%), (ISRG, 0, 0.49%, 0.00%), (HON, 0, 0.48%, 0.00%), (NOW, 0, 0.47%, 0.00%), (INTU, 0, 0.47%, 0.00%), (MS, 0, 0.47%, 0.00%), (PEP, 0, 0.44%, 0.00%), (T, 0, 0.43%, 0.00%), (DE, 0, 0.42%, 0.00%), (QCOM, 0, 0.41%, 0.00%), (BLK, 0, 0.40%, 0.00%), (MRK, 0, 0.39%, 0.00%), (UNP, 0, 0.39%, 0.00%), (VZ, 0, 0.39%, 0.00%), (ADBE, 0, 0.38%, 0.00%), (MDT, 0, 0.38%, 0.00%), (C, 0, 0.38%, 0.00%), (AMAT, 0, 0.37%, 0.00%), (TXN, 0, 0.37%, 0.00%), (ACN, 0, 0.37%, 0.00%), (COP, 0, 0.37%, 0.00%), (LMT, 0, 0.37%, 0.00%), (SPGI, 0, 0.36%, 0.00%), (DIS, 0, 0.35%, 0.00%), (TMO, 0, 0.35%, 0.00%), (SCHW, 0, 0.34%, 0.00%), (INTC, 0, 0.33%, 0.00%), (SBUX, 0, 0.32%, 0.00%), (MMM, 0, 0.30%, 0.00%), (CVS, 0, 0.30%, 0.00%), (TJX, 0, 0.29%, 0.00%), (AMGN, 0, 0.29%, 0.00%), (GILD, 0, 0.27%, 0.00%), (PFE, 0, 0.26%, 0.00%), (EMR, 0, 0.26%, 0.00%), (MO, 0, 0.26%, 0.00%), (LOW, 0, 0.26%, 0.00%), (DHR, 0, 0.23%, 0.00%), (ELV, 0, 0.23%, 0.00%), (CMCSA, 0, 0.20%, 0.00%), (MDLZ, 0, 0.19%, 0.00%), (BMY, 0, 0.18%, 0.00%), (UPS, 0, 0.17%, 0.00%), (PYPL, 0, 0.16%, 0.00%), (USB, 0, 0.15%, 0.00%), (FDX, 0, 0.14%, 0.00%), (CL, 0, 0.14%, 0.00%), (TGT, 0, 0.10%, 0.00%)</t>
        </is>
      </c>
      <c r="R16" s="4" t="n">
        <v>0</v>
      </c>
      <c r="S16" s="3" t="n">
        <v>17873687.83</v>
      </c>
      <c r="T16" s="4" t="n">
        <v>0.1747962930777402</v>
      </c>
      <c r="U16" t="inlineStr"/>
    </row>
    <row r="17">
      <c r="A17" s="2" t="n">
        <v>45929</v>
      </c>
      <c r="B17" t="inlineStr">
        <is>
          <t>P31027</t>
        </is>
      </c>
      <c r="C17" t="inlineStr">
        <is>
          <t>diversified</t>
        </is>
      </c>
      <c r="D17" s="3">
        <f>IF(J17/H17&gt;=0.75,"PASS","FAIL")</f>
        <v/>
      </c>
      <c r="E17" s="3">
        <f>IF(L17=0,"PASS","FAIL")</f>
        <v/>
      </c>
      <c r="F17" s="3">
        <f>IF(R17="","",IF(R17&lt;=0.1,"PASS","FAIL"))</f>
        <v/>
      </c>
      <c r="G17" s="3">
        <f>IF(S17=0,"PASS",IF(S17&lt;=0.05*J17,"PASS","FAIL"))</f>
        <v/>
      </c>
      <c r="H17" s="3" t="n">
        <v>15514182.29</v>
      </c>
      <c r="I17" s="4" t="n">
        <v>0</v>
      </c>
      <c r="J17" s="3" t="n">
        <v>13839111.25</v>
      </c>
      <c r="K17" s="3" t="n">
        <v>1004.43</v>
      </c>
      <c r="L17" s="3" t="n">
        <v>0</v>
      </c>
      <c r="M17" t="inlineStr">
        <is>
          <t>None</t>
        </is>
      </c>
      <c r="N17" t="inlineStr">
        <is>
          <t>NVDA, AAPL, MSFT, GOOGLE</t>
        </is>
      </c>
      <c r="O17" s="4" t="n">
        <v>0.2611437920191587</v>
      </c>
      <c r="P17" s="4" t="n">
        <v>0.7388562079808413</v>
      </c>
      <c r="Q17" t="inlineStr">
        <is>
          <t>(AMZN, 0, 3.64%, 0.00%), (AVGO, 0, 3.35%, 0.00%), (META, 0, 2.69%, 0.00%), (TSLA, 0, 2.13%, 0.00%), (BRK/B, 0, 2.10%, 0.00%), (CSCO, 0, 1.73%, 0.00%), (LIN, 0, 1.72%, 0.00%), (JPM, 0, 1.68%, 0.00%), (XOM, 0, 1.47%, 0.00%), (AMT, 0, 1.43%, 0.00%), (V, 0, 1.35%, 0.00%), (CB, 0, 1.13%, 0.00%), (GE, 0, 1.11%, 0.00%), (LLY, 0, 1.10%, 0.00%), (ORCL, 0, 1.07%, 0.00%), (MA, 0, 1.07%, 0.00%), (WM, 0, 1.00%, 0.00%), (UNH, 0, 0.97%, 0.00%), (NEE, 0, 0.88%, 0.00%), (PLTR, 0, 0.86%, 0.00%), (NFLX, 0, 0.85%, 0.00%), (JNJ, 0, 0.84%, 0.00%), (CAT, 0, 0.79%, 0.00%), (CVX, 0, 0.77%, 0.00%), (RTX, 0, 0.76%, 0.00%), (ABBV, 0, 0.75%, 0.00%), (PG, 0, 0.75%, 0.00%), (COST, 0, 0.72%, 0.00%), (HD, 0, 0.71%, 0.00%), (ABT, 0, 0.71%, 0.00%), (MCD, 0, 0.70%, 0.00%), (BAC, 0, 0.66%, 0.00%), (AXP, 0, 0.66%, 0.00%), (IBM, 0, 0.62%, 0.00%), (BKNG, 0, 0.60%, 0.00%), (WMT, 0, 0.59%, 0.00%), (SO, 0, 0.58%, 0.00%), (KO, 0, 0.58%, 0.00%), (GS, 0, 0.58%, 0.00%), (PM, 0, 0.58%, 0.00%), (AMD, 0, 0.57%, 0.00%), (BA, 0, 0.57%, 0.00%), (UBER, 0, 0.56%, 0.00%), (CRM, 0, 0.55%, 0.00%), (DUK, 0, 0.54%, 0.00%), (WFC, 0, 0.53%, 0.00%), (NKE, 0, 0.52%, 0.00%), (MET, 0, 0.52%, 0.00%), (ETN, 0, 0.50%, 0.00%), (ISRG, 0, 0.48%, 0.00%), (HON, 0, 0.47%, 0.00%), (NOW, 0, 0.46%, 0.00%), (INTU, 0, 0.46%, 0.00%), (MS, 0, 0.46%, 0.00%), (PEP, 0, 0.44%, 0.00%), (T, 0, 0.42%, 0.00%), (DE, 0, 0.42%, 0.00%), (QCOM, 0, 0.40%, 0.00%), (BLK, 0, 0.39%, 0.00%), (MRK, 0, 0.38%, 0.00%), (UNP, 0, 0.38%, 0.00%), (VZ, 0, 0.38%, 0.00%), (ADBE, 0, 0.38%, 0.00%), (MDT, 0, 0.37%, 0.00%), (C, 0, 0.37%, 0.00%), (AMAT, 0, 0.37%, 0.00%), (TXN, 0, 0.37%, 0.00%), (COP, 0, 0.36%, 0.00%), (ACN, 0, 0.36%, 0.00%), (LMT, 0, 0.36%, 0.00%), (SPGI, 0, 0.36%, 0.00%), (TMO, 0, 0.34%, 0.00%), (DIS, 0, 0.34%, 0.00%), (SCHW, 0, 0.33%, 0.00%), (INTC, 0, 0.33%, 0.00%), (SBUX, 0, 0.31%, 0.00%), (MMM, 0, 0.29%, 0.00%), (CVS, 0, 0.29%, 0.00%), (AMGN, 0, 0.28%, 0.00%), (TJX, 0, 0.28%, 0.00%), (GILD, 0, 0.27%, 0.00%), (PFE, 0, 0.26%, 0.00%), (EMR, 0, 0.26%, 0.00%), (MO, 0, 0.25%, 0.00%), (LOW, 0, 0.25%, 0.00%), (DHR, 0, 0.23%, 0.00%), (ELV, 0, 0.23%, 0.00%), (CMCSA, 0, 0.20%, 0.00%), (MDLZ, 0, 0.19%, 0.00%), (BMY, 0, 0.17%, 0.00%), (UPS, 0, 0.16%, 0.00%), (PYPL, 0, 0.16%, 0.00%), (USB, 0, 0.14%, 0.00%), (FDX, 0, 0.14%, 0.00%), (CL, 0, 0.14%, 0.00%), (TGT, 0, 0.07%, 0.00%)</t>
        </is>
      </c>
      <c r="R17" s="4" t="n">
        <v>0</v>
      </c>
      <c r="S17" s="3" t="n">
        <v>4209645.88</v>
      </c>
      <c r="T17" s="4" t="n">
        <v>0.271341782719249</v>
      </c>
      <c r="U17" t="inlineStr"/>
    </row>
    <row r="18">
      <c r="A18" s="2" t="n">
        <v>45929</v>
      </c>
      <c r="B18" t="inlineStr">
        <is>
          <t>TR2B1</t>
        </is>
      </c>
      <c r="C18" t="inlineStr">
        <is>
          <t>diversified</t>
        </is>
      </c>
      <c r="D18" s="3">
        <f>IF(J18/H18&gt;=0.75,"PASS","FAIL")</f>
        <v/>
      </c>
      <c r="E18" s="3">
        <f>IF(L18=0,"PASS","FAIL")</f>
        <v/>
      </c>
      <c r="F18" s="3">
        <f>IF(R18="","",IF(R18&lt;=0.1,"PASS","FAIL"))</f>
        <v/>
      </c>
      <c r="G18" s="3">
        <f>IF(S18=0,"PASS",IF(S18&lt;=0.05*J18,"PASS","FAIL"))</f>
        <v/>
      </c>
      <c r="H18" s="3" t="n">
        <v>137183343.09</v>
      </c>
      <c r="I18" s="4" t="n">
        <v>0</v>
      </c>
      <c r="J18" s="3" t="n">
        <v>121684170.94</v>
      </c>
      <c r="K18" s="3" t="n">
        <v>8825.73</v>
      </c>
      <c r="L18" s="3" t="n">
        <v>0</v>
      </c>
      <c r="M18" t="inlineStr">
        <is>
          <t>None</t>
        </is>
      </c>
      <c r="N18" t="inlineStr">
        <is>
          <t>NVDA, MSFT, AAPL, GOOGLE</t>
        </is>
      </c>
      <c r="O18" s="4" t="n">
        <v>0.277251093132196</v>
      </c>
      <c r="P18" s="4" t="n">
        <v>0.7227489068678039</v>
      </c>
      <c r="Q18" t="inlineStr">
        <is>
          <t>(AMZN, 0, 3.71%, 0.00%), (AVGO, 0, 3.41%, 0.00%), (META, 0, 2.73%, 0.00%), (TSLA, 0, 2.16%, 0.00%), (BRK/B, 0, 2.14%, 0.00%), (CSCO, 0, 1.76%, 0.00%), (LIN, 0, 1.75%, 0.00%), (JPM, 0, 1.71%, 0.00%), (XOM, 0, 1.50%, 0.00%), (AMT, 0, 1.46%, 0.00%), (V, 0, 1.37%, 0.00%), (CB, 0, 1.15%, 0.00%), (GE, 0, 1.13%, 0.00%), (LLY, 0, 1.12%, 0.00%), (MA, 0, 1.09%, 0.00%), (ORCL, 0, 1.09%, 0.00%), (WM, 0, 1.01%, 0.00%), (UNH, 0, 0.99%, 0.00%), (NEE, 0, 0.90%, 0.00%), (PLTR, 0, 0.87%, 0.00%), (NFLX, 0, 0.87%, 0.00%), (JNJ, 0, 0.86%, 0.00%), (CAT, 0, 0.81%, 0.00%), (CVX, 0, 0.78%, 0.00%), (RTX, 0, 0.77%, 0.00%), (ABBV, 0, 0.77%, 0.00%), (PG, 0, 0.76%, 0.00%), (COST, 0, 0.73%, 0.00%), (HD, 0, 0.72%, 0.00%), (ABT, 0, 0.72%, 0.00%), (MCD, 0, 0.71%, 0.00%), (BAC, 0, 0.67%, 0.00%), (IBM, 0, 0.63%, 0.00%), (BKNG, 0, 0.60%, 0.00%), (SO, 0, 0.59%, 0.00%), (KO, 0, 0.59%, 0.00%), (GS, 0, 0.59%, 0.00%), (PM, 0, 0.59%, 0.00%), (AMD, 0, 0.58%, 0.00%), (BA, 0, 0.57%, 0.00%), (AXP, 0, 0.57%, 0.00%), (WMT, 0, 0.57%, 0.00%), (UBER, 0, 0.57%, 0.00%), (CRM, 0, 0.56%, 0.00%), (DUK, 0, 0.55%, 0.00%), (WFC, 0, 0.54%, 0.00%), (NKE, 0, 0.53%, 0.00%), (MET, 0, 0.52%, 0.00%), (ETN, 0, 0.52%, 0.00%), (ISRG, 0, 0.49%, 0.00%), (HON, 0, 0.48%, 0.00%), (INTU, 0, 0.47%, 0.00%), (NOW, 0, 0.47%, 0.00%), (MS, 0, 0.46%, 0.00%), (PEP, 0, 0.44%, 0.00%), (T, 0, 0.43%, 0.00%), (DE, 0, 0.42%, 0.00%), (QCOM, 0, 0.41%, 0.00%), (BLK, 0, 0.40%, 0.00%), (MRK, 0, 0.39%, 0.00%), (UNP, 0, 0.39%, 0.00%), (VZ, 0, 0.39%, 0.00%), (ADBE, 0, 0.38%, 0.00%), (MDT, 0, 0.38%, 0.00%), (C, 0, 0.38%, 0.00%), (AMAT, 0, 0.37%, 0.00%), (TXN, 0, 0.37%, 0.00%), (ACN, 0, 0.37%, 0.00%), (COP, 0, 0.37%, 0.00%), (LMT, 0, 0.37%, 0.00%), (SPGI, 0, 0.36%, 0.00%), (DIS, 0, 0.35%, 0.00%), (TMO, 0, 0.35%, 0.00%), (SCHW, 0, 0.34%, 0.00%), (INTC, 0, 0.33%, 0.00%), (SBUX, 0, 0.32%, 0.00%), (MMM, 0, 0.30%, 0.00%), (CVS, 0, 0.30%, 0.00%), (TJX, 0, 0.29%, 0.00%), (AMGN, 0, 0.29%, 0.00%), (GILD, 0, 0.27%, 0.00%), (PFE, 0, 0.26%, 0.00%), (EMR, 0, 0.26%, 0.00%), (MO, 0, 0.26%, 0.00%), (LOW, 0, 0.26%, 0.00%), (DHR, 0, 0.23%, 0.00%), (ELV, 0, 0.23%, 0.00%), (CMCSA, 0, 0.20%, 0.00%), (MDLZ, 0, 0.19%, 0.00%), (BMY, 0, 0.18%, 0.00%), (UPS, 0, 0.17%, 0.00%), (PYPL, 0, 0.16%, 0.00%), (USB, 0, 0.15%, 0.00%), (FDX, 0, 0.14%, 0.00%), (CL, 0, 0.14%, 0.00%), (TGT, 0, 0.09%, 0.00%)</t>
        </is>
      </c>
      <c r="R18" s="4" t="n">
        <v>0</v>
      </c>
      <c r="S18" s="3" t="n">
        <v>34924649.49</v>
      </c>
      <c r="T18" s="4" t="n">
        <v>0.2545837468553851</v>
      </c>
      <c r="U18" t="inlineStr"/>
    </row>
    <row r="19">
      <c r="A19" s="2" t="n">
        <v>45929</v>
      </c>
      <c r="B19" t="inlineStr">
        <is>
          <t>HE3B1</t>
        </is>
      </c>
      <c r="C19" t="inlineStr">
        <is>
          <t>diversified</t>
        </is>
      </c>
      <c r="D19" s="3">
        <f>IF(J19/H19&gt;=0.75,"PASS","FAIL")</f>
        <v/>
      </c>
      <c r="E19" s="3">
        <f>IF(L19=0,"PASS","FAIL")</f>
        <v/>
      </c>
      <c r="F19" s="3">
        <f>IF(R19="","",IF(R19&lt;=0.1,"PASS","FAIL"))</f>
        <v/>
      </c>
      <c r="G19" s="3">
        <f>IF(S19=0,"PASS",IF(S19&lt;=0.05*J19,"PASS","FAIL"))</f>
        <v/>
      </c>
      <c r="H19" s="3" t="n">
        <v>43888203.73</v>
      </c>
      <c r="I19" s="4" t="n">
        <v>0</v>
      </c>
      <c r="J19" s="3" t="n">
        <v>37471350.46</v>
      </c>
      <c r="K19" s="3" t="n">
        <v>2718.02</v>
      </c>
      <c r="L19" s="3" t="n">
        <v>0</v>
      </c>
      <c r="M19" t="inlineStr">
        <is>
          <t>None</t>
        </is>
      </c>
      <c r="N19" t="inlineStr">
        <is>
          <t>NVDA, AAPL, MSFT, GOOGLE</t>
        </is>
      </c>
      <c r="O19" s="4" t="n">
        <v>0.2671924536236744</v>
      </c>
      <c r="P19" s="4" t="n">
        <v>0.7328075463763256</v>
      </c>
      <c r="Q19" t="inlineStr">
        <is>
          <t>(AMZN, 0, 3.57%, 0.00%), (AVGO, 0, 3.28%, 0.00%), (META, 0, 2.63%, 0.00%), (TSLA, 0, 2.09%, 0.00%), (BRK/B, 0, 2.06%, 0.00%), (CSCO, 0, 1.70%, 0.00%), (LIN, 0, 1.69%, 0.00%), (JPM, 0, 1.65%, 0.00%), (XOM, 0, 1.44%, 0.00%), (AMT, 0, 1.40%, 0.00%), (V, 0, 1.32%, 0.00%), (CB, 0, 1.11%, 0.00%), (GE, 0, 1.08%, 0.00%), (LLY, 0, 1.08%, 0.00%), (MA, 0, 1.05%, 0.00%), (ORCL, 0, 1.05%, 0.00%), (WM, 0, 0.98%, 0.00%), (UNH, 0, 0.95%, 0.00%), (NEE, 0, 0.87%, 0.00%), (PLTR, 0, 0.84%, 0.00%), (NFLX, 0, 0.83%, 0.00%), (JNJ, 0, 0.82%, 0.00%), (CAT, 0, 0.78%, 0.00%), (CVX, 0, 0.75%, 0.00%), (RTX, 0, 0.74%, 0.00%), (ABBV, 0, 0.74%, 0.00%), (PG, 0, 0.73%, 0.00%), (COST, 0, 0.71%, 0.00%), (HD, 0, 0.70%, 0.00%), (ABT, 0, 0.69%, 0.00%), (MCD, 0, 0.69%, 0.00%), (BAC, 0, 0.65%, 0.00%), (IBM, 0, 0.60%, 0.00%), (WMT, 0, 0.59%, 0.00%), (BKNG, 0, 0.57%, 0.00%), (SO, 0, 0.57%, 0.00%), (KO, 0, 0.57%, 0.00%), (GS, 0, 0.57%, 0.00%), (PM, 0, 0.57%, 0.00%), (AMD, 0, 0.56%, 0.00%), (BA, 0, 0.55%, 0.00%), (UBER, 0, 0.54%, 0.00%), (CRM, 0, 0.54%, 0.00%), (DUK, 0, 0.53%, 0.00%), (WFC, 0, 0.52%, 0.00%), (NKE, 0, 0.51%, 0.00%), (AXP, 0, 0.51%, 0.00%), (MET, 0, 0.51%, 0.00%), (ETN, 0, 0.50%, 0.00%), (ISRG, 0, 0.47%, 0.00%), (HON, 0, 0.46%, 0.00%), (NOW, 0, 0.45%, 0.00%), (INTU, 0, 0.45%, 0.00%), (MS, 0, 0.45%, 0.00%), (PEP, 0, 0.43%, 0.00%), (T, 0, 0.41%, 0.00%), (DE, 0, 0.40%, 0.00%), (QCOM, 0, 0.39%, 0.00%), (BLK, 0, 0.39%, 0.00%), (MRK, 0, 0.38%, 0.00%), (UNP, 0, 0.37%, 0.00%), (VZ, 0, 0.37%, 0.00%), (ADBE, 0, 0.37%, 0.00%), (MDT, 0, 0.36%, 0.00%), (C, 0, 0.36%, 0.00%), (AMAT, 0, 0.36%, 0.00%), (ACN, 0, 0.36%, 0.00%), (TXN, 0, 0.36%, 0.00%), (COP, 0, 0.36%, 0.00%), (LMT, 0, 0.35%, 0.00%), (SPGI, 0, 0.35%, 0.00%), (DIS, 0, 0.34%, 0.00%), (TMO, 0, 0.34%, 0.00%), (SCHW, 0, 0.32%, 0.00%), (INTC, 0, 0.32%, 0.00%), (SBUX, 0, 0.30%, 0.00%), (MMM, 0, 0.29%, 0.00%), (CVS, 0, 0.29%, 0.00%), (TJX, 0, 0.28%, 0.00%), (AMGN, 0, 0.28%, 0.00%), (GILD, 0, 0.26%, 0.00%), (PFE, 0, 0.25%, 0.00%), (EMR, 0, 0.25%, 0.00%), (MO, 0, 0.25%, 0.00%), (LOW, 0, 0.25%, 0.00%), (DHR, 0, 0.23%, 0.00%), (ELV, 0, 0.22%, 0.00%), (CMCSA, 0, 0.20%, 0.00%), (MDLZ, 0, 0.19%, 0.00%), (BMY, 0, 0.17%, 0.00%), (UPS, 0, 0.16%, 0.00%), (PYPL, 0, 0.16%, 0.00%), (USB, 0, 0.14%, 0.00%), (FDX, 0, 0.14%, 0.00%), (CL, 0, 0.13%, 0.00%), (TGT, 0, 0.09%, 0.00%)</t>
        </is>
      </c>
      <c r="R19" s="4" t="n">
        <v>0</v>
      </c>
      <c r="S19" s="3" t="n">
        <v>15163406.86</v>
      </c>
      <c r="T19" s="4" t="n">
        <v>0.3455007398636135</v>
      </c>
      <c r="U19" t="inlineStr"/>
    </row>
    <row r="20">
      <c r="A20" s="2" t="n">
        <v>45929</v>
      </c>
      <c r="B20" t="inlineStr">
        <is>
          <t>TR2B2</t>
        </is>
      </c>
      <c r="C20" t="inlineStr">
        <is>
          <t>diversified</t>
        </is>
      </c>
      <c r="D20" s="3">
        <f>IF(J20/H20&gt;=0.75,"PASS","FAIL")</f>
        <v/>
      </c>
      <c r="E20" s="3">
        <f>IF(L20=0,"PASS","FAIL")</f>
        <v/>
      </c>
      <c r="F20" s="3">
        <f>IF(R20="","",IF(R20&lt;=0.1,"PASS","FAIL"))</f>
        <v/>
      </c>
      <c r="G20" s="3">
        <f>IF(S20=0,"PASS",IF(S20&lt;=0.05*J20,"PASS","FAIL"))</f>
        <v/>
      </c>
      <c r="H20" s="3" t="n">
        <v>168398611.09</v>
      </c>
      <c r="I20" s="4" t="n">
        <v>0</v>
      </c>
      <c r="J20" s="3" t="n">
        <v>144026467.61</v>
      </c>
      <c r="K20" s="3" t="n">
        <v>10447.55</v>
      </c>
      <c r="L20" s="3" t="n">
        <v>0</v>
      </c>
      <c r="M20" t="inlineStr">
        <is>
          <t>None</t>
        </is>
      </c>
      <c r="N20" t="inlineStr">
        <is>
          <t>MSFT, NVDA, AAPL, GOOGLE</t>
        </is>
      </c>
      <c r="O20" s="4" t="n">
        <v>0.2720039467056953</v>
      </c>
      <c r="P20" s="4" t="n">
        <v>0.7279960532943046</v>
      </c>
      <c r="Q20" t="inlineStr">
        <is>
          <t>(AMZN, 0, 3.49%, 0.00%), (AVGO, 0, 3.21%, 0.00%), (META, 0, 2.57%, 0.00%), (TSLA, 0, 2.04%, 0.00%), (BRK/B, 0, 2.01%, 0.00%), (CSCO, 0, 1.66%, 0.00%), (LIN, 0, 1.65%, 0.00%), (JPM, 0, 1.61%, 0.00%), (XOM, 0, 1.41%, 0.00%), (AMT, 0, 1.37%, 0.00%), (V, 0, 1.29%, 0.00%), (CB, 0, 1.08%, 0.00%), (GE, 0, 1.06%, 0.00%), (LLY, 0, 1.05%, 0.00%), (MA, 0, 1.02%, 0.00%), (ORCL, 0, 1.02%, 0.00%), (WM, 0, 0.95%, 0.00%), (UNH, 0, 0.93%, 0.00%), (NEE, 0, 0.85%, 0.00%), (PLTR, 0, 0.82%, 0.00%), (NFLX, 0, 0.82%, 0.00%), (JNJ, 0, 0.81%, 0.00%), (CAT, 0, 0.76%, 0.00%), (CVX, 0, 0.74%, 0.00%), (RTX, 0, 0.72%, 0.00%), (ABBV, 0, 0.72%, 0.00%), (PG, 0, 0.72%, 0.00%), (COST, 0, 0.69%, 0.00%), (HD, 0, 0.68%, 0.00%), (ABT, 0, 0.68%, 0.00%), (MCD, 0, 0.67%, 0.00%), (BAC, 0, 0.63%, 0.00%), (IBM, 0, 0.59%, 0.00%), (BKNG, 0, 0.56%, 0.00%), (SO, 0, 0.56%, 0.00%), (KO, 0, 0.56%, 0.00%), (GS, 0, 0.56%, 0.00%), (PM, 0, 0.55%, 0.00%), (WMT, 0, 0.55%, 0.00%), (AMD, 0, 0.55%, 0.00%), (BA, 0, 0.54%, 0.00%), (AXP, 0, 0.54%, 0.00%), (UBER, 0, 0.53%, 0.00%), (CRM, 0, 0.53%, 0.00%), (DUK, 0, 0.52%, 0.00%), (WFC, 0, 0.51%, 0.00%), (NKE, 0, 0.50%, 0.00%), (MET, 0, 0.49%, 0.00%), (ETN, 0, 0.49%, 0.00%), (ISRG, 0, 0.46%, 0.00%), (HON, 0, 0.45%, 0.00%), (INTU, 0, 0.44%, 0.00%), (NOW, 0, 0.44%, 0.00%), (MS, 0, 0.44%, 0.00%), (PEP, 0, 0.42%, 0.00%), (T, 0, 0.41%, 0.00%), (DE, 0, 0.40%, 0.00%), (QCOM, 0, 0.38%, 0.00%), (BLK, 0, 0.38%, 0.00%), (MRK, 0, 0.37%, 0.00%), (UNP, 0, 0.37%, 0.00%), (VZ, 0, 0.37%, 0.00%), (ADBE, 0, 0.36%, 0.00%), (MDT, 0, 0.35%, 0.00%), (C, 0, 0.35%, 0.00%), (AMAT, 0, 0.35%, 0.00%), (TXN, 0, 0.35%, 0.00%), (ACN, 0, 0.35%, 0.00%), (COP, 0, 0.35%, 0.00%), (LMT, 0, 0.35%, 0.00%), (SPGI, 0, 0.34%, 0.00%), (DIS, 0, 0.33%, 0.00%), (TMO, 0, 0.33%, 0.00%), (SCHW, 0, 0.32%, 0.00%), (INTC, 0, 0.31%, 0.00%), (SBUX, 0, 0.30%, 0.00%), (MMM, 0, 0.28%, 0.00%), (CVS, 0, 0.28%, 0.00%), (TJX, 0, 0.27%, 0.00%), (AMGN, 0, 0.27%, 0.00%), (GILD, 0, 0.26%, 0.00%), (PFE, 0, 0.25%, 0.00%), (EMR, 0, 0.25%, 0.00%), (MO, 0, 0.24%, 0.00%), (LOW, 0, 0.24%, 0.00%), (DHR, 0, 0.22%, 0.00%), (ELV, 0, 0.22%, 0.00%), (CMCSA, 0, 0.19%, 0.00%), (MDLZ, 0, 0.18%, 0.00%), (BMY, 0, 0.17%, 0.00%), (UPS, 0, 0.16%, 0.00%), (PYPL, 0, 0.15%, 0.00%), (USB, 0, 0.14%, 0.00%), (FDX, 0, 0.14%, 0.00%), (CL, 0, 0.13%, 0.00%), (TGT, 0, 0.09%, 0.00%)</t>
        </is>
      </c>
      <c r="R20" s="4" t="n">
        <v>0</v>
      </c>
      <c r="S20" s="3" t="n">
        <v>49383430.76</v>
      </c>
      <c r="T20" s="4" t="n">
        <v>0.2932531951442712</v>
      </c>
      <c r="U20" t="inlineStr"/>
    </row>
    <row r="21">
      <c r="A21" s="2" t="n">
        <v>45929</v>
      </c>
      <c r="B21" t="inlineStr">
        <is>
          <t>R21126</t>
        </is>
      </c>
      <c r="C21" t="inlineStr">
        <is>
          <t>diversified</t>
        </is>
      </c>
      <c r="D21" s="3">
        <f>IF(J21/H21&gt;=0.75,"PASS","FAIL")</f>
        <v/>
      </c>
      <c r="E21" s="3">
        <f>IF(L21=0,"PASS","FAIL")</f>
        <v/>
      </c>
      <c r="F21" s="3">
        <f>IF(R21="","",IF(R21&lt;=0.1,"PASS","FAIL"))</f>
        <v/>
      </c>
      <c r="G21" s="3">
        <f>IF(S21=0,"PASS",IF(S21&lt;=0.05*J21,"PASS","FAIL"))</f>
        <v/>
      </c>
      <c r="H21" s="3" t="n">
        <v>55395797.75</v>
      </c>
      <c r="I21" s="4" t="n">
        <v>0</v>
      </c>
      <c r="J21" s="3" t="n">
        <v>50813835.04</v>
      </c>
      <c r="K21" s="3" t="n">
        <v>3689.56</v>
      </c>
      <c r="L21" s="3" t="n">
        <v>0</v>
      </c>
      <c r="M21" t="inlineStr">
        <is>
          <t>None</t>
        </is>
      </c>
      <c r="N21" t="inlineStr">
        <is>
          <t>KLAC, GOOGLE, NVDA, EBAY, AMAT, BK, MLI, BKR, JPM, MSFT, PHM</t>
        </is>
      </c>
      <c r="O21" s="4" t="n">
        <v>0.2562908999044918</v>
      </c>
      <c r="P21" s="4" t="n">
        <v>0.7437091000955082</v>
      </c>
      <c r="Q21" t="inlineStr">
        <is>
          <t>(LRCX, 0, 1.98%, 0.00%), (META, 0, 1.96%, 0.00%), (AXP, 0, 1.91%, 0.00%), (RJF, 0, 1.89%, 0.00%), (WSM, 0, 1.85%, 0.00%), (EWBC, 0, 1.84%, 0.00%), (HIG, 0, 1.80%, 0.00%), (ROST, 0, 1.79%, 0.00%), (BKNG, 0, 1.77%, 0.00%), (TRV, 0, 1.77%, 0.00%), (EA, 0, 1.76%, 0.00%), (SNA, 0, 1.74%, 0.00%), (UNM, 0, 1.72%, 0.00%), (V, 0, 1.68%, 0.00%), (CB, 0, 1.67%, 0.00%), (MPWR, 0, 1.65%, 0.00%), (PCAR, 0, 1.65%, 0.00%), (ADP, 0, 1.61%, 0.00%), (GE, 0, 1.56%, 0.00%), (BLK, 0, 1.49%, 0.00%), (CRM, 0, 1.48%, 0.00%), (CTSH, 0, 1.46%, 0.00%), (STT, 0, 1.45%, 0.00%), (SYF, 0, 1.41%, 0.00%), (AAPL, 0, 1.40%, 0.00%), (QCOM, 0, 1.36%, 0.00%), (PNC, 0, 1.36%, 0.00%), (ACN, 0, 1.35%, 0.00%), (ABT, 0, 1.26%, 0.00%), (LEN, 0, 1.26%, 0.00%), (ELV, 0, 1.02%, 0.00%), (DHI, 0, 1.00%, 0.00%), (GEV, 0, 0.96%, 0.00%), (ACM, 0, 0.96%, 0.00%), (MA, 0, 0.90%, 0.00%), (ALL, 0, 0.88%, 0.00%), (AFL, 0, 0.85%, 0.00%), (PAYC, 0, 0.83%, 0.00%), (AMP, 0, 0.82%, 0.00%), (COST, 0, 0.81%, 0.00%), (PGR, 0, 0.80%, 0.00%), (ODFL, 0, 0.69%, 0.00%), (NTRS, 0, 0.53%, 0.00%), (CSCO, 0, 0.50%, 0.00%), (FOXA, 0, 0.48%, 0.00%), (JNJ, 0, 0.48%, 0.00%), (BAC, 0, 0.47%, 0.00%), (MET, 0, 0.46%, 0.00%), (VLTO, 0, 0.45%, 0.00%), (COKE, 0, 0.45%, 0.00%), (RMD, 0, 0.45%, 0.00%), (CF, 0, 0.44%, 0.00%), (LNC, 0, 0.43%, 0.00%), (MTB, 0, 0.43%, 0.00%), (MCK, 0, 0.43%, 0.00%), (CINF, 0, 0.43%, 0.00%), (XOM, 0, 0.42%, 0.00%), (WTFC, 0, 0.42%, 0.00%), (EQH, 0, 0.40%, 0.00%), (EG, 0, 0.39%, 0.00%), (DOV, 0, 0.38%, 0.00%), (EOG, 0, 0.37%, 0.00%), (CSL, 0, 0.32%, 0.00%)</t>
        </is>
      </c>
      <c r="R21" s="4" t="n">
        <v>0</v>
      </c>
      <c r="S21" s="3" t="n">
        <v>9495340.5</v>
      </c>
      <c r="T21" s="4" t="n">
        <v>0.1714090397768484</v>
      </c>
      <c r="U21" t="inlineStr"/>
    </row>
    <row r="22">
      <c r="A22" s="2" t="n">
        <v>45929</v>
      </c>
      <c r="B22" t="inlineStr">
        <is>
          <t>HE3B2</t>
        </is>
      </c>
      <c r="C22" t="inlineStr">
        <is>
          <t>diversified</t>
        </is>
      </c>
      <c r="D22" s="3">
        <f>IF(J22/H22&gt;=0.75,"PASS","FAIL")</f>
        <v/>
      </c>
      <c r="E22" s="3">
        <f>IF(L22=0,"PASS","FAIL")</f>
        <v/>
      </c>
      <c r="F22" s="3">
        <f>IF(R22="","",IF(R22&lt;=0.1,"PASS","FAIL"))</f>
        <v/>
      </c>
      <c r="G22" s="3">
        <f>IF(S22=0,"PASS",IF(S22&lt;=0.05*J22,"PASS","FAIL"))</f>
        <v/>
      </c>
      <c r="H22" s="3" t="n">
        <v>24912662.87</v>
      </c>
      <c r="I22" s="4" t="n">
        <v>0</v>
      </c>
      <c r="J22" s="3" t="n">
        <v>20917056.57</v>
      </c>
      <c r="K22" s="3" t="n">
        <v>1518.88</v>
      </c>
      <c r="L22" s="3" t="n">
        <v>0</v>
      </c>
      <c r="M22" t="inlineStr">
        <is>
          <t>None</t>
        </is>
      </c>
      <c r="N22" t="inlineStr">
        <is>
          <t>NVDA, AAPL, MSFT, GOOGLE</t>
        </is>
      </c>
      <c r="O22" s="4" t="n">
        <v>0.2606341074689745</v>
      </c>
      <c r="P22" s="4" t="n">
        <v>0.7393658925310255</v>
      </c>
      <c r="Q22" t="inlineStr">
        <is>
          <t>(AMZN, 0, 3.42%, 0.00%), (AVGO, 0, 3.14%, 0.00%), (META, 0, 2.52%, 0.00%), (TSLA, 0, 2.00%, 0.00%), (BRK/B, 0, 1.97%, 0.00%), (CSCO, 0, 1.63%, 0.00%), (LIN, 0, 1.62%, 0.00%), (JPM, 0, 1.58%, 0.00%), (XOM, 0, 1.38%, 0.00%), (AMT, 0, 1.35%, 0.00%), (V, 0, 1.27%, 0.00%), (CB, 0, 1.06%, 0.00%), (GE, 0, 1.04%, 0.00%), (LLY, 0, 1.04%, 0.00%), (MA, 0, 1.01%, 0.00%), (ORCL, 0, 1.00%, 0.00%), (WM, 0, 0.94%, 0.00%), (UNH, 0, 0.91%, 0.00%), (NEE, 0, 0.83%, 0.00%), (PLTR, 0, 0.81%, 0.00%), (NFLX, 0, 0.80%, 0.00%), (JNJ, 0, 0.79%, 0.00%), (CAT, 0, 0.74%, 0.00%), (CVX, 0, 0.72%, 0.00%), (RTX, 0, 0.71%, 0.00%), (ABBV, 0, 0.71%, 0.00%), (PG, 0, 0.70%, 0.00%), (COST, 0, 0.68%, 0.00%), (HD, 0, 0.67%, 0.00%), (ABT, 0, 0.66%, 0.00%), (MCD, 0, 0.66%, 0.00%), (BAC, 0, 0.62%, 0.00%), (IBM, 0, 0.58%, 0.00%), (BKNG, 0, 0.55%, 0.00%), (SO, 0, 0.55%, 0.00%), (KO, 0, 0.55%, 0.00%), (AXP, 0, 0.55%, 0.00%), (GS, 0, 0.55%, 0.00%), (PM, 0, 0.54%, 0.00%), (WMT, 0, 0.54%, 0.00%), (AMD, 0, 0.54%, 0.00%), (BA, 0, 0.53%, 0.00%), (UBER, 0, 0.52%, 0.00%), (CRM, 0, 0.52%, 0.00%), (DUK, 0, 0.51%, 0.00%), (WFC, 0, 0.50%, 0.00%), (NKE, 0, 0.49%, 0.00%), (MET, 0, 0.48%, 0.00%), (ETN, 0, 0.48%, 0.00%), (ISRG, 0, 0.45%, 0.00%), (HON, 0, 0.45%, 0.00%), (NOW, 0, 0.43%, 0.00%), (INTU, 0, 0.43%, 0.00%), (MS, 0, 0.43%, 0.00%), (PEP, 0, 0.41%, 0.00%), (T, 0, 0.40%, 0.00%), (DE, 0, 0.39%, 0.00%), (QCOM, 0, 0.38%, 0.00%), (BLK, 0, 0.37%, 0.00%), (MRK, 0, 0.36%, 0.00%), (VZ, 0, 0.36%, 0.00%), (UNP, 0, 0.36%, 0.00%), (ADBE, 0, 0.35%, 0.00%), (MDT, 0, 0.35%, 0.00%), (C, 0, 0.35%, 0.00%), (AMAT, 0, 0.35%, 0.00%), (TXN, 0, 0.34%, 0.00%), (ACN, 0, 0.34%, 0.00%), (COP, 0, 0.34%, 0.00%), (LMT, 0, 0.34%, 0.00%), (SPGI, 0, 0.34%, 0.00%), (TMO, 0, 0.32%, 0.00%), (DIS, 0, 0.32%, 0.00%), (SCHW, 0, 0.31%, 0.00%), (INTC, 0, 0.31%, 0.00%), (SBUX, 0, 0.29%, 0.00%), (MMM, 0, 0.27%, 0.00%), (CVS, 0, 0.27%, 0.00%), (TJX, 0, 0.27%, 0.00%), (AMGN, 0, 0.27%, 0.00%), (GILD, 0, 0.25%, 0.00%), (PFE, 0, 0.24%, 0.00%), (EMR, 0, 0.24%, 0.00%), (MO, 0, 0.24%, 0.00%), (LOW, 0, 0.24%, 0.00%), (DHR, 0, 0.22%, 0.00%), (ELV, 0, 0.21%, 0.00%), (CMCSA, 0, 0.19%, 0.00%), (MDLZ, 0, 0.18%, 0.00%), (BMY, 0, 0.16%, 0.00%), (UPS, 0, 0.15%, 0.00%), (PYPL, 0, 0.15%, 0.00%), (USB, 0, 0.14%, 0.00%), (FDX, 0, 0.13%, 0.00%), (CL, 0, 0.13%, 0.00%), (TGT, 0, 0.07%, 0.00%)</t>
        </is>
      </c>
      <c r="R22" s="4" t="n">
        <v>0</v>
      </c>
      <c r="S22" s="3" t="n">
        <v>8070988.910000001</v>
      </c>
      <c r="T22" s="4" t="n">
        <v>0.3239713455007309</v>
      </c>
      <c r="U22" t="inlineStr"/>
    </row>
    <row r="23">
      <c r="A23" s="2" t="n">
        <v>45929</v>
      </c>
      <c r="B23" t="inlineStr">
        <is>
          <t>P30128</t>
        </is>
      </c>
      <c r="C23" t="inlineStr">
        <is>
          <t>diversified</t>
        </is>
      </c>
      <c r="D23" s="3">
        <f>IF(J23/H23&gt;=0.75,"PASS","FAIL")</f>
        <v/>
      </c>
      <c r="E23" s="3">
        <f>IF(L23=0,"PASS","FAIL")</f>
        <v/>
      </c>
      <c r="F23" s="3">
        <f>IF(R23="","",IF(R23&lt;=0.1,"PASS","FAIL"))</f>
        <v/>
      </c>
      <c r="G23" s="3">
        <f>IF(S23=0,"PASS",IF(S23&lt;=0.05*J23,"PASS","FAIL"))</f>
        <v/>
      </c>
      <c r="H23" s="3" t="n">
        <v>40711704.91</v>
      </c>
      <c r="I23" s="4" t="n">
        <v>0</v>
      </c>
      <c r="J23" s="3" t="n">
        <v>35439322.66</v>
      </c>
      <c r="K23" s="3" t="n">
        <v>2570.81</v>
      </c>
      <c r="L23" s="3" t="n">
        <v>0</v>
      </c>
      <c r="M23" t="inlineStr">
        <is>
          <t>None</t>
        </is>
      </c>
      <c r="N23" t="inlineStr">
        <is>
          <t>NVDA, AAPL, MSFT, GOOGLE</t>
        </is>
      </c>
      <c r="O23" s="4" t="n">
        <v>0.259723141954655</v>
      </c>
      <c r="P23" s="4" t="n">
        <v>0.7402768580453449</v>
      </c>
      <c r="Q23" t="inlineStr">
        <is>
          <t>(AMZN, 0, 3.54%, 0.00%), (AVGO, 0, 3.25%, 0.00%), (META, 0, 2.61%, 0.00%), (TSLA, 0, 2.07%, 0.00%), (BRK/B, 0, 2.04%, 0.00%), (CSCO, 0, 1.68%, 0.00%), (LIN, 0, 1.67%, 0.00%), (JPM, 0, 1.63%, 0.00%), (XOM, 0, 1.43%, 0.00%), (AMT, 0, 1.39%, 0.00%), (V, 0, 1.31%, 0.00%), (CB, 0, 1.10%, 0.00%), (GE, 0, 1.07%, 0.00%), (LLY, 0, 1.07%, 0.00%), (MA, 0, 1.04%, 0.00%), (ORCL, 0, 1.04%, 0.00%), (WM, 0, 0.97%, 0.00%), (UNH, 0, 0.94%, 0.00%), (NEE, 0, 0.86%, 0.00%), (PLTR, 0, 0.84%, 0.00%), (NFLX, 0, 0.83%, 0.00%), (JNJ, 0, 0.82%, 0.00%), (CAT, 0, 0.77%, 0.00%), (CVX, 0, 0.74%, 0.00%), (RTX, 0, 0.73%, 0.00%), (ABBV, 0, 0.73%, 0.00%), (PG, 0, 0.73%, 0.00%), (COST, 0, 0.70%, 0.00%), (HD, 0, 0.69%, 0.00%), (ABT, 0, 0.69%, 0.00%), (MCD, 0, 0.68%, 0.00%), (BAC, 0, 0.64%, 0.00%), (IBM, 0, 0.60%, 0.00%), (WMT, 0, 0.59%, 0.00%), (SO, 0, 0.57%, 0.00%), (KO, 0, 0.57%, 0.00%), (BKNG, 0, 0.57%, 0.00%), (GS, 0, 0.56%, 0.00%), (PM, 0, 0.56%, 0.00%), (AMD, 0, 0.55%, 0.00%), (BA, 0, 0.55%, 0.00%), (UBER, 0, 0.54%, 0.00%), (CRM, 0, 0.54%, 0.00%), (DUK, 0, 0.52%, 0.00%), (WFC, 0, 0.52%, 0.00%), (AXP, 0, 0.51%, 0.00%), (NKE, 0, 0.50%, 0.00%), (MET, 0, 0.50%, 0.00%), (ETN, 0, 0.49%, 0.00%), (ISRG, 0, 0.47%, 0.00%), (HON, 0, 0.46%, 0.00%), (NOW, 0, 0.45%, 0.00%), (INTU, 0, 0.45%, 0.00%), (MS, 0, 0.44%, 0.00%), (PEP, 0, 0.42%, 0.00%), (T, 0, 0.41%, 0.00%), (DE, 0, 0.40%, 0.00%), (QCOM, 0, 0.39%, 0.00%), (BLK, 0, 0.38%, 0.00%), (MRK, 0, 0.37%, 0.00%), (UNP, 0, 0.37%, 0.00%), (VZ, 0, 0.37%, 0.00%), (ADBE, 0, 0.36%, 0.00%), (MDT, 0, 0.36%, 0.00%), (C, 0, 0.36%, 0.00%), (AMAT, 0, 0.36%, 0.00%), (ACN, 0, 0.36%, 0.00%), (TXN, 0, 0.35%, 0.00%), (COP, 0, 0.35%, 0.00%), (LMT, 0, 0.35%, 0.00%), (SPGI, 0, 0.35%, 0.00%), (DIS, 0, 0.33%, 0.00%), (TMO, 0, 0.33%, 0.00%), (SCHW, 0, 0.32%, 0.00%), (INTC, 0, 0.32%, 0.00%), (SBUX, 0, 0.30%, 0.00%), (MMM, 0, 0.28%, 0.00%), (CVS, 0, 0.28%, 0.00%), (TJX, 0, 0.28%, 0.00%), (AMGN, 0, 0.28%, 0.00%), (GILD, 0, 0.26%, 0.00%), (PFE, 0, 0.25%, 0.00%), (EMR, 0, 0.25%, 0.00%), (MO, 0, 0.25%, 0.00%), (LOW, 0, 0.25%, 0.00%), (DHR, 0, 0.22%, 0.00%), (ELV, 0, 0.22%, 0.00%), (CMCSA, 0, 0.19%, 0.00%), (MDLZ, 0, 0.18%, 0.00%), (BMY, 0, 0.17%, 0.00%), (UPS, 0, 0.16%, 0.00%), (PYPL, 0, 0.15%, 0.00%), (USB, 0, 0.14%, 0.00%), (FDX, 0, 0.14%, 0.00%), (CL, 0, 0.13%, 0.00%), (TGT, 0, 0.09%, 0.00%)</t>
        </is>
      </c>
      <c r="R23" s="4" t="n">
        <v>0</v>
      </c>
      <c r="S23" s="3" t="n">
        <v>11035033.56</v>
      </c>
      <c r="T23" s="4" t="n">
        <v>0.2710530935610478</v>
      </c>
      <c r="U23" t="inlineStr"/>
    </row>
    <row r="24">
      <c r="A24" s="2" t="n">
        <v>45930</v>
      </c>
      <c r="B24" t="inlineStr">
        <is>
          <t>P2726</t>
        </is>
      </c>
      <c r="C24" t="inlineStr">
        <is>
          <t>diversified</t>
        </is>
      </c>
      <c r="D24" s="3">
        <f>IF(J24/H24&gt;=0.75,"PASS","FAIL")</f>
        <v/>
      </c>
      <c r="E24" s="3">
        <f>IF(L24=0,"PASS","FAIL")</f>
        <v/>
      </c>
      <c r="F24" s="3">
        <f>IF(R24="","",IF(R24&lt;=0.1,"PASS","FAIL"))</f>
        <v/>
      </c>
      <c r="G24" s="3">
        <f>IF(S24=0,"PASS",IF(S24&lt;=0.05*J24,"PASS","FAIL"))</f>
        <v/>
      </c>
      <c r="H24" s="3" t="n">
        <v>35076130.81</v>
      </c>
      <c r="I24" s="4" t="n">
        <v>0</v>
      </c>
      <c r="J24" s="3" t="n">
        <v>32449860.03</v>
      </c>
      <c r="K24" s="3" t="n">
        <v>4201</v>
      </c>
      <c r="L24" s="3" t="n">
        <v>0</v>
      </c>
      <c r="M24" t="inlineStr">
        <is>
          <t>None</t>
        </is>
      </c>
      <c r="N24" t="inlineStr">
        <is>
          <t>NVDA, AAPL, MSFT, GOOGLE</t>
        </is>
      </c>
      <c r="O24" s="4" t="n">
        <v>0.264202398471794</v>
      </c>
      <c r="P24" s="4" t="n">
        <v>0.7357976015282059</v>
      </c>
      <c r="Q24" t="inlineStr">
        <is>
          <t>(AMZN, 0, 3.76%, 0.00%), (AVGO, 0, 3.50%, 0.00%), (META, 0, 2.77%, 0.00%), (TSLA, 0, 2.23%, 0.00%), (BRK/B, 0, 2.21%, 0.00%), (CSCO, 0, 1.82%, 0.00%), (LIN, 0, 1.79%, 0.00%), (JPM, 0, 1.75%, 0.00%), (XOM, 0, 1.52%, 0.00%), (AMT, 0, 1.47%, 0.00%), (V, 0, 1.41%, 0.00%), (CB, 0, 1.19%, 0.00%), (LLY, 0, 1.19%, 0.00%), (GE, 0, 1.18%, 0.00%), (MA, 0, 1.11%, 0.00%), (ORCL, 0, 1.11%, 0.00%), (WM, 0, 1.05%, 0.00%), (UNH, 0, 1.01%, 0.00%), (NEE, 0, 0.92%, 0.00%), (PLTR, 0, 0.91%, 0.00%), (JNJ, 0, 0.89%, 0.00%), (NFLX, 0, 0.89%, 0.00%), (CAT, 0, 0.83%, 0.00%), (WMT, 0, 0.83%, 0.00%), (ABBV, 0, 0.81%, 0.00%), (RTX, 0, 0.81%, 0.00%), (CVX, 0, 0.80%, 0.00%), (PG, 0, 0.78%, 0.00%), (COST, 0, 0.76%, 0.00%), (ABT, 0, 0.74%, 0.00%), (HD, 0, 0.74%, 0.00%), (MCD, 0, 0.73%, 0.00%), (BAC, 0, 0.68%, 0.00%), (IBM, 0, 0.64%, 0.00%), (BKNG, 0, 0.62%, 0.00%), (SO, 0, 0.61%, 0.00%), (KO, 0, 0.61%, 0.00%), (PM, 0, 0.60%, 0.00%), (GS, 0, 0.60%, 0.00%), (AMD, 0, 0.59%, 0.00%), (BA, 0, 0.59%, 0.00%), (UBER, 0, 0.57%, 0.00%), (DUK, 0, 0.57%, 0.00%), (CRM, 0, 0.56%, 0.00%), (WFC, 0, 0.55%, 0.00%), (NKE, 0, 0.54%, 0.00%), (MET, 0, 0.54%, 0.00%), (ETN, 0, 0.54%, 0.00%), (ISRG, 0, 0.51%, 0.00%), (HON, 0, 0.50%, 0.00%), (INTU, 0, 0.47%, 0.00%), (MS, 0, 0.47%, 0.00%), (NOW, 0, 0.47%, 0.00%), (PEP, 0, 0.46%, 0.00%), (T, 0, 0.44%, 0.00%), (AXP, 0, 0.44%, 0.00%), (DE, 0, 0.42%, 0.00%), (QCOM, 0, 0.42%, 0.00%), (MRK, 0, 0.42%, 0.00%), (BLK, 0, 0.41%, 0.00%), (VZ, 0, 0.40%, 0.00%), (UNP, 0, 0.40%, 0.00%), (MDT, 0, 0.39%, 0.00%), (AMAT, 0, 0.38%, 0.00%), (ADBE, 0, 0.38%, 0.00%), (LMT, 0, 0.38%, 0.00%), (TXN, 0, 0.38%, 0.00%), (C, 0, 0.38%, 0.00%), (ACN, 0, 0.38%, 0.00%), (COP, 0, 0.38%, 0.00%), (TMO, 0, 0.37%, 0.00%), (SPGI, 0, 0.37%, 0.00%), (DIS, 0, 0.36%, 0.00%), (SCHW, 0, 0.34%, 0.00%), (INTC, 0, 0.33%, 0.00%), (SBUX, 0, 0.32%, 0.00%), (MMM, 0, 0.31%, 0.00%), (CVS, 0, 0.30%, 0.00%), (AMGN, 0, 0.30%, 0.00%), (TJX, 0, 0.30%, 0.00%), (PFE, 0, 0.28%, 0.00%), (GILD, 0, 0.28%, 0.00%), (EMR, 0, 0.27%, 0.00%), (MO, 0, 0.27%, 0.00%), (LOW, 0, 0.26%, 0.00%), (DHR, 0, 0.25%, 0.00%), (ELV, 0, 0.24%, 0.00%), (CMCSA, 0, 0.21%, 0.00%), (MDLZ, 0, 0.20%, 0.00%), (BMY, 0, 0.18%, 0.00%), (UPS, 0, 0.17%, 0.00%), (PYPL, 0, 0.16%, 0.00%), (USB, 0, 0.15%, 0.00%), (FDX, 0, 0.15%, 0.00%), (CL, 0, 0.14%, 0.00%), (TGT, 0, 0.08%, 0.00%)</t>
        </is>
      </c>
      <c r="R24" s="4" t="n">
        <v>0</v>
      </c>
      <c r="S24" s="3" t="n">
        <v>4541622.96</v>
      </c>
      <c r="T24" s="4" t="n">
        <v>0.1294790176431093</v>
      </c>
      <c r="U24" t="inlineStr"/>
    </row>
    <row r="25">
      <c r="A25" s="2" t="n">
        <v>45930</v>
      </c>
      <c r="B25" t="inlineStr">
        <is>
          <t>P3727</t>
        </is>
      </c>
      <c r="C25" t="inlineStr">
        <is>
          <t>diversified</t>
        </is>
      </c>
      <c r="D25" s="3">
        <f>IF(J25/H25&gt;=0.75,"PASS","FAIL")</f>
        <v/>
      </c>
      <c r="E25" s="3">
        <f>IF(L25=0,"PASS","FAIL")</f>
        <v/>
      </c>
      <c r="F25" s="3">
        <f>IF(R25="","",IF(R25&lt;=0.1,"PASS","FAIL"))</f>
        <v/>
      </c>
      <c r="G25" s="3">
        <f>IF(S25=0,"PASS",IF(S25&lt;=0.05*J25,"PASS","FAIL"))</f>
        <v/>
      </c>
      <c r="H25" s="3" t="n">
        <v>79845989.98999999</v>
      </c>
      <c r="I25" s="4" t="n">
        <v>0</v>
      </c>
      <c r="J25" s="3" t="n">
        <v>71171614.56999999</v>
      </c>
      <c r="K25" s="3" t="n">
        <v>4537.97</v>
      </c>
      <c r="L25" s="3" t="n">
        <v>0</v>
      </c>
      <c r="M25" t="inlineStr">
        <is>
          <t>None</t>
        </is>
      </c>
      <c r="N25" t="inlineStr">
        <is>
          <t>NVDA, AAPL, MSFT, GOOGLE</t>
        </is>
      </c>
      <c r="O25" s="4" t="n">
        <v>0.2639709801935438</v>
      </c>
      <c r="P25" s="4" t="n">
        <v>0.7360290198064563</v>
      </c>
      <c r="Q25" t="inlineStr">
        <is>
          <t>(AMZN, 0, 3.62%, 0.00%), (AVGO, 0, 3.37%, 0.00%), (META, 0, 2.66%, 0.00%), (TSLA, 0, 2.15%, 0.00%), (BRK/B, 0, 2.12%, 0.00%), (CSCO, 0, 1.75%, 0.00%), (LIN, 0, 1.73%, 0.00%), (JPM, 0, 1.69%, 0.00%), (XOM, 0, 1.46%, 0.00%), (AMT, 0, 1.42%, 0.00%), (V, 0, 1.36%, 0.00%), (LLY, 0, 1.15%, 0.00%), (CB, 0, 1.15%, 0.00%), (GE, 0, 1.13%, 0.00%), (MA, 0, 1.07%, 0.00%), (ORCL, 0, 1.07%, 0.00%), (WM, 0, 1.01%, 0.00%), (UNH, 0, 0.98%, 0.00%), (NEE, 0, 0.88%, 0.00%), (PLTR, 0, 0.88%, 0.00%), (JNJ, 0, 0.86%, 0.00%), (NFLX, 0, 0.85%, 0.00%), (CAT, 0, 0.80%, 0.00%), (WMT, 0, 0.80%, 0.00%), (ABBV, 0, 0.78%, 0.00%), (RTX, 0, 0.78%, 0.00%), (CVX, 0, 0.77%, 0.00%), (PG, 0, 0.75%, 0.00%), (COST, 0, 0.73%, 0.00%), (ABT, 0, 0.71%, 0.00%), (HD, 0, 0.71%, 0.00%), (MCD, 0, 0.70%, 0.00%), (BAC, 0, 0.65%, 0.00%), (IBM, 0, 0.62%, 0.00%), (SO, 0, 0.59%, 0.00%), (KO, 0, 0.59%, 0.00%), (PM, 0, 0.58%, 0.00%), (GS, 0, 0.58%, 0.00%), (BKNG, 0, 0.57%, 0.00%), (AMD, 0, 0.57%, 0.00%), (BA, 0, 0.56%, 0.00%), (UBER, 0, 0.55%, 0.00%), (DUK, 0, 0.54%, 0.00%), (CRM, 0, 0.54%, 0.00%), (WFC, 0, 0.53%, 0.00%), (NKE, 0, 0.52%, 0.00%), (MET, 0, 0.52%, 0.00%), (ETN, 0, 0.52%, 0.00%), (ISRG, 0, 0.49%, 0.00%), (HON, 0, 0.48%, 0.00%), (INTU, 0, 0.45%, 0.00%), (MS, 0, 0.45%, 0.00%), (NOW, 0, 0.45%, 0.00%), (PEP, 0, 0.44%, 0.00%), (AXP, 0, 0.43%, 0.00%), (T, 0, 0.43%, 0.00%), (DE, 0, 0.41%, 0.00%), (QCOM, 0, 0.40%, 0.00%), (MRK, 0, 0.40%, 0.00%), (BLK, 0, 0.39%, 0.00%), (VZ, 0, 0.39%, 0.00%), (UNP, 0, 0.38%, 0.00%), (MDT, 0, 0.38%, 0.00%), (AMAT, 0, 0.37%, 0.00%), (ADBE, 0, 0.37%, 0.00%), (LMT, 0, 0.37%, 0.00%), (TXN, 0, 0.37%, 0.00%), (C, 0, 0.36%, 0.00%), (ACN, 0, 0.36%, 0.00%), (COP, 0, 0.36%, 0.00%), (TMO, 0, 0.36%, 0.00%), (SPGI, 0, 0.36%, 0.00%), (DIS, 0, 0.34%, 0.00%), (SCHW, 0, 0.33%, 0.00%), (INTC, 0, 0.32%, 0.00%), (SBUX, 0, 0.31%, 0.00%), (MMM, 0, 0.29%, 0.00%), (CVS, 0, 0.29%, 0.00%), (AMGN, 0, 0.29%, 0.00%), (TJX, 0, 0.29%, 0.00%), (PFE, 0, 0.27%, 0.00%), (GILD, 0, 0.27%, 0.00%), (EMR, 0, 0.26%, 0.00%), (MO, 0, 0.26%, 0.00%), (LOW, 0, 0.25%, 0.00%), (DHR, 0, 0.24%, 0.00%), (ELV, 0, 0.23%, 0.00%), (CMCSA, 0, 0.20%, 0.00%), (MDLZ, 0, 0.19%, 0.00%), (BMY, 0, 0.18%, 0.00%), (UPS, 0, 0.16%, 0.00%), (PYPL, 0, 0.15%, 0.00%), (USB, 0, 0.14%, 0.00%), (FDX, 0, 0.14%, 0.00%), (CL, 0, 0.14%, 0.00%), (TGT, 0, 0.07%, 0.00%)</t>
        </is>
      </c>
      <c r="R25" s="4" t="n">
        <v>0</v>
      </c>
      <c r="S25" s="3" t="n">
        <v>17891455.28</v>
      </c>
      <c r="T25" s="4" t="n">
        <v>0.2240745625702775</v>
      </c>
      <c r="U25" t="inlineStr"/>
    </row>
    <row r="26">
      <c r="A26" s="2" t="n">
        <v>45930</v>
      </c>
      <c r="B26" t="inlineStr">
        <is>
          <t>P21026</t>
        </is>
      </c>
      <c r="C26" t="inlineStr">
        <is>
          <t>diversified</t>
        </is>
      </c>
      <c r="D26" s="3">
        <f>IF(J26/H26&gt;=0.75,"PASS","FAIL")</f>
        <v/>
      </c>
      <c r="E26" s="3">
        <f>IF(L26=0,"PASS","FAIL")</f>
        <v/>
      </c>
      <c r="F26" s="3">
        <f>IF(R26="","",IF(R26&lt;=0.1,"PASS","FAIL"))</f>
        <v/>
      </c>
      <c r="G26" s="3">
        <f>IF(S26=0,"PASS",IF(S26&lt;=0.05*J26,"PASS","FAIL"))</f>
        <v/>
      </c>
      <c r="H26" s="3" t="n">
        <v>23727158.62</v>
      </c>
      <c r="I26" s="4" t="n">
        <v>0</v>
      </c>
      <c r="J26" s="3" t="n">
        <v>21504396.9</v>
      </c>
      <c r="K26" s="3" t="n">
        <v>2830.53</v>
      </c>
      <c r="L26" s="3" t="n">
        <v>0</v>
      </c>
      <c r="M26" t="inlineStr">
        <is>
          <t>None</t>
        </is>
      </c>
      <c r="N26" t="inlineStr">
        <is>
          <t>NVDA, AAPL, MSFT, GOOGLE</t>
        </is>
      </c>
      <c r="O26" s="4" t="n">
        <v>0.2628228834448271</v>
      </c>
      <c r="P26" s="4" t="n">
        <v>0.7371771165551729</v>
      </c>
      <c r="Q26" t="inlineStr">
        <is>
          <t>(AMZN, 0, 3.67%, 0.00%), (AVGO, 0, 3.41%, 0.00%), (META, 0, 2.70%, 0.00%), (TSLA, 0, 2.17%, 0.00%), (BRK/B, 0, 2.15%, 0.00%), (CSCO, 0, 1.77%, 0.00%), (LIN, 0, 1.75%, 0.00%), (JPM, 0, 1.71%, 0.00%), (XOM, 0, 1.48%, 0.00%), (AMT, 0, 1.44%, 0.00%), (V, 0, 1.37%, 0.00%), (CB, 0, 1.16%, 0.00%), (LLY, 0, 1.16%, 0.00%), (GE, 0, 1.15%, 0.00%), (MA, 0, 1.09%, 0.00%), (ORCL, 0, 1.08%, 0.00%), (WM, 0, 1.02%, 0.00%), (UNH, 0, 0.99%, 0.00%), (NEE, 0, 0.89%, 0.00%), (PLTR, 0, 0.89%, 0.00%), (JNJ, 0, 0.87%, 0.00%), (NFLX, 0, 0.87%, 0.00%), (CAT, 0, 0.81%, 0.00%), (WMT, 0, 0.81%, 0.00%), (ABBV, 0, 0.79%, 0.00%), (RTX, 0, 0.79%, 0.00%), (CVX, 0, 0.78%, 0.00%), (PG, 0, 0.76%, 0.00%), (COST, 0, 0.74%, 0.00%), (ABT, 0, 0.72%, 0.00%), (HD, 0, 0.72%, 0.00%), (MCD, 0, 0.71%, 0.00%), (BAC, 0, 0.66%, 0.00%), (IBM, 0, 0.63%, 0.00%), (SO, 0, 0.60%, 0.00%), (KO, 0, 0.59%, 0.00%), (BKNG, 0, 0.59%, 0.00%), (PM, 0, 0.58%, 0.00%), (GS, 0, 0.58%, 0.00%), (AMD, 0, 0.58%, 0.00%), (BA, 0, 0.57%, 0.00%), (UBER, 0, 0.56%, 0.00%), (DUK, 0, 0.55%, 0.00%), (CRM, 0, 0.54%, 0.00%), (WFC, 0, 0.54%, 0.00%), (NKE, 0, 0.53%, 0.00%), (MET, 0, 0.53%, 0.00%), (ETN, 0, 0.52%, 0.00%), (ISRG, 0, 0.50%, 0.00%), (HON, 0, 0.48%, 0.00%), (INTU, 0, 0.46%, 0.00%), (MS, 0, 0.46%, 0.00%), (NOW, 0, 0.46%, 0.00%), (PEP, 0, 0.45%, 0.00%), (AXP, 0, 0.43%, 0.00%), (T, 0, 0.43%, 0.00%), (DE, 0, 0.41%, 0.00%), (QCOM, 0, 0.41%, 0.00%), (MRK, 0, 0.41%, 0.00%), (BLK, 0, 0.40%, 0.00%), (VZ, 0, 0.39%, 0.00%), (UNP, 0, 0.39%, 0.00%), (MDT, 0, 0.38%, 0.00%), (AMAT, 0, 0.37%, 0.00%), (ADBE, 0, 0.37%, 0.00%), (TXN, 0, 0.37%, 0.00%), (LMT, 0, 0.37%, 0.00%), (C, 0, 0.37%, 0.00%), (ACN, 0, 0.37%, 0.00%), (COP, 0, 0.37%, 0.00%), (TMO, 0, 0.36%, 0.00%), (SPGI, 0, 0.36%, 0.00%), (DIS, 0, 0.35%, 0.00%), (SCHW, 0, 0.33%, 0.00%), (INTC, 0, 0.32%, 0.00%), (SBUX, 0, 0.31%, 0.00%), (MMM, 0, 0.30%, 0.00%), (CVS, 0, 0.29%, 0.00%), (AMGN, 0, 0.29%, 0.00%), (TJX, 0, 0.29%, 0.00%), (PFE, 0, 0.28%, 0.00%), (GILD, 0, 0.27%, 0.00%), (EMR, 0, 0.27%, 0.00%), (MO, 0, 0.26%, 0.00%), (LOW, 0, 0.26%, 0.00%), (DHR, 0, 0.25%, 0.00%), (ELV, 0, 0.23%, 0.00%), (CMCSA, 0, 0.20%, 0.00%), (MDLZ, 0, 0.19%, 0.00%), (BMY, 0, 0.18%, 0.00%), (UPS, 0, 0.17%, 0.00%), (PYPL, 0, 0.16%, 0.00%), (USB, 0, 0.15%, 0.00%), (FDX, 0, 0.14%, 0.00%), (CL, 0, 0.14%, 0.00%), (TGT, 0, 0.07%, 0.00%)</t>
        </is>
      </c>
      <c r="R26" s="4" t="n">
        <v>0</v>
      </c>
      <c r="S26" s="3" t="n">
        <v>3904161.74</v>
      </c>
      <c r="T26" s="4" t="n">
        <v>0.1645440064074558</v>
      </c>
      <c r="U26" t="inlineStr"/>
    </row>
    <row r="27">
      <c r="A27" s="2" t="n">
        <v>45930</v>
      </c>
      <c r="B27" t="inlineStr">
        <is>
          <t>P20127</t>
        </is>
      </c>
      <c r="C27" t="inlineStr">
        <is>
          <t>diversified</t>
        </is>
      </c>
      <c r="D27" s="3">
        <f>IF(J27/H27&gt;=0.75,"PASS","FAIL")</f>
        <v/>
      </c>
      <c r="E27" s="3">
        <f>IF(L27=0,"PASS","FAIL")</f>
        <v/>
      </c>
      <c r="F27" s="3">
        <f>IF(R27="","",IF(R27&lt;=0.1,"PASS","FAIL"))</f>
        <v/>
      </c>
      <c r="G27" s="3">
        <f>IF(S27=0,"PASS",IF(S27&lt;=0.05*J27,"PASS","FAIL"))</f>
        <v/>
      </c>
      <c r="H27" s="3" t="n">
        <v>102465861.95</v>
      </c>
      <c r="I27" s="4" t="n">
        <v>0</v>
      </c>
      <c r="J27" s="3" t="n">
        <v>92292970.54000001</v>
      </c>
      <c r="K27" s="3" t="n">
        <v>5366.15</v>
      </c>
      <c r="L27" s="3" t="n">
        <v>0</v>
      </c>
      <c r="M27" t="inlineStr">
        <is>
          <t>None</t>
        </is>
      </c>
      <c r="N27" t="inlineStr">
        <is>
          <t>NVDA, AAPL, MSFT, GOOGLE</t>
        </is>
      </c>
      <c r="O27" s="4" t="n">
        <v>0.2611753451965552</v>
      </c>
      <c r="P27" s="4" t="n">
        <v>0.7388246548034448</v>
      </c>
      <c r="Q27" t="inlineStr">
        <is>
          <t>(AMZN, 0, 3.62%, 0.00%), (AVGO, 0, 3.37%, 0.00%), (META, 0, 2.67%, 0.00%), (TSLA, 0, 2.14%, 0.00%), (BRK/B, 0, 2.12%, 0.00%), (CSCO, 0, 1.75%, 0.00%), (LIN, 0, 1.73%, 0.00%), (JPM, 0, 1.69%, 0.00%), (XOM, 0, 1.46%, 0.00%), (AMT, 0, 1.42%, 0.00%), (V, 0, 1.36%, 0.00%), (CB, 0, 1.15%, 0.00%), (LLY, 0, 1.15%, 0.00%), (GE, 0, 1.13%, 0.00%), (MA, 0, 1.07%, 0.00%), (ORCL, 0, 1.07%, 0.00%), (WM, 0, 1.01%, 0.00%), (UNH, 0, 0.98%, 0.00%), (NEE, 0, 0.88%, 0.00%), (PLTR, 0, 0.88%, 0.00%), (JNJ, 0, 0.86%, 0.00%), (NFLX, 0, 0.85%, 0.00%), (CAT, 0, 0.80%, 0.00%), (WMT, 0, 0.80%, 0.00%), (ABBV, 0, 0.78%, 0.00%), (RTX, 0, 0.78%, 0.00%), (CVX, 0, 0.77%, 0.00%), (PG, 0, 0.75%, 0.00%), (COST, 0, 0.73%, 0.00%), (ABT, 0, 0.71%, 0.00%), (HD, 0, 0.71%, 0.00%), (MCD, 0, 0.70%, 0.00%), (BAC, 0, 0.65%, 0.00%), (IBM, 0, 0.62%, 0.00%), (SO, 0, 0.59%, 0.00%), (KO, 0, 0.59%, 0.00%), (BKNG, 0, 0.58%, 0.00%), (PM, 0, 0.58%, 0.00%), (GS, 0, 0.58%, 0.00%), (AMD, 0, 0.57%, 0.00%), (BA, 0, 0.57%, 0.00%), (UBER, 0, 0.55%, 0.00%), (DUK, 0, 0.54%, 0.00%), (CRM, 0, 0.54%, 0.00%), (WFC, 0, 0.53%, 0.00%), (NKE, 0, 0.52%, 0.00%), (MET, 0, 0.52%, 0.00%), (ETN, 0, 0.52%, 0.00%), (ISRG, 0, 0.49%, 0.00%), (HON, 0, 0.48%, 0.00%), (MS, 0, 0.45%, 0.00%), (INTU, 0, 0.45%, 0.00%), (NOW, 0, 0.45%, 0.00%), (PEP, 0, 0.44%, 0.00%), (T, 0, 0.43%, 0.00%), (AXP, 0, 0.43%, 0.00%), (DE, 0, 0.41%, 0.00%), (QCOM, 0, 0.40%, 0.00%), (MRK, 0, 0.40%, 0.00%), (BLK, 0, 0.39%, 0.00%), (VZ, 0, 0.39%, 0.00%), (UNP, 0, 0.38%, 0.00%), (MDT, 0, 0.38%, 0.00%), (AMAT, 0, 0.37%, 0.00%), (ADBE, 0, 0.37%, 0.00%), (LMT, 0, 0.37%, 0.00%), (TXN, 0, 0.37%, 0.00%), (C, 0, 0.37%, 0.00%), (ACN, 0, 0.36%, 0.00%), (COP, 0, 0.36%, 0.00%), (TMO, 0, 0.36%, 0.00%), (SPGI, 0, 0.36%, 0.00%), (DIS, 0, 0.34%, 0.00%), (SCHW, 0, 0.33%, 0.00%), (INTC, 0, 0.32%, 0.00%), (SBUX, 0, 0.31%, 0.00%), (MMM, 0, 0.29%, 0.00%), (CVS, 0, 0.29%, 0.00%), (AMGN, 0, 0.29%, 0.00%), (TJX, 0, 0.29%, 0.00%), (PFE, 0, 0.27%, 0.00%), (GILD, 0, 0.27%, 0.00%), (EMR, 0, 0.26%, 0.00%), (MO, 0, 0.26%, 0.00%), (LOW, 0, 0.25%, 0.00%), (DHR, 0, 0.24%, 0.00%), (ELV, 0, 0.23%, 0.00%), (CMCSA, 0, 0.20%, 0.00%), (MDLZ, 0, 0.19%, 0.00%), (BMY, 0, 0.18%, 0.00%), (UPS, 0, 0.16%, 0.00%), (PYPL, 0, 0.15%, 0.00%), (USB, 0, 0.14%, 0.00%), (FDX, 0, 0.14%, 0.00%), (CL, 0, 0.14%, 0.00%), (TGT, 0, 0.07%, 0.00%)</t>
        </is>
      </c>
      <c r="R27" s="4" t="n">
        <v>0</v>
      </c>
      <c r="S27" s="3" t="n">
        <v>17888017.63</v>
      </c>
      <c r="T27" s="4" t="n">
        <v>0.1745753882276301</v>
      </c>
      <c r="U27" t="inlineStr"/>
    </row>
    <row r="28">
      <c r="A28" s="2" t="n">
        <v>45930</v>
      </c>
      <c r="B28" t="inlineStr">
        <is>
          <t>P31027</t>
        </is>
      </c>
      <c r="C28" t="inlineStr">
        <is>
          <t>diversified</t>
        </is>
      </c>
      <c r="D28" s="3">
        <f>IF(J28/H28&gt;=0.75,"PASS","FAIL")</f>
        <v/>
      </c>
      <c r="E28" s="3">
        <f>IF(L28=0,"PASS","FAIL")</f>
        <v/>
      </c>
      <c r="F28" s="3">
        <f>IF(R28="","",IF(R28&lt;=0.1,"PASS","FAIL"))</f>
        <v/>
      </c>
      <c r="G28" s="3">
        <f>IF(S28=0,"PASS",IF(S28&lt;=0.05*J28,"PASS","FAIL"))</f>
        <v/>
      </c>
      <c r="H28" s="3" t="n">
        <v>15548235.44</v>
      </c>
      <c r="I28" s="4" t="n">
        <v>0</v>
      </c>
      <c r="J28" s="3" t="n">
        <v>13735796.56</v>
      </c>
      <c r="K28" s="3" t="n">
        <v>891.11</v>
      </c>
      <c r="L28" s="3" t="n">
        <v>0</v>
      </c>
      <c r="M28" t="inlineStr">
        <is>
          <t>None</t>
        </is>
      </c>
      <c r="N28" t="inlineStr">
        <is>
          <t>NVDA, AAPL, MSFT, GOOGLE</t>
        </is>
      </c>
      <c r="O28" s="4" t="n">
        <v>0.262592887441542</v>
      </c>
      <c r="P28" s="4" t="n">
        <v>0.737407112558458</v>
      </c>
      <c r="Q28" t="inlineStr">
        <is>
          <t>(AMZN, 0, 3.57%, 0.00%), (AVGO, 0, 3.32%, 0.00%), (META, 0, 2.63%, 0.00%), (TSLA, 0, 2.11%, 0.00%), (BRK/B, 0, 2.09%, 0.00%), (CSCO, 0, 1.73%, 0.00%), (LIN, 0, 1.70%, 0.00%), (JPM, 0, 1.66%, 0.00%), (XOM, 0, 1.44%, 0.00%), (AMT, 0, 1.40%, 0.00%), (V, 0, 1.33%, 0.00%), (CB, 0, 1.13%, 0.00%), (LLY, 0, 1.12%, 0.00%), (GE, 0, 1.12%, 0.00%), (MA, 0, 1.06%, 0.00%), (ORCL, 0, 1.06%, 0.00%), (WM, 0, 0.99%, 0.00%), (UNH, 0, 0.96%, 0.00%), (NEE, 0, 0.87%, 0.00%), (PLTR, 0, 0.87%, 0.00%), (JNJ, 0, 0.85%, 0.00%), (NFLX, 0, 0.84%, 0.00%), (WMT, 0, 0.79%, 0.00%), (CAT, 0, 0.79%, 0.00%), (ABBV, 0, 0.77%, 0.00%), (RTX, 0, 0.76%, 0.00%), (CVX, 0, 0.75%, 0.00%), (PG, 0, 0.74%, 0.00%), (COST, 0, 0.73%, 0.00%), (ABT, 0, 0.71%, 0.00%), (HD, 0, 0.70%, 0.00%), (MCD, 0, 0.69%, 0.00%), (BAC, 0, 0.64%, 0.00%), (IBM, 0, 0.61%, 0.00%), (BKNG, 0, 0.59%, 0.00%), (SO, 0, 0.58%, 0.00%), (KO, 0, 0.58%, 0.00%), (GS, 0, 0.57%, 0.00%), (PM, 0, 0.57%, 0.00%), (AMD, 0, 0.57%, 0.00%), (BA, 0, 0.56%, 0.00%), (UBER, 0, 0.54%, 0.00%), (DUK, 0, 0.54%, 0.00%), (CRM, 0, 0.53%, 0.00%), (WFC, 0, 0.52%, 0.00%), (NKE, 0, 0.51%, 0.00%), (MET, 0, 0.51%, 0.00%), (ETN, 0, 0.51%, 0.00%), (ISRG, 0, 0.48%, 0.00%), (HON, 0, 0.47%, 0.00%), (INTU, 0, 0.45%, 0.00%), (MS, 0, 0.45%, 0.00%), (NOW, 0, 0.44%, 0.00%), (PEP, 0, 0.43%, 0.00%), (AXP, 0, 0.42%, 0.00%), (T, 0, 0.42%, 0.00%), (DE, 0, 0.40%, 0.00%), (QCOM, 0, 0.40%, 0.00%), (MRK, 0, 0.40%, 0.00%), (VZ, 0, 0.38%, 0.00%), (BLK, 0, 0.38%, 0.00%), (UNP, 0, 0.38%, 0.00%), (MDT, 0, 0.37%, 0.00%), (ADBE, 0, 0.36%, 0.00%), (AMAT, 0, 0.36%, 0.00%), (LMT, 0, 0.36%, 0.00%), (TXN, 0, 0.36%, 0.00%), (C, 0, 0.36%, 0.00%), (ACN, 0, 0.36%, 0.00%), (COP, 0, 0.36%, 0.00%), (TMO, 0, 0.36%, 0.00%), (SPGI, 0, 0.35%, 0.00%), (DIS, 0, 0.34%, 0.00%), (SCHW, 0, 0.32%, 0.00%), (INTC, 0, 0.31%, 0.00%), (SBUX, 0, 0.30%, 0.00%), (MMM, 0, 0.29%, 0.00%), (AMGN, 0, 0.29%, 0.00%), (CVS, 0, 0.29%, 0.00%), (TJX, 0, 0.28%, 0.00%), (PFE, 0, 0.27%, 0.00%), (GILD, 0, 0.26%, 0.00%), (EMR, 0, 0.26%, 0.00%), (MO, 0, 0.25%, 0.00%), (LOW, 0, 0.25%, 0.00%), (DHR, 0, 0.24%, 0.00%), (ELV, 0, 0.23%, 0.00%), (CMCSA, 0, 0.20%, 0.00%), (MDLZ, 0, 0.19%, 0.00%), (BMY, 0, 0.17%, 0.00%), (UPS, 0, 0.16%, 0.00%), (PYPL, 0, 0.15%, 0.00%), (USB, 0, 0.14%, 0.00%), (FDX, 0, 0.14%, 0.00%), (CL, 0, 0.13%, 0.00%), (TGT, 0, 0.07%, 0.00%)</t>
        </is>
      </c>
      <c r="R28" s="4" t="n">
        <v>0</v>
      </c>
      <c r="S28" s="3" t="n">
        <v>4230366.72</v>
      </c>
      <c r="T28" s="4" t="n">
        <v>0.27208018146656</v>
      </c>
      <c r="U28" t="inlineStr"/>
    </row>
    <row r="29">
      <c r="A29" s="2" t="n">
        <v>45930</v>
      </c>
      <c r="B29" t="inlineStr">
        <is>
          <t>TR2B1</t>
        </is>
      </c>
      <c r="C29" t="inlineStr">
        <is>
          <t>diversified</t>
        </is>
      </c>
      <c r="D29" s="3">
        <f>IF(J29/H29&gt;=0.75,"PASS","FAIL")</f>
        <v/>
      </c>
      <c r="E29" s="3">
        <f>IF(L29=0,"PASS","FAIL")</f>
        <v/>
      </c>
      <c r="F29" s="3">
        <f>IF(R29="","",IF(R29&lt;=0.1,"PASS","FAIL"))</f>
        <v/>
      </c>
      <c r="G29" s="3">
        <f>IF(S29=0,"PASS",IF(S29&lt;=0.05*J29,"PASS","FAIL"))</f>
        <v/>
      </c>
      <c r="H29" s="3" t="n">
        <v>137499213.66</v>
      </c>
      <c r="I29" s="4" t="n">
        <v>0</v>
      </c>
      <c r="J29" s="3" t="n">
        <v>120492656.01</v>
      </c>
      <c r="K29" s="3" t="n">
        <v>7155.69</v>
      </c>
      <c r="L29" s="3" t="n">
        <v>0</v>
      </c>
      <c r="M29" t="inlineStr">
        <is>
          <t>None</t>
        </is>
      </c>
      <c r="N29" t="inlineStr">
        <is>
          <t>NVDA, AAPL, MSFT, GOOGLE</t>
        </is>
      </c>
      <c r="O29" s="4" t="n">
        <v>0.2685221798689107</v>
      </c>
      <c r="P29" s="4" t="n">
        <v>0.7314778201310893</v>
      </c>
      <c r="Q29" t="inlineStr">
        <is>
          <t>(AMZN, 0, 3.62%, 0.00%), (AVGO, 0, 3.37%, 0.00%), (META, 0, 2.67%, 0.00%), (TSLA, 0, 2.14%, 0.00%), (BRK/B, 0, 2.12%, 0.00%), (CSCO, 0, 1.75%, 0.00%), (LIN, 0, 1.73%, 0.00%), (JPM, 0, 1.69%, 0.00%), (XOM, 0, 1.46%, 0.00%), (AMT, 0, 1.42%, 0.00%), (V, 0, 1.36%, 0.00%), (CB, 0, 1.15%, 0.00%), (LLY, 0, 1.15%, 0.00%), (GE, 0, 1.13%, 0.00%), (MA, 0, 1.07%, 0.00%), (ORCL, 0, 1.07%, 0.00%), (WM, 0, 1.01%, 0.00%), (UNH, 0, 0.98%, 0.00%), (NEE, 0, 0.88%, 0.00%), (PLTR, 0, 0.88%, 0.00%), (JNJ, 0, 0.86%, 0.00%), (NFLX, 0, 0.85%, 0.00%), (CAT, 0, 0.80%, 0.00%), (WMT, 0, 0.80%, 0.00%), (ABBV, 0, 0.78%, 0.00%), (RTX, 0, 0.78%, 0.00%), (CVX, 0, 0.77%, 0.00%), (PG, 0, 0.75%, 0.00%), (COST, 0, 0.73%, 0.00%), (ABT, 0, 0.72%, 0.00%), (HD, 0, 0.71%, 0.00%), (MCD, 0, 0.70%, 0.00%), (BAC, 0, 0.65%, 0.00%), (IBM, 0, 0.62%, 0.00%), (SO, 0, 0.59%, 0.00%), (KO, 0, 0.59%, 0.00%), (BKNG, 0, 0.58%, 0.00%), (PM, 0, 0.58%, 0.00%), (GS, 0, 0.58%, 0.00%), (AMD, 0, 0.57%, 0.00%), (BA, 0, 0.57%, 0.00%), (UBER, 0, 0.55%, 0.00%), (DUK, 0, 0.54%, 0.00%), (CRM, 0, 0.54%, 0.00%), (WFC, 0, 0.53%, 0.00%), (NKE, 0, 0.52%, 0.00%), (MET, 0, 0.52%, 0.00%), (ETN, 0, 0.52%, 0.00%), (ISRG, 0, 0.49%, 0.00%), (HON, 0, 0.48%, 0.00%), (INTU, 0, 0.45%, 0.00%), (MS, 0, 0.45%, 0.00%), (NOW, 0, 0.45%, 0.00%), (PEP, 0, 0.44%, 0.00%), (T, 0, 0.43%, 0.00%), (AXP, 0, 0.43%, 0.00%), (DE, 0, 0.41%, 0.00%), (QCOM, 0, 0.41%, 0.00%), (MRK, 0, 0.40%, 0.00%), (BLK, 0, 0.39%, 0.00%), (VZ, 0, 0.39%, 0.00%), (UNP, 0, 0.38%, 0.00%), (MDT, 0, 0.38%, 0.00%), (AMAT, 0, 0.37%, 0.00%), (ADBE, 0, 0.37%, 0.00%), (LMT, 0, 0.37%, 0.00%), (TXN, 0, 0.37%, 0.00%), (C, 0, 0.37%, 0.00%), (ACN, 0, 0.36%, 0.00%), (COP, 0, 0.36%, 0.00%), (TMO, 0, 0.36%, 0.00%), (SPGI, 0, 0.36%, 0.00%), (DIS, 0, 0.34%, 0.00%), (SCHW, 0, 0.33%, 0.00%), (INTC, 0, 0.32%, 0.00%), (SBUX, 0, 0.31%, 0.00%), (MMM, 0, 0.29%, 0.00%), (CVS, 0, 0.29%, 0.00%), (AMGN, 0, 0.29%, 0.00%), (TJX, 0, 0.29%, 0.00%), (PFE, 0, 0.27%, 0.00%), (GILD, 0, 0.27%, 0.00%), (EMR, 0, 0.26%, 0.00%), (MO, 0, 0.26%, 0.00%), (LOW, 0, 0.25%, 0.00%), (DHR, 0, 0.24%, 0.00%), (ELV, 0, 0.23%, 0.00%), (CMCSA, 0, 0.20%, 0.00%), (MDLZ, 0, 0.19%, 0.00%), (BMY, 0, 0.18%, 0.00%), (UPS, 0, 0.16%, 0.00%), (PYPL, 0, 0.15%, 0.00%), (USB, 0, 0.14%, 0.00%), (FDX, 0, 0.14%, 0.00%), (CL, 0, 0.14%, 0.00%), (TGT, 0, 0.07%, 0.00%)</t>
        </is>
      </c>
      <c r="R29" s="4" t="n">
        <v>0</v>
      </c>
      <c r="S29" s="3" t="n">
        <v>35116655.44000001</v>
      </c>
      <c r="T29" s="4" t="n">
        <v>0.255395318309488</v>
      </c>
      <c r="U29" t="inlineStr"/>
    </row>
    <row r="30">
      <c r="A30" s="2" t="n">
        <v>45930</v>
      </c>
      <c r="B30" t="inlineStr">
        <is>
          <t>HE3B1</t>
        </is>
      </c>
      <c r="C30" t="inlineStr">
        <is>
          <t>diversified</t>
        </is>
      </c>
      <c r="D30" s="3">
        <f>IF(J30/H30&gt;=0.75,"PASS","FAIL")</f>
        <v/>
      </c>
      <c r="E30" s="3">
        <f>IF(L30=0,"PASS","FAIL")</f>
        <v/>
      </c>
      <c r="F30" s="3">
        <f>IF(R30="","",IF(R30&lt;=0.1,"PASS","FAIL"))</f>
        <v/>
      </c>
      <c r="G30" s="3">
        <f>IF(S30=0,"PASS",IF(S30&lt;=0.05*J30,"PASS","FAIL"))</f>
        <v/>
      </c>
      <c r="H30" s="3" t="n">
        <v>43987988.25</v>
      </c>
      <c r="I30" s="4" t="n">
        <v>0</v>
      </c>
      <c r="J30" s="3" t="n">
        <v>37199175.75</v>
      </c>
      <c r="K30" s="3" t="n">
        <v>2431.57</v>
      </c>
      <c r="L30" s="3" t="n">
        <v>0</v>
      </c>
      <c r="M30" t="inlineStr">
        <is>
          <t>None</t>
        </is>
      </c>
      <c r="N30" t="inlineStr">
        <is>
          <t>NVDA, AAPL, MSFT, GOOGLE</t>
        </is>
      </c>
      <c r="O30" s="4" t="n">
        <v>0.268711791550919</v>
      </c>
      <c r="P30" s="4" t="n">
        <v>0.731288208449081</v>
      </c>
      <c r="Q30" t="inlineStr">
        <is>
          <t>(AMZN, 0, 3.50%, 0.00%), (AVGO, 0, 3.25%, 0.00%), (META, 0, 2.57%, 0.00%), (TSLA, 0, 2.07%, 0.00%), (BRK/B, 0, 2.05%, 0.00%), (CSCO, 0, 1.69%, 0.00%), (LIN, 0, 1.67%, 0.00%), (JPM, 0, 1.63%, 0.00%), (XOM, 0, 1.41%, 0.00%), (AMT, 0, 1.37%, 0.00%), (V, 0, 1.31%, 0.00%), (CB, 0, 1.11%, 0.00%), (LLY, 0, 1.11%, 0.00%), (GE, 0, 1.09%, 0.00%), (MA, 0, 1.04%, 0.00%), (ORCL, 0, 1.03%, 0.00%), (WM, 0, 0.97%, 0.00%), (UNH, 0, 0.94%, 0.00%), (NEE, 0, 0.85%, 0.00%), (PLTR, 0, 0.85%, 0.00%), (JNJ, 0, 0.83%, 0.00%), (NFLX, 0, 0.82%, 0.00%), (CAT, 0, 0.77%, 0.00%), (WMT, 0, 0.77%, 0.00%), (ABBV, 0, 0.76%, 0.00%), (RTX, 0, 0.75%, 0.00%), (CVX, 0, 0.74%, 0.00%), (PG, 0, 0.73%, 0.00%), (COST, 0, 0.71%, 0.00%), (ABT, 0, 0.69%, 0.00%), (HD, 0, 0.69%, 0.00%), (MCD, 0, 0.68%, 0.00%), (BAC, 0, 0.63%, 0.00%), (IBM, 0, 0.60%, 0.00%), (SO, 0, 0.57%, 0.00%), (KO, 0, 0.57%, 0.00%), (BKNG, 0, 0.56%, 0.00%), (PM, 0, 0.56%, 0.00%), (GS, 0, 0.56%, 0.00%), (AMD, 0, 0.55%, 0.00%), (BA, 0, 0.55%, 0.00%), (UBER, 0, 0.53%, 0.00%), (DUK, 0, 0.53%, 0.00%), (CRM, 0, 0.52%, 0.00%), (WFC, 0, 0.51%, 0.00%), (NKE, 0, 0.50%, 0.00%), (MET, 0, 0.50%, 0.00%), (ETN, 0, 0.50%, 0.00%), (ISRG, 0, 0.47%, 0.00%), (HON, 0, 0.46%, 0.00%), (MS, 0, 0.44%, 0.00%), (INTU, 0, 0.44%, 0.00%), (NOW, 0, 0.44%, 0.00%), (PEP, 0, 0.42%, 0.00%), (AXP, 0, 0.41%, 0.00%), (T, 0, 0.41%, 0.00%), (DE, 0, 0.39%, 0.00%), (QCOM, 0, 0.39%, 0.00%), (MRK, 0, 0.39%, 0.00%), (BLK, 0, 0.38%, 0.00%), (VZ, 0, 0.37%, 0.00%), (UNP, 0, 0.37%, 0.00%), (MDT, 0, 0.36%, 0.00%), (AMAT, 0, 0.36%, 0.00%), (ADBE, 0, 0.36%, 0.00%), (LMT, 0, 0.35%, 0.00%), (TXN, 0, 0.35%, 0.00%), (C, 0, 0.35%, 0.00%), (ACN, 0, 0.35%, 0.00%), (COP, 0, 0.35%, 0.00%), (TMO, 0, 0.35%, 0.00%), (SPGI, 0, 0.34%, 0.00%), (DIS, 0, 0.33%, 0.00%), (SCHW, 0, 0.32%, 0.00%), (INTC, 0, 0.31%, 0.00%), (SBUX, 0, 0.30%, 0.00%), (MMM, 0, 0.28%, 0.00%), (AMGN, 0, 0.28%, 0.00%), (CVS, 0, 0.28%, 0.00%), (TJX, 0, 0.28%, 0.00%), (PFE, 0, 0.27%, 0.00%), (GILD, 0, 0.26%, 0.00%), (EMR, 0, 0.25%, 0.00%), (MO, 0, 0.25%, 0.00%), (LOW, 0, 0.24%, 0.00%), (DHR, 0, 0.24%, 0.00%), (ELV, 0, 0.22%, 0.00%), (CMCSA, 0, 0.19%, 0.00%), (MDLZ, 0, 0.18%, 0.00%), (BMY, 0, 0.17%, 0.00%), (UPS, 0, 0.16%, 0.00%), (PYPL, 0, 0.15%, 0.00%), (USB, 0, 0.14%, 0.00%), (FDX, 0, 0.14%, 0.00%), (CL, 0, 0.13%, 0.00%), (TGT, 0, 0.07%, 0.00%)</t>
        </is>
      </c>
      <c r="R30" s="4" t="n">
        <v>0</v>
      </c>
      <c r="S30" s="3" t="n">
        <v>15265603.5</v>
      </c>
      <c r="T30" s="4" t="n">
        <v>0.3470402741139225</v>
      </c>
      <c r="U30" t="inlineStr"/>
    </row>
    <row r="31">
      <c r="A31" s="2" t="n">
        <v>45930</v>
      </c>
      <c r="B31" t="inlineStr">
        <is>
          <t>TR2B2</t>
        </is>
      </c>
      <c r="C31" t="inlineStr">
        <is>
          <t>diversified</t>
        </is>
      </c>
      <c r="D31" s="3">
        <f>IF(J31/H31&gt;=0.75,"PASS","FAIL")</f>
        <v/>
      </c>
      <c r="E31" s="3">
        <f>IF(L31=0,"PASS","FAIL")</f>
        <v/>
      </c>
      <c r="F31" s="3">
        <f>IF(R31="","",IF(R31&lt;=0.1,"PASS","FAIL"))</f>
        <v/>
      </c>
      <c r="G31" s="3">
        <f>IF(S31=0,"PASS",IF(S31&lt;=0.05*J31,"PASS","FAIL"))</f>
        <v/>
      </c>
      <c r="H31" s="3" t="n">
        <v>168723434.47</v>
      </c>
      <c r="I31" s="4" t="n">
        <v>0</v>
      </c>
      <c r="J31" s="3" t="n">
        <v>142567312.87</v>
      </c>
      <c r="K31" s="3" t="n">
        <v>8271.24</v>
      </c>
      <c r="L31" s="3" t="n">
        <v>0</v>
      </c>
      <c r="M31" t="inlineStr">
        <is>
          <t>None</t>
        </is>
      </c>
      <c r="N31" t="inlineStr">
        <is>
          <t>NVDA, AAPL, MSFT, GOOGLE</t>
        </is>
      </c>
      <c r="O31" s="4" t="n">
        <v>0.2620796160622761</v>
      </c>
      <c r="P31" s="4" t="n">
        <v>0.7379203839377239</v>
      </c>
      <c r="Q31" t="inlineStr">
        <is>
          <t>(AMZN, 0, 3.41%, 0.00%), (AVGO, 0, 3.17%, 0.00%), (META, 0, 2.51%, 0.00%), (TSLA, 0, 2.02%, 0.00%), (BRK/B, 0, 2.00%, 0.00%), (CSCO, 0, 1.65%, 0.00%), (LIN, 0, 1.63%, 0.00%), (JPM, 0, 1.59%, 0.00%), (XOM, 0, 1.38%, 0.00%), (AMT, 0, 1.34%, 0.00%), (V, 0, 1.28%, 0.00%), (CB, 0, 1.08%, 0.00%), (LLY, 0, 1.08%, 0.00%), (GE, 0, 1.07%, 0.00%), (MA, 0, 1.01%, 0.00%), (ORCL, 0, 1.01%, 0.00%), (WM, 0, 0.95%, 0.00%), (UNH, 0, 0.92%, 0.00%), (NEE, 0, 0.83%, 0.00%), (PLTR, 0, 0.83%, 0.00%), (JNJ, 0, 0.81%, 0.00%), (NFLX, 0, 0.80%, 0.00%), (CAT, 0, 0.75%, 0.00%), (WMT, 0, 0.75%, 0.00%), (ABBV, 0, 0.74%, 0.00%), (RTX, 0, 0.73%, 0.00%), (CVX, 0, 0.72%, 0.00%), (PG, 0, 0.71%, 0.00%), (COST, 0, 0.69%, 0.00%), (ABT, 0, 0.67%, 0.00%), (HD, 0, 0.67%, 0.00%), (MCD, 0, 0.66%, 0.00%), (BAC, 0, 0.62%, 0.00%), (IBM, 0, 0.58%, 0.00%), (SO, 0, 0.55%, 0.00%), (KO, 0, 0.55%, 0.00%), (BKNG, 0, 0.54%, 0.00%), (PM, 0, 0.54%, 0.00%), (GS, 0, 0.54%, 0.00%), (AMD, 0, 0.54%, 0.00%), (BA, 0, 0.53%, 0.00%), (UBER, 0, 0.52%, 0.00%), (DUK, 0, 0.51%, 0.00%), (CRM, 0, 0.51%, 0.00%), (WFC, 0, 0.50%, 0.00%), (NKE, 0, 0.49%, 0.00%), (MET, 0, 0.49%, 0.00%), (ETN, 0, 0.49%, 0.00%), (ISRG, 0, 0.46%, 0.00%), (HON, 0, 0.45%, 0.00%), (INTU, 0, 0.43%, 0.00%), (MS, 0, 0.43%, 0.00%), (NOW, 0, 0.42%, 0.00%), (PEP, 0, 0.41%, 0.00%), (AXP, 0, 0.40%, 0.00%), (T, 0, 0.40%, 0.00%), (DE, 0, 0.38%, 0.00%), (QCOM, 0, 0.38%, 0.00%), (MRK, 0, 0.38%, 0.00%), (BLK, 0, 0.37%, 0.00%), (VZ, 0, 0.37%, 0.00%), (UNP, 0, 0.36%, 0.00%), (MDT, 0, 0.35%, 0.00%), (AMAT, 0, 0.35%, 0.00%), (ADBE, 0, 0.35%, 0.00%), (LMT, 0, 0.35%, 0.00%), (TXN, 0, 0.35%, 0.00%), (C, 0, 0.34%, 0.00%), (ACN, 0, 0.34%, 0.00%), (COP, 0, 0.34%, 0.00%), (TMO, 0, 0.34%, 0.00%), (SPGI, 0, 0.34%, 0.00%), (DIS, 0, 0.32%, 0.00%), (SCHW, 0, 0.31%, 0.00%), (INTC, 0, 0.30%, 0.00%), (SBUX, 0, 0.29%, 0.00%), (MMM, 0, 0.28%, 0.00%), (CVS, 0, 0.27%, 0.00%), (AMGN, 0, 0.27%, 0.00%), (TJX, 0, 0.27%, 0.00%), (PFE, 0, 0.26%, 0.00%), (GILD, 0, 0.25%, 0.00%), (EMR, 0, 0.25%, 0.00%), (MO, 0, 0.24%, 0.00%), (LOW, 0, 0.24%, 0.00%), (DHR, 0, 0.23%, 0.00%), (ELV, 0, 0.22%, 0.00%), (CMCSA, 0, 0.19%, 0.00%), (MDLZ, 0, 0.18%, 0.00%), (BMY, 0, 0.17%, 0.00%), (UPS, 0, 0.15%, 0.00%), (PYPL, 0, 0.15%, 0.00%), (USB, 0, 0.14%, 0.00%), (FDX, 0, 0.13%, 0.00%), (CL, 0, 0.13%, 0.00%), (TGT, 0, 0.07%, 0.00%)</t>
        </is>
      </c>
      <c r="R31" s="4" t="n">
        <v>0</v>
      </c>
      <c r="S31" s="3" t="n">
        <v>49587814.64</v>
      </c>
      <c r="T31" s="4" t="n">
        <v>0.2938999836967935</v>
      </c>
      <c r="U31" t="inlineStr"/>
    </row>
    <row r="32">
      <c r="A32" s="2" t="n">
        <v>45930</v>
      </c>
      <c r="B32" t="inlineStr">
        <is>
          <t>R21126</t>
        </is>
      </c>
      <c r="C32" t="inlineStr">
        <is>
          <t>diversified</t>
        </is>
      </c>
      <c r="D32" s="3">
        <f>IF(J32/H32&gt;=0.75,"PASS","FAIL")</f>
        <v/>
      </c>
      <c r="E32" s="3">
        <f>IF(L32=0,"PASS","FAIL")</f>
        <v/>
      </c>
      <c r="F32" s="3">
        <f>IF(R32="","",IF(R32&lt;=0.1,"PASS","FAIL"))</f>
        <v/>
      </c>
      <c r="G32" s="3">
        <f>IF(S32=0,"PASS",IF(S32&lt;=0.05*J32,"PASS","FAIL"))</f>
        <v/>
      </c>
      <c r="H32" s="3" t="n">
        <v>55285466.4</v>
      </c>
      <c r="I32" s="4" t="n">
        <v>0</v>
      </c>
      <c r="J32" s="3" t="n">
        <v>50073113.6</v>
      </c>
      <c r="K32" s="3" t="n">
        <v>3867.31</v>
      </c>
      <c r="L32" s="3" t="n">
        <v>0</v>
      </c>
      <c r="M32" t="inlineStr">
        <is>
          <t>None</t>
        </is>
      </c>
      <c r="N32" t="inlineStr">
        <is>
          <t>KLAC, GOOGLE, NVDA, EBAY, AMAT, MLI, BK, LRCX, JPM, MSFT, PHM</t>
        </is>
      </c>
      <c r="O32" s="4" t="n">
        <v>0.2575201327204865</v>
      </c>
      <c r="P32" s="4" t="n">
        <v>0.7424798672795134</v>
      </c>
      <c r="Q32" t="inlineStr">
        <is>
          <t>(BKR, 0, 1.94%, 0.00%), (META, 0, 1.91%, 0.00%), (WSM, 0, 1.86%, 0.00%), (AXP, 0, 1.83%, 0.00%), (RJF, 0, 1.83%, 0.00%), (EWBC, 0, 1.81%, 0.00%), (HIG, 0, 1.80%, 0.00%), (ROST, 0, 1.78%, 0.00%), (TRV, 0, 1.77%, 0.00%), (EA, 0, 1.74%, 0.00%), (SNA, 0, 1.74%, 0.00%), (BKNG, 0, 1.72%, 0.00%), (UNM, 0, 1.71%, 0.00%), (MPWR, 0, 1.68%, 0.00%), (CB, 0, 1.68%, 0.00%), (V, 0, 1.67%, 0.00%), (PCAR, 0, 1.61%, 0.00%), (ADP, 0, 1.60%, 0.00%), (GE, 0, 1.59%, 0.00%), (BLK, 0, 1.46%, 0.00%), (CTSH, 0, 1.44%, 0.00%), (STT, 0, 1.42%, 0.00%), (CRM, 0, 1.42%, 0.00%), (AAPL, 0, 1.39%, 0.00%), (SYF, 0, 1.36%, 0.00%), (QCOM, 0, 1.35%, 0.00%), (PNC, 0, 1.34%, 0.00%), (ACN, 0, 1.33%, 0.00%), (ABT, 0, 1.26%, 0.00%), (LEN, 0, 1.23%, 0.00%), (ELV, 0, 1.02%, 0.00%), (DHI, 0, 0.98%, 0.00%), (GEV, 0, 0.98%, 0.00%), (ACM, 0, 0.95%, 0.00%), (MA, 0, 0.89%, 0.00%), (ALL, 0, 0.89%, 0.00%), (AFL, 0, 0.84%, 0.00%), (COST, 0, 0.81%, 0.00%), (PGR, 0, 0.80%, 0.00%), (AMP, 0, 0.80%, 0.00%), (PAYC, 0, 0.78%, 0.00%), (ODFL, 0, 0.68%, 0.00%), (NTRS, 0, 0.52%, 0.00%), (CSCO, 0, 0.50%, 0.00%), (JNJ, 0, 0.48%, 0.00%), (FOXA, 0, 0.48%, 0.00%), (BAC, 0, 0.46%, 0.00%), (MET, 0, 0.46%, 0.00%), (VLTO, 0, 0.45%, 0.00%), (COKE, 0, 0.45%, 0.00%), (RMD, 0, 0.45%, 0.00%), (MCK, 0, 0.43%, 0.00%), (CF, 0, 0.43%, 0.00%), (LNC, 0, 0.43%, 0.00%), (CINF, 0, 0.43%, 0.00%), (MTB, 0, 0.43%, 0.00%), (WTFC, 0, 0.41%, 0.00%), (XOM, 0, 0.41%, 0.00%), (EG, 0, 0.39%, 0.00%), (EQH, 0, 0.38%, 0.00%), (DOV, 0, 0.38%, 0.00%), (EOG, 0, 0.36%, 0.00%), (CSL, 0, 0.31%, 0.00%)</t>
        </is>
      </c>
      <c r="R32" s="4" t="n">
        <v>0</v>
      </c>
      <c r="S32" s="3" t="n">
        <v>9449021.73</v>
      </c>
      <c r="T32" s="4" t="n">
        <v>0.1709133040794968</v>
      </c>
      <c r="U32" t="inlineStr"/>
    </row>
    <row r="33">
      <c r="A33" s="2" t="n">
        <v>45930</v>
      </c>
      <c r="B33" t="inlineStr">
        <is>
          <t>HE3B2</t>
        </is>
      </c>
      <c r="C33" t="inlineStr">
        <is>
          <t>diversified</t>
        </is>
      </c>
      <c r="D33" s="3">
        <f>IF(J33/H33&gt;=0.75,"PASS","FAIL")</f>
        <v/>
      </c>
      <c r="E33" s="3">
        <f>IF(L33=0,"PASS","FAIL")</f>
        <v/>
      </c>
      <c r="F33" s="3">
        <f>IF(R33="","",IF(R33&lt;=0.1,"PASS","FAIL"))</f>
        <v/>
      </c>
      <c r="G33" s="3">
        <f>IF(S33=0,"PASS",IF(S33&lt;=0.05*J33,"PASS","FAIL"))</f>
        <v/>
      </c>
      <c r="H33" s="3" t="n">
        <v>24957044.1</v>
      </c>
      <c r="I33" s="4" t="n">
        <v>0</v>
      </c>
      <c r="J33" s="3" t="n">
        <v>20753806.64</v>
      </c>
      <c r="K33" s="3" t="n">
        <v>1309.63</v>
      </c>
      <c r="L33" s="3" t="n">
        <v>0</v>
      </c>
      <c r="M33" t="inlineStr">
        <is>
          <t>None</t>
        </is>
      </c>
      <c r="N33" t="inlineStr">
        <is>
          <t>NVDA, AAPL, MSFT, GOOGLE</t>
        </is>
      </c>
      <c r="O33" s="4" t="n">
        <v>0.2621818008804577</v>
      </c>
      <c r="P33" s="4" t="n">
        <v>0.7378181991195423</v>
      </c>
      <c r="Q33" t="inlineStr">
        <is>
          <t>(AMZN, 0, 3.35%, 0.00%), (AVGO, 0, 3.12%, 0.00%), (META, 0, 2.47%, 0.00%), (TSLA, 0, 1.99%, 0.00%), (BRK/B, 0, 1.97%, 0.00%), (CSCO, 0, 1.62%, 0.00%), (LIN, 0, 1.60%, 0.00%), (JPM, 0, 1.56%, 0.00%), (XOM, 0, 1.35%, 0.00%), (AMT, 0, 1.31%, 0.00%), (V, 0, 1.26%, 0.00%), (LLY, 0, 1.06%, 0.00%), (CB, 0, 1.06%, 0.00%), (GE, 0, 1.05%, 0.00%), (MA, 0, 1.00%, 0.00%), (ORCL, 0, 0.99%, 0.00%), (WM, 0, 0.93%, 0.00%), (UNH, 0, 0.90%, 0.00%), (NEE, 0, 0.82%, 0.00%), (PLTR, 0, 0.81%, 0.00%), (JNJ, 0, 0.80%, 0.00%), (NFLX, 0, 0.79%, 0.00%), (CAT, 0, 0.74%, 0.00%), (WMT, 0, 0.74%, 0.00%), (ABBV, 0, 0.73%, 0.00%), (RTX, 0, 0.72%, 0.00%), (CVX, 0, 0.71%, 0.00%), (PG, 0, 0.70%, 0.00%), (COST, 0, 0.68%, 0.00%), (ABT, 0, 0.66%, 0.00%), (HD, 0, 0.66%, 0.00%), (MCD, 0, 0.65%, 0.00%), (BAC, 0, 0.61%, 0.00%), (IBM, 0, 0.57%, 0.00%), (SO, 0, 0.55%, 0.00%), (KO, 0, 0.54%, 0.00%), (BKNG, 0, 0.54%, 0.00%), (PM, 0, 0.53%, 0.00%), (GS, 0, 0.53%, 0.00%), (AMD, 0, 0.53%, 0.00%), (BA, 0, 0.52%, 0.00%), (UBER, 0, 0.51%, 0.00%), (DUK, 0, 0.50%, 0.00%), (CRM, 0, 0.50%, 0.00%), (WFC, 0, 0.49%, 0.00%), (NKE, 0, 0.48%, 0.00%), (MET, 0, 0.48%, 0.00%), (ETN, 0, 0.48%, 0.00%), (ISRG, 0, 0.45%, 0.00%), (HON, 0, 0.44%, 0.00%), (MS, 0, 0.42%, 0.00%), (INTU, 0, 0.42%, 0.00%), (NOW, 0, 0.42%, 0.00%), (PEP, 0, 0.41%, 0.00%), (T, 0, 0.40%, 0.00%), (AXP, 0, 0.40%, 0.00%), (DE, 0, 0.38%, 0.00%), (QCOM, 0, 0.38%, 0.00%), (MRK, 0, 0.37%, 0.00%), (VZ, 0, 0.36%, 0.00%), (BLK, 0, 0.36%, 0.00%), (UNP, 0, 0.35%, 0.00%), (MDT, 0, 0.35%, 0.00%), (LMT, 0, 0.34%, 0.00%), (AMAT, 0, 0.34%, 0.00%), (ADBE, 0, 0.34%, 0.00%), (TXN, 0, 0.34%, 0.00%), (C, 0, 0.34%, 0.00%), (ACN, 0, 0.34%, 0.00%), (COP, 0, 0.33%, 0.00%), (TMO, 0, 0.33%, 0.00%), (SPGI, 0, 0.33%, 0.00%), (DIS, 0, 0.32%, 0.00%), (SCHW, 0, 0.30%, 0.00%), (INTC, 0, 0.29%, 0.00%), (SBUX, 0, 0.29%, 0.00%), (MMM, 0, 0.27%, 0.00%), (CVS, 0, 0.27%, 0.00%), (AMGN, 0, 0.27%, 0.00%), (TJX, 0, 0.27%, 0.00%), (PFE, 0, 0.25%, 0.00%), (GILD, 0, 0.25%, 0.00%), (EMR, 0, 0.24%, 0.00%), (MO, 0, 0.24%, 0.00%), (LOW, 0, 0.23%, 0.00%), (DHR, 0, 0.22%, 0.00%), (ELV, 0, 0.21%, 0.00%), (CMCSA, 0, 0.19%, 0.00%), (MDLZ, 0, 0.18%, 0.00%), (BMY, 0, 0.16%, 0.00%), (UPS, 0, 0.15%, 0.00%), (PYPL, 0, 0.14%, 0.00%), (USB, 0, 0.13%, 0.00%), (FDX, 0, 0.13%, 0.00%), (CL, 0, 0.13%, 0.00%), (TGT, 0, 0.07%, 0.00%)</t>
        </is>
      </c>
      <c r="R33" s="4" t="n">
        <v>0</v>
      </c>
      <c r="S33" s="3" t="n">
        <v>8101789.999999999</v>
      </c>
      <c r="T33" s="4" t="n">
        <v>0.3246293899043917</v>
      </c>
      <c r="U33" t="inlineStr"/>
    </row>
    <row r="34">
      <c r="A34" s="2" t="n">
        <v>45930</v>
      </c>
      <c r="B34" t="inlineStr">
        <is>
          <t>P30128</t>
        </is>
      </c>
      <c r="C34" t="inlineStr">
        <is>
          <t>diversified</t>
        </is>
      </c>
      <c r="D34" s="3">
        <f>IF(J34/H34&gt;=0.75,"PASS","FAIL")</f>
        <v/>
      </c>
      <c r="E34" s="3">
        <f>IF(L34=0,"PASS","FAIL")</f>
        <v/>
      </c>
      <c r="F34" s="3">
        <f>IF(R34="","",IF(R34&lt;=0.1,"PASS","FAIL"))</f>
        <v/>
      </c>
      <c r="G34" s="3">
        <f>IF(S34=0,"PASS",IF(S34&lt;=0.05*J34,"PASS","FAIL"))</f>
        <v/>
      </c>
      <c r="H34" s="3" t="n">
        <v>40797748.6</v>
      </c>
      <c r="I34" s="4" t="n">
        <v>0</v>
      </c>
      <c r="J34" s="3" t="n">
        <v>35173495.54</v>
      </c>
      <c r="K34" s="3" t="n">
        <v>2280.05</v>
      </c>
      <c r="L34" s="3" t="n">
        <v>0</v>
      </c>
      <c r="M34" t="inlineStr">
        <is>
          <t>None</t>
        </is>
      </c>
      <c r="N34" t="inlineStr">
        <is>
          <t>NVDA, AAPL, MSFT, GOOGLE</t>
        </is>
      </c>
      <c r="O34" s="4" t="n">
        <v>0.2611951697991515</v>
      </c>
      <c r="P34" s="4" t="n">
        <v>0.7388048302008485</v>
      </c>
      <c r="Q34" t="inlineStr">
        <is>
          <t>(AMZN, 0, 3.46%, 0.00%), (AVGO, 0, 3.22%, 0.00%), (META, 0, 2.55%, 0.00%), (TSLA, 0, 2.06%, 0.00%), (BRK/B, 0, 2.03%, 0.00%), (CSCO, 0, 1.68%, 0.00%), (LIN, 0, 1.65%, 0.00%), (JPM, 0, 1.61%, 0.00%), (XOM, 0, 1.40%, 0.00%), (AMT, 0, 1.36%, 0.00%), (V, 0, 1.30%, 0.00%), (LLY, 0, 1.10%, 0.00%), (CB, 0, 1.10%, 0.00%), (GE, 0, 1.09%, 0.00%), (MA, 0, 1.03%, 0.00%), (ORCL, 0, 1.02%, 0.00%), (WM, 0, 0.96%, 0.00%), (UNH, 0, 0.93%, 0.00%), (NEE, 0, 0.84%, 0.00%), (PLTR, 0, 0.84%, 0.00%), (JNJ, 0, 0.82%, 0.00%), (NFLX, 0, 0.81%, 0.00%), (CAT, 0, 0.77%, 0.00%), (WMT, 0, 0.76%, 0.00%), (ABBV, 0, 0.75%, 0.00%), (RTX, 0, 0.74%, 0.00%), (CVX, 0, 0.73%, 0.00%), (PG, 0, 0.72%, 0.00%), (COST, 0, 0.70%, 0.00%), (ABT, 0, 0.68%, 0.00%), (HD, 0, 0.68%, 0.00%), (MCD, 0, 0.67%, 0.00%), (BAC, 0, 0.63%, 0.00%), (IBM, 0, 0.59%, 0.00%), (SO, 0, 0.56%, 0.00%), (KO, 0, 0.56%, 0.00%), (BKNG, 0, 0.56%, 0.00%), (PM, 0, 0.55%, 0.00%), (GS, 0, 0.55%, 0.00%), (AMD, 0, 0.55%, 0.00%), (BA, 0, 0.54%, 0.00%), (UBER, 0, 0.53%, 0.00%), (DUK, 0, 0.52%, 0.00%), (CRM, 0, 0.51%, 0.00%), (WFC, 0, 0.51%, 0.00%), (NKE, 0, 0.50%, 0.00%), (MET, 0, 0.50%, 0.00%), (ETN, 0, 0.49%, 0.00%), (ISRG, 0, 0.47%, 0.00%), (HON, 0, 0.46%, 0.00%), (MS, 0, 0.43%, 0.00%), (INTU, 0, 0.43%, 0.00%), (NOW, 0, 0.43%, 0.00%), (PEP, 0, 0.42%, 0.00%), (T, 0, 0.41%, 0.00%), (AXP, 0, 0.41%, 0.00%), (DE, 0, 0.39%, 0.00%), (QCOM, 0, 0.39%, 0.00%), (MRK, 0, 0.39%, 0.00%), (BLK, 0, 0.37%, 0.00%), (VZ, 0, 0.37%, 0.00%), (UNP, 0, 0.37%, 0.00%), (MDT, 0, 0.36%, 0.00%), (AMAT, 0, 0.35%, 0.00%), (ADBE, 0, 0.35%, 0.00%), (TXN, 0, 0.35%, 0.00%), (LMT, 0, 0.35%, 0.00%), (C, 0, 0.35%, 0.00%), (ACN, 0, 0.35%, 0.00%), (COP, 0, 0.35%, 0.00%), (TMO, 0, 0.34%, 0.00%), (SPGI, 0, 0.34%, 0.00%), (DIS, 0, 0.33%, 0.00%), (SCHW, 0, 0.31%, 0.00%), (INTC, 0, 0.30%, 0.00%), (SBUX, 0, 0.30%, 0.00%), (MMM, 0, 0.28%, 0.00%), (CVS, 0, 0.28%, 0.00%), (AMGN, 0, 0.28%, 0.00%), (TJX, 0, 0.27%, 0.00%), (PFE, 0, 0.26%, 0.00%), (GILD, 0, 0.26%, 0.00%), (EMR, 0, 0.25%, 0.00%), (MO, 0, 0.24%, 0.00%), (LOW, 0, 0.24%, 0.00%), (DHR, 0, 0.23%, 0.00%), (ELV, 0, 0.22%, 0.00%), (CMCSA, 0, 0.19%, 0.00%), (MDLZ, 0, 0.18%, 0.00%), (BMY, 0, 0.17%, 0.00%), (UPS, 0, 0.16%, 0.00%), (PYPL, 0, 0.15%, 0.00%), (USB, 0, 0.14%, 0.00%), (FDX, 0, 0.14%, 0.00%), (CL, 0, 0.13%, 0.00%), (TGT, 0, 0.07%, 0.00%)</t>
        </is>
      </c>
      <c r="R34" s="4" t="n">
        <v>0</v>
      </c>
      <c r="S34" s="3" t="n">
        <v>11092258.21</v>
      </c>
      <c r="T34" s="4" t="n">
        <v>0.2718840767110369</v>
      </c>
      <c r="U34" t="inlineStr"/>
    </row>
    <row r="35">
      <c r="A35" t="inlineStr">
        <is>
          <t>* To be classified as a diversified company under the 1940 Act, at least 75% of the value of the fund's total assets must be invested in: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* 1) cash and cash items (including receivables),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* 2) government securities,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* 3) securities of other investment companies, 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* 4) other securities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 xml:space="preserve">* 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* Compliance Conditions: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* Condition 40 Act 1: 75% of the fund must be invested in diversified assets.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* Condition 40 Act 2a: No single issuer in the 75% can exceed 5% of total assets.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* Condition 40 Act 2b: No single issuer in the 75% can exceed 10% of the issuer's voting securities.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7" customWidth="1" min="3" max="3"/>
    <col width="33" customWidth="1" min="4" max="4"/>
    <col width="29" customWidth="1" min="5" max="5"/>
    <col width="22" customWidth="1" min="6" max="6"/>
    <col width="19" customWidth="1" min="7" max="7"/>
    <col width="14" customWidth="1" min="8" max="8"/>
    <col width="25" customWidth="1" min="9" max="9"/>
    <col width="10" customWidth="1" min="10" max="10"/>
    <col width="23" customWidth="1" min="11" max="11"/>
    <col width="30" customWidth="1" min="12" max="12"/>
    <col width="24" customWidth="1" min="13" max="13"/>
    <col width="45" customWidth="1" min="14" max="14"/>
    <col width="16" customWidth="1" min="15" max="15"/>
    <col width="22" customWidth="1" min="16" max="16"/>
    <col width="27" customWidth="1" min="17" max="17"/>
    <col width="34" customWidth="1" min="18" max="18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condition_IRS_1</t>
        </is>
      </c>
      <c r="D1" s="1" t="inlineStr">
        <is>
          <t>condition_IRS_2_a_50</t>
        </is>
      </c>
      <c r="E1" s="1" t="inlineStr">
        <is>
          <t>condition_IRS_2_a_5</t>
        </is>
      </c>
      <c r="F1" s="1" t="inlineStr">
        <is>
          <t>condition_IRS_2_a_10</t>
        </is>
      </c>
      <c r="G1" s="1" t="inlineStr">
        <is>
          <t>condition_IRS_2_b</t>
        </is>
      </c>
      <c r="H1" s="1" t="inlineStr">
        <is>
          <t>total_assets</t>
        </is>
      </c>
      <c r="I1" s="1" t="inlineStr">
        <is>
          <t>qualifying_assets_value</t>
        </is>
      </c>
      <c r="J1" s="1" t="inlineStr">
        <is>
          <t>expenses</t>
        </is>
      </c>
      <c r="K1" s="1" t="inlineStr">
        <is>
          <t>five_pct_gross_assets</t>
        </is>
      </c>
      <c r="L1" s="1" t="inlineStr">
        <is>
          <t>sum_large_securities_weights</t>
        </is>
      </c>
      <c r="M1" s="1" t="inlineStr">
        <is>
          <t>large_securities_count</t>
        </is>
      </c>
      <c r="N1" s="1" t="inlineStr">
        <is>
          <t>large_securities</t>
        </is>
      </c>
      <c r="O1" s="1" t="inlineStr">
        <is>
          <t>overlap_weight</t>
        </is>
      </c>
      <c r="P1" s="1" t="inlineStr">
        <is>
          <t>overlap_constituents</t>
        </is>
      </c>
      <c r="Q1" s="1" t="inlineStr">
        <is>
          <t>bottom_50_largest_holding</t>
        </is>
      </c>
      <c r="R1" s="1" t="inlineStr">
        <is>
          <t>bottom_50_second_largest_holding</t>
        </is>
      </c>
    </row>
    <row r="2">
      <c r="A2" s="2" t="n">
        <v>45926</v>
      </c>
      <c r="B2" t="inlineStr">
        <is>
          <t>P2726</t>
        </is>
      </c>
      <c r="C2" t="inlineStr">
        <is>
          <t>PASS</t>
        </is>
      </c>
      <c r="D2" s="3">
        <f>IF(I2/H2&gt;=0.5,"PASS","FAIL")</f>
        <v/>
      </c>
      <c r="E2" s="3">
        <f>IF(L2&lt;=0.5,"PASS","FAIL")</f>
        <v/>
      </c>
      <c r="F2" t="inlineStr">
        <is>
          <t>PASS</t>
        </is>
      </c>
      <c r="G2" t="inlineStr">
        <is>
          <t>PASS</t>
        </is>
      </c>
      <c r="H2" s="3" t="n">
        <v>34967982.33</v>
      </c>
      <c r="I2" s="3" t="n">
        <v>33030921.43</v>
      </c>
      <c r="J2" s="3" t="n">
        <v>7111.89</v>
      </c>
      <c r="K2" s="4" t="n">
        <v>1748399.1165</v>
      </c>
      <c r="L2" s="4" t="n">
        <v>0.2142128193307239</v>
      </c>
      <c r="M2" s="3" t="n">
        <v>3</v>
      </c>
      <c r="N2" t="inlineStr">
        <is>
          <t>(NVDA, 7.78%), (AAPL, 6.87%), (MSFT, 6.77%)</t>
        </is>
      </c>
      <c r="O2" s="4" t="n">
        <v>0</v>
      </c>
      <c r="P2" t="inlineStr">
        <is>
          <t>None</t>
        </is>
      </c>
      <c r="Q2" t="inlineStr">
        <is>
          <t>AMT (1.62%)</t>
        </is>
      </c>
      <c r="R2" t="inlineStr">
        <is>
          <t>V (1.52%)</t>
        </is>
      </c>
    </row>
    <row r="3">
      <c r="A3" s="2" t="n">
        <v>45926</v>
      </c>
      <c r="B3" t="inlineStr">
        <is>
          <t>P3727</t>
        </is>
      </c>
      <c r="C3" t="inlineStr">
        <is>
          <t>PASS</t>
        </is>
      </c>
      <c r="D3" s="3">
        <f>IF(I3/H3&gt;=0.5,"PASS","FAIL")</f>
        <v/>
      </c>
      <c r="E3" s="3">
        <f>IF(L3&lt;=0.5,"PASS","FAIL")</f>
        <v/>
      </c>
      <c r="F3" t="inlineStr">
        <is>
          <t>PASS</t>
        </is>
      </c>
      <c r="G3" t="inlineStr">
        <is>
          <t>PASS</t>
        </is>
      </c>
      <c r="H3" s="3" t="n">
        <v>79580337.26000001</v>
      </c>
      <c r="I3" s="3" t="n">
        <v>72154000.02999999</v>
      </c>
      <c r="J3" s="3" t="n">
        <v>15552.75</v>
      </c>
      <c r="K3" s="4" t="n">
        <v>3979016.863</v>
      </c>
      <c r="L3" s="4" t="n">
        <v>0.2138447541136886</v>
      </c>
      <c r="M3" s="3" t="n">
        <v>3</v>
      </c>
      <c r="N3" t="inlineStr">
        <is>
          <t>(NVDA, 7.77%), (AAPL, 6.86%), (MSFT, 6.76%)</t>
        </is>
      </c>
      <c r="O3" s="4" t="n">
        <v>0</v>
      </c>
      <c r="P3" t="inlineStr">
        <is>
          <t>None</t>
        </is>
      </c>
      <c r="Q3" t="inlineStr">
        <is>
          <t>AMT (1.61%)</t>
        </is>
      </c>
      <c r="R3" t="inlineStr">
        <is>
          <t>V (1.52%)</t>
        </is>
      </c>
    </row>
    <row r="4">
      <c r="A4" s="2" t="n">
        <v>45926</v>
      </c>
      <c r="B4" t="inlineStr">
        <is>
          <t>P21026</t>
        </is>
      </c>
      <c r="C4" t="inlineStr">
        <is>
          <t>PASS</t>
        </is>
      </c>
      <c r="D4" s="3">
        <f>IF(I4/H4&gt;=0.5,"PASS","FAIL")</f>
        <v/>
      </c>
      <c r="E4" s="3">
        <f>IF(L4&lt;=0.5,"PASS","FAIL")</f>
        <v/>
      </c>
      <c r="F4" t="inlineStr">
        <is>
          <t>PASS</t>
        </is>
      </c>
      <c r="G4" t="inlineStr">
        <is>
          <t>PASS</t>
        </is>
      </c>
      <c r="H4" s="3" t="n">
        <v>23659727.94</v>
      </c>
      <c r="I4" s="3" t="n">
        <v>21778291.65</v>
      </c>
      <c r="J4" s="3" t="n">
        <v>4718.07</v>
      </c>
      <c r="K4" s="4" t="n">
        <v>1182986.397</v>
      </c>
      <c r="L4" s="4" t="n">
        <v>0.2130870732121684</v>
      </c>
      <c r="M4" s="3" t="n">
        <v>3</v>
      </c>
      <c r="N4" t="inlineStr">
        <is>
          <t>(NVDA, 7.74%), (AAPL, 6.84%), (MSFT, 6.73%)</t>
        </is>
      </c>
      <c r="O4" s="4" t="n">
        <v>0</v>
      </c>
      <c r="P4" t="inlineStr">
        <is>
          <t>None</t>
        </is>
      </c>
      <c r="Q4" t="inlineStr">
        <is>
          <t>AMT (1.61%)</t>
        </is>
      </c>
      <c r="R4" t="inlineStr">
        <is>
          <t>V (1.51%)</t>
        </is>
      </c>
    </row>
    <row r="5">
      <c r="A5" s="2" t="n">
        <v>45926</v>
      </c>
      <c r="B5" t="inlineStr">
        <is>
          <t>P20127</t>
        </is>
      </c>
      <c r="C5" t="inlineStr">
        <is>
          <t>PASS</t>
        </is>
      </c>
      <c r="D5" s="3">
        <f>IF(I5/H5&gt;=0.5,"PASS","FAIL")</f>
        <v/>
      </c>
      <c r="E5" s="3">
        <f>IF(L5&lt;=0.5,"PASS","FAIL")</f>
        <v/>
      </c>
      <c r="F5" t="inlineStr">
        <is>
          <t>PASS</t>
        </is>
      </c>
      <c r="G5" t="inlineStr">
        <is>
          <t>PASS</t>
        </is>
      </c>
      <c r="H5" s="3" t="n">
        <v>102193320.51</v>
      </c>
      <c r="I5" s="3" t="n">
        <v>92887185.85999998</v>
      </c>
      <c r="J5" s="3" t="n">
        <v>20250.87</v>
      </c>
      <c r="K5" s="4" t="n">
        <v>5109666.0255</v>
      </c>
      <c r="L5" s="4" t="n">
        <v>0.2117246276188491</v>
      </c>
      <c r="M5" s="3" t="n">
        <v>3</v>
      </c>
      <c r="N5" t="inlineStr">
        <is>
          <t>(NVDA, 7.69%), (AAPL, 6.79%), (MSFT, 6.69%)</t>
        </is>
      </c>
      <c r="O5" s="4" t="n">
        <v>0</v>
      </c>
      <c r="P5" t="inlineStr">
        <is>
          <t>None</t>
        </is>
      </c>
      <c r="Q5" t="inlineStr">
        <is>
          <t>AMT (1.60%)</t>
        </is>
      </c>
      <c r="R5" t="inlineStr">
        <is>
          <t>V (1.50%)</t>
        </is>
      </c>
    </row>
    <row r="6">
      <c r="A6" s="2" t="n">
        <v>45926</v>
      </c>
      <c r="B6" t="inlineStr">
        <is>
          <t>P31027</t>
        </is>
      </c>
      <c r="C6" t="inlineStr">
        <is>
          <t>PASS</t>
        </is>
      </c>
      <c r="D6" s="3">
        <f>IF(I6/H6&gt;=0.5,"PASS","FAIL")</f>
        <v/>
      </c>
      <c r="E6" s="3">
        <f>IF(L6&lt;=0.5,"PASS","FAIL")</f>
        <v/>
      </c>
      <c r="F6" t="inlineStr">
        <is>
          <t>PASS</t>
        </is>
      </c>
      <c r="G6" t="inlineStr">
        <is>
          <t>PASS</t>
        </is>
      </c>
      <c r="H6" s="3" t="n">
        <v>15500570.36</v>
      </c>
      <c r="I6" s="3" t="n">
        <v>13860990.39</v>
      </c>
      <c r="J6" s="3" t="n">
        <v>3005.4</v>
      </c>
      <c r="K6" s="4" t="n">
        <v>775028.518</v>
      </c>
      <c r="L6" s="4" t="n">
        <v>0.2128324260152819</v>
      </c>
      <c r="M6" s="3" t="n">
        <v>3</v>
      </c>
      <c r="N6" t="inlineStr">
        <is>
          <t>(NVDA, 7.73%), (AAPL, 6.83%), (MSFT, 6.73%)</t>
        </is>
      </c>
      <c r="O6" s="4" t="n">
        <v>0</v>
      </c>
      <c r="P6" t="inlineStr">
        <is>
          <t>None</t>
        </is>
      </c>
      <c r="Q6" t="inlineStr">
        <is>
          <t>AMT (1.60%)</t>
        </is>
      </c>
      <c r="R6" t="inlineStr">
        <is>
          <t>V (1.51%)</t>
        </is>
      </c>
    </row>
    <row r="7">
      <c r="A7" s="2" t="n">
        <v>45926</v>
      </c>
      <c r="B7" t="inlineStr">
        <is>
          <t>TR2B1</t>
        </is>
      </c>
      <c r="C7" t="inlineStr">
        <is>
          <t>PASS</t>
        </is>
      </c>
      <c r="D7" s="3">
        <f>IF(I7/H7&gt;=0.5,"PASS","FAIL")</f>
        <v/>
      </c>
      <c r="E7" s="3">
        <f>IF(L7&lt;=0.5,"PASS","FAIL")</f>
        <v/>
      </c>
      <c r="F7" t="inlineStr">
        <is>
          <t>PASS</t>
        </is>
      </c>
      <c r="G7" t="inlineStr">
        <is>
          <t>PASS</t>
        </is>
      </c>
      <c r="H7" s="3" t="n">
        <v>137068569.42</v>
      </c>
      <c r="I7" s="3" t="n">
        <v>124669064.7</v>
      </c>
      <c r="J7" s="3" t="n">
        <v>26401.35</v>
      </c>
      <c r="K7" s="4" t="n">
        <v>6853428.471</v>
      </c>
      <c r="L7" s="4" t="n">
        <v>0.2177621124864819</v>
      </c>
      <c r="M7" s="3" t="n">
        <v>3</v>
      </c>
      <c r="N7" t="inlineStr">
        <is>
          <t>(NVDA, 7.91%), (AAPL, 6.99%), (MSFT, 6.88%)</t>
        </is>
      </c>
      <c r="O7" s="4" t="n">
        <v>0</v>
      </c>
      <c r="P7" t="inlineStr">
        <is>
          <t>None</t>
        </is>
      </c>
      <c r="Q7" t="inlineStr">
        <is>
          <t>XOM (1.75%)</t>
        </is>
      </c>
      <c r="R7" t="inlineStr">
        <is>
          <t>AMT (1.64%)</t>
        </is>
      </c>
    </row>
    <row r="8">
      <c r="A8" s="2" t="n">
        <v>45926</v>
      </c>
      <c r="B8" t="inlineStr">
        <is>
          <t>HE3B1</t>
        </is>
      </c>
      <c r="C8" t="inlineStr">
        <is>
          <t>PASS</t>
        </is>
      </c>
      <c r="D8" s="3">
        <f>IF(I8/H8&gt;=0.5,"PASS","FAIL")</f>
        <v/>
      </c>
      <c r="E8" s="3">
        <f>IF(L8&lt;=0.5,"PASS","FAIL")</f>
        <v/>
      </c>
      <c r="F8" t="inlineStr">
        <is>
          <t>PASS</t>
        </is>
      </c>
      <c r="G8" t="inlineStr">
        <is>
          <t>PASS</t>
        </is>
      </c>
      <c r="H8" s="3" t="n">
        <v>43849758.73</v>
      </c>
      <c r="I8" s="3" t="n">
        <v>38380779.16999999</v>
      </c>
      <c r="J8" s="3" t="n">
        <v>8127.21</v>
      </c>
      <c r="K8" s="4" t="n">
        <v>2192487.9365</v>
      </c>
      <c r="L8" s="4" t="n">
        <v>0.2176608254364901</v>
      </c>
      <c r="M8" s="3" t="n">
        <v>3</v>
      </c>
      <c r="N8" t="inlineStr">
        <is>
          <t>(NVDA, 7.91%), (AAPL, 6.98%), (MSFT, 6.88%)</t>
        </is>
      </c>
      <c r="O8" s="4" t="n">
        <v>0</v>
      </c>
      <c r="P8" t="inlineStr">
        <is>
          <t>None</t>
        </is>
      </c>
      <c r="Q8" t="inlineStr">
        <is>
          <t>XOM (1.74%)</t>
        </is>
      </c>
      <c r="R8" t="inlineStr">
        <is>
          <t>AMT (1.64%)</t>
        </is>
      </c>
    </row>
    <row r="9">
      <c r="A9" s="2" t="n">
        <v>45926</v>
      </c>
      <c r="B9" t="inlineStr">
        <is>
          <t>TR2B2</t>
        </is>
      </c>
      <c r="C9" t="inlineStr">
        <is>
          <t>PASS</t>
        </is>
      </c>
      <c r="D9" s="3">
        <f>IF(I9/H9&gt;=0.5,"PASS","FAIL")</f>
        <v/>
      </c>
      <c r="E9" s="3">
        <f>IF(L9&lt;=0.5,"PASS","FAIL")</f>
        <v/>
      </c>
      <c r="F9" t="inlineStr">
        <is>
          <t>PASS</t>
        </is>
      </c>
      <c r="G9" t="inlineStr">
        <is>
          <t>PASS</t>
        </is>
      </c>
      <c r="H9" s="3" t="n">
        <v>168286622.34</v>
      </c>
      <c r="I9" s="3" t="n">
        <v>144014636.4</v>
      </c>
      <c r="J9" s="3" t="n">
        <v>31274.43</v>
      </c>
      <c r="K9" s="4" t="n">
        <v>8414331.117000001</v>
      </c>
      <c r="L9" s="4" t="n">
        <v>0.2124974856008506</v>
      </c>
      <c r="M9" s="3" t="n">
        <v>3</v>
      </c>
      <c r="N9" t="inlineStr">
        <is>
          <t>(NVDA, 7.72%), (AAPL, 6.82%), (MSFT, 6.71%)</t>
        </is>
      </c>
      <c r="O9" s="4" t="n">
        <v>0</v>
      </c>
      <c r="P9" t="inlineStr">
        <is>
          <t>None</t>
        </is>
      </c>
      <c r="Q9" t="inlineStr">
        <is>
          <t>AMT (1.60%)</t>
        </is>
      </c>
      <c r="R9" t="inlineStr">
        <is>
          <t>V (1.51%)</t>
        </is>
      </c>
    </row>
    <row r="10">
      <c r="A10" s="2" t="n">
        <v>45926</v>
      </c>
      <c r="B10" t="inlineStr">
        <is>
          <t>R21126</t>
        </is>
      </c>
      <c r="C10" t="inlineStr">
        <is>
          <t>PASS</t>
        </is>
      </c>
      <c r="D10" s="3">
        <f>IF(I10/H10&gt;=0.5,"PASS","FAIL")</f>
        <v/>
      </c>
      <c r="E10" s="3">
        <f>IF(L10&lt;=0.5,"PASS","FAIL")</f>
        <v/>
      </c>
      <c r="F10" t="inlineStr">
        <is>
          <t>PASS</t>
        </is>
      </c>
      <c r="G10" t="inlineStr">
        <is>
          <t>PASS</t>
        </is>
      </c>
      <c r="H10" s="3" t="n">
        <v>55347988.39</v>
      </c>
      <c r="I10" s="3" t="n">
        <v>50958708.94000001</v>
      </c>
      <c r="J10" s="3" t="n">
        <v>10985.22</v>
      </c>
      <c r="K10" s="4" t="n">
        <v>2767399.4195</v>
      </c>
      <c r="L10" s="4" t="n">
        <v>0</v>
      </c>
      <c r="M10" s="3" t="n">
        <v>0</v>
      </c>
      <c r="N10" t="inlineStr">
        <is>
          <t>None</t>
        </is>
      </c>
      <c r="O10" s="4" t="n">
        <v>0</v>
      </c>
      <c r="P10" t="inlineStr">
        <is>
          <t>None</t>
        </is>
      </c>
      <c r="Q10" t="inlineStr">
        <is>
          <t>EA (1.84%)</t>
        </is>
      </c>
      <c r="R10" t="inlineStr">
        <is>
          <t>CB (1.84%)</t>
        </is>
      </c>
    </row>
    <row r="11">
      <c r="A11" s="2" t="n">
        <v>45926</v>
      </c>
      <c r="B11" t="inlineStr">
        <is>
          <t>HE3B2</t>
        </is>
      </c>
      <c r="C11" t="inlineStr">
        <is>
          <t>PASS</t>
        </is>
      </c>
      <c r="D11" s="3">
        <f>IF(I11/H11&gt;=0.5,"PASS","FAIL")</f>
        <v/>
      </c>
      <c r="E11" s="3">
        <f>IF(L11&lt;=0.5,"PASS","FAIL")</f>
        <v/>
      </c>
      <c r="F11" t="inlineStr">
        <is>
          <t>PASS</t>
        </is>
      </c>
      <c r="G11" t="inlineStr">
        <is>
          <t>PASS</t>
        </is>
      </c>
      <c r="H11" s="3" t="n">
        <v>24895464.15</v>
      </c>
      <c r="I11" s="3" t="n">
        <v>20906054.97</v>
      </c>
      <c r="J11" s="3" t="n">
        <v>4541.37</v>
      </c>
      <c r="K11" s="4" t="n">
        <v>1244773.2075</v>
      </c>
      <c r="L11" s="4" t="n">
        <v>0.2123693691196273</v>
      </c>
      <c r="M11" s="3" t="n">
        <v>3</v>
      </c>
      <c r="N11" t="inlineStr">
        <is>
          <t>(NVDA, 7.71%), (AAPL, 6.81%), (MSFT, 6.71%)</t>
        </is>
      </c>
      <c r="O11" s="4" t="n">
        <v>0</v>
      </c>
      <c r="P11" t="inlineStr">
        <is>
          <t>None</t>
        </is>
      </c>
      <c r="Q11" t="inlineStr">
        <is>
          <t>AMT (1.60%)</t>
        </is>
      </c>
      <c r="R11" t="inlineStr">
        <is>
          <t>V (1.50%)</t>
        </is>
      </c>
    </row>
    <row r="12">
      <c r="A12" s="2" t="n">
        <v>45926</v>
      </c>
      <c r="B12" t="inlineStr">
        <is>
          <t>P30128</t>
        </is>
      </c>
      <c r="C12" t="inlineStr">
        <is>
          <t>PASS</t>
        </is>
      </c>
      <c r="D12" s="3">
        <f>IF(I12/H12&gt;=0.5,"PASS","FAIL")</f>
        <v/>
      </c>
      <c r="E12" s="3">
        <f>IF(L12&lt;=0.5,"PASS","FAIL")</f>
        <v/>
      </c>
      <c r="F12" t="inlineStr">
        <is>
          <t>PASS</t>
        </is>
      </c>
      <c r="G12" t="inlineStr">
        <is>
          <t>PASS</t>
        </is>
      </c>
      <c r="H12" s="3" t="n">
        <v>40675886.38</v>
      </c>
      <c r="I12" s="3" t="n">
        <v>35287294.36</v>
      </c>
      <c r="J12" s="3" t="n">
        <v>7691.64</v>
      </c>
      <c r="K12" s="4" t="n">
        <v>2033794.319</v>
      </c>
      <c r="L12" s="4" t="n">
        <v>0.2115911898345429</v>
      </c>
      <c r="M12" s="3" t="n">
        <v>3</v>
      </c>
      <c r="N12" t="inlineStr">
        <is>
          <t>(NVDA, 7.68%), (AAPL, 6.79%), (MSFT, 6.69%)</t>
        </is>
      </c>
      <c r="O12" s="4" t="n">
        <v>0</v>
      </c>
      <c r="P12" t="inlineStr">
        <is>
          <t>None</t>
        </is>
      </c>
      <c r="Q12" t="inlineStr">
        <is>
          <t>AMT (1.60%)</t>
        </is>
      </c>
      <c r="R12" t="inlineStr">
        <is>
          <t>V (1.50%)</t>
        </is>
      </c>
    </row>
    <row r="13">
      <c r="A13" s="2" t="n">
        <v>45929</v>
      </c>
      <c r="B13" t="inlineStr">
        <is>
          <t>P2726</t>
        </is>
      </c>
      <c r="C13" t="inlineStr">
        <is>
          <t>PASS</t>
        </is>
      </c>
      <c r="D13" s="3">
        <f>IF(I13/H13&gt;=0.5,"PASS","FAIL")</f>
        <v/>
      </c>
      <c r="E13" s="3">
        <f>IF(L13&lt;=0.5,"PASS","FAIL")</f>
        <v/>
      </c>
      <c r="F13" t="inlineStr">
        <is>
          <t>PASS</t>
        </is>
      </c>
      <c r="G13" t="inlineStr">
        <is>
          <t>PASS</t>
        </is>
      </c>
      <c r="H13" s="3" t="n">
        <v>34991693.59</v>
      </c>
      <c r="I13" s="3" t="n">
        <v>32951889.97</v>
      </c>
      <c r="J13" s="3" t="n">
        <v>2378.36</v>
      </c>
      <c r="K13" s="4" t="n">
        <v>1749584.6795</v>
      </c>
      <c r="L13" s="4" t="n">
        <v>0.2152425815965209</v>
      </c>
      <c r="M13" s="3" t="n">
        <v>3</v>
      </c>
      <c r="N13" t="inlineStr">
        <is>
          <t>(NVDA, 7.91%), (AAPL, 6.82%), (MSFT, 6.80%)</t>
        </is>
      </c>
      <c r="O13" s="4" t="n">
        <v>0</v>
      </c>
      <c r="P13" t="inlineStr">
        <is>
          <t>None</t>
        </is>
      </c>
      <c r="Q13" t="inlineStr">
        <is>
          <t>AMT (1.62%)</t>
        </is>
      </c>
      <c r="R13" t="inlineStr">
        <is>
          <t>V (1.53%)</t>
        </is>
      </c>
    </row>
    <row r="14">
      <c r="A14" s="2" t="n">
        <v>45929</v>
      </c>
      <c r="B14" t="inlineStr">
        <is>
          <t>P3727</t>
        </is>
      </c>
      <c r="C14" t="inlineStr">
        <is>
          <t>PASS</t>
        </is>
      </c>
      <c r="D14" s="3">
        <f>IF(I14/H14&gt;=0.5,"PASS","FAIL")</f>
        <v/>
      </c>
      <c r="E14" s="3">
        <f>IF(L14&lt;=0.5,"PASS","FAIL")</f>
        <v/>
      </c>
      <c r="F14" t="inlineStr">
        <is>
          <t>PASS</t>
        </is>
      </c>
      <c r="G14" t="inlineStr">
        <is>
          <t>PASS</t>
        </is>
      </c>
      <c r="H14" s="3" t="n">
        <v>79649747.64</v>
      </c>
      <c r="I14" s="3" t="n">
        <v>72005999.13000001</v>
      </c>
      <c r="J14" s="3" t="n">
        <v>5199.2</v>
      </c>
      <c r="K14" s="4" t="n">
        <v>3982487.382</v>
      </c>
      <c r="L14" s="4" t="n">
        <v>0.2148437040748875</v>
      </c>
      <c r="M14" s="3" t="n">
        <v>3</v>
      </c>
      <c r="N14" t="inlineStr">
        <is>
          <t>(NVDA, 7.89%), (AAPL, 6.80%), (MSFT, 6.78%)</t>
        </is>
      </c>
      <c r="O14" s="4" t="n">
        <v>0</v>
      </c>
      <c r="P14" t="inlineStr">
        <is>
          <t>None</t>
        </is>
      </c>
      <c r="Q14" t="inlineStr">
        <is>
          <t>AMT (1.62%)</t>
        </is>
      </c>
      <c r="R14" t="inlineStr">
        <is>
          <t>V (1.52%)</t>
        </is>
      </c>
    </row>
    <row r="15">
      <c r="A15" s="2" t="n">
        <v>45929</v>
      </c>
      <c r="B15" t="inlineStr">
        <is>
          <t>P21026</t>
        </is>
      </c>
      <c r="C15" t="inlineStr">
        <is>
          <t>PASS</t>
        </is>
      </c>
      <c r="D15" s="3">
        <f>IF(I15/H15&gt;=0.5,"PASS","FAIL")</f>
        <v/>
      </c>
      <c r="E15" s="3">
        <f>IF(L15&lt;=0.5,"PASS","FAIL")</f>
        <v/>
      </c>
      <c r="F15" t="inlineStr">
        <is>
          <t>PASS</t>
        </is>
      </c>
      <c r="G15" t="inlineStr">
        <is>
          <t>PASS</t>
        </is>
      </c>
      <c r="H15" s="3" t="n">
        <v>23675969.74</v>
      </c>
      <c r="I15" s="3" t="n">
        <v>21733284.1</v>
      </c>
      <c r="J15" s="3" t="n">
        <v>1576.54</v>
      </c>
      <c r="K15" s="4" t="n">
        <v>1183798.487</v>
      </c>
      <c r="L15" s="4" t="n">
        <v>0.2141084051740866</v>
      </c>
      <c r="M15" s="3" t="n">
        <v>3</v>
      </c>
      <c r="N15" t="inlineStr">
        <is>
          <t>(NVDA, 7.87%), (AAPL, 6.78%), (MSFT, 6.76%)</t>
        </is>
      </c>
      <c r="O15" s="4" t="n">
        <v>0</v>
      </c>
      <c r="P15" t="inlineStr">
        <is>
          <t>None</t>
        </is>
      </c>
      <c r="Q15" t="inlineStr">
        <is>
          <t>AMT (1.61%)</t>
        </is>
      </c>
      <c r="R15" t="inlineStr">
        <is>
          <t>V (1.52%)</t>
        </is>
      </c>
    </row>
    <row r="16">
      <c r="A16" s="2" t="n">
        <v>45929</v>
      </c>
      <c r="B16" t="inlineStr">
        <is>
          <t>P20127</t>
        </is>
      </c>
      <c r="C16" t="inlineStr">
        <is>
          <t>PASS</t>
        </is>
      </c>
      <c r="D16" s="3">
        <f>IF(I16/H16&gt;=0.5,"PASS","FAIL")</f>
        <v/>
      </c>
      <c r="E16" s="3">
        <f>IF(L16&lt;=0.5,"PASS","FAIL")</f>
        <v/>
      </c>
      <c r="F16" t="inlineStr">
        <is>
          <t>PASS</t>
        </is>
      </c>
      <c r="G16" t="inlineStr">
        <is>
          <t>PASS</t>
        </is>
      </c>
      <c r="H16" s="3" t="n">
        <v>102254387.18</v>
      </c>
      <c r="I16" s="3" t="n">
        <v>92738489.78</v>
      </c>
      <c r="J16" s="3" t="n">
        <v>6764.55</v>
      </c>
      <c r="K16" s="4" t="n">
        <v>5112719.359000001</v>
      </c>
      <c r="L16" s="4" t="n">
        <v>0.2133165460568429</v>
      </c>
      <c r="M16" s="3" t="n">
        <v>3</v>
      </c>
      <c r="N16" t="inlineStr">
        <is>
          <t>(NVDA, 7.82%), (MSFT, 6.77%), (AAPL, 6.74%)</t>
        </is>
      </c>
      <c r="O16" s="4" t="n">
        <v>0</v>
      </c>
      <c r="P16" t="inlineStr">
        <is>
          <t>None</t>
        </is>
      </c>
      <c r="Q16" t="inlineStr">
        <is>
          <t>AMT (1.60%)</t>
        </is>
      </c>
      <c r="R16" t="inlineStr">
        <is>
          <t>V (1.51%)</t>
        </is>
      </c>
    </row>
    <row r="17">
      <c r="A17" s="2" t="n">
        <v>45929</v>
      </c>
      <c r="B17" t="inlineStr">
        <is>
          <t>P31027</t>
        </is>
      </c>
      <c r="C17" t="inlineStr">
        <is>
          <t>PASS</t>
        </is>
      </c>
      <c r="D17" s="3">
        <f>IF(I17/H17&gt;=0.5,"PASS","FAIL")</f>
        <v/>
      </c>
      <c r="E17" s="3">
        <f>IF(L17&lt;=0.5,"PASS","FAIL")</f>
        <v/>
      </c>
      <c r="F17" t="inlineStr">
        <is>
          <t>PASS</t>
        </is>
      </c>
      <c r="G17" t="inlineStr">
        <is>
          <t>PASS</t>
        </is>
      </c>
      <c r="H17" s="3" t="n">
        <v>15514182.29</v>
      </c>
      <c r="I17" s="3" t="n">
        <v>13848037.67</v>
      </c>
      <c r="J17" s="3" t="n">
        <v>1004.43</v>
      </c>
      <c r="K17" s="4" t="n">
        <v>775709.1145</v>
      </c>
      <c r="L17" s="4" t="n">
        <v>0.2137633946688592</v>
      </c>
      <c r="M17" s="3" t="n">
        <v>3</v>
      </c>
      <c r="N17" t="inlineStr">
        <is>
          <t>(NVDA, 7.85%), (AAPL, 6.77%), (MSFT, 6.75%)</t>
        </is>
      </c>
      <c r="O17" s="4" t="n">
        <v>0</v>
      </c>
      <c r="P17" t="inlineStr">
        <is>
          <t>None</t>
        </is>
      </c>
      <c r="Q17" t="inlineStr">
        <is>
          <t>AMT (1.61%)</t>
        </is>
      </c>
      <c r="R17" t="inlineStr">
        <is>
          <t>V (1.52%)</t>
        </is>
      </c>
    </row>
    <row r="18">
      <c r="A18" s="2" t="n">
        <v>45929</v>
      </c>
      <c r="B18" t="inlineStr">
        <is>
          <t>TR2B1</t>
        </is>
      </c>
      <c r="C18" t="inlineStr">
        <is>
          <t>PASS</t>
        </is>
      </c>
      <c r="D18" s="3">
        <f>IF(I18/H18&gt;=0.5,"PASS","FAIL")</f>
        <v/>
      </c>
      <c r="E18" s="3">
        <f>IF(L18&lt;=0.5,"PASS","FAIL")</f>
        <v/>
      </c>
      <c r="F18" t="inlineStr">
        <is>
          <t>PASS</t>
        </is>
      </c>
      <c r="G18" t="inlineStr">
        <is>
          <t>PASS</t>
        </is>
      </c>
      <c r="H18" s="3" t="n">
        <v>137183343.09</v>
      </c>
      <c r="I18" s="3" t="n">
        <v>125586020.42</v>
      </c>
      <c r="J18" s="3" t="n">
        <v>8825.73</v>
      </c>
      <c r="K18" s="4" t="n">
        <v>6859167.1545</v>
      </c>
      <c r="L18" s="4" t="n">
        <v>0.2289215271371269</v>
      </c>
      <c r="M18" s="3" t="n">
        <v>3</v>
      </c>
      <c r="N18" t="inlineStr">
        <is>
          <t>(NVDA, 8.04%), (MSFT, 7.92%), (AAPL, 6.93%)</t>
        </is>
      </c>
      <c r="O18" s="4" t="n">
        <v>0</v>
      </c>
      <c r="P18" t="inlineStr">
        <is>
          <t>None</t>
        </is>
      </c>
      <c r="Q18" t="inlineStr">
        <is>
          <t>XOM (1.69%)</t>
        </is>
      </c>
      <c r="R18" t="inlineStr">
        <is>
          <t>AMT (1.64%)</t>
        </is>
      </c>
    </row>
    <row r="19">
      <c r="A19" s="2" t="n">
        <v>45929</v>
      </c>
      <c r="B19" t="inlineStr">
        <is>
          <t>HE3B1</t>
        </is>
      </c>
      <c r="C19" t="inlineStr">
        <is>
          <t>PASS</t>
        </is>
      </c>
      <c r="D19" s="3">
        <f>IF(I19/H19&gt;=0.5,"PASS","FAIL")</f>
        <v/>
      </c>
      <c r="E19" s="3">
        <f>IF(L19&lt;=0.5,"PASS","FAIL")</f>
        <v/>
      </c>
      <c r="F19" t="inlineStr">
        <is>
          <t>PASS</t>
        </is>
      </c>
      <c r="G19" t="inlineStr">
        <is>
          <t>PASS</t>
        </is>
      </c>
      <c r="H19" s="3" t="n">
        <v>43888203.73</v>
      </c>
      <c r="I19" s="3" t="n">
        <v>38303045.35999999</v>
      </c>
      <c r="J19" s="3" t="n">
        <v>2718.02</v>
      </c>
      <c r="K19" s="4" t="n">
        <v>2194410.1865</v>
      </c>
      <c r="L19" s="4" t="n">
        <v>0.2186507272735214</v>
      </c>
      <c r="M19" s="3" t="n">
        <v>3</v>
      </c>
      <c r="N19" t="inlineStr">
        <is>
          <t>(NVDA, 8.03%), (AAPL, 6.93%), (MSFT, 6.90%)</t>
        </is>
      </c>
      <c r="O19" s="4" t="n">
        <v>0</v>
      </c>
      <c r="P19" t="inlineStr">
        <is>
          <t>None</t>
        </is>
      </c>
      <c r="Q19" t="inlineStr">
        <is>
          <t>XOM (1.69%)</t>
        </is>
      </c>
      <c r="R19" t="inlineStr">
        <is>
          <t>AMT (1.64%)</t>
        </is>
      </c>
    </row>
    <row r="20">
      <c r="A20" s="2" t="n">
        <v>45929</v>
      </c>
      <c r="B20" t="inlineStr">
        <is>
          <t>TR2B2</t>
        </is>
      </c>
      <c r="C20" t="inlineStr">
        <is>
          <t>PASS</t>
        </is>
      </c>
      <c r="D20" s="3">
        <f>IF(I20/H20&gt;=0.5,"PASS","FAIL")</f>
        <v/>
      </c>
      <c r="E20" s="3">
        <f>IF(L20&lt;=0.5,"PASS","FAIL")</f>
        <v/>
      </c>
      <c r="F20" t="inlineStr">
        <is>
          <t>PASS</t>
        </is>
      </c>
      <c r="G20" t="inlineStr">
        <is>
          <t>PASS</t>
        </is>
      </c>
      <c r="H20" s="3" t="n">
        <v>168398611.09</v>
      </c>
      <c r="I20" s="3" t="n">
        <v>145306689.41</v>
      </c>
      <c r="J20" s="3" t="n">
        <v>10447.55</v>
      </c>
      <c r="K20" s="4" t="n">
        <v>8419930.554500001</v>
      </c>
      <c r="L20" s="4" t="n">
        <v>0.2248300950328361</v>
      </c>
      <c r="M20" s="3" t="n">
        <v>3</v>
      </c>
      <c r="N20" t="inlineStr">
        <is>
          <t>(NVDA, 7.87%), (MSFT, 7.85%), (AAPL, 6.76%)</t>
        </is>
      </c>
      <c r="O20" s="4" t="n">
        <v>0</v>
      </c>
      <c r="P20" t="inlineStr">
        <is>
          <t>None</t>
        </is>
      </c>
      <c r="Q20" t="inlineStr">
        <is>
          <t>XOM (1.65%)</t>
        </is>
      </c>
      <c r="R20" t="inlineStr">
        <is>
          <t>AMT (1.61%)</t>
        </is>
      </c>
    </row>
    <row r="21">
      <c r="A21" s="2" t="n">
        <v>45929</v>
      </c>
      <c r="B21" t="inlineStr">
        <is>
          <t>R21126</t>
        </is>
      </c>
      <c r="C21" t="inlineStr">
        <is>
          <t>PASS</t>
        </is>
      </c>
      <c r="D21" s="3">
        <f>IF(I21/H21&gt;=0.5,"PASS","FAIL")</f>
        <v/>
      </c>
      <c r="E21" s="3">
        <f>IF(L21&lt;=0.5,"PASS","FAIL")</f>
        <v/>
      </c>
      <c r="F21" t="inlineStr">
        <is>
          <t>PASS</t>
        </is>
      </c>
      <c r="G21" t="inlineStr">
        <is>
          <t>PASS</t>
        </is>
      </c>
      <c r="H21" s="3" t="n">
        <v>55395797.75</v>
      </c>
      <c r="I21" s="3" t="n">
        <v>50977109.85</v>
      </c>
      <c r="J21" s="3" t="n">
        <v>3689.56</v>
      </c>
      <c r="K21" s="4" t="n">
        <v>2769789.8875</v>
      </c>
      <c r="L21" s="4" t="n">
        <v>0</v>
      </c>
      <c r="M21" s="3" t="n">
        <v>0</v>
      </c>
      <c r="N21" t="inlineStr">
        <is>
          <t>None</t>
        </is>
      </c>
      <c r="O21" s="4" t="n">
        <v>0</v>
      </c>
      <c r="P21" t="inlineStr">
        <is>
          <t>None</t>
        </is>
      </c>
      <c r="Q21" t="inlineStr">
        <is>
          <t>UNM (1.88%)</t>
        </is>
      </c>
      <c r="R21" t="inlineStr">
        <is>
          <t>V (1.83%)</t>
        </is>
      </c>
    </row>
    <row r="22">
      <c r="A22" s="2" t="n">
        <v>45929</v>
      </c>
      <c r="B22" t="inlineStr">
        <is>
          <t>HE3B2</t>
        </is>
      </c>
      <c r="C22" t="inlineStr">
        <is>
          <t>PASS</t>
        </is>
      </c>
      <c r="D22" s="3">
        <f>IF(I22/H22&gt;=0.5,"PASS","FAIL")</f>
        <v/>
      </c>
      <c r="E22" s="3">
        <f>IF(L22&lt;=0.5,"PASS","FAIL")</f>
        <v/>
      </c>
      <c r="F22" t="inlineStr">
        <is>
          <t>PASS</t>
        </is>
      </c>
      <c r="G22" t="inlineStr">
        <is>
          <t>PASS</t>
        </is>
      </c>
      <c r="H22" s="3" t="n">
        <v>24912662.87</v>
      </c>
      <c r="I22" s="3" t="n">
        <v>20861961.69000001</v>
      </c>
      <c r="J22" s="3" t="n">
        <v>1518.88</v>
      </c>
      <c r="K22" s="4" t="n">
        <v>1245633.1435</v>
      </c>
      <c r="L22" s="4" t="n">
        <v>0.2133278406102241</v>
      </c>
      <c r="M22" s="3" t="n">
        <v>3</v>
      </c>
      <c r="N22" t="inlineStr">
        <is>
          <t>(NVDA, 7.84%), (AAPL, 6.76%), (MSFT, 6.74%)</t>
        </is>
      </c>
      <c r="O22" s="4" t="n">
        <v>0</v>
      </c>
      <c r="P22" t="inlineStr">
        <is>
          <t>None</t>
        </is>
      </c>
      <c r="Q22" t="inlineStr">
        <is>
          <t>AMT (1.60%)</t>
        </is>
      </c>
      <c r="R22" t="inlineStr">
        <is>
          <t>V (1.51%)</t>
        </is>
      </c>
    </row>
    <row r="23">
      <c r="A23" s="2" t="n">
        <v>45929</v>
      </c>
      <c r="B23" t="inlineStr">
        <is>
          <t>P30128</t>
        </is>
      </c>
      <c r="C23" t="inlineStr">
        <is>
          <t>PASS</t>
        </is>
      </c>
      <c r="D23" s="3">
        <f>IF(I23/H23&gt;=0.5,"PASS","FAIL")</f>
        <v/>
      </c>
      <c r="E23" s="3">
        <f>IF(L23&lt;=0.5,"PASS","FAIL")</f>
        <v/>
      </c>
      <c r="F23" t="inlineStr">
        <is>
          <t>PASS</t>
        </is>
      </c>
      <c r="G23" t="inlineStr">
        <is>
          <t>PASS</t>
        </is>
      </c>
      <c r="H23" s="3" t="n">
        <v>40711704.91</v>
      </c>
      <c r="I23" s="3" t="n">
        <v>35218417.54</v>
      </c>
      <c r="J23" s="3" t="n">
        <v>2570.81</v>
      </c>
      <c r="K23" s="4" t="n">
        <v>2035585.2455</v>
      </c>
      <c r="L23" s="4" t="n">
        <v>0.2125449403270283</v>
      </c>
      <c r="M23" s="3" t="n">
        <v>3</v>
      </c>
      <c r="N23" t="inlineStr">
        <is>
          <t>(NVDA, 7.81%), (AAPL, 6.73%), (MSFT, 6.71%)</t>
        </is>
      </c>
      <c r="O23" s="4" t="n">
        <v>0</v>
      </c>
      <c r="P23" t="inlineStr">
        <is>
          <t>None</t>
        </is>
      </c>
      <c r="Q23" t="inlineStr">
        <is>
          <t>AMT (1.60%)</t>
        </is>
      </c>
      <c r="R23" t="inlineStr">
        <is>
          <t>V (1.51%)</t>
        </is>
      </c>
    </row>
    <row r="24">
      <c r="A24" s="2" t="n">
        <v>45930</v>
      </c>
      <c r="B24" t="inlineStr">
        <is>
          <t>P2726</t>
        </is>
      </c>
      <c r="C24" t="inlineStr">
        <is>
          <t>PASS</t>
        </is>
      </c>
      <c r="D24" s="3">
        <f>IF(I24/H24&gt;=0.5,"PASS","FAIL")</f>
        <v/>
      </c>
      <c r="E24" s="3">
        <f>IF(L24&lt;=0.5,"PASS","FAIL")</f>
        <v/>
      </c>
      <c r="F24" t="inlineStr">
        <is>
          <t>PASS</t>
        </is>
      </c>
      <c r="G24" t="inlineStr">
        <is>
          <t>PASS</t>
        </is>
      </c>
      <c r="H24" s="3" t="n">
        <v>35076130.81</v>
      </c>
      <c r="I24" s="3" t="n">
        <v>32700911.78</v>
      </c>
      <c r="J24" s="3" t="n">
        <v>4201</v>
      </c>
      <c r="K24" s="4" t="n">
        <v>1753806.5405</v>
      </c>
      <c r="L24" s="4" t="n">
        <v>0.2176097475758511</v>
      </c>
      <c r="M24" s="3" t="n">
        <v>3</v>
      </c>
      <c r="N24" t="inlineStr">
        <is>
          <t>(NVDA, 8.11%), (MSFT, 6.83%), (AAPL, 6.82%)</t>
        </is>
      </c>
      <c r="O24" s="4" t="n">
        <v>0</v>
      </c>
      <c r="P24" t="inlineStr">
        <is>
          <t>None</t>
        </is>
      </c>
      <c r="Q24" t="inlineStr">
        <is>
          <t>AMT (1.59%)</t>
        </is>
      </c>
      <c r="R24" t="inlineStr">
        <is>
          <t>V (1.53%)</t>
        </is>
      </c>
    </row>
    <row r="25">
      <c r="A25" s="2" t="n">
        <v>45930</v>
      </c>
      <c r="B25" t="inlineStr">
        <is>
          <t>P3727</t>
        </is>
      </c>
      <c r="C25" t="inlineStr">
        <is>
          <t>PASS</t>
        </is>
      </c>
      <c r="D25" s="3">
        <f>IF(I25/H25&gt;=0.5,"PASS","FAIL")</f>
        <v/>
      </c>
      <c r="E25" s="3">
        <f>IF(L25&lt;=0.5,"PASS","FAIL")</f>
        <v/>
      </c>
      <c r="F25" t="inlineStr">
        <is>
          <t>PASS</t>
        </is>
      </c>
      <c r="G25" t="inlineStr">
        <is>
          <t>PASS</t>
        </is>
      </c>
      <c r="H25" s="3" t="n">
        <v>79845989.98999999</v>
      </c>
      <c r="I25" s="3" t="n">
        <v>71626459.14</v>
      </c>
      <c r="J25" s="3" t="n">
        <v>4537.97</v>
      </c>
      <c r="K25" s="4" t="n">
        <v>3992299.4995</v>
      </c>
      <c r="L25" s="4" t="n">
        <v>0.2171593907680547</v>
      </c>
      <c r="M25" s="3" t="n">
        <v>3</v>
      </c>
      <c r="N25" t="inlineStr">
        <is>
          <t>(NVDA, 8.10%), (MSFT, 6.81%), (AAPL, 6.81%)</t>
        </is>
      </c>
      <c r="O25" s="4" t="n">
        <v>0</v>
      </c>
      <c r="P25" t="inlineStr">
        <is>
          <t>None</t>
        </is>
      </c>
      <c r="Q25" t="inlineStr">
        <is>
          <t>AMT (1.59%)</t>
        </is>
      </c>
      <c r="R25" t="inlineStr">
        <is>
          <t>V (1.53%)</t>
        </is>
      </c>
    </row>
    <row r="26">
      <c r="A26" s="2" t="n">
        <v>45930</v>
      </c>
      <c r="B26" t="inlineStr">
        <is>
          <t>P21026</t>
        </is>
      </c>
      <c r="C26" t="inlineStr">
        <is>
          <t>PASS</t>
        </is>
      </c>
      <c r="D26" s="3">
        <f>IF(I26/H26&gt;=0.5,"PASS","FAIL")</f>
        <v/>
      </c>
      <c r="E26" s="3">
        <f>IF(L26&lt;=0.5,"PASS","FAIL")</f>
        <v/>
      </c>
      <c r="F26" t="inlineStr">
        <is>
          <t>PASS</t>
        </is>
      </c>
      <c r="G26" t="inlineStr">
        <is>
          <t>PASS</t>
        </is>
      </c>
      <c r="H26" s="3" t="n">
        <v>23727158.62</v>
      </c>
      <c r="I26" s="3" t="n">
        <v>21560819.05</v>
      </c>
      <c r="J26" s="3" t="n">
        <v>2830.53</v>
      </c>
      <c r="K26" s="4" t="n">
        <v>1186357.931</v>
      </c>
      <c r="L26" s="4" t="n">
        <v>0.2164888428003298</v>
      </c>
      <c r="M26" s="3" t="n">
        <v>3</v>
      </c>
      <c r="N26" t="inlineStr">
        <is>
          <t>(NVDA, 8.07%), (MSFT, 6.79%), (AAPL, 6.79%)</t>
        </is>
      </c>
      <c r="O26" s="4" t="n">
        <v>0</v>
      </c>
      <c r="P26" t="inlineStr">
        <is>
          <t>None</t>
        </is>
      </c>
      <c r="Q26" t="inlineStr">
        <is>
          <t>AMT (1.59%)</t>
        </is>
      </c>
      <c r="R26" t="inlineStr">
        <is>
          <t>V (1.52%)</t>
        </is>
      </c>
    </row>
    <row r="27">
      <c r="A27" s="2" t="n">
        <v>45930</v>
      </c>
      <c r="B27" t="inlineStr">
        <is>
          <t>P20127</t>
        </is>
      </c>
      <c r="C27" t="inlineStr">
        <is>
          <t>PASS</t>
        </is>
      </c>
      <c r="D27" s="3">
        <f>IF(I27/H27&gt;=0.5,"PASS","FAIL")</f>
        <v/>
      </c>
      <c r="E27" s="3">
        <f>IF(L27&lt;=0.5,"PASS","FAIL")</f>
        <v/>
      </c>
      <c r="F27" t="inlineStr">
        <is>
          <t>PASS</t>
        </is>
      </c>
      <c r="G27" t="inlineStr">
        <is>
          <t>PASS</t>
        </is>
      </c>
      <c r="H27" s="3" t="n">
        <v>102465861.95</v>
      </c>
      <c r="I27" s="3" t="n">
        <v>91935687.11999999</v>
      </c>
      <c r="J27" s="3" t="n">
        <v>5366.15</v>
      </c>
      <c r="K27" s="4" t="n">
        <v>5123293.0975</v>
      </c>
      <c r="L27" s="4" t="n">
        <v>0.2151249160562559</v>
      </c>
      <c r="M27" s="3" t="n">
        <v>3</v>
      </c>
      <c r="N27" t="inlineStr">
        <is>
          <t>(NVDA, 8.02%), (MSFT, 6.75%), (AAPL, 6.74%)</t>
        </is>
      </c>
      <c r="O27" s="4" t="n">
        <v>0</v>
      </c>
      <c r="P27" t="inlineStr">
        <is>
          <t>None</t>
        </is>
      </c>
      <c r="Q27" t="inlineStr">
        <is>
          <t>AMT (1.57%)</t>
        </is>
      </c>
      <c r="R27" t="inlineStr">
        <is>
          <t>V (1.51%)</t>
        </is>
      </c>
    </row>
    <row r="28">
      <c r="A28" s="2" t="n">
        <v>45930</v>
      </c>
      <c r="B28" t="inlineStr">
        <is>
          <t>P31027</t>
        </is>
      </c>
      <c r="C28" t="inlineStr">
        <is>
          <t>PASS</t>
        </is>
      </c>
      <c r="D28" s="3">
        <f>IF(I28/H28&gt;=0.5,"PASS","FAIL")</f>
        <v/>
      </c>
      <c r="E28" s="3">
        <f>IF(L28&lt;=0.5,"PASS","FAIL")</f>
        <v/>
      </c>
      <c r="F28" t="inlineStr">
        <is>
          <t>PASS</t>
        </is>
      </c>
      <c r="G28" t="inlineStr">
        <is>
          <t>PASS</t>
        </is>
      </c>
      <c r="H28" s="3" t="n">
        <v>15548235.44</v>
      </c>
      <c r="I28" s="3" t="n">
        <v>13755007.52</v>
      </c>
      <c r="J28" s="3" t="n">
        <v>891.11</v>
      </c>
      <c r="K28" s="4" t="n">
        <v>777411.772</v>
      </c>
      <c r="L28" s="4" t="n">
        <v>0.2161179890101692</v>
      </c>
      <c r="M28" s="3" t="n">
        <v>3</v>
      </c>
      <c r="N28" t="inlineStr">
        <is>
          <t>(NVDA, 8.06%), (MSFT, 6.78%), (AAPL, 6.78%)</t>
        </is>
      </c>
      <c r="O28" s="4" t="n">
        <v>0</v>
      </c>
      <c r="P28" t="inlineStr">
        <is>
          <t>None</t>
        </is>
      </c>
      <c r="Q28" t="inlineStr">
        <is>
          <t>AMT (1.58%)</t>
        </is>
      </c>
      <c r="R28" t="inlineStr">
        <is>
          <t>V (1.52%)</t>
        </is>
      </c>
    </row>
    <row r="29">
      <c r="A29" s="2" t="n">
        <v>45930</v>
      </c>
      <c r="B29" t="inlineStr">
        <is>
          <t>TR2B1</t>
        </is>
      </c>
      <c r="C29" t="inlineStr">
        <is>
          <t>PASS</t>
        </is>
      </c>
      <c r="D29" s="3">
        <f>IF(I29/H29&gt;=0.5,"PASS","FAIL")</f>
        <v/>
      </c>
      <c r="E29" s="3">
        <f>IF(L29&lt;=0.5,"PASS","FAIL")</f>
        <v/>
      </c>
      <c r="F29" t="inlineStr">
        <is>
          <t>PASS</t>
        </is>
      </c>
      <c r="G29" t="inlineStr">
        <is>
          <t>PASS</t>
        </is>
      </c>
      <c r="H29" s="3" t="n">
        <v>137499213.66</v>
      </c>
      <c r="I29" s="3" t="n">
        <v>123401713.34</v>
      </c>
      <c r="J29" s="3" t="n">
        <v>7155.69</v>
      </c>
      <c r="K29" s="4" t="n">
        <v>6874960.683</v>
      </c>
      <c r="L29" s="4" t="n">
        <v>0.2212032685858296</v>
      </c>
      <c r="M29" s="3" t="n">
        <v>3</v>
      </c>
      <c r="N29" t="inlineStr">
        <is>
          <t>(NVDA, 8.25%), (MSFT, 6.94%), (AAPL, 6.94%)</t>
        </is>
      </c>
      <c r="O29" s="4" t="n">
        <v>0</v>
      </c>
      <c r="P29" t="inlineStr">
        <is>
          <t>None</t>
        </is>
      </c>
      <c r="Q29" t="inlineStr">
        <is>
          <t>XOM (1.67%)</t>
        </is>
      </c>
      <c r="R29" t="inlineStr">
        <is>
          <t>AMT (1.62%)</t>
        </is>
      </c>
    </row>
    <row r="30">
      <c r="A30" s="2" t="n">
        <v>45930</v>
      </c>
      <c r="B30" t="inlineStr">
        <is>
          <t>HE3B1</t>
        </is>
      </c>
      <c r="C30" t="inlineStr">
        <is>
          <t>PASS</t>
        </is>
      </c>
      <c r="D30" s="3">
        <f>IF(I30/H30&gt;=0.5,"PASS","FAIL")</f>
        <v/>
      </c>
      <c r="E30" s="3">
        <f>IF(L30&lt;=0.5,"PASS","FAIL")</f>
        <v/>
      </c>
      <c r="F30" t="inlineStr">
        <is>
          <t>PASS</t>
        </is>
      </c>
      <c r="G30" t="inlineStr">
        <is>
          <t>PASS</t>
        </is>
      </c>
      <c r="H30" s="3" t="n">
        <v>43987988.25</v>
      </c>
      <c r="I30" s="3" t="n">
        <v>38112890.18999999</v>
      </c>
      <c r="J30" s="3" t="n">
        <v>2431.57</v>
      </c>
      <c r="K30" s="4" t="n">
        <v>2199399.4125</v>
      </c>
      <c r="L30" s="4" t="n">
        <v>0.2210641000560342</v>
      </c>
      <c r="M30" s="3" t="n">
        <v>3</v>
      </c>
      <c r="N30" t="inlineStr">
        <is>
          <t>(NVDA, 8.24%), (MSFT, 6.93%), (AAPL, 6.93%)</t>
        </is>
      </c>
      <c r="O30" s="4" t="n">
        <v>0</v>
      </c>
      <c r="P30" t="inlineStr">
        <is>
          <t>None</t>
        </is>
      </c>
      <c r="Q30" t="inlineStr">
        <is>
          <t>XOM (1.67%)</t>
        </is>
      </c>
      <c r="R30" t="inlineStr">
        <is>
          <t>AMT (1.62%)</t>
        </is>
      </c>
    </row>
    <row r="31">
      <c r="A31" s="2" t="n">
        <v>45930</v>
      </c>
      <c r="B31" t="inlineStr">
        <is>
          <t>TR2B2</t>
        </is>
      </c>
      <c r="C31" t="inlineStr">
        <is>
          <t>PASS</t>
        </is>
      </c>
      <c r="D31" s="3">
        <f>IF(I31/H31&gt;=0.5,"PASS","FAIL")</f>
        <v/>
      </c>
      <c r="E31" s="3">
        <f>IF(L31&lt;=0.5,"PASS","FAIL")</f>
        <v/>
      </c>
      <c r="F31" t="inlineStr">
        <is>
          <t>PASS</t>
        </is>
      </c>
      <c r="G31" t="inlineStr">
        <is>
          <t>PASS</t>
        </is>
      </c>
      <c r="H31" s="3" t="n">
        <v>168723434.47</v>
      </c>
      <c r="I31" s="3" t="n">
        <v>142503143.49</v>
      </c>
      <c r="J31" s="3" t="n">
        <v>8271.24</v>
      </c>
      <c r="K31" s="4" t="n">
        <v>8436171.7235</v>
      </c>
      <c r="L31" s="4" t="n">
        <v>0.2158863956990284</v>
      </c>
      <c r="M31" s="3" t="n">
        <v>3</v>
      </c>
      <c r="N31" t="inlineStr">
        <is>
          <t>(NVDA, 8.05%), (MSFT, 6.77%), (AAPL, 6.77%)</t>
        </is>
      </c>
      <c r="O31" s="4" t="n">
        <v>0</v>
      </c>
      <c r="P31" t="inlineStr">
        <is>
          <t>None</t>
        </is>
      </c>
      <c r="Q31" t="inlineStr">
        <is>
          <t>AMT (1.58%)</t>
        </is>
      </c>
      <c r="R31" t="inlineStr">
        <is>
          <t>V (1.52%)</t>
        </is>
      </c>
    </row>
    <row r="32">
      <c r="A32" s="2" t="n">
        <v>45930</v>
      </c>
      <c r="B32" t="inlineStr">
        <is>
          <t>R21126</t>
        </is>
      </c>
      <c r="C32" t="inlineStr">
        <is>
          <t>PASS</t>
        </is>
      </c>
      <c r="D32" s="3">
        <f>IF(I32/H32&gt;=0.5,"PASS","FAIL")</f>
        <v/>
      </c>
      <c r="E32" s="3">
        <f>IF(L32&lt;=0.5,"PASS","FAIL")</f>
        <v/>
      </c>
      <c r="F32" t="inlineStr">
        <is>
          <t>PASS</t>
        </is>
      </c>
      <c r="G32" t="inlineStr">
        <is>
          <t>PASS</t>
        </is>
      </c>
      <c r="H32" s="3" t="n">
        <v>55285466.4</v>
      </c>
      <c r="I32" s="3" t="n">
        <v>50355484.03</v>
      </c>
      <c r="J32" s="3" t="n">
        <v>3867.31</v>
      </c>
      <c r="K32" s="4" t="n">
        <v>2764273.32</v>
      </c>
      <c r="L32" s="4" t="n">
        <v>0</v>
      </c>
      <c r="M32" s="3" t="n">
        <v>0</v>
      </c>
      <c r="N32" t="inlineStr">
        <is>
          <t>None</t>
        </is>
      </c>
      <c r="O32" s="4" t="n">
        <v>0</v>
      </c>
      <c r="P32" t="inlineStr">
        <is>
          <t>None</t>
        </is>
      </c>
      <c r="Q32" t="inlineStr">
        <is>
          <t>UNM (1.89%)</t>
        </is>
      </c>
      <c r="R32" t="inlineStr">
        <is>
          <t>MPWR (1.86%)</t>
        </is>
      </c>
    </row>
    <row r="33">
      <c r="A33" s="2" t="n">
        <v>45930</v>
      </c>
      <c r="B33" t="inlineStr">
        <is>
          <t>HE3B2</t>
        </is>
      </c>
      <c r="C33" t="inlineStr">
        <is>
          <t>PASS</t>
        </is>
      </c>
      <c r="D33" s="3">
        <f>IF(I33/H33&gt;=0.5,"PASS","FAIL")</f>
        <v/>
      </c>
      <c r="E33" s="3">
        <f>IF(L33&lt;=0.5,"PASS","FAIL")</f>
        <v/>
      </c>
      <c r="F33" t="inlineStr">
        <is>
          <t>PASS</t>
        </is>
      </c>
      <c r="G33" t="inlineStr">
        <is>
          <t>PASS</t>
        </is>
      </c>
      <c r="H33" s="3" t="n">
        <v>24957044.1</v>
      </c>
      <c r="I33" s="3" t="n">
        <v>20746560.55</v>
      </c>
      <c r="J33" s="3" t="n">
        <v>1309.63</v>
      </c>
      <c r="K33" s="4" t="n">
        <v>1247852.205</v>
      </c>
      <c r="L33" s="4" t="n">
        <v>0.2157573753900986</v>
      </c>
      <c r="M33" s="3" t="n">
        <v>3</v>
      </c>
      <c r="N33" t="inlineStr">
        <is>
          <t>(NVDA, 8.04%), (MSFT, 6.77%), (AAPL, 6.76%)</t>
        </is>
      </c>
      <c r="O33" s="4" t="n">
        <v>0</v>
      </c>
      <c r="P33" t="inlineStr">
        <is>
          <t>None</t>
        </is>
      </c>
      <c r="Q33" t="inlineStr">
        <is>
          <t>AMT (1.58%)</t>
        </is>
      </c>
      <c r="R33" t="inlineStr">
        <is>
          <t>V (1.52%)</t>
        </is>
      </c>
    </row>
    <row r="34">
      <c r="A34" s="2" t="n">
        <v>45930</v>
      </c>
      <c r="B34" t="inlineStr">
        <is>
          <t>P30128</t>
        </is>
      </c>
      <c r="C34" t="inlineStr">
        <is>
          <t>PASS</t>
        </is>
      </c>
      <c r="D34" s="3">
        <f>IF(I34/H34&gt;=0.5,"PASS","FAIL")</f>
        <v/>
      </c>
      <c r="E34" s="3">
        <f>IF(L34&lt;=0.5,"PASS","FAIL")</f>
        <v/>
      </c>
      <c r="F34" t="inlineStr">
        <is>
          <t>PASS</t>
        </is>
      </c>
      <c r="G34" t="inlineStr">
        <is>
          <t>PASS</t>
        </is>
      </c>
      <c r="H34" s="3" t="n">
        <v>40797748.6</v>
      </c>
      <c r="I34" s="3" t="n">
        <v>35028839.38999999</v>
      </c>
      <c r="J34" s="3" t="n">
        <v>2280.05</v>
      </c>
      <c r="K34" s="4" t="n">
        <v>2039887.43</v>
      </c>
      <c r="L34" s="4" t="n">
        <v>0.2148917224165091</v>
      </c>
      <c r="M34" s="3" t="n">
        <v>3</v>
      </c>
      <c r="N34" t="inlineStr">
        <is>
          <t>(NVDA, 8.01%), (MSFT, 6.74%), (AAPL, 6.74%)</t>
        </is>
      </c>
      <c r="O34" s="4" t="n">
        <v>0</v>
      </c>
      <c r="P34" t="inlineStr">
        <is>
          <t>None</t>
        </is>
      </c>
      <c r="Q34" t="inlineStr">
        <is>
          <t>AMT (1.57%)</t>
        </is>
      </c>
      <c r="R34" t="inlineStr">
        <is>
          <t>V (1.51%)</t>
        </is>
      </c>
    </row>
    <row r="35">
      <c r="A35" t="inlineStr">
        <is>
          <t>* IRS Condition 1: 90% of income must come from qualifying sources.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* IRS Condition 2a: At least 50% of assets must be allocated to qualifying securities.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* IRS Condition 2a5: for 50% of portfolio, no issuer is more than 5% of fund assets.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* IRS Condition 2a10: for 50% of portfolio, fund doesn't hold more than 10% of any issuer's outstanding float.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* IRS Condition 2b: No single issuer may constitute more than 25% of assets.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2025-10-31T23:18:44Z</dcterms:created>
  <dcterms:modified xmlns:dcterms="http://purl.org/dc/terms/" xmlns:xsi="http://www.w3.org/2001/XMLSchema-instance" xsi:type="dcterms:W3CDTF">2025-10-31T23:18:44Z</dcterms:modified>
</cp:coreProperties>
</file>