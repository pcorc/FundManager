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BREAKS SUMMARY" sheetId="1" state="visible" r:id="rId1"/>
    <sheet xmlns:r="http://schemas.openxmlformats.org/officeDocument/2006/relationships" name="DETAILED BREAKS BY SECURITY" sheetId="2" state="visible" r:id="rId2"/>
    <sheet xmlns:r="http://schemas.openxmlformats.org/officeDocument/2006/relationships" name="COMPREHENSIVE PRICE COMPARISON" sheetId="3" state="visible" r:id="rId3"/>
    <sheet xmlns:r="http://schemas.openxmlformats.org/officeDocument/2006/relationships" name="DOGG" sheetId="4" state="visible" r:id="rId4"/>
    <sheet xmlns:r="http://schemas.openxmlformats.org/officeDocument/2006/relationships" name="P3727" sheetId="5" state="visible" r:id="rId5"/>
    <sheet xmlns:r="http://schemas.openxmlformats.org/officeDocument/2006/relationships" name="TDVI" sheetId="6" state="visible" r:id="rId6"/>
    <sheet xmlns:r="http://schemas.openxmlformats.org/officeDocument/2006/relationships" name="NAV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i val="1"/>
      <color theme="1"/>
      <sz val="9"/>
      <scheme val="minor"/>
    </font>
    <font>
      <b val="1"/>
      <sz val="14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3E4F7"/>
        <bgColor rgb="00D3E4F7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Reconciliation Type</t>
        </is>
      </c>
      <c r="B1" s="1" t="inlineStr">
        <is>
          <t>DOGG</t>
        </is>
      </c>
      <c r="C1" s="1" t="inlineStr">
        <is>
          <t>P3727</t>
        </is>
      </c>
      <c r="D1" s="1" t="inlineStr">
        <is>
          <t>TDVI</t>
        </is>
      </c>
    </row>
    <row r="2">
      <c r="A2" s="2" t="inlineStr">
        <is>
          <t>Date</t>
        </is>
      </c>
      <c r="B2" t="inlineStr">
        <is>
          <t>2025-11-06</t>
        </is>
      </c>
      <c r="C2" t="inlineStr">
        <is>
          <t>2025-11-06</t>
        </is>
      </c>
      <c r="D2" t="inlineStr">
        <is>
          <t>2025-11-06</t>
        </is>
      </c>
    </row>
    <row r="3">
      <c r="A3" s="2" t="inlineStr">
        <is>
          <t>custodian_equity_holdings_breaks_T</t>
        </is>
      </c>
      <c r="B3" t="n">
        <v>0</v>
      </c>
      <c r="C3" t="n">
        <v>5</v>
      </c>
      <c r="D3" t="n">
        <v>0</v>
      </c>
    </row>
    <row r="4">
      <c r="A4" s="2" t="inlineStr">
        <is>
          <t>custodian_equity_price_breaks_T</t>
        </is>
      </c>
      <c r="B4" t="n">
        <v>0</v>
      </c>
      <c r="C4" t="n">
        <v>0</v>
      </c>
      <c r="D4" t="n">
        <v>0</v>
      </c>
    </row>
    <row r="5">
      <c r="A5" s="2" t="inlineStr">
        <is>
          <t>custodian_option_holdings_breaks_T</t>
        </is>
      </c>
      <c r="B5" t="n">
        <v>0</v>
      </c>
      <c r="C5" t="n">
        <v>2</v>
      </c>
      <c r="D5" t="n">
        <v>0</v>
      </c>
    </row>
    <row r="6">
      <c r="A6" s="2" t="inlineStr">
        <is>
          <t>custodian_option_price_breaks_T</t>
        </is>
      </c>
      <c r="B6" t="n">
        <v>20</v>
      </c>
      <c r="C6" t="n">
        <v>5</v>
      </c>
      <c r="D6" t="n">
        <v>0</v>
      </c>
    </row>
    <row r="7">
      <c r="A7" s="2" t="inlineStr">
        <is>
          <t>custodian_treasury_holdings_breaks_T</t>
        </is>
      </c>
      <c r="B7" t="n">
        <v>0</v>
      </c>
      <c r="C7" t="n">
        <v>0</v>
      </c>
      <c r="D7" t="n">
        <v>0</v>
      </c>
    </row>
    <row r="8">
      <c r="A8" s="2" t="inlineStr">
        <is>
          <t>custodian_treasury_price_breaks_T</t>
        </is>
      </c>
      <c r="B8" t="n">
        <v>0</v>
      </c>
      <c r="C8" t="n">
        <v>0</v>
      </c>
      <c r="D8" t="n">
        <v>0</v>
      </c>
    </row>
    <row r="9">
      <c r="A9" s="2" t="inlineStr">
        <is>
          <t>index_equity_holdings_breaks</t>
        </is>
      </c>
      <c r="B9" t="n">
        <v>0</v>
      </c>
      <c r="C9" t="n">
        <v>0</v>
      </c>
      <c r="D9" t="n">
        <v>0</v>
      </c>
    </row>
    <row r="10">
      <c r="A10" s="2" t="inlineStr">
        <is>
          <t>index_equity_price_breaks_T</t>
        </is>
      </c>
      <c r="B10" t="n">
        <v>0</v>
      </c>
      <c r="C10" t="n">
        <v>0</v>
      </c>
      <c r="D10" t="n">
        <v>0</v>
      </c>
    </row>
    <row r="12">
      <c r="A12" s="3" t="inlineStr">
        <is>
          <t>Note: For private/closed-end funds, standard option price breaks show top 5 by weight. All FLEX option breaks are shown.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RECON_TYPE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Asset Type</t>
        </is>
      </c>
      <c r="F1" s="1" t="inlineStr">
        <is>
          <t>discrepancy_type</t>
        </is>
      </c>
      <c r="G1" s="1" t="inlineStr">
        <is>
          <t>shares_cust</t>
        </is>
      </c>
      <c r="H1" s="1" t="inlineStr">
        <is>
          <t>final_discrepancy</t>
        </is>
      </c>
      <c r="I1" s="1" t="inlineStr">
        <is>
          <t>in_vest</t>
        </is>
      </c>
      <c r="J1" s="1" t="inlineStr">
        <is>
          <t>in_cust</t>
        </is>
      </c>
      <c r="K1" s="1" t="inlineStr">
        <is>
          <t>breakdown</t>
        </is>
      </c>
      <c r="L1" s="1" t="inlineStr">
        <is>
          <t>occurrences</t>
        </is>
      </c>
      <c r="M1" s="1" t="inlineStr">
        <is>
          <t>optticker</t>
        </is>
      </c>
      <c r="N1" s="1" t="inlineStr">
        <is>
          <t>quantity</t>
        </is>
      </c>
      <c r="O1" s="1" t="inlineStr">
        <is>
          <t>trade_discrepancy</t>
        </is>
      </c>
    </row>
    <row r="2">
      <c r="A2" t="inlineStr">
        <is>
          <t>P3727</t>
        </is>
      </c>
      <c r="B2" t="inlineStr">
        <is>
          <t>custodian_equity</t>
        </is>
      </c>
      <c r="C2" t="inlineStr">
        <is>
          <t>2025-11-06</t>
        </is>
      </c>
      <c r="D2" t="inlineStr">
        <is>
          <t>BRK/B</t>
        </is>
      </c>
      <c r="E2" t="inlineStr">
        <is>
          <t>Equity</t>
        </is>
      </c>
      <c r="F2" t="inlineStr">
        <is>
          <t>Missing in Custodian</t>
        </is>
      </c>
      <c r="H2" t="n">
        <v>0</v>
      </c>
      <c r="I2" t="b">
        <v>1</v>
      </c>
      <c r="J2" t="b">
        <v>0</v>
      </c>
      <c r="K2" t="inlineStr">
        <is>
          <t>Present in Vest: Yes | Present in Cust: No</t>
        </is>
      </c>
    </row>
    <row r="3">
      <c r="A3" t="inlineStr">
        <is>
          <t>P3727</t>
        </is>
      </c>
      <c r="B3" t="inlineStr">
        <is>
          <t>custodian_equity</t>
        </is>
      </c>
      <c r="C3" t="inlineStr">
        <is>
          <t>2025-11-06</t>
        </is>
      </c>
      <c r="D3" t="inlineStr">
        <is>
          <t>COST</t>
        </is>
      </c>
      <c r="E3" t="inlineStr">
        <is>
          <t>Equity</t>
        </is>
      </c>
      <c r="F3" t="inlineStr">
        <is>
          <t>Missing in Custodian</t>
        </is>
      </c>
      <c r="H3" t="n">
        <v>0</v>
      </c>
      <c r="I3" t="b">
        <v>1</v>
      </c>
      <c r="J3" t="b">
        <v>0</v>
      </c>
      <c r="K3" t="inlineStr">
        <is>
          <t>Present in Vest: Yes | Present in Cust: No</t>
        </is>
      </c>
    </row>
    <row r="4">
      <c r="A4" t="inlineStr">
        <is>
          <t>P3727</t>
        </is>
      </c>
      <c r="B4" t="inlineStr">
        <is>
          <t>custodian_equity</t>
        </is>
      </c>
      <c r="C4" t="inlineStr">
        <is>
          <t>2025-11-06</t>
        </is>
      </c>
      <c r="D4" t="inlineStr">
        <is>
          <t>LLY</t>
        </is>
      </c>
      <c r="E4" t="inlineStr">
        <is>
          <t>Equity</t>
        </is>
      </c>
      <c r="F4" t="inlineStr">
        <is>
          <t>Missing in Custodian</t>
        </is>
      </c>
      <c r="H4" t="n">
        <v>0</v>
      </c>
      <c r="I4" t="b">
        <v>1</v>
      </c>
      <c r="J4" t="b">
        <v>0</v>
      </c>
      <c r="K4" t="inlineStr">
        <is>
          <t>Present in Vest: Yes | Present in Cust: No</t>
        </is>
      </c>
    </row>
    <row r="5">
      <c r="A5" t="inlineStr">
        <is>
          <t>P3727</t>
        </is>
      </c>
      <c r="B5" t="inlineStr">
        <is>
          <t>custodian_equity</t>
        </is>
      </c>
      <c r="C5" t="inlineStr">
        <is>
          <t>2025-11-06</t>
        </is>
      </c>
      <c r="D5" t="inlineStr">
        <is>
          <t>ORCL</t>
        </is>
      </c>
      <c r="E5" t="inlineStr">
        <is>
          <t>Equity</t>
        </is>
      </c>
      <c r="F5" t="inlineStr">
        <is>
          <t>Missing in Custodian</t>
        </is>
      </c>
      <c r="H5" t="n">
        <v>0</v>
      </c>
      <c r="I5" t="b">
        <v>1</v>
      </c>
      <c r="J5" t="b">
        <v>0</v>
      </c>
      <c r="K5" t="inlineStr">
        <is>
          <t>Present in Vest: Yes | Present in Cust: No</t>
        </is>
      </c>
    </row>
    <row r="6">
      <c r="A6" t="inlineStr">
        <is>
          <t>P3727</t>
        </is>
      </c>
      <c r="B6" t="inlineStr">
        <is>
          <t>custodian_equity</t>
        </is>
      </c>
      <c r="C6" t="inlineStr">
        <is>
          <t>2025-11-06</t>
        </is>
      </c>
      <c r="D6" t="inlineStr">
        <is>
          <t>PLTR</t>
        </is>
      </c>
      <c r="E6" t="inlineStr">
        <is>
          <t>Equity</t>
        </is>
      </c>
      <c r="F6" t="inlineStr">
        <is>
          <t>Missing in Custodian</t>
        </is>
      </c>
      <c r="H6" t="n">
        <v>0</v>
      </c>
      <c r="I6" t="b">
        <v>1</v>
      </c>
      <c r="J6" t="b">
        <v>0</v>
      </c>
      <c r="K6" t="inlineStr">
        <is>
          <t>Present in Vest: Yes | Present in Cust: No</t>
        </is>
      </c>
    </row>
    <row r="7">
      <c r="E7" t="inlineStr">
        <is>
          <t>Equity</t>
        </is>
      </c>
      <c r="F7" t="inlineStr">
        <is>
          <t>Missing in Custodian</t>
        </is>
      </c>
      <c r="K7" t="inlineStr">
        <is>
          <t>Present in Vest: Yes | Present in Cust: No</t>
        </is>
      </c>
      <c r="L7" t="n">
        <v>5</v>
      </c>
    </row>
    <row r="8">
      <c r="A8" t="inlineStr">
        <is>
          <t>P3727</t>
        </is>
      </c>
      <c r="B8" t="inlineStr">
        <is>
          <t>custodian_option</t>
        </is>
      </c>
      <c r="C8" t="inlineStr">
        <is>
          <t>2025-11-06</t>
        </is>
      </c>
      <c r="E8" t="inlineStr">
        <is>
          <t>Option</t>
        </is>
      </c>
      <c r="F8" t="inlineStr">
        <is>
          <t>Missing in Custodian</t>
        </is>
      </c>
      <c r="G8" t="n">
        <v>0</v>
      </c>
      <c r="I8" t="b">
        <v>1</v>
      </c>
      <c r="J8" t="b">
        <v>0</v>
      </c>
      <c r="K8" t="inlineStr">
        <is>
          <t>Present in Vest: Yes | Present in Cust: No</t>
        </is>
      </c>
      <c r="M8" t="inlineStr">
        <is>
          <t>SPX US 07/26/27 P5459</t>
        </is>
      </c>
      <c r="N8" t="n">
        <v>130</v>
      </c>
      <c r="O8" t="n">
        <v>130</v>
      </c>
    </row>
    <row r="9">
      <c r="A9" t="inlineStr">
        <is>
          <t>P3727</t>
        </is>
      </c>
      <c r="B9" t="inlineStr">
        <is>
          <t>custodian_option</t>
        </is>
      </c>
      <c r="C9" t="inlineStr">
        <is>
          <t>2025-11-06</t>
        </is>
      </c>
      <c r="E9" t="inlineStr">
        <is>
          <t>Option</t>
        </is>
      </c>
      <c r="F9" t="inlineStr">
        <is>
          <t>Missing in OMS</t>
        </is>
      </c>
      <c r="G9" t="n">
        <v>130</v>
      </c>
      <c r="I9" t="b">
        <v>0</v>
      </c>
      <c r="J9" t="b">
        <v>1</v>
      </c>
      <c r="K9" t="inlineStr">
        <is>
          <t>Present in Vest: No | Present in Cust: Yes</t>
        </is>
      </c>
      <c r="M9" t="inlineStr">
        <is>
          <t>SPX US 07/26/27 P5459.1</t>
        </is>
      </c>
      <c r="N9" t="n">
        <v>0</v>
      </c>
      <c r="O9" t="n">
        <v>-130</v>
      </c>
    </row>
    <row r="10">
      <c r="A10" t="inlineStr">
        <is>
          <t>P3727</t>
        </is>
      </c>
      <c r="B10" t="inlineStr">
        <is>
          <t>custodian_option_regular</t>
        </is>
      </c>
      <c r="C10" t="inlineStr">
        <is>
          <t>2025-11-06</t>
        </is>
      </c>
      <c r="E10" t="inlineStr">
        <is>
          <t>Option</t>
        </is>
      </c>
      <c r="G10" t="n">
        <v>0</v>
      </c>
      <c r="I10" t="b">
        <v>1</v>
      </c>
      <c r="J10" t="b">
        <v>0</v>
      </c>
      <c r="M10" t="inlineStr">
        <is>
          <t>SPX US 07/26/27 P5459</t>
        </is>
      </c>
      <c r="N10" t="n">
        <v>130</v>
      </c>
      <c r="O10" t="n">
        <v>130</v>
      </c>
    </row>
    <row r="11">
      <c r="A11" t="inlineStr">
        <is>
          <t>P3727</t>
        </is>
      </c>
      <c r="B11" t="inlineStr">
        <is>
          <t>custodian_option_regular</t>
        </is>
      </c>
      <c r="C11" t="inlineStr">
        <is>
          <t>2025-11-06</t>
        </is>
      </c>
      <c r="E11" t="inlineStr">
        <is>
          <t>Option</t>
        </is>
      </c>
      <c r="G11" t="n">
        <v>130</v>
      </c>
      <c r="I11" t="b">
        <v>0</v>
      </c>
      <c r="J11" t="b">
        <v>1</v>
      </c>
      <c r="M11" t="inlineStr">
        <is>
          <t>SPX US 07/26/27 P5459.1</t>
        </is>
      </c>
      <c r="N11" t="n">
        <v>0</v>
      </c>
      <c r="O11" t="n">
        <v>-130</v>
      </c>
    </row>
    <row r="12">
      <c r="E12" t="inlineStr">
        <is>
          <t>Option</t>
        </is>
      </c>
      <c r="F12" t="inlineStr">
        <is>
          <t>Missing in Custodian</t>
        </is>
      </c>
      <c r="K12" t="inlineStr">
        <is>
          <t>Present in Vest: Yes | Present in Cust: No</t>
        </is>
      </c>
      <c r="L12" t="n">
        <v>1</v>
      </c>
    </row>
    <row r="13">
      <c r="E13" t="inlineStr">
        <is>
          <t>Option</t>
        </is>
      </c>
      <c r="F13" t="inlineStr">
        <is>
          <t>Missing in OMS</t>
        </is>
      </c>
      <c r="K13" t="inlineStr">
        <is>
          <t>Present in Vest: No | Present in Cust: Yes</t>
        </is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9" customWidth="1" min="4" max="4"/>
    <col width="17" customWidth="1" min="5" max="5"/>
    <col width="13" customWidth="1" min="6" max="6"/>
    <col width="21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Period</t>
        </is>
      </c>
      <c r="D1" s="1" t="inlineStr">
        <is>
          <t>Fund_Price</t>
        </is>
      </c>
      <c r="E1" s="1" t="inlineStr">
        <is>
          <t>Custodian_Price</t>
        </is>
      </c>
      <c r="F1" s="1" t="inlineStr">
        <is>
          <t>Index_Price</t>
        </is>
      </c>
      <c r="G1" s="1" t="inlineStr">
        <is>
          <t>Price_Diff</t>
        </is>
      </c>
      <c r="H1" s="1" t="inlineStr">
        <is>
          <t>Asset Type</t>
        </is>
      </c>
      <c r="I1" s="1" t="inlineStr">
        <is>
          <t>Option Weight</t>
        </is>
      </c>
      <c r="J1" s="1" t="inlineStr">
        <is>
          <t>% Difference</t>
        </is>
      </c>
    </row>
    <row r="2">
      <c r="A2" t="inlineStr">
        <is>
          <t>DOGG</t>
        </is>
      </c>
      <c r="B2" t="inlineStr">
        <is>
          <t>2AMGN US 01/26/26 C429.05</t>
        </is>
      </c>
      <c r="C2" t="inlineStr">
        <is>
          <t>T</t>
        </is>
      </c>
      <c r="D2" t="n">
        <v>0.120096142542779</v>
      </c>
      <c r="E2" t="n">
        <v>0.4054</v>
      </c>
      <c r="G2" t="n">
        <v>0.285303857457221</v>
      </c>
      <c r="H2" t="inlineStr">
        <is>
          <t>Option</t>
        </is>
      </c>
    </row>
    <row r="3">
      <c r="A3" t="inlineStr">
        <is>
          <t>DOGG</t>
        </is>
      </c>
      <c r="B3" t="inlineStr">
        <is>
          <t>2CVX US 01/26/26 P225.72</t>
        </is>
      </c>
      <c r="C3" t="inlineStr">
        <is>
          <t>T</t>
        </is>
      </c>
      <c r="D3" t="n">
        <v>72.4550888786091</v>
      </c>
      <c r="E3" t="n">
        <v>72.1503</v>
      </c>
      <c r="G3" t="n">
        <v>0.3047888786091022</v>
      </c>
      <c r="H3" t="inlineStr">
        <is>
          <t>Option</t>
        </is>
      </c>
    </row>
    <row r="4">
      <c r="A4" t="inlineStr">
        <is>
          <t>DOGG</t>
        </is>
      </c>
      <c r="B4" t="inlineStr">
        <is>
          <t>2IBM US 01/26/26 C383.15</t>
        </is>
      </c>
      <c r="C4" t="inlineStr">
        <is>
          <t>T</t>
        </is>
      </c>
      <c r="D4" t="n">
        <v>2.47292054099981</v>
      </c>
      <c r="E4" t="n">
        <v>1.8318</v>
      </c>
      <c r="G4" t="n">
        <v>0.64112054099981</v>
      </c>
      <c r="H4" t="inlineStr">
        <is>
          <t>Option</t>
        </is>
      </c>
    </row>
    <row r="5">
      <c r="A5" t="inlineStr">
        <is>
          <t>DOGG</t>
        </is>
      </c>
      <c r="B5" t="inlineStr">
        <is>
          <t>2MCD US 01/26/26 P434.28</t>
        </is>
      </c>
      <c r="C5" t="inlineStr">
        <is>
          <t>T</t>
        </is>
      </c>
      <c r="D5" t="n">
        <v>133.603017137533</v>
      </c>
      <c r="E5" t="n">
        <v>132.8957</v>
      </c>
      <c r="G5" t="n">
        <v>0.7073171375329821</v>
      </c>
      <c r="H5" t="inlineStr">
        <is>
          <t>Option</t>
        </is>
      </c>
    </row>
    <row r="6">
      <c r="A6" t="inlineStr">
        <is>
          <t>DOGG</t>
        </is>
      </c>
      <c r="B6" t="inlineStr">
        <is>
          <t>2MRK US 01/26/26 P149.17</t>
        </is>
      </c>
      <c r="C6" t="inlineStr">
        <is>
          <t>T</t>
        </is>
      </c>
      <c r="D6" t="n">
        <v>62.8300571816672</v>
      </c>
      <c r="E6" t="n">
        <v>62.6584</v>
      </c>
      <c r="G6" t="n">
        <v>0.1716571816672001</v>
      </c>
      <c r="H6" t="inlineStr">
        <is>
          <t>Option</t>
        </is>
      </c>
    </row>
    <row r="7">
      <c r="A7" t="inlineStr">
        <is>
          <t>P3727</t>
        </is>
      </c>
      <c r="B7" t="inlineStr">
        <is>
          <t>HON US 11/07/25 C202.5</t>
        </is>
      </c>
      <c r="C7" t="inlineStr">
        <is>
          <t>T</t>
        </is>
      </c>
      <c r="D7" t="n">
        <v>2.15</v>
      </c>
      <c r="E7" t="n">
        <v>1.08</v>
      </c>
      <c r="G7" t="n">
        <v>1.07</v>
      </c>
      <c r="H7" t="inlineStr">
        <is>
          <t>Option</t>
        </is>
      </c>
    </row>
    <row r="8">
      <c r="A8" t="inlineStr">
        <is>
          <t>P3727</t>
        </is>
      </c>
      <c r="B8" t="inlineStr">
        <is>
          <t>SPGI US 11/07/25 C490</t>
        </is>
      </c>
      <c r="C8" t="inlineStr">
        <is>
          <t>T</t>
        </is>
      </c>
      <c r="D8" t="n">
        <v>6.4</v>
      </c>
      <c r="E8" t="n">
        <v>4.92</v>
      </c>
      <c r="G8" t="n">
        <v>1.48</v>
      </c>
      <c r="H8" t="inlineStr">
        <is>
          <t>Option</t>
        </is>
      </c>
    </row>
    <row r="9">
      <c r="A9" t="inlineStr">
        <is>
          <t>P3727</t>
        </is>
      </c>
      <c r="B9" t="inlineStr">
        <is>
          <t>SPX US 07/26/27 C5000</t>
        </is>
      </c>
      <c r="C9" t="inlineStr">
        <is>
          <t>T</t>
        </is>
      </c>
      <c r="D9" t="n">
        <v>2126.4503</v>
      </c>
      <c r="E9" t="n">
        <v>2111.65</v>
      </c>
      <c r="G9" t="n">
        <v>14.80029999999988</v>
      </c>
      <c r="H9" t="inlineStr">
        <is>
          <t>Option</t>
        </is>
      </c>
    </row>
    <row r="10">
      <c r="A10" t="inlineStr">
        <is>
          <t>P3727</t>
        </is>
      </c>
      <c r="B10" t="inlineStr">
        <is>
          <t>SPX US 07/26/27 C6000</t>
        </is>
      </c>
      <c r="C10" t="inlineStr">
        <is>
          <t>T</t>
        </is>
      </c>
      <c r="D10" t="n">
        <v>1346.1907</v>
      </c>
      <c r="E10" t="n">
        <v>1332.84</v>
      </c>
      <c r="G10" t="n">
        <v>13.35070000000019</v>
      </c>
      <c r="H10" t="inlineStr">
        <is>
          <t>Option</t>
        </is>
      </c>
    </row>
    <row r="11">
      <c r="A11" t="inlineStr">
        <is>
          <t>P3727</t>
        </is>
      </c>
      <c r="B11" t="inlineStr">
        <is>
          <t>SPX US 07/26/27 P6000</t>
        </is>
      </c>
      <c r="C11" t="inlineStr">
        <is>
          <t>T</t>
        </is>
      </c>
      <c r="D11" t="n">
        <v>318.072</v>
      </c>
      <c r="E11" t="n">
        <v>319</v>
      </c>
      <c r="G11" t="n">
        <v>0.9279999999999973</v>
      </c>
      <c r="H11" t="inlineStr">
        <is>
          <t>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DOGG - NAV Reconciliation - 2025-11-06</t>
        </is>
      </c>
    </row>
    <row r="3">
      <c r="A3" s="5" t="inlineStr">
        <is>
          <t>NAV CALCULATION SUMMARY</t>
        </is>
      </c>
    </row>
    <row r="5">
      <c r="A5" t="inlineStr">
        <is>
          <t>Beginning TNA (T-1)</t>
        </is>
      </c>
      <c r="C5" s="6" t="n">
        <v>42291404.56</v>
      </c>
    </row>
    <row r="6">
      <c r="A6" t="inlineStr">
        <is>
          <t>Adjusted Beginning TNA</t>
        </is>
      </c>
      <c r="C6" s="6" t="n">
        <v>42291404.56</v>
      </c>
    </row>
    <row r="8">
      <c r="A8" s="7" t="inlineStr">
        <is>
          <t>Gain/Loss Components:</t>
        </is>
      </c>
    </row>
    <row r="9">
      <c r="A9" t="inlineStr">
        <is>
          <t xml:space="preserve">  Equity G/L</t>
        </is>
      </c>
      <c r="C9" s="6">
        <f>H53</f>
        <v/>
      </c>
    </row>
    <row r="10">
      <c r="A10" t="inlineStr">
        <is>
          <t xml:space="preserve">  Equity G/L (Adjusted)</t>
        </is>
      </c>
      <c r="C10" s="6">
        <f>I53</f>
        <v/>
      </c>
    </row>
    <row r="11">
      <c r="A11" t="inlineStr">
        <is>
          <t xml:space="preserve">  Option G/L</t>
        </is>
      </c>
      <c r="C11" s="6">
        <f>H90</f>
        <v/>
      </c>
    </row>
    <row r="12">
      <c r="A12" t="inlineStr">
        <is>
          <t xml:space="preserve">  Option G/L (Adjusted)</t>
        </is>
      </c>
      <c r="C12" s="6">
        <f>I90</f>
        <v/>
      </c>
    </row>
    <row r="13">
      <c r="A13" t="inlineStr">
        <is>
          <t xml:space="preserve">  Treasury G/L</t>
        </is>
      </c>
      <c r="C13" s="6" t="n">
        <v>33989000</v>
      </c>
    </row>
    <row r="15">
      <c r="A15" t="inlineStr">
        <is>
          <t>Expenses</t>
        </is>
      </c>
      <c r="C15" s="6" t="n">
        <v>-869.6861938356166</v>
      </c>
    </row>
    <row r="17">
      <c r="A17" s="7" t="inlineStr">
        <is>
          <t>Expected TNA</t>
        </is>
      </c>
      <c r="C17" s="6">
        <f>C6+I53+I90+C13+C15</f>
        <v/>
      </c>
    </row>
    <row r="18">
      <c r="A18" s="7" t="inlineStr">
        <is>
          <t>Custodian TNA</t>
        </is>
      </c>
      <c r="C18" s="6" t="n">
        <v>42324728.1</v>
      </c>
    </row>
    <row r="19">
      <c r="A19" t="inlineStr">
        <is>
          <t>TNA Difference</t>
        </is>
      </c>
      <c r="C19" s="6">
        <f>C18-C17</f>
        <v/>
      </c>
    </row>
    <row r="21">
      <c r="A21" t="inlineStr">
        <is>
          <t>Shares Outstanding</t>
        </is>
      </c>
      <c r="C21" s="8" t="n">
        <v>2100002</v>
      </c>
    </row>
    <row r="23">
      <c r="A23" s="7" t="inlineStr">
        <is>
          <t>Expected NAV</t>
        </is>
      </c>
      <c r="C23" s="9">
        <f>IF(C21&lt;&gt;0,C17/C21,0)</f>
        <v/>
      </c>
    </row>
    <row r="24">
      <c r="A24" s="7" t="inlineStr">
        <is>
          <t>Custodian NAV</t>
        </is>
      </c>
      <c r="C24" s="9" t="n">
        <v>20.15</v>
      </c>
    </row>
    <row r="25">
      <c r="A25" t="inlineStr">
        <is>
          <t>NAV Difference</t>
        </is>
      </c>
      <c r="C25" s="9">
        <f>C24-C23</f>
        <v/>
      </c>
    </row>
    <row r="27">
      <c r="A27" t="inlineStr">
        <is>
          <t>NAV Good (2 decimal)</t>
        </is>
      </c>
      <c r="C27">
        <f>IF(ABS(ROUND(C25,2))&lt;=0.01,"PASS","FAIL")</f>
        <v/>
      </c>
    </row>
    <row r="28">
      <c r="A28" t="inlineStr">
        <is>
          <t>NAV Good (4 decimal)</t>
        </is>
      </c>
      <c r="C28">
        <f>IF(ABS(ROUND(C25,4))&lt;=0.0001,"PASS","FAIL")</f>
        <v/>
      </c>
    </row>
    <row r="39">
      <c r="A39" s="5" t="inlineStr">
        <is>
          <t>EQUITY GAIN/LOSS DETAIL</t>
        </is>
      </c>
    </row>
    <row r="41">
      <c r="A41" s="10" t="inlineStr">
        <is>
          <t>Ticker</t>
        </is>
      </c>
      <c r="B41" s="10" t="inlineStr">
        <is>
          <t>Qty T-1</t>
        </is>
      </c>
      <c r="C41" s="10" t="inlineStr">
        <is>
          <t>Qty T</t>
        </is>
      </c>
      <c r="D41" s="10" t="inlineStr">
        <is>
          <t>Price T-1
(Vest)</t>
        </is>
      </c>
      <c r="E41" s="10" t="inlineStr">
        <is>
          <t>Price T
(Raw)</t>
        </is>
      </c>
      <c r="F41" s="10" t="inlineStr">
        <is>
          <t>Price T-1
(Cust)</t>
        </is>
      </c>
      <c r="G41" s="10" t="inlineStr">
        <is>
          <t>Price T
(Adj)</t>
        </is>
      </c>
      <c r="H41" s="10" t="inlineStr">
        <is>
          <t>G/L</t>
        </is>
      </c>
      <c r="I41" s="10" t="inlineStr">
        <is>
          <t>G/L Adj</t>
        </is>
      </c>
    </row>
    <row r="42">
      <c r="A42" t="inlineStr">
        <is>
          <t>AMGN</t>
        </is>
      </c>
      <c r="B42" s="8" t="n">
        <v>6772</v>
      </c>
      <c r="C42" s="8" t="n">
        <v>6772</v>
      </c>
      <c r="D42" s="6" t="n">
        <v>319.86</v>
      </c>
      <c r="E42" s="6" t="n">
        <v>315.59</v>
      </c>
      <c r="F42" s="6" t="n">
        <v>319.86</v>
      </c>
      <c r="G42" s="6" t="n">
        <v>315.59</v>
      </c>
      <c r="H42" s="6">
        <f>(E42-F42)*C42</f>
        <v/>
      </c>
      <c r="I42" s="6">
        <f>(G42-F42)*C42</f>
        <v/>
      </c>
    </row>
    <row r="43">
      <c r="A43" t="inlineStr">
        <is>
          <t>CSCO</t>
        </is>
      </c>
      <c r="B43" s="8" t="n">
        <v>24157</v>
      </c>
      <c r="C43" s="8" t="n">
        <v>24157</v>
      </c>
      <c r="D43" s="6" t="n">
        <v>72.09999999999999</v>
      </c>
      <c r="E43" s="6" t="n">
        <v>71.04000000000001</v>
      </c>
      <c r="F43" s="6" t="n">
        <v>72.09999999999999</v>
      </c>
      <c r="G43" s="6" t="n">
        <v>71.04000000000001</v>
      </c>
      <c r="H43" s="6">
        <f>(E43-F43)*C43</f>
        <v/>
      </c>
      <c r="I43" s="6">
        <f>(G43-F43)*C43</f>
        <v/>
      </c>
    </row>
    <row r="44">
      <c r="A44" t="inlineStr">
        <is>
          <t>CVX</t>
        </is>
      </c>
      <c r="B44" s="8" t="n">
        <v>12435</v>
      </c>
      <c r="C44" s="8" t="n">
        <v>12435</v>
      </c>
      <c r="D44" s="6" t="n">
        <v>152.66</v>
      </c>
      <c r="E44" s="6" t="n">
        <v>152.94</v>
      </c>
      <c r="F44" s="6" t="n">
        <v>152.66</v>
      </c>
      <c r="G44" s="6" t="n">
        <v>152.94</v>
      </c>
      <c r="H44" s="6">
        <f>(E44-F44)*C44</f>
        <v/>
      </c>
      <c r="I44" s="6">
        <f>(G44-F44)*C44</f>
        <v/>
      </c>
    </row>
    <row r="45">
      <c r="A45" t="inlineStr">
        <is>
          <t>IBM</t>
        </is>
      </c>
      <c r="B45" s="8" t="n">
        <v>4734</v>
      </c>
      <c r="C45" s="8" t="n">
        <v>4734</v>
      </c>
      <c r="D45" s="6" t="n">
        <v>306.77</v>
      </c>
      <c r="E45" s="6" t="n">
        <v>312.42</v>
      </c>
      <c r="F45" s="6" t="n">
        <v>306.77</v>
      </c>
      <c r="G45" s="6" t="n">
        <v>312.42</v>
      </c>
      <c r="H45" s="6">
        <f>(E45-F45)*C45</f>
        <v/>
      </c>
      <c r="I45" s="6">
        <f>(G45-F45)*C45</f>
        <v/>
      </c>
    </row>
    <row r="46">
      <c r="A46" t="inlineStr">
        <is>
          <t>JNJ</t>
        </is>
      </c>
      <c r="B46" s="8" t="n">
        <v>8597</v>
      </c>
      <c r="C46" s="8" t="n">
        <v>8597</v>
      </c>
      <c r="D46" s="6" t="n">
        <v>186</v>
      </c>
      <c r="E46" s="6" t="n">
        <v>186.97</v>
      </c>
      <c r="F46" s="6" t="n">
        <v>186</v>
      </c>
      <c r="G46" s="6" t="n">
        <v>186.97</v>
      </c>
      <c r="H46" s="6">
        <f>(E46-F46)*C46</f>
        <v/>
      </c>
      <c r="I46" s="6">
        <f>(G46-F46)*C46</f>
        <v/>
      </c>
    </row>
    <row r="47">
      <c r="A47" t="inlineStr">
        <is>
          <t>KO</t>
        </is>
      </c>
      <c r="B47" s="8" t="n">
        <v>27636</v>
      </c>
      <c r="C47" s="8" t="n">
        <v>27636</v>
      </c>
      <c r="D47" s="6" t="n">
        <v>68.51000000000001</v>
      </c>
      <c r="E47" s="6" t="n">
        <v>69.06</v>
      </c>
      <c r="F47" s="6" t="n">
        <v>68.51000000000001</v>
      </c>
      <c r="G47" s="6" t="n">
        <v>69.06</v>
      </c>
      <c r="H47" s="6">
        <f>(E47-F47)*C47</f>
        <v/>
      </c>
      <c r="I47" s="6">
        <f>(G47-F47)*C47</f>
        <v/>
      </c>
    </row>
    <row r="48">
      <c r="A48" t="inlineStr">
        <is>
          <t>MCD</t>
        </is>
      </c>
      <c r="B48" s="8" t="n">
        <v>6376</v>
      </c>
      <c r="C48" s="8" t="n">
        <v>6376</v>
      </c>
      <c r="D48" s="6" t="n">
        <v>305.67</v>
      </c>
      <c r="E48" s="6" t="n">
        <v>298.41</v>
      </c>
      <c r="F48" s="6" t="n">
        <v>305.67</v>
      </c>
      <c r="G48" s="6" t="n">
        <v>298.41</v>
      </c>
      <c r="H48" s="6">
        <f>(E48-F48)*C48</f>
        <v/>
      </c>
      <c r="I48" s="6">
        <f>(G48-F48)*C48</f>
        <v/>
      </c>
    </row>
    <row r="49">
      <c r="A49" t="inlineStr">
        <is>
          <t>MRK</t>
        </is>
      </c>
      <c r="B49" s="8" t="n">
        <v>20738</v>
      </c>
      <c r="C49" s="8" t="n">
        <v>20738</v>
      </c>
      <c r="D49" s="6" t="n">
        <v>84.39</v>
      </c>
      <c r="E49" s="6" t="n">
        <v>85.78</v>
      </c>
      <c r="F49" s="6" t="n">
        <v>84.39</v>
      </c>
      <c r="G49" s="6" t="n">
        <v>85.78</v>
      </c>
      <c r="H49" s="6">
        <f>(E49-F49)*C49</f>
        <v/>
      </c>
      <c r="I49" s="6">
        <f>(G49-F49)*C49</f>
        <v/>
      </c>
    </row>
    <row r="50">
      <c r="A50" t="inlineStr">
        <is>
          <t>PG</t>
        </is>
      </c>
      <c r="B50" s="8" t="n">
        <v>13155</v>
      </c>
      <c r="C50" s="8" t="n">
        <v>13155</v>
      </c>
      <c r="D50" s="6" t="n">
        <v>145.79</v>
      </c>
      <c r="E50" s="6" t="n">
        <v>146.13</v>
      </c>
      <c r="F50" s="6" t="n">
        <v>145.79</v>
      </c>
      <c r="G50" s="6" t="n">
        <v>146.13</v>
      </c>
      <c r="H50" s="6">
        <f>(E50-F50)*C50</f>
        <v/>
      </c>
      <c r="I50" s="6">
        <f>(G50-F50)*C50</f>
        <v/>
      </c>
    </row>
    <row r="51">
      <c r="A51" t="inlineStr">
        <is>
          <t>VZ</t>
        </is>
      </c>
      <c r="B51" s="8" t="n">
        <v>54113</v>
      </c>
      <c r="C51" s="8" t="n">
        <v>54113</v>
      </c>
      <c r="D51" s="6" t="n">
        <v>39.69</v>
      </c>
      <c r="E51" s="6" t="n">
        <v>39.82</v>
      </c>
      <c r="F51" s="6" t="n">
        <v>39.69</v>
      </c>
      <c r="G51" s="6" t="n">
        <v>39.82</v>
      </c>
      <c r="H51" s="6">
        <f>(E51-F51)*C51</f>
        <v/>
      </c>
      <c r="I51" s="6">
        <f>(G51-F51)*C51</f>
        <v/>
      </c>
    </row>
    <row r="53">
      <c r="A53" s="7" t="inlineStr">
        <is>
          <t>TOTAL</t>
        </is>
      </c>
      <c r="H53" s="6">
        <f>SUM(H42:H51)</f>
        <v/>
      </c>
      <c r="I53" s="6">
        <f>SUM(I42:I51)</f>
        <v/>
      </c>
    </row>
    <row r="56">
      <c r="A56" s="5" t="inlineStr">
        <is>
          <t>OPTION GAIN/LOSS DETAIL</t>
        </is>
      </c>
    </row>
    <row r="58">
      <c r="A58" s="10" t="inlineStr">
        <is>
          <t>Ticker</t>
        </is>
      </c>
      <c r="B58" s="10" t="inlineStr">
        <is>
          <t>Qty T-1</t>
        </is>
      </c>
      <c r="C58" s="10" t="inlineStr">
        <is>
          <t>Qty T</t>
        </is>
      </c>
      <c r="D58" s="10" t="inlineStr">
        <is>
          <t>Price T-1
(Vest)</t>
        </is>
      </c>
      <c r="E58" s="10" t="inlineStr">
        <is>
          <t>Price T
(Raw)</t>
        </is>
      </c>
      <c r="F58" s="10" t="inlineStr">
        <is>
          <t>Price T-1
(Cust)</t>
        </is>
      </c>
      <c r="G58" s="10" t="inlineStr">
        <is>
          <t>Price T
(Adj)</t>
        </is>
      </c>
      <c r="H58" s="10" t="inlineStr">
        <is>
          <t>G/L</t>
        </is>
      </c>
      <c r="I58" s="10" t="inlineStr">
        <is>
          <t>G/L Adj</t>
        </is>
      </c>
    </row>
    <row r="59">
      <c r="A59" t="inlineStr">
        <is>
          <t>2AMGN US 01/26/26 C429.05</t>
        </is>
      </c>
      <c r="B59" s="8" t="n">
        <v>76</v>
      </c>
      <c r="C59" s="8" t="n">
        <v>76</v>
      </c>
      <c r="D59" s="6" t="n">
        <v>0.162661643409054</v>
      </c>
      <c r="E59" s="6" t="n">
        <v>0.120096142542779</v>
      </c>
      <c r="F59" s="6" t="n">
        <v>0.162661643409054</v>
      </c>
      <c r="G59" s="6" t="n">
        <v>0.120096142542779</v>
      </c>
      <c r="H59" s="6">
        <f>(E59-F59)*C59*100</f>
        <v/>
      </c>
      <c r="I59" s="6">
        <f>(G59-F59)*C59*100</f>
        <v/>
      </c>
    </row>
    <row r="60">
      <c r="A60" t="inlineStr">
        <is>
          <t>2AMGN US 01/26/26 P429.05</t>
        </is>
      </c>
      <c r="B60" s="8" t="n">
        <v>-76</v>
      </c>
      <c r="C60" s="8" t="n">
        <v>-76</v>
      </c>
      <c r="D60" s="6" t="n">
        <v>107.574050130962</v>
      </c>
      <c r="E60" s="6" t="n">
        <v>112.337734023766</v>
      </c>
      <c r="F60" s="6" t="n">
        <v>107.574050130962</v>
      </c>
      <c r="G60" s="6" t="n">
        <v>112.337734023766</v>
      </c>
      <c r="H60" s="6">
        <f>(E60-F60)*C60*100</f>
        <v/>
      </c>
      <c r="I60" s="6">
        <f>(G60-F60)*C60*100</f>
        <v/>
      </c>
    </row>
    <row r="61">
      <c r="A61" t="inlineStr">
        <is>
          <t>2CSCO US 01/26/26 C91.75</t>
        </is>
      </c>
      <c r="B61" s="8" t="n">
        <v>334</v>
      </c>
      <c r="C61" s="8" t="n">
        <v>334</v>
      </c>
      <c r="D61" s="6" t="n">
        <v>0.298171183184371</v>
      </c>
      <c r="E61" s="6" t="n">
        <v>0.226794669043105</v>
      </c>
      <c r="F61" s="6" t="n">
        <v>0.298171183184371</v>
      </c>
      <c r="G61" s="6" t="n">
        <v>0.226794669043105</v>
      </c>
      <c r="H61" s="6">
        <f>(E61-F61)*C61*100</f>
        <v/>
      </c>
      <c r="I61" s="6">
        <f>(G61-F61)*C61*100</f>
        <v/>
      </c>
    </row>
    <row r="62">
      <c r="A62" t="inlineStr">
        <is>
          <t>2CSCO US 01/26/26 P91.75</t>
        </is>
      </c>
      <c r="B62" s="8" t="n">
        <v>-334</v>
      </c>
      <c r="C62" s="8" t="n">
        <v>-334</v>
      </c>
      <c r="D62" s="6" t="n">
        <v>19.3010608394164</v>
      </c>
      <c r="E62" s="6" t="n">
        <v>20.3650357642099</v>
      </c>
      <c r="F62" s="6" t="n">
        <v>19.3010608394164</v>
      </c>
      <c r="G62" s="6" t="n">
        <v>20.3650357642099</v>
      </c>
      <c r="H62" s="6">
        <f>(E62-F62)*C62*100</f>
        <v/>
      </c>
      <c r="I62" s="6">
        <f>(G62-F62)*C62*100</f>
        <v/>
      </c>
    </row>
    <row r="63">
      <c r="A63" t="inlineStr">
        <is>
          <t>2CVX US 01/26/26 C225.72</t>
        </is>
      </c>
      <c r="B63" s="8" t="n">
        <v>149</v>
      </c>
      <c r="C63" s="8" t="n">
        <v>149</v>
      </c>
      <c r="D63" s="6" t="n">
        <v>0.0123423445722565</v>
      </c>
      <c r="E63" s="6" t="n">
        <v>0.0122560017265709</v>
      </c>
      <c r="F63" s="6" t="n">
        <v>0.0123423445722565</v>
      </c>
      <c r="G63" s="6" t="n">
        <v>0.0122560017265709</v>
      </c>
      <c r="H63" s="6">
        <f>(E63-F63)*C63*100</f>
        <v/>
      </c>
      <c r="I63" s="6">
        <f>(G63-F63)*C63*100</f>
        <v/>
      </c>
    </row>
    <row r="64">
      <c r="A64" t="inlineStr">
        <is>
          <t>2CVX US 01/26/26 P225.72</t>
        </is>
      </c>
      <c r="B64" s="8" t="n">
        <v>-149</v>
      </c>
      <c r="C64" s="8" t="n">
        <v>-149</v>
      </c>
      <c r="D64" s="6" t="n">
        <v>72.6485902575624</v>
      </c>
      <c r="E64" s="6" t="n">
        <v>72.4550888786091</v>
      </c>
      <c r="F64" s="6" t="n">
        <v>72.6485902575624</v>
      </c>
      <c r="G64" s="6" t="n">
        <v>72.4550888786091</v>
      </c>
      <c r="H64" s="6">
        <f>(E64-F64)*C64*100</f>
        <v/>
      </c>
      <c r="I64" s="6">
        <f>(G64-F64)*C64*100</f>
        <v/>
      </c>
    </row>
    <row r="65">
      <c r="A65" t="inlineStr">
        <is>
          <t>2IBM US 01/26/26 C383.15</t>
        </is>
      </c>
      <c r="B65" s="8" t="n">
        <v>88</v>
      </c>
      <c r="C65" s="8" t="n">
        <v>88</v>
      </c>
      <c r="D65" s="6" t="n">
        <v>2.07922616231713</v>
      </c>
      <c r="E65" s="6" t="n">
        <v>2.47292054099981</v>
      </c>
      <c r="F65" s="6" t="n">
        <v>2.07922616231713</v>
      </c>
      <c r="G65" s="6" t="n">
        <v>2.47292054099981</v>
      </c>
      <c r="H65" s="6">
        <f>(E65-F65)*C65*100</f>
        <v/>
      </c>
      <c r="I65" s="6">
        <f>(G65-F65)*C65*100</f>
        <v/>
      </c>
    </row>
    <row r="66">
      <c r="A66" t="inlineStr">
        <is>
          <t>2IBM US 01/26/26 P383.15</t>
        </is>
      </c>
      <c r="B66" s="8" t="n">
        <v>-88</v>
      </c>
      <c r="C66" s="8" t="n">
        <v>-88</v>
      </c>
      <c r="D66" s="6" t="n">
        <v>75.54678698034159</v>
      </c>
      <c r="E66" s="6" t="n">
        <v>70.3735017585855</v>
      </c>
      <c r="F66" s="6" t="n">
        <v>75.54678698034159</v>
      </c>
      <c r="G66" s="6" t="n">
        <v>70.3735017585855</v>
      </c>
      <c r="H66" s="6">
        <f>(E66-F66)*C66*100</f>
        <v/>
      </c>
      <c r="I66" s="6">
        <f>(G66-F66)*C66*100</f>
        <v/>
      </c>
    </row>
    <row r="67">
      <c r="A67" t="inlineStr">
        <is>
          <t>2JNJ US 01/26/26 C228.15</t>
        </is>
      </c>
      <c r="B67" s="8" t="n">
        <v>136</v>
      </c>
      <c r="C67" s="8" t="n">
        <v>136</v>
      </c>
      <c r="D67" s="6" t="n">
        <v>0.121524258100351</v>
      </c>
      <c r="E67" s="6" t="n">
        <v>0.0973548915539947</v>
      </c>
      <c r="F67" s="6" t="n">
        <v>0.121524258100351</v>
      </c>
      <c r="G67" s="6" t="n">
        <v>0.0973548915539947</v>
      </c>
      <c r="H67" s="6">
        <f>(E67-F67)*C67*100</f>
        <v/>
      </c>
      <c r="I67" s="6">
        <f>(G67-F67)*C67*100</f>
        <v/>
      </c>
    </row>
    <row r="68">
      <c r="A68" t="inlineStr">
        <is>
          <t>2JNJ US 01/26/26 P228.15</t>
        </is>
      </c>
      <c r="B68" s="8" t="n">
        <v>-136</v>
      </c>
      <c r="C68" s="8" t="n">
        <v>-136</v>
      </c>
      <c r="D68" s="6" t="n">
        <v>41.3434213515611</v>
      </c>
      <c r="E68" s="6" t="n">
        <v>40.3579329485842</v>
      </c>
      <c r="F68" s="6" t="n">
        <v>41.3434213515611</v>
      </c>
      <c r="G68" s="6" t="n">
        <v>40.3579329485842</v>
      </c>
      <c r="H68" s="6">
        <f>(E68-F68)*C68*100</f>
        <v/>
      </c>
      <c r="I68" s="6">
        <f>(G68-F68)*C68*100</f>
        <v/>
      </c>
    </row>
    <row r="69">
      <c r="A69" t="inlineStr">
        <is>
          <t>2KO US 01/26/26 C95.47</t>
        </is>
      </c>
      <c r="B69" s="8" t="n">
        <v>332</v>
      </c>
      <c r="C69" s="8" t="n">
        <v>332</v>
      </c>
      <c r="D69" s="6" t="n">
        <v>0.0133373393218449</v>
      </c>
      <c r="E69" s="6" t="n">
        <v>0.0129833831211343</v>
      </c>
      <c r="F69" s="6" t="n">
        <v>0.0133373393218449</v>
      </c>
      <c r="G69" s="6" t="n">
        <v>0.0129833831211343</v>
      </c>
      <c r="H69" s="6">
        <f>(E69-F69)*C69*100</f>
        <v/>
      </c>
      <c r="I69" s="6">
        <f>(G69-F69)*C69*100</f>
        <v/>
      </c>
    </row>
    <row r="70">
      <c r="A70" t="inlineStr">
        <is>
          <t>2KO US 01/26/26 P95.47</t>
        </is>
      </c>
      <c r="B70" s="8" t="n">
        <v>-332</v>
      </c>
      <c r="C70" s="8" t="n">
        <v>-332</v>
      </c>
      <c r="D70" s="6" t="n">
        <v>26.5540885722645</v>
      </c>
      <c r="E70" s="6" t="n">
        <v>26.0328925397805</v>
      </c>
      <c r="F70" s="6" t="n">
        <v>26.5540885722645</v>
      </c>
      <c r="G70" s="6" t="n">
        <v>26.0328925397805</v>
      </c>
      <c r="H70" s="6">
        <f>(E70-F70)*C70*100</f>
        <v/>
      </c>
      <c r="I70" s="6">
        <f>(G70-F70)*C70*100</f>
        <v/>
      </c>
    </row>
    <row r="71">
      <c r="A71" t="inlineStr">
        <is>
          <t>2MCD US 01/26/26 C434.28</t>
        </is>
      </c>
      <c r="B71" s="8" t="n">
        <v>75</v>
      </c>
      <c r="C71" s="8" t="n">
        <v>75</v>
      </c>
      <c r="D71" s="6" t="n">
        <v>0.000392669424914519</v>
      </c>
      <c r="E71" s="6" t="n">
        <v>0.0154869685235841</v>
      </c>
      <c r="F71" s="6" t="n">
        <v>0.000392669424914519</v>
      </c>
      <c r="G71" s="6" t="n">
        <v>0.0154869685235841</v>
      </c>
      <c r="H71" s="6">
        <f>(E71-F71)*C71*100</f>
        <v/>
      </c>
      <c r="I71" s="6">
        <f>(G71-F71)*C71*100</f>
        <v/>
      </c>
    </row>
    <row r="72">
      <c r="A72" t="inlineStr">
        <is>
          <t>2MCD US 01/26/26 P434.28</t>
        </is>
      </c>
      <c r="B72" s="8" t="n">
        <v>-75</v>
      </c>
      <c r="C72" s="8" t="n">
        <v>-75</v>
      </c>
      <c r="D72" s="6" t="n">
        <v>126.561160367821</v>
      </c>
      <c r="E72" s="6" t="n">
        <v>133.603017137533</v>
      </c>
      <c r="F72" s="6" t="n">
        <v>126.561160367821</v>
      </c>
      <c r="G72" s="6" t="n">
        <v>133.603017137533</v>
      </c>
      <c r="H72" s="6">
        <f>(E72-F72)*C72*100</f>
        <v/>
      </c>
      <c r="I72" s="6">
        <f>(G72-F72)*C72*100</f>
        <v/>
      </c>
    </row>
    <row r="73">
      <c r="A73" t="inlineStr">
        <is>
          <t>2MRK US 01/26/26 C149.17</t>
        </is>
      </c>
      <c r="B73" s="8" t="n">
        <v>279</v>
      </c>
      <c r="C73" s="8" t="n">
        <v>279</v>
      </c>
      <c r="D73" s="6" t="n">
        <v>0.00345923962528796</v>
      </c>
      <c r="E73" s="6" t="n">
        <v>0.0045103909501437</v>
      </c>
      <c r="F73" s="6" t="n">
        <v>0.00345923962528796</v>
      </c>
      <c r="G73" s="6" t="n">
        <v>0.0045103909501437</v>
      </c>
      <c r="H73" s="6">
        <f>(E73-F73)*C73*100</f>
        <v/>
      </c>
      <c r="I73" s="6">
        <f>(G73-F73)*C73*100</f>
        <v/>
      </c>
    </row>
    <row r="74">
      <c r="A74" t="inlineStr">
        <is>
          <t>2MRK US 01/26/26 P149.17</t>
        </is>
      </c>
      <c r="B74" s="8" t="n">
        <v>-279</v>
      </c>
      <c r="C74" s="8" t="n">
        <v>-279</v>
      </c>
      <c r="D74" s="6" t="n">
        <v>64.1512148674317</v>
      </c>
      <c r="E74" s="6" t="n">
        <v>62.8300571816672</v>
      </c>
      <c r="F74" s="6" t="n">
        <v>64.1512148674317</v>
      </c>
      <c r="G74" s="6" t="n">
        <v>62.8300571816672</v>
      </c>
      <c r="H74" s="6">
        <f>(E74-F74)*C74*100</f>
        <v/>
      </c>
      <c r="I74" s="6">
        <f>(G74-F74)*C74*100</f>
        <v/>
      </c>
    </row>
    <row r="75">
      <c r="A75" t="inlineStr">
        <is>
          <t>2PG US 01/26/26 C248.99</t>
        </is>
      </c>
      <c r="B75" s="8" t="n">
        <v>149</v>
      </c>
      <c r="C75" s="8" t="n">
        <v>149</v>
      </c>
      <c r="D75" s="6" t="n">
        <v>6.27930104046571e-05</v>
      </c>
      <c r="E75" s="6" t="n">
        <v>3.88513397107361e-05</v>
      </c>
      <c r="F75" s="6" t="n">
        <v>6.27930104046571e-05</v>
      </c>
      <c r="G75" s="6" t="n">
        <v>3.88513397107361e-05</v>
      </c>
      <c r="H75" s="6">
        <f>(E75-F75)*C75*100</f>
        <v/>
      </c>
      <c r="I75" s="6">
        <f>(G75-F75)*C75*100</f>
        <v/>
      </c>
    </row>
    <row r="76">
      <c r="A76" t="inlineStr">
        <is>
          <t>2PG US 01/26/26 P248.99</t>
        </is>
      </c>
      <c r="B76" s="8" t="n">
        <v>-149</v>
      </c>
      <c r="C76" s="8" t="n">
        <v>-149</v>
      </c>
      <c r="D76" s="6" t="n">
        <v>101.595684876613</v>
      </c>
      <c r="E76" s="6" t="n">
        <v>101.401285536336</v>
      </c>
      <c r="F76" s="6" t="n">
        <v>101.595684876613</v>
      </c>
      <c r="G76" s="6" t="n">
        <v>101.401285536336</v>
      </c>
      <c r="H76" s="6">
        <f>(E76-F76)*C76*100</f>
        <v/>
      </c>
      <c r="I76" s="6">
        <f>(G76-F76)*C76*100</f>
        <v/>
      </c>
    </row>
    <row r="77">
      <c r="A77" t="inlineStr">
        <is>
          <t>2VZ US 01/26/26 C59.48</t>
        </is>
      </c>
      <c r="B77" s="8" t="n">
        <v>536</v>
      </c>
      <c r="C77" s="8" t="n">
        <v>536</v>
      </c>
      <c r="D77" s="6" t="n">
        <v>0.0173872564162177</v>
      </c>
      <c r="E77" s="6" t="n">
        <v>0.0147767959888375</v>
      </c>
      <c r="F77" s="6" t="n">
        <v>0.0173872564162177</v>
      </c>
      <c r="G77" s="6" t="n">
        <v>0.0147767959888375</v>
      </c>
      <c r="H77" s="6">
        <f>(E77-F77)*C77*100</f>
        <v/>
      </c>
      <c r="I77" s="6">
        <f>(G77-F77)*C77*100</f>
        <v/>
      </c>
    </row>
    <row r="78">
      <c r="A78" t="inlineStr">
        <is>
          <t>2VZ US 01/26/26 P59.48</t>
        </is>
      </c>
      <c r="B78" s="8" t="n">
        <v>-536</v>
      </c>
      <c r="C78" s="8" t="n">
        <v>-536</v>
      </c>
      <c r="D78" s="6" t="n">
        <v>19.7977728758968</v>
      </c>
      <c r="E78" s="6" t="n">
        <v>19.704964998421</v>
      </c>
      <c r="F78" s="6" t="n">
        <v>19.7977728758968</v>
      </c>
      <c r="G78" s="6" t="n">
        <v>19.704964998421</v>
      </c>
      <c r="H78" s="6">
        <f>(E78-F78)*C78*100</f>
        <v/>
      </c>
      <c r="I78" s="6">
        <f>(G78-F78)*C78*100</f>
        <v/>
      </c>
    </row>
    <row r="79">
      <c r="A79" t="inlineStr">
        <is>
          <t>AMGN US 11/07/25 C295</t>
        </is>
      </c>
      <c r="B79" s="8" t="n">
        <v>-12</v>
      </c>
      <c r="C79" s="8" t="n">
        <v>-12</v>
      </c>
      <c r="D79" s="6" t="n">
        <v>27.82</v>
      </c>
      <c r="E79" s="6" t="n">
        <v>19.95</v>
      </c>
      <c r="F79" s="6" t="n">
        <v>27.82</v>
      </c>
      <c r="G79" s="6" t="n">
        <v>19.95</v>
      </c>
      <c r="H79" s="6">
        <f>(E79-F79)*C79*100</f>
        <v/>
      </c>
      <c r="I79" s="6">
        <f>(G79-F79)*C79*100</f>
        <v/>
      </c>
    </row>
    <row r="80">
      <c r="A80" t="inlineStr">
        <is>
          <t>CSCO US 11/07/25 C73</t>
        </is>
      </c>
      <c r="B80" s="8" t="n">
        <v>-53</v>
      </c>
      <c r="C80" s="8" t="n">
        <v>-53</v>
      </c>
      <c r="D80" s="6" t="n">
        <v>0.26</v>
      </c>
      <c r="E80" s="6" t="n">
        <v>0.07000000000000001</v>
      </c>
      <c r="F80" s="6" t="n">
        <v>0.26</v>
      </c>
      <c r="G80" s="6" t="n">
        <v>0.07000000000000001</v>
      </c>
      <c r="H80" s="6">
        <f>(E80-F80)*C80*100</f>
        <v/>
      </c>
      <c r="I80" s="6">
        <f>(G80-F80)*C80*100</f>
        <v/>
      </c>
    </row>
    <row r="81">
      <c r="A81" t="inlineStr">
        <is>
          <t>CVX US 11/07/25 C160</t>
        </is>
      </c>
      <c r="B81" s="8" t="n">
        <v>-24</v>
      </c>
      <c r="C81" s="8" t="n">
        <v>-24</v>
      </c>
      <c r="D81" s="6" t="n">
        <v>0.06</v>
      </c>
      <c r="E81" s="6" t="n">
        <v>0.02</v>
      </c>
      <c r="F81" s="6" t="n">
        <v>0.06</v>
      </c>
      <c r="G81" s="6" t="n">
        <v>0.02</v>
      </c>
      <c r="H81" s="6">
        <f>(E81-F81)*C81*100</f>
        <v/>
      </c>
      <c r="I81" s="6">
        <f>(G81-F81)*C81*100</f>
        <v/>
      </c>
    </row>
    <row r="82">
      <c r="A82" t="inlineStr">
        <is>
          <t>IBM US 11/07/25 C305</t>
        </is>
      </c>
      <c r="B82" s="8" t="n">
        <v>-14</v>
      </c>
      <c r="C82" s="8" t="n">
        <v>-14</v>
      </c>
      <c r="D82" s="6" t="n">
        <v>4.25</v>
      </c>
      <c r="E82" s="6" t="n">
        <v>7.8</v>
      </c>
      <c r="F82" s="6" t="n">
        <v>4.25</v>
      </c>
      <c r="G82" s="6" t="n">
        <v>7.8</v>
      </c>
      <c r="H82" s="6">
        <f>(E82-F82)*C82*100</f>
        <v/>
      </c>
      <c r="I82" s="6">
        <f>(G82-F82)*C82*100</f>
        <v/>
      </c>
    </row>
    <row r="83">
      <c r="A83" t="inlineStr">
        <is>
          <t>JNJ US 11/07/25 C187.5</t>
        </is>
      </c>
      <c r="B83" s="8" t="n">
        <v>-22</v>
      </c>
      <c r="C83" s="8" t="n">
        <v>-22</v>
      </c>
      <c r="D83" s="6" t="n">
        <v>0.77</v>
      </c>
      <c r="E83" s="6" t="n">
        <v>0.62</v>
      </c>
      <c r="F83" s="6" t="n">
        <v>0.77</v>
      </c>
      <c r="G83" s="6" t="n">
        <v>0.62</v>
      </c>
      <c r="H83" s="6">
        <f>(E83-F83)*C83*100</f>
        <v/>
      </c>
      <c r="I83" s="6">
        <f>(G83-F83)*C83*100</f>
        <v/>
      </c>
    </row>
    <row r="84">
      <c r="A84" t="inlineStr">
        <is>
          <t>KO US 11/07/25 C69</t>
        </is>
      </c>
      <c r="B84" s="8" t="n">
        <v>-53</v>
      </c>
      <c r="C84" s="8" t="n">
        <v>-53</v>
      </c>
      <c r="D84" s="6" t="n">
        <v>0.21</v>
      </c>
      <c r="E84" s="6" t="n">
        <v>0.33</v>
      </c>
      <c r="F84" s="6" t="n">
        <v>0.21</v>
      </c>
      <c r="G84" s="6" t="n">
        <v>0.33</v>
      </c>
      <c r="H84" s="6">
        <f>(E84-F84)*C84*100</f>
        <v/>
      </c>
      <c r="I84" s="6">
        <f>(G84-F84)*C84*100</f>
        <v/>
      </c>
    </row>
    <row r="85">
      <c r="A85" t="inlineStr">
        <is>
          <t>MCD US 11/07/25 C297.5</t>
        </is>
      </c>
      <c r="B85" s="8" t="n">
        <v>-12</v>
      </c>
      <c r="C85" s="8" t="n">
        <v>-12</v>
      </c>
      <c r="D85" s="6" t="n">
        <v>10.3</v>
      </c>
      <c r="E85" s="6" t="n">
        <v>2.32</v>
      </c>
      <c r="F85" s="6" t="n">
        <v>10.3</v>
      </c>
      <c r="G85" s="6" t="n">
        <v>2.32</v>
      </c>
      <c r="H85" s="6">
        <f>(E85-F85)*C85*100</f>
        <v/>
      </c>
      <c r="I85" s="6">
        <f>(G85-F85)*C85*100</f>
        <v/>
      </c>
    </row>
    <row r="86">
      <c r="A86" t="inlineStr">
        <is>
          <t>MRK US 11/07/25 C86</t>
        </is>
      </c>
      <c r="B86" s="8" t="n">
        <v>-46</v>
      </c>
      <c r="C86" s="8" t="n">
        <v>-46</v>
      </c>
      <c r="D86" s="6" t="n">
        <v>0.32</v>
      </c>
      <c r="E86" s="6" t="n">
        <v>0.63</v>
      </c>
      <c r="F86" s="6" t="n">
        <v>0.32</v>
      </c>
      <c r="G86" s="6" t="n">
        <v>0.63</v>
      </c>
      <c r="H86" s="6">
        <f>(E86-F86)*C86*100</f>
        <v/>
      </c>
      <c r="I86" s="6">
        <f>(G86-F86)*C86*100</f>
        <v/>
      </c>
    </row>
    <row r="87">
      <c r="A87" t="inlineStr">
        <is>
          <t>PG US 11/07/25 C150</t>
        </is>
      </c>
      <c r="B87" s="8" t="n">
        <v>-24</v>
      </c>
      <c r="C87" s="8" t="n">
        <v>-24</v>
      </c>
      <c r="D87" s="6" t="n">
        <v>0.06</v>
      </c>
      <c r="E87" s="6" t="n">
        <v>0.02</v>
      </c>
      <c r="F87" s="6" t="n">
        <v>0.06</v>
      </c>
      <c r="G87" s="6" t="n">
        <v>0.02</v>
      </c>
      <c r="H87" s="6">
        <f>(E87-F87)*C87*100</f>
        <v/>
      </c>
      <c r="I87" s="6">
        <f>(G87-F87)*C87*100</f>
        <v/>
      </c>
    </row>
    <row r="88">
      <c r="A88" t="inlineStr">
        <is>
          <t>VZ US 11/07/25 C39.5</t>
        </is>
      </c>
      <c r="B88" s="8" t="n">
        <v>-84</v>
      </c>
      <c r="C88" s="8" t="n">
        <v>-84</v>
      </c>
      <c r="D88" s="6" t="n">
        <v>0.37</v>
      </c>
      <c r="E88" s="6" t="n">
        <v>0.4</v>
      </c>
      <c r="F88" s="6" t="n">
        <v>0.37</v>
      </c>
      <c r="G88" s="6" t="n">
        <v>0.4</v>
      </c>
      <c r="H88" s="6">
        <f>(E88-F88)*C88*100</f>
        <v/>
      </c>
      <c r="I88" s="6">
        <f>(G88-F88)*C88*100</f>
        <v/>
      </c>
    </row>
    <row r="90">
      <c r="A90" s="7" t="inlineStr">
        <is>
          <t>TOTAL</t>
        </is>
      </c>
      <c r="H90" s="6">
        <f>SUM(H59:H88)</f>
        <v/>
      </c>
      <c r="I90" s="6">
        <f>SUM(I59:I88)</f>
        <v/>
      </c>
    </row>
    <row r="93">
      <c r="A93" s="5" t="inlineStr">
        <is>
          <t>FLEX OPTION GAIN/LOSS DETAIL</t>
        </is>
      </c>
    </row>
    <row r="95">
      <c r="A95" t="inlineStr">
        <is>
          <t>No flex option holdings with gain/loss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P3727 - NAV Reconciliation - 2025-11-06</t>
        </is>
      </c>
    </row>
    <row r="3">
      <c r="A3" s="5" t="inlineStr">
        <is>
          <t>NAV CALCULATION SUMMARY</t>
        </is>
      </c>
    </row>
    <row r="5">
      <c r="A5" t="inlineStr">
        <is>
          <t>Beginning TNA (T-1)</t>
        </is>
      </c>
      <c r="C5" s="6" t="n">
        <v>71861823.53</v>
      </c>
    </row>
    <row r="6">
      <c r="A6" t="inlineStr">
        <is>
          <t>Adjusted Beginning TNA</t>
        </is>
      </c>
      <c r="C6" s="6" t="n">
        <v>71861823.53</v>
      </c>
    </row>
    <row r="8">
      <c r="A8" s="7" t="inlineStr">
        <is>
          <t>Gain/Loss Components:</t>
        </is>
      </c>
    </row>
    <row r="9">
      <c r="A9" t="inlineStr">
        <is>
          <t xml:space="preserve">  Equity G/L</t>
        </is>
      </c>
      <c r="C9" s="6">
        <f>H140</f>
        <v/>
      </c>
    </row>
    <row r="10">
      <c r="A10" t="inlineStr">
        <is>
          <t xml:space="preserve">  Equity G/L (Adjusted)</t>
        </is>
      </c>
      <c r="C10" s="6">
        <f>I140</f>
        <v/>
      </c>
    </row>
    <row r="11">
      <c r="A11" t="inlineStr">
        <is>
          <t xml:space="preserve">  Option G/L</t>
        </is>
      </c>
      <c r="C11" s="6">
        <f>H235</f>
        <v/>
      </c>
    </row>
    <row r="12">
      <c r="A12" t="inlineStr">
        <is>
          <t xml:space="preserve">  Option G/L (Adjusted)</t>
        </is>
      </c>
      <c r="C12" s="6">
        <f>I235</f>
        <v/>
      </c>
    </row>
    <row r="13">
      <c r="A13" t="inlineStr">
        <is>
          <t xml:space="preserve">  Flex Option G/L</t>
        </is>
      </c>
      <c r="C13" s="6">
        <f>H243</f>
        <v/>
      </c>
    </row>
    <row r="14">
      <c r="A14" t="inlineStr">
        <is>
          <t xml:space="preserve">  Flex Option G/L (Adjusted)</t>
        </is>
      </c>
      <c r="C14" s="6">
        <f>I243</f>
        <v/>
      </c>
    </row>
    <row r="16">
      <c r="A16" t="inlineStr">
        <is>
          <t>Expenses</t>
        </is>
      </c>
      <c r="C16" s="6" t="n">
        <v>-5173.440247986302</v>
      </c>
    </row>
    <row r="18">
      <c r="A18" s="7" t="inlineStr">
        <is>
          <t>Expected TNA</t>
        </is>
      </c>
      <c r="C18" s="6">
        <f>C6+I140+I235+I243+C16</f>
        <v/>
      </c>
    </row>
    <row r="19">
      <c r="A19" s="7" t="inlineStr">
        <is>
          <t>Custodian TNA</t>
        </is>
      </c>
      <c r="C19" s="6" t="n">
        <v>71256818.51000001</v>
      </c>
    </row>
    <row r="20">
      <c r="A20" t="inlineStr">
        <is>
          <t>TNA Difference</t>
        </is>
      </c>
      <c r="C20" s="6">
        <f>C19-C18</f>
        <v/>
      </c>
    </row>
    <row r="22">
      <c r="A22" t="inlineStr">
        <is>
          <t>Shares Outstanding</t>
        </is>
      </c>
      <c r="C22" s="8" t="n">
        <v>2891361.8</v>
      </c>
    </row>
    <row r="24">
      <c r="A24" s="7" t="inlineStr">
        <is>
          <t>Expected NAV</t>
        </is>
      </c>
      <c r="C24" s="9">
        <f>IF(C22&lt;&gt;0,C18/C22,0)</f>
        <v/>
      </c>
    </row>
    <row r="25">
      <c r="A25" s="7" t="inlineStr">
        <is>
          <t>Custodian NAV</t>
        </is>
      </c>
      <c r="C25" s="9" t="n">
        <v>24.64</v>
      </c>
    </row>
    <row r="26">
      <c r="A26" t="inlineStr">
        <is>
          <t>NAV Difference</t>
        </is>
      </c>
      <c r="C26" s="9">
        <f>C25-C24</f>
        <v/>
      </c>
    </row>
    <row r="28">
      <c r="A28" t="inlineStr">
        <is>
          <t>NAV Good (2 decimal)</t>
        </is>
      </c>
      <c r="C28">
        <f>IF(ABS(ROUND(C26,2))&lt;=0.01,"PASS","FAIL")</f>
        <v/>
      </c>
    </row>
    <row r="29">
      <c r="A29" t="inlineStr">
        <is>
          <t>NAV Good (4 decimal)</t>
        </is>
      </c>
      <c r="C29">
        <f>IF(ABS(ROUND(C26,4))&lt;=0.0001,"PASS","FAIL")</f>
        <v/>
      </c>
    </row>
    <row r="39">
      <c r="A39" s="5" t="inlineStr">
        <is>
          <t>EQUITY GAIN/LOSS DETAIL</t>
        </is>
      </c>
    </row>
    <row r="41">
      <c r="A41" s="10" t="inlineStr">
        <is>
          <t>Ticker</t>
        </is>
      </c>
      <c r="B41" s="10" t="inlineStr">
        <is>
          <t>Qty T-1</t>
        </is>
      </c>
      <c r="C41" s="10" t="inlineStr">
        <is>
          <t>Qty T</t>
        </is>
      </c>
      <c r="D41" s="10" t="inlineStr">
        <is>
          <t>Price T-1
(Vest)</t>
        </is>
      </c>
      <c r="E41" s="10" t="inlineStr">
        <is>
          <t>Price T
(Raw)</t>
        </is>
      </c>
      <c r="F41" s="10" t="inlineStr">
        <is>
          <t>Price T-1
(Cust)</t>
        </is>
      </c>
      <c r="G41" s="10" t="inlineStr">
        <is>
          <t>Price T
(Adj)</t>
        </is>
      </c>
      <c r="H41" s="10" t="inlineStr">
        <is>
          <t>G/L</t>
        </is>
      </c>
      <c r="I41" s="10" t="inlineStr">
        <is>
          <t>G/L Adj</t>
        </is>
      </c>
    </row>
    <row r="42">
      <c r="A42" t="inlineStr">
        <is>
          <t>AAPL</t>
        </is>
      </c>
      <c r="B42" s="8" t="n">
        <v>19991</v>
      </c>
      <c r="C42" s="8" t="n">
        <v>19991</v>
      </c>
      <c r="D42" s="6" t="n">
        <v>270.14</v>
      </c>
      <c r="E42" s="6" t="n">
        <v>269.77</v>
      </c>
      <c r="F42" s="6" t="n">
        <v>270.14</v>
      </c>
      <c r="G42" s="6" t="n">
        <v>269.77</v>
      </c>
      <c r="H42" s="6">
        <f>(E42-F42)*C42</f>
        <v/>
      </c>
      <c r="I42" s="6">
        <f>(G42-F42)*C42</f>
        <v/>
      </c>
    </row>
    <row r="43">
      <c r="A43" t="inlineStr">
        <is>
          <t>ABBV</t>
        </is>
      </c>
      <c r="B43" s="8" t="n">
        <v>3240</v>
      </c>
      <c r="C43" s="8" t="n">
        <v>3240</v>
      </c>
      <c r="D43" s="6" t="n">
        <v>216.77</v>
      </c>
      <c r="E43" s="6" t="n">
        <v>219.04</v>
      </c>
      <c r="F43" s="6" t="n">
        <v>216.77</v>
      </c>
      <c r="G43" s="6" t="n">
        <v>219.04</v>
      </c>
      <c r="H43" s="6">
        <f>(E43-F43)*C43</f>
        <v/>
      </c>
      <c r="I43" s="6">
        <f>(G43-F43)*C43</f>
        <v/>
      </c>
    </row>
    <row r="44">
      <c r="A44" t="inlineStr">
        <is>
          <t>ABT</t>
        </is>
      </c>
      <c r="B44" s="8" t="n">
        <v>5064</v>
      </c>
      <c r="C44" s="8" t="n">
        <v>5064</v>
      </c>
      <c r="D44" s="6" t="n">
        <v>124.54</v>
      </c>
      <c r="E44" s="6" t="n">
        <v>124.95</v>
      </c>
      <c r="F44" s="6" t="n">
        <v>124.54</v>
      </c>
      <c r="G44" s="6" t="n">
        <v>124.95</v>
      </c>
      <c r="H44" s="6">
        <f>(E44-F44)*C44</f>
        <v/>
      </c>
      <c r="I44" s="6">
        <f>(G44-F44)*C44</f>
        <v/>
      </c>
    </row>
    <row r="45">
      <c r="A45" t="inlineStr">
        <is>
          <t>ACN</t>
        </is>
      </c>
      <c r="B45" s="8" t="n">
        <v>1244</v>
      </c>
      <c r="C45" s="8" t="n">
        <v>1244</v>
      </c>
      <c r="D45" s="6" t="n">
        <v>247.82</v>
      </c>
      <c r="E45" s="6" t="n">
        <v>241.34</v>
      </c>
      <c r="F45" s="6" t="n">
        <v>247.82</v>
      </c>
      <c r="G45" s="6" t="n">
        <v>241.34</v>
      </c>
      <c r="H45" s="6">
        <f>(E45-F45)*C45</f>
        <v/>
      </c>
      <c r="I45" s="6">
        <f>(G45-F45)*C45</f>
        <v/>
      </c>
    </row>
    <row r="46">
      <c r="A46" t="inlineStr">
        <is>
          <t>ADBE</t>
        </is>
      </c>
      <c r="B46" s="8" t="n">
        <v>876</v>
      </c>
      <c r="C46" s="8" t="n">
        <v>876</v>
      </c>
      <c r="D46" s="6" t="n">
        <v>335.53</v>
      </c>
      <c r="E46" s="6" t="n">
        <v>327.35</v>
      </c>
      <c r="F46" s="6" t="n">
        <v>335.53</v>
      </c>
      <c r="G46" s="6" t="n">
        <v>327.35</v>
      </c>
      <c r="H46" s="6">
        <f>(E46-F46)*C46</f>
        <v/>
      </c>
      <c r="I46" s="6">
        <f>(G46-F46)*C46</f>
        <v/>
      </c>
    </row>
    <row r="47">
      <c r="A47" t="inlineStr">
        <is>
          <t>AMAT</t>
        </is>
      </c>
      <c r="B47" s="8" t="n">
        <v>1515</v>
      </c>
      <c r="C47" s="8" t="n">
        <v>1515</v>
      </c>
      <c r="D47" s="6" t="n">
        <v>240.79</v>
      </c>
      <c r="E47" s="6" t="n">
        <v>233.53</v>
      </c>
      <c r="F47" s="6" t="n">
        <v>240.79</v>
      </c>
      <c r="G47" s="6" t="n">
        <v>233.53</v>
      </c>
      <c r="H47" s="6">
        <f>(E47-F47)*C47</f>
        <v/>
      </c>
      <c r="I47" s="6">
        <f>(G47-F47)*C47</f>
        <v/>
      </c>
    </row>
    <row r="48">
      <c r="A48" t="inlineStr">
        <is>
          <t>AMD</t>
        </is>
      </c>
      <c r="B48" s="8" t="n">
        <v>2981</v>
      </c>
      <c r="C48" s="8" t="n">
        <v>2981</v>
      </c>
      <c r="D48" s="6" t="n">
        <v>255.82</v>
      </c>
      <c r="E48" s="6" t="n">
        <v>237.7</v>
      </c>
      <c r="F48" s="6" t="n">
        <v>255.82</v>
      </c>
      <c r="G48" s="6" t="n">
        <v>237.7</v>
      </c>
      <c r="H48" s="6">
        <f>(E48-F48)*C48</f>
        <v/>
      </c>
      <c r="I48" s="6">
        <f>(G48-F48)*C48</f>
        <v/>
      </c>
    </row>
    <row r="49">
      <c r="A49" t="inlineStr">
        <is>
          <t>AMGN</t>
        </is>
      </c>
      <c r="B49" s="8" t="n">
        <v>986</v>
      </c>
      <c r="C49" s="8" t="n">
        <v>986</v>
      </c>
      <c r="D49" s="6" t="n">
        <v>319.86</v>
      </c>
      <c r="E49" s="6" t="n">
        <v>315.59</v>
      </c>
      <c r="F49" s="6" t="n">
        <v>319.86</v>
      </c>
      <c r="G49" s="6" t="n">
        <v>315.59</v>
      </c>
      <c r="H49" s="6">
        <f>(E49-F49)*C49</f>
        <v/>
      </c>
      <c r="I49" s="6">
        <f>(G49-F49)*C49</f>
        <v/>
      </c>
    </row>
    <row r="50">
      <c r="A50" t="inlineStr">
        <is>
          <t>AMT</t>
        </is>
      </c>
      <c r="B50" s="8" t="n">
        <v>5804</v>
      </c>
      <c r="C50" s="8" t="n">
        <v>5804</v>
      </c>
      <c r="D50" s="6" t="n">
        <v>179.43</v>
      </c>
      <c r="E50" s="6" t="n">
        <v>178.09</v>
      </c>
      <c r="F50" s="6" t="n">
        <v>179.43</v>
      </c>
      <c r="G50" s="6" t="n">
        <v>178.09</v>
      </c>
      <c r="H50" s="6">
        <f>(E50-F50)*C50</f>
        <v/>
      </c>
      <c r="I50" s="6">
        <f>(G50-F50)*C50</f>
        <v/>
      </c>
    </row>
    <row r="51">
      <c r="A51" t="inlineStr">
        <is>
          <t>AMZN</t>
        </is>
      </c>
      <c r="B51" s="8" t="n">
        <v>13020</v>
      </c>
      <c r="C51" s="8" t="n">
        <v>13020</v>
      </c>
      <c r="D51" s="6" t="n">
        <v>250.2</v>
      </c>
      <c r="E51" s="6" t="n">
        <v>243.04</v>
      </c>
      <c r="F51" s="6" t="n">
        <v>250.2</v>
      </c>
      <c r="G51" s="6" t="n">
        <v>243.04</v>
      </c>
      <c r="H51" s="6">
        <f>(E51-F51)*C51</f>
        <v/>
      </c>
      <c r="I51" s="6">
        <f>(G51-F51)*C51</f>
        <v/>
      </c>
    </row>
    <row r="52">
      <c r="A52" t="inlineStr">
        <is>
          <t>AVGO</t>
        </is>
      </c>
      <c r="B52" s="8" t="n">
        <v>8580</v>
      </c>
      <c r="C52" s="8" t="n">
        <v>8580</v>
      </c>
      <c r="D52" s="6" t="n">
        <v>358.98</v>
      </c>
      <c r="E52" s="6" t="n">
        <v>355.59</v>
      </c>
      <c r="F52" s="6" t="n">
        <v>358.98</v>
      </c>
      <c r="G52" s="6" t="n">
        <v>355.59</v>
      </c>
      <c r="H52" s="6">
        <f>(E52-F52)*C52</f>
        <v/>
      </c>
      <c r="I52" s="6">
        <f>(G52-F52)*C52</f>
        <v/>
      </c>
    </row>
    <row r="53">
      <c r="A53" t="inlineStr">
        <is>
          <t>AXP</t>
        </is>
      </c>
      <c r="B53" s="8" t="n">
        <v>1225</v>
      </c>
      <c r="C53" s="8" t="n">
        <v>1225</v>
      </c>
      <c r="D53" s="6" t="n">
        <v>365.8</v>
      </c>
      <c r="E53" s="6" t="n">
        <v>365.73</v>
      </c>
      <c r="F53" s="6" t="n">
        <v>365.8</v>
      </c>
      <c r="G53" s="6" t="n">
        <v>365.73</v>
      </c>
      <c r="H53" s="6">
        <f>(E53-F53)*C53</f>
        <v/>
      </c>
      <c r="I53" s="6">
        <f>(G53-F53)*C53</f>
        <v/>
      </c>
    </row>
    <row r="54">
      <c r="A54" t="inlineStr">
        <is>
          <t>BA</t>
        </is>
      </c>
      <c r="B54" s="8" t="n">
        <v>2063</v>
      </c>
      <c r="C54" s="8" t="n">
        <v>2063</v>
      </c>
      <c r="D54" s="6" t="n">
        <v>197.62</v>
      </c>
      <c r="E54" s="6" t="n">
        <v>196.5</v>
      </c>
      <c r="F54" s="6" t="n">
        <v>197.62</v>
      </c>
      <c r="G54" s="6" t="n">
        <v>196.5</v>
      </c>
      <c r="H54" s="6">
        <f>(E54-F54)*C54</f>
        <v/>
      </c>
      <c r="I54" s="6">
        <f>(G54-F54)*C54</f>
        <v/>
      </c>
    </row>
    <row r="55">
      <c r="A55" t="inlineStr">
        <is>
          <t>BAC</t>
        </is>
      </c>
      <c r="B55" s="8" t="n">
        <v>12111</v>
      </c>
      <c r="C55" s="8" t="n">
        <v>12111</v>
      </c>
      <c r="D55" s="6" t="n">
        <v>52.45</v>
      </c>
      <c r="E55" s="6" t="n">
        <v>53.29</v>
      </c>
      <c r="F55" s="6" t="n">
        <v>52.45</v>
      </c>
      <c r="G55" s="6" t="n">
        <v>53.29</v>
      </c>
      <c r="H55" s="6">
        <f>(E55-F55)*C55</f>
        <v/>
      </c>
      <c r="I55" s="6">
        <f>(G55-F55)*C55</f>
        <v/>
      </c>
    </row>
    <row r="56">
      <c r="A56" t="inlineStr">
        <is>
          <t>BKNG</t>
        </is>
      </c>
      <c r="B56" s="8" t="n">
        <v>84</v>
      </c>
      <c r="C56" s="8" t="n">
        <v>84</v>
      </c>
      <c r="D56" s="6" t="n">
        <v>4911.15</v>
      </c>
      <c r="E56" s="6" t="n">
        <v>4899.05</v>
      </c>
      <c r="F56" s="6" t="n">
        <v>4911.15</v>
      </c>
      <c r="G56" s="6" t="n">
        <v>4899.05</v>
      </c>
      <c r="H56" s="6">
        <f>(E56-F56)*C56</f>
        <v/>
      </c>
      <c r="I56" s="6">
        <f>(G56-F56)*C56</f>
        <v/>
      </c>
    </row>
    <row r="57">
      <c r="A57" t="inlineStr">
        <is>
          <t>BLK</t>
        </is>
      </c>
      <c r="B57" s="8" t="n">
        <v>320</v>
      </c>
      <c r="C57" s="8" t="n">
        <v>320</v>
      </c>
      <c r="D57" s="6" t="n">
        <v>1073.57</v>
      </c>
      <c r="E57" s="6" t="n">
        <v>1069.44</v>
      </c>
      <c r="F57" s="6" t="n">
        <v>1073.57</v>
      </c>
      <c r="G57" s="6" t="n">
        <v>1069.44</v>
      </c>
      <c r="H57" s="6">
        <f>(E57-F57)*C57</f>
        <v/>
      </c>
      <c r="I57" s="6">
        <f>(G57-F57)*C57</f>
        <v/>
      </c>
    </row>
    <row r="58">
      <c r="A58" t="inlineStr">
        <is>
          <t>BMY</t>
        </is>
      </c>
      <c r="B58" s="8" t="n">
        <v>3719</v>
      </c>
      <c r="C58" s="8" t="n">
        <v>3719</v>
      </c>
      <c r="D58" s="6" t="n">
        <v>46.47</v>
      </c>
      <c r="E58" s="6" t="n">
        <v>46.63</v>
      </c>
      <c r="F58" s="6" t="n">
        <v>46.47</v>
      </c>
      <c r="G58" s="6" t="n">
        <v>46.63</v>
      </c>
      <c r="H58" s="6">
        <f>(E58-F58)*C58</f>
        <v/>
      </c>
      <c r="I58" s="6">
        <f>(G58-F58)*C58</f>
        <v/>
      </c>
    </row>
    <row r="59">
      <c r="A59" t="inlineStr">
        <is>
          <t>C</t>
        </is>
      </c>
      <c r="B59" s="8" t="n">
        <v>3431</v>
      </c>
      <c r="C59" s="8" t="n">
        <v>3431</v>
      </c>
      <c r="D59" s="6" t="n">
        <v>101.69</v>
      </c>
      <c r="E59" s="6" t="n">
        <v>100.85</v>
      </c>
      <c r="F59" s="6" t="n">
        <v>101.69</v>
      </c>
      <c r="G59" s="6" t="n">
        <v>100.85</v>
      </c>
      <c r="H59" s="6">
        <f>(E59-F59)*C59</f>
        <v/>
      </c>
      <c r="I59" s="6">
        <f>(G59-F59)*C59</f>
        <v/>
      </c>
    </row>
    <row r="60">
      <c r="A60" t="inlineStr">
        <is>
          <t>CAT</t>
        </is>
      </c>
      <c r="B60" s="8" t="n">
        <v>1332</v>
      </c>
      <c r="C60" s="8" t="n">
        <v>1332</v>
      </c>
      <c r="D60" s="6" t="n">
        <v>569.15</v>
      </c>
      <c r="E60" s="6" t="n">
        <v>569.78</v>
      </c>
      <c r="F60" s="6" t="n">
        <v>569.15</v>
      </c>
      <c r="G60" s="6" t="n">
        <v>569.78</v>
      </c>
      <c r="H60" s="6">
        <f>(E60-F60)*C60</f>
        <v/>
      </c>
      <c r="I60" s="6">
        <f>(G60-F60)*C60</f>
        <v/>
      </c>
    </row>
    <row r="61">
      <c r="A61" t="inlineStr">
        <is>
          <t>CB</t>
        </is>
      </c>
      <c r="B61" s="8" t="n">
        <v>3880</v>
      </c>
      <c r="C61" s="8" t="n">
        <v>3880</v>
      </c>
      <c r="D61" s="6" t="n">
        <v>283.26</v>
      </c>
      <c r="E61" s="6" t="n">
        <v>283.05</v>
      </c>
      <c r="F61" s="6" t="n">
        <v>283.26</v>
      </c>
      <c r="G61" s="6" t="n">
        <v>283.05</v>
      </c>
      <c r="H61" s="6">
        <f>(E61-F61)*C61</f>
        <v/>
      </c>
      <c r="I61" s="6">
        <f>(G61-F61)*C61</f>
        <v/>
      </c>
    </row>
    <row r="62">
      <c r="A62" t="inlineStr">
        <is>
          <t>CL</t>
        </is>
      </c>
      <c r="B62" s="8" t="n">
        <v>1341</v>
      </c>
      <c r="C62" s="8" t="n">
        <v>1341</v>
      </c>
      <c r="D62" s="6" t="n">
        <v>76.91</v>
      </c>
      <c r="E62" s="6" t="n">
        <v>77.27</v>
      </c>
      <c r="F62" s="6" t="n">
        <v>76.91</v>
      </c>
      <c r="G62" s="6" t="n">
        <v>77.27</v>
      </c>
      <c r="H62" s="6">
        <f>(E62-F62)*C62</f>
        <v/>
      </c>
      <c r="I62" s="6">
        <f>(G62-F62)*C62</f>
        <v/>
      </c>
    </row>
    <row r="63">
      <c r="A63" t="inlineStr">
        <is>
          <t>CMCSA</t>
        </is>
      </c>
      <c r="B63" s="8" t="n">
        <v>5012</v>
      </c>
      <c r="C63" s="8" t="n">
        <v>5012</v>
      </c>
      <c r="D63" s="6" t="n">
        <v>27.94</v>
      </c>
      <c r="E63" s="6" t="n">
        <v>27.31</v>
      </c>
      <c r="F63" s="6" t="n">
        <v>27.94</v>
      </c>
      <c r="G63" s="6" t="n">
        <v>27.31</v>
      </c>
      <c r="H63" s="6">
        <f>(E63-F63)*C63</f>
        <v/>
      </c>
      <c r="I63" s="6">
        <f>(G63-F63)*C63</f>
        <v/>
      </c>
    </row>
    <row r="64">
      <c r="A64" t="inlineStr">
        <is>
          <t>COP</t>
        </is>
      </c>
      <c r="B64" s="8" t="n">
        <v>3004</v>
      </c>
      <c r="C64" s="8" t="n">
        <v>3004</v>
      </c>
      <c r="D64" s="6" t="n">
        <v>87.7</v>
      </c>
      <c r="E64" s="6" t="n">
        <v>85.66</v>
      </c>
      <c r="F64" s="6" t="n">
        <v>87.7</v>
      </c>
      <c r="G64" s="6" t="n">
        <v>85.66</v>
      </c>
      <c r="H64" s="6">
        <f>(E64-F64)*C64</f>
        <v/>
      </c>
      <c r="I64" s="6">
        <f>(G64-F64)*C64</f>
        <v/>
      </c>
    </row>
    <row r="65">
      <c r="A65" t="inlineStr">
        <is>
          <t>CRM</t>
        </is>
      </c>
      <c r="B65" s="8" t="n">
        <v>1903</v>
      </c>
      <c r="C65" s="8" t="n">
        <v>1903</v>
      </c>
      <c r="D65" s="6" t="n">
        <v>252.68</v>
      </c>
      <c r="E65" s="6" t="n">
        <v>239.27</v>
      </c>
      <c r="F65" s="6" t="n">
        <v>252.68</v>
      </c>
      <c r="G65" s="6" t="n">
        <v>239.27</v>
      </c>
      <c r="H65" s="6">
        <f>(E65-F65)*C65</f>
        <v/>
      </c>
      <c r="I65" s="6">
        <f>(G65-F65)*C65</f>
        <v/>
      </c>
    </row>
    <row r="66">
      <c r="A66" t="inlineStr">
        <is>
          <t>CSCO</t>
        </is>
      </c>
      <c r="B66" s="8" t="n">
        <v>20222</v>
      </c>
      <c r="C66" s="8" t="n">
        <v>20222</v>
      </c>
      <c r="D66" s="6" t="n">
        <v>72.09999999999999</v>
      </c>
      <c r="E66" s="6" t="n">
        <v>71.04000000000001</v>
      </c>
      <c r="F66" s="6" t="n">
        <v>72.09999999999999</v>
      </c>
      <c r="G66" s="6" t="n">
        <v>71.04000000000001</v>
      </c>
      <c r="H66" s="6">
        <f>(E66-F66)*C66</f>
        <v/>
      </c>
      <c r="I66" s="6">
        <f>(G66-F66)*C66</f>
        <v/>
      </c>
    </row>
    <row r="67">
      <c r="A67" t="inlineStr">
        <is>
          <t>CVS</t>
        </is>
      </c>
      <c r="B67" s="8" t="n">
        <v>3674</v>
      </c>
      <c r="C67" s="8" t="n">
        <v>3674</v>
      </c>
      <c r="D67" s="6" t="n">
        <v>78.55</v>
      </c>
      <c r="E67" s="6" t="n">
        <v>78.66</v>
      </c>
      <c r="F67" s="6" t="n">
        <v>78.55</v>
      </c>
      <c r="G67" s="6" t="n">
        <v>78.66</v>
      </c>
      <c r="H67" s="6">
        <f>(E67-F67)*C67</f>
        <v/>
      </c>
      <c r="I67" s="6">
        <f>(G67-F67)*C67</f>
        <v/>
      </c>
    </row>
    <row r="68">
      <c r="A68" t="inlineStr">
        <is>
          <t>CVX</t>
        </is>
      </c>
      <c r="B68" s="8" t="n">
        <v>3882</v>
      </c>
      <c r="C68" s="8" t="n">
        <v>3882</v>
      </c>
      <c r="D68" s="6" t="n">
        <v>152.66</v>
      </c>
      <c r="E68" s="6" t="n">
        <v>152.94</v>
      </c>
      <c r="F68" s="6" t="n">
        <v>152.66</v>
      </c>
      <c r="G68" s="6" t="n">
        <v>152.94</v>
      </c>
      <c r="H68" s="6">
        <f>(E68-F68)*C68</f>
        <v/>
      </c>
      <c r="I68" s="6">
        <f>(G68-F68)*C68</f>
        <v/>
      </c>
    </row>
    <row r="69">
      <c r="A69" t="inlineStr">
        <is>
          <t>DE</t>
        </is>
      </c>
      <c r="B69" s="8" t="n">
        <v>702</v>
      </c>
      <c r="C69" s="8" t="n">
        <v>702</v>
      </c>
      <c r="D69" s="6" t="n">
        <v>473.69</v>
      </c>
      <c r="E69" s="6" t="n">
        <v>475.38</v>
      </c>
      <c r="F69" s="6" t="n">
        <v>473.69</v>
      </c>
      <c r="G69" s="6" t="n">
        <v>475.38</v>
      </c>
      <c r="H69" s="6">
        <f>(E69-F69)*C69</f>
        <v/>
      </c>
      <c r="I69" s="6">
        <f>(G69-F69)*C69</f>
        <v/>
      </c>
    </row>
    <row r="70">
      <c r="A70" t="inlineStr">
        <is>
          <t>DHR</t>
        </is>
      </c>
      <c r="B70" s="8" t="n">
        <v>1179</v>
      </c>
      <c r="C70" s="8" t="n">
        <v>1179</v>
      </c>
      <c r="D70" s="6" t="n">
        <v>212.21</v>
      </c>
      <c r="E70" s="6" t="n">
        <v>210.67</v>
      </c>
      <c r="F70" s="6" t="n">
        <v>212.21</v>
      </c>
      <c r="G70" s="6" t="n">
        <v>210.67</v>
      </c>
      <c r="H70" s="6">
        <f>(E70-F70)*C70</f>
        <v/>
      </c>
      <c r="I70" s="6">
        <f>(G70-F70)*C70</f>
        <v/>
      </c>
    </row>
    <row r="71">
      <c r="A71" t="inlineStr">
        <is>
          <t>DIS</t>
        </is>
      </c>
      <c r="B71" s="8" t="n">
        <v>2378</v>
      </c>
      <c r="C71" s="8" t="n">
        <v>2378</v>
      </c>
      <c r="D71" s="6" t="n">
        <v>111.36</v>
      </c>
      <c r="E71" s="6" t="n">
        <v>110.49</v>
      </c>
      <c r="F71" s="6" t="n">
        <v>111.36</v>
      </c>
      <c r="G71" s="6" t="n">
        <v>110.49</v>
      </c>
      <c r="H71" s="6">
        <f>(E71-F71)*C71</f>
        <v/>
      </c>
      <c r="I71" s="6">
        <f>(G71-F71)*C71</f>
        <v/>
      </c>
    </row>
    <row r="72">
      <c r="A72" t="inlineStr">
        <is>
          <t>DUK</t>
        </is>
      </c>
      <c r="B72" s="8" t="n">
        <v>3462</v>
      </c>
      <c r="C72" s="8" t="n">
        <v>3462</v>
      </c>
      <c r="D72" s="6" t="n">
        <v>123.77</v>
      </c>
      <c r="E72" s="6" t="n">
        <v>124</v>
      </c>
      <c r="F72" s="6" t="n">
        <v>123.77</v>
      </c>
      <c r="G72" s="6" t="n">
        <v>124</v>
      </c>
      <c r="H72" s="6">
        <f>(E72-F72)*C72</f>
        <v/>
      </c>
      <c r="I72" s="6">
        <f>(G72-F72)*C72</f>
        <v/>
      </c>
    </row>
    <row r="73">
      <c r="A73" t="inlineStr">
        <is>
          <t>ELV</t>
        </is>
      </c>
      <c r="B73" s="8" t="n">
        <v>677</v>
      </c>
      <c r="C73" s="8" t="n">
        <v>677</v>
      </c>
      <c r="D73" s="6" t="n">
        <v>318.08</v>
      </c>
      <c r="E73" s="6" t="n">
        <v>314.44</v>
      </c>
      <c r="F73" s="6" t="n">
        <v>318.08</v>
      </c>
      <c r="G73" s="6" t="n">
        <v>314.44</v>
      </c>
      <c r="H73" s="6">
        <f>(E73-F73)*C73</f>
        <v/>
      </c>
      <c r="I73" s="6">
        <f>(G73-F73)*C73</f>
        <v/>
      </c>
    </row>
    <row r="74">
      <c r="A74" t="inlineStr">
        <is>
          <t>EMR</t>
        </is>
      </c>
      <c r="B74" s="8" t="n">
        <v>1574</v>
      </c>
      <c r="C74" s="8" t="n">
        <v>1574</v>
      </c>
      <c r="D74" s="6" t="n">
        <v>132.45</v>
      </c>
      <c r="E74" s="6" t="n">
        <v>131.49</v>
      </c>
      <c r="F74" s="6" t="n">
        <v>132.45</v>
      </c>
      <c r="G74" s="6" t="n">
        <v>131.49</v>
      </c>
      <c r="H74" s="6">
        <f>(E74-F74)*C74</f>
        <v/>
      </c>
      <c r="I74" s="6">
        <f>(G74-F74)*C74</f>
        <v/>
      </c>
    </row>
    <row r="75">
      <c r="A75" t="inlineStr">
        <is>
          <t>ETN</t>
        </is>
      </c>
      <c r="B75" s="8" t="n">
        <v>1091</v>
      </c>
      <c r="C75" s="8" t="n">
        <v>1091</v>
      </c>
      <c r="D75" s="6" t="n">
        <v>385.44</v>
      </c>
      <c r="E75" s="6" t="n">
        <v>377.4</v>
      </c>
      <c r="F75" s="6" t="n">
        <v>385.44</v>
      </c>
      <c r="G75" s="6" t="n">
        <v>377.4</v>
      </c>
      <c r="H75" s="6">
        <f>(E75-F75)*C75</f>
        <v/>
      </c>
      <c r="I75" s="6">
        <f>(G75-F75)*C75</f>
        <v/>
      </c>
    </row>
    <row r="76">
      <c r="A76" t="inlineStr">
        <is>
          <t>FDX</t>
        </is>
      </c>
      <c r="B76" s="8" t="n">
        <v>474</v>
      </c>
      <c r="C76" s="8" t="n">
        <v>474</v>
      </c>
      <c r="D76" s="6" t="n">
        <v>256.1</v>
      </c>
      <c r="E76" s="6" t="n">
        <v>258.86</v>
      </c>
      <c r="F76" s="6" t="n">
        <v>256.1</v>
      </c>
      <c r="G76" s="6" t="n">
        <v>258.86</v>
      </c>
      <c r="H76" s="6">
        <f>(E76-F76)*C76</f>
        <v/>
      </c>
      <c r="I76" s="6">
        <f>(G76-F76)*C76</f>
        <v/>
      </c>
    </row>
    <row r="77">
      <c r="A77" t="inlineStr">
        <is>
          <t>GE</t>
        </is>
      </c>
      <c r="B77" s="8" t="n">
        <v>2987</v>
      </c>
      <c r="C77" s="8" t="n">
        <v>2987</v>
      </c>
      <c r="D77" s="6" t="n">
        <v>305.11</v>
      </c>
      <c r="E77" s="6" t="n">
        <v>305.27</v>
      </c>
      <c r="F77" s="6" t="n">
        <v>305.11</v>
      </c>
      <c r="G77" s="6" t="n">
        <v>305.27</v>
      </c>
      <c r="H77" s="6">
        <f>(E77-F77)*C77</f>
        <v/>
      </c>
      <c r="I77" s="6">
        <f>(G77-F77)*C77</f>
        <v/>
      </c>
    </row>
    <row r="78">
      <c r="A78" t="inlineStr">
        <is>
          <t>GILD</t>
        </is>
      </c>
      <c r="B78" s="8" t="n">
        <v>2285</v>
      </c>
      <c r="C78" s="8" t="n">
        <v>2285</v>
      </c>
      <c r="D78" s="6" t="n">
        <v>122.58</v>
      </c>
      <c r="E78" s="6" t="n">
        <v>123.4</v>
      </c>
      <c r="F78" s="6" t="n">
        <v>122.58</v>
      </c>
      <c r="G78" s="6" t="n">
        <v>123.4</v>
      </c>
      <c r="H78" s="6">
        <f>(E78-F78)*C78</f>
        <v/>
      </c>
      <c r="I78" s="6">
        <f>(G78-F78)*C78</f>
        <v/>
      </c>
    </row>
    <row r="79">
      <c r="A79" t="inlineStr">
        <is>
          <t>GOOG</t>
        </is>
      </c>
      <c r="B79" s="8" t="n">
        <v>6250</v>
      </c>
      <c r="C79" s="8" t="n">
        <v>6250</v>
      </c>
      <c r="D79" s="6" t="n">
        <v>284.75</v>
      </c>
      <c r="E79" s="6" t="n">
        <v>285.34</v>
      </c>
      <c r="F79" s="6" t="n">
        <v>284.75</v>
      </c>
      <c r="G79" s="6" t="n">
        <v>285.34</v>
      </c>
      <c r="H79" s="6">
        <f>(E79-F79)*C79</f>
        <v/>
      </c>
      <c r="I79" s="6">
        <f>(G79-F79)*C79</f>
        <v/>
      </c>
    </row>
    <row r="80">
      <c r="A80" t="inlineStr">
        <is>
          <t>GOOGL</t>
        </is>
      </c>
      <c r="B80" s="8" t="n">
        <v>7673</v>
      </c>
      <c r="C80" s="8" t="n">
        <v>7673</v>
      </c>
      <c r="D80" s="6" t="n">
        <v>284.31</v>
      </c>
      <c r="E80" s="6" t="n">
        <v>284.75</v>
      </c>
      <c r="F80" s="6" t="n">
        <v>284.31</v>
      </c>
      <c r="G80" s="6" t="n">
        <v>284.75</v>
      </c>
      <c r="H80" s="6">
        <f>(E80-F80)*C80</f>
        <v/>
      </c>
      <c r="I80" s="6">
        <f>(G80-F80)*C80</f>
        <v/>
      </c>
    </row>
    <row r="81">
      <c r="A81" t="inlineStr">
        <is>
          <t>GS</t>
        </is>
      </c>
      <c r="B81" s="8" t="n">
        <v>691</v>
      </c>
      <c r="C81" s="8" t="n">
        <v>691</v>
      </c>
      <c r="D81" s="6" t="n">
        <v>793.09</v>
      </c>
      <c r="E81" s="6" t="n">
        <v>787.58</v>
      </c>
      <c r="F81" s="6" t="n">
        <v>793.09</v>
      </c>
      <c r="G81" s="6" t="n">
        <v>787.58</v>
      </c>
      <c r="H81" s="6">
        <f>(E81-F81)*C81</f>
        <v/>
      </c>
      <c r="I81" s="6">
        <f>(G81-F81)*C81</f>
        <v/>
      </c>
    </row>
    <row r="82">
      <c r="A82" t="inlineStr">
        <is>
          <t>HD</t>
        </is>
      </c>
      <c r="B82" s="8" t="n">
        <v>1382</v>
      </c>
      <c r="C82" s="8" t="n">
        <v>1382</v>
      </c>
      <c r="D82" s="6" t="n">
        <v>373.84</v>
      </c>
      <c r="E82" s="6" t="n">
        <v>369.07</v>
      </c>
      <c r="F82" s="6" t="n">
        <v>373.84</v>
      </c>
      <c r="G82" s="6" t="n">
        <v>369.07</v>
      </c>
      <c r="H82" s="6">
        <f>(E82-F82)*C82</f>
        <v/>
      </c>
      <c r="I82" s="6">
        <f>(G82-F82)*C82</f>
        <v/>
      </c>
    </row>
    <row r="83">
      <c r="A83" t="inlineStr">
        <is>
          <t>HON</t>
        </is>
      </c>
      <c r="B83" s="8" t="n">
        <v>1794</v>
      </c>
      <c r="C83" s="8" t="n">
        <v>1794</v>
      </c>
      <c r="D83" s="6" t="n">
        <v>197.05</v>
      </c>
      <c r="E83" s="6" t="n">
        <v>195.91</v>
      </c>
      <c r="F83" s="6" t="n">
        <v>197.05</v>
      </c>
      <c r="G83" s="6" t="n">
        <v>195.91</v>
      </c>
      <c r="H83" s="6">
        <f>(E83-F83)*C83</f>
        <v/>
      </c>
      <c r="I83" s="6">
        <f>(G83-F83)*C83</f>
        <v/>
      </c>
    </row>
    <row r="84">
      <c r="A84" t="inlineStr">
        <is>
          <t>IBM</t>
        </is>
      </c>
      <c r="B84" s="8" t="n">
        <v>1841</v>
      </c>
      <c r="C84" s="8" t="n">
        <v>1841</v>
      </c>
      <c r="D84" s="6" t="n">
        <v>306.77</v>
      </c>
      <c r="E84" s="6" t="n">
        <v>312.42</v>
      </c>
      <c r="F84" s="6" t="n">
        <v>306.77</v>
      </c>
      <c r="G84" s="6" t="n">
        <v>312.42</v>
      </c>
      <c r="H84" s="6">
        <f>(E84-F84)*C84</f>
        <v/>
      </c>
      <c r="I84" s="6">
        <f>(G84-F84)*C84</f>
        <v/>
      </c>
    </row>
    <row r="85">
      <c r="A85" t="inlineStr">
        <is>
          <t>INTC</t>
        </is>
      </c>
      <c r="B85" s="8" t="n">
        <v>7923</v>
      </c>
      <c r="C85" s="8" t="n">
        <v>7923</v>
      </c>
      <c r="D85" s="6" t="n">
        <v>38.38</v>
      </c>
      <c r="E85" s="6" t="n">
        <v>37.24</v>
      </c>
      <c r="F85" s="6" t="n">
        <v>38.38</v>
      </c>
      <c r="G85" s="6" t="n">
        <v>37.24</v>
      </c>
      <c r="H85" s="6">
        <f>(E85-F85)*C85</f>
        <v/>
      </c>
      <c r="I85" s="6">
        <f>(G85-F85)*C85</f>
        <v/>
      </c>
    </row>
    <row r="86">
      <c r="A86" t="inlineStr">
        <is>
          <t>INTU</t>
        </is>
      </c>
      <c r="B86" s="8" t="n">
        <v>558</v>
      </c>
      <c r="C86" s="8" t="n">
        <v>558</v>
      </c>
      <c r="D86" s="6" t="n">
        <v>655.33</v>
      </c>
      <c r="E86" s="6" t="n">
        <v>653.64</v>
      </c>
      <c r="F86" s="6" t="n">
        <v>655.33</v>
      </c>
      <c r="G86" s="6" t="n">
        <v>653.64</v>
      </c>
      <c r="H86" s="6">
        <f>(E86-F86)*C86</f>
        <v/>
      </c>
      <c r="I86" s="6">
        <f>(G86-F86)*C86</f>
        <v/>
      </c>
    </row>
    <row r="87">
      <c r="A87" t="inlineStr">
        <is>
          <t>ISRG</t>
        </is>
      </c>
      <c r="B87" s="8" t="n">
        <v>1040</v>
      </c>
      <c r="C87" s="8" t="n">
        <v>1040</v>
      </c>
      <c r="D87" s="6" t="n">
        <v>548.55</v>
      </c>
      <c r="E87" s="6" t="n">
        <v>547.78</v>
      </c>
      <c r="F87" s="6" t="n">
        <v>548.55</v>
      </c>
      <c r="G87" s="6" t="n">
        <v>547.78</v>
      </c>
      <c r="H87" s="6">
        <f>(E87-F87)*C87</f>
        <v/>
      </c>
      <c r="I87" s="6">
        <f>(G87-F87)*C87</f>
        <v/>
      </c>
    </row>
    <row r="88">
      <c r="A88" t="inlineStr">
        <is>
          <t>JNJ</t>
        </is>
      </c>
      <c r="B88" s="8" t="n">
        <v>4415</v>
      </c>
      <c r="C88" s="8" t="n">
        <v>4415</v>
      </c>
      <c r="D88" s="6" t="n">
        <v>186</v>
      </c>
      <c r="E88" s="6" t="n">
        <v>186.97</v>
      </c>
      <c r="F88" s="6" t="n">
        <v>186</v>
      </c>
      <c r="G88" s="6" t="n">
        <v>186.97</v>
      </c>
      <c r="H88" s="6">
        <f>(E88-F88)*C88</f>
        <v/>
      </c>
      <c r="I88" s="6">
        <f>(G88-F88)*C88</f>
        <v/>
      </c>
    </row>
    <row r="89">
      <c r="A89" t="inlineStr">
        <is>
          <t>JPM</t>
        </is>
      </c>
      <c r="B89" s="8" t="n">
        <v>5108</v>
      </c>
      <c r="C89" s="8" t="n">
        <v>5108</v>
      </c>
      <c r="D89" s="6" t="n">
        <v>311.68</v>
      </c>
      <c r="E89" s="6" t="n">
        <v>313.42</v>
      </c>
      <c r="F89" s="6" t="n">
        <v>311.68</v>
      </c>
      <c r="G89" s="6" t="n">
        <v>313.42</v>
      </c>
      <c r="H89" s="6">
        <f>(E89-F89)*C89</f>
        <v/>
      </c>
      <c r="I89" s="6">
        <f>(G89-F89)*C89</f>
        <v/>
      </c>
    </row>
    <row r="90">
      <c r="A90" t="inlineStr">
        <is>
          <t>KO</t>
        </is>
      </c>
      <c r="B90" s="8" t="n">
        <v>6989</v>
      </c>
      <c r="C90" s="8" t="n">
        <v>6989</v>
      </c>
      <c r="D90" s="6" t="n">
        <v>68.51000000000001</v>
      </c>
      <c r="E90" s="6" t="n">
        <v>69.06</v>
      </c>
      <c r="F90" s="6" t="n">
        <v>68.51000000000001</v>
      </c>
      <c r="G90" s="6" t="n">
        <v>69.06</v>
      </c>
      <c r="H90" s="6">
        <f>(E90-F90)*C90</f>
        <v/>
      </c>
      <c r="I90" s="6">
        <f>(G90-F90)*C90</f>
        <v/>
      </c>
    </row>
    <row r="91">
      <c r="A91" t="inlineStr">
        <is>
          <t>LIN</t>
        </is>
      </c>
      <c r="B91" s="8" t="n">
        <v>2861</v>
      </c>
      <c r="C91" s="8" t="n">
        <v>2861</v>
      </c>
      <c r="D91" s="6" t="n">
        <v>418.23</v>
      </c>
      <c r="E91" s="6" t="n">
        <v>415.32</v>
      </c>
      <c r="F91" s="6" t="n">
        <v>418.23</v>
      </c>
      <c r="G91" s="6" t="n">
        <v>415.32</v>
      </c>
      <c r="H91" s="6">
        <f>(E91-F91)*C91</f>
        <v/>
      </c>
      <c r="I91" s="6">
        <f>(G91-F91)*C91</f>
        <v/>
      </c>
    </row>
    <row r="92">
      <c r="A92" t="inlineStr">
        <is>
          <t>LMT</t>
        </is>
      </c>
      <c r="B92" s="8" t="n">
        <v>582</v>
      </c>
      <c r="C92" s="8" t="n">
        <v>582</v>
      </c>
      <c r="D92" s="6" t="n">
        <v>473.14</v>
      </c>
      <c r="E92" s="6" t="n">
        <v>468.92</v>
      </c>
      <c r="F92" s="6" t="n">
        <v>473.14</v>
      </c>
      <c r="G92" s="6" t="n">
        <v>468.92</v>
      </c>
      <c r="H92" s="6">
        <f>(E92-F92)*C92</f>
        <v/>
      </c>
      <c r="I92" s="6">
        <f>(G92-F92)*C92</f>
        <v/>
      </c>
    </row>
    <row r="93">
      <c r="A93" t="inlineStr">
        <is>
          <t>LOW</t>
        </is>
      </c>
      <c r="B93" s="8" t="n">
        <v>789</v>
      </c>
      <c r="C93" s="8" t="n">
        <v>789</v>
      </c>
      <c r="D93" s="6" t="n">
        <v>234.35</v>
      </c>
      <c r="E93" s="6" t="n">
        <v>231.35</v>
      </c>
      <c r="F93" s="6" t="n">
        <v>234.35</v>
      </c>
      <c r="G93" s="6" t="n">
        <v>231.35</v>
      </c>
      <c r="H93" s="6">
        <f>(E93-F93)*C93</f>
        <v/>
      </c>
      <c r="I93" s="6">
        <f>(G93-F93)*C93</f>
        <v/>
      </c>
    </row>
    <row r="94">
      <c r="A94" t="inlineStr">
        <is>
          <t>MA</t>
        </is>
      </c>
      <c r="B94" s="8" t="n">
        <v>1804</v>
      </c>
      <c r="C94" s="8" t="n">
        <v>1804</v>
      </c>
      <c r="D94" s="6" t="n">
        <v>553.3099999999999</v>
      </c>
      <c r="E94" s="6" t="n">
        <v>553.28</v>
      </c>
      <c r="F94" s="6" t="n">
        <v>553.3099999999999</v>
      </c>
      <c r="G94" s="6" t="n">
        <v>553.28</v>
      </c>
      <c r="H94" s="6">
        <f>(E94-F94)*C94</f>
        <v/>
      </c>
      <c r="I94" s="6">
        <f>(G94-F94)*C94</f>
        <v/>
      </c>
    </row>
    <row r="95">
      <c r="A95" t="inlineStr">
        <is>
          <t>MCD</t>
        </is>
      </c>
      <c r="B95" s="8" t="n">
        <v>1826</v>
      </c>
      <c r="C95" s="8" t="n">
        <v>1826</v>
      </c>
      <c r="D95" s="6" t="n">
        <v>305.67</v>
      </c>
      <c r="E95" s="6" t="n">
        <v>298.41</v>
      </c>
      <c r="F95" s="6" t="n">
        <v>305.67</v>
      </c>
      <c r="G95" s="6" t="n">
        <v>298.41</v>
      </c>
      <c r="H95" s="6">
        <f>(E95-F95)*C95</f>
        <v/>
      </c>
      <c r="I95" s="6">
        <f>(G95-F95)*C95</f>
        <v/>
      </c>
    </row>
    <row r="96">
      <c r="A96" t="inlineStr">
        <is>
          <t>MDLZ</t>
        </is>
      </c>
      <c r="B96" s="8" t="n">
        <v>2410</v>
      </c>
      <c r="C96" s="8" t="n">
        <v>2410</v>
      </c>
      <c r="D96" s="6" t="n">
        <v>56.02</v>
      </c>
      <c r="E96" s="6" t="n">
        <v>56.19</v>
      </c>
      <c r="F96" s="6" t="n">
        <v>56.02</v>
      </c>
      <c r="G96" s="6" t="n">
        <v>56.19</v>
      </c>
      <c r="H96" s="6">
        <f>(E96-F96)*C96</f>
        <v/>
      </c>
      <c r="I96" s="6">
        <f>(G96-F96)*C96</f>
        <v/>
      </c>
    </row>
    <row r="97">
      <c r="A97" t="inlineStr">
        <is>
          <t>MDT</t>
        </is>
      </c>
      <c r="B97" s="8" t="n">
        <v>3745</v>
      </c>
      <c r="C97" s="8" t="n">
        <v>3745</v>
      </c>
      <c r="D97" s="6" t="n">
        <v>90.40000000000001</v>
      </c>
      <c r="E97" s="6" t="n">
        <v>90.06</v>
      </c>
      <c r="F97" s="6" t="n">
        <v>90.40000000000001</v>
      </c>
      <c r="G97" s="6" t="n">
        <v>90.06</v>
      </c>
      <c r="H97" s="6">
        <f>(E97-F97)*C97</f>
        <v/>
      </c>
      <c r="I97" s="6">
        <f>(G97-F97)*C97</f>
        <v/>
      </c>
    </row>
    <row r="98">
      <c r="A98" t="inlineStr">
        <is>
          <t>MET</t>
        </is>
      </c>
      <c r="B98" s="8" t="n">
        <v>6020</v>
      </c>
      <c r="C98" s="8" t="n">
        <v>6020</v>
      </c>
      <c r="D98" s="6" t="n">
        <v>78.68000000000001</v>
      </c>
      <c r="E98" s="6" t="n">
        <v>75.97</v>
      </c>
      <c r="F98" s="6" t="n">
        <v>78.68000000000001</v>
      </c>
      <c r="G98" s="6" t="n">
        <v>75.97</v>
      </c>
      <c r="H98" s="6">
        <f>(E98-F98)*C98</f>
        <v/>
      </c>
      <c r="I98" s="6">
        <f>(G98-F98)*C98</f>
        <v/>
      </c>
    </row>
    <row r="99">
      <c r="A99" t="inlineStr">
        <is>
          <t>META</t>
        </is>
      </c>
      <c r="B99" s="8" t="n">
        <v>2863</v>
      </c>
      <c r="C99" s="8" t="n">
        <v>2863</v>
      </c>
      <c r="D99" s="6" t="n">
        <v>635.95</v>
      </c>
      <c r="E99" s="6" t="n">
        <v>618.9400000000001</v>
      </c>
      <c r="F99" s="6" t="n">
        <v>635.95</v>
      </c>
      <c r="G99" s="6" t="n">
        <v>618.9400000000001</v>
      </c>
      <c r="H99" s="6">
        <f>(E99-F99)*C99</f>
        <v/>
      </c>
      <c r="I99" s="6">
        <f>(G99-F99)*C99</f>
        <v/>
      </c>
    </row>
    <row r="100">
      <c r="A100" t="inlineStr">
        <is>
          <t>MMM</t>
        </is>
      </c>
      <c r="B100" s="8" t="n">
        <v>1503</v>
      </c>
      <c r="C100" s="8" t="n">
        <v>1503</v>
      </c>
      <c r="D100" s="6" t="n">
        <v>164.32</v>
      </c>
      <c r="E100" s="6" t="n">
        <v>163.85</v>
      </c>
      <c r="F100" s="6" t="n">
        <v>164.32</v>
      </c>
      <c r="G100" s="6" t="n">
        <v>163.85</v>
      </c>
      <c r="H100" s="6">
        <f>(E100-F100)*C100</f>
        <v/>
      </c>
      <c r="I100" s="6">
        <f>(G100-F100)*C100</f>
        <v/>
      </c>
    </row>
    <row r="101">
      <c r="A101" t="inlineStr">
        <is>
          <t>MO</t>
        </is>
      </c>
      <c r="B101" s="8" t="n">
        <v>3055</v>
      </c>
      <c r="C101" s="8" t="n">
        <v>3055</v>
      </c>
      <c r="D101" s="6" t="n">
        <v>57.16</v>
      </c>
      <c r="E101" s="6" t="n">
        <v>57.27</v>
      </c>
      <c r="F101" s="6" t="n">
        <v>57.16</v>
      </c>
      <c r="G101" s="6" t="n">
        <v>57.27</v>
      </c>
      <c r="H101" s="6">
        <f>(E101-F101)*C101</f>
        <v/>
      </c>
      <c r="I101" s="6">
        <f>(G101-F101)*C101</f>
        <v/>
      </c>
    </row>
    <row r="102">
      <c r="A102" t="inlineStr">
        <is>
          <t>MRK</t>
        </is>
      </c>
      <c r="B102" s="8" t="n">
        <v>4638</v>
      </c>
      <c r="C102" s="8" t="n">
        <v>4638</v>
      </c>
      <c r="D102" s="6" t="n">
        <v>84.39</v>
      </c>
      <c r="E102" s="6" t="n">
        <v>85.78</v>
      </c>
      <c r="F102" s="6" t="n">
        <v>84.39</v>
      </c>
      <c r="G102" s="6" t="n">
        <v>85.78</v>
      </c>
      <c r="H102" s="6">
        <f>(E102-F102)*C102</f>
        <v/>
      </c>
      <c r="I102" s="6">
        <f>(G102-F102)*C102</f>
        <v/>
      </c>
    </row>
    <row r="103">
      <c r="A103" t="inlineStr">
        <is>
          <t>MS</t>
        </is>
      </c>
      <c r="B103" s="8" t="n">
        <v>2730</v>
      </c>
      <c r="C103" s="8" t="n">
        <v>2730</v>
      </c>
      <c r="D103" s="6" t="n">
        <v>165.18</v>
      </c>
      <c r="E103" s="6" t="n">
        <v>163.42</v>
      </c>
      <c r="F103" s="6" t="n">
        <v>165.18</v>
      </c>
      <c r="G103" s="6" t="n">
        <v>163.42</v>
      </c>
      <c r="H103" s="6">
        <f>(E103-F103)*C103</f>
        <v/>
      </c>
      <c r="I103" s="6">
        <f>(G103-F103)*C103</f>
        <v/>
      </c>
    </row>
    <row r="104">
      <c r="A104" t="inlineStr">
        <is>
          <t>MSFT</t>
        </is>
      </c>
      <c r="B104" s="8" t="n">
        <v>9833</v>
      </c>
      <c r="C104" s="8" t="n">
        <v>9833</v>
      </c>
      <c r="D104" s="6" t="n">
        <v>506.99</v>
      </c>
      <c r="E104" s="6" t="n">
        <v>497.1</v>
      </c>
      <c r="F104" s="6" t="n">
        <v>506.99</v>
      </c>
      <c r="G104" s="6" t="n">
        <v>497.1</v>
      </c>
      <c r="H104" s="6">
        <f>(E104-F104)*C104</f>
        <v/>
      </c>
      <c r="I104" s="6">
        <f>(G104-F104)*C104</f>
        <v/>
      </c>
    </row>
    <row r="105">
      <c r="A105" t="inlineStr">
        <is>
          <t>NEE</t>
        </is>
      </c>
      <c r="B105" s="8" t="n">
        <v>9217</v>
      </c>
      <c r="C105" s="8" t="n">
        <v>9217</v>
      </c>
      <c r="D105" s="6" t="n">
        <v>82.14</v>
      </c>
      <c r="E105" s="6" t="n">
        <v>82</v>
      </c>
      <c r="F105" s="6" t="n">
        <v>82.14</v>
      </c>
      <c r="G105" s="6" t="n">
        <v>82</v>
      </c>
      <c r="H105" s="6">
        <f>(E105-F105)*C105</f>
        <v/>
      </c>
      <c r="I105" s="6">
        <f>(G105-F105)*C105</f>
        <v/>
      </c>
    </row>
    <row r="106">
      <c r="A106" t="inlineStr">
        <is>
          <t>NFLX</t>
        </is>
      </c>
      <c r="B106" s="8" t="n">
        <v>561</v>
      </c>
      <c r="C106" s="8" t="n">
        <v>561</v>
      </c>
      <c r="D106" s="6" t="n">
        <v>1098.46</v>
      </c>
      <c r="E106" s="6" t="n">
        <v>1097.02</v>
      </c>
      <c r="F106" s="6" t="n">
        <v>1098.46</v>
      </c>
      <c r="G106" s="6" t="n">
        <v>1097.02</v>
      </c>
      <c r="H106" s="6">
        <f>(E106-F106)*C106</f>
        <v/>
      </c>
      <c r="I106" s="6">
        <f>(G106-F106)*C106</f>
        <v/>
      </c>
    </row>
    <row r="107">
      <c r="A107" t="inlineStr">
        <is>
          <t>NKE</t>
        </is>
      </c>
      <c r="B107" s="8" t="n">
        <v>5970</v>
      </c>
      <c r="C107" s="8" t="n">
        <v>5970</v>
      </c>
      <c r="D107" s="6" t="n">
        <v>62.11</v>
      </c>
      <c r="E107" s="6" t="n">
        <v>61.89</v>
      </c>
      <c r="F107" s="6" t="n">
        <v>62.11</v>
      </c>
      <c r="G107" s="6" t="n">
        <v>61.89</v>
      </c>
      <c r="H107" s="6">
        <f>(E107-F107)*C107</f>
        <v/>
      </c>
      <c r="I107" s="6">
        <f>(G107-F107)*C107</f>
        <v/>
      </c>
    </row>
    <row r="108">
      <c r="A108" t="inlineStr">
        <is>
          <t>NOW</t>
        </is>
      </c>
      <c r="B108" s="8" t="n">
        <v>410</v>
      </c>
      <c r="C108" s="8" t="n">
        <v>410</v>
      </c>
      <c r="D108" s="6" t="n">
        <v>879.63</v>
      </c>
      <c r="E108" s="6" t="n">
        <v>858.77</v>
      </c>
      <c r="F108" s="6" t="n">
        <v>879.63</v>
      </c>
      <c r="G108" s="6" t="n">
        <v>858.77</v>
      </c>
      <c r="H108" s="6">
        <f>(E108-F108)*C108</f>
        <v/>
      </c>
      <c r="I108" s="6">
        <f>(G108-F108)*C108</f>
        <v/>
      </c>
    </row>
    <row r="109">
      <c r="A109" t="inlineStr">
        <is>
          <t>NVDA</t>
        </is>
      </c>
      <c r="B109" s="8" t="n">
        <v>32442</v>
      </c>
      <c r="C109" s="8" t="n">
        <v>32442</v>
      </c>
      <c r="D109" s="6" t="n">
        <v>195.19</v>
      </c>
      <c r="E109" s="6" t="n">
        <v>188.08</v>
      </c>
      <c r="F109" s="6" t="n">
        <v>195.19</v>
      </c>
      <c r="G109" s="6" t="n">
        <v>188.08</v>
      </c>
      <c r="H109" s="6">
        <f>(E109-F109)*C109</f>
        <v/>
      </c>
      <c r="I109" s="6">
        <f>(G109-F109)*C109</f>
        <v/>
      </c>
    </row>
    <row r="110">
      <c r="A110" t="inlineStr">
        <is>
          <t>PEP</t>
        </is>
      </c>
      <c r="B110" s="8" t="n">
        <v>2473</v>
      </c>
      <c r="C110" s="8" t="n">
        <v>2473</v>
      </c>
      <c r="D110" s="6" t="n">
        <v>142.86</v>
      </c>
      <c r="E110" s="6" t="n">
        <v>141.58</v>
      </c>
      <c r="F110" s="6" t="n">
        <v>142.86</v>
      </c>
      <c r="G110" s="6" t="n">
        <v>141.58</v>
      </c>
      <c r="H110" s="6">
        <f>(E110-F110)*C110</f>
        <v/>
      </c>
      <c r="I110" s="6">
        <f>(G110-F110)*C110</f>
        <v/>
      </c>
    </row>
    <row r="111">
      <c r="A111" t="inlineStr">
        <is>
          <t>PFE</t>
        </is>
      </c>
      <c r="B111" s="8" t="n">
        <v>10391</v>
      </c>
      <c r="C111" s="8" t="n">
        <v>10391</v>
      </c>
      <c r="D111" s="6" t="n">
        <v>24.61</v>
      </c>
      <c r="E111" s="6" t="n">
        <v>24.85</v>
      </c>
      <c r="F111" s="6" t="n">
        <v>24.61</v>
      </c>
      <c r="G111" s="6" t="n">
        <v>24.85</v>
      </c>
      <c r="H111" s="6">
        <f>(E111-F111)*C111</f>
        <v/>
      </c>
      <c r="I111" s="6">
        <f>(G111-F111)*C111</f>
        <v/>
      </c>
    </row>
    <row r="112">
      <c r="A112" t="inlineStr">
        <is>
          <t>PG</t>
        </is>
      </c>
      <c r="B112" s="8" t="n">
        <v>3865</v>
      </c>
      <c r="C112" s="8" t="n">
        <v>3865</v>
      </c>
      <c r="D112" s="6" t="n">
        <v>145.79</v>
      </c>
      <c r="E112" s="6" t="n">
        <v>146.13</v>
      </c>
      <c r="F112" s="6" t="n">
        <v>145.79</v>
      </c>
      <c r="G112" s="6" t="n">
        <v>146.13</v>
      </c>
      <c r="H112" s="6">
        <f>(E112-F112)*C112</f>
        <v/>
      </c>
      <c r="I112" s="6">
        <f>(G112-F112)*C112</f>
        <v/>
      </c>
    </row>
    <row r="113">
      <c r="A113" t="inlineStr">
        <is>
          <t>PM</t>
        </is>
      </c>
      <c r="B113" s="8" t="n">
        <v>2803</v>
      </c>
      <c r="C113" s="8" t="n">
        <v>2803</v>
      </c>
      <c r="D113" s="6" t="n">
        <v>148.4</v>
      </c>
      <c r="E113" s="6" t="n">
        <v>149.9</v>
      </c>
      <c r="F113" s="6" t="n">
        <v>148.4</v>
      </c>
      <c r="G113" s="6" t="n">
        <v>149.9</v>
      </c>
      <c r="H113" s="6">
        <f>(E113-F113)*C113</f>
        <v/>
      </c>
      <c r="I113" s="6">
        <f>(G113-F113)*C113</f>
        <v/>
      </c>
    </row>
    <row r="114">
      <c r="A114" t="inlineStr">
        <is>
          <t>PYPL</t>
        </is>
      </c>
      <c r="B114" s="8" t="n">
        <v>1822</v>
      </c>
      <c r="C114" s="8" t="n">
        <v>1822</v>
      </c>
      <c r="D114" s="6" t="n">
        <v>68.06</v>
      </c>
      <c r="E114" s="6" t="n">
        <v>66.26000000000001</v>
      </c>
      <c r="F114" s="6" t="n">
        <v>68.06</v>
      </c>
      <c r="G114" s="6" t="n">
        <v>66.26000000000001</v>
      </c>
      <c r="H114" s="6">
        <f>(E114-F114)*C114</f>
        <v/>
      </c>
      <c r="I114" s="6">
        <f>(G114-F114)*C114</f>
        <v/>
      </c>
    </row>
    <row r="115">
      <c r="A115" t="inlineStr">
        <is>
          <t>QCOM</t>
        </is>
      </c>
      <c r="B115" s="8" t="n">
        <v>2041</v>
      </c>
      <c r="C115" s="8" t="n">
        <v>2041</v>
      </c>
      <c r="D115" s="6" t="n">
        <v>179.72</v>
      </c>
      <c r="E115" s="6" t="n">
        <v>173.2</v>
      </c>
      <c r="F115" s="6" t="n">
        <v>179.72</v>
      </c>
      <c r="G115" s="6" t="n">
        <v>173.2</v>
      </c>
      <c r="H115" s="6">
        <f>(E115-F115)*C115</f>
        <v/>
      </c>
      <c r="I115" s="6">
        <f>(G115-F115)*C115</f>
        <v/>
      </c>
    </row>
    <row r="116">
      <c r="A116" t="inlineStr">
        <is>
          <t>RTX</t>
        </is>
      </c>
      <c r="B116" s="8" t="n">
        <v>3673</v>
      </c>
      <c r="C116" s="8" t="n">
        <v>3673</v>
      </c>
      <c r="D116" s="6" t="n">
        <v>174</v>
      </c>
      <c r="E116" s="6" t="n">
        <v>175.1</v>
      </c>
      <c r="F116" s="6" t="n">
        <v>174</v>
      </c>
      <c r="G116" s="6" t="n">
        <v>175.1</v>
      </c>
      <c r="H116" s="6">
        <f>(E116-F116)*C116</f>
        <v/>
      </c>
      <c r="I116" s="6">
        <f>(G116-F116)*C116</f>
        <v/>
      </c>
    </row>
    <row r="117">
      <c r="A117" t="inlineStr">
        <is>
          <t>SBUX</t>
        </is>
      </c>
      <c r="B117" s="8" t="n">
        <v>2889</v>
      </c>
      <c r="C117" s="8" t="n">
        <v>2889</v>
      </c>
      <c r="D117" s="6" t="n">
        <v>82.88</v>
      </c>
      <c r="E117" s="6" t="n">
        <v>82.22</v>
      </c>
      <c r="F117" s="6" t="n">
        <v>82.88</v>
      </c>
      <c r="G117" s="6" t="n">
        <v>82.22</v>
      </c>
      <c r="H117" s="6">
        <f>(E117-F117)*C117</f>
        <v/>
      </c>
      <c r="I117" s="6">
        <f>(G117-F117)*C117</f>
        <v/>
      </c>
    </row>
    <row r="118">
      <c r="A118" t="inlineStr">
        <is>
          <t>SCHW</t>
        </is>
      </c>
      <c r="B118" s="8" t="n">
        <v>3290</v>
      </c>
      <c r="C118" s="8" t="n">
        <v>3290</v>
      </c>
      <c r="D118" s="6" t="n">
        <v>93.68000000000001</v>
      </c>
      <c r="E118" s="6" t="n">
        <v>94.2</v>
      </c>
      <c r="F118" s="6" t="n">
        <v>93.68000000000001</v>
      </c>
      <c r="G118" s="6" t="n">
        <v>94.2</v>
      </c>
      <c r="H118" s="6">
        <f>(E118-F118)*C118</f>
        <v/>
      </c>
      <c r="I118" s="6">
        <f>(G118-F118)*C118</f>
        <v/>
      </c>
    </row>
    <row r="119">
      <c r="A119" t="inlineStr">
        <is>
          <t>SO</t>
        </is>
      </c>
      <c r="B119" s="8" t="n">
        <v>4911</v>
      </c>
      <c r="C119" s="8" t="n">
        <v>4911</v>
      </c>
      <c r="D119" s="6" t="n">
        <v>91.41</v>
      </c>
      <c r="E119" s="6" t="n">
        <v>90.90000000000001</v>
      </c>
      <c r="F119" s="6" t="n">
        <v>91.41</v>
      </c>
      <c r="G119" s="6" t="n">
        <v>90.90000000000001</v>
      </c>
      <c r="H119" s="6">
        <f>(E119-F119)*C119</f>
        <v/>
      </c>
      <c r="I119" s="6">
        <f>(G119-F119)*C119</f>
        <v/>
      </c>
    </row>
    <row r="120">
      <c r="A120" t="inlineStr">
        <is>
          <t>SOLS</t>
        </is>
      </c>
      <c r="B120" s="8" t="n">
        <v>449</v>
      </c>
      <c r="C120" s="8" t="n">
        <v>449</v>
      </c>
      <c r="D120" s="6" t="n">
        <v>48.33</v>
      </c>
      <c r="E120" s="6" t="n">
        <v>45.02</v>
      </c>
      <c r="F120" s="6" t="n">
        <v>48.33</v>
      </c>
      <c r="G120" s="6" t="n">
        <v>45.02</v>
      </c>
      <c r="H120" s="6">
        <f>(E120-F120)*C120</f>
        <v/>
      </c>
      <c r="I120" s="6">
        <f>(G120-F120)*C120</f>
        <v/>
      </c>
    </row>
    <row r="121">
      <c r="A121" t="inlineStr">
        <is>
          <t>SPGI</t>
        </is>
      </c>
      <c r="B121" s="8" t="n">
        <v>577</v>
      </c>
      <c r="C121" s="8" t="n">
        <v>577</v>
      </c>
      <c r="D121" s="6" t="n">
        <v>497.1</v>
      </c>
      <c r="E121" s="6" t="n">
        <v>490</v>
      </c>
      <c r="F121" s="6" t="n">
        <v>497.1</v>
      </c>
      <c r="G121" s="6" t="n">
        <v>490</v>
      </c>
      <c r="H121" s="6">
        <f>(E121-F121)*C121</f>
        <v/>
      </c>
      <c r="I121" s="6">
        <f>(G121-F121)*C121</f>
        <v/>
      </c>
    </row>
    <row r="122">
      <c r="A122" t="inlineStr">
        <is>
          <t>T</t>
        </is>
      </c>
      <c r="B122" s="8" t="n">
        <v>11900</v>
      </c>
      <c r="C122" s="8" t="n">
        <v>11900</v>
      </c>
      <c r="D122" s="6" t="n">
        <v>24.56</v>
      </c>
      <c r="E122" s="6" t="n">
        <v>24.74</v>
      </c>
      <c r="F122" s="6" t="n">
        <v>24.56</v>
      </c>
      <c r="G122" s="6" t="n">
        <v>24.74</v>
      </c>
      <c r="H122" s="6">
        <f>(E122-F122)*C122</f>
        <v/>
      </c>
      <c r="I122" s="6">
        <f>(G122-F122)*C122</f>
        <v/>
      </c>
    </row>
    <row r="123">
      <c r="A123" t="inlineStr">
        <is>
          <t>TGT</t>
        </is>
      </c>
      <c r="B123" s="8" t="n">
        <v>1202</v>
      </c>
      <c r="C123" s="8" t="n">
        <v>1202</v>
      </c>
      <c r="D123" s="6" t="n">
        <v>91.94</v>
      </c>
      <c r="E123" s="6" t="n">
        <v>89.15000000000001</v>
      </c>
      <c r="F123" s="6" t="n">
        <v>91.94</v>
      </c>
      <c r="G123" s="6" t="n">
        <v>89.15000000000001</v>
      </c>
      <c r="H123" s="6">
        <f>(E123-F123)*C123</f>
        <v/>
      </c>
      <c r="I123" s="6">
        <f>(G123-F123)*C123</f>
        <v/>
      </c>
    </row>
    <row r="124">
      <c r="A124" t="inlineStr">
        <is>
          <t>TJX</t>
        </is>
      </c>
      <c r="B124" s="8" t="n">
        <v>1569</v>
      </c>
      <c r="C124" s="8" t="n">
        <v>1569</v>
      </c>
      <c r="D124" s="6" t="n">
        <v>143.7</v>
      </c>
      <c r="E124" s="6" t="n">
        <v>143.77</v>
      </c>
      <c r="F124" s="6" t="n">
        <v>143.7</v>
      </c>
      <c r="G124" s="6" t="n">
        <v>143.77</v>
      </c>
      <c r="H124" s="6">
        <f>(E124-F124)*C124</f>
        <v/>
      </c>
      <c r="I124" s="6">
        <f>(G124-F124)*C124</f>
        <v/>
      </c>
    </row>
    <row r="125">
      <c r="A125" t="inlineStr">
        <is>
          <t>TMO</t>
        </is>
      </c>
      <c r="B125" s="8" t="n">
        <v>701</v>
      </c>
      <c r="C125" s="8" t="n">
        <v>701</v>
      </c>
      <c r="D125" s="6" t="n">
        <v>567.64</v>
      </c>
      <c r="E125" s="6" t="n">
        <v>565.98</v>
      </c>
      <c r="F125" s="6" t="n">
        <v>567.64</v>
      </c>
      <c r="G125" s="6" t="n">
        <v>565.98</v>
      </c>
      <c r="H125" s="6">
        <f>(E125-F125)*C125</f>
        <v/>
      </c>
      <c r="I125" s="6">
        <f>(G125-F125)*C125</f>
        <v/>
      </c>
    </row>
    <row r="126">
      <c r="A126" t="inlineStr">
        <is>
          <t>TSLA</t>
        </is>
      </c>
      <c r="B126" s="8" t="n">
        <v>3831</v>
      </c>
      <c r="C126" s="8" t="n">
        <v>3831</v>
      </c>
      <c r="D126" s="6" t="n">
        <v>462.26</v>
      </c>
      <c r="E126" s="6" t="n">
        <v>445.91</v>
      </c>
      <c r="F126" s="6" t="n">
        <v>462.26</v>
      </c>
      <c r="G126" s="6" t="n">
        <v>445.91</v>
      </c>
      <c r="H126" s="6">
        <f>(E126-F126)*C126</f>
        <v/>
      </c>
      <c r="I126" s="6">
        <f>(G126-F126)*C126</f>
        <v/>
      </c>
    </row>
    <row r="127">
      <c r="A127" t="inlineStr">
        <is>
          <t>TXN</t>
        </is>
      </c>
      <c r="B127" s="8" t="n">
        <v>1676</v>
      </c>
      <c r="C127" s="8" t="n">
        <v>1676</v>
      </c>
      <c r="D127" s="6" t="n">
        <v>163.54</v>
      </c>
      <c r="E127" s="6" t="n">
        <v>161.38</v>
      </c>
      <c r="F127" s="6" t="n">
        <v>163.54</v>
      </c>
      <c r="G127" s="6" t="n">
        <v>161.38</v>
      </c>
      <c r="H127" s="6">
        <f>(E127-F127)*C127</f>
        <v/>
      </c>
      <c r="I127" s="6">
        <f>(G127-F127)*C127</f>
        <v/>
      </c>
    </row>
    <row r="128">
      <c r="A128" t="inlineStr">
        <is>
          <t>UBER</t>
        </is>
      </c>
      <c r="B128" s="8" t="n">
        <v>4444</v>
      </c>
      <c r="C128" s="8" t="n">
        <v>4444</v>
      </c>
      <c r="D128" s="6" t="n">
        <v>92.75</v>
      </c>
      <c r="E128" s="6" t="n">
        <v>92.12</v>
      </c>
      <c r="F128" s="6" t="n">
        <v>92.75</v>
      </c>
      <c r="G128" s="6" t="n">
        <v>92.12</v>
      </c>
      <c r="H128" s="6">
        <f>(E128-F128)*C128</f>
        <v/>
      </c>
      <c r="I128" s="6">
        <f>(G128-F128)*C128</f>
        <v/>
      </c>
    </row>
    <row r="129">
      <c r="A129" t="inlineStr">
        <is>
          <t>UNH</t>
        </is>
      </c>
      <c r="B129" s="8" t="n">
        <v>2687</v>
      </c>
      <c r="C129" s="8" t="n">
        <v>2687</v>
      </c>
      <c r="D129" s="6" t="n">
        <v>327.74</v>
      </c>
      <c r="E129" s="6" t="n">
        <v>321.56</v>
      </c>
      <c r="F129" s="6" t="n">
        <v>327.74</v>
      </c>
      <c r="G129" s="6" t="n">
        <v>321.56</v>
      </c>
      <c r="H129" s="6">
        <f>(E129-F129)*C129</f>
        <v/>
      </c>
      <c r="I129" s="6">
        <f>(G129-F129)*C129</f>
        <v/>
      </c>
    </row>
    <row r="130">
      <c r="A130" t="inlineStr">
        <is>
          <t>UNP</t>
        </is>
      </c>
      <c r="B130" s="8" t="n">
        <v>1279</v>
      </c>
      <c r="C130" s="8" t="n">
        <v>1279</v>
      </c>
      <c r="D130" s="6" t="n">
        <v>217.38</v>
      </c>
      <c r="E130" s="6" t="n">
        <v>217.99</v>
      </c>
      <c r="F130" s="6" t="n">
        <v>217.38</v>
      </c>
      <c r="G130" s="6" t="n">
        <v>217.99</v>
      </c>
      <c r="H130" s="6">
        <f>(E130-F130)*C130</f>
        <v/>
      </c>
      <c r="I130" s="6">
        <f>(G130-F130)*C130</f>
        <v/>
      </c>
    </row>
    <row r="131">
      <c r="A131" t="inlineStr">
        <is>
          <t>UPS</t>
        </is>
      </c>
      <c r="B131" s="8" t="n">
        <v>1543</v>
      </c>
      <c r="C131" s="8" t="n">
        <v>1543</v>
      </c>
      <c r="D131" s="6" t="n">
        <v>92.91</v>
      </c>
      <c r="E131" s="6" t="n">
        <v>93.59999999999999</v>
      </c>
      <c r="F131" s="6" t="n">
        <v>92.91</v>
      </c>
      <c r="G131" s="6" t="n">
        <v>93.59999999999999</v>
      </c>
      <c r="H131" s="6">
        <f>(E131-F131)*C131</f>
        <v/>
      </c>
      <c r="I131" s="6">
        <f>(G131-F131)*C131</f>
        <v/>
      </c>
    </row>
    <row r="132">
      <c r="A132" t="inlineStr">
        <is>
          <t>USB</t>
        </is>
      </c>
      <c r="B132" s="8" t="n">
        <v>2830</v>
      </c>
      <c r="C132" s="8" t="n">
        <v>2830</v>
      </c>
      <c r="D132" s="6" t="n">
        <v>46.74</v>
      </c>
      <c r="E132" s="6" t="n">
        <v>46.85</v>
      </c>
      <c r="F132" s="6" t="n">
        <v>46.74</v>
      </c>
      <c r="G132" s="6" t="n">
        <v>46.85</v>
      </c>
      <c r="H132" s="6">
        <f>(E132-F132)*C132</f>
        <v/>
      </c>
      <c r="I132" s="6">
        <f>(G132-F132)*C132</f>
        <v/>
      </c>
    </row>
    <row r="133">
      <c r="A133" t="inlineStr">
        <is>
          <t>V</t>
        </is>
      </c>
      <c r="B133" s="8" t="n">
        <v>3803</v>
      </c>
      <c r="C133" s="8" t="n">
        <v>3803</v>
      </c>
      <c r="D133" s="6" t="n">
        <v>340.04</v>
      </c>
      <c r="E133" s="6" t="n">
        <v>336.96</v>
      </c>
      <c r="F133" s="6" t="n">
        <v>340.04</v>
      </c>
      <c r="G133" s="6" t="n">
        <v>336.96</v>
      </c>
      <c r="H133" s="6">
        <f>(E133-F133)*C133</f>
        <v/>
      </c>
      <c r="I133" s="6">
        <f>(G133-F133)*C133</f>
        <v/>
      </c>
    </row>
    <row r="134">
      <c r="A134" t="inlineStr">
        <is>
          <t>VZ</t>
        </is>
      </c>
      <c r="B134" s="8" t="n">
        <v>6982</v>
      </c>
      <c r="C134" s="8" t="n">
        <v>6982</v>
      </c>
      <c r="D134" s="6" t="n">
        <v>39.69</v>
      </c>
      <c r="E134" s="6" t="n">
        <v>39.82</v>
      </c>
      <c r="F134" s="6" t="n">
        <v>39.69</v>
      </c>
      <c r="G134" s="6" t="n">
        <v>39.82</v>
      </c>
      <c r="H134" s="6">
        <f>(E134-F134)*C134</f>
        <v/>
      </c>
      <c r="I134" s="6">
        <f>(G134-F134)*C134</f>
        <v/>
      </c>
    </row>
    <row r="135">
      <c r="A135" t="inlineStr">
        <is>
          <t>WFC</t>
        </is>
      </c>
      <c r="B135" s="8" t="n">
        <v>6041</v>
      </c>
      <c r="C135" s="8" t="n">
        <v>6041</v>
      </c>
      <c r="D135" s="6" t="n">
        <v>86.95</v>
      </c>
      <c r="E135" s="6" t="n">
        <v>86.04000000000001</v>
      </c>
      <c r="F135" s="6" t="n">
        <v>86.95</v>
      </c>
      <c r="G135" s="6" t="n">
        <v>86.04000000000001</v>
      </c>
      <c r="H135" s="6">
        <f>(E135-F135)*C135</f>
        <v/>
      </c>
      <c r="I135" s="6">
        <f>(G135-F135)*C135</f>
        <v/>
      </c>
    </row>
    <row r="136">
      <c r="A136" t="inlineStr">
        <is>
          <t>WM</t>
        </is>
      </c>
      <c r="B136" s="8" t="n">
        <v>3588</v>
      </c>
      <c r="C136" s="8" t="n">
        <v>3588</v>
      </c>
      <c r="D136" s="6" t="n">
        <v>200.54</v>
      </c>
      <c r="E136" s="6" t="n">
        <v>199.62</v>
      </c>
      <c r="F136" s="6" t="n">
        <v>200.54</v>
      </c>
      <c r="G136" s="6" t="n">
        <v>199.62</v>
      </c>
      <c r="H136" s="6">
        <f>(E136-F136)*C136</f>
        <v/>
      </c>
      <c r="I136" s="6">
        <f>(G136-F136)*C136</f>
        <v/>
      </c>
    </row>
    <row r="137">
      <c r="A137" t="inlineStr">
        <is>
          <t>WMT</t>
        </is>
      </c>
      <c r="B137" s="8" t="n">
        <v>11328</v>
      </c>
      <c r="C137" s="8" t="n">
        <v>11328</v>
      </c>
      <c r="D137" s="6" t="n">
        <v>101.47</v>
      </c>
      <c r="E137" s="6" t="n">
        <v>101.68</v>
      </c>
      <c r="F137" s="6" t="n">
        <v>101.47</v>
      </c>
      <c r="G137" s="6" t="n">
        <v>101.68</v>
      </c>
      <c r="H137" s="6">
        <f>(E137-F137)*C137</f>
        <v/>
      </c>
      <c r="I137" s="6">
        <f>(G137-F137)*C137</f>
        <v/>
      </c>
    </row>
    <row r="138">
      <c r="A138" t="inlineStr">
        <is>
          <t>XOM</t>
        </is>
      </c>
      <c r="B138" s="8" t="n">
        <v>10208</v>
      </c>
      <c r="C138" s="8" t="n">
        <v>10208</v>
      </c>
      <c r="D138" s="6" t="n">
        <v>113.68</v>
      </c>
      <c r="E138" s="6" t="n">
        <v>114.5</v>
      </c>
      <c r="F138" s="6" t="n">
        <v>113.68</v>
      </c>
      <c r="G138" s="6" t="n">
        <v>114.5</v>
      </c>
      <c r="H138" s="6">
        <f>(E138-F138)*C138</f>
        <v/>
      </c>
      <c r="I138" s="6">
        <f>(G138-F138)*C138</f>
        <v/>
      </c>
    </row>
    <row r="140">
      <c r="A140" s="7" t="inlineStr">
        <is>
          <t>TOTAL</t>
        </is>
      </c>
      <c r="H140" s="6">
        <f>SUM(H42:H138)</f>
        <v/>
      </c>
      <c r="I140" s="6">
        <f>SUM(I42:I138)</f>
        <v/>
      </c>
    </row>
    <row r="143">
      <c r="A143" s="5" t="inlineStr">
        <is>
          <t>OPTION GAIN/LOSS DETAIL</t>
        </is>
      </c>
    </row>
    <row r="145">
      <c r="A145" s="10" t="inlineStr">
        <is>
          <t>Ticker</t>
        </is>
      </c>
      <c r="B145" s="10" t="inlineStr">
        <is>
          <t>Qty T-1</t>
        </is>
      </c>
      <c r="C145" s="10" t="inlineStr">
        <is>
          <t>Qty T</t>
        </is>
      </c>
      <c r="D145" s="10" t="inlineStr">
        <is>
          <t>Price T-1
(Vest)</t>
        </is>
      </c>
      <c r="E145" s="10" t="inlineStr">
        <is>
          <t>Price T
(Raw)</t>
        </is>
      </c>
      <c r="F145" s="10" t="inlineStr">
        <is>
          <t>Price T-1
(Cust)</t>
        </is>
      </c>
      <c r="G145" s="10" t="inlineStr">
        <is>
          <t>Price T
(Adj)</t>
        </is>
      </c>
      <c r="H145" s="10" t="inlineStr">
        <is>
          <t>G/L</t>
        </is>
      </c>
      <c r="I145" s="10" t="inlineStr">
        <is>
          <t>G/L Adj</t>
        </is>
      </c>
    </row>
    <row r="146">
      <c r="A146" t="inlineStr">
        <is>
          <t>AAPL US 11/07/25 C272.5</t>
        </is>
      </c>
      <c r="B146" s="8" t="n">
        <v>-44</v>
      </c>
      <c r="C146" s="8" t="n">
        <v>-44</v>
      </c>
      <c r="D146" s="6" t="n">
        <v>1.09</v>
      </c>
      <c r="E146" s="6" t="n">
        <v>0.63</v>
      </c>
      <c r="F146" s="6" t="n">
        <v>1.09</v>
      </c>
      <c r="G146" s="6" t="n">
        <v>0.63</v>
      </c>
      <c r="H146" s="6">
        <f>(E146-F146)*C146*100</f>
        <v/>
      </c>
      <c r="I146" s="6">
        <f>(G146-F146)*C146*100</f>
        <v/>
      </c>
    </row>
    <row r="147">
      <c r="A147" t="inlineStr">
        <is>
          <t>ABBV US 11/07/25 C217.5</t>
        </is>
      </c>
      <c r="B147" s="8" t="n">
        <v>-7</v>
      </c>
      <c r="C147" s="8" t="n">
        <v>-7</v>
      </c>
      <c r="D147" s="6" t="n">
        <v>1.4</v>
      </c>
      <c r="E147" s="6" t="n">
        <v>2.68</v>
      </c>
      <c r="F147" s="6" t="n">
        <v>1.4</v>
      </c>
      <c r="G147" s="6" t="n">
        <v>2.68</v>
      </c>
      <c r="H147" s="6">
        <f>(E147-F147)*C147*100</f>
        <v/>
      </c>
      <c r="I147" s="6">
        <f>(G147-F147)*C147*100</f>
        <v/>
      </c>
    </row>
    <row r="148">
      <c r="A148" t="inlineStr">
        <is>
          <t>ABT US 11/07/25 C124</t>
        </is>
      </c>
      <c r="B148" s="8" t="n">
        <v>-11</v>
      </c>
      <c r="C148" s="8" t="n">
        <v>-11</v>
      </c>
      <c r="D148" s="6" t="n">
        <v>1.02</v>
      </c>
      <c r="E148" s="6" t="n">
        <v>1.07</v>
      </c>
      <c r="F148" s="6" t="n">
        <v>1.02</v>
      </c>
      <c r="G148" s="6" t="n">
        <v>1.07</v>
      </c>
      <c r="H148" s="6">
        <f>(E148-F148)*C148*100</f>
        <v/>
      </c>
      <c r="I148" s="6">
        <f>(G148-F148)*C148*100</f>
        <v/>
      </c>
    </row>
    <row r="149">
      <c r="A149" t="inlineStr">
        <is>
          <t>ACN US 11/07/25 C250</t>
        </is>
      </c>
      <c r="B149" s="8" t="n">
        <v>-3</v>
      </c>
      <c r="C149" s="8" t="n">
        <v>-3</v>
      </c>
      <c r="D149" s="6" t="n">
        <v>2.15</v>
      </c>
      <c r="E149" s="6" t="n">
        <v>0.28</v>
      </c>
      <c r="F149" s="6" t="n">
        <v>2.15</v>
      </c>
      <c r="G149" s="6" t="n">
        <v>0.28</v>
      </c>
      <c r="H149" s="6">
        <f>(E149-F149)*C149*100</f>
        <v/>
      </c>
      <c r="I149" s="6">
        <f>(G149-F149)*C149*100</f>
        <v/>
      </c>
    </row>
    <row r="150">
      <c r="A150" t="inlineStr">
        <is>
          <t>ADBE US 11/07/25 C340</t>
        </is>
      </c>
      <c r="B150" s="8" t="n">
        <v>-2</v>
      </c>
      <c r="C150" s="8" t="n">
        <v>-2</v>
      </c>
      <c r="D150" s="6" t="n">
        <v>2.25</v>
      </c>
      <c r="E150" s="6" t="n">
        <v>0.17</v>
      </c>
      <c r="F150" s="6" t="n">
        <v>2.25</v>
      </c>
      <c r="G150" s="6" t="n">
        <v>0.17</v>
      </c>
      <c r="H150" s="6">
        <f>(E150-F150)*C150*100</f>
        <v/>
      </c>
      <c r="I150" s="6">
        <f>(G150-F150)*C150*100</f>
        <v/>
      </c>
    </row>
    <row r="151">
      <c r="A151" t="inlineStr">
        <is>
          <t>AMAT US 11/07/25 C235</t>
        </is>
      </c>
      <c r="B151" s="8" t="n">
        <v>-3</v>
      </c>
      <c r="C151" s="8" t="n">
        <v>-3</v>
      </c>
      <c r="D151" s="6" t="n">
        <v>7.89</v>
      </c>
      <c r="E151" s="6" t="n">
        <v>2.2</v>
      </c>
      <c r="F151" s="6" t="n">
        <v>7.89</v>
      </c>
      <c r="G151" s="6" t="n">
        <v>2.2</v>
      </c>
      <c r="H151" s="6">
        <f>(E151-F151)*C151*100</f>
        <v/>
      </c>
      <c r="I151" s="6">
        <f>(G151-F151)*C151*100</f>
        <v/>
      </c>
    </row>
    <row r="152">
      <c r="A152" t="inlineStr">
        <is>
          <t>AMD US 11/07/25 C260</t>
        </is>
      </c>
      <c r="B152" s="8" t="n">
        <v>-6</v>
      </c>
      <c r="C152" s="8" t="n">
        <v>-6</v>
      </c>
      <c r="D152" s="6" t="n">
        <v>3.81</v>
      </c>
      <c r="E152" s="6" t="n">
        <v>0.04</v>
      </c>
      <c r="F152" s="6" t="n">
        <v>3.81</v>
      </c>
      <c r="G152" s="6" t="n">
        <v>0.04</v>
      </c>
      <c r="H152" s="6">
        <f>(E152-F152)*C152*100</f>
        <v/>
      </c>
      <c r="I152" s="6">
        <f>(G152-F152)*C152*100</f>
        <v/>
      </c>
    </row>
    <row r="153">
      <c r="A153" t="inlineStr">
        <is>
          <t>AMGN US 11/07/25 C297.5</t>
        </is>
      </c>
      <c r="B153" s="8" t="n">
        <v>-2</v>
      </c>
      <c r="C153" s="8" t="n">
        <v>-2</v>
      </c>
      <c r="D153" s="6" t="n">
        <v>22.5</v>
      </c>
      <c r="E153" s="6" t="n">
        <v>19.11</v>
      </c>
      <c r="F153" s="6" t="n">
        <v>22.5</v>
      </c>
      <c r="G153" s="6" t="n">
        <v>19.11</v>
      </c>
      <c r="H153" s="6">
        <f>(E153-F153)*C153*100</f>
        <v/>
      </c>
      <c r="I153" s="6">
        <f>(G153-F153)*C153*100</f>
        <v/>
      </c>
    </row>
    <row r="154">
      <c r="A154" t="inlineStr">
        <is>
          <t>AMZN US 11/07/25 C245</t>
        </is>
      </c>
      <c r="B154" s="8" t="n">
        <v>-28</v>
      </c>
      <c r="C154" s="8" t="n">
        <v>-28</v>
      </c>
      <c r="D154" s="6" t="n">
        <v>6.22</v>
      </c>
      <c r="E154" s="6" t="n">
        <v>1.04</v>
      </c>
      <c r="F154" s="6" t="n">
        <v>6.22</v>
      </c>
      <c r="G154" s="6" t="n">
        <v>1.04</v>
      </c>
      <c r="H154" s="6">
        <f>(E154-F154)*C154*100</f>
        <v/>
      </c>
      <c r="I154" s="6">
        <f>(G154-F154)*C154*100</f>
        <v/>
      </c>
    </row>
    <row r="155">
      <c r="A155" t="inlineStr">
        <is>
          <t>AVGO US 11/07/25 C372.5</t>
        </is>
      </c>
      <c r="B155" s="8" t="n">
        <v>-19</v>
      </c>
      <c r="C155" s="8" t="n">
        <v>-19</v>
      </c>
      <c r="D155" s="6" t="n">
        <v>1.31</v>
      </c>
      <c r="E155" s="6" t="n">
        <v>0.25</v>
      </c>
      <c r="F155" s="6" t="n">
        <v>1.31</v>
      </c>
      <c r="G155" s="6" t="n">
        <v>0.25</v>
      </c>
      <c r="H155" s="6">
        <f>(E155-F155)*C155*100</f>
        <v/>
      </c>
      <c r="I155" s="6">
        <f>(G155-F155)*C155*100</f>
        <v/>
      </c>
    </row>
    <row r="156">
      <c r="A156" t="inlineStr">
        <is>
          <t>AXP US 11/07/25 C360</t>
        </is>
      </c>
      <c r="B156" s="8" t="n">
        <v>-3</v>
      </c>
      <c r="C156" s="8" t="n">
        <v>-3</v>
      </c>
      <c r="D156" s="6" t="n">
        <v>7.47</v>
      </c>
      <c r="E156" s="6" t="n">
        <v>7.38</v>
      </c>
      <c r="F156" s="6" t="n">
        <v>7.47</v>
      </c>
      <c r="G156" s="6" t="n">
        <v>7.38</v>
      </c>
      <c r="H156" s="6">
        <f>(E156-F156)*C156*100</f>
        <v/>
      </c>
      <c r="I156" s="6">
        <f>(G156-F156)*C156*100</f>
        <v/>
      </c>
    </row>
    <row r="157">
      <c r="A157" t="inlineStr">
        <is>
          <t>BA US 11/07/25 C200</t>
        </is>
      </c>
      <c r="B157" s="8" t="n">
        <v>-4</v>
      </c>
      <c r="C157" s="8" t="n">
        <v>-4</v>
      </c>
      <c r="D157" s="6" t="n">
        <v>1.22</v>
      </c>
      <c r="E157" s="6" t="n">
        <v>0.45</v>
      </c>
      <c r="F157" s="6" t="n">
        <v>1.22</v>
      </c>
      <c r="G157" s="6" t="n">
        <v>0.45</v>
      </c>
      <c r="H157" s="6">
        <f>(E157-F157)*C157*100</f>
        <v/>
      </c>
      <c r="I157" s="6">
        <f>(G157-F157)*C157*100</f>
        <v/>
      </c>
    </row>
    <row r="158">
      <c r="A158" t="inlineStr">
        <is>
          <t>BAC US 11/07/25 C53.5</t>
        </is>
      </c>
      <c r="B158" s="8" t="n">
        <v>-26</v>
      </c>
      <c r="C158" s="8" t="n">
        <v>-26</v>
      </c>
      <c r="D158" s="6" t="n">
        <v>0.15</v>
      </c>
      <c r="E158" s="6" t="n">
        <v>0.25</v>
      </c>
      <c r="F158" s="6" t="n">
        <v>0.15</v>
      </c>
      <c r="G158" s="6" t="n">
        <v>0.25</v>
      </c>
      <c r="H158" s="6">
        <f>(E158-F158)*C158*100</f>
        <v/>
      </c>
      <c r="I158" s="6">
        <f>(G158-F158)*C158*100</f>
        <v/>
      </c>
    </row>
    <row r="159">
      <c r="A159" t="inlineStr">
        <is>
          <t>BLK US 11/07/25 C1085</t>
        </is>
      </c>
      <c r="B159" s="8" t="n">
        <v>-1</v>
      </c>
      <c r="C159" s="8" t="n">
        <v>-1</v>
      </c>
      <c r="D159" s="6" t="n">
        <v>4</v>
      </c>
      <c r="E159" s="6" t="n">
        <v>1.45</v>
      </c>
      <c r="F159" s="6" t="n">
        <v>4</v>
      </c>
      <c r="G159" s="6" t="n">
        <v>1.45</v>
      </c>
      <c r="H159" s="6">
        <f>(E159-F159)*C159*100</f>
        <v/>
      </c>
      <c r="I159" s="6">
        <f>(G159-F159)*C159*100</f>
        <v/>
      </c>
    </row>
    <row r="160">
      <c r="A160" t="inlineStr">
        <is>
          <t>BMY US 11/07/25 C46</t>
        </is>
      </c>
      <c r="B160" s="8" t="n">
        <v>-8</v>
      </c>
      <c r="C160" s="8" t="n">
        <v>-8</v>
      </c>
      <c r="D160" s="6" t="n">
        <v>0.72</v>
      </c>
      <c r="E160" s="6" t="n">
        <v>0.87</v>
      </c>
      <c r="F160" s="6" t="n">
        <v>0.72</v>
      </c>
      <c r="G160" s="6" t="n">
        <v>0.87</v>
      </c>
      <c r="H160" s="6">
        <f>(E160-F160)*C160*100</f>
        <v/>
      </c>
      <c r="I160" s="6">
        <f>(G160-F160)*C160*100</f>
        <v/>
      </c>
    </row>
    <row r="161">
      <c r="A161" t="inlineStr">
        <is>
          <t>C US 11/07/25 C101</t>
        </is>
      </c>
      <c r="B161" s="8" t="n">
        <v>-7</v>
      </c>
      <c r="C161" s="8" t="n">
        <v>-7</v>
      </c>
      <c r="D161" s="6" t="n">
        <v>1.55</v>
      </c>
      <c r="E161" s="6" t="n">
        <v>0.75</v>
      </c>
      <c r="F161" s="6" t="n">
        <v>1.55</v>
      </c>
      <c r="G161" s="6" t="n">
        <v>0.75</v>
      </c>
      <c r="H161" s="6">
        <f>(E161-F161)*C161*100</f>
        <v/>
      </c>
      <c r="I161" s="6">
        <f>(G161-F161)*C161*100</f>
        <v/>
      </c>
    </row>
    <row r="162">
      <c r="A162" t="inlineStr">
        <is>
          <t>CAT US 11/07/25 C580</t>
        </is>
      </c>
      <c r="B162" s="8" t="n">
        <v>-3</v>
      </c>
      <c r="C162" s="8" t="n">
        <v>-3</v>
      </c>
      <c r="D162" s="6" t="n">
        <v>3.3</v>
      </c>
      <c r="E162" s="6" t="n">
        <v>1.3</v>
      </c>
      <c r="F162" s="6" t="n">
        <v>3.3</v>
      </c>
      <c r="G162" s="6" t="n">
        <v>1.3</v>
      </c>
      <c r="H162" s="6">
        <f>(E162-F162)*C162*100</f>
        <v/>
      </c>
      <c r="I162" s="6">
        <f>(G162-F162)*C162*100</f>
        <v/>
      </c>
    </row>
    <row r="163">
      <c r="A163" t="inlineStr">
        <is>
          <t>CL US 11/07/25 C77</t>
        </is>
      </c>
      <c r="B163" s="8" t="n">
        <v>-3</v>
      </c>
      <c r="C163" s="8" t="n">
        <v>-3</v>
      </c>
      <c r="D163" s="6" t="n">
        <v>0.55</v>
      </c>
      <c r="E163" s="6" t="n">
        <v>0.7</v>
      </c>
      <c r="F163" s="6" t="n">
        <v>0.55</v>
      </c>
      <c r="G163" s="6" t="n">
        <v>0.7</v>
      </c>
      <c r="H163" s="6">
        <f>(E163-F163)*C163*100</f>
        <v/>
      </c>
      <c r="I163" s="6">
        <f>(G163-F163)*C163*100</f>
        <v/>
      </c>
    </row>
    <row r="164">
      <c r="A164" t="inlineStr">
        <is>
          <t>CMCSA US 11/07/25 C27.5</t>
        </is>
      </c>
      <c r="B164" s="8" t="n">
        <v>-11</v>
      </c>
      <c r="C164" s="8" t="n">
        <v>-11</v>
      </c>
      <c r="D164" s="6" t="n">
        <v>0.64</v>
      </c>
      <c r="E164" s="6" t="n">
        <v>0.25</v>
      </c>
      <c r="F164" s="6" t="n">
        <v>0.64</v>
      </c>
      <c r="G164" s="6" t="n">
        <v>0.25</v>
      </c>
      <c r="H164" s="6">
        <f>(E164-F164)*C164*100</f>
        <v/>
      </c>
      <c r="I164" s="6">
        <f>(G164-F164)*C164*100</f>
        <v/>
      </c>
    </row>
    <row r="165">
      <c r="A165" t="inlineStr">
        <is>
          <t>COP US 11/07/25 C89</t>
        </is>
      </c>
      <c r="B165" s="8" t="n">
        <v>-7</v>
      </c>
      <c r="C165" s="8" t="n">
        <v>-7</v>
      </c>
      <c r="D165" s="6" t="n">
        <v>0.79</v>
      </c>
      <c r="E165" s="6" t="n">
        <v>0.1</v>
      </c>
      <c r="F165" s="6" t="n">
        <v>0.79</v>
      </c>
      <c r="G165" s="6" t="n">
        <v>0.1</v>
      </c>
      <c r="H165" s="6">
        <f>(E165-F165)*C165*100</f>
        <v/>
      </c>
      <c r="I165" s="6">
        <f>(G165-F165)*C165*100</f>
        <v/>
      </c>
    </row>
    <row r="166">
      <c r="A166" t="inlineStr">
        <is>
          <t>CRM US 11/07/25 C260</t>
        </is>
      </c>
      <c r="B166" s="8" t="n">
        <v>-4</v>
      </c>
      <c r="C166" s="8" t="n">
        <v>-4</v>
      </c>
      <c r="D166" s="6" t="n">
        <v>0.85</v>
      </c>
      <c r="E166" s="6" t="n">
        <v>0.03</v>
      </c>
      <c r="F166" s="6" t="n">
        <v>0.85</v>
      </c>
      <c r="G166" s="6" t="n">
        <v>0.03</v>
      </c>
      <c r="H166" s="6">
        <f>(E166-F166)*C166*100</f>
        <v/>
      </c>
      <c r="I166" s="6">
        <f>(G166-F166)*C166*100</f>
        <v/>
      </c>
    </row>
    <row r="167">
      <c r="A167" t="inlineStr">
        <is>
          <t>CSCO US 11/07/25 C73</t>
        </is>
      </c>
      <c r="B167" s="8" t="n">
        <v>-44</v>
      </c>
      <c r="C167" s="8" t="n">
        <v>-44</v>
      </c>
      <c r="D167" s="6" t="n">
        <v>0.26</v>
      </c>
      <c r="E167" s="6" t="n">
        <v>0.07000000000000001</v>
      </c>
      <c r="F167" s="6" t="n">
        <v>0.26</v>
      </c>
      <c r="G167" s="6" t="n">
        <v>0.07000000000000001</v>
      </c>
      <c r="H167" s="6">
        <f>(E167-F167)*C167*100</f>
        <v/>
      </c>
      <c r="I167" s="6">
        <f>(G167-F167)*C167*100</f>
        <v/>
      </c>
    </row>
    <row r="168">
      <c r="A168" t="inlineStr">
        <is>
          <t>CVS US 11/07/25 C78</t>
        </is>
      </c>
      <c r="B168" s="8" t="n">
        <v>-8</v>
      </c>
      <c r="C168" s="8" t="n">
        <v>-8</v>
      </c>
      <c r="D168" s="6" t="n">
        <v>1.22</v>
      </c>
      <c r="E168" s="6" t="n">
        <v>1.1</v>
      </c>
      <c r="F168" s="6" t="n">
        <v>1.22</v>
      </c>
      <c r="G168" s="6" t="n">
        <v>1.1</v>
      </c>
      <c r="H168" s="6">
        <f>(E168-F168)*C168*100</f>
        <v/>
      </c>
      <c r="I168" s="6">
        <f>(G168-F168)*C168*100</f>
        <v/>
      </c>
    </row>
    <row r="169">
      <c r="A169" t="inlineStr">
        <is>
          <t>CVX US 11/07/25 C157.5</t>
        </is>
      </c>
      <c r="B169" s="8" t="n">
        <v>-8</v>
      </c>
      <c r="C169" s="8" t="n">
        <v>-8</v>
      </c>
      <c r="D169" s="6" t="n">
        <v>0.09</v>
      </c>
      <c r="E169" s="6" t="n">
        <v>0.05</v>
      </c>
      <c r="F169" s="6" t="n">
        <v>0.09</v>
      </c>
      <c r="G169" s="6" t="n">
        <v>0.05</v>
      </c>
      <c r="H169" s="6">
        <f>(E169-F169)*C169*100</f>
        <v/>
      </c>
      <c r="I169" s="6">
        <f>(G169-F169)*C169*100</f>
        <v/>
      </c>
    </row>
    <row r="170">
      <c r="A170" t="inlineStr">
        <is>
          <t>DE US 11/07/25 C462.5</t>
        </is>
      </c>
      <c r="B170" s="8" t="n">
        <v>-2</v>
      </c>
      <c r="C170" s="8" t="n">
        <v>-2</v>
      </c>
      <c r="D170" s="6" t="n">
        <v>13.63</v>
      </c>
      <c r="E170" s="6" t="n">
        <v>15.02</v>
      </c>
      <c r="F170" s="6" t="n">
        <v>13.63</v>
      </c>
      <c r="G170" s="6" t="n">
        <v>15.02</v>
      </c>
      <c r="H170" s="6">
        <f>(E170-F170)*C170*100</f>
        <v/>
      </c>
      <c r="I170" s="6">
        <f>(G170-F170)*C170*100</f>
        <v/>
      </c>
    </row>
    <row r="171">
      <c r="A171" t="inlineStr">
        <is>
          <t>DHR US 11/07/25 C215</t>
        </is>
      </c>
      <c r="B171" s="8" t="n">
        <v>-3</v>
      </c>
      <c r="C171" s="8" t="n">
        <v>-3</v>
      </c>
      <c r="D171" s="6" t="n">
        <v>0.8</v>
      </c>
      <c r="E171" s="6" t="n">
        <v>0.25</v>
      </c>
      <c r="F171" s="6" t="n">
        <v>0.8</v>
      </c>
      <c r="G171" s="6" t="n">
        <v>0.25</v>
      </c>
      <c r="H171" s="6">
        <f>(E171-F171)*C171*100</f>
        <v/>
      </c>
      <c r="I171" s="6">
        <f>(G171-F171)*C171*100</f>
        <v/>
      </c>
    </row>
    <row r="172">
      <c r="A172" t="inlineStr">
        <is>
          <t>DIS US 11/07/25 C113</t>
        </is>
      </c>
      <c r="B172" s="8" t="n">
        <v>-5</v>
      </c>
      <c r="C172" s="8" t="n">
        <v>-5</v>
      </c>
      <c r="D172" s="6" t="n">
        <v>0.35</v>
      </c>
      <c r="E172" s="6" t="n">
        <v>0.05</v>
      </c>
      <c r="F172" s="6" t="n">
        <v>0.35</v>
      </c>
      <c r="G172" s="6" t="n">
        <v>0.05</v>
      </c>
      <c r="H172" s="6">
        <f>(E172-F172)*C172*100</f>
        <v/>
      </c>
      <c r="I172" s="6">
        <f>(G172-F172)*C172*100</f>
        <v/>
      </c>
    </row>
    <row r="173">
      <c r="A173" t="inlineStr">
        <is>
          <t>EMR US 11/07/25 C140</t>
        </is>
      </c>
      <c r="B173" s="8" t="n">
        <v>-3</v>
      </c>
      <c r="C173" s="8" t="n">
        <v>-3</v>
      </c>
      <c r="D173" s="6" t="n">
        <v>0.4</v>
      </c>
      <c r="E173" s="6" t="n">
        <v>0.1</v>
      </c>
      <c r="F173" s="6" t="n">
        <v>0.4</v>
      </c>
      <c r="G173" s="6" t="n">
        <v>0.1</v>
      </c>
      <c r="H173" s="6">
        <f>(E173-F173)*C173*100</f>
        <v/>
      </c>
      <c r="I173" s="6">
        <f>(G173-F173)*C173*100</f>
        <v/>
      </c>
    </row>
    <row r="174">
      <c r="A174" t="inlineStr">
        <is>
          <t>ETN US 11/07/25 C385</t>
        </is>
      </c>
      <c r="B174" s="8" t="n">
        <v>-2</v>
      </c>
      <c r="C174" s="8" t="n">
        <v>-2</v>
      </c>
      <c r="D174" s="6" t="n">
        <v>7.59</v>
      </c>
      <c r="E174" s="6" t="n">
        <v>0.8</v>
      </c>
      <c r="F174" s="6" t="n">
        <v>7.59</v>
      </c>
      <c r="G174" s="6" t="n">
        <v>0.8</v>
      </c>
      <c r="H174" s="6">
        <f>(E174-F174)*C174*100</f>
        <v/>
      </c>
      <c r="I174" s="6">
        <f>(G174-F174)*C174*100</f>
        <v/>
      </c>
    </row>
    <row r="175">
      <c r="A175" t="inlineStr">
        <is>
          <t>FDX US 11/07/25 C255</t>
        </is>
      </c>
      <c r="B175" s="8" t="n">
        <v>-1</v>
      </c>
      <c r="C175" s="8" t="n">
        <v>-1</v>
      </c>
      <c r="D175" s="6" t="n">
        <v>3.85</v>
      </c>
      <c r="E175" s="6" t="n">
        <v>4.83</v>
      </c>
      <c r="F175" s="6" t="n">
        <v>3.85</v>
      </c>
      <c r="G175" s="6" t="n">
        <v>4.83</v>
      </c>
      <c r="H175" s="6">
        <f>(E175-F175)*C175*100</f>
        <v/>
      </c>
      <c r="I175" s="6">
        <f>(G175-F175)*C175*100</f>
        <v/>
      </c>
    </row>
    <row r="176">
      <c r="A176" t="inlineStr">
        <is>
          <t>GE US 11/07/25 C310</t>
        </is>
      </c>
      <c r="B176" s="8" t="n">
        <v>-6</v>
      </c>
      <c r="C176" s="8" t="n">
        <v>-6</v>
      </c>
      <c r="D176" s="6" t="n">
        <v>1.5</v>
      </c>
      <c r="E176" s="6" t="n">
        <v>0.75</v>
      </c>
      <c r="F176" s="6" t="n">
        <v>1.5</v>
      </c>
      <c r="G176" s="6" t="n">
        <v>0.75</v>
      </c>
      <c r="H176" s="6">
        <f>(E176-F176)*C176*100</f>
        <v/>
      </c>
      <c r="I176" s="6">
        <f>(G176-F176)*C176*100</f>
        <v/>
      </c>
    </row>
    <row r="177">
      <c r="A177" t="inlineStr">
        <is>
          <t>GILD US 11/07/25 C120</t>
        </is>
      </c>
      <c r="B177" s="8" t="n">
        <v>-5</v>
      </c>
      <c r="C177" s="8" t="n">
        <v>-5</v>
      </c>
      <c r="D177" s="6" t="n">
        <v>3.08</v>
      </c>
      <c r="E177" s="6" t="n">
        <v>3.8</v>
      </c>
      <c r="F177" s="6" t="n">
        <v>3.08</v>
      </c>
      <c r="G177" s="6" t="n">
        <v>3.8</v>
      </c>
      <c r="H177" s="6">
        <f>(E177-F177)*C177*100</f>
        <v/>
      </c>
      <c r="I177" s="6">
        <f>(G177-F177)*C177*100</f>
        <v/>
      </c>
    </row>
    <row r="178">
      <c r="A178" t="inlineStr">
        <is>
          <t>GOOG US 11/07/25 C282.5</t>
        </is>
      </c>
      <c r="B178" s="8" t="n">
        <v>-14</v>
      </c>
      <c r="C178" s="8" t="n">
        <v>-14</v>
      </c>
      <c r="D178" s="6" t="n">
        <v>4.34</v>
      </c>
      <c r="E178" s="6" t="n">
        <v>3.88</v>
      </c>
      <c r="F178" s="6" t="n">
        <v>4.34</v>
      </c>
      <c r="G178" s="6" t="n">
        <v>3.88</v>
      </c>
      <c r="H178" s="6">
        <f>(E178-F178)*C178*100</f>
        <v/>
      </c>
      <c r="I178" s="6">
        <f>(G178-F178)*C178*100</f>
        <v/>
      </c>
    </row>
    <row r="179">
      <c r="A179" t="inlineStr">
        <is>
          <t>GOOGL US 11/07/25 C280</t>
        </is>
      </c>
      <c r="B179" s="8" t="n">
        <v>-17</v>
      </c>
      <c r="C179" s="8" t="n">
        <v>-17</v>
      </c>
      <c r="D179" s="6" t="n">
        <v>5.74</v>
      </c>
      <c r="E179" s="6" t="n">
        <v>5.53</v>
      </c>
      <c r="F179" s="6" t="n">
        <v>5.74</v>
      </c>
      <c r="G179" s="6" t="n">
        <v>5.53</v>
      </c>
      <c r="H179" s="6">
        <f>(E179-F179)*C179*100</f>
        <v/>
      </c>
      <c r="I179" s="6">
        <f>(G179-F179)*C179*100</f>
        <v/>
      </c>
    </row>
    <row r="180">
      <c r="A180" t="inlineStr">
        <is>
          <t>GS US 11/07/25 C790</t>
        </is>
      </c>
      <c r="B180" s="8" t="n">
        <v>-1</v>
      </c>
      <c r="C180" s="8" t="n">
        <v>-1</v>
      </c>
      <c r="D180" s="6" t="n">
        <v>9.52</v>
      </c>
      <c r="E180" s="6" t="n">
        <v>4.05</v>
      </c>
      <c r="F180" s="6" t="n">
        <v>9.52</v>
      </c>
      <c r="G180" s="6" t="n">
        <v>4.05</v>
      </c>
      <c r="H180" s="6">
        <f>(E180-F180)*C180*100</f>
        <v/>
      </c>
      <c r="I180" s="6">
        <f>(G180-F180)*C180*100</f>
        <v/>
      </c>
    </row>
    <row r="181">
      <c r="A181" t="inlineStr">
        <is>
          <t>HD US 11/07/25 C380</t>
        </is>
      </c>
      <c r="B181" s="8" t="n">
        <v>-3</v>
      </c>
      <c r="C181" s="8" t="n">
        <v>-3</v>
      </c>
      <c r="D181" s="6" t="n">
        <v>1</v>
      </c>
      <c r="E181" s="6" t="n">
        <v>0.1</v>
      </c>
      <c r="F181" s="6" t="n">
        <v>1</v>
      </c>
      <c r="G181" s="6" t="n">
        <v>0.1</v>
      </c>
      <c r="H181" s="6">
        <f>(E181-F181)*C181*100</f>
        <v/>
      </c>
      <c r="I181" s="6">
        <f>(G181-F181)*C181*100</f>
        <v/>
      </c>
    </row>
    <row r="182">
      <c r="A182" t="inlineStr">
        <is>
          <t>HON US 11/07/25 C202.5</t>
        </is>
      </c>
      <c r="B182" s="8" t="n">
        <v>-4</v>
      </c>
      <c r="C182" s="8" t="n">
        <v>-4</v>
      </c>
      <c r="D182" s="6" t="n">
        <v>0.35</v>
      </c>
      <c r="E182" s="6" t="n">
        <v>2.15</v>
      </c>
      <c r="F182" s="6" t="n">
        <v>0.35</v>
      </c>
      <c r="G182" s="6" t="n">
        <v>2.15</v>
      </c>
      <c r="H182" s="6">
        <f>(E182-F182)*C182*100</f>
        <v/>
      </c>
      <c r="I182" s="6">
        <f>(G182-F182)*C182*100</f>
        <v/>
      </c>
    </row>
    <row r="183">
      <c r="A183" t="inlineStr">
        <is>
          <t>IBM US 11/07/25 C310</t>
        </is>
      </c>
      <c r="B183" s="8" t="n">
        <v>-4</v>
      </c>
      <c r="C183" s="8" t="n">
        <v>-4</v>
      </c>
      <c r="D183" s="6" t="n">
        <v>1.8</v>
      </c>
      <c r="E183" s="6" t="n">
        <v>4.29</v>
      </c>
      <c r="F183" s="6" t="n">
        <v>1.8</v>
      </c>
      <c r="G183" s="6" t="n">
        <v>4.29</v>
      </c>
      <c r="H183" s="6">
        <f>(E183-F183)*C183*100</f>
        <v/>
      </c>
      <c r="I183" s="6">
        <f>(G183-F183)*C183*100</f>
        <v/>
      </c>
    </row>
    <row r="184">
      <c r="A184" t="inlineStr">
        <is>
          <t>INTC US 11/07/25 C40</t>
        </is>
      </c>
      <c r="B184" s="8" t="n">
        <v>-17</v>
      </c>
      <c r="C184" s="8" t="n">
        <v>-17</v>
      </c>
      <c r="D184" s="6" t="n">
        <v>0.32</v>
      </c>
      <c r="E184" s="6" t="n">
        <v>0.08</v>
      </c>
      <c r="F184" s="6" t="n">
        <v>0.32</v>
      </c>
      <c r="G184" s="6" t="n">
        <v>0.08</v>
      </c>
      <c r="H184" s="6">
        <f>(E184-F184)*C184*100</f>
        <v/>
      </c>
      <c r="I184" s="6">
        <f>(G184-F184)*C184*100</f>
        <v/>
      </c>
    </row>
    <row r="185">
      <c r="A185" t="inlineStr">
        <is>
          <t>INTU US 11/07/25 C667.5</t>
        </is>
      </c>
      <c r="B185" s="8" t="n">
        <v>-1</v>
      </c>
      <c r="C185" s="8" t="n">
        <v>-1</v>
      </c>
      <c r="D185" s="6" t="n">
        <v>2.05</v>
      </c>
      <c r="E185" s="6" t="n">
        <v>1.36</v>
      </c>
      <c r="F185" s="6" t="n">
        <v>2.05</v>
      </c>
      <c r="G185" s="6" t="n">
        <v>1.36</v>
      </c>
      <c r="H185" s="6">
        <f>(E185-F185)*C185*100</f>
        <v/>
      </c>
      <c r="I185" s="6">
        <f>(G185-F185)*C185*100</f>
        <v/>
      </c>
    </row>
    <row r="186">
      <c r="A186" t="inlineStr">
        <is>
          <t>ISRG US 11/07/25 C535</t>
        </is>
      </c>
      <c r="B186" s="8" t="n">
        <v>-2</v>
      </c>
      <c r="C186" s="8" t="n">
        <v>-2</v>
      </c>
      <c r="D186" s="6" t="n">
        <v>16.45</v>
      </c>
      <c r="E186" s="6" t="n">
        <v>13</v>
      </c>
      <c r="F186" s="6" t="n">
        <v>16.45</v>
      </c>
      <c r="G186" s="6" t="n">
        <v>13</v>
      </c>
      <c r="H186" s="6">
        <f>(E186-F186)*C186*100</f>
        <v/>
      </c>
      <c r="I186" s="6">
        <f>(G186-F186)*C186*100</f>
        <v/>
      </c>
    </row>
    <row r="187">
      <c r="A187" t="inlineStr">
        <is>
          <t>JNJ US 11/07/25 C190</t>
        </is>
      </c>
      <c r="B187" s="8" t="n">
        <v>-10</v>
      </c>
      <c r="C187" s="8" t="n">
        <v>-10</v>
      </c>
      <c r="D187" s="6" t="n">
        <v>0.18</v>
      </c>
      <c r="E187" s="6" t="n">
        <v>0.14</v>
      </c>
      <c r="F187" s="6" t="n">
        <v>0.18</v>
      </c>
      <c r="G187" s="6" t="n">
        <v>0.14</v>
      </c>
      <c r="H187" s="6">
        <f>(E187-F187)*C187*100</f>
        <v/>
      </c>
      <c r="I187" s="6">
        <f>(G187-F187)*C187*100</f>
        <v/>
      </c>
    </row>
    <row r="188">
      <c r="A188" t="inlineStr">
        <is>
          <t>JPM US 11/07/25 C312.5</t>
        </is>
      </c>
      <c r="B188" s="8" t="n">
        <v>-11</v>
      </c>
      <c r="C188" s="8" t="n">
        <v>-11</v>
      </c>
      <c r="D188" s="6" t="n">
        <v>2.2</v>
      </c>
      <c r="E188" s="6" t="n">
        <v>2.48</v>
      </c>
      <c r="F188" s="6" t="n">
        <v>2.2</v>
      </c>
      <c r="G188" s="6" t="n">
        <v>2.48</v>
      </c>
      <c r="H188" s="6">
        <f>(E188-F188)*C188*100</f>
        <v/>
      </c>
      <c r="I188" s="6">
        <f>(G188-F188)*C188*100</f>
        <v/>
      </c>
    </row>
    <row r="189">
      <c r="A189" t="inlineStr">
        <is>
          <t>KO US 11/07/25 C69</t>
        </is>
      </c>
      <c r="B189" s="8" t="n">
        <v>-15</v>
      </c>
      <c r="C189" s="8" t="n">
        <v>-15</v>
      </c>
      <c r="D189" s="6" t="n">
        <v>0.21</v>
      </c>
      <c r="E189" s="6" t="n">
        <v>0.33</v>
      </c>
      <c r="F189" s="6" t="n">
        <v>0.21</v>
      </c>
      <c r="G189" s="6" t="n">
        <v>0.33</v>
      </c>
      <c r="H189" s="6">
        <f>(E189-F189)*C189*100</f>
        <v/>
      </c>
      <c r="I189" s="6">
        <f>(G189-F189)*C189*100</f>
        <v/>
      </c>
    </row>
    <row r="190">
      <c r="A190" t="inlineStr">
        <is>
          <t>LMT US 11/07/25 C492.5</t>
        </is>
      </c>
      <c r="B190" s="8" t="n">
        <v>-1</v>
      </c>
      <c r="C190" s="8" t="n">
        <v>-1</v>
      </c>
      <c r="D190" s="6" t="n">
        <v>0.2</v>
      </c>
      <c r="E190" s="6" t="n">
        <v>0.48</v>
      </c>
      <c r="F190" s="6" t="n">
        <v>0.2</v>
      </c>
      <c r="G190" s="6" t="n">
        <v>0.48</v>
      </c>
      <c r="H190" s="6">
        <f>(E190-F190)*C190*100</f>
        <v/>
      </c>
      <c r="I190" s="6">
        <f>(G190-F190)*C190*100</f>
        <v/>
      </c>
    </row>
    <row r="191">
      <c r="A191" t="inlineStr">
        <is>
          <t>LOW US 11/07/25 C237.5</t>
        </is>
      </c>
      <c r="B191" s="8" t="n">
        <v>-2</v>
      </c>
      <c r="C191" s="8" t="n">
        <v>-2</v>
      </c>
      <c r="D191" s="6" t="n">
        <v>0.75</v>
      </c>
      <c r="E191" s="6" t="n">
        <v>0.17</v>
      </c>
      <c r="F191" s="6" t="n">
        <v>0.75</v>
      </c>
      <c r="G191" s="6" t="n">
        <v>0.17</v>
      </c>
      <c r="H191" s="6">
        <f>(E191-F191)*C191*100</f>
        <v/>
      </c>
      <c r="I191" s="6">
        <f>(G191-F191)*C191*100</f>
        <v/>
      </c>
    </row>
    <row r="192">
      <c r="A192" t="inlineStr">
        <is>
          <t>MA US 11/07/25 C555</t>
        </is>
      </c>
      <c r="B192" s="8" t="n">
        <v>-4</v>
      </c>
      <c r="C192" s="8" t="n">
        <v>-4</v>
      </c>
      <c r="D192" s="6" t="n">
        <v>3.8</v>
      </c>
      <c r="E192" s="6" t="n">
        <v>2.07</v>
      </c>
      <c r="F192" s="6" t="n">
        <v>3.8</v>
      </c>
      <c r="G192" s="6" t="n">
        <v>2.07</v>
      </c>
      <c r="H192" s="6">
        <f>(E192-F192)*C192*100</f>
        <v/>
      </c>
      <c r="I192" s="6">
        <f>(G192-F192)*C192*100</f>
        <v/>
      </c>
    </row>
    <row r="193">
      <c r="A193" t="inlineStr">
        <is>
          <t>MCD US 11/07/25 C300</t>
        </is>
      </c>
      <c r="B193" s="8" t="n">
        <v>-4</v>
      </c>
      <c r="C193" s="8" t="n">
        <v>-4</v>
      </c>
      <c r="D193" s="6" t="n">
        <v>7.35</v>
      </c>
      <c r="E193" s="6" t="n">
        <v>1</v>
      </c>
      <c r="F193" s="6" t="n">
        <v>7.35</v>
      </c>
      <c r="G193" s="6" t="n">
        <v>1</v>
      </c>
      <c r="H193" s="6">
        <f>(E193-F193)*C193*100</f>
        <v/>
      </c>
      <c r="I193" s="6">
        <f>(G193-F193)*C193*100</f>
        <v/>
      </c>
    </row>
    <row r="194">
      <c r="A194" t="inlineStr">
        <is>
          <t>MDLZ US 11/07/25 C58</t>
        </is>
      </c>
      <c r="B194" s="8" t="n">
        <v>-5</v>
      </c>
      <c r="C194" s="8" t="n">
        <v>-5</v>
      </c>
      <c r="D194" s="6" t="n">
        <v>0.05</v>
      </c>
      <c r="E194" s="6" t="n">
        <v>0.1</v>
      </c>
      <c r="F194" s="6" t="n">
        <v>0.05</v>
      </c>
      <c r="G194" s="6" t="n">
        <v>0.1</v>
      </c>
      <c r="H194" s="6">
        <f>(E194-F194)*C194*100</f>
        <v/>
      </c>
      <c r="I194" s="6">
        <f>(G194-F194)*C194*100</f>
        <v/>
      </c>
    </row>
    <row r="195">
      <c r="A195" t="inlineStr">
        <is>
          <t>MDT US 11/07/25 C91</t>
        </is>
      </c>
      <c r="B195" s="8" t="n">
        <v>-8</v>
      </c>
      <c r="C195" s="8" t="n">
        <v>-8</v>
      </c>
      <c r="D195" s="6" t="n">
        <v>0.34</v>
      </c>
      <c r="E195" s="6" t="n">
        <v>0.35</v>
      </c>
      <c r="F195" s="6" t="n">
        <v>0.34</v>
      </c>
      <c r="G195" s="6" t="n">
        <v>0.35</v>
      </c>
      <c r="H195" s="6">
        <f>(E195-F195)*C195*100</f>
        <v/>
      </c>
      <c r="I195" s="6">
        <f>(G195-F195)*C195*100</f>
        <v/>
      </c>
    </row>
    <row r="196">
      <c r="A196" t="inlineStr">
        <is>
          <t>META US 11/07/25 C650</t>
        </is>
      </c>
      <c r="B196" s="8" t="n">
        <v>-6</v>
      </c>
      <c r="C196" s="8" t="n">
        <v>-6</v>
      </c>
      <c r="D196" s="6" t="n">
        <v>2.76</v>
      </c>
      <c r="E196" s="6" t="n">
        <v>0.17</v>
      </c>
      <c r="F196" s="6" t="n">
        <v>2.76</v>
      </c>
      <c r="G196" s="6" t="n">
        <v>0.17</v>
      </c>
      <c r="H196" s="6">
        <f>(E196-F196)*C196*100</f>
        <v/>
      </c>
      <c r="I196" s="6">
        <f>(G196-F196)*C196*100</f>
        <v/>
      </c>
    </row>
    <row r="197">
      <c r="A197" t="inlineStr">
        <is>
          <t>MMM US 11/07/25 C167.5</t>
        </is>
      </c>
      <c r="B197" s="8" t="n">
        <v>-3</v>
      </c>
      <c r="C197" s="8" t="n">
        <v>-3</v>
      </c>
      <c r="D197" s="6" t="n">
        <v>0.46</v>
      </c>
      <c r="E197" s="6" t="n">
        <v>0.18</v>
      </c>
      <c r="F197" s="6" t="n">
        <v>0.46</v>
      </c>
      <c r="G197" s="6" t="n">
        <v>0.18</v>
      </c>
      <c r="H197" s="6">
        <f>(E197-F197)*C197*100</f>
        <v/>
      </c>
      <c r="I197" s="6">
        <f>(G197-F197)*C197*100</f>
        <v/>
      </c>
    </row>
    <row r="198">
      <c r="A198" t="inlineStr">
        <is>
          <t>MO US 11/07/25 C57</t>
        </is>
      </c>
      <c r="B198" s="8" t="n">
        <v>-7</v>
      </c>
      <c r="C198" s="8" t="n">
        <v>-7</v>
      </c>
      <c r="D198" s="6" t="n">
        <v>0.48</v>
      </c>
      <c r="E198" s="6" t="n">
        <v>0.38</v>
      </c>
      <c r="F198" s="6" t="n">
        <v>0.48</v>
      </c>
      <c r="G198" s="6" t="n">
        <v>0.38</v>
      </c>
      <c r="H198" s="6">
        <f>(E198-F198)*C198*100</f>
        <v/>
      </c>
      <c r="I198" s="6">
        <f>(G198-F198)*C198*100</f>
        <v/>
      </c>
    </row>
    <row r="199">
      <c r="A199" t="inlineStr">
        <is>
          <t>MRK US 11/07/25 C86</t>
        </is>
      </c>
      <c r="B199" s="8" t="n">
        <v>-10</v>
      </c>
      <c r="C199" s="8" t="n">
        <v>-10</v>
      </c>
      <c r="D199" s="6" t="n">
        <v>0.32</v>
      </c>
      <c r="E199" s="6" t="n">
        <v>0.63</v>
      </c>
      <c r="F199" s="6" t="n">
        <v>0.32</v>
      </c>
      <c r="G199" s="6" t="n">
        <v>0.63</v>
      </c>
      <c r="H199" s="6">
        <f>(E199-F199)*C199*100</f>
        <v/>
      </c>
      <c r="I199" s="6">
        <f>(G199-F199)*C199*100</f>
        <v/>
      </c>
    </row>
    <row r="200">
      <c r="A200" t="inlineStr">
        <is>
          <t>MS US 11/07/25 C165</t>
        </is>
      </c>
      <c r="B200" s="8" t="n">
        <v>-6</v>
      </c>
      <c r="C200" s="8" t="n">
        <v>-6</v>
      </c>
      <c r="D200" s="6" t="n">
        <v>1.95</v>
      </c>
      <c r="E200" s="6" t="n">
        <v>0.63</v>
      </c>
      <c r="F200" s="6" t="n">
        <v>1.95</v>
      </c>
      <c r="G200" s="6" t="n">
        <v>0.63</v>
      </c>
      <c r="H200" s="6">
        <f>(E200-F200)*C200*100</f>
        <v/>
      </c>
      <c r="I200" s="6">
        <f>(G200-F200)*C200*100</f>
        <v/>
      </c>
    </row>
    <row r="201">
      <c r="A201" t="inlineStr">
        <is>
          <t>MSFT US 11/07/25 C520</t>
        </is>
      </c>
      <c r="B201" s="8" t="n">
        <v>-21</v>
      </c>
      <c r="C201" s="8" t="n">
        <v>-21</v>
      </c>
      <c r="D201" s="6" t="n">
        <v>0.52</v>
      </c>
      <c r="E201" s="6" t="n">
        <v>0.02</v>
      </c>
      <c r="F201" s="6" t="n">
        <v>0.52</v>
      </c>
      <c r="G201" s="6" t="n">
        <v>0.02</v>
      </c>
      <c r="H201" s="6">
        <f>(E201-F201)*C201*100</f>
        <v/>
      </c>
      <c r="I201" s="6">
        <f>(G201-F201)*C201*100</f>
        <v/>
      </c>
    </row>
    <row r="202">
      <c r="A202" t="inlineStr">
        <is>
          <t>NEE US 11/07/25 C82</t>
        </is>
      </c>
      <c r="B202" s="8" t="n">
        <v>-20</v>
      </c>
      <c r="C202" s="8" t="n">
        <v>-20</v>
      </c>
      <c r="D202" s="6" t="n">
        <v>0.75</v>
      </c>
      <c r="E202" s="6" t="n">
        <v>0.83</v>
      </c>
      <c r="F202" s="6" t="n">
        <v>0.75</v>
      </c>
      <c r="G202" s="6" t="n">
        <v>0.83</v>
      </c>
      <c r="H202" s="6">
        <f>(E202-F202)*C202*100</f>
        <v/>
      </c>
      <c r="I202" s="6">
        <f>(G202-F202)*C202*100</f>
        <v/>
      </c>
    </row>
    <row r="203">
      <c r="A203" t="inlineStr">
        <is>
          <t>NFLX US 11/07/25 C1125</t>
        </is>
      </c>
      <c r="B203" s="8" t="n">
        <v>-1</v>
      </c>
      <c r="C203" s="8" t="n">
        <v>-1</v>
      </c>
      <c r="D203" s="6" t="n">
        <v>2.62</v>
      </c>
      <c r="E203" s="6" t="n">
        <v>0.93</v>
      </c>
      <c r="F203" s="6" t="n">
        <v>2.62</v>
      </c>
      <c r="G203" s="6" t="n">
        <v>0.93</v>
      </c>
      <c r="H203" s="6">
        <f>(E203-F203)*C203*100</f>
        <v/>
      </c>
      <c r="I203" s="6">
        <f>(G203-F203)*C203*100</f>
        <v/>
      </c>
    </row>
    <row r="204">
      <c r="A204" t="inlineStr">
        <is>
          <t>NKE US 11/07/25 C64</t>
        </is>
      </c>
      <c r="B204" s="8" t="n">
        <v>-13</v>
      </c>
      <c r="C204" s="8" t="n">
        <v>-13</v>
      </c>
      <c r="D204" s="6" t="n">
        <v>0.21</v>
      </c>
      <c r="E204" s="6" t="n">
        <v>0.06</v>
      </c>
      <c r="F204" s="6" t="n">
        <v>0.21</v>
      </c>
      <c r="G204" s="6" t="n">
        <v>0.06</v>
      </c>
      <c r="H204" s="6">
        <f>(E204-F204)*C204*100</f>
        <v/>
      </c>
      <c r="I204" s="6">
        <f>(G204-F204)*C204*100</f>
        <v/>
      </c>
    </row>
    <row r="205">
      <c r="A205" t="inlineStr">
        <is>
          <t>NOW US 11/07/25 C915</t>
        </is>
      </c>
      <c r="B205" s="8" t="n">
        <v>-1</v>
      </c>
      <c r="C205" s="8" t="n">
        <v>-1</v>
      </c>
      <c r="D205" s="6" t="n">
        <v>1.4</v>
      </c>
      <c r="E205" s="6" t="n">
        <v>0.15</v>
      </c>
      <c r="F205" s="6" t="n">
        <v>1.4</v>
      </c>
      <c r="G205" s="6" t="n">
        <v>0.15</v>
      </c>
      <c r="H205" s="6">
        <f>(E205-F205)*C205*100</f>
        <v/>
      </c>
      <c r="I205" s="6">
        <f>(G205-F205)*C205*100</f>
        <v/>
      </c>
    </row>
    <row r="206">
      <c r="A206" t="inlineStr">
        <is>
          <t>NVDA US 11/07/25 C205</t>
        </is>
      </c>
      <c r="B206" s="8" t="n">
        <v>-71</v>
      </c>
      <c r="C206" s="8" t="n">
        <v>-71</v>
      </c>
      <c r="D206" s="6" t="n">
        <v>0.28</v>
      </c>
      <c r="E206" s="6" t="n">
        <v>0.03</v>
      </c>
      <c r="F206" s="6" t="n">
        <v>0.28</v>
      </c>
      <c r="G206" s="6" t="n">
        <v>0.03</v>
      </c>
      <c r="H206" s="6">
        <f>(E206-F206)*C206*100</f>
        <v/>
      </c>
      <c r="I206" s="6">
        <f>(G206-F206)*C206*100</f>
        <v/>
      </c>
    </row>
    <row r="207">
      <c r="A207" t="inlineStr">
        <is>
          <t>PEP US 11/07/25 C146</t>
        </is>
      </c>
      <c r="B207" s="8" t="n">
        <v>-5</v>
      </c>
      <c r="C207" s="8" t="n">
        <v>-5</v>
      </c>
      <c r="D207" s="6" t="n">
        <v>0.14</v>
      </c>
      <c r="E207" s="6" t="n">
        <v>0.03</v>
      </c>
      <c r="F207" s="6" t="n">
        <v>0.14</v>
      </c>
      <c r="G207" s="6" t="n">
        <v>0.03</v>
      </c>
      <c r="H207" s="6">
        <f>(E207-F207)*C207*100</f>
        <v/>
      </c>
      <c r="I207" s="6">
        <f>(G207-F207)*C207*100</f>
        <v/>
      </c>
    </row>
    <row r="208">
      <c r="A208" t="inlineStr">
        <is>
          <t>PFE US 11/07/25 C24.5</t>
        </is>
      </c>
      <c r="B208" s="8" t="n">
        <v>-22</v>
      </c>
      <c r="C208" s="8" t="n">
        <v>-22</v>
      </c>
      <c r="D208" s="6" t="n">
        <v>0.23</v>
      </c>
      <c r="E208" s="6" t="n">
        <v>0.4</v>
      </c>
      <c r="F208" s="6" t="n">
        <v>0.23</v>
      </c>
      <c r="G208" s="6" t="n">
        <v>0.4</v>
      </c>
      <c r="H208" s="6">
        <f>(E208-F208)*C208*100</f>
        <v/>
      </c>
      <c r="I208" s="6">
        <f>(G208-F208)*C208*100</f>
        <v/>
      </c>
    </row>
    <row r="209">
      <c r="A209" t="inlineStr">
        <is>
          <t>PG US 11/07/25 C150</t>
        </is>
      </c>
      <c r="B209" s="8" t="n">
        <v>-8</v>
      </c>
      <c r="C209" s="8" t="n">
        <v>-8</v>
      </c>
      <c r="D209" s="6" t="n">
        <v>0.06</v>
      </c>
      <c r="E209" s="6" t="n">
        <v>0.02</v>
      </c>
      <c r="F209" s="6" t="n">
        <v>0.06</v>
      </c>
      <c r="G209" s="6" t="n">
        <v>0.02</v>
      </c>
      <c r="H209" s="6">
        <f>(E209-F209)*C209*100</f>
        <v/>
      </c>
      <c r="I209" s="6">
        <f>(G209-F209)*C209*100</f>
        <v/>
      </c>
    </row>
    <row r="210">
      <c r="A210" t="inlineStr">
        <is>
          <t>PM US 11/07/25 C145</t>
        </is>
      </c>
      <c r="B210" s="8" t="n">
        <v>-6</v>
      </c>
      <c r="C210" s="8" t="n">
        <v>-6</v>
      </c>
      <c r="D210" s="6" t="n">
        <v>4.75</v>
      </c>
      <c r="E210" s="6" t="n">
        <v>4.95</v>
      </c>
      <c r="F210" s="6" t="n">
        <v>4.75</v>
      </c>
      <c r="G210" s="6" t="n">
        <v>4.95</v>
      </c>
      <c r="H210" s="6">
        <f>(E210-F210)*C210*100</f>
        <v/>
      </c>
      <c r="I210" s="6">
        <f>(G210-F210)*C210*100</f>
        <v/>
      </c>
    </row>
    <row r="211">
      <c r="A211" t="inlineStr">
        <is>
          <t>PYPL US 11/07/25 C69</t>
        </is>
      </c>
      <c r="B211" s="8" t="n">
        <v>-4</v>
      </c>
      <c r="C211" s="8" t="n">
        <v>-4</v>
      </c>
      <c r="D211" s="6" t="n">
        <v>0.52</v>
      </c>
      <c r="E211" s="6" t="n">
        <v>0.07000000000000001</v>
      </c>
      <c r="F211" s="6" t="n">
        <v>0.52</v>
      </c>
      <c r="G211" s="6" t="n">
        <v>0.07000000000000001</v>
      </c>
      <c r="H211" s="6">
        <f>(E211-F211)*C211*100</f>
        <v/>
      </c>
      <c r="I211" s="6">
        <f>(G211-F211)*C211*100</f>
        <v/>
      </c>
    </row>
    <row r="212">
      <c r="A212" t="inlineStr">
        <is>
          <t>QCOM US 11/07/25 C182.5</t>
        </is>
      </c>
      <c r="B212" s="8" t="n">
        <v>-4</v>
      </c>
      <c r="C212" s="8" t="n">
        <v>-4</v>
      </c>
      <c r="D212" s="6" t="n">
        <v>4.1</v>
      </c>
      <c r="E212" s="6" t="n">
        <v>0.07000000000000001</v>
      </c>
      <c r="F212" s="6" t="n">
        <v>4.1</v>
      </c>
      <c r="G212" s="6" t="n">
        <v>0.07000000000000001</v>
      </c>
      <c r="H212" s="6">
        <f>(E212-F212)*C212*100</f>
        <v/>
      </c>
      <c r="I212" s="6">
        <f>(G212-F212)*C212*100</f>
        <v/>
      </c>
    </row>
    <row r="213">
      <c r="A213" t="inlineStr">
        <is>
          <t>RTX US 11/07/25 C180</t>
        </is>
      </c>
      <c r="B213" s="8" t="n">
        <v>-8</v>
      </c>
      <c r="C213" s="8" t="n">
        <v>-8</v>
      </c>
      <c r="D213" s="6" t="n">
        <v>0.12</v>
      </c>
      <c r="E213" s="6" t="n">
        <v>0.05</v>
      </c>
      <c r="F213" s="6" t="n">
        <v>0.12</v>
      </c>
      <c r="G213" s="6" t="n">
        <v>0.05</v>
      </c>
      <c r="H213" s="6">
        <f>(E213-F213)*C213*100</f>
        <v/>
      </c>
      <c r="I213" s="6">
        <f>(G213-F213)*C213*100</f>
        <v/>
      </c>
    </row>
    <row r="214">
      <c r="A214" t="inlineStr">
        <is>
          <t>SBUX US 11/07/25 C80</t>
        </is>
      </c>
      <c r="B214" s="8" t="n">
        <v>-6</v>
      </c>
      <c r="C214" s="8" t="n">
        <v>-6</v>
      </c>
      <c r="D214" s="6" t="n">
        <v>2.59</v>
      </c>
      <c r="E214" s="6" t="n">
        <v>2.57</v>
      </c>
      <c r="F214" s="6" t="n">
        <v>2.59</v>
      </c>
      <c r="G214" s="6" t="n">
        <v>2.57</v>
      </c>
      <c r="H214" s="6">
        <f>(E214-F214)*C214*100</f>
        <v/>
      </c>
      <c r="I214" s="6">
        <f>(G214-F214)*C214*100</f>
        <v/>
      </c>
    </row>
    <row r="215">
      <c r="A215" t="inlineStr">
        <is>
          <t>SCHW US 11/07/25 C95</t>
        </is>
      </c>
      <c r="B215" s="8" t="n">
        <v>-7</v>
      </c>
      <c r="C215" s="8" t="n">
        <v>-7</v>
      </c>
      <c r="D215" s="6" t="n">
        <v>0.3</v>
      </c>
      <c r="E215" s="6" t="n">
        <v>0.45</v>
      </c>
      <c r="F215" s="6" t="n">
        <v>0.3</v>
      </c>
      <c r="G215" s="6" t="n">
        <v>0.45</v>
      </c>
      <c r="H215" s="6">
        <f>(E215-F215)*C215*100</f>
        <v/>
      </c>
      <c r="I215" s="6">
        <f>(G215-F215)*C215*100</f>
        <v/>
      </c>
    </row>
    <row r="216">
      <c r="A216" t="inlineStr">
        <is>
          <t>SO US 11/07/25 C94</t>
        </is>
      </c>
      <c r="B216" s="8" t="n">
        <v>-11</v>
      </c>
      <c r="C216" s="8" t="n">
        <v>-11</v>
      </c>
      <c r="D216" s="6" t="n">
        <v>0.15</v>
      </c>
      <c r="E216" s="6" t="n">
        <v>0.05</v>
      </c>
      <c r="F216" s="6" t="n">
        <v>0.15</v>
      </c>
      <c r="G216" s="6" t="n">
        <v>0.05</v>
      </c>
      <c r="H216" s="6">
        <f>(E216-F216)*C216*100</f>
        <v/>
      </c>
      <c r="I216" s="6">
        <f>(G216-F216)*C216*100</f>
        <v/>
      </c>
    </row>
    <row r="217">
      <c r="A217" t="inlineStr">
        <is>
          <t>SPGI US 11/07/25 C490</t>
        </is>
      </c>
      <c r="B217" s="8" t="n">
        <v>-1</v>
      </c>
      <c r="C217" s="8" t="n">
        <v>-1</v>
      </c>
      <c r="D217" s="6" t="n">
        <v>8.4</v>
      </c>
      <c r="E217" s="6" t="n">
        <v>6.4</v>
      </c>
      <c r="F217" s="6" t="n">
        <v>8.4</v>
      </c>
      <c r="G217" s="6" t="n">
        <v>6.4</v>
      </c>
      <c r="H217" s="6">
        <f>(E217-F217)*C217*100</f>
        <v/>
      </c>
      <c r="I217" s="6">
        <f>(G217-F217)*C217*100</f>
        <v/>
      </c>
    </row>
    <row r="218">
      <c r="A218" t="inlineStr">
        <is>
          <t>T US 11/07/25 C25</t>
        </is>
      </c>
      <c r="B218" s="8" t="n">
        <v>-26</v>
      </c>
      <c r="C218" s="8" t="n">
        <v>-26</v>
      </c>
      <c r="D218" s="6" t="n">
        <v>0.05</v>
      </c>
      <c r="E218" s="6" t="n">
        <v>0.05</v>
      </c>
      <c r="F218" s="6" t="n">
        <v>0.05</v>
      </c>
      <c r="G218" s="6" t="n">
        <v>0.05</v>
      </c>
      <c r="H218" s="6">
        <f>(E218-F218)*C218*100</f>
        <v/>
      </c>
      <c r="I218" s="6">
        <f>(G218-F218)*C218*100</f>
        <v/>
      </c>
    </row>
    <row r="219">
      <c r="A219" t="inlineStr">
        <is>
          <t>TGT US 11/07/25 C93</t>
        </is>
      </c>
      <c r="B219" s="8" t="n">
        <v>-3</v>
      </c>
      <c r="C219" s="8" t="n">
        <v>-3</v>
      </c>
      <c r="D219" s="6" t="n">
        <v>0.66</v>
      </c>
      <c r="E219" s="6" t="n">
        <v>0.07000000000000001</v>
      </c>
      <c r="F219" s="6" t="n">
        <v>0.66</v>
      </c>
      <c r="G219" s="6" t="n">
        <v>0.07000000000000001</v>
      </c>
      <c r="H219" s="6">
        <f>(E219-F219)*C219*100</f>
        <v/>
      </c>
      <c r="I219" s="6">
        <f>(G219-F219)*C219*100</f>
        <v/>
      </c>
    </row>
    <row r="220">
      <c r="A220" t="inlineStr">
        <is>
          <t>TJX US 11/07/25 C140</t>
        </is>
      </c>
      <c r="B220" s="8" t="n">
        <v>-3</v>
      </c>
      <c r="C220" s="8" t="n">
        <v>-3</v>
      </c>
      <c r="D220" s="6" t="n">
        <v>4.66</v>
      </c>
      <c r="E220" s="6" t="n">
        <v>3.82</v>
      </c>
      <c r="F220" s="6" t="n">
        <v>4.66</v>
      </c>
      <c r="G220" s="6" t="n">
        <v>3.82</v>
      </c>
      <c r="H220" s="6">
        <f>(E220-F220)*C220*100</f>
        <v/>
      </c>
      <c r="I220" s="6">
        <f>(G220-F220)*C220*100</f>
        <v/>
      </c>
    </row>
    <row r="221">
      <c r="A221" t="inlineStr">
        <is>
          <t>TMO US 11/07/25 C570</t>
        </is>
      </c>
      <c r="B221" s="8" t="n">
        <v>-2</v>
      </c>
      <c r="C221" s="8" t="n">
        <v>-2</v>
      </c>
      <c r="D221" s="6" t="n">
        <v>4.12</v>
      </c>
      <c r="E221" s="6" t="n">
        <v>1.87</v>
      </c>
      <c r="F221" s="6" t="n">
        <v>4.12</v>
      </c>
      <c r="G221" s="6" t="n">
        <v>1.87</v>
      </c>
      <c r="H221" s="6">
        <f>(E221-F221)*C221*100</f>
        <v/>
      </c>
      <c r="I221" s="6">
        <f>(G221-F221)*C221*100</f>
        <v/>
      </c>
    </row>
    <row r="222">
      <c r="A222" t="inlineStr">
        <is>
          <t>TSLA US 11/07/25 C455</t>
        </is>
      </c>
      <c r="B222" s="8" t="n">
        <v>-8</v>
      </c>
      <c r="C222" s="8" t="n">
        <v>-8</v>
      </c>
      <c r="D222" s="6" t="n">
        <v>15.1</v>
      </c>
      <c r="E222" s="6" t="n">
        <v>5.9</v>
      </c>
      <c r="F222" s="6" t="n">
        <v>15.1</v>
      </c>
      <c r="G222" s="6" t="n">
        <v>5.9</v>
      </c>
      <c r="H222" s="6">
        <f>(E222-F222)*C222*100</f>
        <v/>
      </c>
      <c r="I222" s="6">
        <f>(G222-F222)*C222*100</f>
        <v/>
      </c>
    </row>
    <row r="223">
      <c r="A223" t="inlineStr">
        <is>
          <t>TXN US 11/07/25 C160</t>
        </is>
      </c>
      <c r="B223" s="8" t="n">
        <v>-4</v>
      </c>
      <c r="C223" s="8" t="n">
        <v>-4</v>
      </c>
      <c r="D223" s="6" t="n">
        <v>4.25</v>
      </c>
      <c r="E223" s="6" t="n">
        <v>2.5</v>
      </c>
      <c r="F223" s="6" t="n">
        <v>4.25</v>
      </c>
      <c r="G223" s="6" t="n">
        <v>2.5</v>
      </c>
      <c r="H223" s="6">
        <f>(E223-F223)*C223*100</f>
        <v/>
      </c>
      <c r="I223" s="6">
        <f>(G223-F223)*C223*100</f>
        <v/>
      </c>
    </row>
    <row r="224">
      <c r="A224" t="inlineStr">
        <is>
          <t>UBER US 11/07/25 C97</t>
        </is>
      </c>
      <c r="B224" s="8" t="n">
        <v>-10</v>
      </c>
      <c r="C224" s="8" t="n">
        <v>-10</v>
      </c>
      <c r="D224" s="6" t="n">
        <v>0.2</v>
      </c>
      <c r="E224" s="6" t="n">
        <v>0.06</v>
      </c>
      <c r="F224" s="6" t="n">
        <v>0.2</v>
      </c>
      <c r="G224" s="6" t="n">
        <v>0.06</v>
      </c>
      <c r="H224" s="6">
        <f>(E224-F224)*C224*100</f>
        <v/>
      </c>
      <c r="I224" s="6">
        <f>(G224-F224)*C224*100</f>
        <v/>
      </c>
    </row>
    <row r="225">
      <c r="A225" t="inlineStr">
        <is>
          <t>UNH US 11/07/25 C340</t>
        </is>
      </c>
      <c r="B225" s="8" t="n">
        <v>-6</v>
      </c>
      <c r="C225" s="8" t="n">
        <v>-6</v>
      </c>
      <c r="D225" s="6" t="n">
        <v>0.53</v>
      </c>
      <c r="E225" s="6" t="n">
        <v>0.07000000000000001</v>
      </c>
      <c r="F225" s="6" t="n">
        <v>0.53</v>
      </c>
      <c r="G225" s="6" t="n">
        <v>0.07000000000000001</v>
      </c>
      <c r="H225" s="6">
        <f>(E225-F225)*C225*100</f>
        <v/>
      </c>
      <c r="I225" s="6">
        <f>(G225-F225)*C225*100</f>
        <v/>
      </c>
    </row>
    <row r="226">
      <c r="A226" t="inlineStr">
        <is>
          <t>UNP US 11/07/25 C220</t>
        </is>
      </c>
      <c r="B226" s="8" t="n">
        <v>-3</v>
      </c>
      <c r="C226" s="8" t="n">
        <v>-3</v>
      </c>
      <c r="D226" s="6" t="n">
        <v>0.87</v>
      </c>
      <c r="E226" s="6" t="n">
        <v>0.55</v>
      </c>
      <c r="F226" s="6" t="n">
        <v>0.87</v>
      </c>
      <c r="G226" s="6" t="n">
        <v>0.55</v>
      </c>
      <c r="H226" s="6">
        <f>(E226-F226)*C226*100</f>
        <v/>
      </c>
      <c r="I226" s="6">
        <f>(G226-F226)*C226*100</f>
        <v/>
      </c>
    </row>
    <row r="227">
      <c r="A227" t="inlineStr">
        <is>
          <t>UPS US 11/07/25 C97</t>
        </is>
      </c>
      <c r="B227" s="8" t="n">
        <v>-3</v>
      </c>
      <c r="C227" s="8" t="n">
        <v>-3</v>
      </c>
      <c r="D227" s="6" t="n">
        <v>0.07000000000000001</v>
      </c>
      <c r="E227" s="6" t="n">
        <v>0.04</v>
      </c>
      <c r="F227" s="6" t="n">
        <v>0.07000000000000001</v>
      </c>
      <c r="G227" s="6" t="n">
        <v>0.04</v>
      </c>
      <c r="H227" s="6">
        <f>(E227-F227)*C227*100</f>
        <v/>
      </c>
      <c r="I227" s="6">
        <f>(G227-F227)*C227*100</f>
        <v/>
      </c>
    </row>
    <row r="228">
      <c r="A228" t="inlineStr">
        <is>
          <t>USB US 11/07/25 C47</t>
        </is>
      </c>
      <c r="B228" s="8" t="n">
        <v>-6</v>
      </c>
      <c r="C228" s="8" t="n">
        <v>-6</v>
      </c>
      <c r="D228" s="6" t="n">
        <v>0.28</v>
      </c>
      <c r="E228" s="6" t="n">
        <v>0.06</v>
      </c>
      <c r="F228" s="6" t="n">
        <v>0.28</v>
      </c>
      <c r="G228" s="6" t="n">
        <v>0.06</v>
      </c>
      <c r="H228" s="6">
        <f>(E228-F228)*C228*100</f>
        <v/>
      </c>
      <c r="I228" s="6">
        <f>(G228-F228)*C228*100</f>
        <v/>
      </c>
    </row>
    <row r="229">
      <c r="A229" t="inlineStr">
        <is>
          <t>V US 11/07/25 C342.5</t>
        </is>
      </c>
      <c r="B229" s="8" t="n">
        <v>-8</v>
      </c>
      <c r="C229" s="8" t="n">
        <v>-8</v>
      </c>
      <c r="D229" s="6" t="n">
        <v>1.37</v>
      </c>
      <c r="E229" s="6" t="n">
        <v>0.3</v>
      </c>
      <c r="F229" s="6" t="n">
        <v>1.37</v>
      </c>
      <c r="G229" s="6" t="n">
        <v>0.3</v>
      </c>
      <c r="H229" s="6">
        <f>(E229-F229)*C229*100</f>
        <v/>
      </c>
      <c r="I229" s="6">
        <f>(G229-F229)*C229*100</f>
        <v/>
      </c>
    </row>
    <row r="230">
      <c r="A230" t="inlineStr">
        <is>
          <t>VZ US 11/07/25 C40</t>
        </is>
      </c>
      <c r="B230" s="8" t="n">
        <v>-15</v>
      </c>
      <c r="C230" s="8" t="n">
        <v>-15</v>
      </c>
      <c r="D230" s="6" t="n">
        <v>0.12</v>
      </c>
      <c r="E230" s="6" t="n">
        <v>0.11</v>
      </c>
      <c r="F230" s="6" t="n">
        <v>0.12</v>
      </c>
      <c r="G230" s="6" t="n">
        <v>0.11</v>
      </c>
      <c r="H230" s="6">
        <f>(E230-F230)*C230*100</f>
        <v/>
      </c>
      <c r="I230" s="6">
        <f>(G230-F230)*C230*100</f>
        <v/>
      </c>
    </row>
    <row r="231">
      <c r="A231" t="inlineStr">
        <is>
          <t>WFC US 11/07/25 C87</t>
        </is>
      </c>
      <c r="B231" s="8" t="n">
        <v>-13</v>
      </c>
      <c r="C231" s="8" t="n">
        <v>-13</v>
      </c>
      <c r="D231" s="6" t="n">
        <v>0.68</v>
      </c>
      <c r="E231" s="6" t="n">
        <v>0.13</v>
      </c>
      <c r="F231" s="6" t="n">
        <v>0.68</v>
      </c>
      <c r="G231" s="6" t="n">
        <v>0.13</v>
      </c>
      <c r="H231" s="6">
        <f>(E231-F231)*C231*100</f>
        <v/>
      </c>
      <c r="I231" s="6">
        <f>(G231-F231)*C231*100</f>
        <v/>
      </c>
    </row>
    <row r="232">
      <c r="A232" t="inlineStr">
        <is>
          <t>WMT US 11/07/25 C101</t>
        </is>
      </c>
      <c r="B232" s="8" t="n">
        <v>-24</v>
      </c>
      <c r="C232" s="8" t="n">
        <v>-24</v>
      </c>
      <c r="D232" s="6" t="n">
        <v>1.09</v>
      </c>
      <c r="E232" s="6" t="n">
        <v>1.13</v>
      </c>
      <c r="F232" s="6" t="n">
        <v>1.09</v>
      </c>
      <c r="G232" s="6" t="n">
        <v>1.13</v>
      </c>
      <c r="H232" s="6">
        <f>(E232-F232)*C232*100</f>
        <v/>
      </c>
      <c r="I232" s="6">
        <f>(G232-F232)*C232*100</f>
        <v/>
      </c>
    </row>
    <row r="233">
      <c r="A233" t="inlineStr">
        <is>
          <t>XOM US 11/07/25 C115</t>
        </is>
      </c>
      <c r="B233" s="8" t="n">
        <v>-22</v>
      </c>
      <c r="C233" s="8" t="n">
        <v>-22</v>
      </c>
      <c r="D233" s="6" t="n">
        <v>0.35</v>
      </c>
      <c r="E233" s="6" t="n">
        <v>0.44</v>
      </c>
      <c r="F233" s="6" t="n">
        <v>0.35</v>
      </c>
      <c r="G233" s="6" t="n">
        <v>0.44</v>
      </c>
      <c r="H233" s="6">
        <f>(E233-F233)*C233*100</f>
        <v/>
      </c>
      <c r="I233" s="6">
        <f>(G233-F233)*C233*100</f>
        <v/>
      </c>
    </row>
    <row r="235">
      <c r="A235" s="7" t="inlineStr">
        <is>
          <t>TOTAL</t>
        </is>
      </c>
      <c r="H235" s="6">
        <f>SUM(H146:H233)</f>
        <v/>
      </c>
      <c r="I235" s="6">
        <f>SUM(I146:I233)</f>
        <v/>
      </c>
    </row>
    <row r="238">
      <c r="A238" s="5" t="inlineStr">
        <is>
          <t>FLEX OPTION GAIN/LOSS DETAIL</t>
        </is>
      </c>
    </row>
    <row r="240">
      <c r="A240" s="10" t="inlineStr">
        <is>
          <t>Ticker</t>
        </is>
      </c>
      <c r="B240" s="10" t="inlineStr">
        <is>
          <t>Qty T-1</t>
        </is>
      </c>
      <c r="C240" s="10" t="inlineStr">
        <is>
          <t>Qty T</t>
        </is>
      </c>
      <c r="D240" s="10" t="inlineStr">
        <is>
          <t>Price T-1
(Vest)</t>
        </is>
      </c>
      <c r="E240" s="10" t="inlineStr">
        <is>
          <t>Price T
(Raw)</t>
        </is>
      </c>
      <c r="F240" s="10" t="inlineStr">
        <is>
          <t>Price T-1
(Cust)</t>
        </is>
      </c>
      <c r="G240" s="10" t="inlineStr">
        <is>
          <t>Price T
(Adj)</t>
        </is>
      </c>
      <c r="H240" s="10" t="inlineStr">
        <is>
          <t>G/L</t>
        </is>
      </c>
      <c r="I240" s="10" t="inlineStr">
        <is>
          <t>G/L Adj</t>
        </is>
      </c>
    </row>
    <row r="241">
      <c r="A241" t="inlineStr">
        <is>
          <t>SPX US 07/26/27 C5000</t>
        </is>
      </c>
      <c r="B241" s="8" t="n">
        <v>-36</v>
      </c>
      <c r="C241" s="8" t="n">
        <v>-36</v>
      </c>
      <c r="D241" s="6" t="n">
        <v>2181.9722</v>
      </c>
      <c r="E241" s="6" t="n">
        <v>2126.4503</v>
      </c>
      <c r="F241" s="6" t="n">
        <v>2181.9722</v>
      </c>
      <c r="G241" s="6" t="n">
        <v>2126.4503</v>
      </c>
      <c r="H241" s="6">
        <f>(E241-F241)*C241*100</f>
        <v/>
      </c>
      <c r="I241" s="6">
        <f>(G241-F241)*C241*100</f>
        <v/>
      </c>
    </row>
    <row r="243">
      <c r="A243" s="7" t="inlineStr">
        <is>
          <t>TOTAL</t>
        </is>
      </c>
      <c r="H243" s="6">
        <f>SUM(H241:H241)</f>
        <v/>
      </c>
      <c r="I243" s="6">
        <f>SUM(I241:I241)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TDVI - NAV Reconciliation - 2025-11-06</t>
        </is>
      </c>
    </row>
    <row r="3">
      <c r="A3" s="5" t="inlineStr">
        <is>
          <t>NAV CALCULATION SUMMARY</t>
        </is>
      </c>
    </row>
    <row r="5">
      <c r="A5" t="inlineStr">
        <is>
          <t>Beginning TNA (T-1)</t>
        </is>
      </c>
      <c r="C5" s="6" t="n">
        <v>199428903</v>
      </c>
    </row>
    <row r="6">
      <c r="A6" t="inlineStr">
        <is>
          <t>Adjusted Beginning TNA</t>
        </is>
      </c>
      <c r="C6" s="6" t="n">
        <v>199428903</v>
      </c>
    </row>
    <row r="8">
      <c r="A8" s="7" t="inlineStr">
        <is>
          <t>Gain/Loss Components:</t>
        </is>
      </c>
    </row>
    <row r="9">
      <c r="A9" t="inlineStr">
        <is>
          <t xml:space="preserve">  Equity G/L</t>
        </is>
      </c>
      <c r="C9" s="6">
        <f>H136</f>
        <v/>
      </c>
    </row>
    <row r="10">
      <c r="A10" t="inlineStr">
        <is>
          <t xml:space="preserve">  Equity G/L (Adjusted)</t>
        </is>
      </c>
      <c r="C10" s="6">
        <f>I136</f>
        <v/>
      </c>
    </row>
    <row r="11">
      <c r="A11" t="inlineStr">
        <is>
          <t xml:space="preserve">  Option G/L</t>
        </is>
      </c>
      <c r="C11" s="6">
        <f>H144</f>
        <v/>
      </c>
    </row>
    <row r="12">
      <c r="A12" t="inlineStr">
        <is>
          <t xml:space="preserve">  Option G/L (Adjusted)</t>
        </is>
      </c>
      <c r="C12" s="6">
        <f>I144</f>
        <v/>
      </c>
    </row>
    <row r="14">
      <c r="A14" t="inlineStr">
        <is>
          <t>Expenses</t>
        </is>
      </c>
      <c r="C14" s="6" t="n">
        <v>-4035.533853493151</v>
      </c>
    </row>
    <row r="16">
      <c r="A16" s="7" t="inlineStr">
        <is>
          <t>Expected TNA</t>
        </is>
      </c>
      <c r="C16" s="6">
        <f>C6+I136+I144+C14</f>
        <v/>
      </c>
    </row>
    <row r="17">
      <c r="A17" s="7" t="inlineStr">
        <is>
          <t>Custodian TNA</t>
        </is>
      </c>
      <c r="C17" s="6" t="n">
        <v>196395980.87</v>
      </c>
    </row>
    <row r="18">
      <c r="A18" t="inlineStr">
        <is>
          <t>TNA Difference</t>
        </is>
      </c>
      <c r="C18" s="6">
        <f>C17-C16</f>
        <v/>
      </c>
    </row>
    <row r="20">
      <c r="A20" t="inlineStr">
        <is>
          <t>Shares Outstanding</t>
        </is>
      </c>
      <c r="C20" s="8" t="n">
        <v>6950002</v>
      </c>
    </row>
    <row r="22">
      <c r="A22" s="7" t="inlineStr">
        <is>
          <t>Expected NAV</t>
        </is>
      </c>
      <c r="C22" s="9">
        <f>IF(C20&lt;&gt;0,C16/C20,0)</f>
        <v/>
      </c>
    </row>
    <row r="23">
      <c r="A23" s="7" t="inlineStr">
        <is>
          <t>Custodian NAV</t>
        </is>
      </c>
      <c r="C23" s="9" t="n">
        <v>28.26</v>
      </c>
    </row>
    <row r="24">
      <c r="A24" t="inlineStr">
        <is>
          <t>NAV Difference</t>
        </is>
      </c>
      <c r="C24" s="9">
        <f>C23-C22</f>
        <v/>
      </c>
    </row>
    <row r="26">
      <c r="A26" t="inlineStr">
        <is>
          <t>NAV Good (2 decimal)</t>
        </is>
      </c>
      <c r="C26">
        <f>IF(ABS(ROUND(C24,2))&lt;=0.01,"PASS","FAIL")</f>
        <v/>
      </c>
    </row>
    <row r="27">
      <c r="A27" t="inlineStr">
        <is>
          <t>NAV Good (4 decimal)</t>
        </is>
      </c>
      <c r="C27">
        <f>IF(ABS(ROUND(C24,4))&lt;=0.0001,"PASS","FAIL")</f>
        <v/>
      </c>
    </row>
    <row r="39">
      <c r="A39" s="5" t="inlineStr">
        <is>
          <t>EQUITY GAIN/LOSS DETAIL</t>
        </is>
      </c>
    </row>
    <row r="41">
      <c r="A41" s="10" t="inlineStr">
        <is>
          <t>Ticker</t>
        </is>
      </c>
      <c r="B41" s="10" t="inlineStr">
        <is>
          <t>Qty T-1</t>
        </is>
      </c>
      <c r="C41" s="10" t="inlineStr">
        <is>
          <t>Qty T</t>
        </is>
      </c>
      <c r="D41" s="10" t="inlineStr">
        <is>
          <t>Price T-1
(Vest)</t>
        </is>
      </c>
      <c r="E41" s="10" t="inlineStr">
        <is>
          <t>Price T
(Raw)</t>
        </is>
      </c>
      <c r="F41" s="10" t="inlineStr">
        <is>
          <t>Price T-1
(Cust)</t>
        </is>
      </c>
      <c r="G41" s="10" t="inlineStr">
        <is>
          <t>Price T
(Adj)</t>
        </is>
      </c>
      <c r="H41" s="10" t="inlineStr">
        <is>
          <t>G/L</t>
        </is>
      </c>
      <c r="I41" s="10" t="inlineStr">
        <is>
          <t>G/L Adj</t>
        </is>
      </c>
    </row>
    <row r="42">
      <c r="A42" t="inlineStr">
        <is>
          <t>ADEA</t>
        </is>
      </c>
      <c r="B42" s="8" t="n">
        <v>3945</v>
      </c>
      <c r="C42" s="8" t="n">
        <v>3945</v>
      </c>
      <c r="D42" s="6" t="n">
        <v>13.78</v>
      </c>
      <c r="E42" s="6" t="n">
        <v>14</v>
      </c>
      <c r="F42" s="6" t="n">
        <v>13.78</v>
      </c>
      <c r="G42" s="6" t="n">
        <v>14</v>
      </c>
      <c r="H42" s="6">
        <f>(E42-F42)*C42</f>
        <v/>
      </c>
      <c r="I42" s="6">
        <f>(G42-F42)*C42</f>
        <v/>
      </c>
    </row>
    <row r="43">
      <c r="A43" t="inlineStr">
        <is>
          <t>ADI</t>
        </is>
      </c>
      <c r="B43" s="8" t="n">
        <v>20290</v>
      </c>
      <c r="C43" s="8" t="n">
        <v>20290</v>
      </c>
      <c r="D43" s="6" t="n">
        <v>236</v>
      </c>
      <c r="E43" s="6" t="n">
        <v>232.88</v>
      </c>
      <c r="F43" s="6" t="n">
        <v>236</v>
      </c>
      <c r="G43" s="6" t="n">
        <v>232.88</v>
      </c>
      <c r="H43" s="6">
        <f>(E43-F43)*C43</f>
        <v/>
      </c>
      <c r="I43" s="6">
        <f>(G43-F43)*C43</f>
        <v/>
      </c>
    </row>
    <row r="44">
      <c r="A44" t="inlineStr">
        <is>
          <t>AMAT</t>
        </is>
      </c>
      <c r="B44" s="8" t="n">
        <v>22321</v>
      </c>
      <c r="C44" s="8" t="n">
        <v>22321</v>
      </c>
      <c r="D44" s="6" t="n">
        <v>240.794</v>
      </c>
      <c r="E44" s="6" t="n">
        <v>233.53</v>
      </c>
      <c r="F44" s="6" t="n">
        <v>240.794</v>
      </c>
      <c r="G44" s="6" t="n">
        <v>233.53</v>
      </c>
      <c r="H44" s="6">
        <f>(E44-F44)*C44</f>
        <v/>
      </c>
      <c r="I44" s="6">
        <f>(G44-F44)*C44</f>
        <v/>
      </c>
    </row>
    <row r="45">
      <c r="A45" t="inlineStr">
        <is>
          <t>AMKR</t>
        </is>
      </c>
      <c r="B45" s="8" t="n">
        <v>9059</v>
      </c>
      <c r="C45" s="8" t="n">
        <v>9059</v>
      </c>
      <c r="D45" s="6" t="n">
        <v>36.55</v>
      </c>
      <c r="E45" s="6" t="n">
        <v>35.15</v>
      </c>
      <c r="F45" s="6" t="n">
        <v>36.55</v>
      </c>
      <c r="G45" s="6" t="n">
        <v>35.15</v>
      </c>
      <c r="H45" s="6">
        <f>(E45-F45)*C45</f>
        <v/>
      </c>
      <c r="I45" s="6">
        <f>(G45-F45)*C45</f>
        <v/>
      </c>
    </row>
    <row r="46">
      <c r="A46" t="inlineStr">
        <is>
          <t>APH</t>
        </is>
      </c>
      <c r="B46" s="8" t="n">
        <v>20084</v>
      </c>
      <c r="C46" s="8" t="n">
        <v>20084</v>
      </c>
      <c r="D46" s="6" t="n">
        <v>138.87</v>
      </c>
      <c r="E46" s="6" t="n">
        <v>138.11</v>
      </c>
      <c r="F46" s="6" t="n">
        <v>138.87</v>
      </c>
      <c r="G46" s="6" t="n">
        <v>138.11</v>
      </c>
      <c r="H46" s="6">
        <f>(E46-F46)*C46</f>
        <v/>
      </c>
      <c r="I46" s="6">
        <f>(G46-F46)*C46</f>
        <v/>
      </c>
    </row>
    <row r="47">
      <c r="A47" t="inlineStr">
        <is>
          <t>ASX</t>
        </is>
      </c>
      <c r="B47" s="8" t="n">
        <v>15319</v>
      </c>
      <c r="C47" s="8" t="n">
        <v>15319</v>
      </c>
      <c r="D47" s="6" t="n">
        <v>15.83</v>
      </c>
      <c r="E47" s="6" t="n">
        <v>15.37</v>
      </c>
      <c r="F47" s="6" t="n">
        <v>15.83</v>
      </c>
      <c r="G47" s="6" t="n">
        <v>15.37</v>
      </c>
      <c r="H47" s="6">
        <f>(E47-F47)*C47</f>
        <v/>
      </c>
      <c r="I47" s="6">
        <f>(G47-F47)*C47</f>
        <v/>
      </c>
    </row>
    <row r="48">
      <c r="A48" t="inlineStr">
        <is>
          <t>ATEN</t>
        </is>
      </c>
      <c r="B48" s="8" t="n">
        <v>2653</v>
      </c>
      <c r="C48" s="8" t="n">
        <v>2653</v>
      </c>
      <c r="D48" s="6" t="n">
        <v>18.13</v>
      </c>
      <c r="E48" s="6" t="n">
        <v>17.79</v>
      </c>
      <c r="F48" s="6" t="n">
        <v>18.13</v>
      </c>
      <c r="G48" s="6" t="n">
        <v>17.79</v>
      </c>
      <c r="H48" s="6">
        <f>(E48-F48)*C48</f>
        <v/>
      </c>
      <c r="I48" s="6">
        <f>(G48-F48)*C48</f>
        <v/>
      </c>
    </row>
    <row r="49">
      <c r="A49" t="inlineStr">
        <is>
          <t>AVGO</t>
        </is>
      </c>
      <c r="B49" s="8" t="n">
        <v>50041</v>
      </c>
      <c r="C49" s="8" t="n">
        <v>50041</v>
      </c>
      <c r="D49" s="6" t="n">
        <v>358.98</v>
      </c>
      <c r="E49" s="6" t="n">
        <v>355.59</v>
      </c>
      <c r="F49" s="6" t="n">
        <v>358.98</v>
      </c>
      <c r="G49" s="6" t="n">
        <v>355.59</v>
      </c>
      <c r="H49" s="6">
        <f>(E49-F49)*C49</f>
        <v/>
      </c>
      <c r="I49" s="6">
        <f>(G49-F49)*C49</f>
        <v/>
      </c>
    </row>
    <row r="50">
      <c r="A50" t="inlineStr">
        <is>
          <t>AVT</t>
        </is>
      </c>
      <c r="B50" s="8" t="n">
        <v>5477</v>
      </c>
      <c r="C50" s="8" t="n">
        <v>5477</v>
      </c>
      <c r="D50" s="6" t="n">
        <v>48</v>
      </c>
      <c r="E50" s="6" t="n">
        <v>47.17</v>
      </c>
      <c r="F50" s="6" t="n">
        <v>48</v>
      </c>
      <c r="G50" s="6" t="n">
        <v>47.17</v>
      </c>
      <c r="H50" s="6">
        <f>(E50-F50)*C50</f>
        <v/>
      </c>
      <c r="I50" s="6">
        <f>(G50-F50)*C50</f>
        <v/>
      </c>
    </row>
    <row r="51">
      <c r="A51" t="inlineStr">
        <is>
          <t>BHE</t>
        </is>
      </c>
      <c r="B51" s="8" t="n">
        <v>1633</v>
      </c>
      <c r="C51" s="8" t="n">
        <v>1633</v>
      </c>
      <c r="D51" s="6" t="n">
        <v>46.7</v>
      </c>
      <c r="E51" s="6" t="n">
        <v>45.37</v>
      </c>
      <c r="F51" s="6" t="n">
        <v>46.7</v>
      </c>
      <c r="G51" s="6" t="n">
        <v>45.37</v>
      </c>
      <c r="H51" s="6">
        <f>(E51-F51)*C51</f>
        <v/>
      </c>
      <c r="I51" s="6">
        <f>(G51-F51)*C51</f>
        <v/>
      </c>
    </row>
    <row r="52">
      <c r="A52" t="inlineStr">
        <is>
          <t>CCOI</t>
        </is>
      </c>
      <c r="B52" s="8" t="n">
        <v>30298</v>
      </c>
      <c r="C52" s="8" t="n">
        <v>30298</v>
      </c>
      <c r="D52" s="6" t="n">
        <v>38.3</v>
      </c>
      <c r="E52" s="6" t="n">
        <v>24.95</v>
      </c>
      <c r="F52" s="6" t="n">
        <v>38.3</v>
      </c>
      <c r="G52" s="6" t="n">
        <v>24.95</v>
      </c>
      <c r="H52" s="6">
        <f>(E52-F52)*C52</f>
        <v/>
      </c>
      <c r="I52" s="6">
        <f>(G52-F52)*C52</f>
        <v/>
      </c>
    </row>
    <row r="53">
      <c r="A53" t="inlineStr">
        <is>
          <t>CDW</t>
        </is>
      </c>
      <c r="B53" s="8" t="n">
        <v>5386</v>
      </c>
      <c r="C53" s="8" t="n">
        <v>5386</v>
      </c>
      <c r="D53" s="6" t="n">
        <v>146.32</v>
      </c>
      <c r="E53" s="6" t="n">
        <v>141.56</v>
      </c>
      <c r="F53" s="6" t="n">
        <v>146.32</v>
      </c>
      <c r="G53" s="6" t="n">
        <v>141.56</v>
      </c>
      <c r="H53" s="6">
        <f>(E53-F53)*C53</f>
        <v/>
      </c>
      <c r="I53" s="6">
        <f>(G53-F53)*C53</f>
        <v/>
      </c>
    </row>
    <row r="54">
      <c r="A54" t="inlineStr">
        <is>
          <t>CHT</t>
        </is>
      </c>
      <c r="B54" s="8" t="n">
        <v>4136</v>
      </c>
      <c r="C54" s="8" t="n">
        <v>4136</v>
      </c>
      <c r="D54" s="6" t="n">
        <v>42.22</v>
      </c>
      <c r="E54" s="6" t="n">
        <v>41.89</v>
      </c>
      <c r="F54" s="6" t="n">
        <v>42.22</v>
      </c>
      <c r="G54" s="6" t="n">
        <v>41.89</v>
      </c>
      <c r="H54" s="6">
        <f>(E54-F54)*C54</f>
        <v/>
      </c>
      <c r="I54" s="6">
        <f>(G54-F54)*C54</f>
        <v/>
      </c>
    </row>
    <row r="55">
      <c r="A55" t="inlineStr">
        <is>
          <t>CLMB</t>
        </is>
      </c>
      <c r="B55" s="8" t="n">
        <v>68</v>
      </c>
      <c r="C55" s="8" t="n">
        <v>68</v>
      </c>
      <c r="D55" s="6" t="n">
        <v>112.84</v>
      </c>
      <c r="E55" s="6" t="n">
        <v>109.61</v>
      </c>
      <c r="F55" s="6" t="n">
        <v>112.84</v>
      </c>
      <c r="G55" s="6" t="n">
        <v>109.61</v>
      </c>
      <c r="H55" s="6">
        <f>(E55-F55)*C55</f>
        <v/>
      </c>
      <c r="I55" s="6">
        <f>(G55-F55)*C55</f>
        <v/>
      </c>
    </row>
    <row r="56">
      <c r="A56" t="inlineStr">
        <is>
          <t>CMCSA</t>
        </is>
      </c>
      <c r="B56" s="8" t="n">
        <v>109521</v>
      </c>
      <c r="C56" s="8" t="n">
        <v>109521</v>
      </c>
      <c r="D56" s="6" t="n">
        <v>27.94</v>
      </c>
      <c r="E56" s="6" t="n">
        <v>27.31</v>
      </c>
      <c r="F56" s="6" t="n">
        <v>27.94</v>
      </c>
      <c r="G56" s="6" t="n">
        <v>27.31</v>
      </c>
      <c r="H56" s="6">
        <f>(E56-F56)*C56</f>
        <v/>
      </c>
      <c r="I56" s="6">
        <f>(G56-F56)*C56</f>
        <v/>
      </c>
    </row>
    <row r="57">
      <c r="A57" t="inlineStr">
        <is>
          <t>CNXC</t>
        </is>
      </c>
      <c r="B57" s="8" t="n">
        <v>4314</v>
      </c>
      <c r="C57" s="8" t="n">
        <v>4314</v>
      </c>
      <c r="D57" s="6" t="n">
        <v>38.2</v>
      </c>
      <c r="E57" s="6" t="n">
        <v>36.63</v>
      </c>
      <c r="F57" s="6" t="n">
        <v>38.2</v>
      </c>
      <c r="G57" s="6" t="n">
        <v>36.63</v>
      </c>
      <c r="H57" s="6">
        <f>(E57-F57)*C57</f>
        <v/>
      </c>
      <c r="I57" s="6">
        <f>(G57-F57)*C57</f>
        <v/>
      </c>
    </row>
    <row r="58">
      <c r="A58" t="inlineStr">
        <is>
          <t>CNXN</t>
        </is>
      </c>
      <c r="B58" s="8" t="n">
        <v>537</v>
      </c>
      <c r="C58" s="8" t="n">
        <v>537</v>
      </c>
      <c r="D58" s="6" t="n">
        <v>58.61</v>
      </c>
      <c r="E58" s="6" t="n">
        <v>57.68</v>
      </c>
      <c r="F58" s="6" t="n">
        <v>58.61</v>
      </c>
      <c r="G58" s="6" t="n">
        <v>57.68</v>
      </c>
      <c r="H58" s="6">
        <f>(E58-F58)*C58</f>
        <v/>
      </c>
      <c r="I58" s="6">
        <f>(G58-F58)*C58</f>
        <v/>
      </c>
    </row>
    <row r="59">
      <c r="A59" t="inlineStr">
        <is>
          <t>CRM</t>
        </is>
      </c>
      <c r="B59" s="8" t="n">
        <v>16520</v>
      </c>
      <c r="C59" s="8" t="n">
        <v>16520</v>
      </c>
      <c r="D59" s="6" t="n">
        <v>252.68</v>
      </c>
      <c r="E59" s="6" t="n">
        <v>239.27</v>
      </c>
      <c r="F59" s="6" t="n">
        <v>252.68</v>
      </c>
      <c r="G59" s="6" t="n">
        <v>239.27</v>
      </c>
      <c r="H59" s="6">
        <f>(E59-F59)*C59</f>
        <v/>
      </c>
      <c r="I59" s="6">
        <f>(G59-F59)*C59</f>
        <v/>
      </c>
    </row>
    <row r="60">
      <c r="A60" t="inlineStr">
        <is>
          <t>CSCO</t>
        </is>
      </c>
      <c r="B60" s="8" t="n">
        <v>53848</v>
      </c>
      <c r="C60" s="8" t="n">
        <v>53848</v>
      </c>
      <c r="D60" s="6" t="n">
        <v>72.09999999999999</v>
      </c>
      <c r="E60" s="6" t="n">
        <v>71.04000000000001</v>
      </c>
      <c r="F60" s="6" t="n">
        <v>72.09999999999999</v>
      </c>
      <c r="G60" s="6" t="n">
        <v>71.04000000000001</v>
      </c>
      <c r="H60" s="6">
        <f>(E60-F60)*C60</f>
        <v/>
      </c>
      <c r="I60" s="6">
        <f>(G60-F60)*C60</f>
        <v/>
      </c>
    </row>
    <row r="61">
      <c r="A61" t="inlineStr">
        <is>
          <t>CSGS</t>
        </is>
      </c>
      <c r="B61" s="8" t="n">
        <v>1509</v>
      </c>
      <c r="C61" s="8" t="n">
        <v>1509</v>
      </c>
      <c r="D61" s="6" t="n">
        <v>78.3</v>
      </c>
      <c r="E61" s="6" t="n">
        <v>78.15000000000001</v>
      </c>
      <c r="F61" s="6" t="n">
        <v>78.3</v>
      </c>
      <c r="G61" s="6" t="n">
        <v>78.15000000000001</v>
      </c>
      <c r="H61" s="6">
        <f>(E61-F61)*C61</f>
        <v/>
      </c>
      <c r="I61" s="6">
        <f>(G61-F61)*C61</f>
        <v/>
      </c>
    </row>
    <row r="62">
      <c r="A62" t="inlineStr">
        <is>
          <t>CTSH</t>
        </is>
      </c>
      <c r="B62" s="8" t="n">
        <v>22377</v>
      </c>
      <c r="C62" s="8" t="n">
        <v>22377</v>
      </c>
      <c r="D62" s="6" t="n">
        <v>74.66</v>
      </c>
      <c r="E62" s="6" t="n">
        <v>72.83</v>
      </c>
      <c r="F62" s="6" t="n">
        <v>74.66</v>
      </c>
      <c r="G62" s="6" t="n">
        <v>72.83</v>
      </c>
      <c r="H62" s="6">
        <f>(E62-F62)*C62</f>
        <v/>
      </c>
      <c r="I62" s="6">
        <f>(G62-F62)*C62</f>
        <v/>
      </c>
    </row>
    <row r="63">
      <c r="A63" t="inlineStr">
        <is>
          <t>DELL</t>
        </is>
      </c>
      <c r="B63" s="8" t="n">
        <v>14639</v>
      </c>
      <c r="C63" s="8" t="n">
        <v>14639</v>
      </c>
      <c r="D63" s="6" t="n">
        <v>152.41</v>
      </c>
      <c r="E63" s="6" t="n">
        <v>149.18</v>
      </c>
      <c r="F63" s="6" t="n">
        <v>152.41</v>
      </c>
      <c r="G63" s="6" t="n">
        <v>149.18</v>
      </c>
      <c r="H63" s="6">
        <f>(E63-F63)*C63</f>
        <v/>
      </c>
      <c r="I63" s="6">
        <f>(G63-F63)*C63</f>
        <v/>
      </c>
    </row>
    <row r="64">
      <c r="A64" t="inlineStr">
        <is>
          <t>DLB</t>
        </is>
      </c>
      <c r="B64" s="8" t="n">
        <v>2987</v>
      </c>
      <c r="C64" s="8" t="n">
        <v>2987</v>
      </c>
      <c r="D64" s="6" t="n">
        <v>65.42</v>
      </c>
      <c r="E64" s="6" t="n">
        <v>65.01000000000001</v>
      </c>
      <c r="F64" s="6" t="n">
        <v>65.42</v>
      </c>
      <c r="G64" s="6" t="n">
        <v>65.01000000000001</v>
      </c>
      <c r="H64" s="6">
        <f>(E64-F64)*C64</f>
        <v/>
      </c>
      <c r="I64" s="6">
        <f>(G64-F64)*C64</f>
        <v/>
      </c>
    </row>
    <row r="65">
      <c r="A65" t="inlineStr">
        <is>
          <t>DOX</t>
        </is>
      </c>
      <c r="B65" s="8" t="n">
        <v>7016</v>
      </c>
      <c r="C65" s="8" t="n">
        <v>7016</v>
      </c>
      <c r="D65" s="6" t="n">
        <v>83.97</v>
      </c>
      <c r="E65" s="6" t="n">
        <v>83.66</v>
      </c>
      <c r="F65" s="6" t="n">
        <v>83.97</v>
      </c>
      <c r="G65" s="6" t="n">
        <v>83.66</v>
      </c>
      <c r="H65" s="6">
        <f>(E65-F65)*C65</f>
        <v/>
      </c>
      <c r="I65" s="6">
        <f>(G65-F65)*C65</f>
        <v/>
      </c>
    </row>
    <row r="66">
      <c r="A66" t="inlineStr">
        <is>
          <t>ENTG</t>
        </is>
      </c>
      <c r="B66" s="8" t="n">
        <v>2457</v>
      </c>
      <c r="C66" s="8" t="n">
        <v>2457</v>
      </c>
      <c r="D66" s="6" t="n">
        <v>88.5</v>
      </c>
      <c r="E66" s="6" t="n">
        <v>85.7</v>
      </c>
      <c r="F66" s="6" t="n">
        <v>88.5</v>
      </c>
      <c r="G66" s="6" t="n">
        <v>85.7</v>
      </c>
      <c r="H66" s="6">
        <f>(E66-F66)*C66</f>
        <v/>
      </c>
      <c r="I66" s="6">
        <f>(G66-F66)*C66</f>
        <v/>
      </c>
    </row>
    <row r="67">
      <c r="A67" t="inlineStr">
        <is>
          <t>ERIC</t>
        </is>
      </c>
      <c r="B67" s="8" t="n">
        <v>61422</v>
      </c>
      <c r="C67" s="8" t="n">
        <v>61422</v>
      </c>
      <c r="D67" s="6" t="n">
        <v>9.752000000000001</v>
      </c>
      <c r="E67" s="6" t="n">
        <v>9.74</v>
      </c>
      <c r="F67" s="6" t="n">
        <v>9.752000000000001</v>
      </c>
      <c r="G67" s="6" t="n">
        <v>9.74</v>
      </c>
      <c r="H67" s="6">
        <f>(E67-F67)*C67</f>
        <v/>
      </c>
      <c r="I67" s="6">
        <f>(G67-F67)*C67</f>
        <v/>
      </c>
    </row>
    <row r="68">
      <c r="A68" t="inlineStr">
        <is>
          <t>GEN</t>
        </is>
      </c>
      <c r="B68" s="8" t="n">
        <v>27666</v>
      </c>
      <c r="C68" s="8" t="n">
        <v>27666</v>
      </c>
      <c r="D68" s="6" t="n">
        <v>25.84</v>
      </c>
      <c r="E68" s="6" t="n">
        <v>25.45</v>
      </c>
      <c r="F68" s="6" t="n">
        <v>25.84</v>
      </c>
      <c r="G68" s="6" t="n">
        <v>25.45</v>
      </c>
      <c r="H68" s="6">
        <f>(E68-F68)*C68</f>
        <v/>
      </c>
      <c r="I68" s="6">
        <f>(G68-F68)*C68</f>
        <v/>
      </c>
    </row>
    <row r="69">
      <c r="A69" t="inlineStr">
        <is>
          <t>GLW</t>
        </is>
      </c>
      <c r="B69" s="8" t="n">
        <v>38835</v>
      </c>
      <c r="C69" s="8" t="n">
        <v>38835</v>
      </c>
      <c r="D69" s="6" t="n">
        <v>87.09999999999999</v>
      </c>
      <c r="E69" s="6" t="n">
        <v>87.86</v>
      </c>
      <c r="F69" s="6" t="n">
        <v>87.09999999999999</v>
      </c>
      <c r="G69" s="6" t="n">
        <v>87.86</v>
      </c>
      <c r="H69" s="6">
        <f>(E69-F69)*C69</f>
        <v/>
      </c>
      <c r="I69" s="6">
        <f>(G69-F69)*C69</f>
        <v/>
      </c>
    </row>
    <row r="70">
      <c r="A70" t="inlineStr">
        <is>
          <t>HCKT</t>
        </is>
      </c>
      <c r="B70" s="8" t="n">
        <v>1649</v>
      </c>
      <c r="C70" s="8" t="n">
        <v>1649</v>
      </c>
      <c r="D70" s="6" t="n">
        <v>18.94</v>
      </c>
      <c r="E70" s="6" t="n">
        <v>18.77</v>
      </c>
      <c r="F70" s="6" t="n">
        <v>18.94</v>
      </c>
      <c r="G70" s="6" t="n">
        <v>18.77</v>
      </c>
      <c r="H70" s="6">
        <f>(E70-F70)*C70</f>
        <v/>
      </c>
      <c r="I70" s="6">
        <f>(G70-F70)*C70</f>
        <v/>
      </c>
    </row>
    <row r="71">
      <c r="A71" t="inlineStr">
        <is>
          <t>HIMX</t>
        </is>
      </c>
      <c r="B71" s="8" t="n">
        <v>12812</v>
      </c>
      <c r="C71" s="8" t="n">
        <v>12812</v>
      </c>
      <c r="D71" s="6" t="n">
        <v>9.08</v>
      </c>
      <c r="E71" s="6" t="n">
        <v>7.905</v>
      </c>
      <c r="F71" s="6" t="n">
        <v>9.08</v>
      </c>
      <c r="G71" s="6" t="n">
        <v>7.905</v>
      </c>
      <c r="H71" s="6">
        <f>(E71-F71)*C71</f>
        <v/>
      </c>
      <c r="I71" s="6">
        <f>(G71-F71)*C71</f>
        <v/>
      </c>
    </row>
    <row r="72">
      <c r="A72" t="inlineStr">
        <is>
          <t>HPE</t>
        </is>
      </c>
      <c r="B72" s="8" t="n">
        <v>82030</v>
      </c>
      <c r="C72" s="8" t="n">
        <v>82030</v>
      </c>
      <c r="D72" s="6" t="n">
        <v>23.71</v>
      </c>
      <c r="E72" s="6" t="n">
        <v>23.4</v>
      </c>
      <c r="F72" s="6" t="n">
        <v>23.71</v>
      </c>
      <c r="G72" s="6" t="n">
        <v>23.4</v>
      </c>
      <c r="H72" s="6">
        <f>(E72-F72)*C72</f>
        <v/>
      </c>
      <c r="I72" s="6">
        <f>(G72-F72)*C72</f>
        <v/>
      </c>
    </row>
    <row r="73">
      <c r="A73" t="inlineStr">
        <is>
          <t>HPQ</t>
        </is>
      </c>
      <c r="B73" s="8" t="n">
        <v>101640</v>
      </c>
      <c r="C73" s="8" t="n">
        <v>101640</v>
      </c>
      <c r="D73" s="6" t="n">
        <v>26.64</v>
      </c>
      <c r="E73" s="6" t="n">
        <v>26.17</v>
      </c>
      <c r="F73" s="6" t="n">
        <v>26.64</v>
      </c>
      <c r="G73" s="6" t="n">
        <v>26.17</v>
      </c>
      <c r="H73" s="6">
        <f>(E73-F73)*C73</f>
        <v/>
      </c>
      <c r="I73" s="6">
        <f>(G73-F73)*C73</f>
        <v/>
      </c>
    </row>
    <row r="74">
      <c r="A74" t="inlineStr">
        <is>
          <t>IBM</t>
        </is>
      </c>
      <c r="B74" s="8" t="n">
        <v>61119</v>
      </c>
      <c r="C74" s="8" t="n">
        <v>61119</v>
      </c>
      <c r="D74" s="6" t="n">
        <v>306.77</v>
      </c>
      <c r="E74" s="6" t="n">
        <v>312.42</v>
      </c>
      <c r="F74" s="6" t="n">
        <v>306.77</v>
      </c>
      <c r="G74" s="6" t="n">
        <v>312.42</v>
      </c>
      <c r="H74" s="6">
        <f>(E74-F74)*C74</f>
        <v/>
      </c>
      <c r="I74" s="6">
        <f>(G74-F74)*C74</f>
        <v/>
      </c>
    </row>
    <row r="75">
      <c r="A75" t="inlineStr">
        <is>
          <t>IDCC</t>
        </is>
      </c>
      <c r="B75" s="8" t="n">
        <v>1175</v>
      </c>
      <c r="C75" s="8" t="n">
        <v>1175</v>
      </c>
      <c r="D75" s="6" t="n">
        <v>385.82</v>
      </c>
      <c r="E75" s="6" t="n">
        <v>380.77</v>
      </c>
      <c r="F75" s="6" t="n">
        <v>385.82</v>
      </c>
      <c r="G75" s="6" t="n">
        <v>380.77</v>
      </c>
      <c r="H75" s="6">
        <f>(E75-F75)*C75</f>
        <v/>
      </c>
      <c r="I75" s="6">
        <f>(G75-F75)*C75</f>
        <v/>
      </c>
    </row>
    <row r="76">
      <c r="A76" t="inlineStr">
        <is>
          <t>INGM</t>
        </is>
      </c>
      <c r="B76" s="8" t="n">
        <v>4884</v>
      </c>
      <c r="C76" s="8" t="n">
        <v>4884</v>
      </c>
      <c r="D76" s="6" t="n">
        <v>22.17</v>
      </c>
      <c r="E76" s="6" t="n">
        <v>22.13</v>
      </c>
      <c r="F76" s="6" t="n">
        <v>22.17</v>
      </c>
      <c r="G76" s="6" t="n">
        <v>22.13</v>
      </c>
      <c r="H76" s="6">
        <f>(E76-F76)*C76</f>
        <v/>
      </c>
      <c r="I76" s="6">
        <f>(G76-F76)*C76</f>
        <v/>
      </c>
    </row>
    <row r="77">
      <c r="A77" t="inlineStr">
        <is>
          <t>INTU</t>
        </is>
      </c>
      <c r="B77" s="8" t="n">
        <v>4721</v>
      </c>
      <c r="C77" s="8" t="n">
        <v>4721</v>
      </c>
      <c r="D77" s="6" t="n">
        <v>655.33</v>
      </c>
      <c r="E77" s="6" t="n">
        <v>653.64</v>
      </c>
      <c r="F77" s="6" t="n">
        <v>655.33</v>
      </c>
      <c r="G77" s="6" t="n">
        <v>653.64</v>
      </c>
      <c r="H77" s="6">
        <f>(E77-F77)*C77</f>
        <v/>
      </c>
      <c r="I77" s="6">
        <f>(G77-F77)*C77</f>
        <v/>
      </c>
    </row>
    <row r="78">
      <c r="A78" t="inlineStr">
        <is>
          <t>IRDM</t>
        </is>
      </c>
      <c r="B78" s="8" t="n">
        <v>14074</v>
      </c>
      <c r="C78" s="8" t="n">
        <v>14074</v>
      </c>
      <c r="D78" s="6" t="n">
        <v>17.97</v>
      </c>
      <c r="E78" s="6" t="n">
        <v>16.9</v>
      </c>
      <c r="F78" s="6" t="n">
        <v>17.97</v>
      </c>
      <c r="G78" s="6" t="n">
        <v>16.9</v>
      </c>
      <c r="H78" s="6">
        <f>(E78-F78)*C78</f>
        <v/>
      </c>
      <c r="I78" s="6">
        <f>(G78-F78)*C78</f>
        <v/>
      </c>
    </row>
    <row r="79">
      <c r="A79" t="inlineStr">
        <is>
          <t>ITRN</t>
        </is>
      </c>
      <c r="B79" s="8" t="n">
        <v>6192</v>
      </c>
      <c r="C79" s="8" t="n">
        <v>6192</v>
      </c>
      <c r="D79" s="6" t="n">
        <v>39</v>
      </c>
      <c r="E79" s="6" t="n">
        <v>38.6</v>
      </c>
      <c r="F79" s="6" t="n">
        <v>39</v>
      </c>
      <c r="G79" s="6" t="n">
        <v>38.6</v>
      </c>
      <c r="H79" s="6">
        <f>(E79-F79)*C79</f>
        <v/>
      </c>
      <c r="I79" s="6">
        <f>(G79-F79)*C79</f>
        <v/>
      </c>
    </row>
    <row r="80">
      <c r="A80" t="inlineStr">
        <is>
          <t>JOYY</t>
        </is>
      </c>
      <c r="B80" s="8" t="n">
        <v>5460</v>
      </c>
      <c r="C80" s="8" t="n">
        <v>5460</v>
      </c>
      <c r="D80" s="6" t="n">
        <v>59.62</v>
      </c>
      <c r="E80" s="6" t="n">
        <v>59.3</v>
      </c>
      <c r="F80" s="6" t="n">
        <v>59.62</v>
      </c>
      <c r="G80" s="6" t="n">
        <v>59.3</v>
      </c>
      <c r="H80" s="6">
        <f>(E80-F80)*C80</f>
        <v/>
      </c>
      <c r="I80" s="6">
        <f>(G80-F80)*C80</f>
        <v/>
      </c>
    </row>
    <row r="81">
      <c r="A81" t="inlineStr">
        <is>
          <t>KARO</t>
        </is>
      </c>
      <c r="B81" s="8" t="n">
        <v>1719</v>
      </c>
      <c r="C81" s="8" t="n">
        <v>1719</v>
      </c>
      <c r="D81" s="6" t="n">
        <v>43.83</v>
      </c>
      <c r="E81" s="6" t="n">
        <v>44</v>
      </c>
      <c r="F81" s="6" t="n">
        <v>43.83</v>
      </c>
      <c r="G81" s="6" t="n">
        <v>44</v>
      </c>
      <c r="H81" s="6">
        <f>(E81-F81)*C81</f>
        <v/>
      </c>
      <c r="I81" s="6">
        <f>(G81-F81)*C81</f>
        <v/>
      </c>
    </row>
    <row r="82">
      <c r="A82" t="inlineStr">
        <is>
          <t>KBR</t>
        </is>
      </c>
      <c r="B82" s="8" t="n">
        <v>4364</v>
      </c>
      <c r="C82" s="8" t="n">
        <v>4364</v>
      </c>
      <c r="D82" s="6" t="n">
        <v>42.77</v>
      </c>
      <c r="E82" s="6" t="n">
        <v>41.68</v>
      </c>
      <c r="F82" s="6" t="n">
        <v>42.77</v>
      </c>
      <c r="G82" s="6" t="n">
        <v>41.68</v>
      </c>
      <c r="H82" s="6">
        <f>(E82-F82)*C82</f>
        <v/>
      </c>
      <c r="I82" s="6">
        <f>(G82-F82)*C82</f>
        <v/>
      </c>
    </row>
    <row r="83">
      <c r="A83" t="inlineStr">
        <is>
          <t>KLAC</t>
        </is>
      </c>
      <c r="B83" s="8" t="n">
        <v>2772</v>
      </c>
      <c r="C83" s="8" t="n">
        <v>2772</v>
      </c>
      <c r="D83" s="6" t="n">
        <v>1227.1</v>
      </c>
      <c r="E83" s="6" t="n">
        <v>1206.4</v>
      </c>
      <c r="F83" s="6" t="n">
        <v>1227.1</v>
      </c>
      <c r="G83" s="6" t="n">
        <v>1206.4</v>
      </c>
      <c r="H83" s="6">
        <f>(E83-F83)*C83</f>
        <v/>
      </c>
      <c r="I83" s="6">
        <f>(G83-F83)*C83</f>
        <v/>
      </c>
    </row>
    <row r="84">
      <c r="A84" t="inlineStr">
        <is>
          <t>KLIC</t>
        </is>
      </c>
      <c r="B84" s="8" t="n">
        <v>3075</v>
      </c>
      <c r="C84" s="8" t="n">
        <v>3075</v>
      </c>
      <c r="D84" s="6" t="n">
        <v>39.5</v>
      </c>
      <c r="E84" s="6" t="n">
        <v>38.42</v>
      </c>
      <c r="F84" s="6" t="n">
        <v>39.5</v>
      </c>
      <c r="G84" s="6" t="n">
        <v>38.42</v>
      </c>
      <c r="H84" s="6">
        <f>(E84-F84)*C84</f>
        <v/>
      </c>
      <c r="I84" s="6">
        <f>(G84-F84)*C84</f>
        <v/>
      </c>
    </row>
    <row r="85">
      <c r="A85" t="inlineStr">
        <is>
          <t>LDOS</t>
        </is>
      </c>
      <c r="B85" s="8" t="n">
        <v>3040</v>
      </c>
      <c r="C85" s="8" t="n">
        <v>3040</v>
      </c>
      <c r="D85" s="6" t="n">
        <v>195.07</v>
      </c>
      <c r="E85" s="6" t="n">
        <v>194.76</v>
      </c>
      <c r="F85" s="6" t="n">
        <v>195.07</v>
      </c>
      <c r="G85" s="6" t="n">
        <v>194.76</v>
      </c>
      <c r="H85" s="6">
        <f>(E85-F85)*C85</f>
        <v/>
      </c>
      <c r="I85" s="6">
        <f>(G85-F85)*C85</f>
        <v/>
      </c>
    </row>
    <row r="86">
      <c r="A86" t="inlineStr">
        <is>
          <t>LOGI</t>
        </is>
      </c>
      <c r="B86" s="8" t="n">
        <v>5293</v>
      </c>
      <c r="C86" s="8" t="n">
        <v>5293</v>
      </c>
      <c r="D86" s="6" t="n">
        <v>118.85</v>
      </c>
      <c r="E86" s="6" t="n">
        <v>119.47</v>
      </c>
      <c r="F86" s="6" t="n">
        <v>118.85</v>
      </c>
      <c r="G86" s="6" t="n">
        <v>119.47</v>
      </c>
      <c r="H86" s="6">
        <f>(E86-F86)*C86</f>
        <v/>
      </c>
      <c r="I86" s="6">
        <f>(G86-F86)*C86</f>
        <v/>
      </c>
    </row>
    <row r="87">
      <c r="A87" t="inlineStr">
        <is>
          <t>LRCX</t>
        </is>
      </c>
      <c r="B87" s="8" t="n">
        <v>31546</v>
      </c>
      <c r="C87" s="8" t="n">
        <v>31546</v>
      </c>
      <c r="D87" s="6" t="n">
        <v>165.05</v>
      </c>
      <c r="E87" s="6" t="n">
        <v>162.19</v>
      </c>
      <c r="F87" s="6" t="n">
        <v>165.05</v>
      </c>
      <c r="G87" s="6" t="n">
        <v>162.19</v>
      </c>
      <c r="H87" s="6">
        <f>(E87-F87)*C87</f>
        <v/>
      </c>
      <c r="I87" s="6">
        <f>(G87-F87)*C87</f>
        <v/>
      </c>
    </row>
    <row r="88">
      <c r="A88" t="inlineStr">
        <is>
          <t>MCHP</t>
        </is>
      </c>
      <c r="B88" s="8" t="n">
        <v>40979</v>
      </c>
      <c r="C88" s="8" t="n">
        <v>40979</v>
      </c>
      <c r="D88" s="6" t="n">
        <v>60.8</v>
      </c>
      <c r="E88" s="6" t="n">
        <v>59.35</v>
      </c>
      <c r="F88" s="6" t="n">
        <v>60.8</v>
      </c>
      <c r="G88" s="6" t="n">
        <v>59.35</v>
      </c>
      <c r="H88" s="6">
        <f>(E88-F88)*C88</f>
        <v/>
      </c>
      <c r="I88" s="6">
        <f>(G88-F88)*C88</f>
        <v/>
      </c>
    </row>
    <row r="89">
      <c r="A89" t="inlineStr">
        <is>
          <t>MGIC</t>
        </is>
      </c>
      <c r="B89" s="8" t="n">
        <v>3696</v>
      </c>
      <c r="C89" s="8" t="n">
        <v>3696</v>
      </c>
      <c r="D89" s="6" t="n">
        <v>21.32</v>
      </c>
      <c r="E89" s="6" t="n">
        <v>21.88</v>
      </c>
      <c r="F89" s="6" t="n">
        <v>21.32</v>
      </c>
      <c r="G89" s="6" t="n">
        <v>21.88</v>
      </c>
      <c r="H89" s="6">
        <f>(E89-F89)*C89</f>
        <v/>
      </c>
      <c r="I89" s="6">
        <f>(G89-F89)*C89</f>
        <v/>
      </c>
    </row>
    <row r="90">
      <c r="A90" t="inlineStr">
        <is>
          <t>MPWR</t>
        </is>
      </c>
      <c r="B90" s="8" t="n">
        <v>873</v>
      </c>
      <c r="C90" s="8" t="n">
        <v>873</v>
      </c>
      <c r="D90" s="6" t="n">
        <v>1000.15</v>
      </c>
      <c r="E90" s="6" t="n">
        <v>958.0700000000001</v>
      </c>
      <c r="F90" s="6" t="n">
        <v>1000.15</v>
      </c>
      <c r="G90" s="6" t="n">
        <v>958.0700000000001</v>
      </c>
      <c r="H90" s="6">
        <f>(E90-F90)*C90</f>
        <v/>
      </c>
      <c r="I90" s="6">
        <f>(G90-F90)*C90</f>
        <v/>
      </c>
    </row>
    <row r="91">
      <c r="A91" t="inlineStr">
        <is>
          <t>MSFT</t>
        </is>
      </c>
      <c r="B91" s="8" t="n">
        <v>29370</v>
      </c>
      <c r="C91" s="8" t="n">
        <v>29370</v>
      </c>
      <c r="D91" s="6" t="n">
        <v>506.988</v>
      </c>
      <c r="E91" s="6" t="n">
        <v>497.1</v>
      </c>
      <c r="F91" s="6" t="n">
        <v>506.988</v>
      </c>
      <c r="G91" s="6" t="n">
        <v>497.1</v>
      </c>
      <c r="H91" s="6">
        <f>(E91-F91)*C91</f>
        <v/>
      </c>
      <c r="I91" s="6">
        <f>(G91-F91)*C91</f>
        <v/>
      </c>
    </row>
    <row r="92">
      <c r="A92" t="inlineStr">
        <is>
          <t>MSI</t>
        </is>
      </c>
      <c r="B92" s="8" t="n">
        <v>7875</v>
      </c>
      <c r="C92" s="8" t="n">
        <v>7875</v>
      </c>
      <c r="D92" s="6" t="n">
        <v>394.49</v>
      </c>
      <c r="E92" s="6" t="n">
        <v>389.1</v>
      </c>
      <c r="F92" s="6" t="n">
        <v>394.49</v>
      </c>
      <c r="G92" s="6" t="n">
        <v>389.1</v>
      </c>
      <c r="H92" s="6">
        <f>(E92-F92)*C92</f>
        <v/>
      </c>
      <c r="I92" s="6">
        <f>(G92-F92)*C92</f>
        <v/>
      </c>
    </row>
    <row r="93">
      <c r="A93" t="inlineStr">
        <is>
          <t>MTCH</t>
        </is>
      </c>
      <c r="B93" s="8" t="n">
        <v>9967</v>
      </c>
      <c r="C93" s="8" t="n">
        <v>9967</v>
      </c>
      <c r="D93" s="6" t="n">
        <v>33.19</v>
      </c>
      <c r="E93" s="6" t="n">
        <v>32.65</v>
      </c>
      <c r="F93" s="6" t="n">
        <v>33.19</v>
      </c>
      <c r="G93" s="6" t="n">
        <v>32.65</v>
      </c>
      <c r="H93" s="6">
        <f>(E93-F93)*C93</f>
        <v/>
      </c>
      <c r="I93" s="6">
        <f>(G93-F93)*C93</f>
        <v/>
      </c>
    </row>
    <row r="94">
      <c r="A94" t="inlineStr">
        <is>
          <t>NOK</t>
        </is>
      </c>
      <c r="B94" s="8" t="n">
        <v>165817</v>
      </c>
      <c r="C94" s="8" t="n">
        <v>165817</v>
      </c>
      <c r="D94" s="6" t="n">
        <v>6.85</v>
      </c>
      <c r="E94" s="6" t="n">
        <v>6.91</v>
      </c>
      <c r="F94" s="6" t="n">
        <v>6.85</v>
      </c>
      <c r="G94" s="6" t="n">
        <v>6.91</v>
      </c>
      <c r="H94" s="6">
        <f>(E94-F94)*C94</f>
        <v/>
      </c>
      <c r="I94" s="6">
        <f>(G94-F94)*C94</f>
        <v/>
      </c>
    </row>
    <row r="95">
      <c r="A95" t="inlineStr">
        <is>
          <t>NTAP</t>
        </is>
      </c>
      <c r="B95" s="8" t="n">
        <v>9989</v>
      </c>
      <c r="C95" s="8" t="n">
        <v>9989</v>
      </c>
      <c r="D95" s="6" t="n">
        <v>115.69</v>
      </c>
      <c r="E95" s="6" t="n">
        <v>113.77</v>
      </c>
      <c r="F95" s="6" t="n">
        <v>115.69</v>
      </c>
      <c r="G95" s="6" t="n">
        <v>113.77</v>
      </c>
      <c r="H95" s="6">
        <f>(E95-F95)*C95</f>
        <v/>
      </c>
      <c r="I95" s="6">
        <f>(G95-F95)*C95</f>
        <v/>
      </c>
    </row>
    <row r="96">
      <c r="A96" t="inlineStr">
        <is>
          <t>NXPI</t>
        </is>
      </c>
      <c r="B96" s="8" t="n">
        <v>11814</v>
      </c>
      <c r="C96" s="8" t="n">
        <v>11814</v>
      </c>
      <c r="D96" s="6" t="n">
        <v>210.44</v>
      </c>
      <c r="E96" s="6" t="n">
        <v>206.45</v>
      </c>
      <c r="F96" s="6" t="n">
        <v>210.44</v>
      </c>
      <c r="G96" s="6" t="n">
        <v>206.45</v>
      </c>
      <c r="H96" s="6">
        <f>(E96-F96)*C96</f>
        <v/>
      </c>
      <c r="I96" s="6">
        <f>(G96-F96)*C96</f>
        <v/>
      </c>
    </row>
    <row r="97">
      <c r="A97" t="inlineStr">
        <is>
          <t>OLED</t>
        </is>
      </c>
      <c r="B97" s="8" t="n">
        <v>1581</v>
      </c>
      <c r="C97" s="8" t="n">
        <v>1581</v>
      </c>
      <c r="D97" s="6" t="n">
        <v>146.75</v>
      </c>
      <c r="E97" s="6" t="n">
        <v>135.34</v>
      </c>
      <c r="F97" s="6" t="n">
        <v>146.75</v>
      </c>
      <c r="G97" s="6" t="n">
        <v>135.34</v>
      </c>
      <c r="H97" s="6">
        <f>(E97-F97)*C97</f>
        <v/>
      </c>
      <c r="I97" s="6">
        <f>(G97-F97)*C97</f>
        <v/>
      </c>
    </row>
    <row r="98">
      <c r="A98" t="inlineStr">
        <is>
          <t>OPRA</t>
        </is>
      </c>
      <c r="B98" s="8" t="n">
        <v>4864</v>
      </c>
      <c r="C98" s="8" t="n">
        <v>4864</v>
      </c>
      <c r="D98" s="6" t="n">
        <v>14.42</v>
      </c>
      <c r="E98" s="6" t="n">
        <v>13.73</v>
      </c>
      <c r="F98" s="6" t="n">
        <v>14.42</v>
      </c>
      <c r="G98" s="6" t="n">
        <v>13.73</v>
      </c>
      <c r="H98" s="6">
        <f>(E98-F98)*C98</f>
        <v/>
      </c>
      <c r="I98" s="6">
        <f>(G98-F98)*C98</f>
        <v/>
      </c>
    </row>
    <row r="99">
      <c r="A99" t="inlineStr">
        <is>
          <t>ORCL</t>
        </is>
      </c>
      <c r="B99" s="8" t="n">
        <v>58401</v>
      </c>
      <c r="C99" s="8" t="n">
        <v>58401</v>
      </c>
      <c r="D99" s="6" t="n">
        <v>250.31</v>
      </c>
      <c r="E99" s="6" t="n">
        <v>243.8</v>
      </c>
      <c r="F99" s="6" t="n">
        <v>250.31</v>
      </c>
      <c r="G99" s="6" t="n">
        <v>243.8</v>
      </c>
      <c r="H99" s="6">
        <f>(E99-F99)*C99</f>
        <v/>
      </c>
      <c r="I99" s="6">
        <f>(G99-F99)*C99</f>
        <v/>
      </c>
    </row>
    <row r="100">
      <c r="A100" t="inlineStr">
        <is>
          <t>OSPN</t>
        </is>
      </c>
      <c r="B100" s="8" t="n">
        <v>1650</v>
      </c>
      <c r="C100" s="8" t="n">
        <v>1650</v>
      </c>
      <c r="D100" s="6" t="n">
        <v>12.36</v>
      </c>
      <c r="E100" s="6" t="n">
        <v>12.2</v>
      </c>
      <c r="F100" s="6" t="n">
        <v>12.36</v>
      </c>
      <c r="G100" s="6" t="n">
        <v>12.2</v>
      </c>
      <c r="H100" s="6">
        <f>(E100-F100)*C100</f>
        <v/>
      </c>
      <c r="I100" s="6">
        <f>(G100-F100)*C100</f>
        <v/>
      </c>
    </row>
    <row r="101">
      <c r="A101" t="inlineStr">
        <is>
          <t>OTEX</t>
        </is>
      </c>
      <c r="B101" s="8" t="n">
        <v>21910</v>
      </c>
      <c r="C101" s="8" t="n">
        <v>21910</v>
      </c>
      <c r="D101" s="6" t="n">
        <v>38.02</v>
      </c>
      <c r="E101" s="6" t="n">
        <v>35.98</v>
      </c>
      <c r="F101" s="6" t="n">
        <v>38.02</v>
      </c>
      <c r="G101" s="6" t="n">
        <v>35.98</v>
      </c>
      <c r="H101" s="6">
        <f>(E101-F101)*C101</f>
        <v/>
      </c>
      <c r="I101" s="6">
        <f>(G101-F101)*C101</f>
        <v/>
      </c>
    </row>
    <row r="102">
      <c r="A102" t="inlineStr">
        <is>
          <t>PAYC</t>
        </is>
      </c>
      <c r="B102" s="8" t="n">
        <v>1007</v>
      </c>
      <c r="C102" s="8" t="n">
        <v>1007</v>
      </c>
      <c r="D102" s="6" t="n">
        <v>183.71</v>
      </c>
      <c r="E102" s="6" t="n">
        <v>164.01</v>
      </c>
      <c r="F102" s="6" t="n">
        <v>183.71</v>
      </c>
      <c r="G102" s="6" t="n">
        <v>164.01</v>
      </c>
      <c r="H102" s="6">
        <f>(E102-F102)*C102</f>
        <v/>
      </c>
      <c r="I102" s="6">
        <f>(G102-F102)*C102</f>
        <v/>
      </c>
    </row>
    <row r="103">
      <c r="A103" t="inlineStr">
        <is>
          <t>POWI</t>
        </is>
      </c>
      <c r="B103" s="8" t="n">
        <v>2801</v>
      </c>
      <c r="C103" s="8" t="n">
        <v>2801</v>
      </c>
      <c r="D103" s="6" t="n">
        <v>39.59</v>
      </c>
      <c r="E103" s="6" t="n">
        <v>36.52</v>
      </c>
      <c r="F103" s="6" t="n">
        <v>39.59</v>
      </c>
      <c r="G103" s="6" t="n">
        <v>36.52</v>
      </c>
      <c r="H103" s="6">
        <f>(E103-F103)*C103</f>
        <v/>
      </c>
      <c r="I103" s="6">
        <f>(G103-F103)*C103</f>
        <v/>
      </c>
    </row>
    <row r="104">
      <c r="A104" t="inlineStr">
        <is>
          <t>QCOM</t>
        </is>
      </c>
      <c r="B104" s="8" t="n">
        <v>46294</v>
      </c>
      <c r="C104" s="8" t="n">
        <v>46294</v>
      </c>
      <c r="D104" s="6" t="n">
        <v>179.72</v>
      </c>
      <c r="E104" s="6" t="n">
        <v>173.2</v>
      </c>
      <c r="F104" s="6" t="n">
        <v>179.72</v>
      </c>
      <c r="G104" s="6" t="n">
        <v>173.2</v>
      </c>
      <c r="H104" s="6">
        <f>(E104-F104)*C104</f>
        <v/>
      </c>
      <c r="I104" s="6">
        <f>(G104-F104)*C104</f>
        <v/>
      </c>
    </row>
    <row r="105">
      <c r="A105" t="inlineStr">
        <is>
          <t>RCI</t>
        </is>
      </c>
      <c r="B105" s="8" t="n">
        <v>101291</v>
      </c>
      <c r="C105" s="8" t="n">
        <v>101291</v>
      </c>
      <c r="D105" s="6" t="n">
        <v>37.24</v>
      </c>
      <c r="E105" s="6" t="n">
        <v>36.81</v>
      </c>
      <c r="F105" s="6" t="n">
        <v>37.24</v>
      </c>
      <c r="G105" s="6" t="n">
        <v>36.81</v>
      </c>
      <c r="H105" s="6">
        <f>(E105-F105)*C105</f>
        <v/>
      </c>
      <c r="I105" s="6">
        <f>(G105-F105)*C105</f>
        <v/>
      </c>
    </row>
    <row r="106">
      <c r="A106" t="inlineStr">
        <is>
          <t>RELX</t>
        </is>
      </c>
      <c r="B106" s="8" t="n">
        <v>4157</v>
      </c>
      <c r="C106" s="8" t="n">
        <v>4157</v>
      </c>
      <c r="D106" s="6" t="n">
        <v>44.58</v>
      </c>
      <c r="E106" s="6" t="n">
        <v>43.39</v>
      </c>
      <c r="F106" s="6" t="n">
        <v>44.58</v>
      </c>
      <c r="G106" s="6" t="n">
        <v>43.39</v>
      </c>
      <c r="H106" s="6">
        <f>(E106-F106)*C106</f>
        <v/>
      </c>
      <c r="I106" s="6">
        <f>(G106-F106)*C106</f>
        <v/>
      </c>
    </row>
    <row r="107">
      <c r="A107" t="inlineStr">
        <is>
          <t>ROP</t>
        </is>
      </c>
      <c r="B107" s="8" t="n">
        <v>1789</v>
      </c>
      <c r="C107" s="8" t="n">
        <v>1789</v>
      </c>
      <c r="D107" s="6" t="n">
        <v>445.83</v>
      </c>
      <c r="E107" s="6" t="n">
        <v>444.48</v>
      </c>
      <c r="F107" s="6" t="n">
        <v>445.83</v>
      </c>
      <c r="G107" s="6" t="n">
        <v>444.48</v>
      </c>
      <c r="H107" s="6">
        <f>(E107-F107)*C107</f>
        <v/>
      </c>
      <c r="I107" s="6">
        <f>(G107-F107)*C107</f>
        <v/>
      </c>
    </row>
    <row r="108">
      <c r="A108" t="inlineStr">
        <is>
          <t>SAIC</t>
        </is>
      </c>
      <c r="B108" s="8" t="n">
        <v>1610</v>
      </c>
      <c r="C108" s="8" t="n">
        <v>1610</v>
      </c>
      <c r="D108" s="6" t="n">
        <v>92.22</v>
      </c>
      <c r="E108" s="6" t="n">
        <v>90.52</v>
      </c>
      <c r="F108" s="6" t="n">
        <v>92.22</v>
      </c>
      <c r="G108" s="6" t="n">
        <v>90.52</v>
      </c>
      <c r="H108" s="6">
        <f>(E108-F108)*C108</f>
        <v/>
      </c>
      <c r="I108" s="6">
        <f>(G108-F108)*C108</f>
        <v/>
      </c>
    </row>
    <row r="109">
      <c r="A109" t="inlineStr">
        <is>
          <t>SAP</t>
        </is>
      </c>
      <c r="B109" s="8" t="n">
        <v>1636</v>
      </c>
      <c r="C109" s="8" t="n">
        <v>1636</v>
      </c>
      <c r="D109" s="6" t="n">
        <v>261.06</v>
      </c>
      <c r="E109" s="6" t="n">
        <v>253.88</v>
      </c>
      <c r="F109" s="6" t="n">
        <v>261.06</v>
      </c>
      <c r="G109" s="6" t="n">
        <v>253.88</v>
      </c>
      <c r="H109" s="6">
        <f>(E109-F109)*C109</f>
        <v/>
      </c>
      <c r="I109" s="6">
        <f>(G109-F109)*C109</f>
        <v/>
      </c>
    </row>
    <row r="110">
      <c r="A110" t="inlineStr">
        <is>
          <t>SHEN</t>
        </is>
      </c>
      <c r="B110" s="8" t="n">
        <v>2443</v>
      </c>
      <c r="C110" s="8" t="n">
        <v>2443</v>
      </c>
      <c r="D110" s="6" t="n">
        <v>11.47</v>
      </c>
      <c r="E110" s="6" t="n">
        <v>11.26</v>
      </c>
      <c r="F110" s="6" t="n">
        <v>11.47</v>
      </c>
      <c r="G110" s="6" t="n">
        <v>11.26</v>
      </c>
      <c r="H110" s="6">
        <f>(E110-F110)*C110</f>
        <v/>
      </c>
      <c r="I110" s="6">
        <f>(G110-F110)*C110</f>
        <v/>
      </c>
    </row>
    <row r="111">
      <c r="A111" t="inlineStr">
        <is>
          <t>SIMO</t>
        </is>
      </c>
      <c r="B111" s="8" t="n">
        <v>2280</v>
      </c>
      <c r="C111" s="8" t="n">
        <v>2280</v>
      </c>
      <c r="D111" s="6" t="n">
        <v>98.76000000000001</v>
      </c>
      <c r="E111" s="6" t="n">
        <v>95.37</v>
      </c>
      <c r="F111" s="6" t="n">
        <v>98.76000000000001</v>
      </c>
      <c r="G111" s="6" t="n">
        <v>95.37</v>
      </c>
      <c r="H111" s="6">
        <f>(E111-F111)*C111</f>
        <v/>
      </c>
      <c r="I111" s="6">
        <f>(G111-F111)*C111</f>
        <v/>
      </c>
    </row>
    <row r="112">
      <c r="A112" t="inlineStr">
        <is>
          <t>SNX</t>
        </is>
      </c>
      <c r="B112" s="8" t="n">
        <v>2600</v>
      </c>
      <c r="C112" s="8" t="n">
        <v>2600</v>
      </c>
      <c r="D112" s="6" t="n">
        <v>153.21</v>
      </c>
      <c r="E112" s="6" t="n">
        <v>150.02</v>
      </c>
      <c r="F112" s="6" t="n">
        <v>153.21</v>
      </c>
      <c r="G112" s="6" t="n">
        <v>150.02</v>
      </c>
      <c r="H112" s="6">
        <f>(E112-F112)*C112</f>
        <v/>
      </c>
      <c r="I112" s="6">
        <f>(G112-F112)*C112</f>
        <v/>
      </c>
    </row>
    <row r="113">
      <c r="A113" t="inlineStr">
        <is>
          <t>SSNC</t>
        </is>
      </c>
      <c r="B113" s="8" t="n">
        <v>7474</v>
      </c>
      <c r="C113" s="8" t="n">
        <v>7474</v>
      </c>
      <c r="D113" s="6" t="n">
        <v>85.75</v>
      </c>
      <c r="E113" s="6" t="n">
        <v>84.38</v>
      </c>
      <c r="F113" s="6" t="n">
        <v>85.75</v>
      </c>
      <c r="G113" s="6" t="n">
        <v>84.38</v>
      </c>
      <c r="H113" s="6">
        <f>(E113-F113)*C113</f>
        <v/>
      </c>
      <c r="I113" s="6">
        <f>(G113-F113)*C113</f>
        <v/>
      </c>
    </row>
    <row r="114">
      <c r="A114" t="inlineStr">
        <is>
          <t>STM</t>
        </is>
      </c>
      <c r="B114" s="8" t="n">
        <v>3729</v>
      </c>
      <c r="C114" s="8" t="n">
        <v>3729</v>
      </c>
      <c r="D114" s="6" t="n">
        <v>24</v>
      </c>
      <c r="E114" s="6" t="n">
        <v>23.64</v>
      </c>
      <c r="F114" s="6" t="n">
        <v>24</v>
      </c>
      <c r="G114" s="6" t="n">
        <v>23.64</v>
      </c>
      <c r="H114" s="6">
        <f>(E114-F114)*C114</f>
        <v/>
      </c>
      <c r="I114" s="6">
        <f>(G114-F114)*C114</f>
        <v/>
      </c>
    </row>
    <row r="115">
      <c r="A115" t="inlineStr">
        <is>
          <t>STX</t>
        </is>
      </c>
      <c r="B115" s="8" t="n">
        <v>9859</v>
      </c>
      <c r="C115" s="8" t="n">
        <v>9859</v>
      </c>
      <c r="D115" s="6" t="n">
        <v>275.77</v>
      </c>
      <c r="E115" s="6" t="n">
        <v>278.47</v>
      </c>
      <c r="F115" s="6" t="n">
        <v>275.77</v>
      </c>
      <c r="G115" s="6" t="n">
        <v>278.47</v>
      </c>
      <c r="H115" s="6">
        <f>(E115-F115)*C115</f>
        <v/>
      </c>
      <c r="I115" s="6">
        <f>(G115-F115)*C115</f>
        <v/>
      </c>
    </row>
    <row r="116">
      <c r="A116" t="inlineStr">
        <is>
          <t>SWKS</t>
        </is>
      </c>
      <c r="B116" s="8" t="n">
        <v>15047</v>
      </c>
      <c r="C116" s="8" t="n">
        <v>15047</v>
      </c>
      <c r="D116" s="6" t="n">
        <v>73.45999999999999</v>
      </c>
      <c r="E116" s="6" t="n">
        <v>70.64</v>
      </c>
      <c r="F116" s="6" t="n">
        <v>73.45999999999999</v>
      </c>
      <c r="G116" s="6" t="n">
        <v>70.64</v>
      </c>
      <c r="H116" s="6">
        <f>(E116-F116)*C116</f>
        <v/>
      </c>
      <c r="I116" s="6">
        <f>(G116-F116)*C116</f>
        <v/>
      </c>
    </row>
    <row r="117">
      <c r="A117" t="inlineStr">
        <is>
          <t>T</t>
        </is>
      </c>
      <c r="B117" s="8" t="n">
        <v>127020</v>
      </c>
      <c r="C117" s="8" t="n">
        <v>127020</v>
      </c>
      <c r="D117" s="6" t="n">
        <v>24.56</v>
      </c>
      <c r="E117" s="6" t="n">
        <v>24.74</v>
      </c>
      <c r="F117" s="6" t="n">
        <v>24.56</v>
      </c>
      <c r="G117" s="6" t="n">
        <v>24.74</v>
      </c>
      <c r="H117" s="6">
        <f>(E117-F117)*C117</f>
        <v/>
      </c>
      <c r="I117" s="6">
        <f>(G117-F117)*C117</f>
        <v/>
      </c>
    </row>
    <row r="118">
      <c r="A118" t="inlineStr">
        <is>
          <t>TEF</t>
        </is>
      </c>
      <c r="B118" s="8" t="n">
        <v>41315</v>
      </c>
      <c r="C118" s="8" t="n">
        <v>41315</v>
      </c>
      <c r="D118" s="6" t="n">
        <v>4.16</v>
      </c>
      <c r="E118" s="6" t="n">
        <v>4.14</v>
      </c>
      <c r="F118" s="6" t="n">
        <v>4.16</v>
      </c>
      <c r="G118" s="6" t="n">
        <v>4.14</v>
      </c>
      <c r="H118" s="6">
        <f>(E118-F118)*C118</f>
        <v/>
      </c>
      <c r="I118" s="6">
        <f>(G118-F118)*C118</f>
        <v/>
      </c>
    </row>
    <row r="119">
      <c r="A119" t="inlineStr">
        <is>
          <t>TEL</t>
        </is>
      </c>
      <c r="B119" s="8" t="n">
        <v>10327</v>
      </c>
      <c r="C119" s="8" t="n">
        <v>10327</v>
      </c>
      <c r="D119" s="6" t="n">
        <v>249</v>
      </c>
      <c r="E119" s="6" t="n">
        <v>242.5</v>
      </c>
      <c r="F119" s="6" t="n">
        <v>249</v>
      </c>
      <c r="G119" s="6" t="n">
        <v>242.5</v>
      </c>
      <c r="H119" s="6">
        <f>(E119-F119)*C119</f>
        <v/>
      </c>
      <c r="I119" s="6">
        <f>(G119-F119)*C119</f>
        <v/>
      </c>
    </row>
    <row r="120">
      <c r="A120" t="inlineStr">
        <is>
          <t>TIGO</t>
        </is>
      </c>
      <c r="B120" s="8" t="n">
        <v>50959</v>
      </c>
      <c r="C120" s="8" t="n">
        <v>50959</v>
      </c>
      <c r="D120" s="6" t="n">
        <v>46.03</v>
      </c>
      <c r="E120" s="6" t="n">
        <v>47.76</v>
      </c>
      <c r="F120" s="6" t="n">
        <v>46.03</v>
      </c>
      <c r="G120" s="6" t="n">
        <v>47.76</v>
      </c>
      <c r="H120" s="6">
        <f>(E120-F120)*C120</f>
        <v/>
      </c>
      <c r="I120" s="6">
        <f>(G120-F120)*C120</f>
        <v/>
      </c>
    </row>
    <row r="121">
      <c r="A121" t="inlineStr">
        <is>
          <t>TLK</t>
        </is>
      </c>
      <c r="B121" s="8" t="n">
        <v>16747</v>
      </c>
      <c r="C121" s="8" t="n">
        <v>16747</v>
      </c>
      <c r="D121" s="6" t="n">
        <v>20.94</v>
      </c>
      <c r="E121" s="6" t="n">
        <v>20.48</v>
      </c>
      <c r="F121" s="6" t="n">
        <v>20.94</v>
      </c>
      <c r="G121" s="6" t="n">
        <v>20.48</v>
      </c>
      <c r="H121" s="6">
        <f>(E121-F121)*C121</f>
        <v/>
      </c>
      <c r="I121" s="6">
        <f>(G121-F121)*C121</f>
        <v/>
      </c>
    </row>
    <row r="122">
      <c r="A122" t="inlineStr">
        <is>
          <t>TMUS</t>
        </is>
      </c>
      <c r="B122" s="8" t="n">
        <v>14764</v>
      </c>
      <c r="C122" s="8" t="n">
        <v>14764</v>
      </c>
      <c r="D122" s="6" t="n">
        <v>204.74</v>
      </c>
      <c r="E122" s="6" t="n">
        <v>201.01</v>
      </c>
      <c r="F122" s="6" t="n">
        <v>204.74</v>
      </c>
      <c r="G122" s="6" t="n">
        <v>201.01</v>
      </c>
      <c r="H122" s="6">
        <f>(E122-F122)*C122</f>
        <v/>
      </c>
      <c r="I122" s="6">
        <f>(G122-F122)*C122</f>
        <v/>
      </c>
    </row>
    <row r="123">
      <c r="A123" t="inlineStr">
        <is>
          <t>TRI</t>
        </is>
      </c>
      <c r="B123" s="8" t="n">
        <v>15628</v>
      </c>
      <c r="C123" s="8" t="n">
        <v>15628</v>
      </c>
      <c r="D123" s="6" t="n">
        <v>144.25</v>
      </c>
      <c r="E123" s="6" t="n">
        <v>138.97</v>
      </c>
      <c r="F123" s="6" t="n">
        <v>144.25</v>
      </c>
      <c r="G123" s="6" t="n">
        <v>138.97</v>
      </c>
      <c r="H123" s="6">
        <f>(E123-F123)*C123</f>
        <v/>
      </c>
      <c r="I123" s="6">
        <f>(G123-F123)*C123</f>
        <v/>
      </c>
    </row>
    <row r="124">
      <c r="A124" t="inlineStr">
        <is>
          <t>TSM</t>
        </is>
      </c>
      <c r="B124" s="8" t="n">
        <v>32230</v>
      </c>
      <c r="C124" s="8" t="n">
        <v>32230</v>
      </c>
      <c r="D124" s="6" t="n">
        <v>293.64</v>
      </c>
      <c r="E124" s="6" t="n">
        <v>289.24</v>
      </c>
      <c r="F124" s="6" t="n">
        <v>293.64</v>
      </c>
      <c r="G124" s="6" t="n">
        <v>289.24</v>
      </c>
      <c r="H124" s="6">
        <f>(E124-F124)*C124</f>
        <v/>
      </c>
      <c r="I124" s="6">
        <f>(G124-F124)*C124</f>
        <v/>
      </c>
    </row>
    <row r="125">
      <c r="A125" t="inlineStr">
        <is>
          <t>TU</t>
        </is>
      </c>
      <c r="B125" s="8" t="n">
        <v>225616</v>
      </c>
      <c r="C125" s="8" t="n">
        <v>225616</v>
      </c>
      <c r="D125" s="6" t="n">
        <v>14.64</v>
      </c>
      <c r="E125" s="6" t="n">
        <v>14.61</v>
      </c>
      <c r="F125" s="6" t="n">
        <v>14.64</v>
      </c>
      <c r="G125" s="6" t="n">
        <v>14.61</v>
      </c>
      <c r="H125" s="6">
        <f>(E125-F125)*C125</f>
        <v/>
      </c>
      <c r="I125" s="6">
        <f>(G125-F125)*C125</f>
        <v/>
      </c>
    </row>
    <row r="126">
      <c r="A126" t="inlineStr">
        <is>
          <t>TXN</t>
        </is>
      </c>
      <c r="B126" s="8" t="n">
        <v>73497</v>
      </c>
      <c r="C126" s="8" t="n">
        <v>73497</v>
      </c>
      <c r="D126" s="6" t="n">
        <v>163.544</v>
      </c>
      <c r="E126" s="6" t="n">
        <v>161.38</v>
      </c>
      <c r="F126" s="6" t="n">
        <v>163.544</v>
      </c>
      <c r="G126" s="6" t="n">
        <v>161.38</v>
      </c>
      <c r="H126" s="6">
        <f>(E126-F126)*C126</f>
        <v/>
      </c>
      <c r="I126" s="6">
        <f>(G126-F126)*C126</f>
        <v/>
      </c>
    </row>
    <row r="127">
      <c r="A127" t="inlineStr">
        <is>
          <t>UI</t>
        </is>
      </c>
      <c r="B127" s="8" t="n">
        <v>1621</v>
      </c>
      <c r="C127" s="8" t="n">
        <v>1621</v>
      </c>
      <c r="D127" s="6" t="n">
        <v>777.63</v>
      </c>
      <c r="E127" s="6" t="n">
        <v>759.5700000000001</v>
      </c>
      <c r="F127" s="6" t="n">
        <v>777.63</v>
      </c>
      <c r="G127" s="6" t="n">
        <v>759.5700000000001</v>
      </c>
      <c r="H127" s="6">
        <f>(E127-F127)*C127</f>
        <v/>
      </c>
      <c r="I127" s="6">
        <f>(G127-F127)*C127</f>
        <v/>
      </c>
    </row>
    <row r="128">
      <c r="A128" t="inlineStr">
        <is>
          <t>UMC</t>
        </is>
      </c>
      <c r="B128" s="8" t="n">
        <v>17268</v>
      </c>
      <c r="C128" s="8" t="n">
        <v>17268</v>
      </c>
      <c r="D128" s="6" t="n">
        <v>7.76</v>
      </c>
      <c r="E128" s="6" t="n">
        <v>7.31</v>
      </c>
      <c r="F128" s="6" t="n">
        <v>7.76</v>
      </c>
      <c r="G128" s="6" t="n">
        <v>7.31</v>
      </c>
      <c r="H128" s="6">
        <f>(E128-F128)*C128</f>
        <v/>
      </c>
      <c r="I128" s="6">
        <f>(G128-F128)*C128</f>
        <v/>
      </c>
    </row>
    <row r="129">
      <c r="A129" t="inlineStr">
        <is>
          <t>VIV</t>
        </is>
      </c>
      <c r="B129" s="8" t="n">
        <v>18275</v>
      </c>
      <c r="C129" s="8" t="n">
        <v>18541</v>
      </c>
      <c r="D129" s="6" t="n">
        <v>12.59</v>
      </c>
      <c r="E129" s="6" t="n">
        <v>12.54</v>
      </c>
      <c r="F129" s="6" t="n">
        <v>12.59</v>
      </c>
      <c r="G129" s="6" t="n">
        <v>12.54</v>
      </c>
      <c r="H129" s="6">
        <f>(E129-F129)*C129</f>
        <v/>
      </c>
      <c r="I129" s="6">
        <f>(G129-F129)*C129</f>
        <v/>
      </c>
    </row>
    <row r="130">
      <c r="A130" t="inlineStr">
        <is>
          <t>VSH</t>
        </is>
      </c>
      <c r="B130" s="8" t="n">
        <v>8668</v>
      </c>
      <c r="C130" s="8" t="n">
        <v>8668</v>
      </c>
      <c r="D130" s="6" t="n">
        <v>15.32</v>
      </c>
      <c r="E130" s="6" t="n">
        <v>14.58</v>
      </c>
      <c r="F130" s="6" t="n">
        <v>15.32</v>
      </c>
      <c r="G130" s="6" t="n">
        <v>14.58</v>
      </c>
      <c r="H130" s="6">
        <f>(E130-F130)*C130</f>
        <v/>
      </c>
      <c r="I130" s="6">
        <f>(G130-F130)*C130</f>
        <v/>
      </c>
    </row>
    <row r="131">
      <c r="A131" t="inlineStr">
        <is>
          <t>VZ</t>
        </is>
      </c>
      <c r="B131" s="8" t="n">
        <v>84115</v>
      </c>
      <c r="C131" s="8" t="n">
        <v>84115</v>
      </c>
      <c r="D131" s="6" t="n">
        <v>39.69</v>
      </c>
      <c r="E131" s="6" t="n">
        <v>39.82</v>
      </c>
      <c r="F131" s="6" t="n">
        <v>39.69</v>
      </c>
      <c r="G131" s="6" t="n">
        <v>39.82</v>
      </c>
      <c r="H131" s="6">
        <f>(E131-F131)*C131</f>
        <v/>
      </c>
      <c r="I131" s="6">
        <f>(G131-F131)*C131</f>
        <v/>
      </c>
    </row>
    <row r="132">
      <c r="A132" t="inlineStr">
        <is>
          <t>WB</t>
        </is>
      </c>
      <c r="B132" s="8" t="n">
        <v>17678</v>
      </c>
      <c r="C132" s="8" t="n">
        <v>17678</v>
      </c>
      <c r="D132" s="6" t="n">
        <v>10.6</v>
      </c>
      <c r="E132" s="6" t="n">
        <v>10.59</v>
      </c>
      <c r="F132" s="6" t="n">
        <v>10.6</v>
      </c>
      <c r="G132" s="6" t="n">
        <v>10.59</v>
      </c>
      <c r="H132" s="6">
        <f>(E132-F132)*C132</f>
        <v/>
      </c>
      <c r="I132" s="6">
        <f>(G132-F132)*C132</f>
        <v/>
      </c>
    </row>
    <row r="133">
      <c r="A133" t="inlineStr">
        <is>
          <t>WIT</t>
        </is>
      </c>
      <c r="B133" s="8" t="n">
        <v>35678</v>
      </c>
      <c r="C133" s="8" t="n">
        <v>35678</v>
      </c>
      <c r="D133" s="6" t="n">
        <v>2.63</v>
      </c>
      <c r="E133" s="6" t="n">
        <v>2.61</v>
      </c>
      <c r="F133" s="6" t="n">
        <v>2.63</v>
      </c>
      <c r="G133" s="6" t="n">
        <v>2.61</v>
      </c>
      <c r="H133" s="6">
        <f>(E133-F133)*C133</f>
        <v/>
      </c>
      <c r="I133" s="6">
        <f>(G133-F133)*C133</f>
        <v/>
      </c>
    </row>
    <row r="134">
      <c r="A134" t="inlineStr">
        <is>
          <t>YOU</t>
        </is>
      </c>
      <c r="B134" s="8" t="n">
        <v>3383</v>
      </c>
      <c r="C134" s="8" t="n">
        <v>3383</v>
      </c>
      <c r="D134" s="6" t="n">
        <v>31.79</v>
      </c>
      <c r="E134" s="6" t="n">
        <v>32.02</v>
      </c>
      <c r="F134" s="6" t="n">
        <v>31.79</v>
      </c>
      <c r="G134" s="6" t="n">
        <v>32.02</v>
      </c>
      <c r="H134" s="6">
        <f>(E134-F134)*C134</f>
        <v/>
      </c>
      <c r="I134" s="6">
        <f>(G134-F134)*C134</f>
        <v/>
      </c>
    </row>
    <row r="136">
      <c r="A136" s="7" t="inlineStr">
        <is>
          <t>TOTAL</t>
        </is>
      </c>
      <c r="H136" s="6">
        <f>SUM(H42:H134)</f>
        <v/>
      </c>
      <c r="I136" s="6">
        <f>SUM(I42:I134)</f>
        <v/>
      </c>
    </row>
    <row r="139">
      <c r="A139" s="5" t="inlineStr">
        <is>
          <t>OPTION GAIN/LOSS DETAIL</t>
        </is>
      </c>
    </row>
    <row r="141">
      <c r="A141" s="10" t="inlineStr">
        <is>
          <t>Ticker</t>
        </is>
      </c>
      <c r="B141" s="10" t="inlineStr">
        <is>
          <t>Qty T-1</t>
        </is>
      </c>
      <c r="C141" s="10" t="inlineStr">
        <is>
          <t>Qty T</t>
        </is>
      </c>
      <c r="D141" s="10" t="inlineStr">
        <is>
          <t>Price T-1
(Vest)</t>
        </is>
      </c>
      <c r="E141" s="10" t="inlineStr">
        <is>
          <t>Price T
(Raw)</t>
        </is>
      </c>
      <c r="F141" s="10" t="inlineStr">
        <is>
          <t>Price T-1
(Cust)</t>
        </is>
      </c>
      <c r="G141" s="10" t="inlineStr">
        <is>
          <t>Price T
(Adj)</t>
        </is>
      </c>
      <c r="H141" s="10" t="inlineStr">
        <is>
          <t>G/L</t>
        </is>
      </c>
      <c r="I141" s="10" t="inlineStr">
        <is>
          <t>G/L Adj</t>
        </is>
      </c>
    </row>
    <row r="142">
      <c r="A142" t="inlineStr">
        <is>
          <t>SPXW US 11/07/25 C6850</t>
        </is>
      </c>
      <c r="B142" s="8" t="n">
        <v>-50</v>
      </c>
      <c r="C142" s="8" t="n">
        <v>-50</v>
      </c>
      <c r="D142" s="6" t="n">
        <v>6.67</v>
      </c>
      <c r="E142" s="6" t="n">
        <v>0.35</v>
      </c>
      <c r="F142" s="6" t="n">
        <v>6.67</v>
      </c>
      <c r="G142" s="6" t="n">
        <v>0.35</v>
      </c>
      <c r="H142" s="6">
        <f>(E142-F142)*C142*100</f>
        <v/>
      </c>
      <c r="I142" s="6">
        <f>(G142-F142)*C142*100</f>
        <v/>
      </c>
    </row>
    <row r="144">
      <c r="A144" s="7" t="inlineStr">
        <is>
          <t>TOTAL</t>
        </is>
      </c>
      <c r="H144" s="6">
        <f>SUM(H142:H142)</f>
        <v/>
      </c>
      <c r="I144" s="6">
        <f>SUM(I142:I142)</f>
        <v/>
      </c>
    </row>
    <row r="147">
      <c r="A147" s="5" t="inlineStr">
        <is>
          <t>FLEX OPTION GAIN/LOSS DETAIL</t>
        </is>
      </c>
    </row>
    <row r="149">
      <c r="A149" t="inlineStr">
        <is>
          <t>No flex option holdings with gain/loss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NAV Reconciliation Summary - 2025-11-06</t>
        </is>
      </c>
    </row>
    <row r="3">
      <c r="A3" s="11" t="inlineStr">
        <is>
          <t>Fund</t>
        </is>
      </c>
      <c r="B3" s="11" t="inlineStr">
        <is>
          <t>Date</t>
        </is>
      </c>
      <c r="C3" s="11" t="inlineStr">
        <is>
          <t>Expected TNA</t>
        </is>
      </c>
      <c r="D3" s="11" t="inlineStr">
        <is>
          <t>Custodian TNA</t>
        </is>
      </c>
      <c r="E3" s="11" t="inlineStr">
        <is>
          <t>TNA Diff ($)</t>
        </is>
      </c>
      <c r="F3" s="11" t="inlineStr">
        <is>
          <t>Expected NAV</t>
        </is>
      </c>
      <c r="G3" s="11" t="inlineStr">
        <is>
          <t>Custodian NAV</t>
        </is>
      </c>
      <c r="H3" s="11" t="inlineStr">
        <is>
          <t>NAV Diff ($)</t>
        </is>
      </c>
      <c r="I3" s="11" t="inlineStr">
        <is>
          <t>Shares Outstanding</t>
        </is>
      </c>
      <c r="J3" s="11" t="inlineStr">
        <is>
          <t>NAV Good (2-dec)</t>
        </is>
      </c>
      <c r="K3" s="11" t="inlineStr">
        <is>
          <t>NAV Good (4-dec)</t>
        </is>
      </c>
    </row>
    <row r="4">
      <c r="A4" t="inlineStr">
        <is>
          <t>DOGG</t>
        </is>
      </c>
      <c r="B4" t="inlineStr">
        <is>
          <t>2025-11-06</t>
        </is>
      </c>
      <c r="C4" s="6" t="n">
        <v>76285796.903722</v>
      </c>
      <c r="D4" s="6" t="n">
        <v>42324728.1</v>
      </c>
      <c r="E4" s="6" t="n">
        <v>-33961068.803722</v>
      </c>
      <c r="F4" s="9" t="n">
        <v>36.326535357453</v>
      </c>
      <c r="G4" s="9" t="n">
        <v>20.15</v>
      </c>
      <c r="H4" s="9" t="n">
        <v>-16.176535357453</v>
      </c>
      <c r="I4" s="8" t="n">
        <v>2100002</v>
      </c>
      <c r="J4" s="12" t="inlineStr">
        <is>
          <t>FAIL</t>
        </is>
      </c>
      <c r="K4" s="12" t="inlineStr">
        <is>
          <t>FAIL</t>
        </is>
      </c>
    </row>
    <row r="5">
      <c r="A5" t="inlineStr">
        <is>
          <t>P3727</t>
        </is>
      </c>
      <c r="B5" t="inlineStr">
        <is>
          <t>2025-11-06</t>
        </is>
      </c>
      <c r="C5" s="6" t="n">
        <v>71301870.21975201</v>
      </c>
      <c r="D5" s="6" t="n">
        <v>71256818.51000001</v>
      </c>
      <c r="E5" s="6" t="n">
        <v>-45051.70975200832</v>
      </c>
      <c r="F5" s="9" t="n">
        <v>24.66030720187007</v>
      </c>
      <c r="G5" s="9" t="n">
        <v>24.64</v>
      </c>
      <c r="H5" s="9" t="n">
        <v>-0.02030720187007162</v>
      </c>
      <c r="I5" s="8" t="n">
        <v>2891361.8</v>
      </c>
      <c r="J5" s="12" t="inlineStr">
        <is>
          <t>FAIL</t>
        </is>
      </c>
      <c r="K5" s="12" t="inlineStr">
        <is>
          <t>FAIL</t>
        </is>
      </c>
    </row>
    <row r="6">
      <c r="A6" t="inlineStr">
        <is>
          <t>TDVI</t>
        </is>
      </c>
      <c r="B6" t="inlineStr">
        <is>
          <t>2025-11-06</t>
        </is>
      </c>
      <c r="C6" s="6" t="n">
        <v>196404397.9201465</v>
      </c>
      <c r="D6" s="6" t="n">
        <v>196395980.87</v>
      </c>
      <c r="E6" s="6" t="n">
        <v>-8417.050146490335</v>
      </c>
      <c r="F6" s="9" t="n">
        <v>28.25961746775706</v>
      </c>
      <c r="G6" s="9" t="n">
        <v>28.26</v>
      </c>
      <c r="H6" s="9" t="n">
        <v>0.0003825322429413802</v>
      </c>
      <c r="I6" s="8" t="n">
        <v>6950002</v>
      </c>
      <c r="J6" s="13" t="inlineStr">
        <is>
          <t>PASS</t>
        </is>
      </c>
      <c r="K6" s="13" t="inlineStr">
        <is>
          <t>PASS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2025-11-20T15:59:40Z</dcterms:created>
  <dcterms:modified xmlns:dcterms="http://purl.org/dc/terms/" xmlns:xsi="http://www.w3.org/2001/XMLSchema-instance" xsi:type="dcterms:W3CDTF">2025-11-20T15:59:42Z</dcterms:modified>
</cp:coreProperties>
</file>