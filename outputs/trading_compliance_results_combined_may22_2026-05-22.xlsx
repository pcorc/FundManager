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iance Overview" sheetId="1" state="visible" r:id="rId1"/>
    <sheet name="Trade Activity" sheetId="2" state="visible" r:id="rId2"/>
    <sheet name="Compliance Details" sheetId="3" state="visible" r:id="rId3"/>
    <sheet name="GICS_Compliance" sheetId="4" state="visible" r:id="rId4"/>
    <sheet name="GICS_Calculations" sheetId="5" state="visible" r:id="rId5"/>
    <sheet name="Prospectus_80pct" sheetId="6" state="visible" r:id="rId6"/>
    <sheet name="40Act_Diversification" sheetId="7" state="visible" r:id="rId7"/>
    <sheet name="IRS_Diversification" sheetId="8" state="visible" r:id="rId8"/>
    <sheet name="Real_Estate" sheetId="9" state="visible" r:id="rId9"/>
    <sheet name="Commodities" sheetId="10" state="visible" r:id="rId10"/>
    <sheet name="12d1_Other_Investment_Companies" sheetId="11" state="visible" r:id="rId11"/>
    <sheet name="12d2_Insurance_Companies" sheetId="12" state="visible" r:id="rId12"/>
    <sheet name="12d3_Securities_Busines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DDDDDD"/>
        <bgColor rgb="00DDDDDD"/>
      </patternFill>
    </fill>
    <fill>
      <patternFill patternType="solid">
        <fgColor rgb="00FF9999"/>
        <bgColor rgb="00FF9999"/>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0" fontId="3" fillId="2" borderId="0" applyAlignment="1" pivotButton="0" quotePrefix="0" xfId="0">
      <alignment horizontal="center"/>
    </xf>
    <xf numFmtId="0" fontId="0" fillId="0" borderId="0" applyAlignment="1" pivotButton="0" quotePrefix="0" xfId="0">
      <alignment horizontal="center"/>
    </xf>
    <xf numFmtId="0" fontId="0" fillId="3" borderId="0" pivotButton="0" quotePrefix="0" xfId="0"/>
    <xf numFmtId="0" fontId="3" fillId="2" borderId="0" pivotButton="0" quotePrefix="0" xfId="0"/>
    <xf numFmtId="4" fontId="0" fillId="0" borderId="0" pivotButton="0" quotePrefix="0" xfId="0"/>
    <xf numFmtId="1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22" customWidth="1" min="2" max="2"/>
    <col width="22" customWidth="1" min="3" max="3"/>
    <col width="22" customWidth="1" min="4" max="4"/>
    <col width="22" customWidth="1" min="5" max="5"/>
  </cols>
  <sheetData>
    <row r="1">
      <c r="A1" s="1" t="inlineStr">
        <is>
          <t>Trading Compliance Analysis - Compliance Overview</t>
        </is>
      </c>
    </row>
    <row r="2">
      <c r="A2" t="inlineStr">
        <is>
          <t>Date: 2026-05-22</t>
        </is>
      </c>
    </row>
    <row r="4">
      <c r="A4" s="2" t="inlineStr">
        <is>
          <t>Compliance Status Changes</t>
        </is>
      </c>
    </row>
    <row r="5">
      <c r="A5" s="3" t="inlineStr">
        <is>
          <t>Total Funds Analyzed</t>
        </is>
      </c>
      <c r="B5" s="4" t="n">
        <v>2</v>
      </c>
    </row>
    <row r="6">
      <c r="A6" s="3" t="inlineStr">
        <is>
          <t>Total Funds Traded</t>
        </is>
      </c>
      <c r="B6" s="4" t="n">
        <v>2</v>
      </c>
    </row>
    <row r="8">
      <c r="A8" s="5" t="inlineStr">
        <is>
          <t>Fund Name</t>
        </is>
      </c>
      <c r="B8" s="5" t="inlineStr">
        <is>
          <t>Status Change</t>
        </is>
      </c>
      <c r="C8" s="5" t="inlineStr">
        <is>
          <t>Violations Before</t>
        </is>
      </c>
      <c r="D8" s="5" t="inlineStr">
        <is>
          <t>Violations After</t>
        </is>
      </c>
      <c r="E8" s="5" t="inlineStr">
        <is>
          <t>Net Change</t>
        </is>
      </c>
    </row>
    <row r="9">
      <c r="A9" t="inlineStr">
        <is>
          <t>P2726</t>
        </is>
      </c>
      <c r="B9" s="6" t="inlineStr">
        <is>
          <t>UNCHANGED</t>
        </is>
      </c>
      <c r="C9" s="6" t="n">
        <v>0</v>
      </c>
      <c r="D9" s="6" t="n">
        <v>0</v>
      </c>
      <c r="E9" s="6" t="n">
        <v>0</v>
      </c>
    </row>
    <row r="10">
      <c r="A10" s="7" t="inlineStr">
        <is>
          <t>RDVI</t>
        </is>
      </c>
      <c r="B10" s="6" t="inlineStr">
        <is>
          <t>UNCHANGED</t>
        </is>
      </c>
      <c r="C10" s="6" t="n">
        <v>1</v>
      </c>
      <c r="D10" s="6" t="n">
        <v>1</v>
      </c>
      <c r="E10" s="6" t="n">
        <v>0</v>
      </c>
    </row>
    <row r="11">
      <c r="A11" s="8" t="inlineStr">
        <is>
          <t>Totals</t>
        </is>
      </c>
      <c r="B11" s="5" t="inlineStr"/>
      <c r="C11" s="5" t="n">
        <v>1</v>
      </c>
      <c r="D11" s="5" t="n">
        <v>1</v>
      </c>
      <c r="E11" 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workbookViewId="0">
      <pane ySplit="2" topLeftCell="A3" activePane="bottomLeft" state="frozen"/>
      <selection pane="bottomLeft" activeCell="A1" sqref="A1"/>
    </sheetView>
  </sheetViews>
  <sheetFormatPr baseColWidth="8" defaultRowHeight="15"/>
  <cols>
    <col width="24" customWidth="1" min="1" max="1"/>
    <col width="20" customWidth="1" min="2" max="2"/>
    <col width="22" customWidth="1" min="3" max="3"/>
    <col width="22"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Trade Activity Overview</t>
        </is>
      </c>
    </row>
    <row r="3">
      <c r="A3" s="5" t="inlineStr">
        <is>
          <t>Fund</t>
        </is>
      </c>
      <c r="B3" s="5" t="inlineStr">
        <is>
          <t>Asset Class</t>
        </is>
      </c>
      <c r="C3" s="5" t="inlineStr">
        <is>
          <t>Total Net Assets</t>
        </is>
      </c>
      <c r="D3" s="5" t="inlineStr">
        <is>
          <t>Total Assets</t>
        </is>
      </c>
      <c r="E3" s="5" t="inlineStr">
        <is>
          <t>Trade Value</t>
        </is>
      </c>
      <c r="F3" s="5" t="inlineStr">
        <is>
          <t>% of TNA</t>
        </is>
      </c>
      <c r="G3" s="5" t="inlineStr">
        <is>
          <t>% of Total Assets</t>
        </is>
      </c>
      <c r="H3" s="5" t="inlineStr">
        <is>
          <t>Ex-Ante Market Value</t>
        </is>
      </c>
      <c r="I3" s="5" t="inlineStr">
        <is>
          <t>Ex-Post Market Value</t>
        </is>
      </c>
      <c r="J3" s="5" t="inlineStr">
        <is>
          <t>Market Value Delta</t>
        </is>
      </c>
      <c r="K3" s="5" t="inlineStr">
        <is>
          <t>Trade vs Ex-Ante %</t>
        </is>
      </c>
      <c r="L3" s="5" t="inlineStr">
        <is>
          <t>Ex-Post vs Ex-Ante %</t>
        </is>
      </c>
      <c r="M3" s="5" t="inlineStr">
        <is>
          <t>Net Trade Value</t>
        </is>
      </c>
      <c r="N3" s="5" t="inlineStr">
        <is>
          <t>Net Buy Qty</t>
        </is>
      </c>
      <c r="O3" s="5" t="inlineStr">
        <is>
          <t>Net Sell Qty</t>
        </is>
      </c>
      <c r="P3" s="5" t="inlineStr">
        <is>
          <t>Net Buy Value</t>
        </is>
      </c>
      <c r="Q3" s="5" t="inlineStr">
        <is>
          <t>Net Sell Value</t>
        </is>
      </c>
    </row>
    <row r="4">
      <c r="A4" t="inlineStr">
        <is>
          <t>P2726</t>
        </is>
      </c>
      <c r="B4" t="inlineStr">
        <is>
          <t>Equity</t>
        </is>
      </c>
      <c r="C4" s="9" t="n">
        <v>32386174.47</v>
      </c>
      <c r="D4" s="9" t="n">
        <v>33191204.25</v>
      </c>
      <c r="E4" s="9" t="n">
        <v>3424648.230000001</v>
      </c>
      <c r="F4" s="10" t="n">
        <v>0.1057441419384783</v>
      </c>
      <c r="G4" s="10" t="n">
        <v>0.1031793906664294</v>
      </c>
      <c r="H4" s="9" t="n">
        <v>32617247.62</v>
      </c>
      <c r="I4" s="9" t="n">
        <v>32665708.19</v>
      </c>
      <c r="J4" s="9" t="n">
        <v>48460.57000000402</v>
      </c>
      <c r="K4" s="10" t="n">
        <v>0.1049950096923599</v>
      </c>
      <c r="L4" s="10" t="n">
        <v>1.001485734497422</v>
      </c>
      <c r="M4" s="9" t="n">
        <v>3318936.570000001</v>
      </c>
      <c r="N4" s="9" t="n">
        <v>19483</v>
      </c>
      <c r="O4" s="9" t="n">
        <v>209</v>
      </c>
      <c r="P4" s="9" t="n">
        <v>3371792.400000001</v>
      </c>
      <c r="Q4" s="9" t="n">
        <v>52855.83</v>
      </c>
    </row>
    <row r="5">
      <c r="A5" t="inlineStr">
        <is>
          <t>P2726</t>
        </is>
      </c>
      <c r="B5" t="inlineStr">
        <is>
          <t>Options</t>
        </is>
      </c>
      <c r="C5" s="9" t="n">
        <v>32386174.47</v>
      </c>
      <c r="D5" s="9" t="n">
        <v>33191204.25</v>
      </c>
      <c r="E5" s="9" t="n">
        <v>20610</v>
      </c>
      <c r="F5" s="10" t="n">
        <v>0.0006363826644326726</v>
      </c>
      <c r="G5" s="10" t="n">
        <v>0.0006209476415728423</v>
      </c>
      <c r="H5" s="9" t="n">
        <v>-107958</v>
      </c>
      <c r="I5" s="9" t="n">
        <v>-128568</v>
      </c>
      <c r="J5" s="9" t="n">
        <v>-20610</v>
      </c>
      <c r="K5" s="10" t="n">
        <v>-0.1909075751681209</v>
      </c>
      <c r="L5" s="10" t="n">
        <v>1.190907575168121</v>
      </c>
      <c r="M5" s="9" t="n">
        <v>0</v>
      </c>
      <c r="N5" s="9" t="n">
        <v>0</v>
      </c>
      <c r="O5" s="9" t="n">
        <v>80</v>
      </c>
      <c r="P5" s="9" t="n">
        <v>0</v>
      </c>
      <c r="Q5" s="9" t="n">
        <v>0</v>
      </c>
    </row>
    <row r="6">
      <c r="A6" t="inlineStr">
        <is>
          <t>RDVI</t>
        </is>
      </c>
      <c r="B6" t="inlineStr">
        <is>
          <t>Equity</t>
        </is>
      </c>
      <c r="C6" s="9" t="n">
        <v>3147325018.17</v>
      </c>
      <c r="D6" s="9" t="n">
        <v>3175110589.64</v>
      </c>
      <c r="E6" s="9" t="n">
        <v>1799815.009999999</v>
      </c>
      <c r="F6" s="10" t="n">
        <v>0.000571855464437065</v>
      </c>
      <c r="G6" s="10" t="n">
        <v>0.0005668511250828797</v>
      </c>
      <c r="H6" s="9" t="n">
        <v>3152881622.905</v>
      </c>
      <c r="I6" s="9" t="n">
        <v>3151081807.895</v>
      </c>
      <c r="J6" s="9" t="n">
        <v>-1799815.010000706</v>
      </c>
      <c r="K6" s="10" t="n">
        <v>0.0005708476325037813</v>
      </c>
      <c r="L6" s="10" t="n">
        <v>0.999429152367496</v>
      </c>
      <c r="M6" s="9" t="n">
        <v>-1799815.009999999</v>
      </c>
      <c r="N6" s="9" t="n">
        <v>0</v>
      </c>
      <c r="O6" s="9" t="n">
        <v>10536</v>
      </c>
      <c r="P6" s="9" t="n">
        <v>0</v>
      </c>
      <c r="Q6" s="9" t="n">
        <v>1799815.009999999</v>
      </c>
    </row>
    <row r="7">
      <c r="A7" t="inlineStr">
        <is>
          <t>RDVI</t>
        </is>
      </c>
      <c r="B7" t="inlineStr">
        <is>
          <t>Options</t>
        </is>
      </c>
      <c r="C7" s="9" t="n">
        <v>3147325018.17</v>
      </c>
      <c r="D7" s="9" t="n">
        <v>3175110589.64</v>
      </c>
      <c r="E7" s="9" t="n">
        <v>4695600</v>
      </c>
      <c r="F7" s="10" t="n">
        <v>0.001491933617561442</v>
      </c>
      <c r="G7" s="10" t="n">
        <v>0.001478877622505866</v>
      </c>
      <c r="H7" s="9" t="n">
        <v>0</v>
      </c>
      <c r="I7" s="9" t="n">
        <v>-4695600</v>
      </c>
      <c r="J7" s="9" t="n">
        <v>-4695600</v>
      </c>
      <c r="K7" s="10" t="n">
        <v>0</v>
      </c>
      <c r="L7" s="10" t="n">
        <v>0</v>
      </c>
      <c r="M7" s="9" t="n">
        <v>-4695600</v>
      </c>
      <c r="N7" s="9" t="n">
        <v>0</v>
      </c>
      <c r="O7" s="9" t="n">
        <v>910</v>
      </c>
      <c r="P7" s="9" t="n">
        <v>0</v>
      </c>
      <c r="Q7" s="9" t="n">
        <v>4695600</v>
      </c>
    </row>
    <row r="10">
      <c r="A10" s="2" t="inlineStr">
        <is>
          <t>Trade Activity Details (Top 5 by Market Value)</t>
        </is>
      </c>
    </row>
    <row r="11">
      <c r="A11" s="5" t="inlineStr">
        <is>
          <t>Fund</t>
        </is>
      </c>
      <c r="B11" s="5" t="inlineStr">
        <is>
          <t>Asset Class</t>
        </is>
      </c>
      <c r="C11" s="5" t="inlineStr">
        <is>
          <t>Direction</t>
        </is>
      </c>
      <c r="D11" s="5" t="inlineStr">
        <is>
          <t>Ticker</t>
        </is>
      </c>
      <c r="E11" s="5" t="inlineStr">
        <is>
          <t>Quantity</t>
        </is>
      </c>
      <c r="F11" s="5" t="inlineStr">
        <is>
          <t>Market Value</t>
        </is>
      </c>
    </row>
    <row r="12">
      <c r="A12" t="inlineStr">
        <is>
          <t>P2726</t>
        </is>
      </c>
      <c r="B12" t="inlineStr">
        <is>
          <t>Equity</t>
        </is>
      </c>
      <c r="C12" t="inlineStr">
        <is>
          <t>Buy</t>
        </is>
      </c>
      <c r="D12" t="inlineStr">
        <is>
          <t>AAPL</t>
        </is>
      </c>
      <c r="E12" s="9" t="n">
        <v>1575</v>
      </c>
      <c r="F12" s="9" t="n">
        <v>486391.5</v>
      </c>
    </row>
    <row r="13">
      <c r="B13" t="inlineStr">
        <is>
          <t>Equity</t>
        </is>
      </c>
      <c r="C13" t="inlineStr">
        <is>
          <t>Buy</t>
        </is>
      </c>
      <c r="D13" t="inlineStr">
        <is>
          <t>AMZN</t>
        </is>
      </c>
      <c r="E13" s="9" t="n">
        <v>1181</v>
      </c>
      <c r="F13" s="9" t="n">
        <v>315114.42</v>
      </c>
    </row>
    <row r="14">
      <c r="B14" t="inlineStr">
        <is>
          <t>Equity</t>
        </is>
      </c>
      <c r="C14" t="inlineStr">
        <is>
          <t>Buy</t>
        </is>
      </c>
      <c r="D14" t="inlineStr">
        <is>
          <t>CSCO</t>
        </is>
      </c>
      <c r="E14" s="9" t="n">
        <v>1672</v>
      </c>
      <c r="F14" s="9" t="n">
        <v>201175.04</v>
      </c>
    </row>
    <row r="15">
      <c r="B15" t="inlineStr">
        <is>
          <t>Equity</t>
        </is>
      </c>
      <c r="C15" t="inlineStr">
        <is>
          <t>Buy</t>
        </is>
      </c>
      <c r="D15" t="inlineStr">
        <is>
          <t>BRK/B</t>
        </is>
      </c>
      <c r="E15" s="9" t="n">
        <v>295</v>
      </c>
      <c r="F15" s="9" t="n">
        <v>143387.7</v>
      </c>
    </row>
    <row r="16">
      <c r="B16" t="inlineStr">
        <is>
          <t>Equity</t>
        </is>
      </c>
      <c r="C16" t="inlineStr">
        <is>
          <t>Buy</t>
        </is>
      </c>
      <c r="D16" t="inlineStr">
        <is>
          <t>TSLA</t>
        </is>
      </c>
      <c r="E16" s="9" t="n">
        <v>295</v>
      </c>
      <c r="F16" s="9" t="n">
        <v>125593.3</v>
      </c>
    </row>
    <row r="17">
      <c r="B17" t="inlineStr">
        <is>
          <t>Equity</t>
        </is>
      </c>
      <c r="C17" t="inlineStr">
        <is>
          <t>Sell</t>
        </is>
      </c>
      <c r="D17" t="inlineStr">
        <is>
          <t>NVDA</t>
        </is>
      </c>
      <c r="E17" s="9" t="n">
        <v>41</v>
      </c>
      <c r="F17" s="9" t="n">
        <v>8827.710000000001</v>
      </c>
    </row>
    <row r="18">
      <c r="B18" t="inlineStr">
        <is>
          <t>Equity</t>
        </is>
      </c>
      <c r="C18" t="inlineStr">
        <is>
          <t>Sell</t>
        </is>
      </c>
      <c r="D18" t="inlineStr">
        <is>
          <t>MSFT</t>
        </is>
      </c>
      <c r="E18" s="9" t="n">
        <v>12</v>
      </c>
      <c r="F18" s="9" t="n">
        <v>5020.08</v>
      </c>
    </row>
    <row r="19">
      <c r="B19" t="inlineStr">
        <is>
          <t>Equity</t>
        </is>
      </c>
      <c r="C19" t="inlineStr">
        <is>
          <t>Sell</t>
        </is>
      </c>
      <c r="D19" t="inlineStr">
        <is>
          <t>GOOGL</t>
        </is>
      </c>
      <c r="E19" s="9" t="n">
        <v>10</v>
      </c>
      <c r="F19" s="9" t="n">
        <v>3824.9</v>
      </c>
    </row>
    <row r="20">
      <c r="B20" t="inlineStr">
        <is>
          <t>Equity</t>
        </is>
      </c>
      <c r="C20" t="inlineStr">
        <is>
          <t>Sell</t>
        </is>
      </c>
      <c r="D20" t="inlineStr">
        <is>
          <t>AVGO</t>
        </is>
      </c>
      <c r="E20" s="9" t="n">
        <v>9</v>
      </c>
      <c r="F20" s="9" t="n">
        <v>3712.14</v>
      </c>
    </row>
    <row r="21">
      <c r="B21" t="inlineStr">
        <is>
          <t>Equity</t>
        </is>
      </c>
      <c r="C21" t="inlineStr">
        <is>
          <t>Sell</t>
        </is>
      </c>
      <c r="D21" t="inlineStr">
        <is>
          <t>GOOG</t>
        </is>
      </c>
      <c r="E21" s="9" t="n">
        <v>9</v>
      </c>
      <c r="F21" s="9" t="n">
        <v>3410.64</v>
      </c>
    </row>
    <row r="24">
      <c r="A24" t="inlineStr">
        <is>
          <t>RDVI</t>
        </is>
      </c>
      <c r="B24" t="inlineStr">
        <is>
          <t>Equity</t>
        </is>
      </c>
      <c r="C24" t="inlineStr">
        <is>
          <t>Sell</t>
        </is>
      </c>
      <c r="D24" t="inlineStr">
        <is>
          <t>LRCX</t>
        </is>
      </c>
      <c r="E24" s="9" t="n">
        <v>257</v>
      </c>
      <c r="F24" s="9" t="n">
        <v>78680.54999999999</v>
      </c>
    </row>
    <row r="25">
      <c r="B25" t="inlineStr">
        <is>
          <t>Equity</t>
        </is>
      </c>
      <c r="C25" t="inlineStr">
        <is>
          <t>Sell</t>
        </is>
      </c>
      <c r="D25" t="inlineStr">
        <is>
          <t>AMAT</t>
        </is>
      </c>
      <c r="E25" s="9" t="n">
        <v>148</v>
      </c>
      <c r="F25" s="9" t="n">
        <v>64166.88</v>
      </c>
    </row>
    <row r="26">
      <c r="B26" t="inlineStr">
        <is>
          <t>Equity</t>
        </is>
      </c>
      <c r="C26" t="inlineStr">
        <is>
          <t>Sell</t>
        </is>
      </c>
      <c r="D26" t="inlineStr">
        <is>
          <t>KLAC</t>
        </is>
      </c>
      <c r="E26" s="9" t="n">
        <v>32</v>
      </c>
      <c r="F26" s="9" t="n">
        <v>60625.76</v>
      </c>
    </row>
    <row r="27">
      <c r="B27" t="inlineStr">
        <is>
          <t>Equity</t>
        </is>
      </c>
      <c r="C27" t="inlineStr">
        <is>
          <t>Sell</t>
        </is>
      </c>
      <c r="D27" t="inlineStr">
        <is>
          <t>GEV</t>
        </is>
      </c>
      <c r="E27" s="9" t="n">
        <v>55</v>
      </c>
      <c r="F27" s="9" t="n">
        <v>57212.37499999999</v>
      </c>
    </row>
    <row r="28">
      <c r="B28" t="inlineStr">
        <is>
          <t>Equity</t>
        </is>
      </c>
      <c r="C28" t="inlineStr">
        <is>
          <t>Sell</t>
        </is>
      </c>
      <c r="D28" t="inlineStr">
        <is>
          <t>GOOGL</t>
        </is>
      </c>
      <c r="E28" s="9" t="n">
        <v>131</v>
      </c>
      <c r="F28" s="9" t="n">
        <v>50192.64999999999</v>
      </c>
    </row>
    <row r="30">
      <c r="B30" t="inlineStr">
        <is>
          <t>Options</t>
        </is>
      </c>
      <c r="C30" t="inlineStr">
        <is>
          <t>Sell</t>
        </is>
      </c>
      <c r="D30" t="inlineStr">
        <is>
          <t>SPXW US 05/29/26 C7480</t>
        </is>
      </c>
      <c r="E30" s="9" t="n">
        <v>910</v>
      </c>
      <c r="F30" s="9" t="n">
        <v>4695600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8" t="inlineStr">
        <is>
          <t>Fund Name</t>
        </is>
      </c>
      <c r="B1" s="8" t="inlineStr">
        <is>
          <t>Compliance Check</t>
        </is>
      </c>
      <c r="C1" s="8" t="inlineStr">
        <is>
          <t>Status Before</t>
        </is>
      </c>
      <c r="D1" s="8" t="inlineStr">
        <is>
          <t>Status After</t>
        </is>
      </c>
      <c r="E1" s="8" t="inlineStr">
        <is>
          <t>Violations Before</t>
        </is>
      </c>
      <c r="F1" s="8" t="inlineStr">
        <is>
          <t>Violations After</t>
        </is>
      </c>
      <c r="G1" s="8" t="inlineStr">
        <is>
          <t>Changed</t>
        </is>
      </c>
    </row>
    <row r="2">
      <c r="A2" t="inlineStr">
        <is>
          <t>P2726</t>
        </is>
      </c>
      <c r="B2" t="inlineStr">
        <is>
          <t>commodities_check</t>
        </is>
      </c>
      <c r="C2" t="inlineStr">
        <is>
          <t>PASS</t>
        </is>
      </c>
      <c r="D2" t="inlineStr">
        <is>
          <t>PASS</t>
        </is>
      </c>
      <c r="E2" t="n">
        <v>0</v>
      </c>
      <c r="F2" t="n">
        <v>0</v>
      </c>
      <c r="G2" t="inlineStr">
        <is>
          <t>NO</t>
        </is>
      </c>
    </row>
    <row r="3">
      <c r="A3" t="inlineStr">
        <is>
          <t>P2726</t>
        </is>
      </c>
      <c r="B3" t="inlineStr">
        <is>
          <t>diversification_40act_check</t>
        </is>
      </c>
      <c r="C3" t="inlineStr">
        <is>
          <t>PASS</t>
        </is>
      </c>
      <c r="D3" t="inlineStr">
        <is>
          <t>PASS</t>
        </is>
      </c>
      <c r="E3" t="n">
        <v>0</v>
      </c>
      <c r="F3" t="n">
        <v>0</v>
      </c>
      <c r="G3" t="inlineStr">
        <is>
          <t>NO</t>
        </is>
      </c>
    </row>
    <row r="4">
      <c r="A4" t="inlineStr">
        <is>
          <t>P2726</t>
        </is>
      </c>
      <c r="B4" t="inlineStr">
        <is>
          <t>diversification_IRS_check</t>
        </is>
      </c>
      <c r="C4" t="inlineStr">
        <is>
          <t>PASS</t>
        </is>
      </c>
      <c r="D4" t="inlineStr">
        <is>
          <t>PASS</t>
        </is>
      </c>
      <c r="E4" t="n">
        <v>0</v>
      </c>
      <c r="F4" t="n">
        <v>0</v>
      </c>
      <c r="G4" t="inlineStr">
        <is>
          <t>NO</t>
        </is>
      </c>
    </row>
    <row r="5">
      <c r="A5" t="inlineStr">
        <is>
          <t>P2726</t>
        </is>
      </c>
      <c r="B5" t="inlineStr">
        <is>
          <t>gics_compliance</t>
        </is>
      </c>
      <c r="C5" t="inlineStr">
        <is>
          <t>PASS</t>
        </is>
      </c>
      <c r="D5" t="inlineStr">
        <is>
          <t>PASS</t>
        </is>
      </c>
      <c r="E5" t="n">
        <v>0</v>
      </c>
      <c r="F5" t="n">
        <v>0</v>
      </c>
      <c r="G5" t="inlineStr">
        <is>
          <t>NO</t>
        </is>
      </c>
    </row>
    <row r="6">
      <c r="A6" t="inlineStr">
        <is>
          <t>P2726</t>
        </is>
      </c>
      <c r="B6" t="inlineStr">
        <is>
          <t>max_15pct_illiquid_sai</t>
        </is>
      </c>
      <c r="C6" t="inlineStr">
        <is>
          <t>PASS</t>
        </is>
      </c>
      <c r="D6" t="inlineStr">
        <is>
          <t>PASS</t>
        </is>
      </c>
      <c r="E6" t="n">
        <v>0</v>
      </c>
      <c r="F6" t="n">
        <v>0</v>
      </c>
      <c r="G6" t="inlineStr">
        <is>
          <t>NO</t>
        </is>
      </c>
    </row>
    <row r="7">
      <c r="A7" t="inlineStr">
        <is>
          <t>P2726</t>
        </is>
      </c>
      <c r="B7" t="inlineStr">
        <is>
          <t>prospectus_80pct_policy</t>
        </is>
      </c>
      <c r="C7" t="inlineStr">
        <is>
          <t>PASS</t>
        </is>
      </c>
      <c r="D7" t="inlineStr">
        <is>
          <t>PASS</t>
        </is>
      </c>
      <c r="E7" t="n">
        <v>0</v>
      </c>
      <c r="F7" t="n">
        <v>0</v>
      </c>
      <c r="G7" t="inlineStr">
        <is>
          <t>NO</t>
        </is>
      </c>
    </row>
    <row r="8">
      <c r="A8" t="inlineStr">
        <is>
          <t>P2726</t>
        </is>
      </c>
      <c r="B8" t="inlineStr">
        <is>
          <t>real_estate_check</t>
        </is>
      </c>
      <c r="C8" t="inlineStr">
        <is>
          <t>PASS</t>
        </is>
      </c>
      <c r="D8" t="inlineStr">
        <is>
          <t>PASS</t>
        </is>
      </c>
      <c r="E8" t="n">
        <v>0</v>
      </c>
      <c r="F8" t="n">
        <v>0</v>
      </c>
      <c r="G8" t="inlineStr">
        <is>
          <t>NO</t>
        </is>
      </c>
    </row>
    <row r="9">
      <c r="A9" t="inlineStr">
        <is>
          <t>P2726</t>
        </is>
      </c>
      <c r="B9" t="inlineStr">
        <is>
          <t>twelve_d1a_other_inv_cos</t>
        </is>
      </c>
      <c r="C9" t="inlineStr">
        <is>
          <t>PASS</t>
        </is>
      </c>
      <c r="D9" t="inlineStr">
        <is>
          <t>PASS</t>
        </is>
      </c>
      <c r="E9" t="n">
        <v>0</v>
      </c>
      <c r="F9" t="n">
        <v>0</v>
      </c>
      <c r="G9" t="inlineStr">
        <is>
          <t>NO</t>
        </is>
      </c>
    </row>
    <row r="10">
      <c r="A10" t="inlineStr">
        <is>
          <t>P2726</t>
        </is>
      </c>
      <c r="B10" t="inlineStr">
        <is>
          <t>twelve_d2_insurance_cos</t>
        </is>
      </c>
      <c r="C10" t="inlineStr">
        <is>
          <t>PASS</t>
        </is>
      </c>
      <c r="D10" t="inlineStr">
        <is>
          <t>PASS</t>
        </is>
      </c>
      <c r="E10" t="n">
        <v>0</v>
      </c>
      <c r="F10" t="n">
        <v>0</v>
      </c>
      <c r="G10" t="inlineStr">
        <is>
          <t>NO</t>
        </is>
      </c>
    </row>
    <row r="11">
      <c r="A11" t="inlineStr">
        <is>
          <t>P2726</t>
        </is>
      </c>
      <c r="B11" t="inlineStr">
        <is>
          <t>twelve_d3_sec_biz</t>
        </is>
      </c>
      <c r="C11" t="inlineStr">
        <is>
          <t>PASS</t>
        </is>
      </c>
      <c r="D11" t="inlineStr">
        <is>
          <t>PASS</t>
        </is>
      </c>
      <c r="E11" t="n">
        <v>0</v>
      </c>
      <c r="F11" t="n">
        <v>0</v>
      </c>
      <c r="G11" t="inlineStr">
        <is>
          <t>NO</t>
        </is>
      </c>
    </row>
    <row r="12">
      <c r="A12" t="inlineStr">
        <is>
          <t>RDVI</t>
        </is>
      </c>
      <c r="B12" t="inlineStr">
        <is>
          <t>commodities_check</t>
        </is>
      </c>
      <c r="C12" t="inlineStr">
        <is>
          <t>PASS</t>
        </is>
      </c>
      <c r="D12" t="inlineStr">
        <is>
          <t>PASS</t>
        </is>
      </c>
      <c r="E12" t="n">
        <v>0</v>
      </c>
      <c r="F12" t="n">
        <v>0</v>
      </c>
      <c r="G12" t="inlineStr">
        <is>
          <t>NO</t>
        </is>
      </c>
    </row>
    <row r="13">
      <c r="A13" s="7" t="inlineStr">
        <is>
          <t>RDVI</t>
        </is>
      </c>
      <c r="B13" s="7" t="inlineStr">
        <is>
          <t>diversification_40act_check</t>
        </is>
      </c>
      <c r="C13" s="7" t="inlineStr">
        <is>
          <t>FAIL</t>
        </is>
      </c>
      <c r="D13" s="7" t="inlineStr">
        <is>
          <t>FAIL</t>
        </is>
      </c>
      <c r="E13" s="7" t="n">
        <v>1</v>
      </c>
      <c r="F13" s="7" t="n">
        <v>1</v>
      </c>
      <c r="G13" s="7" t="inlineStr">
        <is>
          <t>NO</t>
        </is>
      </c>
    </row>
    <row r="14">
      <c r="A14" t="inlineStr">
        <is>
          <t>RDVI</t>
        </is>
      </c>
      <c r="B14" t="inlineStr">
        <is>
          <t>diversification_IRS_check</t>
        </is>
      </c>
      <c r="C14" t="inlineStr">
        <is>
          <t>PASS</t>
        </is>
      </c>
      <c r="D14" t="inlineStr">
        <is>
          <t>PASS</t>
        </is>
      </c>
      <c r="E14" t="n">
        <v>0</v>
      </c>
      <c r="F14" t="n">
        <v>0</v>
      </c>
      <c r="G14" t="inlineStr">
        <is>
          <t>NO</t>
        </is>
      </c>
    </row>
    <row r="15">
      <c r="A15" t="inlineStr">
        <is>
          <t>RDVI</t>
        </is>
      </c>
      <c r="B15" t="inlineStr">
        <is>
          <t>gics_compliance</t>
        </is>
      </c>
      <c r="C15" t="inlineStr">
        <is>
          <t>PASS</t>
        </is>
      </c>
      <c r="D15" t="inlineStr">
        <is>
          <t>PASS</t>
        </is>
      </c>
      <c r="E15" t="n">
        <v>0</v>
      </c>
      <c r="F15" t="n">
        <v>0</v>
      </c>
      <c r="G15" t="inlineStr">
        <is>
          <t>NO</t>
        </is>
      </c>
    </row>
    <row r="16">
      <c r="A16" t="inlineStr">
        <is>
          <t>RDVI</t>
        </is>
      </c>
      <c r="B16" t="inlineStr">
        <is>
          <t>max_15pct_illiquid_sai</t>
        </is>
      </c>
      <c r="C16" t="inlineStr">
        <is>
          <t>PASS</t>
        </is>
      </c>
      <c r="D16" t="inlineStr">
        <is>
          <t>PASS</t>
        </is>
      </c>
      <c r="E16" t="n">
        <v>0</v>
      </c>
      <c r="F16" t="n">
        <v>0</v>
      </c>
      <c r="G16" t="inlineStr">
        <is>
          <t>NO</t>
        </is>
      </c>
    </row>
    <row r="17">
      <c r="A17" t="inlineStr">
        <is>
          <t>RDVI</t>
        </is>
      </c>
      <c r="B17" t="inlineStr">
        <is>
          <t>prospectus_80pct_policy</t>
        </is>
      </c>
      <c r="C17" t="inlineStr">
        <is>
          <t>PASS</t>
        </is>
      </c>
      <c r="D17" t="inlineStr">
        <is>
          <t>PASS</t>
        </is>
      </c>
      <c r="E17" t="n">
        <v>0</v>
      </c>
      <c r="F17" t="n">
        <v>0</v>
      </c>
      <c r="G17" t="inlineStr">
        <is>
          <t>NO</t>
        </is>
      </c>
    </row>
    <row r="18">
      <c r="A18" t="inlineStr">
        <is>
          <t>RDVI</t>
        </is>
      </c>
      <c r="B18" t="inlineStr">
        <is>
          <t>real_estate_check</t>
        </is>
      </c>
      <c r="C18" t="inlineStr">
        <is>
          <t>PASS</t>
        </is>
      </c>
      <c r="D18" t="inlineStr">
        <is>
          <t>PASS</t>
        </is>
      </c>
      <c r="E18" t="n">
        <v>0</v>
      </c>
      <c r="F18" t="n">
        <v>0</v>
      </c>
      <c r="G18" t="inlineStr">
        <is>
          <t>NO</t>
        </is>
      </c>
    </row>
    <row r="19">
      <c r="A19" t="inlineStr">
        <is>
          <t>RDVI</t>
        </is>
      </c>
      <c r="B19" t="inlineStr">
        <is>
          <t>twelve_d1a_other_inv_cos</t>
        </is>
      </c>
      <c r="C19" t="inlineStr">
        <is>
          <t>PASS</t>
        </is>
      </c>
      <c r="D19" t="inlineStr">
        <is>
          <t>PASS</t>
        </is>
      </c>
      <c r="E19" t="n">
        <v>0</v>
      </c>
      <c r="F19" t="n">
        <v>0</v>
      </c>
      <c r="G19" t="inlineStr">
        <is>
          <t>NO</t>
        </is>
      </c>
    </row>
    <row r="20">
      <c r="A20" t="inlineStr">
        <is>
          <t>RDVI</t>
        </is>
      </c>
      <c r="B20" t="inlineStr">
        <is>
          <t>twelve_d2_insurance_cos</t>
        </is>
      </c>
      <c r="C20" t="inlineStr">
        <is>
          <t>PASS</t>
        </is>
      </c>
      <c r="D20" t="inlineStr">
        <is>
          <t>PASS</t>
        </is>
      </c>
      <c r="E20" t="n">
        <v>0</v>
      </c>
      <c r="F20" t="n">
        <v>0</v>
      </c>
      <c r="G20" t="inlineStr">
        <is>
          <t>NO</t>
        </is>
      </c>
    </row>
    <row r="21">
      <c r="A21" t="inlineStr">
        <is>
          <t>RDVI</t>
        </is>
      </c>
      <c r="B21" t="inlineStr">
        <is>
          <t>twelve_d3_sec_biz</t>
        </is>
      </c>
      <c r="C21" t="inlineStr">
        <is>
          <t>PASS</t>
        </is>
      </c>
      <c r="D21" t="inlineStr">
        <is>
          <t>PASS</t>
        </is>
      </c>
      <c r="E21" t="n">
        <v>0</v>
      </c>
      <c r="F21" t="n">
        <v>0</v>
      </c>
      <c r="G21"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50" customWidth="1" min="1" max="1"/>
    <col width="7" customWidth="1" min="2" max="2"/>
    <col width="25" customWidth="1" min="3" max="3"/>
    <col width="22" customWidth="1" min="4" max="4"/>
    <col width="28" customWidth="1" min="5" max="5"/>
    <col width="29" customWidth="1" min="6" max="6"/>
    <col width="35" customWidth="1" min="7" max="7"/>
    <col width="36" customWidth="1" min="8" max="8"/>
    <col width="27" customWidth="1" min="9" max="9"/>
  </cols>
  <sheetData>
    <row r="1">
      <c r="A1" t="inlineStr">
        <is>
          <t>Date</t>
        </is>
      </c>
      <c r="B1" t="inlineStr">
        <is>
          <t>Fund</t>
        </is>
      </c>
      <c r="C1" t="inlineStr">
        <is>
          <t>Overall GICS Compliance</t>
        </is>
      </c>
      <c r="D1" t="inlineStr">
        <is>
          <t>Industry Exceeds 25%</t>
        </is>
      </c>
      <c r="E1" t="inlineStr">
        <is>
          <t>Industry Group Exceeds 25%</t>
        </is>
      </c>
      <c r="F1" t="inlineStr">
        <is>
          <t>Index Industry Exceeds 25%?</t>
        </is>
      </c>
      <c r="G1" t="inlineStr">
        <is>
          <t>Index Industry Group Exceeds 25%?</t>
        </is>
      </c>
      <c r="H1" t="inlineStr">
        <is>
          <t>Can Fund exceed 25% if Index does?</t>
        </is>
      </c>
      <c r="I1" t="inlineStr">
        <is>
          <t>Exceptions to Conc Policy</t>
        </is>
      </c>
    </row>
    <row r="2">
      <c r="A2" s="11" t="n">
        <v>46164</v>
      </c>
      <c r="B2" t="inlineStr">
        <is>
          <t>P2726</t>
        </is>
      </c>
      <c r="C2" t="inlineStr">
        <is>
          <t>PASS</t>
        </is>
      </c>
      <c r="D2" t="b">
        <v>0</v>
      </c>
      <c r="E2" t="b">
        <v>0</v>
      </c>
      <c r="F2" t="b">
        <v>0</v>
      </c>
      <c r="G2" t="b">
        <v>0</v>
      </c>
      <c r="H2" t="inlineStr">
        <is>
          <t>No</t>
        </is>
      </c>
    </row>
    <row r="3">
      <c r="A3" s="11" t="n">
        <v>46164</v>
      </c>
      <c r="B3" t="inlineStr">
        <is>
          <t>RDVI</t>
        </is>
      </c>
      <c r="C3" t="inlineStr">
        <is>
          <t>PASS</t>
        </is>
      </c>
      <c r="D3" t="b">
        <v>0</v>
      </c>
      <c r="E3" t="b">
        <v>0</v>
      </c>
      <c r="F3" t="b">
        <v>0</v>
      </c>
      <c r="G3" t="b">
        <v>0</v>
      </c>
      <c r="H3" t="inlineStr">
        <is>
          <t>No</t>
        </is>
      </c>
    </row>
    <row r="4">
      <c r="A4"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cols>
    <col width="12" customWidth="1" min="1" max="1"/>
    <col width="7"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t="inlineStr">
        <is>
          <t>Date</t>
        </is>
      </c>
      <c r="B1" t="inlineStr">
        <is>
          <t>Fund</t>
        </is>
      </c>
      <c r="C1" t="inlineStr">
        <is>
          <t>GICS_Class</t>
        </is>
      </c>
      <c r="D1" t="inlineStr">
        <is>
          <t>GICS_Class Value</t>
        </is>
      </c>
      <c r="E1" t="inlineStr">
        <is>
          <t>GICS_SECTOR_NAME</t>
        </is>
      </c>
      <c r="F1" t="inlineStr">
        <is>
          <t>Exceeding_Fund_25%?</t>
        </is>
      </c>
      <c r="G1" t="inlineStr">
        <is>
          <t>Exceeding_Index_25%?</t>
        </is>
      </c>
      <c r="H1" t="inlineStr">
        <is>
          <t>Fund_Weight</t>
        </is>
      </c>
      <c r="I1" t="inlineStr">
        <is>
          <t>Index_Weight</t>
        </is>
      </c>
    </row>
    <row r="2">
      <c r="A2" s="11" t="n">
        <v>46164</v>
      </c>
      <c r="B2" t="inlineStr">
        <is>
          <t>P2726</t>
        </is>
      </c>
      <c r="C2" t="inlineStr">
        <is>
          <t>GICS_INDUSTRY_GROUP_NAME</t>
        </is>
      </c>
      <c r="D2" t="inlineStr">
        <is>
          <t>Semiconductors &amp; Semiconductor Equipment</t>
        </is>
      </c>
      <c r="E2" t="inlineStr">
        <is>
          <t>Information Technology</t>
        </is>
      </c>
      <c r="H2" t="inlineStr">
        <is>
          <t>17.69%</t>
        </is>
      </c>
      <c r="I2" t="inlineStr">
        <is>
          <t>0.00%</t>
        </is>
      </c>
    </row>
    <row r="3">
      <c r="A3" s="11" t="n">
        <v>46164</v>
      </c>
      <c r="B3" t="inlineStr">
        <is>
          <t>P2726</t>
        </is>
      </c>
      <c r="C3" t="inlineStr">
        <is>
          <t>GICS_INDUSTRY_NAME</t>
        </is>
      </c>
      <c r="D3" t="inlineStr">
        <is>
          <t>Semiconductors &amp; Semiconductor Equipment</t>
        </is>
      </c>
      <c r="E3" t="inlineStr">
        <is>
          <t>Information Technology</t>
        </is>
      </c>
      <c r="H3" t="inlineStr">
        <is>
          <t>17.69%</t>
        </is>
      </c>
      <c r="I3" t="inlineStr">
        <is>
          <t>0.00%</t>
        </is>
      </c>
    </row>
    <row r="4">
      <c r="A4" s="11" t="n">
        <v>46164</v>
      </c>
      <c r="B4" t="inlineStr">
        <is>
          <t>P2726</t>
        </is>
      </c>
      <c r="C4" t="inlineStr">
        <is>
          <t>GICS_INDUSTRY_GROUP_NAME</t>
        </is>
      </c>
      <c r="D4" t="inlineStr">
        <is>
          <t>Technology Hardware &amp; Equipment</t>
        </is>
      </c>
      <c r="E4" t="inlineStr">
        <is>
          <t>Information Technology</t>
        </is>
      </c>
      <c r="H4" t="inlineStr">
        <is>
          <t>10.01%</t>
        </is>
      </c>
      <c r="I4" t="inlineStr">
        <is>
          <t>0.00%</t>
        </is>
      </c>
    </row>
    <row r="5">
      <c r="A5" s="11" t="n">
        <v>46164</v>
      </c>
      <c r="B5" t="inlineStr">
        <is>
          <t>P2726</t>
        </is>
      </c>
      <c r="C5" t="inlineStr">
        <is>
          <t>GICS_INDUSTRY_GROUP_NAME</t>
        </is>
      </c>
      <c r="D5" t="inlineStr">
        <is>
          <t>Media &amp; Entertainment</t>
        </is>
      </c>
      <c r="E5" t="inlineStr">
        <is>
          <t>Communication Services</t>
        </is>
      </c>
      <c r="H5" t="inlineStr">
        <is>
          <t>9.51%</t>
        </is>
      </c>
      <c r="I5" t="inlineStr">
        <is>
          <t>0.00%</t>
        </is>
      </c>
    </row>
    <row r="6">
      <c r="A6" s="11" t="n">
        <v>46164</v>
      </c>
      <c r="B6" t="inlineStr">
        <is>
          <t>P2726</t>
        </is>
      </c>
      <c r="C6" t="inlineStr">
        <is>
          <t>GICS_INDUSTRY_NAME</t>
        </is>
      </c>
      <c r="D6" t="inlineStr">
        <is>
          <t>Interactive Media &amp; Services</t>
        </is>
      </c>
      <c r="E6" t="inlineStr">
        <is>
          <t>Communication Services</t>
        </is>
      </c>
      <c r="H6" t="inlineStr">
        <is>
          <t>8.52%</t>
        </is>
      </c>
      <c r="I6" t="inlineStr">
        <is>
          <t>0.00%</t>
        </is>
      </c>
    </row>
    <row r="7">
      <c r="A7" s="11" t="n">
        <v>46164</v>
      </c>
      <c r="B7" t="inlineStr">
        <is>
          <t>P2726</t>
        </is>
      </c>
      <c r="C7" t="inlineStr">
        <is>
          <t>GICS_INDUSTRY_GROUP_NAME</t>
        </is>
      </c>
      <c r="D7" t="inlineStr">
        <is>
          <t>Software &amp; Services</t>
        </is>
      </c>
      <c r="E7" t="inlineStr">
        <is>
          <t>Information Technology</t>
        </is>
      </c>
      <c r="H7" t="inlineStr">
        <is>
          <t>8.31%</t>
        </is>
      </c>
      <c r="I7" t="inlineStr">
        <is>
          <t>0.00%</t>
        </is>
      </c>
    </row>
    <row r="8">
      <c r="A8" s="11" t="n">
        <v>46164</v>
      </c>
      <c r="B8" t="inlineStr">
        <is>
          <t>P2726</t>
        </is>
      </c>
      <c r="C8" t="inlineStr">
        <is>
          <t>GICS_INDUSTRY_NAME</t>
        </is>
      </c>
      <c r="D8" t="inlineStr">
        <is>
          <t>Software</t>
        </is>
      </c>
      <c r="E8" t="inlineStr">
        <is>
          <t>Information Technology</t>
        </is>
      </c>
      <c r="H8" t="inlineStr">
        <is>
          <t>7.47%</t>
        </is>
      </c>
      <c r="I8" t="inlineStr">
        <is>
          <t>0.00%</t>
        </is>
      </c>
    </row>
    <row r="9">
      <c r="A9" s="11" t="n">
        <v>46164</v>
      </c>
      <c r="B9" t="inlineStr">
        <is>
          <t>P2726</t>
        </is>
      </c>
      <c r="C9" t="inlineStr">
        <is>
          <t>GICS_INDUSTRY_NAME</t>
        </is>
      </c>
      <c r="D9" t="inlineStr">
        <is>
          <t>Technology Hardware, Storage &amp; Peripherals</t>
        </is>
      </c>
      <c r="E9" t="inlineStr">
        <is>
          <t>Information Technology</t>
        </is>
      </c>
      <c r="H9" t="inlineStr">
        <is>
          <t>7.04%</t>
        </is>
      </c>
      <c r="I9" t="inlineStr">
        <is>
          <t>0.00%</t>
        </is>
      </c>
    </row>
    <row r="10">
      <c r="A10" s="11" t="n">
        <v>46164</v>
      </c>
      <c r="B10" t="inlineStr">
        <is>
          <t>P2726</t>
        </is>
      </c>
      <c r="C10" t="inlineStr">
        <is>
          <t>GICS_INDUSTRY_GROUP_NAME</t>
        </is>
      </c>
      <c r="D10" t="inlineStr">
        <is>
          <t>Financial Services</t>
        </is>
      </c>
      <c r="E10" t="inlineStr">
        <is>
          <t>Financials</t>
        </is>
      </c>
      <c r="H10" t="inlineStr">
        <is>
          <t>6.99%</t>
        </is>
      </c>
      <c r="I10" t="inlineStr">
        <is>
          <t>0.00%</t>
        </is>
      </c>
    </row>
    <row r="11">
      <c r="A11" s="11" t="n">
        <v>46164</v>
      </c>
      <c r="B11" t="inlineStr">
        <is>
          <t>P2726</t>
        </is>
      </c>
      <c r="C11" t="inlineStr">
        <is>
          <t>GICS_INDUSTRY_GROUP_NAME</t>
        </is>
      </c>
      <c r="D11" t="inlineStr">
        <is>
          <t>Capital Goods</t>
        </is>
      </c>
      <c r="E11" t="inlineStr">
        <is>
          <t>Industrials</t>
        </is>
      </c>
      <c r="H11" t="inlineStr">
        <is>
          <t>5.93%</t>
        </is>
      </c>
      <c r="I11" t="inlineStr">
        <is>
          <t>0.00%</t>
        </is>
      </c>
    </row>
    <row r="12">
      <c r="A12" s="11" t="n">
        <v>46164</v>
      </c>
      <c r="B12" t="inlineStr">
        <is>
          <t>P2726</t>
        </is>
      </c>
      <c r="C12" t="inlineStr">
        <is>
          <t>GICS_INDUSTRY_GROUP_NAME</t>
        </is>
      </c>
      <c r="D12" t="inlineStr">
        <is>
          <t>Consumer Discretionary Distribution &amp; Retail</t>
        </is>
      </c>
      <c r="E12" t="inlineStr">
        <is>
          <t>Consumer Discretionary</t>
        </is>
      </c>
      <c r="H12" t="inlineStr">
        <is>
          <t>5.67%</t>
        </is>
      </c>
      <c r="I12" t="inlineStr">
        <is>
          <t>0.00%</t>
        </is>
      </c>
    </row>
    <row r="13">
      <c r="A13" s="11" t="n">
        <v>46164</v>
      </c>
      <c r="B13" t="inlineStr">
        <is>
          <t>P2726</t>
        </is>
      </c>
      <c r="C13" t="inlineStr">
        <is>
          <t>GICS_INDUSTRY_GROUP_NAME</t>
        </is>
      </c>
      <c r="D13" t="inlineStr">
        <is>
          <t>Pharmaceuticals, Biotechnology &amp; Life Sciences</t>
        </is>
      </c>
      <c r="E13" t="inlineStr">
        <is>
          <t>Health Care</t>
        </is>
      </c>
      <c r="H13" t="inlineStr">
        <is>
          <t>5.42%</t>
        </is>
      </c>
      <c r="I13" t="inlineStr">
        <is>
          <t>0.00%</t>
        </is>
      </c>
    </row>
    <row r="14">
      <c r="A14" s="11" t="n">
        <v>46164</v>
      </c>
      <c r="B14" t="inlineStr">
        <is>
          <t>P2726</t>
        </is>
      </c>
      <c r="C14" t="inlineStr">
        <is>
          <t>GICS_INDUSTRY_NAME</t>
        </is>
      </c>
      <c r="D14" t="inlineStr">
        <is>
          <t>Broadline Retail</t>
        </is>
      </c>
      <c r="E14" t="inlineStr">
        <is>
          <t>Consumer Discretionary</t>
        </is>
      </c>
      <c r="H14" t="inlineStr">
        <is>
          <t>4.59%</t>
        </is>
      </c>
      <c r="I14" t="inlineStr">
        <is>
          <t>0.00%</t>
        </is>
      </c>
    </row>
    <row r="15">
      <c r="A15" s="11" t="n">
        <v>46164</v>
      </c>
      <c r="B15" t="inlineStr">
        <is>
          <t>P2726</t>
        </is>
      </c>
      <c r="C15" t="inlineStr">
        <is>
          <t>GICS_INDUSTRY_NAME</t>
        </is>
      </c>
      <c r="D15" t="inlineStr">
        <is>
          <t>Financial Services</t>
        </is>
      </c>
      <c r="E15" t="inlineStr">
        <is>
          <t>Financials</t>
        </is>
      </c>
      <c r="H15" t="inlineStr">
        <is>
          <t>4.36%</t>
        </is>
      </c>
      <c r="I15" t="inlineStr">
        <is>
          <t>0.00%</t>
        </is>
      </c>
    </row>
    <row r="16">
      <c r="A16" s="11" t="n">
        <v>46164</v>
      </c>
      <c r="B16" t="inlineStr">
        <is>
          <t>P2726</t>
        </is>
      </c>
      <c r="C16" t="inlineStr">
        <is>
          <t>GICS_INDUSTRY_NAME</t>
        </is>
      </c>
      <c r="D16" t="inlineStr">
        <is>
          <t>Pharmaceuticals</t>
        </is>
      </c>
      <c r="E16" t="inlineStr">
        <is>
          <t>Health Care</t>
        </is>
      </c>
      <c r="H16" t="inlineStr">
        <is>
          <t>3.60%</t>
        </is>
      </c>
      <c r="I16" t="inlineStr">
        <is>
          <t>0.00%</t>
        </is>
      </c>
    </row>
    <row r="17">
      <c r="A17" s="11" t="n">
        <v>46164</v>
      </c>
      <c r="B17" t="inlineStr">
        <is>
          <t>P2726</t>
        </is>
      </c>
      <c r="C17" t="inlineStr">
        <is>
          <t>GICS_INDUSTRY_GROUP_NAME</t>
        </is>
      </c>
      <c r="D17" t="inlineStr">
        <is>
          <t>Energy</t>
        </is>
      </c>
      <c r="E17" t="inlineStr">
        <is>
          <t>Energy</t>
        </is>
      </c>
      <c r="H17" t="inlineStr">
        <is>
          <t>3.33%</t>
        </is>
      </c>
      <c r="I17" t="inlineStr">
        <is>
          <t>0.00%</t>
        </is>
      </c>
    </row>
    <row r="18">
      <c r="A18" s="11" t="n">
        <v>46164</v>
      </c>
      <c r="B18" t="inlineStr">
        <is>
          <t>P2726</t>
        </is>
      </c>
      <c r="C18" t="inlineStr">
        <is>
          <t>GICS_INDUSTRY_NAME</t>
        </is>
      </c>
      <c r="D18" t="inlineStr">
        <is>
          <t>Oil, Gas &amp; Consumable Fuels</t>
        </is>
      </c>
      <c r="E18" t="inlineStr">
        <is>
          <t>Energy</t>
        </is>
      </c>
      <c r="H18" t="inlineStr">
        <is>
          <t>3.33%</t>
        </is>
      </c>
      <c r="I18" t="inlineStr">
        <is>
          <t>0.00%</t>
        </is>
      </c>
    </row>
    <row r="19">
      <c r="A19" s="11" t="n">
        <v>46164</v>
      </c>
      <c r="B19" t="inlineStr">
        <is>
          <t>P2726</t>
        </is>
      </c>
      <c r="C19" t="inlineStr">
        <is>
          <t>GICS_INDUSTRY_GROUP_NAME</t>
        </is>
      </c>
      <c r="D19" t="inlineStr">
        <is>
          <t>Health Care Equipment &amp; Services</t>
        </is>
      </c>
      <c r="E19" t="inlineStr">
        <is>
          <t>Health Care</t>
        </is>
      </c>
      <c r="H19" t="inlineStr">
        <is>
          <t>3.17%</t>
        </is>
      </c>
      <c r="I19" t="inlineStr">
        <is>
          <t>0.00%</t>
        </is>
      </c>
    </row>
    <row r="20">
      <c r="A20" s="11" t="n">
        <v>46164</v>
      </c>
      <c r="B20" t="inlineStr">
        <is>
          <t>P2726</t>
        </is>
      </c>
      <c r="C20" t="inlineStr">
        <is>
          <t>GICS_INDUSTRY_GROUP_NAME</t>
        </is>
      </c>
      <c r="D20" t="inlineStr">
        <is>
          <t>Banks</t>
        </is>
      </c>
      <c r="E20" t="inlineStr">
        <is>
          <t>Financials</t>
        </is>
      </c>
      <c r="H20" t="inlineStr">
        <is>
          <t>3.14%</t>
        </is>
      </c>
      <c r="I20" t="inlineStr">
        <is>
          <t>0.00%</t>
        </is>
      </c>
    </row>
    <row r="21">
      <c r="A21" s="11" t="n">
        <v>46164</v>
      </c>
      <c r="B21" t="inlineStr">
        <is>
          <t>P2726</t>
        </is>
      </c>
      <c r="C21" t="inlineStr">
        <is>
          <t>GICS_INDUSTRY_NAME</t>
        </is>
      </c>
      <c r="D21" t="inlineStr">
        <is>
          <t>Banks</t>
        </is>
      </c>
      <c r="E21" t="inlineStr">
        <is>
          <t>Financials</t>
        </is>
      </c>
      <c r="H21" t="inlineStr">
        <is>
          <t>3.14%</t>
        </is>
      </c>
      <c r="I21" t="inlineStr">
        <is>
          <t>0.00%</t>
        </is>
      </c>
    </row>
    <row r="22">
      <c r="A22" s="11" t="n">
        <v>46164</v>
      </c>
      <c r="B22" t="inlineStr">
        <is>
          <t>P2726</t>
        </is>
      </c>
      <c r="C22" t="inlineStr">
        <is>
          <t>GICS_INDUSTRY_NAME</t>
        </is>
      </c>
      <c r="D22" t="inlineStr">
        <is>
          <t>Communications Equipment</t>
        </is>
      </c>
      <c r="E22" t="inlineStr">
        <is>
          <t>Information Technology</t>
        </is>
      </c>
      <c r="H22" t="inlineStr">
        <is>
          <t>2.97%</t>
        </is>
      </c>
      <c r="I22" t="inlineStr">
        <is>
          <t>0.00%</t>
        </is>
      </c>
    </row>
    <row r="23">
      <c r="A23" s="11" t="n">
        <v>46164</v>
      </c>
      <c r="B23" t="inlineStr">
        <is>
          <t>P2726</t>
        </is>
      </c>
      <c r="C23" t="inlineStr">
        <is>
          <t>GICS_INDUSTRY_NAME</t>
        </is>
      </c>
      <c r="D23" t="inlineStr">
        <is>
          <t>Aerospace &amp; Defense</t>
        </is>
      </c>
      <c r="E23" t="inlineStr">
        <is>
          <t>Industrials</t>
        </is>
      </c>
      <c r="H23" t="inlineStr">
        <is>
          <t>2.63%</t>
        </is>
      </c>
      <c r="I23" t="inlineStr">
        <is>
          <t>0.00%</t>
        </is>
      </c>
    </row>
    <row r="24">
      <c r="A24" s="11" t="n">
        <v>46164</v>
      </c>
      <c r="B24" t="inlineStr">
        <is>
          <t>P2726</t>
        </is>
      </c>
      <c r="C24" t="inlineStr">
        <is>
          <t>GICS_INDUSTRY_NAME</t>
        </is>
      </c>
      <c r="D24" t="inlineStr">
        <is>
          <t>Capital Markets</t>
        </is>
      </c>
      <c r="E24" t="inlineStr">
        <is>
          <t>Financials</t>
        </is>
      </c>
      <c r="H24" t="inlineStr">
        <is>
          <t>2.25%</t>
        </is>
      </c>
      <c r="I24" t="inlineStr">
        <is>
          <t>0.00%</t>
        </is>
      </c>
    </row>
    <row r="25">
      <c r="A25" s="11" t="n">
        <v>46164</v>
      </c>
      <c r="B25" t="inlineStr">
        <is>
          <t>P2726</t>
        </is>
      </c>
      <c r="C25" t="inlineStr">
        <is>
          <t>GICS_INDUSTRY_GROUP_NAME</t>
        </is>
      </c>
      <c r="D25" t="inlineStr">
        <is>
          <t>Utilities</t>
        </is>
      </c>
      <c r="E25" t="inlineStr">
        <is>
          <t>Utilities</t>
        </is>
      </c>
      <c r="H25" t="inlineStr">
        <is>
          <t>2.23%</t>
        </is>
      </c>
      <c r="I25" t="inlineStr">
        <is>
          <t>0.00%</t>
        </is>
      </c>
    </row>
    <row r="26">
      <c r="A26" s="11" t="n">
        <v>46164</v>
      </c>
      <c r="B26" t="inlineStr">
        <is>
          <t>P2726</t>
        </is>
      </c>
      <c r="C26" t="inlineStr">
        <is>
          <t>GICS_INDUSTRY_NAME</t>
        </is>
      </c>
      <c r="D26" t="inlineStr">
        <is>
          <t>Electric Utilities</t>
        </is>
      </c>
      <c r="E26" t="inlineStr">
        <is>
          <t>Utilities</t>
        </is>
      </c>
      <c r="H26" t="inlineStr">
        <is>
          <t>2.23%</t>
        </is>
      </c>
      <c r="I26" t="inlineStr">
        <is>
          <t>0.00%</t>
        </is>
      </c>
    </row>
    <row r="27">
      <c r="A27" s="11" t="n">
        <v>46164</v>
      </c>
      <c r="B27" t="inlineStr">
        <is>
          <t>P2726</t>
        </is>
      </c>
      <c r="C27" t="inlineStr">
        <is>
          <t>GICS_INDUSTRY_GROUP_NAME</t>
        </is>
      </c>
      <c r="D27" t="inlineStr">
        <is>
          <t>Food, Beverage &amp; Tobacco</t>
        </is>
      </c>
      <c r="E27" t="inlineStr">
        <is>
          <t>Consumer Staples</t>
        </is>
      </c>
      <c r="H27" t="inlineStr">
        <is>
          <t>2.14%</t>
        </is>
      </c>
      <c r="I27" t="inlineStr">
        <is>
          <t>0.00%</t>
        </is>
      </c>
    </row>
    <row r="28">
      <c r="A28" s="11" t="n">
        <v>46164</v>
      </c>
      <c r="B28" t="inlineStr">
        <is>
          <t>P2726</t>
        </is>
      </c>
      <c r="C28" t="inlineStr">
        <is>
          <t>GICS_INDUSTRY_GROUP_NAME</t>
        </is>
      </c>
      <c r="D28" t="inlineStr">
        <is>
          <t>Materials</t>
        </is>
      </c>
      <c r="E28" t="inlineStr">
        <is>
          <t>Materials</t>
        </is>
      </c>
      <c r="H28" t="inlineStr">
        <is>
          <t>2.12%</t>
        </is>
      </c>
      <c r="I28" t="inlineStr">
        <is>
          <t>0.00%</t>
        </is>
      </c>
    </row>
    <row r="29">
      <c r="A29" s="11" t="n">
        <v>46164</v>
      </c>
      <c r="B29" t="inlineStr">
        <is>
          <t>P2726</t>
        </is>
      </c>
      <c r="C29" t="inlineStr">
        <is>
          <t>GICS_INDUSTRY_NAME</t>
        </is>
      </c>
      <c r="D29" t="inlineStr">
        <is>
          <t>Chemicals</t>
        </is>
      </c>
      <c r="E29" t="inlineStr">
        <is>
          <t>Materials</t>
        </is>
      </c>
      <c r="H29" t="inlineStr">
        <is>
          <t>2.12%</t>
        </is>
      </c>
      <c r="I29" t="inlineStr">
        <is>
          <t>0.00%</t>
        </is>
      </c>
    </row>
    <row r="30">
      <c r="A30" s="11" t="n">
        <v>46164</v>
      </c>
      <c r="B30" t="inlineStr">
        <is>
          <t>P2726</t>
        </is>
      </c>
      <c r="C30" t="inlineStr">
        <is>
          <t>GICS_INDUSTRY_GROUP_NAME</t>
        </is>
      </c>
      <c r="D30" t="inlineStr">
        <is>
          <t>Automobiles &amp; Components</t>
        </is>
      </c>
      <c r="E30" t="inlineStr">
        <is>
          <t>Consumer Discretionary</t>
        </is>
      </c>
      <c r="H30" t="inlineStr">
        <is>
          <t>2.06%</t>
        </is>
      </c>
      <c r="I30" t="inlineStr">
        <is>
          <t>0.00%</t>
        </is>
      </c>
    </row>
    <row r="31">
      <c r="A31" s="11" t="n">
        <v>46164</v>
      </c>
      <c r="B31" t="inlineStr">
        <is>
          <t>P2726</t>
        </is>
      </c>
      <c r="C31" t="inlineStr">
        <is>
          <t>GICS_INDUSTRY_NAME</t>
        </is>
      </c>
      <c r="D31" t="inlineStr">
        <is>
          <t>Automobiles</t>
        </is>
      </c>
      <c r="E31" t="inlineStr">
        <is>
          <t>Consumer Discretionary</t>
        </is>
      </c>
      <c r="H31" t="inlineStr">
        <is>
          <t>2.06%</t>
        </is>
      </c>
      <c r="I31" t="inlineStr">
        <is>
          <t>0.00%</t>
        </is>
      </c>
    </row>
    <row r="32">
      <c r="A32" s="11" t="n">
        <v>46164</v>
      </c>
      <c r="B32" t="inlineStr">
        <is>
          <t>P2726</t>
        </is>
      </c>
      <c r="C32" t="inlineStr">
        <is>
          <t>GICS_INDUSTRY_NAME</t>
        </is>
      </c>
      <c r="D32" t="inlineStr">
        <is>
          <t>Health Care Providers &amp; Services</t>
        </is>
      </c>
      <c r="E32" t="inlineStr">
        <is>
          <t>Health Care</t>
        </is>
      </c>
      <c r="H32" t="inlineStr">
        <is>
          <t>1.83%</t>
        </is>
      </c>
      <c r="I32" t="inlineStr">
        <is>
          <t>0.00%</t>
        </is>
      </c>
    </row>
    <row r="33">
      <c r="A33" s="11" t="n">
        <v>46164</v>
      </c>
      <c r="B33" t="inlineStr">
        <is>
          <t>P2726</t>
        </is>
      </c>
      <c r="C33" t="inlineStr">
        <is>
          <t>GICS_INDUSTRY_NAME</t>
        </is>
      </c>
      <c r="D33" t="inlineStr">
        <is>
          <t>Machinery</t>
        </is>
      </c>
      <c r="E33" t="inlineStr">
        <is>
          <t>Industrials</t>
        </is>
      </c>
      <c r="H33" t="inlineStr">
        <is>
          <t>1.82%</t>
        </is>
      </c>
      <c r="I33" t="inlineStr">
        <is>
          <t>0.00%</t>
        </is>
      </c>
    </row>
    <row r="34">
      <c r="A34" s="11" t="n">
        <v>46164</v>
      </c>
      <c r="B34" t="inlineStr">
        <is>
          <t>P2726</t>
        </is>
      </c>
      <c r="C34" t="inlineStr">
        <is>
          <t>GICS_INDUSTRY_GROUP_NAME</t>
        </is>
      </c>
      <c r="D34" t="inlineStr">
        <is>
          <t>Consumer Staples Distribution &amp; Retail</t>
        </is>
      </c>
      <c r="E34" t="inlineStr">
        <is>
          <t>Consumer Staples</t>
        </is>
      </c>
      <c r="H34" t="inlineStr">
        <is>
          <t>1.81%</t>
        </is>
      </c>
      <c r="I34" t="inlineStr">
        <is>
          <t>0.00%</t>
        </is>
      </c>
    </row>
    <row r="35">
      <c r="A35" s="11" t="n">
        <v>46164</v>
      </c>
      <c r="B35" t="inlineStr">
        <is>
          <t>P2726</t>
        </is>
      </c>
      <c r="C35" t="inlineStr">
        <is>
          <t>GICS_INDUSTRY_NAME</t>
        </is>
      </c>
      <c r="D35" t="inlineStr">
        <is>
          <t>Consumer Staples Distribution &amp; Retail</t>
        </is>
      </c>
      <c r="E35" t="inlineStr">
        <is>
          <t>Consumer Staples</t>
        </is>
      </c>
      <c r="H35" t="inlineStr">
        <is>
          <t>1.81%</t>
        </is>
      </c>
      <c r="I35" t="inlineStr">
        <is>
          <t>0.00%</t>
        </is>
      </c>
    </row>
    <row r="36">
      <c r="A36" s="11" t="n">
        <v>46164</v>
      </c>
      <c r="B36" t="inlineStr">
        <is>
          <t>P2726</t>
        </is>
      </c>
      <c r="C36" t="inlineStr">
        <is>
          <t>GICS_INDUSTRY_GROUP_NAME</t>
        </is>
      </c>
      <c r="D36" t="inlineStr">
        <is>
          <t>Insurance</t>
        </is>
      </c>
      <c r="E36" t="inlineStr">
        <is>
          <t>Financials</t>
        </is>
      </c>
      <c r="H36" t="inlineStr">
        <is>
          <t>1.72%</t>
        </is>
      </c>
      <c r="I36" t="inlineStr">
        <is>
          <t>0.00%</t>
        </is>
      </c>
    </row>
    <row r="37">
      <c r="A37" s="11" t="n">
        <v>46164</v>
      </c>
      <c r="B37" t="inlineStr">
        <is>
          <t>P2726</t>
        </is>
      </c>
      <c r="C37" t="inlineStr">
        <is>
          <t>GICS_INDUSTRY_NAME</t>
        </is>
      </c>
      <c r="D37" t="inlineStr">
        <is>
          <t>Insurance</t>
        </is>
      </c>
      <c r="E37" t="inlineStr">
        <is>
          <t>Financials</t>
        </is>
      </c>
      <c r="H37" t="inlineStr">
        <is>
          <t>1.72%</t>
        </is>
      </c>
      <c r="I37" t="inlineStr">
        <is>
          <t>0.00%</t>
        </is>
      </c>
    </row>
    <row r="38">
      <c r="A38" s="11" t="n">
        <v>46164</v>
      </c>
      <c r="B38" t="inlineStr">
        <is>
          <t>P2726</t>
        </is>
      </c>
      <c r="C38" t="inlineStr">
        <is>
          <t>GICS_INDUSTRY_GROUP_NAME</t>
        </is>
      </c>
      <c r="D38" t="inlineStr">
        <is>
          <t>Consumer Services</t>
        </is>
      </c>
      <c r="E38" t="inlineStr">
        <is>
          <t>Consumer Discretionary</t>
        </is>
      </c>
      <c r="H38" t="inlineStr">
        <is>
          <t>1.49%</t>
        </is>
      </c>
      <c r="I38" t="inlineStr">
        <is>
          <t>0.00%</t>
        </is>
      </c>
    </row>
    <row r="39">
      <c r="A39" s="11" t="n">
        <v>46164</v>
      </c>
      <c r="B39" t="inlineStr">
        <is>
          <t>P2726</t>
        </is>
      </c>
      <c r="C39" t="inlineStr">
        <is>
          <t>GICS_INDUSTRY_NAME</t>
        </is>
      </c>
      <c r="D39" t="inlineStr">
        <is>
          <t>Hotels, Restaurants &amp; Leisure</t>
        </is>
      </c>
      <c r="E39" t="inlineStr">
        <is>
          <t>Consumer Discretionary</t>
        </is>
      </c>
      <c r="H39" t="inlineStr">
        <is>
          <t>1.49%</t>
        </is>
      </c>
      <c r="I39" t="inlineStr">
        <is>
          <t>0.00%</t>
        </is>
      </c>
    </row>
    <row r="40">
      <c r="A40" s="11" t="n">
        <v>46164</v>
      </c>
      <c r="B40" t="inlineStr">
        <is>
          <t>P2726</t>
        </is>
      </c>
      <c r="C40" t="inlineStr">
        <is>
          <t>GICS_INDUSTRY_NAME</t>
        </is>
      </c>
      <c r="D40" t="inlineStr">
        <is>
          <t>Health Care Equipment &amp; Supplies</t>
        </is>
      </c>
      <c r="E40" t="inlineStr">
        <is>
          <t>Health Care</t>
        </is>
      </c>
      <c r="H40" t="inlineStr">
        <is>
          <t>1.34%</t>
        </is>
      </c>
      <c r="I40" t="inlineStr">
        <is>
          <t>0.00%</t>
        </is>
      </c>
    </row>
    <row r="41">
      <c r="A41" s="11" t="n">
        <v>46164</v>
      </c>
      <c r="B41" t="inlineStr">
        <is>
          <t>P2726</t>
        </is>
      </c>
      <c r="C41" t="inlineStr">
        <is>
          <t>GICS_INDUSTRY_NAME</t>
        </is>
      </c>
      <c r="D41" t="inlineStr">
        <is>
          <t>Biotechnology</t>
        </is>
      </c>
      <c r="E41" t="inlineStr">
        <is>
          <t>Health Care</t>
        </is>
      </c>
      <c r="H41" t="inlineStr">
        <is>
          <t>1.33%</t>
        </is>
      </c>
      <c r="I41" t="inlineStr">
        <is>
          <t>0.00%</t>
        </is>
      </c>
    </row>
    <row r="42">
      <c r="A42" s="11" t="n">
        <v>46164</v>
      </c>
      <c r="B42" t="inlineStr">
        <is>
          <t>P2726</t>
        </is>
      </c>
      <c r="C42" t="inlineStr">
        <is>
          <t>GICS_INDUSTRY_GROUP_NAME</t>
        </is>
      </c>
      <c r="D42" t="inlineStr">
        <is>
          <t>Equity Real Estate Investment Trusts</t>
        </is>
      </c>
      <c r="E42" t="inlineStr">
        <is>
          <t>Real Estate</t>
        </is>
      </c>
      <c r="H42" t="inlineStr">
        <is>
          <t>1.32%</t>
        </is>
      </c>
      <c r="I42" t="inlineStr">
        <is>
          <t>0.00%</t>
        </is>
      </c>
    </row>
    <row r="43">
      <c r="A43" s="11" t="n">
        <v>46164</v>
      </c>
      <c r="B43" t="inlineStr">
        <is>
          <t>P2726</t>
        </is>
      </c>
      <c r="C43" t="inlineStr">
        <is>
          <t>GICS_INDUSTRY_NAME</t>
        </is>
      </c>
      <c r="D43" t="inlineStr">
        <is>
          <t>Specialized REITs</t>
        </is>
      </c>
      <c r="E43" t="inlineStr">
        <is>
          <t>Real Estate</t>
        </is>
      </c>
      <c r="H43" t="inlineStr">
        <is>
          <t>1.32%</t>
        </is>
      </c>
      <c r="I43" t="inlineStr">
        <is>
          <t>0.00%</t>
        </is>
      </c>
    </row>
    <row r="44">
      <c r="A44" s="11" t="n">
        <v>46164</v>
      </c>
      <c r="B44" t="inlineStr">
        <is>
          <t>P2726</t>
        </is>
      </c>
      <c r="C44" t="inlineStr">
        <is>
          <t>GICS_INDUSTRY_GROUP_NAME</t>
        </is>
      </c>
      <c r="D44" t="inlineStr">
        <is>
          <t>Transportation</t>
        </is>
      </c>
      <c r="E44" t="inlineStr">
        <is>
          <t>Industrials</t>
        </is>
      </c>
      <c r="H44" t="inlineStr">
        <is>
          <t>1.24%</t>
        </is>
      </c>
      <c r="I44" t="inlineStr">
        <is>
          <t>0.00%</t>
        </is>
      </c>
    </row>
    <row r="45">
      <c r="A45" s="11" t="n">
        <v>46164</v>
      </c>
      <c r="B45" t="inlineStr">
        <is>
          <t>P2726</t>
        </is>
      </c>
      <c r="C45" t="inlineStr">
        <is>
          <t>GICS_INDUSTRY_NAME</t>
        </is>
      </c>
      <c r="D45" t="inlineStr">
        <is>
          <t>Beverages</t>
        </is>
      </c>
      <c r="E45" t="inlineStr">
        <is>
          <t>Consumer Staples</t>
        </is>
      </c>
      <c r="H45" t="inlineStr">
        <is>
          <t>1.09%</t>
        </is>
      </c>
      <c r="I45" t="inlineStr">
        <is>
          <t>0.00%</t>
        </is>
      </c>
    </row>
    <row r="46">
      <c r="A46" s="11" t="n">
        <v>46164</v>
      </c>
      <c r="B46" t="inlineStr">
        <is>
          <t>P2726</t>
        </is>
      </c>
      <c r="C46" t="inlineStr">
        <is>
          <t>GICS_INDUSTRY_NAME</t>
        </is>
      </c>
      <c r="D46" t="inlineStr">
        <is>
          <t>Specialty Retail</t>
        </is>
      </c>
      <c r="E46" t="inlineStr">
        <is>
          <t>Consumer Discretionary</t>
        </is>
      </c>
      <c r="H46" t="inlineStr">
        <is>
          <t>1.07%</t>
        </is>
      </c>
      <c r="I46" t="inlineStr">
        <is>
          <t>0.00%</t>
        </is>
      </c>
    </row>
    <row r="47">
      <c r="A47" s="11" t="n">
        <v>46164</v>
      </c>
      <c r="B47" t="inlineStr">
        <is>
          <t>P2726</t>
        </is>
      </c>
      <c r="C47" t="inlineStr">
        <is>
          <t>GICS_INDUSTRY_NAME</t>
        </is>
      </c>
      <c r="D47" t="inlineStr">
        <is>
          <t>Entertainment</t>
        </is>
      </c>
      <c r="E47" t="inlineStr">
        <is>
          <t>Communication Services</t>
        </is>
      </c>
      <c r="H47" t="inlineStr">
        <is>
          <t>1.00%</t>
        </is>
      </c>
      <c r="I47" t="inlineStr">
        <is>
          <t>0.00%</t>
        </is>
      </c>
    </row>
    <row r="48">
      <c r="A48" s="11" t="n">
        <v>46164</v>
      </c>
      <c r="B48" t="inlineStr">
        <is>
          <t>P2726</t>
        </is>
      </c>
      <c r="C48" t="inlineStr">
        <is>
          <t>GICS_INDUSTRY_GROUP_NAME</t>
        </is>
      </c>
      <c r="D48" t="inlineStr">
        <is>
          <t>Telecommunication Services</t>
        </is>
      </c>
      <c r="E48" t="inlineStr">
        <is>
          <t>Communication Services</t>
        </is>
      </c>
      <c r="H48" t="inlineStr">
        <is>
          <t>0.92%</t>
        </is>
      </c>
      <c r="I48" t="inlineStr">
        <is>
          <t>0.00%</t>
        </is>
      </c>
    </row>
    <row r="49">
      <c r="A49" s="11" t="n">
        <v>46164</v>
      </c>
      <c r="B49" t="inlineStr">
        <is>
          <t>P2726</t>
        </is>
      </c>
      <c r="C49" t="inlineStr">
        <is>
          <t>GICS_INDUSTRY_NAME</t>
        </is>
      </c>
      <c r="D49" t="inlineStr">
        <is>
          <t>Diversified Telecommunication Services</t>
        </is>
      </c>
      <c r="E49" t="inlineStr">
        <is>
          <t>Communication Services</t>
        </is>
      </c>
      <c r="H49" t="inlineStr">
        <is>
          <t>0.92%</t>
        </is>
      </c>
      <c r="I49" t="inlineStr">
        <is>
          <t>0.00%</t>
        </is>
      </c>
    </row>
    <row r="50">
      <c r="A50" s="11" t="n">
        <v>46164</v>
      </c>
      <c r="B50" t="inlineStr">
        <is>
          <t>P2726</t>
        </is>
      </c>
      <c r="C50" t="inlineStr">
        <is>
          <t>GICS_INDUSTRY_NAME</t>
        </is>
      </c>
      <c r="D50" t="inlineStr">
        <is>
          <t>Tobacco</t>
        </is>
      </c>
      <c r="E50" t="inlineStr">
        <is>
          <t>Consumer Staples</t>
        </is>
      </c>
      <c r="H50" t="inlineStr">
        <is>
          <t>0.88%</t>
        </is>
      </c>
      <c r="I50" t="inlineStr">
        <is>
          <t>0.00%</t>
        </is>
      </c>
    </row>
    <row r="51">
      <c r="A51" s="11" t="n">
        <v>46164</v>
      </c>
      <c r="B51" t="inlineStr">
        <is>
          <t>P2726</t>
        </is>
      </c>
      <c r="C51" t="inlineStr">
        <is>
          <t>GICS_INDUSTRY_GROUP_NAME</t>
        </is>
      </c>
      <c r="D51" t="inlineStr">
        <is>
          <t>Commercial &amp; Professional Services</t>
        </is>
      </c>
      <c r="E51" t="inlineStr">
        <is>
          <t>Industrials</t>
        </is>
      </c>
      <c r="H51" t="inlineStr">
        <is>
          <t>0.87%</t>
        </is>
      </c>
      <c r="I51" t="inlineStr">
        <is>
          <t>0.00%</t>
        </is>
      </c>
    </row>
    <row r="52">
      <c r="A52" s="11" t="n">
        <v>46164</v>
      </c>
      <c r="B52" t="inlineStr">
        <is>
          <t>P2726</t>
        </is>
      </c>
      <c r="C52" t="inlineStr">
        <is>
          <t>GICS_INDUSTRY_NAME</t>
        </is>
      </c>
      <c r="D52" t="inlineStr">
        <is>
          <t>Commercial Services &amp; Supplies</t>
        </is>
      </c>
      <c r="E52" t="inlineStr">
        <is>
          <t>Industrials</t>
        </is>
      </c>
      <c r="H52" t="inlineStr">
        <is>
          <t>0.87%</t>
        </is>
      </c>
      <c r="I52" t="inlineStr">
        <is>
          <t>0.00%</t>
        </is>
      </c>
    </row>
    <row r="53">
      <c r="A53" s="11" t="n">
        <v>46164</v>
      </c>
      <c r="B53" t="inlineStr">
        <is>
          <t>P2726</t>
        </is>
      </c>
      <c r="C53" t="inlineStr">
        <is>
          <t>GICS_INDUSTRY_NAME</t>
        </is>
      </c>
      <c r="D53" t="inlineStr">
        <is>
          <t>IT Services</t>
        </is>
      </c>
      <c r="E53" t="inlineStr">
        <is>
          <t>Information Technology</t>
        </is>
      </c>
      <c r="H53" t="inlineStr">
        <is>
          <t>0.85%</t>
        </is>
      </c>
      <c r="I53" t="inlineStr">
        <is>
          <t>0.00%</t>
        </is>
      </c>
    </row>
    <row r="54">
      <c r="A54" s="11" t="n">
        <v>46164</v>
      </c>
      <c r="B54" t="inlineStr">
        <is>
          <t>P2726</t>
        </is>
      </c>
      <c r="C54" t="inlineStr">
        <is>
          <t>GICS_INDUSTRY_GROUP_NAME</t>
        </is>
      </c>
      <c r="D54" t="inlineStr">
        <is>
          <t>Household &amp; Personal Products</t>
        </is>
      </c>
      <c r="E54" t="inlineStr">
        <is>
          <t>Consumer Staples</t>
        </is>
      </c>
      <c r="H54" t="inlineStr">
        <is>
          <t>0.84%</t>
        </is>
      </c>
      <c r="I54" t="inlineStr">
        <is>
          <t>0.00%</t>
        </is>
      </c>
    </row>
    <row r="55">
      <c r="A55" s="11" t="n">
        <v>46164</v>
      </c>
      <c r="B55" t="inlineStr">
        <is>
          <t>P2726</t>
        </is>
      </c>
      <c r="C55" t="inlineStr">
        <is>
          <t>GICS_INDUSTRY_NAME</t>
        </is>
      </c>
      <c r="D55" t="inlineStr">
        <is>
          <t>Household Products</t>
        </is>
      </c>
      <c r="E55" t="inlineStr">
        <is>
          <t>Consumer Staples</t>
        </is>
      </c>
      <c r="H55" t="inlineStr">
        <is>
          <t>0.84%</t>
        </is>
      </c>
      <c r="I55" t="inlineStr">
        <is>
          <t>0.00%</t>
        </is>
      </c>
    </row>
    <row r="56">
      <c r="A56" s="11" t="n">
        <v>46164</v>
      </c>
      <c r="B56" t="inlineStr">
        <is>
          <t>P2726</t>
        </is>
      </c>
      <c r="C56" t="inlineStr">
        <is>
          <t>GICS_INDUSTRY_NAME</t>
        </is>
      </c>
      <c r="D56" t="inlineStr">
        <is>
          <t>Ground Transportation</t>
        </is>
      </c>
      <c r="E56" t="inlineStr">
        <is>
          <t>Industrials</t>
        </is>
      </c>
      <c r="H56" t="inlineStr">
        <is>
          <t>0.81%</t>
        </is>
      </c>
      <c r="I56" t="inlineStr">
        <is>
          <t>0.00%</t>
        </is>
      </c>
    </row>
    <row r="57">
      <c r="A57" s="11" t="n">
        <v>46164</v>
      </c>
      <c r="B57" t="inlineStr">
        <is>
          <t>P2726</t>
        </is>
      </c>
      <c r="C57" t="inlineStr">
        <is>
          <t>GICS_INDUSTRY_NAME</t>
        </is>
      </c>
      <c r="D57" t="inlineStr">
        <is>
          <t>Electrical Equipment</t>
        </is>
      </c>
      <c r="E57" t="inlineStr">
        <is>
          <t>Industrials</t>
        </is>
      </c>
      <c r="H57" t="inlineStr">
        <is>
          <t>0.76%</t>
        </is>
      </c>
      <c r="I57" t="inlineStr">
        <is>
          <t>0.00%</t>
        </is>
      </c>
    </row>
    <row r="58">
      <c r="A58" s="11" t="n">
        <v>46164</v>
      </c>
      <c r="B58" t="inlineStr">
        <is>
          <t>P2726</t>
        </is>
      </c>
      <c r="C58" t="inlineStr">
        <is>
          <t>GICS_INDUSTRY_NAME</t>
        </is>
      </c>
      <c r="D58" t="inlineStr">
        <is>
          <t>Industrial Conglomerates</t>
        </is>
      </c>
      <c r="E58" t="inlineStr">
        <is>
          <t>Industrials</t>
        </is>
      </c>
      <c r="H58" t="inlineStr">
        <is>
          <t>0.71%</t>
        </is>
      </c>
      <c r="I58" t="inlineStr">
        <is>
          <t>0.00%</t>
        </is>
      </c>
    </row>
    <row r="59">
      <c r="A59" s="11" t="n">
        <v>46164</v>
      </c>
      <c r="B59" t="inlineStr">
        <is>
          <t>P2726</t>
        </is>
      </c>
      <c r="C59" t="inlineStr">
        <is>
          <t>GICS_INDUSTRY_NAME</t>
        </is>
      </c>
      <c r="D59" t="inlineStr">
        <is>
          <t>Life Sciences Tools &amp; Services</t>
        </is>
      </c>
      <c r="E59" t="inlineStr">
        <is>
          <t>Health Care</t>
        </is>
      </c>
      <c r="H59" t="inlineStr">
        <is>
          <t>0.50%</t>
        </is>
      </c>
      <c r="I59" t="inlineStr">
        <is>
          <t>0.00%</t>
        </is>
      </c>
    </row>
    <row r="60">
      <c r="A60" s="11" t="n">
        <v>46164</v>
      </c>
      <c r="B60" t="inlineStr">
        <is>
          <t>P2726</t>
        </is>
      </c>
      <c r="C60" t="inlineStr">
        <is>
          <t>GICS_INDUSTRY_NAME</t>
        </is>
      </c>
      <c r="D60" t="inlineStr">
        <is>
          <t>Air Freight &amp; Logistics</t>
        </is>
      </c>
      <c r="E60" t="inlineStr">
        <is>
          <t>Industrials</t>
        </is>
      </c>
      <c r="H60" t="inlineStr">
        <is>
          <t>0.42%</t>
        </is>
      </c>
      <c r="I60" t="inlineStr">
        <is>
          <t>0.00%</t>
        </is>
      </c>
    </row>
    <row r="61">
      <c r="A61" s="11" t="n">
        <v>46164</v>
      </c>
      <c r="B61" t="inlineStr">
        <is>
          <t>P2726</t>
        </is>
      </c>
      <c r="C61" t="inlineStr">
        <is>
          <t>GICS_INDUSTRY_NAME</t>
        </is>
      </c>
      <c r="D61" t="inlineStr">
        <is>
          <t>Consumer Finance</t>
        </is>
      </c>
      <c r="E61" t="inlineStr">
        <is>
          <t>Financials</t>
        </is>
      </c>
      <c r="H61" t="inlineStr">
        <is>
          <t>0.39%</t>
        </is>
      </c>
      <c r="I61" t="inlineStr">
        <is>
          <t>0.00%</t>
        </is>
      </c>
    </row>
    <row r="62">
      <c r="A62" s="11" t="n">
        <v>46164</v>
      </c>
      <c r="B62" t="inlineStr">
        <is>
          <t>P2726</t>
        </is>
      </c>
      <c r="C62" t="inlineStr">
        <is>
          <t>GICS_INDUSTRY_GROUP_NAME</t>
        </is>
      </c>
      <c r="D62" t="inlineStr">
        <is>
          <t>Consumer Durables &amp; Apparel</t>
        </is>
      </c>
      <c r="E62" t="inlineStr">
        <is>
          <t>Consumer Discretionary</t>
        </is>
      </c>
      <c r="H62" t="inlineStr">
        <is>
          <t>0.33%</t>
        </is>
      </c>
      <c r="I62" t="inlineStr">
        <is>
          <t>0.00%</t>
        </is>
      </c>
    </row>
    <row r="63">
      <c r="A63" s="11" t="n">
        <v>46164</v>
      </c>
      <c r="B63" t="inlineStr">
        <is>
          <t>P2726</t>
        </is>
      </c>
      <c r="C63" t="inlineStr">
        <is>
          <t>GICS_INDUSTRY_NAME</t>
        </is>
      </c>
      <c r="D63" t="inlineStr">
        <is>
          <t>Textiles, Apparel &amp; Luxury Goods</t>
        </is>
      </c>
      <c r="E63" t="inlineStr">
        <is>
          <t>Consumer Discretionary</t>
        </is>
      </c>
      <c r="H63" t="inlineStr">
        <is>
          <t>0.33%</t>
        </is>
      </c>
      <c r="I63" t="inlineStr">
        <is>
          <t>0.00%</t>
        </is>
      </c>
    </row>
    <row r="64">
      <c r="A64" s="11" t="n">
        <v>46164</v>
      </c>
      <c r="B64" t="inlineStr">
        <is>
          <t>P2726</t>
        </is>
      </c>
      <c r="C64" t="inlineStr">
        <is>
          <t>GICS_INDUSTRY_NAME</t>
        </is>
      </c>
      <c r="D64" t="inlineStr">
        <is>
          <t>Food Products</t>
        </is>
      </c>
      <c r="E64" t="inlineStr">
        <is>
          <t>Consumer Staples</t>
        </is>
      </c>
      <c r="H64" t="inlineStr">
        <is>
          <t>0.17%</t>
        </is>
      </c>
      <c r="I64" t="inlineStr">
        <is>
          <t>0.00%</t>
        </is>
      </c>
    </row>
    <row r="65">
      <c r="A65" s="11" t="n">
        <v>46164</v>
      </c>
      <c r="B65" t="inlineStr">
        <is>
          <t>RDVI</t>
        </is>
      </c>
      <c r="C65" t="inlineStr">
        <is>
          <t>GICS_INDUSTRY_GROUP_NAME</t>
        </is>
      </c>
      <c r="D65" t="inlineStr">
        <is>
          <t>Semiconductors &amp; Semiconductor Equipment</t>
        </is>
      </c>
      <c r="E65" t="inlineStr">
        <is>
          <t>Information Technology</t>
        </is>
      </c>
      <c r="H65" t="inlineStr">
        <is>
          <t>17.56%</t>
        </is>
      </c>
      <c r="I65" t="inlineStr">
        <is>
          <t>0.00%</t>
        </is>
      </c>
    </row>
    <row r="66">
      <c r="A66" s="11" t="n">
        <v>46164</v>
      </c>
      <c r="B66" t="inlineStr">
        <is>
          <t>RDVI</t>
        </is>
      </c>
      <c r="C66" t="inlineStr">
        <is>
          <t>GICS_INDUSTRY_NAME</t>
        </is>
      </c>
      <c r="D66" t="inlineStr">
        <is>
          <t>Semiconductors &amp; Semiconductor Equipment</t>
        </is>
      </c>
      <c r="E66" t="inlineStr">
        <is>
          <t>Information Technology</t>
        </is>
      </c>
      <c r="H66" t="inlineStr">
        <is>
          <t>17.56%</t>
        </is>
      </c>
      <c r="I66" t="inlineStr">
        <is>
          <t>0.00%</t>
        </is>
      </c>
    </row>
    <row r="67">
      <c r="A67" s="11" t="n">
        <v>46164</v>
      </c>
      <c r="B67" t="inlineStr">
        <is>
          <t>RDVI</t>
        </is>
      </c>
      <c r="C67" t="inlineStr">
        <is>
          <t>GICS_INDUSTRY_GROUP_NAME</t>
        </is>
      </c>
      <c r="D67" t="inlineStr">
        <is>
          <t>Financial Services</t>
        </is>
      </c>
      <c r="E67" t="inlineStr">
        <is>
          <t>Financials</t>
        </is>
      </c>
      <c r="H67" t="inlineStr">
        <is>
          <t>13.52%</t>
        </is>
      </c>
      <c r="I67" t="inlineStr">
        <is>
          <t>0.00%</t>
        </is>
      </c>
    </row>
    <row r="68">
      <c r="A68" s="11" t="n">
        <v>46164</v>
      </c>
      <c r="B68" t="inlineStr">
        <is>
          <t>RDVI</t>
        </is>
      </c>
      <c r="C68" t="inlineStr">
        <is>
          <t>GICS_INDUSTRY_GROUP_NAME</t>
        </is>
      </c>
      <c r="D68" t="inlineStr">
        <is>
          <t>Capital Goods</t>
        </is>
      </c>
      <c r="E68" t="inlineStr">
        <is>
          <t>Industrials</t>
        </is>
      </c>
      <c r="H68" t="inlineStr">
        <is>
          <t>12.38%</t>
        </is>
      </c>
      <c r="I68" t="inlineStr">
        <is>
          <t>0.00%</t>
        </is>
      </c>
    </row>
    <row r="69">
      <c r="A69" s="11" t="n">
        <v>46164</v>
      </c>
      <c r="B69" t="inlineStr">
        <is>
          <t>RDVI</t>
        </is>
      </c>
      <c r="C69" t="inlineStr">
        <is>
          <t>GICS_INDUSTRY_GROUP_NAME</t>
        </is>
      </c>
      <c r="D69" t="inlineStr">
        <is>
          <t>Insurance</t>
        </is>
      </c>
      <c r="E69" t="inlineStr">
        <is>
          <t>Financials</t>
        </is>
      </c>
      <c r="H69" t="inlineStr">
        <is>
          <t>11.23%</t>
        </is>
      </c>
      <c r="I69" t="inlineStr">
        <is>
          <t>0.00%</t>
        </is>
      </c>
    </row>
    <row r="70">
      <c r="A70" s="11" t="n">
        <v>46164</v>
      </c>
      <c r="B70" t="inlineStr">
        <is>
          <t>RDVI</t>
        </is>
      </c>
      <c r="C70" t="inlineStr">
        <is>
          <t>GICS_INDUSTRY_NAME</t>
        </is>
      </c>
      <c r="D70" t="inlineStr">
        <is>
          <t>Insurance</t>
        </is>
      </c>
      <c r="E70" t="inlineStr">
        <is>
          <t>Financials</t>
        </is>
      </c>
      <c r="H70" t="inlineStr">
        <is>
          <t>11.23%</t>
        </is>
      </c>
      <c r="I70" t="inlineStr">
        <is>
          <t>0.00%</t>
        </is>
      </c>
    </row>
    <row r="71">
      <c r="A71" s="11" t="n">
        <v>46164</v>
      </c>
      <c r="B71" t="inlineStr">
        <is>
          <t>RDVI</t>
        </is>
      </c>
      <c r="C71" t="inlineStr">
        <is>
          <t>GICS_INDUSTRY_GROUP_NAME</t>
        </is>
      </c>
      <c r="D71" t="inlineStr">
        <is>
          <t>Banks</t>
        </is>
      </c>
      <c r="E71" t="inlineStr">
        <is>
          <t>Financials</t>
        </is>
      </c>
      <c r="H71" t="inlineStr">
        <is>
          <t>9.17%</t>
        </is>
      </c>
      <c r="I71" t="inlineStr">
        <is>
          <t>0.00%</t>
        </is>
      </c>
    </row>
    <row r="72">
      <c r="A72" s="11" t="n">
        <v>46164</v>
      </c>
      <c r="B72" t="inlineStr">
        <is>
          <t>RDVI</t>
        </is>
      </c>
      <c r="C72" t="inlineStr">
        <is>
          <t>GICS_INDUSTRY_NAME</t>
        </is>
      </c>
      <c r="D72" t="inlineStr">
        <is>
          <t>Banks</t>
        </is>
      </c>
      <c r="E72" t="inlineStr">
        <is>
          <t>Financials</t>
        </is>
      </c>
      <c r="H72" t="inlineStr">
        <is>
          <t>9.17%</t>
        </is>
      </c>
      <c r="I72" t="inlineStr">
        <is>
          <t>0.00%</t>
        </is>
      </c>
    </row>
    <row r="73">
      <c r="A73" s="11" t="n">
        <v>46164</v>
      </c>
      <c r="B73" t="inlineStr">
        <is>
          <t>RDVI</t>
        </is>
      </c>
      <c r="C73" t="inlineStr">
        <is>
          <t>GICS_INDUSTRY_NAME</t>
        </is>
      </c>
      <c r="D73" t="inlineStr">
        <is>
          <t>Capital Markets</t>
        </is>
      </c>
      <c r="E73" t="inlineStr">
        <is>
          <t>Financials</t>
        </is>
      </c>
      <c r="H73" t="inlineStr">
        <is>
          <t>7.11%</t>
        </is>
      </c>
      <c r="I73" t="inlineStr">
        <is>
          <t>0.00%</t>
        </is>
      </c>
    </row>
    <row r="74">
      <c r="A74" s="11" t="n">
        <v>46164</v>
      </c>
      <c r="B74" t="inlineStr">
        <is>
          <t>RDVI</t>
        </is>
      </c>
      <c r="C74" t="inlineStr">
        <is>
          <t>GICS_INDUSTRY_NAME</t>
        </is>
      </c>
      <c r="D74" t="inlineStr">
        <is>
          <t>Machinery</t>
        </is>
      </c>
      <c r="E74" t="inlineStr">
        <is>
          <t>Industrials</t>
        </is>
      </c>
      <c r="H74" t="inlineStr">
        <is>
          <t>7.07%</t>
        </is>
      </c>
      <c r="I74" t="inlineStr">
        <is>
          <t>0.00%</t>
        </is>
      </c>
    </row>
    <row r="75">
      <c r="A75" s="11" t="n">
        <v>46164</v>
      </c>
      <c r="B75" t="inlineStr">
        <is>
          <t>RDVI</t>
        </is>
      </c>
      <c r="C75" t="inlineStr">
        <is>
          <t>GICS_INDUSTRY_GROUP_NAME</t>
        </is>
      </c>
      <c r="D75" t="inlineStr">
        <is>
          <t>Consumer Discretionary Distribution &amp; Retail</t>
        </is>
      </c>
      <c r="E75" t="inlineStr">
        <is>
          <t>Consumer Discretionary</t>
        </is>
      </c>
      <c r="H75" t="inlineStr">
        <is>
          <t>5.50%</t>
        </is>
      </c>
      <c r="I75" t="inlineStr">
        <is>
          <t>0.00%</t>
        </is>
      </c>
    </row>
    <row r="76">
      <c r="A76" s="11" t="n">
        <v>46164</v>
      </c>
      <c r="B76" t="inlineStr">
        <is>
          <t>RDVI</t>
        </is>
      </c>
      <c r="C76" t="inlineStr">
        <is>
          <t>GICS_INDUSTRY_GROUP_NAME</t>
        </is>
      </c>
      <c r="D76" t="inlineStr">
        <is>
          <t>Media &amp; Entertainment</t>
        </is>
      </c>
      <c r="E76" t="inlineStr">
        <is>
          <t>Communication Services</t>
        </is>
      </c>
      <c r="H76" t="inlineStr">
        <is>
          <t>5.41%</t>
        </is>
      </c>
      <c r="I76" t="inlineStr">
        <is>
          <t>0.00%</t>
        </is>
      </c>
    </row>
    <row r="77">
      <c r="A77" s="11" t="n">
        <v>46164</v>
      </c>
      <c r="B77" t="inlineStr">
        <is>
          <t>RDVI</t>
        </is>
      </c>
      <c r="C77" t="inlineStr">
        <is>
          <t>GICS_INDUSTRY_GROUP_NAME</t>
        </is>
      </c>
      <c r="D77" t="inlineStr">
        <is>
          <t>Software &amp; Services</t>
        </is>
      </c>
      <c r="E77" t="inlineStr">
        <is>
          <t>Information Technology</t>
        </is>
      </c>
      <c r="H77" t="inlineStr">
        <is>
          <t>5.21%</t>
        </is>
      </c>
      <c r="I77" t="inlineStr">
        <is>
          <t>0.00%</t>
        </is>
      </c>
    </row>
    <row r="78">
      <c r="A78" s="11" t="n">
        <v>46164</v>
      </c>
      <c r="B78" t="inlineStr">
        <is>
          <t>RDVI</t>
        </is>
      </c>
      <c r="C78" t="inlineStr">
        <is>
          <t>GICS_INDUSTRY_NAME</t>
        </is>
      </c>
      <c r="D78" t="inlineStr">
        <is>
          <t>Interactive Media &amp; Services</t>
        </is>
      </c>
      <c r="E78" t="inlineStr">
        <is>
          <t>Communication Services</t>
        </is>
      </c>
      <c r="H78" t="inlineStr">
        <is>
          <t>4.40%</t>
        </is>
      </c>
      <c r="I78" t="inlineStr">
        <is>
          <t>0.00%</t>
        </is>
      </c>
    </row>
    <row r="79">
      <c r="A79" s="11" t="n">
        <v>46164</v>
      </c>
      <c r="B79" t="inlineStr">
        <is>
          <t>RDVI</t>
        </is>
      </c>
      <c r="C79" t="inlineStr">
        <is>
          <t>GICS_INDUSTRY_NAME</t>
        </is>
      </c>
      <c r="D79" t="inlineStr">
        <is>
          <t>Specialty Retail</t>
        </is>
      </c>
      <c r="E79" t="inlineStr">
        <is>
          <t>Consumer Discretionary</t>
        </is>
      </c>
      <c r="H79" t="inlineStr">
        <is>
          <t>4.32%</t>
        </is>
      </c>
      <c r="I79" t="inlineStr">
        <is>
          <t>0.00%</t>
        </is>
      </c>
    </row>
    <row r="80">
      <c r="A80" s="11" t="n">
        <v>46164</v>
      </c>
      <c r="B80" t="inlineStr">
        <is>
          <t>RDVI</t>
        </is>
      </c>
      <c r="C80" t="inlineStr">
        <is>
          <t>GICS_INDUSTRY_NAME</t>
        </is>
      </c>
      <c r="D80" t="inlineStr">
        <is>
          <t>Financial Services</t>
        </is>
      </c>
      <c r="E80" t="inlineStr">
        <is>
          <t>Financials</t>
        </is>
      </c>
      <c r="H80" t="inlineStr">
        <is>
          <t>3.39%</t>
        </is>
      </c>
      <c r="I80" t="inlineStr">
        <is>
          <t>0.00%</t>
        </is>
      </c>
    </row>
    <row r="81">
      <c r="A81" s="11" t="n">
        <v>46164</v>
      </c>
      <c r="B81" t="inlineStr">
        <is>
          <t>RDVI</t>
        </is>
      </c>
      <c r="C81" t="inlineStr">
        <is>
          <t>GICS_INDUSTRY_NAME</t>
        </is>
      </c>
      <c r="D81" t="inlineStr">
        <is>
          <t>Consumer Finance</t>
        </is>
      </c>
      <c r="E81" t="inlineStr">
        <is>
          <t>Financials</t>
        </is>
      </c>
      <c r="H81" t="inlineStr">
        <is>
          <t>3.02%</t>
        </is>
      </c>
      <c r="I81" t="inlineStr">
        <is>
          <t>0.00%</t>
        </is>
      </c>
    </row>
    <row r="82">
      <c r="A82" s="11" t="n">
        <v>46164</v>
      </c>
      <c r="B82" t="inlineStr">
        <is>
          <t>RDVI</t>
        </is>
      </c>
      <c r="C82" t="inlineStr">
        <is>
          <t>GICS_INDUSTRY_NAME</t>
        </is>
      </c>
      <c r="D82" t="inlineStr">
        <is>
          <t>Software</t>
        </is>
      </c>
      <c r="E82" t="inlineStr">
        <is>
          <t>Information Technology</t>
        </is>
      </c>
      <c r="H82" t="inlineStr">
        <is>
          <t>2.99%</t>
        </is>
      </c>
      <c r="I82" t="inlineStr">
        <is>
          <t>0.00%</t>
        </is>
      </c>
    </row>
    <row r="83">
      <c r="A83" s="11" t="n">
        <v>46164</v>
      </c>
      <c r="B83" t="inlineStr">
        <is>
          <t>RDVI</t>
        </is>
      </c>
      <c r="C83" t="inlineStr">
        <is>
          <t>GICS_INDUSTRY_GROUP_NAME</t>
        </is>
      </c>
      <c r="D83" t="inlineStr">
        <is>
          <t>Health Care Equipment &amp; Services</t>
        </is>
      </c>
      <c r="E83" t="inlineStr">
        <is>
          <t>Health Care</t>
        </is>
      </c>
      <c r="H83" t="inlineStr">
        <is>
          <t>2.97%</t>
        </is>
      </c>
      <c r="I83" t="inlineStr">
        <is>
          <t>0.00%</t>
        </is>
      </c>
    </row>
    <row r="84">
      <c r="A84" s="11" t="n">
        <v>46164</v>
      </c>
      <c r="B84" t="inlineStr">
        <is>
          <t>RDVI</t>
        </is>
      </c>
      <c r="C84" t="inlineStr">
        <is>
          <t>GICS_INDUSTRY_NAME</t>
        </is>
      </c>
      <c r="D84" t="inlineStr">
        <is>
          <t>Electrical Equipment</t>
        </is>
      </c>
      <c r="E84" t="inlineStr">
        <is>
          <t>Industrials</t>
        </is>
      </c>
      <c r="H84" t="inlineStr">
        <is>
          <t>2.96%</t>
        </is>
      </c>
      <c r="I84" t="inlineStr">
        <is>
          <t>0.00%</t>
        </is>
      </c>
    </row>
    <row r="85">
      <c r="A85" s="11" t="n">
        <v>46164</v>
      </c>
      <c r="B85" t="inlineStr">
        <is>
          <t>RDVI</t>
        </is>
      </c>
      <c r="C85" t="inlineStr">
        <is>
          <t>GICS_INDUSTRY_GROUP_NAME</t>
        </is>
      </c>
      <c r="D85" t="inlineStr">
        <is>
          <t>Commercial &amp; Professional Services</t>
        </is>
      </c>
      <c r="E85" t="inlineStr">
        <is>
          <t>Industrials</t>
        </is>
      </c>
      <c r="H85" t="inlineStr">
        <is>
          <t>2.67%</t>
        </is>
      </c>
      <c r="I85" t="inlineStr">
        <is>
          <t>0.00%</t>
        </is>
      </c>
    </row>
    <row r="86">
      <c r="A86" s="11" t="n">
        <v>46164</v>
      </c>
      <c r="B86" t="inlineStr">
        <is>
          <t>RDVI</t>
        </is>
      </c>
      <c r="C86" t="inlineStr">
        <is>
          <t>GICS_INDUSTRY_GROUP_NAME</t>
        </is>
      </c>
      <c r="D86" t="inlineStr">
        <is>
          <t>Consumer Durables &amp; Apparel</t>
        </is>
      </c>
      <c r="E86" t="inlineStr">
        <is>
          <t>Consumer Discretionary</t>
        </is>
      </c>
      <c r="H86" t="inlineStr">
        <is>
          <t>2.48%</t>
        </is>
      </c>
      <c r="I86" t="inlineStr">
        <is>
          <t>0.00%</t>
        </is>
      </c>
    </row>
    <row r="87">
      <c r="A87" s="11" t="n">
        <v>46164</v>
      </c>
      <c r="B87" t="inlineStr">
        <is>
          <t>RDVI</t>
        </is>
      </c>
      <c r="C87" t="inlineStr">
        <is>
          <t>GICS_INDUSTRY_GROUP_NAME</t>
        </is>
      </c>
      <c r="D87" t="inlineStr">
        <is>
          <t>Energy</t>
        </is>
      </c>
      <c r="E87" t="inlineStr">
        <is>
          <t>Energy</t>
        </is>
      </c>
      <c r="H87" t="inlineStr">
        <is>
          <t>2.43%</t>
        </is>
      </c>
      <c r="I87" t="inlineStr">
        <is>
          <t>0.00%</t>
        </is>
      </c>
    </row>
    <row r="88">
      <c r="A88" s="11" t="n">
        <v>46164</v>
      </c>
      <c r="B88" t="inlineStr">
        <is>
          <t>RDVI</t>
        </is>
      </c>
      <c r="C88" t="inlineStr">
        <is>
          <t>GICS_INDUSTRY_NAME</t>
        </is>
      </c>
      <c r="D88" t="inlineStr">
        <is>
          <t>Energy Equipment &amp; Services</t>
        </is>
      </c>
      <c r="E88" t="inlineStr">
        <is>
          <t>Energy</t>
        </is>
      </c>
      <c r="H88" t="inlineStr">
        <is>
          <t>2.43%</t>
        </is>
      </c>
      <c r="I88" t="inlineStr">
        <is>
          <t>0.00%</t>
        </is>
      </c>
    </row>
    <row r="89">
      <c r="A89" s="11" t="n">
        <v>46164</v>
      </c>
      <c r="B89" t="inlineStr">
        <is>
          <t>RDVI</t>
        </is>
      </c>
      <c r="C89" t="inlineStr">
        <is>
          <t>GICS_INDUSTRY_GROUP_NAME</t>
        </is>
      </c>
      <c r="D89" t="inlineStr">
        <is>
          <t>Consumer Services</t>
        </is>
      </c>
      <c r="E89" t="inlineStr">
        <is>
          <t>Consumer Discretionary</t>
        </is>
      </c>
      <c r="H89" t="inlineStr">
        <is>
          <t>2.28%</t>
        </is>
      </c>
      <c r="I89" t="inlineStr">
        <is>
          <t>0.00%</t>
        </is>
      </c>
    </row>
    <row r="90">
      <c r="A90" s="11" t="n">
        <v>46164</v>
      </c>
      <c r="B90" t="inlineStr">
        <is>
          <t>RDVI</t>
        </is>
      </c>
      <c r="C90" t="inlineStr">
        <is>
          <t>GICS_INDUSTRY_NAME</t>
        </is>
      </c>
      <c r="D90" t="inlineStr">
        <is>
          <t>Hotels, Restaurants &amp; Leisure</t>
        </is>
      </c>
      <c r="E90" t="inlineStr">
        <is>
          <t>Consumer Discretionary</t>
        </is>
      </c>
      <c r="H90" t="inlineStr">
        <is>
          <t>2.28%</t>
        </is>
      </c>
      <c r="I90" t="inlineStr">
        <is>
          <t>0.00%</t>
        </is>
      </c>
    </row>
    <row r="91">
      <c r="A91" s="11" t="n">
        <v>46164</v>
      </c>
      <c r="B91" t="inlineStr">
        <is>
          <t>RDVI</t>
        </is>
      </c>
      <c r="C91" t="inlineStr">
        <is>
          <t>GICS_INDUSTRY_NAME</t>
        </is>
      </c>
      <c r="D91" t="inlineStr">
        <is>
          <t>IT Services</t>
        </is>
      </c>
      <c r="E91" t="inlineStr">
        <is>
          <t>Information Technology</t>
        </is>
      </c>
      <c r="H91" t="inlineStr">
        <is>
          <t>2.22%</t>
        </is>
      </c>
      <c r="I91" t="inlineStr">
        <is>
          <t>0.00%</t>
        </is>
      </c>
    </row>
    <row r="92">
      <c r="A92" s="11" t="n">
        <v>46164</v>
      </c>
      <c r="B92" t="inlineStr">
        <is>
          <t>RDVI</t>
        </is>
      </c>
      <c r="C92" t="inlineStr">
        <is>
          <t>GICS_INDUSTRY_NAME</t>
        </is>
      </c>
      <c r="D92" t="inlineStr">
        <is>
          <t>Household Durables</t>
        </is>
      </c>
      <c r="E92" t="inlineStr">
        <is>
          <t>Consumer Discretionary</t>
        </is>
      </c>
      <c r="H92" t="inlineStr">
        <is>
          <t>2.01%</t>
        </is>
      </c>
      <c r="I92" t="inlineStr">
        <is>
          <t>0.00%</t>
        </is>
      </c>
    </row>
    <row r="93">
      <c r="A93" s="11" t="n">
        <v>46164</v>
      </c>
      <c r="B93" t="inlineStr">
        <is>
          <t>RDVI</t>
        </is>
      </c>
      <c r="C93" t="inlineStr">
        <is>
          <t>GICS_INDUSTRY_GROUP_NAME</t>
        </is>
      </c>
      <c r="D93" t="inlineStr">
        <is>
          <t>Food, Beverage &amp; Tobacco</t>
        </is>
      </c>
      <c r="E93" t="inlineStr">
        <is>
          <t>Consumer Staples</t>
        </is>
      </c>
      <c r="H93" t="inlineStr">
        <is>
          <t>1.96%</t>
        </is>
      </c>
      <c r="I93" t="inlineStr">
        <is>
          <t>0.00%</t>
        </is>
      </c>
    </row>
    <row r="94">
      <c r="A94" s="11" t="n">
        <v>46164</v>
      </c>
      <c r="B94" t="inlineStr">
        <is>
          <t>RDVI</t>
        </is>
      </c>
      <c r="C94" t="inlineStr">
        <is>
          <t>GICS_INDUSTRY_NAME</t>
        </is>
      </c>
      <c r="D94" t="inlineStr">
        <is>
          <t>Aerospace &amp; Defense</t>
        </is>
      </c>
      <c r="E94" t="inlineStr">
        <is>
          <t>Industrials</t>
        </is>
      </c>
      <c r="H94" t="inlineStr">
        <is>
          <t>1.84%</t>
        </is>
      </c>
      <c r="I94" t="inlineStr">
        <is>
          <t>0.00%</t>
        </is>
      </c>
    </row>
    <row r="95">
      <c r="A95" s="11" t="n">
        <v>46164</v>
      </c>
      <c r="B95" t="inlineStr">
        <is>
          <t>RDVI</t>
        </is>
      </c>
      <c r="C95" t="inlineStr">
        <is>
          <t>GICS_INDUSTRY_GROUP_NAME</t>
        </is>
      </c>
      <c r="D95" t="inlineStr">
        <is>
          <t>Technology Hardware &amp; Equipment</t>
        </is>
      </c>
      <c r="E95" t="inlineStr">
        <is>
          <t>Information Technology</t>
        </is>
      </c>
      <c r="H95" t="inlineStr">
        <is>
          <t>1.56%</t>
        </is>
      </c>
      <c r="I95" t="inlineStr">
        <is>
          <t>0.00%</t>
        </is>
      </c>
    </row>
    <row r="96">
      <c r="A96" s="11" t="n">
        <v>46164</v>
      </c>
      <c r="B96" t="inlineStr">
        <is>
          <t>RDVI</t>
        </is>
      </c>
      <c r="C96" t="inlineStr">
        <is>
          <t>GICS_INDUSTRY_NAME</t>
        </is>
      </c>
      <c r="D96" t="inlineStr">
        <is>
          <t>Health Care Equipment &amp; Supplies</t>
        </is>
      </c>
      <c r="E96" t="inlineStr">
        <is>
          <t>Health Care</t>
        </is>
      </c>
      <c r="H96" t="inlineStr">
        <is>
          <t>1.55%</t>
        </is>
      </c>
      <c r="I96" t="inlineStr">
        <is>
          <t>0.00%</t>
        </is>
      </c>
    </row>
    <row r="97">
      <c r="A97" s="11" t="n">
        <v>46164</v>
      </c>
      <c r="B97" t="inlineStr">
        <is>
          <t>RDVI</t>
        </is>
      </c>
      <c r="C97" t="inlineStr">
        <is>
          <t>GICS_INDUSTRY_NAME</t>
        </is>
      </c>
      <c r="D97" t="inlineStr">
        <is>
          <t>Professional Services</t>
        </is>
      </c>
      <c r="E97" t="inlineStr">
        <is>
          <t>Industrials</t>
        </is>
      </c>
      <c r="H97" t="inlineStr">
        <is>
          <t>1.50%</t>
        </is>
      </c>
      <c r="I97" t="inlineStr">
        <is>
          <t>0.00%</t>
        </is>
      </c>
    </row>
    <row r="98">
      <c r="A98" s="11" t="n">
        <v>46164</v>
      </c>
      <c r="B98" t="inlineStr">
        <is>
          <t>RDVI</t>
        </is>
      </c>
      <c r="C98" t="inlineStr">
        <is>
          <t>GICS_INDUSTRY_GROUP_NAME</t>
        </is>
      </c>
      <c r="D98" t="inlineStr">
        <is>
          <t>Consumer Staples Distribution &amp; Retail</t>
        </is>
      </c>
      <c r="E98" t="inlineStr">
        <is>
          <t>Consumer Staples</t>
        </is>
      </c>
      <c r="H98" t="inlineStr">
        <is>
          <t>1.47%</t>
        </is>
      </c>
      <c r="I98" t="inlineStr">
        <is>
          <t>0.00%</t>
        </is>
      </c>
    </row>
    <row r="99">
      <c r="A99" s="11" t="n">
        <v>46164</v>
      </c>
      <c r="B99" t="inlineStr">
        <is>
          <t>RDVI</t>
        </is>
      </c>
      <c r="C99" t="inlineStr">
        <is>
          <t>GICS_INDUSTRY_NAME</t>
        </is>
      </c>
      <c r="D99" t="inlineStr">
        <is>
          <t>Consumer Staples Distribution &amp; Retail</t>
        </is>
      </c>
      <c r="E99" t="inlineStr">
        <is>
          <t>Consumer Staples</t>
        </is>
      </c>
      <c r="H99" t="inlineStr">
        <is>
          <t>1.47%</t>
        </is>
      </c>
      <c r="I99" t="inlineStr">
        <is>
          <t>0.00%</t>
        </is>
      </c>
    </row>
    <row r="100">
      <c r="A100" s="11" t="n">
        <v>46164</v>
      </c>
      <c r="B100" t="inlineStr">
        <is>
          <t>RDVI</t>
        </is>
      </c>
      <c r="C100" t="inlineStr">
        <is>
          <t>GICS_INDUSTRY_NAME</t>
        </is>
      </c>
      <c r="D100" t="inlineStr">
        <is>
          <t>Health Care Providers &amp; Services</t>
        </is>
      </c>
      <c r="E100" t="inlineStr">
        <is>
          <t>Health Care</t>
        </is>
      </c>
      <c r="H100" t="inlineStr">
        <is>
          <t>1.42%</t>
        </is>
      </c>
      <c r="I100" t="inlineStr">
        <is>
          <t>0.00%</t>
        </is>
      </c>
    </row>
    <row r="101">
      <c r="A101" s="11" t="n">
        <v>46164</v>
      </c>
      <c r="B101" t="inlineStr">
        <is>
          <t>RDVI</t>
        </is>
      </c>
      <c r="C101" t="inlineStr">
        <is>
          <t>GICS_INDUSTRY_NAME</t>
        </is>
      </c>
      <c r="D101" t="inlineStr">
        <is>
          <t>Broadline Retail</t>
        </is>
      </c>
      <c r="E101" t="inlineStr">
        <is>
          <t>Consumer Discretionary</t>
        </is>
      </c>
      <c r="H101" t="inlineStr">
        <is>
          <t>1.18%</t>
        </is>
      </c>
      <c r="I101" t="inlineStr">
        <is>
          <t>0.00%</t>
        </is>
      </c>
    </row>
    <row r="102">
      <c r="A102" s="11" t="n">
        <v>46164</v>
      </c>
      <c r="B102" t="inlineStr">
        <is>
          <t>RDVI</t>
        </is>
      </c>
      <c r="C102" t="inlineStr">
        <is>
          <t>GICS_INDUSTRY_NAME</t>
        </is>
      </c>
      <c r="D102" t="inlineStr">
        <is>
          <t>Commercial Services &amp; Supplies</t>
        </is>
      </c>
      <c r="E102" t="inlineStr">
        <is>
          <t>Industrials</t>
        </is>
      </c>
      <c r="H102" t="inlineStr">
        <is>
          <t>1.17%</t>
        </is>
      </c>
      <c r="I102" t="inlineStr">
        <is>
          <t>0.00%</t>
        </is>
      </c>
    </row>
    <row r="103">
      <c r="A103" s="11" t="n">
        <v>46164</v>
      </c>
      <c r="B103" t="inlineStr">
        <is>
          <t>RDVI</t>
        </is>
      </c>
      <c r="C103" t="inlineStr">
        <is>
          <t>GICS_INDUSTRY_NAME</t>
        </is>
      </c>
      <c r="D103" t="inlineStr">
        <is>
          <t>Technology Hardware, Storage &amp; Peripherals</t>
        </is>
      </c>
      <c r="E103" t="inlineStr">
        <is>
          <t>Information Technology</t>
        </is>
      </c>
      <c r="H103" t="inlineStr">
        <is>
          <t>1.13%</t>
        </is>
      </c>
      <c r="I103" t="inlineStr">
        <is>
          <t>0.00%</t>
        </is>
      </c>
    </row>
    <row r="104">
      <c r="A104" s="11" t="n">
        <v>46164</v>
      </c>
      <c r="B104" t="inlineStr">
        <is>
          <t>RDVI</t>
        </is>
      </c>
      <c r="C104" t="inlineStr">
        <is>
          <t>GICS_INDUSTRY_NAME</t>
        </is>
      </c>
      <c r="D104" t="inlineStr">
        <is>
          <t>Beverages</t>
        </is>
      </c>
      <c r="E104" t="inlineStr">
        <is>
          <t>Consumer Staples</t>
        </is>
      </c>
      <c r="H104" t="inlineStr">
        <is>
          <t>1.11%</t>
        </is>
      </c>
      <c r="I104" t="inlineStr">
        <is>
          <t>0.00%</t>
        </is>
      </c>
    </row>
    <row r="105">
      <c r="A105" s="11" t="n">
        <v>46164</v>
      </c>
      <c r="B105" t="inlineStr">
        <is>
          <t>RDVI</t>
        </is>
      </c>
      <c r="C105" t="inlineStr">
        <is>
          <t>GICS_INDUSTRY_GROUP_NAME</t>
        </is>
      </c>
      <c r="D105" t="inlineStr">
        <is>
          <t>Pharmaceuticals, Biotechnology &amp; Life Sciences</t>
        </is>
      </c>
      <c r="E105" t="inlineStr">
        <is>
          <t>Health Care</t>
        </is>
      </c>
      <c r="H105" t="inlineStr">
        <is>
          <t>0.99%</t>
        </is>
      </c>
      <c r="I105" t="inlineStr">
        <is>
          <t>0.00%</t>
        </is>
      </c>
    </row>
    <row r="106">
      <c r="A106" s="11" t="n">
        <v>46164</v>
      </c>
      <c r="B106" t="inlineStr">
        <is>
          <t>RDVI</t>
        </is>
      </c>
      <c r="C106" t="inlineStr">
        <is>
          <t>GICS_INDUSTRY_NAME</t>
        </is>
      </c>
      <c r="D106" t="inlineStr">
        <is>
          <t>Food Products</t>
        </is>
      </c>
      <c r="E106" t="inlineStr">
        <is>
          <t>Consumer Staples</t>
        </is>
      </c>
      <c r="H106" t="inlineStr">
        <is>
          <t>0.85%</t>
        </is>
      </c>
      <c r="I106" t="inlineStr">
        <is>
          <t>0.00%</t>
        </is>
      </c>
    </row>
    <row r="107">
      <c r="A107" s="11" t="n">
        <v>46164</v>
      </c>
      <c r="B107" t="inlineStr">
        <is>
          <t>RDVI</t>
        </is>
      </c>
      <c r="C107" t="inlineStr">
        <is>
          <t>GICS_INDUSTRY_NAME</t>
        </is>
      </c>
      <c r="D107" t="inlineStr">
        <is>
          <t>Pharmaceuticals</t>
        </is>
      </c>
      <c r="E107" t="inlineStr">
        <is>
          <t>Health Care</t>
        </is>
      </c>
      <c r="H107" t="inlineStr">
        <is>
          <t>0.60%</t>
        </is>
      </c>
      <c r="I107" t="inlineStr">
        <is>
          <t>0.00%</t>
        </is>
      </c>
    </row>
    <row r="108">
      <c r="A108" s="11" t="n">
        <v>46164</v>
      </c>
      <c r="B108" t="inlineStr">
        <is>
          <t>RDVI</t>
        </is>
      </c>
      <c r="C108" t="inlineStr">
        <is>
          <t>GICS_INDUSTRY_NAME</t>
        </is>
      </c>
      <c r="D108" t="inlineStr">
        <is>
          <t>Entertainment</t>
        </is>
      </c>
      <c r="E108" t="inlineStr">
        <is>
          <t>Communication Services</t>
        </is>
      </c>
      <c r="H108" t="inlineStr">
        <is>
          <t>0.56%</t>
        </is>
      </c>
      <c r="I108" t="inlineStr">
        <is>
          <t>0.00%</t>
        </is>
      </c>
    </row>
    <row r="109">
      <c r="A109" s="11" t="n">
        <v>46164</v>
      </c>
      <c r="B109" t="inlineStr">
        <is>
          <t>RDVI</t>
        </is>
      </c>
      <c r="C109" t="inlineStr">
        <is>
          <t>GICS_INDUSTRY_GROUP_NAME</t>
        </is>
      </c>
      <c r="D109" t="inlineStr">
        <is>
          <t>Transportation</t>
        </is>
      </c>
      <c r="E109" t="inlineStr">
        <is>
          <t>Industrials</t>
        </is>
      </c>
      <c r="H109" t="inlineStr">
        <is>
          <t>0.52%</t>
        </is>
      </c>
      <c r="I109" t="inlineStr">
        <is>
          <t>0.00%</t>
        </is>
      </c>
    </row>
    <row r="110">
      <c r="A110" s="11" t="n">
        <v>46164</v>
      </c>
      <c r="B110" t="inlineStr">
        <is>
          <t>RDVI</t>
        </is>
      </c>
      <c r="C110" t="inlineStr">
        <is>
          <t>GICS_INDUSTRY_NAME</t>
        </is>
      </c>
      <c r="D110" t="inlineStr">
        <is>
          <t>Ground Transportation</t>
        </is>
      </c>
      <c r="E110" t="inlineStr">
        <is>
          <t>Industrials</t>
        </is>
      </c>
      <c r="H110" t="inlineStr">
        <is>
          <t>0.52%</t>
        </is>
      </c>
      <c r="I110" t="inlineStr">
        <is>
          <t>0.00%</t>
        </is>
      </c>
    </row>
    <row r="111">
      <c r="A111" s="11" t="n">
        <v>46164</v>
      </c>
      <c r="B111" t="inlineStr">
        <is>
          <t>RDVI</t>
        </is>
      </c>
      <c r="C111" t="inlineStr">
        <is>
          <t>GICS_INDUSTRY_NAME</t>
        </is>
      </c>
      <c r="D111" t="inlineStr">
        <is>
          <t>Construction &amp; Engineering</t>
        </is>
      </c>
      <c r="E111" t="inlineStr">
        <is>
          <t>Industrials</t>
        </is>
      </c>
      <c r="H111" t="inlineStr">
        <is>
          <t>0.50%</t>
        </is>
      </c>
      <c r="I111" t="inlineStr">
        <is>
          <t>0.00%</t>
        </is>
      </c>
    </row>
    <row r="112">
      <c r="A112" s="11" t="n">
        <v>46164</v>
      </c>
      <c r="B112" t="inlineStr">
        <is>
          <t>RDVI</t>
        </is>
      </c>
      <c r="C112" t="inlineStr">
        <is>
          <t>GICS_INDUSTRY_NAME</t>
        </is>
      </c>
      <c r="D112" t="inlineStr">
        <is>
          <t>Textiles, Apparel &amp; Luxury Goods</t>
        </is>
      </c>
      <c r="E112" t="inlineStr">
        <is>
          <t>Consumer Discretionary</t>
        </is>
      </c>
      <c r="H112" t="inlineStr">
        <is>
          <t>0.47%</t>
        </is>
      </c>
      <c r="I112" t="inlineStr">
        <is>
          <t>0.00%</t>
        </is>
      </c>
    </row>
    <row r="113">
      <c r="A113" s="11" t="n">
        <v>46164</v>
      </c>
      <c r="B113" t="inlineStr">
        <is>
          <t>RDVI</t>
        </is>
      </c>
      <c r="C113" t="inlineStr">
        <is>
          <t>GICS_INDUSTRY_NAME</t>
        </is>
      </c>
      <c r="D113" t="inlineStr">
        <is>
          <t>Media</t>
        </is>
      </c>
      <c r="E113" t="inlineStr">
        <is>
          <t>Communication Services</t>
        </is>
      </c>
      <c r="H113" t="inlineStr">
        <is>
          <t>0.46%</t>
        </is>
      </c>
      <c r="I113" t="inlineStr">
        <is>
          <t>0.00%</t>
        </is>
      </c>
    </row>
    <row r="114">
      <c r="A114" s="11" t="n">
        <v>46164</v>
      </c>
      <c r="B114" t="inlineStr">
        <is>
          <t>RDVI</t>
        </is>
      </c>
      <c r="C114" t="inlineStr">
        <is>
          <t>GICS_INDUSTRY_NAME</t>
        </is>
      </c>
      <c r="D114" t="inlineStr">
        <is>
          <t>Electronic Equipment, Instruments &amp; Components</t>
        </is>
      </c>
      <c r="E114" t="inlineStr">
        <is>
          <t>Information Technology</t>
        </is>
      </c>
      <c r="H114" t="inlineStr">
        <is>
          <t>0.43%</t>
        </is>
      </c>
      <c r="I114" t="inlineStr">
        <is>
          <t>0.00%</t>
        </is>
      </c>
    </row>
    <row r="115">
      <c r="A115" s="11" t="n">
        <v>46164</v>
      </c>
      <c r="B115" t="inlineStr">
        <is>
          <t>RDVI</t>
        </is>
      </c>
      <c r="C115" t="inlineStr">
        <is>
          <t>GICS_INDUSTRY_NAME</t>
        </is>
      </c>
      <c r="D115" t="inlineStr">
        <is>
          <t>Biotechnology</t>
        </is>
      </c>
      <c r="E115" t="inlineStr">
        <is>
          <t>Health Care</t>
        </is>
      </c>
      <c r="H115" t="inlineStr">
        <is>
          <t>0.39%</t>
        </is>
      </c>
      <c r="I115" t="inlineStr">
        <is>
          <t>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50" customWidth="1" min="1" max="1"/>
    <col width="7" customWidth="1" min="2" max="2"/>
    <col width="31" customWidth="1" min="3" max="3"/>
    <col width="27" customWidth="1" min="4" max="4"/>
    <col width="41" customWidth="1" min="5" max="5"/>
    <col width="27" customWidth="1" min="6" max="6"/>
    <col width="20" customWidth="1" min="7" max="7"/>
    <col width="20" customWidth="1" min="8" max="8"/>
    <col width="20" customWidth="1" min="9" max="9"/>
    <col width="20" customWidth="1" min="10" max="10"/>
    <col width="20" customWidth="1" min="11" max="11"/>
    <col width="9" customWidth="1" min="12" max="12"/>
    <col width="28" customWidth="1" min="13" max="13"/>
    <col width="26" customWidth="1" min="14" max="14"/>
    <col width="14" customWidth="1" min="15" max="15"/>
    <col width="27" customWidth="1" min="16" max="16"/>
  </cols>
  <sheetData>
    <row r="1">
      <c r="A1" t="inlineStr">
        <is>
          <t>Date</t>
        </is>
      </c>
      <c r="B1" t="inlineStr">
        <is>
          <t>Fund</t>
        </is>
      </c>
      <c r="C1" t="inlineStr">
        <is>
          <t>Prospectus 80% Compliance</t>
        </is>
      </c>
      <c r="D1" t="inlineStr">
        <is>
          <t>Total Equity Market Value</t>
        </is>
      </c>
      <c r="E1" t="inlineStr">
        <is>
          <t>Total Option Delta Notional Value (DAN)</t>
        </is>
      </c>
      <c r="F1" t="inlineStr">
        <is>
          <t>Total Option Market Value</t>
        </is>
      </c>
      <c r="G1" t="inlineStr">
        <is>
          <t>Total T-Bill Value</t>
        </is>
      </c>
      <c r="H1" t="inlineStr">
        <is>
          <t>Total Cash Value</t>
        </is>
      </c>
      <c r="I1" t="inlineStr">
        <is>
          <t>Max(CCET - DAN, 0)</t>
        </is>
      </c>
      <c r="J1" t="inlineStr">
        <is>
          <t>Denominator</t>
        </is>
      </c>
      <c r="K1" t="inlineStr">
        <is>
          <t>Numerator</t>
        </is>
      </c>
      <c r="L1" t="inlineStr">
        <is>
          <t>Formula</t>
        </is>
      </c>
      <c r="M1" t="inlineStr">
        <is>
          <t>Denominator (Market Value)</t>
        </is>
      </c>
      <c r="N1" t="inlineStr">
        <is>
          <t>Numerator (Market Value)</t>
        </is>
      </c>
      <c r="O1" t="inlineStr">
        <is>
          <t>Formula (MV)</t>
        </is>
      </c>
      <c r="P1" t="inlineStr">
        <is>
          <t>Options in Scope for 80%?</t>
        </is>
      </c>
    </row>
    <row r="2">
      <c r="A2" s="11" t="n">
        <v>46164</v>
      </c>
      <c r="B2" t="inlineStr">
        <is>
          <t>P2726</t>
        </is>
      </c>
      <c r="C2" s="9">
        <f>IF(K2/J2&gt;=0.8,"PASS","FAIL")</f>
        <v/>
      </c>
      <c r="D2" s="9" t="n">
        <v>32617247.62</v>
      </c>
      <c r="E2" s="9" t="n">
        <v>2403346.833147597</v>
      </c>
      <c r="F2" s="9" t="n">
        <v>-236526</v>
      </c>
      <c r="G2" s="9" t="n">
        <v>0</v>
      </c>
      <c r="H2" s="9" t="n">
        <v>61198.60015869141</v>
      </c>
      <c r="I2" s="9" t="n">
        <v>0</v>
      </c>
      <c r="J2" s="9" t="n">
        <v>35081793.05330629</v>
      </c>
      <c r="K2" s="9" t="n">
        <v>32617247.62</v>
      </c>
      <c r="L2" s="10">
        <f>K2/J2</f>
        <v/>
      </c>
      <c r="M2" s="9" t="n">
        <v>32441920.22015869</v>
      </c>
      <c r="N2" s="9" t="n">
        <v>32617247.62</v>
      </c>
      <c r="O2" s="10">
        <f>N2/M2</f>
        <v/>
      </c>
      <c r="P2" t="inlineStr">
        <is>
          <t>No</t>
        </is>
      </c>
    </row>
    <row r="3">
      <c r="A3" s="11" t="n">
        <v>46164</v>
      </c>
      <c r="B3" t="inlineStr">
        <is>
          <t>RDVI</t>
        </is>
      </c>
      <c r="C3" s="9">
        <f>IF(K3/J3&gt;=0.8,"PASS","FAIL")</f>
        <v/>
      </c>
      <c r="D3" s="9" t="n">
        <v>3152881622.905</v>
      </c>
      <c r="E3" s="9" t="n">
        <v>352658412.01864</v>
      </c>
      <c r="F3" s="9" t="n">
        <v>-4695600</v>
      </c>
      <c r="G3" s="9" t="n">
        <v>0</v>
      </c>
      <c r="H3" s="9" t="n">
        <v>23653607.71</v>
      </c>
      <c r="I3" s="9" t="n">
        <v>0</v>
      </c>
      <c r="J3" s="9" t="n">
        <v>3529193642.63364</v>
      </c>
      <c r="K3" s="9" t="n">
        <v>3152881622.905</v>
      </c>
      <c r="L3" s="10">
        <f>K3/J3</f>
        <v/>
      </c>
      <c r="M3" s="9" t="n">
        <v>3171839630.615</v>
      </c>
      <c r="N3" s="9" t="n">
        <v>3152881622.905</v>
      </c>
      <c r="O3" s="10">
        <f>N3/M3</f>
        <v/>
      </c>
      <c r="P3" t="inlineStr">
        <is>
          <t>No</t>
        </is>
      </c>
    </row>
    <row r="4">
      <c r="A4" t="inlineStr">
        <is>
          <t>* Note: Some funds' 80% policies include the options positions while others only include equity exposure.</t>
        </is>
      </c>
    </row>
    <row r="5">
      <c r="A5" t="inlineStr">
        <is>
          <t>* CCET = Cash, Cash Equivalents, and T-bills (less than 1-year maturity).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cols>
    <col width="50" customWidth="1" min="1" max="1"/>
    <col width="7" customWidth="1" min="2" max="2"/>
    <col width="19" customWidth="1" min="3" max="3"/>
    <col width="19" customWidth="1" min="4" max="4"/>
    <col width="26" customWidth="1" min="5" max="5"/>
    <col width="29" customWidth="1" min="6" max="6"/>
    <col width="25" customWidth="1" min="7" max="7"/>
    <col width="50" customWidth="1" min="8" max="8"/>
    <col width="48" customWidth="1" min="9" max="9"/>
    <col width="15" customWidth="1" min="10" max="10"/>
    <col width="30" customWidth="1" min="11" max="11"/>
    <col width="23" customWidth="1" min="12" max="12"/>
    <col width="15" customWidth="1" min="13" max="13"/>
    <col width="10" customWidth="1" min="14" max="14"/>
    <col width="42" customWidth="1" min="15" max="15"/>
    <col width="50" customWidth="1" min="16" max="16"/>
    <col width="34" customWidth="1" min="17" max="17"/>
    <col width="42" customWidth="1" min="18" max="18"/>
    <col width="43" customWidth="1" min="19" max="19"/>
    <col width="50" customWidth="1" min="20" max="20"/>
    <col width="40" customWidth="1" min="21" max="21"/>
    <col width="18" customWidth="1" min="22" max="22"/>
    <col width="23" customWidth="1" min="23" max="23"/>
    <col width="7" customWidth="1" min="24" max="24"/>
  </cols>
  <sheetData>
    <row r="1">
      <c r="A1" t="inlineStr">
        <is>
          <t>Date</t>
        </is>
      </c>
      <c r="B1" t="inlineStr">
        <is>
          <t>Fund</t>
        </is>
      </c>
      <c r="C1" t="inlineStr">
        <is>
          <t>Fund Registration</t>
        </is>
      </c>
      <c r="D1" t="inlineStr">
        <is>
          <t>Fund Status Today</t>
        </is>
      </c>
      <c r="E1" t="inlineStr">
        <is>
          <t>Registration Match</t>
        </is>
      </c>
      <c r="F1" t="inlineStr">
        <is>
          <t>Condition 40 Act 1</t>
        </is>
      </c>
      <c r="G1" t="inlineStr">
        <is>
          <t>Condition 40 Act 2a</t>
        </is>
      </c>
      <c r="H1" t="inlineStr">
        <is>
          <t>Condition 40 Act 2b</t>
        </is>
      </c>
      <c r="I1" t="inlineStr">
        <is>
          <t>Condition 2a OCC</t>
        </is>
      </c>
      <c r="J1" t="inlineStr">
        <is>
          <t>Total Assets</t>
        </is>
      </c>
      <c r="K1" t="inlineStr">
        <is>
          <t>Non-Qualifying Assets Weight</t>
        </is>
      </c>
      <c r="L1" t="inlineStr">
        <is>
          <t>Qualifying Assets Pct</t>
        </is>
      </c>
      <c r="M1" t="inlineStr">
        <is>
          <t>Net Assets</t>
        </is>
      </c>
      <c r="N1" t="inlineStr">
        <is>
          <t>Expenses</t>
        </is>
      </c>
      <c r="O1" t="inlineStr">
        <is>
          <t>Issuer Limited Assets (Condition 2a) Sum</t>
        </is>
      </c>
      <c r="P1" t="inlineStr">
        <is>
          <t>Issuer Limited Assets (Condition 2a) (Ticker, IIV Shares, Mkt Value)</t>
        </is>
      </c>
      <c r="Q1" t="inlineStr">
        <is>
          <t>Excluded Securities (25% Bucket)</t>
        </is>
      </c>
      <c r="R1" t="inlineStr">
        <is>
          <t>Cumulative Weight of Excluded Securities</t>
        </is>
      </c>
      <c r="S1" t="inlineStr">
        <is>
          <t>Cumulative Weight of Remaining Securities</t>
        </is>
      </c>
      <c r="T1" t="inlineStr">
        <is>
          <t>Remaining Securities (Ticker, IIV Shares, Vest Weight, Vest Ownership of Float)</t>
        </is>
      </c>
      <c r="U1" t="inlineStr">
        <is>
          <t>Max Ownership % of Float in 75% bucket</t>
        </is>
      </c>
      <c r="V1" t="inlineStr">
        <is>
          <t>OCC Market Value</t>
        </is>
      </c>
      <c r="W1" t="inlineStr">
        <is>
          <t>OCC Weight</t>
        </is>
      </c>
      <c r="X1" t="inlineStr">
        <is>
          <t>Notes</t>
        </is>
      </c>
    </row>
    <row r="2">
      <c r="A2" s="11" t="n">
        <v>46164</v>
      </c>
      <c r="B2" t="inlineStr">
        <is>
          <t>P2726</t>
        </is>
      </c>
      <c r="C2" t="inlineStr">
        <is>
          <t>diversified</t>
        </is>
      </c>
      <c r="D2" t="inlineStr">
        <is>
          <t>diversified</t>
        </is>
      </c>
      <c r="E2" s="9">
        <f>IF(C2=D2,"PASS","FAIL")</f>
        <v/>
      </c>
      <c r="F2" s="9">
        <f>IF(L2&gt;=0.75,"PASS","FAIL")</f>
        <v/>
      </c>
      <c r="G2" s="9">
        <f>IF(O2=0,"PASS","FAIL")</f>
        <v/>
      </c>
      <c r="H2" s="9">
        <f>IF(VALUE(U2)="","",IF(VALUE(U2)&lt;=0.1,"PASS","FAIL"))</f>
        <v/>
      </c>
      <c r="I2" s="9">
        <f>IF(V2=0,"PASS",IF(V2&lt;=0.05*M2,"PASS","FAIL"))</f>
        <v/>
      </c>
      <c r="J2" s="9" t="n">
        <v>33191204.25</v>
      </c>
      <c r="K2" s="10" t="n">
        <v>-0.002854532462467102</v>
      </c>
      <c r="L2" s="10" t="n">
        <v>1.002854532462467</v>
      </c>
      <c r="M2" s="9" t="n">
        <v>32386174.47</v>
      </c>
      <c r="N2" s="9" t="n">
        <v>9386.48</v>
      </c>
      <c r="O2" s="9" t="n">
        <v>0</v>
      </c>
      <c r="P2" t="inlineStr">
        <is>
          <t>None</t>
        </is>
      </c>
      <c r="Q2" t="inlineStr">
        <is>
          <t>NVDA, AAPL, GOOGLE</t>
        </is>
      </c>
      <c r="R2" s="10" t="n">
        <v>0.2178557568303003</v>
      </c>
      <c r="S2" s="10" t="n">
        <v>0.7821442431696997</v>
      </c>
      <c r="T2" t="inlineStr">
        <is>
          <t>(MSFT, 3,792, 4.79%, 0.0000510%), (AMZN, 5,695, 4.59%, 0.0000529%), (AVGO, 2,805, 3.50%, 0.0000592%), (CSCO, 8,169, 2.97%, 0.0002073%), (META, 1,286, 2.37%, 0.0000586%), (LIN, 1,352, 2.12%, 0.0002923%), (TSLA, 1,604, 2.06%, 0.0000427%), (BRK/B, 1,394, 2.05%, 0.0000997%), (XOM, 3,981, 1.87%, 0.0000960%), (CB, 1,730, 1.72%, 0.0004460%), (LLY, 476, 1.54%, 0.0000505%), (MU, 667, 1.53%, 0.0000591%), (JPM, 1,633, 1.51%, 0.0000609%), (CAT, 616, 1.38%, 0.0001337%), (AMD, 967, 1.37%, 0.0000593%), (AMT, 2,389, 1.32%, 0.0005128%), (V, 1,283, 1.28%, 0.0000773%), (UNH, 983, 1.15%, 0.0001082%), (NEE, 3,978, 1.07%, 0.0001908%), (GE, 1,163, 1.06%, 0.0001115%), (CVX, 1,787, 1.04%, 0.0000897%), (JNJ, 1,443, 1.02%, 0.0000599%), (WMT, 2,670, 0.97%, 0.0000335%), (INTC, 2,663, 0.96%, 0.0000530%), (MA, 623, 0.94%, 0.0000710%), (WM, 1,329, 0.87%, 0.0003309%), (COST, 270, 0.84%, 0.0000609%), (ORCL, 1,349, 0.78%, 0.0000469%), (PLTR, 1,832, 0.76%, 0.0000798%), (ABBV, 1,059, 0.69%, 0.0000599%), (PG, 1,585, 0.69%, 0.0000681%), (GS, 228, 0.69%, 0.0000773%), (LRCX, 746, 0.69%, 0.0000597%), (NFLX, 2,501, 0.67%, 0.0000594%), (MCD, 782, 0.67%, 0.0001101%), (KO, 2,687, 0.66%, 0.0000625%), (RTX, 1,479, 0.63%, 0.0001098%), (BAC, 4,029, 0.63%, 0.0000568%), (PM, 1,080, 0.62%, 0.0000693%), (AMAT, 473, 0.62%, 0.0000596%), (SO, 2,103, 0.60%, 0.0001864%), (IBM, 749, 0.58%, 0.0000797%), (BA, 864, 0.57%, 0.0001096%), (DUK, 1,486, 0.56%, 0.0001909%), (MS, 918, 0.56%, 0.0000582%), (HD, 583, 0.55%, 0.0000585%), (MRK, 1,487, 0.55%, 0.0000602%), (ISRG, 385, 0.51%, 0.0001087%), (ETN, 428, 0.51%, 0.0001102%), (TXN, 540, 0.51%, 0.0000593%), (ABT, 1,887, 0.50%, 0.0001083%), (HON, 700, 0.48%, 0.0001105%), (QCOM, 636, 0.45%, 0.0000603%), (DE, 277, 0.44%, 0.0001026%), (WFC, 1,883, 0.43%, 0.0000615%), (PEP, 949, 0.43%, 0.0000694%), (BKNG, 884, 0.43%, 0.0001141%), (COP, 1,167, 0.43%, 0.0000957%), (UNP, 519, 0.42%, 0.0000874%), (CRM, 763, 0.42%, 0.0000932%), (C, 1,073, 0.41%, 0.0000629%), (VZ, 2,754, 0.40%, 0.0000660%), (UBER, 1,818, 0.40%, 0.0000893%), (CVS, 1,378, 0.39%, 0.0001080%), (SBUX, 1,248, 0.39%, 0.0001095%), (AXP, 408, 0.39%, 0.0000598%), (LMT, 225, 0.36%, 0.0000976%), (BLK, 110, 0.36%, 0.0000709%), (T, 4,631, 0.35%, 0.0002966%), (SCHW, 1,269, 0.35%, 0.0000730%), (AMGN, 323, 0.33%, 0.0000598%), (MDT, 1,392, 0.33%, 0.0001084%), (DIS, 1,054, 0.33%, 0.0000607%), (NKE, 2,422, 0.33%, 0.0002019%), (TJX, 652, 0.31%, 0.0000590%), (TMO, 225, 0.30%, 0.0000605%), (GILD, 743, 0.30%, 0.0000598%), (SPGI, 236, 0.30%, 0.0000778%), (ELV, 241, 0.29%, 0.0001110%), (ACN, 497, 0.27%, 0.0000810%), (PFE, 3,406, 0.27%, 0.0000598%), (MO, 1,165, 0.26%, 0.0000698%), (EMR, 620, 0.26%, 0.0001107%), (NOW, 832, 0.26%, 0.0000807%), (ADBE, 336, 0.25%, 0.0000831%), (FDX, 190, 0.23%, 0.0000796%), (MMM, 586, 0.22%, 0.0001124%), (BMY, 1,219, 0.22%, 0.0000597%), (INTU, 224, 0.22%, 0.0000819%), (LOW, 328, 0.21%, 0.0000585%), (UPS, 647, 0.20%, 0.0000867%), (DHR, 377, 0.20%, 0.0000533%), (MDLZ, 895, 0.17%, 0.0000697%), (CMCSA, 2,146, 0.16%, 0.0000602%), (USB, 932, 0.15%, 0.0000600%), (CL, 547, 0.15%, 0.0000684%), (PYPL, 711, 0.09%, 0.0000806%)</t>
        </is>
      </c>
      <c r="U2" t="inlineStr">
        <is>
          <t>0.00051%</t>
        </is>
      </c>
      <c r="V2" s="9" t="n">
        <v>236526</v>
      </c>
      <c r="W2" s="10" t="n">
        <v>0.007126165059226496</v>
      </c>
    </row>
    <row r="3">
      <c r="A3" s="11" t="n">
        <v>46164</v>
      </c>
      <c r="B3" t="inlineStr">
        <is>
          <t>RDVI</t>
        </is>
      </c>
      <c r="C3" t="inlineStr">
        <is>
          <t>non-diversified</t>
        </is>
      </c>
      <c r="D3" t="inlineStr">
        <is>
          <t>diversified</t>
        </is>
      </c>
      <c r="E3" s="9">
        <f>IF(C3=D3,"PASS","FAIL")</f>
        <v/>
      </c>
      <c r="F3" s="9">
        <f>IF(L3&gt;=0.75,"PASS","FAIL")</f>
        <v/>
      </c>
      <c r="G3" s="9">
        <f>IF(O3=0,"PASS","FAIL")</f>
        <v/>
      </c>
      <c r="H3" s="9">
        <f>IF(VALUE(U3)="","",IF(VALUE(U3)&lt;=0.1,"PASS","FAIL"))</f>
        <v/>
      </c>
      <c r="I3" s="9">
        <f>IF(V3=0,"PASS",IF(V3&lt;=0.05*M3,"PASS","FAIL"))</f>
        <v/>
      </c>
      <c r="J3" s="9" t="n">
        <v>3175110589.64</v>
      </c>
      <c r="K3" s="10" t="n">
        <v>0.007001005510652156</v>
      </c>
      <c r="L3" s="10" t="n">
        <v>0.9929989944893478</v>
      </c>
      <c r="M3" s="9" t="n">
        <v>3147325018.17</v>
      </c>
      <c r="N3" s="9" t="n">
        <v>63930.31</v>
      </c>
      <c r="O3" s="9" t="n">
        <v>0</v>
      </c>
      <c r="P3" t="inlineStr">
        <is>
          <t>None</t>
        </is>
      </c>
      <c r="Q3" t="inlineStr">
        <is>
          <t>None</t>
        </is>
      </c>
      <c r="R3" s="10" t="n">
        <v>0</v>
      </c>
      <c r="S3" s="10" t="n">
        <v>1</v>
      </c>
      <c r="T3" t="inlineStr">
        <is>
          <t>(LRCX, 449,378, 4.34%, 0.0359338%), (AMAT, 263,094, 3.59%, 0.0331370%), (KLAC, 54,500, 3.25%, 0.0417217%), (GEV, 90,326, 2.96%, 0.0336134%), (GOOGLE, 231,013, 2.79%, 0.0039666%), (MPWR, 50,960, 2.55%, 0.1037248%), (ROST, 338,121, 2.48%, 0.1049582%), (BKR, 1,160,294, 2.43%, 0.1169570%), (MLI, 563,727, 2.37%, 0.5098344%), (BNY, 527,301, 2.33%, 0.0768236%), (NVDA, 338,580, 2.30%, 0.0013991%), (PNC, 285,308, 1.98%, 0.0710491%), (CB, 185,167, 1.92%, 0.0477407%), (SNA, 163,001, 1.89%, 0.3146621%), (TRV, 194,299, 1.88%, 0.0913726%), (GE, 193,430, 1.84%, 0.0185396%), (WSM, 304,261, 1.84%, 0.2584032%), (JPM, 189,509, 1.83%, 0.0070725%), (ALL, 265,453, 1.82%, 0.1031202%), (STT, 371,224, 1.80%, 0.1341287%), (HIG, 413,023, 1.77%, 0.1506664%), (AXP, 172,533, 1.70%, 0.0252860%), (V, 163,750, 1.70%, 0.0098662%), (PHM, 455,777, 1.67%, 0.2392701%), (MSFT, 122,169, 1.61%, 0.0016446%), (META, 83,579, 1.61%, 0.0038059%), (EWBC, 403,670, 1.57%, 0.2946576%), (ADP, 210,758, 1.50%, 0.0527245%), (COST, 45,254, 1.47%, 0.0102003%), (BKNG, 280,714, 1.43%, 0.0362268%), (PCAR, 408,096, 1.41%, 0.0775426%), (CRM, 241,060, 1.38%, 0.0294335%), (BAC, 841,747, 1.38%, 0.0118613%), (SYF, 584,365, 1.33%, 0.1734271%), (AMP, 90,407, 1.30%, 0.0996883%), (ACN, 222,511, 1.26%, 0.0362432%), (MA, 78,422, 1.23%, 0.0089417%), (EBAY, 322,182, 1.18%, 0.0725635%), (VLTO, 426,538, 1.17%, 0.1736723%), (AAPL, 115,681, 1.13%, 0.0007876%), (COKE, 205,156, 1.11%, 0.3629966%), (PGR, 162,776, 1.02%, 0.0278965%), (ELV, 79,985, 1.00%, 0.0368319%), (DOV, 149,343, 0.99%, 0.1109026%), (USB, 572,518, 0.99%, 0.0368819%), (RF, 1,113,570, 0.98%, 0.1304894%), (CTSH, 577,923, 0.96%, 0.1219583%), (CINF, 178,789, 0.95%, 0.1148393%), (UNM, 348,743, 0.93%, 0.2182697%), (MU, 36,599, 0.88%, 0.0032454%), (EXPE, 126,833, 0.86%, 0.1107725%), (ABT, 309,559, 0.85%, 0.0177722%), (INGR, 263,682, 0.85%, 0.4181509%), (RJF, 165,931, 0.79%, 0.0851439%), (RMD, 106,344, 0.70%, 0.0733122%), (QCOM, 86,763, 0.65%, 0.0082318%), (JNJ, 81,168, 0.60%, 0.0033719%), (EA, 87,620, 0.55%, 0.0349430%), (ODFL, 78,654, 0.52%, 0.0378202%), (ACM, 223,517, 0.50%, 0.1739122%), (AFL, 133,644, 0.50%, 0.0262570%), (RL, 39,579, 0.47%, 0.1051652%), (FOXA, 227,675, 0.46%, 0.1141336%), (PYPL, 326,605, 0.45%, 0.0370256%), (SCHW, 158,534, 0.45%, 0.0091157%), (WFC, 185,297, 0.45%, 0.0060551%), (MET, 167,062, 0.45%, 0.0259640%), (BLK, 12,857, 0.44%, 0.0082823%), (APH, 103,330, 0.43%, 0.0083992%), (MCK, 17,509, 0.42%, 0.0145661%), (ALSN, 120,450, 0.42%, 0.1452325%), (REGN, 19,308, 0.39%, 0.0187416%), (LEN, 118,760, 0.33%, 0.0551745%)</t>
        </is>
      </c>
      <c r="U3" t="inlineStr">
        <is>
          <t>0.50983%</t>
        </is>
      </c>
      <c r="V3" s="9" t="n">
        <v>4695600</v>
      </c>
      <c r="W3" s="10" t="n">
        <v>0.001478877622505866</v>
      </c>
    </row>
    <row r="4">
      <c r="A4" t="inlineStr">
        <is>
          <t>* To be classified as a diversified company under the 1940 Act, at least 75% of the value of the fund's total assets must be invested in:</t>
        </is>
      </c>
    </row>
    <row r="5">
      <c r="A5" t="inlineStr">
        <is>
          <t>* 1) cash and cash items (including receivables),</t>
        </is>
      </c>
    </row>
    <row r="6">
      <c r="A6" t="inlineStr">
        <is>
          <t>* 2) government securities,</t>
        </is>
      </c>
    </row>
    <row r="7">
      <c r="A7" t="inlineStr">
        <is>
          <t>* 3) securities of other investment companies, and</t>
        </is>
      </c>
    </row>
    <row r="8">
      <c r="A8" t="inlineStr">
        <is>
          <t>* 4) other securities</t>
        </is>
      </c>
    </row>
    <row r="9">
      <c r="A9" t="inlineStr">
        <is>
          <t xml:space="preserve">* </t>
        </is>
      </c>
    </row>
    <row r="10">
      <c r="A10" t="inlineStr">
        <is>
          <t>* Compliance Conditions:</t>
        </is>
      </c>
    </row>
    <row r="11">
      <c r="A11" t="inlineStr">
        <is>
          <t>* Condition 40 Act 1: 75% of the fund must be invested in diversified assets.</t>
        </is>
      </c>
    </row>
    <row r="12">
      <c r="A12" t="inlineStr">
        <is>
          <t>* Condition 40 Act 2a: No single issuer in the 75% can exceed 5% of total assets.</t>
        </is>
      </c>
    </row>
    <row r="13">
      <c r="A13" t="inlineStr">
        <is>
          <t>* Condition 40 Act 2b: No single issuer in the 75% can exceed 10% of the issuer's voting securities.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cols>
    <col width="50" customWidth="1" min="1" max="1"/>
    <col width="7" customWidth="1" min="2" max="2"/>
    <col width="17" customWidth="1" min="3" max="3"/>
    <col width="36" customWidth="1" min="4" max="4"/>
    <col width="28" customWidth="1" min="5" max="5"/>
    <col width="22" customWidth="1" min="6" max="6"/>
    <col width="19" customWidth="1" min="7" max="7"/>
    <col width="15" customWidth="1" min="8" max="8"/>
    <col width="25" customWidth="1" min="9" max="9"/>
    <col width="10" customWidth="1" min="10" max="10"/>
    <col width="31" customWidth="1" min="11" max="11"/>
    <col width="30" customWidth="1" min="12" max="12"/>
    <col width="24" customWidth="1" min="13" max="13"/>
    <col width="50" customWidth="1" min="14" max="14"/>
    <col width="16" customWidth="1" min="15" max="15"/>
    <col width="22" customWidth="1" min="16" max="16"/>
    <col width="27" customWidth="1" min="17" max="17"/>
    <col width="34" customWidth="1" min="18" max="18"/>
    <col width="19" customWidth="1" min="19" max="19"/>
  </cols>
  <sheetData>
    <row r="1">
      <c r="A1" t="inlineStr">
        <is>
          <t>Date</t>
        </is>
      </c>
      <c r="B1" t="inlineStr">
        <is>
          <t>Fund</t>
        </is>
      </c>
      <c r="C1" t="inlineStr">
        <is>
          <t>condition_IRS_1</t>
        </is>
      </c>
      <c r="D1" t="inlineStr">
        <is>
          <t>condition_IRS_2_a_50</t>
        </is>
      </c>
      <c r="E1" t="inlineStr">
        <is>
          <t>condition_IRS_2_a_5</t>
        </is>
      </c>
      <c r="F1" t="inlineStr">
        <is>
          <t>condition_IRS_2_a_10</t>
        </is>
      </c>
      <c r="G1" t="inlineStr">
        <is>
          <t>condition_IRS_2_b</t>
        </is>
      </c>
      <c r="H1" t="inlineStr">
        <is>
          <t>total_assets</t>
        </is>
      </c>
      <c r="I1" t="inlineStr">
        <is>
          <t>qualifying_assets_value</t>
        </is>
      </c>
      <c r="J1" t="inlineStr">
        <is>
          <t>expenses</t>
        </is>
      </c>
      <c r="K1" t="inlineStr">
        <is>
          <t>5% Gross Assets Threshold ($)</t>
        </is>
      </c>
      <c r="L1" t="inlineStr">
        <is>
          <t>sum_large_securities_weights</t>
        </is>
      </c>
      <c r="M1" t="inlineStr">
        <is>
          <t>large_securities_count</t>
        </is>
      </c>
      <c r="N1" t="inlineStr">
        <is>
          <t>large_securities</t>
        </is>
      </c>
      <c r="O1" t="inlineStr">
        <is>
          <t>overlap_weight</t>
        </is>
      </c>
      <c r="P1" t="inlineStr">
        <is>
          <t>overlap_constituents</t>
        </is>
      </c>
      <c r="Q1" t="inlineStr">
        <is>
          <t>bottom_50_largest_holding</t>
        </is>
      </c>
      <c r="R1" t="inlineStr">
        <is>
          <t>bottom_50_second_largest_holding</t>
        </is>
      </c>
      <c r="S1" t="inlineStr">
        <is>
          <t>total_tbill_value</t>
        </is>
      </c>
    </row>
    <row r="2">
      <c r="A2" s="11" t="n">
        <v>46164</v>
      </c>
      <c r="B2" t="inlineStr">
        <is>
          <t>P2726</t>
        </is>
      </c>
      <c r="C2" t="inlineStr">
        <is>
          <t>PASS</t>
        </is>
      </c>
      <c r="D2" s="9">
        <f>IF((I2+S2)/H2&gt;=0.5,"PASS","FAIL")</f>
        <v/>
      </c>
      <c r="E2" s="9">
        <f>IF(L2&lt;=0.5,"PASS","FAIL")</f>
        <v/>
      </c>
      <c r="F2" t="inlineStr">
        <is>
          <t>PASS</t>
        </is>
      </c>
      <c r="G2" t="inlineStr">
        <is>
          <t>PASS</t>
        </is>
      </c>
      <c r="H2" s="9" t="n">
        <v>33191204.25</v>
      </c>
      <c r="I2" s="9" t="n">
        <v>59235602.88</v>
      </c>
      <c r="J2" s="9" t="n">
        <v>9386.48</v>
      </c>
      <c r="K2" s="9" t="n">
        <v>1659560.2125</v>
      </c>
      <c r="L2" s="10" t="n">
        <v>0.3716379077482318</v>
      </c>
      <c r="M2" s="9" t="n">
        <v>5</v>
      </c>
      <c r="N2" t="inlineStr">
        <is>
          <t>(NVDA, 8.27%), (NVDA, 8.23%), (AAPL, 7.19%), (AAPL, 7.17%), (GOOGLE, 6.30%)</t>
        </is>
      </c>
      <c r="O2" s="10" t="n">
        <v>0</v>
      </c>
      <c r="P2" t="inlineStr">
        <is>
          <t>None</t>
        </is>
      </c>
      <c r="Q2" t="inlineStr">
        <is>
          <t>AMZN (4.69%)</t>
        </is>
      </c>
      <c r="R2" t="inlineStr">
        <is>
          <t>AMZN (4.69%)</t>
        </is>
      </c>
      <c r="S2" s="9" t="n">
        <v>0</v>
      </c>
    </row>
    <row r="3">
      <c r="A3" s="11" t="n">
        <v>46164</v>
      </c>
      <c r="B3" t="inlineStr">
        <is>
          <t>RDVI</t>
        </is>
      </c>
      <c r="C3" t="inlineStr">
        <is>
          <t>PASS</t>
        </is>
      </c>
      <c r="D3" s="9">
        <f>IF((I3+S3)/H3&gt;=0.5,"PASS","FAIL")</f>
        <v/>
      </c>
      <c r="E3" s="9">
        <f>IF(L3&lt;=0.5,"PASS","FAIL")</f>
        <v/>
      </c>
      <c r="F3" t="inlineStr">
        <is>
          <t>PASS</t>
        </is>
      </c>
      <c r="G3" t="inlineStr">
        <is>
          <t>PASS</t>
        </is>
      </c>
      <c r="H3" s="9" t="n">
        <v>3175110589.64</v>
      </c>
      <c r="I3" s="9" t="n">
        <v>3152881622.905</v>
      </c>
      <c r="J3" s="9" t="n">
        <v>63930.31</v>
      </c>
      <c r="K3" s="9" t="n">
        <v>158755529.482</v>
      </c>
      <c r="L3" s="10" t="n">
        <v>0</v>
      </c>
      <c r="M3" s="9" t="n">
        <v>0</v>
      </c>
      <c r="N3" t="inlineStr">
        <is>
          <t>None</t>
        </is>
      </c>
      <c r="O3" s="10" t="n">
        <v>0</v>
      </c>
      <c r="P3" t="inlineStr">
        <is>
          <t>None</t>
        </is>
      </c>
      <c r="Q3" t="inlineStr">
        <is>
          <t>HIG (1.79%)</t>
        </is>
      </c>
      <c r="R3" t="inlineStr">
        <is>
          <t>AXP (1.71%)</t>
        </is>
      </c>
      <c r="S3" s="9" t="n">
        <v>0</v>
      </c>
    </row>
    <row r="4">
      <c r="A4" t="inlineStr">
        <is>
          <t>* IRS Condition 1: 90% of income must come from qualifying sources.</t>
        </is>
      </c>
    </row>
    <row r="5">
      <c r="A5" t="inlineStr">
        <is>
          <t>* IRS Condition 2a: At least 50% of assets must be allocated to qualifying securities.</t>
        </is>
      </c>
    </row>
    <row r="6">
      <c r="A6" t="inlineStr">
        <is>
          <t>* IRS Condition 2a5: for 50% of portfolio, no issuer is more than 5% of fund assets.</t>
        </is>
      </c>
    </row>
    <row r="7">
      <c r="A7" t="inlineStr">
        <is>
          <t>* IRS Condition 2a10: for 50% of portfolio, fund doesn't hold more than 10% of any issuer's outstanding float.</t>
        </is>
      </c>
    </row>
    <row r="8">
      <c r="A8" t="inlineStr">
        <is>
          <t>* IRS Condition 2b: No single issuer may constitute more than 25% of assets.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0" customWidth="1" min="1" max="1"/>
    <col width="7" customWidth="1" min="2" max="2"/>
    <col width="22" customWidth="1" min="3" max="3"/>
    <col width="20" customWidth="1" min="4" max="4"/>
  </cols>
  <sheetData>
    <row r="1">
      <c r="A1" t="inlineStr">
        <is>
          <t>Date</t>
        </is>
      </c>
      <c r="B1" t="inlineStr">
        <is>
          <t>Fund</t>
        </is>
      </c>
      <c r="C1" t="inlineStr">
        <is>
          <t>Real Estate Exposure</t>
        </is>
      </c>
      <c r="D1" t="inlineStr">
        <is>
          <t>Total Exposure</t>
        </is>
      </c>
    </row>
    <row r="2">
      <c r="A2" s="11" t="n">
        <v>46164</v>
      </c>
      <c r="B2" t="inlineStr">
        <is>
          <t>P2726</t>
        </is>
      </c>
      <c r="C2" s="9" t="n">
        <v>0</v>
      </c>
      <c r="D2" s="9" t="n">
        <v>32617247.62</v>
      </c>
    </row>
    <row r="3">
      <c r="A3" s="11" t="n">
        <v>46164</v>
      </c>
      <c r="B3" t="inlineStr">
        <is>
          <t>RDVI</t>
        </is>
      </c>
      <c r="C3" s="9" t="n">
        <v>0</v>
      </c>
      <c r="D3" s="9" t="n">
        <v>3152881622.905</v>
      </c>
    </row>
    <row r="4">
      <c r="A4" t="inlineStr">
        <is>
          <t>* We search for tags in Bloomberg for any fund holdings categorized as real estate.</t>
        </is>
      </c>
    </row>
    <row r="5">
      <c r="A5" t="inlineStr">
        <is>
          <t>* If none, it reports 'None'.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0" customWidth="1" min="1" max="1"/>
    <col width="7" customWidth="1" min="2" max="2"/>
    <col width="22" customWidth="1" min="3" max="3"/>
  </cols>
  <sheetData>
    <row r="1">
      <c r="A1" t="inlineStr">
        <is>
          <t>Date</t>
        </is>
      </c>
      <c r="B1" t="inlineStr">
        <is>
          <t>Fund</t>
        </is>
      </c>
      <c r="C1" t="inlineStr">
        <is>
          <t>Commodities Exposure</t>
        </is>
      </c>
    </row>
    <row r="2">
      <c r="A2" s="11" t="n">
        <v>46164</v>
      </c>
      <c r="B2" t="inlineStr">
        <is>
          <t>P2726</t>
        </is>
      </c>
      <c r="C2" s="9" t="n">
        <v>0</v>
      </c>
    </row>
    <row r="3">
      <c r="A3" s="11" t="n">
        <v>46164</v>
      </c>
      <c r="B3" t="inlineStr">
        <is>
          <t>RDVI</t>
        </is>
      </c>
      <c r="C3" s="9" t="n">
        <v>0</v>
      </c>
    </row>
    <row r="4">
      <c r="A4" t="inlineStr">
        <is>
          <t>* We search for tags in Bloomberg for any fund holdings categorized as commodities.</t>
        </is>
      </c>
    </row>
    <row r="5">
      <c r="A5" t="inlineStr">
        <is>
          <t>* If none, it reports 'None'.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50" customWidth="1" min="1" max="1"/>
    <col width="7" customWidth="1" min="2" max="2"/>
    <col width="15"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t="inlineStr">
        <is>
          <t>Date</t>
        </is>
      </c>
      <c r="B1" t="inlineStr">
        <is>
          <t>Fund</t>
        </is>
      </c>
      <c r="C1" t="inlineStr">
        <is>
          <t>Total Assets</t>
        </is>
      </c>
      <c r="D1" t="inlineStr">
        <is>
          <t>Investment Companies</t>
        </is>
      </c>
      <c r="E1" t="inlineStr">
        <is>
          <t>Ownership % Max</t>
        </is>
      </c>
      <c r="F1" t="inlineStr">
        <is>
          <t>Equity Market Value Sum</t>
        </is>
      </c>
      <c r="G1" t="inlineStr">
        <is>
          <t>Test 1 (&lt;=3% Ownership)</t>
        </is>
      </c>
      <c r="H1" t="inlineStr">
        <is>
          <t>Test 2 (&lt;=5% Total Assets)</t>
        </is>
      </c>
      <c r="I1" t="inlineStr">
        <is>
          <t>Test 3 (&lt;=10% Total Assets)</t>
        </is>
      </c>
      <c r="J1" t="inlineStr">
        <is>
          <t>12d1(a) Compliant</t>
        </is>
      </c>
    </row>
    <row r="2">
      <c r="A2" s="11" t="n">
        <v>46164</v>
      </c>
      <c r="B2" t="inlineStr">
        <is>
          <t>P2726</t>
        </is>
      </c>
      <c r="C2" s="9" t="n">
        <v>33191204.25</v>
      </c>
      <c r="D2" t="inlineStr">
        <is>
          <t>None</t>
        </is>
      </c>
      <c r="E2" s="10" t="n">
        <v>0</v>
      </c>
      <c r="F2" s="9" t="n">
        <v>0</v>
      </c>
      <c r="G2" s="10">
        <f>IF(E2&lt;=0.03,"PASS","FAIL")</f>
        <v/>
      </c>
      <c r="H2" s="9">
        <f>IF(F2/C2&lt;=0.05,"PASS","FAIL")</f>
        <v/>
      </c>
      <c r="I2" s="9">
        <f>IF(F2/C2&lt;=0.10,"PASS","FAIL")</f>
        <v/>
      </c>
      <c r="J2" s="9">
        <f>IF(AND(G2="PASS",H2="PASS",I2="PASS"),"PASS","FAIL")</f>
        <v/>
      </c>
    </row>
    <row r="3">
      <c r="A3" s="11" t="n">
        <v>46164</v>
      </c>
      <c r="B3" t="inlineStr">
        <is>
          <t>RDVI</t>
        </is>
      </c>
      <c r="C3" s="9" t="n">
        <v>3175110589.64</v>
      </c>
      <c r="D3" t="inlineStr">
        <is>
          <t>None</t>
        </is>
      </c>
      <c r="E3" s="10" t="n">
        <v>0</v>
      </c>
      <c r="F3" s="9" t="n">
        <v>0</v>
      </c>
      <c r="G3" s="10">
        <f>IF(E3&lt;=0.03,"PASS","FAIL")</f>
        <v/>
      </c>
      <c r="H3" s="9">
        <f>IF(F3/C3&lt;=0.05,"PASS","FAIL")</f>
        <v/>
      </c>
      <c r="I3" s="9">
        <f>IF(F3/C3&lt;=0.10,"PASS","FAIL")</f>
        <v/>
      </c>
      <c r="J3" s="9">
        <f>IF(AND(G3="PASS",H3="PASS",I3="PASS"),"PASS","FAIL")</f>
        <v/>
      </c>
    </row>
    <row r="4">
      <c r="A4"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0" customWidth="1" min="1" max="1"/>
    <col width="7" customWidth="1" min="2" max="2"/>
    <col width="11" customWidth="1" min="3" max="3"/>
    <col width="15" customWidth="1" min="4" max="4"/>
    <col width="50" customWidth="1" min="5" max="5"/>
  </cols>
  <sheetData>
    <row r="1">
      <c r="A1" t="inlineStr">
        <is>
          <t>Date</t>
        </is>
      </c>
      <c r="B1" t="inlineStr">
        <is>
          <t>Fund</t>
        </is>
      </c>
      <c r="C1" t="inlineStr">
        <is>
          <t>Compliant</t>
        </is>
      </c>
      <c r="D1" t="inlineStr">
        <is>
          <t>Total Assets</t>
        </is>
      </c>
      <c r="E1" t="inlineStr">
        <is>
          <t>Insurance Holdings</t>
        </is>
      </c>
    </row>
    <row r="2">
      <c r="A2" s="11" t="n">
        <v>46164</v>
      </c>
      <c r="B2" t="inlineStr">
        <is>
          <t>P2726</t>
        </is>
      </c>
      <c r="C2" t="inlineStr">
        <is>
          <t>PASS</t>
        </is>
      </c>
      <c r="D2" s="9" t="n">
        <v>33191204.25</v>
      </c>
      <c r="E2" t="inlineStr">
        <is>
          <t>CB (0.00000%)</t>
        </is>
      </c>
    </row>
    <row r="3">
      <c r="A3" s="11" t="n">
        <v>46164</v>
      </c>
      <c r="B3" t="inlineStr">
        <is>
          <t>RDVI</t>
        </is>
      </c>
      <c r="C3" t="inlineStr">
        <is>
          <t>PASS</t>
        </is>
      </c>
      <c r="D3" s="9" t="n">
        <v>3175110589.64</v>
      </c>
      <c r="E3" t="inlineStr">
        <is>
          <t>PGR (0.00000%), MET (0.00000%), HIG (0.00000%), CINF (0.00000%), CB (0.00000%), ALL (0.00000%), AFL (0.00000%), UNM (0.00000%), TRV (0.00000%)</t>
        </is>
      </c>
    </row>
    <row r="4">
      <c r="A4" t="inlineStr">
        <is>
          <t>* The Fund may not own more than 10% of the total outstanding voting stock of an insurance company.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50" customWidth="1" min="1" max="1"/>
    <col width="7" customWidth="1" min="2" max="2"/>
    <col width="29" customWidth="1" min="3" max="3"/>
    <col width="21" customWidth="1" min="4" max="4"/>
    <col width="29" customWidth="1" min="5" max="5"/>
    <col width="50" customWidth="1" min="6" max="6"/>
    <col width="50" customWidth="1" min="7" max="7"/>
    <col width="50" customWidth="1" min="8" max="8"/>
    <col width="15" customWidth="1" min="9" max="9"/>
    <col width="17" customWidth="1" min="10" max="10"/>
    <col width="22" customWidth="1" min="11" max="11"/>
  </cols>
  <sheetData>
    <row r="1">
      <c r="A1" t="inlineStr">
        <is>
          <t>Date</t>
        </is>
      </c>
      <c r="B1" t="inlineStr">
        <is>
          <t>Fund</t>
        </is>
      </c>
      <c r="C1" t="inlineStr">
        <is>
          <t>Rule 1 (&lt;=5% equities)</t>
        </is>
      </c>
      <c r="D1" t="inlineStr">
        <is>
          <t>Rule 2 (&lt;=10% debt)</t>
        </is>
      </c>
      <c r="E1" t="inlineStr">
        <is>
          <t>Rule 3 (&lt;=5% total assets)</t>
        </is>
      </c>
      <c r="F1" t="inlineStr">
        <is>
          <t>12d3 Sec Biz Compliant</t>
        </is>
      </c>
      <c r="G1" t="inlineStr">
        <is>
          <t>SEC-Related Businesses (Shs Out %)</t>
        </is>
      </c>
      <c r="H1" t="inlineStr">
        <is>
          <t>Combined Holdings (Portfolio %)</t>
        </is>
      </c>
      <c r="I1" t="inlineStr">
        <is>
          <t>Total Assets</t>
        </is>
      </c>
      <c r="J1" t="inlineStr">
        <is>
          <t>Max Ownership %</t>
        </is>
      </c>
      <c r="K1" t="inlineStr">
        <is>
          <t>Max Weight</t>
        </is>
      </c>
    </row>
    <row r="2">
      <c r="A2" s="11" t="n">
        <v>46164</v>
      </c>
      <c r="B2" t="inlineStr">
        <is>
          <t>P2726</t>
        </is>
      </c>
      <c r="C2" s="9">
        <f>IF(K2&lt;=0.05,"PASS","FAIL")</f>
        <v/>
      </c>
      <c r="D2" t="inlineStr">
        <is>
          <t>PASS</t>
        </is>
      </c>
      <c r="E2" s="9">
        <f>IF(L2&lt;=0.05,"PASS","FAIL")</f>
        <v/>
      </c>
      <c r="F2" s="9">
        <f>IF(AND(C2="PASS",D2="PASS",E2="PASS"),"PASS","FAIL")</f>
        <v/>
      </c>
      <c r="G2" t="inlineStr">
        <is>
          <t>SPGI (0.00000%), SCHW (0.00000%), MS (0.00000%), JPM (0.00000%), GS (0.00000%), C (0.00000%), BLK (0.00000%), BAC (0.00000%), WFC (0.00000%), USB (0.00000%)</t>
        </is>
      </c>
      <c r="H2" t="inlineStr">
        <is>
          <t>SPGI (0.30%), SCHW (0.35%), SCHW (0.35%), MS (0.56%), MS (0.55%), JPM (1.51%), JPM (1.50%), GS (0.68%), C (0.40%), C (0.41%), BLK (0.36%), BAC (0.63%), BAC (0.63%), WFC (0.43%), WFC (0.43%), USB (0.15%), USB (0.15%)</t>
        </is>
      </c>
      <c r="I2" s="9" t="n">
        <v>33191204.25</v>
      </c>
      <c r="J2" t="inlineStr">
        <is>
          <t>0.00000000%</t>
        </is>
      </c>
      <c r="K2" s="10" t="n">
        <v>0.01508591722760406</v>
      </c>
    </row>
    <row r="3">
      <c r="A3" s="11" t="n">
        <v>46164</v>
      </c>
      <c r="B3" t="inlineStr">
        <is>
          <t>RDVI</t>
        </is>
      </c>
      <c r="C3" s="9">
        <f>IF(K3&lt;=0.05,"PASS","FAIL")</f>
        <v/>
      </c>
      <c r="D3" t="inlineStr">
        <is>
          <t>PASS</t>
        </is>
      </c>
      <c r="E3" s="9">
        <f>IF(L3&lt;=0.05,"PASS","FAIL")</f>
        <v/>
      </c>
      <c r="F3" s="9">
        <f>IF(AND(C3="PASS",D3="PASS",E3="PASS"),"PASS","FAIL")</f>
        <v/>
      </c>
      <c r="G3" t="inlineStr">
        <is>
          <t>STT (0.00000%), SCHW (0.00000%), RJF (0.00000%), RF (0.00000%), PNC (0.00000%), JPM (0.00000%), EWBC (0.00000%), BNY (0.00000%), BLK (0.00000%), BAC (0.00000%), AMP (0.00000%), WFC (0.00000%), USB (0.00000%)</t>
        </is>
      </c>
      <c r="H3" t="inlineStr">
        <is>
          <t>STT (1.80%), SCHW (0.45%), RJF (0.79%), RF (0.98%), PNC (1.98%), JPM (1.83%), EWBC (1.57%), BNY (2.33%), BLK (0.44%), BAC (1.38%), AMP (1.30%), WFC (0.45%), USB (0.99%)</t>
        </is>
      </c>
      <c r="I3" s="9" t="n">
        <v>3175110589.64</v>
      </c>
      <c r="J3" t="inlineStr">
        <is>
          <t>0.00000000%</t>
        </is>
      </c>
      <c r="K3" s="10" t="n">
        <v>0.02325854481445734</v>
      </c>
    </row>
    <row r="4">
      <c r="A4"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2026-05-29T17:26:21Z</dcterms:created>
  <dcterms:modified xsi:type="dcterms:W3CDTF">2026-05-29T17:26:21Z</dcterms:modified>
</cp:coreProperties>
</file>