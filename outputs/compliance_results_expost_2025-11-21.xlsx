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0" customWidth="1" min="1" max="1"/>
    <col width="6" customWidth="1" min="2" max="2"/>
    <col width="25" customWidth="1" min="3" max="3"/>
    <col width="22" customWidth="1" min="4" max="4"/>
    <col width="28" customWidth="1" min="5" max="5"/>
    <col width="29" customWidth="1" min="6" max="6"/>
    <col width="35" customWidth="1" min="7" max="7"/>
    <col width="36" customWidth="1" min="8" max="8"/>
    <col width="31"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FDND</t>
        </is>
      </c>
      <c r="C2" t="inlineStr">
        <is>
          <t>FAIL</t>
        </is>
      </c>
      <c r="D2" t="b">
        <v>0</v>
      </c>
      <c r="E2" t="b">
        <v>1</v>
      </c>
      <c r="F2" t="b">
        <v>0</v>
      </c>
      <c r="G2" t="b">
        <v>0</v>
      </c>
      <c r="H2" t="inlineStr">
        <is>
          <t>Yes</t>
        </is>
      </c>
      <c r="I2" t="inlineStr"/>
    </row>
    <row r="3">
      <c r="A3" s="2" t="n">
        <v>45982</v>
      </c>
      <c r="B3" t="inlineStr">
        <is>
          <t>FGSI</t>
        </is>
      </c>
      <c r="C3" t="inlineStr">
        <is>
          <t>PASS</t>
        </is>
      </c>
      <c r="D3" t="b">
        <v>0</v>
      </c>
      <c r="E3" t="b">
        <v>0</v>
      </c>
      <c r="F3" t="b">
        <v>0</v>
      </c>
      <c r="G3" t="b">
        <v>0</v>
      </c>
      <c r="H3" t="inlineStr">
        <is>
          <t>No</t>
        </is>
      </c>
      <c r="I3" t="inlineStr"/>
    </row>
    <row r="4">
      <c r="A4" s="2" t="n">
        <v>45982</v>
      </c>
      <c r="B4" t="inlineStr">
        <is>
          <t>KNG</t>
        </is>
      </c>
      <c r="C4" t="inlineStr">
        <is>
          <t>PASS</t>
        </is>
      </c>
      <c r="D4" t="b">
        <v>0</v>
      </c>
      <c r="E4" t="b">
        <v>0</v>
      </c>
      <c r="F4" t="b">
        <v>0</v>
      </c>
      <c r="G4" t="b">
        <v>0</v>
      </c>
      <c r="H4" t="inlineStr">
        <is>
          <t>Yes</t>
        </is>
      </c>
      <c r="I4" t="inlineStr"/>
    </row>
    <row r="5">
      <c r="A5" s="2" t="n">
        <v>45982</v>
      </c>
      <c r="B5" t="inlineStr">
        <is>
          <t>RDVI</t>
        </is>
      </c>
      <c r="C5" t="inlineStr">
        <is>
          <t>PASS</t>
        </is>
      </c>
      <c r="D5" t="b">
        <v>0</v>
      </c>
      <c r="E5" t="b">
        <v>0</v>
      </c>
      <c r="F5" t="b">
        <v>0</v>
      </c>
      <c r="G5" t="b">
        <v>0</v>
      </c>
      <c r="H5" t="inlineStr">
        <is>
          <t>No</t>
        </is>
      </c>
      <c r="I5" t="inlineStr"/>
    </row>
    <row r="6">
      <c r="A6" s="2" t="n">
        <v>45982</v>
      </c>
      <c r="B6" t="inlineStr">
        <is>
          <t>SDVD</t>
        </is>
      </c>
      <c r="C6" t="inlineStr">
        <is>
          <t>PASS</t>
        </is>
      </c>
      <c r="D6" t="b">
        <v>0</v>
      </c>
      <c r="E6" t="b">
        <v>0</v>
      </c>
      <c r="F6" t="b">
        <v>0</v>
      </c>
      <c r="G6" t="b">
        <v>0</v>
      </c>
      <c r="H6" t="inlineStr">
        <is>
          <t>No</t>
        </is>
      </c>
      <c r="I6" t="inlineStr"/>
    </row>
    <row r="7">
      <c r="A7" s="2" t="n">
        <v>45982</v>
      </c>
      <c r="B7" t="inlineStr">
        <is>
          <t>TDVI</t>
        </is>
      </c>
      <c r="C7" t="inlineStr">
        <is>
          <t>PASS</t>
        </is>
      </c>
      <c r="D7" t="b">
        <v>1</v>
      </c>
      <c r="E7" t="b">
        <v>1</v>
      </c>
      <c r="F7" t="b">
        <v>0</v>
      </c>
      <c r="G7" t="b">
        <v>0</v>
      </c>
      <c r="H7" t="inlineStr">
        <is>
          <t>No</t>
        </is>
      </c>
      <c r="I7" t="inlineStr">
        <is>
          <t>Information Technology Sector</t>
        </is>
      </c>
    </row>
    <row r="8">
      <c r="A8"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8" t="inlineStr"/>
      <c r="C8" t="inlineStr"/>
      <c r="D8" t="inlineStr"/>
      <c r="E8" t="inlineStr"/>
      <c r="F8" t="inlineStr"/>
      <c r="G8" t="inlineStr"/>
      <c r="H8" t="inlineStr"/>
      <c r="I8"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workbookViewId="0">
      <selection activeCell="A1" sqref="A1"/>
    </sheetView>
  </sheetViews>
  <sheetFormatPr baseColWidth="8" defaultRowHeight="15"/>
  <cols>
    <col width="12" customWidth="1" min="1" max="1"/>
    <col width="6"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FDND</t>
        </is>
      </c>
      <c r="C2" t="inlineStr">
        <is>
          <t>GICS_INDUSTRY_GROUP_NAME</t>
        </is>
      </c>
      <c r="D2" t="inlineStr">
        <is>
          <t>Media &amp; Entertainment</t>
        </is>
      </c>
      <c r="E2" t="inlineStr">
        <is>
          <t>Communication Services</t>
        </is>
      </c>
      <c r="F2" t="b">
        <v>1</v>
      </c>
      <c r="G2" t="inlineStr"/>
      <c r="H2" t="inlineStr">
        <is>
          <t>34.01%</t>
        </is>
      </c>
      <c r="I2" t="inlineStr">
        <is>
          <t>0.00%</t>
        </is>
      </c>
    </row>
    <row r="3">
      <c r="A3" s="2" t="n">
        <v>45982</v>
      </c>
      <c r="B3" t="inlineStr">
        <is>
          <t>FDND</t>
        </is>
      </c>
      <c r="C3" t="inlineStr">
        <is>
          <t>GICS_INDUSTRY_GROUP_NAME</t>
        </is>
      </c>
      <c r="D3" t="inlineStr">
        <is>
          <t>Software &amp; Services</t>
        </is>
      </c>
      <c r="E3" t="inlineStr">
        <is>
          <t>Information Technology</t>
        </is>
      </c>
      <c r="F3" t="inlineStr"/>
      <c r="G3" t="inlineStr"/>
      <c r="H3" t="inlineStr">
        <is>
          <t>22.78%</t>
        </is>
      </c>
      <c r="I3" t="inlineStr">
        <is>
          <t>0.00%</t>
        </is>
      </c>
    </row>
    <row r="4">
      <c r="A4" s="2" t="n">
        <v>45982</v>
      </c>
      <c r="B4" t="inlineStr">
        <is>
          <t>FDND</t>
        </is>
      </c>
      <c r="C4" t="inlineStr">
        <is>
          <t>GICS_INDUSTRY_NAME</t>
        </is>
      </c>
      <c r="D4" t="inlineStr">
        <is>
          <t>Interactive Media &amp; Services</t>
        </is>
      </c>
      <c r="E4" t="inlineStr">
        <is>
          <t>Communication Services</t>
        </is>
      </c>
      <c r="F4" t="inlineStr"/>
      <c r="G4" t="inlineStr"/>
      <c r="H4" t="inlineStr">
        <is>
          <t>22.45%</t>
        </is>
      </c>
      <c r="I4" t="inlineStr">
        <is>
          <t>0.00%</t>
        </is>
      </c>
    </row>
    <row r="5">
      <c r="A5" s="2" t="n">
        <v>45982</v>
      </c>
      <c r="B5" t="inlineStr">
        <is>
          <t>FDND</t>
        </is>
      </c>
      <c r="C5" t="inlineStr">
        <is>
          <t>GICS_INDUSTRY_GROUP_NAME</t>
        </is>
      </c>
      <c r="D5" t="inlineStr">
        <is>
          <t>Consumer Discretionary Distribution &amp; Retail</t>
        </is>
      </c>
      <c r="E5" t="inlineStr">
        <is>
          <t>Consumer Discretionary</t>
        </is>
      </c>
      <c r="F5" t="inlineStr"/>
      <c r="G5" t="inlineStr"/>
      <c r="H5" t="inlineStr">
        <is>
          <t>13.91%</t>
        </is>
      </c>
      <c r="I5" t="inlineStr">
        <is>
          <t>0.00%</t>
        </is>
      </c>
    </row>
    <row r="6">
      <c r="A6" s="2" t="n">
        <v>45982</v>
      </c>
      <c r="B6" t="inlineStr">
        <is>
          <t>FDND</t>
        </is>
      </c>
      <c r="C6" t="inlineStr">
        <is>
          <t>GICS_INDUSTRY_NAME</t>
        </is>
      </c>
      <c r="D6" t="inlineStr">
        <is>
          <t>Software</t>
        </is>
      </c>
      <c r="E6" t="inlineStr">
        <is>
          <t>Information Technology</t>
        </is>
      </c>
      <c r="F6" t="inlineStr"/>
      <c r="G6" t="inlineStr"/>
      <c r="H6" t="inlineStr">
        <is>
          <t>13.58%</t>
        </is>
      </c>
      <c r="I6" t="inlineStr">
        <is>
          <t>0.00%</t>
        </is>
      </c>
    </row>
    <row r="7">
      <c r="A7" s="2" t="n">
        <v>45982</v>
      </c>
      <c r="B7" t="inlineStr">
        <is>
          <t>FDND</t>
        </is>
      </c>
      <c r="C7" t="inlineStr">
        <is>
          <t>GICS_INDUSTRY_NAME</t>
        </is>
      </c>
      <c r="D7" t="inlineStr">
        <is>
          <t>Broadline Retail</t>
        </is>
      </c>
      <c r="E7" t="inlineStr">
        <is>
          <t>Consumer Discretionary</t>
        </is>
      </c>
      <c r="F7" t="inlineStr"/>
      <c r="G7" t="inlineStr"/>
      <c r="H7" t="inlineStr">
        <is>
          <t>12.08%</t>
        </is>
      </c>
      <c r="I7" t="inlineStr">
        <is>
          <t>0.00%</t>
        </is>
      </c>
    </row>
    <row r="8">
      <c r="A8" s="2" t="n">
        <v>45982</v>
      </c>
      <c r="B8" t="inlineStr">
        <is>
          <t>FDND</t>
        </is>
      </c>
      <c r="C8" t="inlineStr">
        <is>
          <t>GICS_INDUSTRY_GROUP_NAME</t>
        </is>
      </c>
      <c r="D8" t="inlineStr">
        <is>
          <t>Consumer Services</t>
        </is>
      </c>
      <c r="E8" t="inlineStr">
        <is>
          <t>Consumer Discretionary</t>
        </is>
      </c>
      <c r="F8" t="inlineStr"/>
      <c r="G8" t="inlineStr"/>
      <c r="H8" t="inlineStr">
        <is>
          <t>11.73%</t>
        </is>
      </c>
      <c r="I8" t="inlineStr">
        <is>
          <t>0.00%</t>
        </is>
      </c>
    </row>
    <row r="9">
      <c r="A9" s="2" t="n">
        <v>45982</v>
      </c>
      <c r="B9" t="inlineStr">
        <is>
          <t>FDND</t>
        </is>
      </c>
      <c r="C9" t="inlineStr">
        <is>
          <t>GICS_INDUSTRY_GROUP_NAME</t>
        </is>
      </c>
      <c r="D9" t="inlineStr">
        <is>
          <t>Technology Hardware &amp; Equipment</t>
        </is>
      </c>
      <c r="E9" t="inlineStr">
        <is>
          <t>Information Technology</t>
        </is>
      </c>
      <c r="F9" t="inlineStr"/>
      <c r="G9" t="inlineStr"/>
      <c r="H9" t="inlineStr">
        <is>
          <t>11.69%</t>
        </is>
      </c>
      <c r="I9" t="inlineStr">
        <is>
          <t>0.00%</t>
        </is>
      </c>
    </row>
    <row r="10">
      <c r="A10" s="2" t="n">
        <v>45982</v>
      </c>
      <c r="B10" t="inlineStr">
        <is>
          <t>FDND</t>
        </is>
      </c>
      <c r="C10" t="inlineStr">
        <is>
          <t>GICS_INDUSTRY_NAME</t>
        </is>
      </c>
      <c r="D10" t="inlineStr">
        <is>
          <t>Communications Equipment</t>
        </is>
      </c>
      <c r="E10" t="inlineStr">
        <is>
          <t>Information Technology</t>
        </is>
      </c>
      <c r="F10" t="inlineStr"/>
      <c r="G10" t="inlineStr"/>
      <c r="H10" t="inlineStr">
        <is>
          <t>11.69%</t>
        </is>
      </c>
      <c r="I10" t="inlineStr">
        <is>
          <t>0.00%</t>
        </is>
      </c>
    </row>
    <row r="11">
      <c r="A11" s="2" t="n">
        <v>45982</v>
      </c>
      <c r="B11" t="inlineStr">
        <is>
          <t>FDND</t>
        </is>
      </c>
      <c r="C11" t="inlineStr">
        <is>
          <t>GICS_INDUSTRY_NAME</t>
        </is>
      </c>
      <c r="D11" t="inlineStr">
        <is>
          <t>Entertainment</t>
        </is>
      </c>
      <c r="E11" t="inlineStr">
        <is>
          <t>Communication Services</t>
        </is>
      </c>
      <c r="F11" t="inlineStr"/>
      <c r="G11" t="inlineStr"/>
      <c r="H11" t="inlineStr">
        <is>
          <t>11.57%</t>
        </is>
      </c>
      <c r="I11" t="inlineStr">
        <is>
          <t>0.00%</t>
        </is>
      </c>
    </row>
    <row r="12">
      <c r="A12" s="2" t="n">
        <v>45982</v>
      </c>
      <c r="B12" t="inlineStr">
        <is>
          <t>FDND</t>
        </is>
      </c>
      <c r="C12" t="inlineStr">
        <is>
          <t>GICS_INDUSTRY_NAME</t>
        </is>
      </c>
      <c r="D12" t="inlineStr">
        <is>
          <t>Hotels, Restaurants &amp; Leisure</t>
        </is>
      </c>
      <c r="E12" t="inlineStr">
        <is>
          <t>Consumer Discretionary</t>
        </is>
      </c>
      <c r="F12" t="inlineStr"/>
      <c r="G12" t="inlineStr"/>
      <c r="H12" t="inlineStr">
        <is>
          <t>11.44%</t>
        </is>
      </c>
      <c r="I12" t="inlineStr">
        <is>
          <t>0.00%</t>
        </is>
      </c>
    </row>
    <row r="13">
      <c r="A13" s="2" t="n">
        <v>45982</v>
      </c>
      <c r="B13" t="inlineStr">
        <is>
          <t>FDND</t>
        </is>
      </c>
      <c r="C13" t="inlineStr">
        <is>
          <t>GICS_INDUSTRY_NAME</t>
        </is>
      </c>
      <c r="D13" t="inlineStr">
        <is>
          <t>IT Services</t>
        </is>
      </c>
      <c r="E13" t="inlineStr">
        <is>
          <t>Information Technology</t>
        </is>
      </c>
      <c r="F13" t="inlineStr"/>
      <c r="G13" t="inlineStr"/>
      <c r="H13" t="inlineStr">
        <is>
          <t>9.20%</t>
        </is>
      </c>
      <c r="I13" t="inlineStr">
        <is>
          <t>0.00%</t>
        </is>
      </c>
    </row>
    <row r="14">
      <c r="A14" s="2" t="n">
        <v>45982</v>
      </c>
      <c r="B14" t="inlineStr">
        <is>
          <t>FDND</t>
        </is>
      </c>
      <c r="C14" t="inlineStr">
        <is>
          <t>GICS_INDUSTRY_GROUP_NAME</t>
        </is>
      </c>
      <c r="D14" t="inlineStr">
        <is>
          <t>Financial Services</t>
        </is>
      </c>
      <c r="E14" t="inlineStr">
        <is>
          <t>Financials</t>
        </is>
      </c>
      <c r="F14" t="inlineStr"/>
      <c r="G14" t="inlineStr"/>
      <c r="H14" t="inlineStr">
        <is>
          <t>2.46%</t>
        </is>
      </c>
      <c r="I14" t="inlineStr">
        <is>
          <t>0.00%</t>
        </is>
      </c>
    </row>
    <row r="15">
      <c r="A15" s="2" t="n">
        <v>45982</v>
      </c>
      <c r="B15" t="inlineStr">
        <is>
          <t>FDND</t>
        </is>
      </c>
      <c r="C15" t="inlineStr">
        <is>
          <t>GICS_INDUSTRY_NAME</t>
        </is>
      </c>
      <c r="D15" t="inlineStr">
        <is>
          <t>Financial Services</t>
        </is>
      </c>
      <c r="E15" t="inlineStr">
        <is>
          <t>Financials</t>
        </is>
      </c>
      <c r="F15" t="inlineStr"/>
      <c r="G15" t="inlineStr"/>
      <c r="H15" t="inlineStr">
        <is>
          <t>2.46%</t>
        </is>
      </c>
      <c r="I15" t="inlineStr">
        <is>
          <t>0.00%</t>
        </is>
      </c>
    </row>
    <row r="16">
      <c r="A16" s="2" t="n">
        <v>45982</v>
      </c>
      <c r="B16" t="inlineStr">
        <is>
          <t>FDND</t>
        </is>
      </c>
      <c r="C16" t="inlineStr">
        <is>
          <t>GICS_INDUSTRY_GROUP_NAME</t>
        </is>
      </c>
      <c r="D16" t="inlineStr">
        <is>
          <t>Commercial &amp; Professional Services</t>
        </is>
      </c>
      <c r="E16" t="inlineStr">
        <is>
          <t>Industrials</t>
        </is>
      </c>
      <c r="F16" t="inlineStr"/>
      <c r="G16" t="inlineStr"/>
      <c r="H16" t="inlineStr">
        <is>
          <t>1.88%</t>
        </is>
      </c>
      <c r="I16" t="inlineStr">
        <is>
          <t>0.00%</t>
        </is>
      </c>
    </row>
    <row r="17">
      <c r="A17" s="2" t="n">
        <v>45982</v>
      </c>
      <c r="B17" t="inlineStr">
        <is>
          <t>FDND</t>
        </is>
      </c>
      <c r="C17" t="inlineStr">
        <is>
          <t>GICS_INDUSTRY_NAME</t>
        </is>
      </c>
      <c r="D17" t="inlineStr">
        <is>
          <t>Specialty Retail</t>
        </is>
      </c>
      <c r="E17" t="inlineStr">
        <is>
          <t>Consumer Discretionary</t>
        </is>
      </c>
      <c r="F17" t="inlineStr"/>
      <c r="G17" t="inlineStr"/>
      <c r="H17" t="inlineStr">
        <is>
          <t>1.83%</t>
        </is>
      </c>
      <c r="I17" t="inlineStr">
        <is>
          <t>0.00%</t>
        </is>
      </c>
    </row>
    <row r="18">
      <c r="A18" s="2" t="n">
        <v>45982</v>
      </c>
      <c r="B18" t="inlineStr">
        <is>
          <t>FDND</t>
        </is>
      </c>
      <c r="C18" t="inlineStr">
        <is>
          <t>GICS_INDUSTRY_GROUP_NAME</t>
        </is>
      </c>
      <c r="D18" t="inlineStr">
        <is>
          <t>Health Care Equipment &amp; Services</t>
        </is>
      </c>
      <c r="E18" t="inlineStr">
        <is>
          <t>Health Care</t>
        </is>
      </c>
      <c r="F18" t="inlineStr"/>
      <c r="G18" t="inlineStr"/>
      <c r="H18" t="inlineStr">
        <is>
          <t>1.54%</t>
        </is>
      </c>
      <c r="I18" t="inlineStr">
        <is>
          <t>0.00%</t>
        </is>
      </c>
    </row>
    <row r="19">
      <c r="A19" s="2" t="n">
        <v>45982</v>
      </c>
      <c r="B19" t="inlineStr">
        <is>
          <t>FDND</t>
        </is>
      </c>
      <c r="C19" t="inlineStr">
        <is>
          <t>GICS_INDUSTRY_NAME</t>
        </is>
      </c>
      <c r="D19" t="inlineStr">
        <is>
          <t>Health Care Technology</t>
        </is>
      </c>
      <c r="E19" t="inlineStr">
        <is>
          <t>Health Care</t>
        </is>
      </c>
      <c r="F19" t="inlineStr"/>
      <c r="G19" t="inlineStr"/>
      <c r="H19" t="inlineStr">
        <is>
          <t>1.54%</t>
        </is>
      </c>
      <c r="I19" t="inlineStr">
        <is>
          <t>0.00%</t>
        </is>
      </c>
    </row>
    <row r="20">
      <c r="A20" s="2" t="n">
        <v>45982</v>
      </c>
      <c r="B20" t="inlineStr">
        <is>
          <t>FDND</t>
        </is>
      </c>
      <c r="C20" t="inlineStr">
        <is>
          <t>GICS_INDUSTRY_NAME</t>
        </is>
      </c>
      <c r="D20" t="inlineStr">
        <is>
          <t>Commercial Services &amp; Supplies</t>
        </is>
      </c>
      <c r="E20" t="inlineStr">
        <is>
          <t>Industrials</t>
        </is>
      </c>
      <c r="F20" t="inlineStr"/>
      <c r="G20" t="inlineStr"/>
      <c r="H20" t="inlineStr">
        <is>
          <t>1.54%</t>
        </is>
      </c>
      <c r="I20" t="inlineStr">
        <is>
          <t>0.00%</t>
        </is>
      </c>
    </row>
    <row r="21">
      <c r="A21" s="2" t="n">
        <v>45982</v>
      </c>
      <c r="B21" t="inlineStr">
        <is>
          <t>FDND</t>
        </is>
      </c>
      <c r="C21" t="inlineStr">
        <is>
          <t>GICS_INDUSTRY_NAME</t>
        </is>
      </c>
      <c r="D21" t="inlineStr">
        <is>
          <t>Professional Services</t>
        </is>
      </c>
      <c r="E21" t="inlineStr">
        <is>
          <t>Industrials</t>
        </is>
      </c>
      <c r="F21" t="inlineStr"/>
      <c r="G21" t="inlineStr"/>
      <c r="H21" t="inlineStr">
        <is>
          <t>0.34%</t>
        </is>
      </c>
      <c r="I21" t="inlineStr">
        <is>
          <t>0.00%</t>
        </is>
      </c>
    </row>
    <row r="22">
      <c r="A22" s="2" t="n">
        <v>45982</v>
      </c>
      <c r="B22" t="inlineStr">
        <is>
          <t>FDND</t>
        </is>
      </c>
      <c r="C22" t="inlineStr">
        <is>
          <t>GICS_INDUSTRY_NAME</t>
        </is>
      </c>
      <c r="D22" t="inlineStr">
        <is>
          <t>Diversified Consumer Services</t>
        </is>
      </c>
      <c r="E22" t="inlineStr">
        <is>
          <t>Consumer Discretionary</t>
        </is>
      </c>
      <c r="F22" t="inlineStr"/>
      <c r="G22" t="inlineStr"/>
      <c r="H22" t="inlineStr">
        <is>
          <t>0.29%</t>
        </is>
      </c>
      <c r="I22" t="inlineStr">
        <is>
          <t>0.00%</t>
        </is>
      </c>
    </row>
    <row r="23">
      <c r="A23" s="2" t="n">
        <v>45982</v>
      </c>
      <c r="B23" t="inlineStr">
        <is>
          <t>FGSI</t>
        </is>
      </c>
      <c r="C23" t="inlineStr">
        <is>
          <t>GICS_INDUSTRY_GROUP_NAME</t>
        </is>
      </c>
      <c r="D23" t="inlineStr">
        <is>
          <t>Financial Services</t>
        </is>
      </c>
      <c r="E23" t="inlineStr">
        <is>
          <t>Financials</t>
        </is>
      </c>
      <c r="F23" t="inlineStr"/>
      <c r="G23" t="inlineStr"/>
      <c r="H23" t="inlineStr">
        <is>
          <t>18.77%</t>
        </is>
      </c>
      <c r="I23" t="inlineStr">
        <is>
          <t>0.00%</t>
        </is>
      </c>
    </row>
    <row r="24">
      <c r="A24" s="2" t="n">
        <v>45982</v>
      </c>
      <c r="B24" t="inlineStr">
        <is>
          <t>FGSI</t>
        </is>
      </c>
      <c r="C24" t="inlineStr">
        <is>
          <t>GICS_INDUSTRY_GROUP_NAME</t>
        </is>
      </c>
      <c r="D24" t="inlineStr">
        <is>
          <t>Software &amp; Services</t>
        </is>
      </c>
      <c r="E24" t="inlineStr">
        <is>
          <t>Information Technology</t>
        </is>
      </c>
      <c r="F24" t="inlineStr"/>
      <c r="G24" t="inlineStr"/>
      <c r="H24" t="inlineStr">
        <is>
          <t>15.59%</t>
        </is>
      </c>
      <c r="I24" t="inlineStr">
        <is>
          <t>0.00%</t>
        </is>
      </c>
    </row>
    <row r="25">
      <c r="A25" s="2" t="n">
        <v>45982</v>
      </c>
      <c r="B25" t="inlineStr">
        <is>
          <t>FGSI</t>
        </is>
      </c>
      <c r="C25" t="inlineStr">
        <is>
          <t>GICS_INDUSTRY_NAME</t>
        </is>
      </c>
      <c r="D25" t="inlineStr">
        <is>
          <t>Software</t>
        </is>
      </c>
      <c r="E25" t="inlineStr">
        <is>
          <t>Information Technology</t>
        </is>
      </c>
      <c r="F25" t="inlineStr"/>
      <c r="G25" t="inlineStr"/>
      <c r="H25" t="inlineStr">
        <is>
          <t>13.51%</t>
        </is>
      </c>
      <c r="I25" t="inlineStr">
        <is>
          <t>0.00%</t>
        </is>
      </c>
    </row>
    <row r="26">
      <c r="A26" s="2" t="n">
        <v>45982</v>
      </c>
      <c r="B26" t="inlineStr">
        <is>
          <t>FGSI</t>
        </is>
      </c>
      <c r="C26" t="inlineStr">
        <is>
          <t>GICS_INDUSTRY_NAME</t>
        </is>
      </c>
      <c r="D26" t="inlineStr">
        <is>
          <t>Capital Markets</t>
        </is>
      </c>
      <c r="E26" t="inlineStr">
        <is>
          <t>Financials</t>
        </is>
      </c>
      <c r="F26" t="inlineStr"/>
      <c r="G26" t="inlineStr"/>
      <c r="H26" t="inlineStr">
        <is>
          <t>10.32%</t>
        </is>
      </c>
      <c r="I26" t="inlineStr">
        <is>
          <t>0.00%</t>
        </is>
      </c>
    </row>
    <row r="27">
      <c r="A27" s="2" t="n">
        <v>45982</v>
      </c>
      <c r="B27" t="inlineStr">
        <is>
          <t>FGSI</t>
        </is>
      </c>
      <c r="C27" t="inlineStr">
        <is>
          <t>GICS_INDUSTRY_NAME</t>
        </is>
      </c>
      <c r="D27" t="inlineStr">
        <is>
          <t>Financial Services</t>
        </is>
      </c>
      <c r="E27" t="inlineStr">
        <is>
          <t>Financials</t>
        </is>
      </c>
      <c r="F27" t="inlineStr"/>
      <c r="G27" t="inlineStr"/>
      <c r="H27" t="inlineStr">
        <is>
          <t>8.44%</t>
        </is>
      </c>
      <c r="I27" t="inlineStr">
        <is>
          <t>0.00%</t>
        </is>
      </c>
    </row>
    <row r="28">
      <c r="A28" s="2" t="n">
        <v>45982</v>
      </c>
      <c r="B28" t="inlineStr">
        <is>
          <t>FGSI</t>
        </is>
      </c>
      <c r="C28" t="inlineStr">
        <is>
          <t>GICS_INDUSTRY_GROUP_NAME</t>
        </is>
      </c>
      <c r="D28" t="inlineStr">
        <is>
          <t>Pharmaceuticals, Biotechnology &amp; Life Sciences</t>
        </is>
      </c>
      <c r="E28" t="inlineStr">
        <is>
          <t>Health Care</t>
        </is>
      </c>
      <c r="F28" t="inlineStr"/>
      <c r="G28" t="inlineStr"/>
      <c r="H28" t="inlineStr">
        <is>
          <t>7.57%</t>
        </is>
      </c>
      <c r="I28" t="inlineStr">
        <is>
          <t>0.00%</t>
        </is>
      </c>
    </row>
    <row r="29">
      <c r="A29" s="2" t="n">
        <v>45982</v>
      </c>
      <c r="B29" t="inlineStr">
        <is>
          <t>FGSI</t>
        </is>
      </c>
      <c r="C29" t="inlineStr">
        <is>
          <t>GICS_INDUSTRY_GROUP_NAME</t>
        </is>
      </c>
      <c r="D29" t="inlineStr">
        <is>
          <t>Technology Hardware &amp; Equipment</t>
        </is>
      </c>
      <c r="E29" t="inlineStr">
        <is>
          <t>Information Technology</t>
        </is>
      </c>
      <c r="F29" t="inlineStr"/>
      <c r="G29" t="inlineStr"/>
      <c r="H29" t="inlineStr">
        <is>
          <t>7.29%</t>
        </is>
      </c>
      <c r="I29" t="inlineStr">
        <is>
          <t>0.00%</t>
        </is>
      </c>
    </row>
    <row r="30">
      <c r="A30" s="2" t="n">
        <v>45982</v>
      </c>
      <c r="B30" t="inlineStr">
        <is>
          <t>FGSI</t>
        </is>
      </c>
      <c r="C30" t="inlineStr">
        <is>
          <t>GICS_INDUSTRY_GROUP_NAME</t>
        </is>
      </c>
      <c r="D30" t="inlineStr">
        <is>
          <t>Media &amp; Entertainment</t>
        </is>
      </c>
      <c r="E30" t="inlineStr">
        <is>
          <t>Communication Services</t>
        </is>
      </c>
      <c r="F30" t="inlineStr"/>
      <c r="G30" t="inlineStr"/>
      <c r="H30" t="inlineStr">
        <is>
          <t>6.86%</t>
        </is>
      </c>
      <c r="I30" t="inlineStr">
        <is>
          <t>0.00%</t>
        </is>
      </c>
    </row>
    <row r="31">
      <c r="A31" s="2" t="n">
        <v>45982</v>
      </c>
      <c r="B31" t="inlineStr">
        <is>
          <t>FGSI</t>
        </is>
      </c>
      <c r="C31" t="inlineStr">
        <is>
          <t>GICS_INDUSTRY_GROUP_NAME</t>
        </is>
      </c>
      <c r="D31" t="inlineStr">
        <is>
          <t>Semiconductors &amp; Semiconductor Equipment</t>
        </is>
      </c>
      <c r="E31" t="inlineStr">
        <is>
          <t>Information Technology</t>
        </is>
      </c>
      <c r="F31" t="inlineStr"/>
      <c r="G31" t="inlineStr"/>
      <c r="H31" t="inlineStr">
        <is>
          <t>5.93%</t>
        </is>
      </c>
      <c r="I31" t="inlineStr">
        <is>
          <t>0.00%</t>
        </is>
      </c>
    </row>
    <row r="32">
      <c r="A32" s="2" t="n">
        <v>45982</v>
      </c>
      <c r="B32" t="inlineStr">
        <is>
          <t>FGSI</t>
        </is>
      </c>
      <c r="C32" t="inlineStr">
        <is>
          <t>GICS_INDUSTRY_NAME</t>
        </is>
      </c>
      <c r="D32" t="inlineStr">
        <is>
          <t>Semiconductors &amp; Semiconductor Equipment</t>
        </is>
      </c>
      <c r="E32" t="inlineStr">
        <is>
          <t>Information Technology</t>
        </is>
      </c>
      <c r="F32" t="inlineStr"/>
      <c r="G32" t="inlineStr"/>
      <c r="H32" t="inlineStr">
        <is>
          <t>5.93%</t>
        </is>
      </c>
      <c r="I32" t="inlineStr">
        <is>
          <t>0.00%</t>
        </is>
      </c>
    </row>
    <row r="33">
      <c r="A33" s="2" t="n">
        <v>45982</v>
      </c>
      <c r="B33" t="inlineStr">
        <is>
          <t>FGSI</t>
        </is>
      </c>
      <c r="C33" t="inlineStr">
        <is>
          <t>GICS_INDUSTRY_NAME</t>
        </is>
      </c>
      <c r="D33" t="inlineStr">
        <is>
          <t>Communications Equipment</t>
        </is>
      </c>
      <c r="E33" t="inlineStr">
        <is>
          <t>Information Technology</t>
        </is>
      </c>
      <c r="F33" t="inlineStr"/>
      <c r="G33" t="inlineStr"/>
      <c r="H33" t="inlineStr">
        <is>
          <t>5.09%</t>
        </is>
      </c>
      <c r="I33" t="inlineStr">
        <is>
          <t>0.00%</t>
        </is>
      </c>
    </row>
    <row r="34">
      <c r="A34" s="2" t="n">
        <v>45982</v>
      </c>
      <c r="B34" t="inlineStr">
        <is>
          <t>FGSI</t>
        </is>
      </c>
      <c r="C34" t="inlineStr">
        <is>
          <t>GICS_INDUSTRY_NAME</t>
        </is>
      </c>
      <c r="D34" t="inlineStr">
        <is>
          <t>Biotechnology</t>
        </is>
      </c>
      <c r="E34" t="inlineStr">
        <is>
          <t>Health Care</t>
        </is>
      </c>
      <c r="F34" t="inlineStr"/>
      <c r="G34" t="inlineStr"/>
      <c r="H34" t="inlineStr">
        <is>
          <t>4.78%</t>
        </is>
      </c>
      <c r="I34" t="inlineStr">
        <is>
          <t>0.00%</t>
        </is>
      </c>
    </row>
    <row r="35">
      <c r="A35" s="2" t="n">
        <v>45982</v>
      </c>
      <c r="B35" t="inlineStr">
        <is>
          <t>FGSI</t>
        </is>
      </c>
      <c r="C35" t="inlineStr">
        <is>
          <t>GICS_INDUSTRY_GROUP_NAME</t>
        </is>
      </c>
      <c r="D35" t="inlineStr">
        <is>
          <t>Energy</t>
        </is>
      </c>
      <c r="E35" t="inlineStr">
        <is>
          <t>Energy</t>
        </is>
      </c>
      <c r="F35" t="inlineStr"/>
      <c r="G35" t="inlineStr"/>
      <c r="H35" t="inlineStr">
        <is>
          <t>4.61%</t>
        </is>
      </c>
      <c r="I35" t="inlineStr">
        <is>
          <t>0.00%</t>
        </is>
      </c>
    </row>
    <row r="36">
      <c r="A36" s="2" t="n">
        <v>45982</v>
      </c>
      <c r="B36" t="inlineStr">
        <is>
          <t>FGSI</t>
        </is>
      </c>
      <c r="C36" t="inlineStr">
        <is>
          <t>GICS_INDUSTRY_NAME</t>
        </is>
      </c>
      <c r="D36" t="inlineStr">
        <is>
          <t>Energy Equipment &amp; Services</t>
        </is>
      </c>
      <c r="E36" t="inlineStr">
        <is>
          <t>Energy</t>
        </is>
      </c>
      <c r="F36" t="inlineStr"/>
      <c r="G36" t="inlineStr"/>
      <c r="H36" t="inlineStr">
        <is>
          <t>4.61%</t>
        </is>
      </c>
      <c r="I36" t="inlineStr">
        <is>
          <t>0.00%</t>
        </is>
      </c>
    </row>
    <row r="37">
      <c r="A37" s="2" t="n">
        <v>45982</v>
      </c>
      <c r="B37" t="inlineStr">
        <is>
          <t>FGSI</t>
        </is>
      </c>
      <c r="C37" t="inlineStr">
        <is>
          <t>GICS_INDUSTRY_GROUP_NAME</t>
        </is>
      </c>
      <c r="D37" t="inlineStr">
        <is>
          <t>Capital Goods</t>
        </is>
      </c>
      <c r="E37" t="inlineStr">
        <is>
          <t>Industrials</t>
        </is>
      </c>
      <c r="F37" t="inlineStr"/>
      <c r="G37" t="inlineStr"/>
      <c r="H37" t="inlineStr">
        <is>
          <t>4.20%</t>
        </is>
      </c>
      <c r="I37" t="inlineStr">
        <is>
          <t>0.00%</t>
        </is>
      </c>
    </row>
    <row r="38">
      <c r="A38" s="2" t="n">
        <v>45982</v>
      </c>
      <c r="B38" t="inlineStr">
        <is>
          <t>FGSI</t>
        </is>
      </c>
      <c r="C38" t="inlineStr">
        <is>
          <t>GICS_INDUSTRY_GROUP_NAME</t>
        </is>
      </c>
      <c r="D38" t="inlineStr">
        <is>
          <t>Consumer Staples Distribution &amp; Retail</t>
        </is>
      </c>
      <c r="E38" t="inlineStr">
        <is>
          <t>Consumer Staples</t>
        </is>
      </c>
      <c r="F38" t="inlineStr"/>
      <c r="G38" t="inlineStr"/>
      <c r="H38" t="inlineStr">
        <is>
          <t>4.09%</t>
        </is>
      </c>
      <c r="I38" t="inlineStr">
        <is>
          <t>0.00%</t>
        </is>
      </c>
    </row>
    <row r="39">
      <c r="A39" s="2" t="n">
        <v>45982</v>
      </c>
      <c r="B39" t="inlineStr">
        <is>
          <t>FGSI</t>
        </is>
      </c>
      <c r="C39" t="inlineStr">
        <is>
          <t>GICS_INDUSTRY_NAME</t>
        </is>
      </c>
      <c r="D39" t="inlineStr">
        <is>
          <t>Consumer Staples Distribution &amp; Retail</t>
        </is>
      </c>
      <c r="E39" t="inlineStr">
        <is>
          <t>Consumer Staples</t>
        </is>
      </c>
      <c r="F39" t="inlineStr"/>
      <c r="G39" t="inlineStr"/>
      <c r="H39" t="inlineStr">
        <is>
          <t>4.09%</t>
        </is>
      </c>
      <c r="I39" t="inlineStr">
        <is>
          <t>0.00%</t>
        </is>
      </c>
    </row>
    <row r="40">
      <c r="A40" s="2" t="n">
        <v>45982</v>
      </c>
      <c r="B40" t="inlineStr">
        <is>
          <t>FGSI</t>
        </is>
      </c>
      <c r="C40" t="inlineStr">
        <is>
          <t>GICS_INDUSTRY_GROUP_NAME</t>
        </is>
      </c>
      <c r="D40" t="inlineStr">
        <is>
          <t>Health Care Equipment &amp; Services</t>
        </is>
      </c>
      <c r="E40" t="inlineStr">
        <is>
          <t>Health Care</t>
        </is>
      </c>
      <c r="F40" t="inlineStr"/>
      <c r="G40" t="inlineStr"/>
      <c r="H40" t="inlineStr">
        <is>
          <t>3.87%</t>
        </is>
      </c>
      <c r="I40" t="inlineStr">
        <is>
          <t>0.00%</t>
        </is>
      </c>
    </row>
    <row r="41">
      <c r="A41" s="2" t="n">
        <v>45982</v>
      </c>
      <c r="B41" t="inlineStr">
        <is>
          <t>FGSI</t>
        </is>
      </c>
      <c r="C41" t="inlineStr">
        <is>
          <t>GICS_INDUSTRY_NAME</t>
        </is>
      </c>
      <c r="D41" t="inlineStr">
        <is>
          <t>Health Care Equipment &amp; Supplies</t>
        </is>
      </c>
      <c r="E41" t="inlineStr">
        <is>
          <t>Health Care</t>
        </is>
      </c>
      <c r="F41" t="inlineStr"/>
      <c r="G41" t="inlineStr"/>
      <c r="H41" t="inlineStr">
        <is>
          <t>3.87%</t>
        </is>
      </c>
      <c r="I41" t="inlineStr">
        <is>
          <t>0.00%</t>
        </is>
      </c>
    </row>
    <row r="42">
      <c r="A42" s="2" t="n">
        <v>45982</v>
      </c>
      <c r="B42" t="inlineStr">
        <is>
          <t>FGSI</t>
        </is>
      </c>
      <c r="C42" t="inlineStr">
        <is>
          <t>GICS_INDUSTRY_GROUP_NAME</t>
        </is>
      </c>
      <c r="D42" t="inlineStr">
        <is>
          <t>Commercial &amp; Professional Services</t>
        </is>
      </c>
      <c r="E42" t="inlineStr">
        <is>
          <t>Industrials</t>
        </is>
      </c>
      <c r="F42" t="inlineStr"/>
      <c r="G42" t="inlineStr"/>
      <c r="H42" t="inlineStr">
        <is>
          <t>3.83%</t>
        </is>
      </c>
      <c r="I42" t="inlineStr">
        <is>
          <t>0.00%</t>
        </is>
      </c>
    </row>
    <row r="43">
      <c r="A43" s="2" t="n">
        <v>45982</v>
      </c>
      <c r="B43" t="inlineStr">
        <is>
          <t>FGSI</t>
        </is>
      </c>
      <c r="C43" t="inlineStr">
        <is>
          <t>GICS_INDUSTRY_GROUP_NAME</t>
        </is>
      </c>
      <c r="D43" t="inlineStr">
        <is>
          <t>Consumer Durables &amp; Apparel</t>
        </is>
      </c>
      <c r="E43" t="inlineStr">
        <is>
          <t>Consumer Discretionary</t>
        </is>
      </c>
      <c r="F43" t="inlineStr"/>
      <c r="G43" t="inlineStr"/>
      <c r="H43" t="inlineStr">
        <is>
          <t>3.66%</t>
        </is>
      </c>
      <c r="I43" t="inlineStr">
        <is>
          <t>0.00%</t>
        </is>
      </c>
    </row>
    <row r="44">
      <c r="A44" s="2" t="n">
        <v>45982</v>
      </c>
      <c r="B44" t="inlineStr">
        <is>
          <t>FGSI</t>
        </is>
      </c>
      <c r="C44" t="inlineStr">
        <is>
          <t>GICS_INDUSTRY_NAME</t>
        </is>
      </c>
      <c r="D44" t="inlineStr">
        <is>
          <t>Household Durables</t>
        </is>
      </c>
      <c r="E44" t="inlineStr">
        <is>
          <t>Consumer Discretionary</t>
        </is>
      </c>
      <c r="F44" t="inlineStr"/>
      <c r="G44" t="inlineStr"/>
      <c r="H44" t="inlineStr">
        <is>
          <t>3.66%</t>
        </is>
      </c>
      <c r="I44" t="inlineStr">
        <is>
          <t>0.00%</t>
        </is>
      </c>
    </row>
    <row r="45">
      <c r="A45" s="2" t="n">
        <v>45982</v>
      </c>
      <c r="B45" t="inlineStr">
        <is>
          <t>FGSI</t>
        </is>
      </c>
      <c r="C45" t="inlineStr">
        <is>
          <t>GICS_INDUSTRY_GROUP_NAME</t>
        </is>
      </c>
      <c r="D45" t="inlineStr">
        <is>
          <t>Consumer Services</t>
        </is>
      </c>
      <c r="E45" t="inlineStr">
        <is>
          <t>Consumer Discretionary</t>
        </is>
      </c>
      <c r="F45" t="inlineStr"/>
      <c r="G45" t="inlineStr"/>
      <c r="H45" t="inlineStr">
        <is>
          <t>3.50%</t>
        </is>
      </c>
      <c r="I45" t="inlineStr">
        <is>
          <t>0.00%</t>
        </is>
      </c>
    </row>
    <row r="46">
      <c r="A46" s="2" t="n">
        <v>45982</v>
      </c>
      <c r="B46" t="inlineStr">
        <is>
          <t>FGSI</t>
        </is>
      </c>
      <c r="C46" t="inlineStr">
        <is>
          <t>GICS_INDUSTRY_NAME</t>
        </is>
      </c>
      <c r="D46" t="inlineStr">
        <is>
          <t>Hotels, Restaurants &amp; Leisure</t>
        </is>
      </c>
      <c r="E46" t="inlineStr">
        <is>
          <t>Consumer Discretionary</t>
        </is>
      </c>
      <c r="F46" t="inlineStr"/>
      <c r="G46" t="inlineStr"/>
      <c r="H46" t="inlineStr">
        <is>
          <t>3.50%</t>
        </is>
      </c>
      <c r="I46" t="inlineStr">
        <is>
          <t>0.00%</t>
        </is>
      </c>
    </row>
    <row r="47">
      <c r="A47" s="2" t="n">
        <v>45982</v>
      </c>
      <c r="B47" t="inlineStr">
        <is>
          <t>FGSI</t>
        </is>
      </c>
      <c r="C47" t="inlineStr">
        <is>
          <t>GICS_INDUSTRY_NAME</t>
        </is>
      </c>
      <c r="D47" t="inlineStr">
        <is>
          <t>Interactive Media &amp; Services</t>
        </is>
      </c>
      <c r="E47" t="inlineStr">
        <is>
          <t>Communication Services</t>
        </is>
      </c>
      <c r="F47" t="inlineStr"/>
      <c r="G47" t="inlineStr"/>
      <c r="H47" t="inlineStr">
        <is>
          <t>3.37%</t>
        </is>
      </c>
      <c r="I47" t="inlineStr">
        <is>
          <t>0.00%</t>
        </is>
      </c>
    </row>
    <row r="48">
      <c r="A48" s="2" t="n">
        <v>45982</v>
      </c>
      <c r="B48" t="inlineStr">
        <is>
          <t>FGSI</t>
        </is>
      </c>
      <c r="C48" t="inlineStr">
        <is>
          <t>GICS_INDUSTRY_NAME</t>
        </is>
      </c>
      <c r="D48" t="inlineStr">
        <is>
          <t>Pharmaceuticals</t>
        </is>
      </c>
      <c r="E48" t="inlineStr">
        <is>
          <t>Health Care</t>
        </is>
      </c>
      <c r="F48" t="inlineStr"/>
      <c r="G48" t="inlineStr"/>
      <c r="H48" t="inlineStr">
        <is>
          <t>2.79%</t>
        </is>
      </c>
      <c r="I48" t="inlineStr">
        <is>
          <t>0.00%</t>
        </is>
      </c>
    </row>
    <row r="49">
      <c r="A49" s="2" t="n">
        <v>45982</v>
      </c>
      <c r="B49" t="inlineStr">
        <is>
          <t>FGSI</t>
        </is>
      </c>
      <c r="C49" t="inlineStr">
        <is>
          <t>GICS_INDUSTRY_GROUP_NAME</t>
        </is>
      </c>
      <c r="D49" t="inlineStr">
        <is>
          <t>Consumer Discretionary Distribution &amp; Retail</t>
        </is>
      </c>
      <c r="E49" t="inlineStr">
        <is>
          <t>Consumer Discretionary</t>
        </is>
      </c>
      <c r="F49" t="inlineStr"/>
      <c r="G49" t="inlineStr"/>
      <c r="H49" t="inlineStr">
        <is>
          <t>2.22%</t>
        </is>
      </c>
      <c r="I49" t="inlineStr">
        <is>
          <t>0.00%</t>
        </is>
      </c>
    </row>
    <row r="50">
      <c r="A50" s="2" t="n">
        <v>45982</v>
      </c>
      <c r="B50" t="inlineStr">
        <is>
          <t>FGSI</t>
        </is>
      </c>
      <c r="C50" t="inlineStr">
        <is>
          <t>GICS_INDUSTRY_NAME</t>
        </is>
      </c>
      <c r="D50" t="inlineStr">
        <is>
          <t>Specialty Retail</t>
        </is>
      </c>
      <c r="E50" t="inlineStr">
        <is>
          <t>Consumer Discretionary</t>
        </is>
      </c>
      <c r="F50" t="inlineStr"/>
      <c r="G50" t="inlineStr"/>
      <c r="H50" t="inlineStr">
        <is>
          <t>2.22%</t>
        </is>
      </c>
      <c r="I50" t="inlineStr">
        <is>
          <t>0.00%</t>
        </is>
      </c>
    </row>
    <row r="51">
      <c r="A51" s="2" t="n">
        <v>45982</v>
      </c>
      <c r="B51" t="inlineStr">
        <is>
          <t>FGSI</t>
        </is>
      </c>
      <c r="C51" t="inlineStr">
        <is>
          <t>GICS_INDUSTRY_NAME</t>
        </is>
      </c>
      <c r="D51" t="inlineStr">
        <is>
          <t>Electronic Equipment, Instruments &amp; Components</t>
        </is>
      </c>
      <c r="E51" t="inlineStr">
        <is>
          <t>Information Technology</t>
        </is>
      </c>
      <c r="F51" t="inlineStr"/>
      <c r="G51" t="inlineStr"/>
      <c r="H51" t="inlineStr">
        <is>
          <t>2.21%</t>
        </is>
      </c>
      <c r="I51" t="inlineStr">
        <is>
          <t>0.00%</t>
        </is>
      </c>
    </row>
    <row r="52">
      <c r="A52" s="2" t="n">
        <v>45982</v>
      </c>
      <c r="B52" t="inlineStr">
        <is>
          <t>FGSI</t>
        </is>
      </c>
      <c r="C52" t="inlineStr">
        <is>
          <t>GICS_INDUSTRY_NAME</t>
        </is>
      </c>
      <c r="D52" t="inlineStr">
        <is>
          <t>Machinery</t>
        </is>
      </c>
      <c r="E52" t="inlineStr">
        <is>
          <t>Industrials</t>
        </is>
      </c>
      <c r="F52" t="inlineStr"/>
      <c r="G52" t="inlineStr"/>
      <c r="H52" t="inlineStr">
        <is>
          <t>2.20%</t>
        </is>
      </c>
      <c r="I52" t="inlineStr">
        <is>
          <t>0.00%</t>
        </is>
      </c>
    </row>
    <row r="53">
      <c r="A53" s="2" t="n">
        <v>45982</v>
      </c>
      <c r="B53" t="inlineStr">
        <is>
          <t>FGSI</t>
        </is>
      </c>
      <c r="C53" t="inlineStr">
        <is>
          <t>GICS_INDUSTRY_GROUP_NAME</t>
        </is>
      </c>
      <c r="D53" t="inlineStr">
        <is>
          <t>Food, Beverage &amp; Tobacco</t>
        </is>
      </c>
      <c r="E53" t="inlineStr">
        <is>
          <t>Consumer Staples</t>
        </is>
      </c>
      <c r="F53" t="inlineStr"/>
      <c r="G53" t="inlineStr"/>
      <c r="H53" t="inlineStr">
        <is>
          <t>2.16%</t>
        </is>
      </c>
      <c r="I53" t="inlineStr">
        <is>
          <t>0.00%</t>
        </is>
      </c>
    </row>
    <row r="54">
      <c r="A54" s="2" t="n">
        <v>45982</v>
      </c>
      <c r="B54" t="inlineStr">
        <is>
          <t>FGSI</t>
        </is>
      </c>
      <c r="C54" t="inlineStr">
        <is>
          <t>GICS_INDUSTRY_NAME</t>
        </is>
      </c>
      <c r="D54" t="inlineStr">
        <is>
          <t>Beverages</t>
        </is>
      </c>
      <c r="E54" t="inlineStr">
        <is>
          <t>Consumer Staples</t>
        </is>
      </c>
      <c r="F54" t="inlineStr"/>
      <c r="G54" t="inlineStr"/>
      <c r="H54" t="inlineStr">
        <is>
          <t>2.16%</t>
        </is>
      </c>
      <c r="I54" t="inlineStr">
        <is>
          <t>0.00%</t>
        </is>
      </c>
    </row>
    <row r="55">
      <c r="A55" s="2" t="n">
        <v>45982</v>
      </c>
      <c r="B55" t="inlineStr">
        <is>
          <t>FGSI</t>
        </is>
      </c>
      <c r="C55" t="inlineStr">
        <is>
          <t>GICS_INDUSTRY_NAME</t>
        </is>
      </c>
      <c r="D55" t="inlineStr">
        <is>
          <t>IT Services</t>
        </is>
      </c>
      <c r="E55" t="inlineStr">
        <is>
          <t>Information Technology</t>
        </is>
      </c>
      <c r="F55" t="inlineStr"/>
      <c r="G55" t="inlineStr"/>
      <c r="H55" t="inlineStr">
        <is>
          <t>2.08%</t>
        </is>
      </c>
      <c r="I55" t="inlineStr">
        <is>
          <t>0.00%</t>
        </is>
      </c>
    </row>
    <row r="56">
      <c r="A56" s="2" t="n">
        <v>45982</v>
      </c>
      <c r="B56" t="inlineStr">
        <is>
          <t>FGSI</t>
        </is>
      </c>
      <c r="C56" t="inlineStr">
        <is>
          <t>GICS_INDUSTRY_GROUP_NAME</t>
        </is>
      </c>
      <c r="D56" t="inlineStr">
        <is>
          <t>Insurance</t>
        </is>
      </c>
      <c r="E56" t="inlineStr">
        <is>
          <t>Financials</t>
        </is>
      </c>
      <c r="F56" t="inlineStr"/>
      <c r="G56" t="inlineStr"/>
      <c r="H56" t="inlineStr">
        <is>
          <t>2.01%</t>
        </is>
      </c>
      <c r="I56" t="inlineStr">
        <is>
          <t>0.00%</t>
        </is>
      </c>
    </row>
    <row r="57">
      <c r="A57" s="2" t="n">
        <v>45982</v>
      </c>
      <c r="B57" t="inlineStr">
        <is>
          <t>FGSI</t>
        </is>
      </c>
      <c r="C57" t="inlineStr">
        <is>
          <t>GICS_INDUSTRY_NAME</t>
        </is>
      </c>
      <c r="D57" t="inlineStr">
        <is>
          <t>Insurance</t>
        </is>
      </c>
      <c r="E57" t="inlineStr">
        <is>
          <t>Financials</t>
        </is>
      </c>
      <c r="F57" t="inlineStr"/>
      <c r="G57" t="inlineStr"/>
      <c r="H57" t="inlineStr">
        <is>
          <t>2.01%</t>
        </is>
      </c>
      <c r="I57" t="inlineStr">
        <is>
          <t>0.00%</t>
        </is>
      </c>
    </row>
    <row r="58">
      <c r="A58" s="2" t="n">
        <v>45982</v>
      </c>
      <c r="B58" t="inlineStr">
        <is>
          <t>FGSI</t>
        </is>
      </c>
      <c r="C58" t="inlineStr">
        <is>
          <t>GICS_INDUSTRY_NAME</t>
        </is>
      </c>
      <c r="D58" t="inlineStr">
        <is>
          <t>Aerospace &amp; Defense</t>
        </is>
      </c>
      <c r="E58" t="inlineStr">
        <is>
          <t>Industrials</t>
        </is>
      </c>
      <c r="F58" t="inlineStr"/>
      <c r="G58" t="inlineStr"/>
      <c r="H58" t="inlineStr">
        <is>
          <t>2.00%</t>
        </is>
      </c>
      <c r="I58" t="inlineStr">
        <is>
          <t>0.00%</t>
        </is>
      </c>
    </row>
    <row r="59">
      <c r="A59" s="2" t="n">
        <v>45982</v>
      </c>
      <c r="B59" t="inlineStr">
        <is>
          <t>FGSI</t>
        </is>
      </c>
      <c r="C59" t="inlineStr">
        <is>
          <t>GICS_INDUSTRY_NAME</t>
        </is>
      </c>
      <c r="D59" t="inlineStr">
        <is>
          <t>Commercial Services &amp; Supplies</t>
        </is>
      </c>
      <c r="E59" t="inlineStr">
        <is>
          <t>Industrials</t>
        </is>
      </c>
      <c r="F59" t="inlineStr"/>
      <c r="G59" t="inlineStr"/>
      <c r="H59" t="inlineStr">
        <is>
          <t>1.94%</t>
        </is>
      </c>
      <c r="I59" t="inlineStr">
        <is>
          <t>0.00%</t>
        </is>
      </c>
    </row>
    <row r="60">
      <c r="A60" s="2" t="n">
        <v>45982</v>
      </c>
      <c r="B60" t="inlineStr">
        <is>
          <t>FGSI</t>
        </is>
      </c>
      <c r="C60" t="inlineStr">
        <is>
          <t>GICS_INDUSTRY_GROUP_NAME</t>
        </is>
      </c>
      <c r="D60" t="inlineStr">
        <is>
          <t>Materials</t>
        </is>
      </c>
      <c r="E60" t="inlineStr">
        <is>
          <t>Materials</t>
        </is>
      </c>
      <c r="F60" t="inlineStr"/>
      <c r="G60" t="inlineStr"/>
      <c r="H60" t="inlineStr">
        <is>
          <t>1.93%</t>
        </is>
      </c>
      <c r="I60" t="inlineStr">
        <is>
          <t>0.00%</t>
        </is>
      </c>
    </row>
    <row r="61">
      <c r="A61" s="2" t="n">
        <v>45982</v>
      </c>
      <c r="B61" t="inlineStr">
        <is>
          <t>FGSI</t>
        </is>
      </c>
      <c r="C61" t="inlineStr">
        <is>
          <t>GICS_INDUSTRY_NAME</t>
        </is>
      </c>
      <c r="D61" t="inlineStr">
        <is>
          <t>Metals &amp; Mining</t>
        </is>
      </c>
      <c r="E61" t="inlineStr">
        <is>
          <t>Materials</t>
        </is>
      </c>
      <c r="F61" t="inlineStr"/>
      <c r="G61" t="inlineStr"/>
      <c r="H61" t="inlineStr">
        <is>
          <t>1.93%</t>
        </is>
      </c>
      <c r="I61" t="inlineStr">
        <is>
          <t>0.00%</t>
        </is>
      </c>
    </row>
    <row r="62">
      <c r="A62" s="2" t="n">
        <v>45982</v>
      </c>
      <c r="B62" t="inlineStr">
        <is>
          <t>FGSI</t>
        </is>
      </c>
      <c r="C62" t="inlineStr">
        <is>
          <t>GICS_INDUSTRY_GROUP_NAME</t>
        </is>
      </c>
      <c r="D62" t="inlineStr">
        <is>
          <t>Transportation</t>
        </is>
      </c>
      <c r="E62" t="inlineStr">
        <is>
          <t>Industrials</t>
        </is>
      </c>
      <c r="F62" t="inlineStr"/>
      <c r="G62" t="inlineStr"/>
      <c r="H62" t="inlineStr">
        <is>
          <t>1.91%</t>
        </is>
      </c>
      <c r="I62" t="inlineStr">
        <is>
          <t>0.00%</t>
        </is>
      </c>
    </row>
    <row r="63">
      <c r="A63" s="2" t="n">
        <v>45982</v>
      </c>
      <c r="B63" t="inlineStr">
        <is>
          <t>FGSI</t>
        </is>
      </c>
      <c r="C63" t="inlineStr">
        <is>
          <t>GICS_INDUSTRY_NAME</t>
        </is>
      </c>
      <c r="D63" t="inlineStr">
        <is>
          <t>Ground Transportation</t>
        </is>
      </c>
      <c r="E63" t="inlineStr">
        <is>
          <t>Industrials</t>
        </is>
      </c>
      <c r="F63" t="inlineStr"/>
      <c r="G63" t="inlineStr"/>
      <c r="H63" t="inlineStr">
        <is>
          <t>1.91%</t>
        </is>
      </c>
      <c r="I63" t="inlineStr">
        <is>
          <t>0.00%</t>
        </is>
      </c>
    </row>
    <row r="64">
      <c r="A64" s="2" t="n">
        <v>45982</v>
      </c>
      <c r="B64" t="inlineStr">
        <is>
          <t>FGSI</t>
        </is>
      </c>
      <c r="C64" t="inlineStr">
        <is>
          <t>GICS_INDUSTRY_NAME</t>
        </is>
      </c>
      <c r="D64" t="inlineStr">
        <is>
          <t>Professional Services</t>
        </is>
      </c>
      <c r="E64" t="inlineStr">
        <is>
          <t>Industrials</t>
        </is>
      </c>
      <c r="F64" t="inlineStr"/>
      <c r="G64" t="inlineStr"/>
      <c r="H64" t="inlineStr">
        <is>
          <t>1.89%</t>
        </is>
      </c>
      <c r="I64" t="inlineStr">
        <is>
          <t>0.00%</t>
        </is>
      </c>
    </row>
    <row r="65">
      <c r="A65" s="2" t="n">
        <v>45982</v>
      </c>
      <c r="B65" t="inlineStr">
        <is>
          <t>FGSI</t>
        </is>
      </c>
      <c r="C65" t="inlineStr">
        <is>
          <t>GICS_INDUSTRY_NAME</t>
        </is>
      </c>
      <c r="D65" t="inlineStr">
        <is>
          <t>Entertainment</t>
        </is>
      </c>
      <c r="E65" t="inlineStr">
        <is>
          <t>Communication Services</t>
        </is>
      </c>
      <c r="F65" t="inlineStr"/>
      <c r="G65" t="inlineStr"/>
      <c r="H65" t="inlineStr">
        <is>
          <t>1.83%</t>
        </is>
      </c>
      <c r="I65" t="inlineStr">
        <is>
          <t>0.00%</t>
        </is>
      </c>
    </row>
    <row r="66">
      <c r="A66" s="2" t="n">
        <v>45982</v>
      </c>
      <c r="B66" t="inlineStr">
        <is>
          <t>FGSI</t>
        </is>
      </c>
      <c r="C66" t="inlineStr">
        <is>
          <t>GICS_INDUSTRY_NAME</t>
        </is>
      </c>
      <c r="D66" t="inlineStr">
        <is>
          <t>Media</t>
        </is>
      </c>
      <c r="E66" t="inlineStr">
        <is>
          <t>Communication Services</t>
        </is>
      </c>
      <c r="F66" t="inlineStr"/>
      <c r="G66" t="inlineStr"/>
      <c r="H66" t="inlineStr">
        <is>
          <t>1.67%</t>
        </is>
      </c>
      <c r="I66" t="inlineStr">
        <is>
          <t>0.00%</t>
        </is>
      </c>
    </row>
    <row r="67">
      <c r="A67" s="2" t="n">
        <v>45982</v>
      </c>
      <c r="B67" t="inlineStr">
        <is>
          <t>KNG</t>
        </is>
      </c>
      <c r="C67" t="inlineStr">
        <is>
          <t>GICS_INDUSTRY_GROUP_NAME</t>
        </is>
      </c>
      <c r="D67" t="inlineStr">
        <is>
          <t>Capital Goods</t>
        </is>
      </c>
      <c r="E67" t="inlineStr">
        <is>
          <t>Industrials</t>
        </is>
      </c>
      <c r="F67" t="inlineStr"/>
      <c r="G67" t="inlineStr"/>
      <c r="H67" t="inlineStr">
        <is>
          <t>15.94%</t>
        </is>
      </c>
      <c r="I67" t="inlineStr">
        <is>
          <t>0.00%</t>
        </is>
      </c>
    </row>
    <row r="68">
      <c r="A68" s="2" t="n">
        <v>45982</v>
      </c>
      <c r="B68" t="inlineStr">
        <is>
          <t>KNG</t>
        </is>
      </c>
      <c r="C68" t="inlineStr">
        <is>
          <t>GICS_INDUSTRY_GROUP_NAME</t>
        </is>
      </c>
      <c r="D68" t="inlineStr">
        <is>
          <t>Materials</t>
        </is>
      </c>
      <c r="E68" t="inlineStr">
        <is>
          <t>Materials</t>
        </is>
      </c>
      <c r="F68" t="inlineStr"/>
      <c r="G68" t="inlineStr"/>
      <c r="H68" t="inlineStr">
        <is>
          <t>11.98%</t>
        </is>
      </c>
      <c r="I68" t="inlineStr">
        <is>
          <t>0.00%</t>
        </is>
      </c>
    </row>
    <row r="69">
      <c r="A69" s="2" t="n">
        <v>45982</v>
      </c>
      <c r="B69" t="inlineStr">
        <is>
          <t>KNG</t>
        </is>
      </c>
      <c r="C69" t="inlineStr">
        <is>
          <t>GICS_INDUSTRY_GROUP_NAME</t>
        </is>
      </c>
      <c r="D69" t="inlineStr">
        <is>
          <t>Food, Beverage &amp; Tobacco</t>
        </is>
      </c>
      <c r="E69" t="inlineStr">
        <is>
          <t>Consumer Staples</t>
        </is>
      </c>
      <c r="F69" t="inlineStr"/>
      <c r="G69" t="inlineStr"/>
      <c r="H69" t="inlineStr">
        <is>
          <t>9.93%</t>
        </is>
      </c>
      <c r="I69" t="inlineStr">
        <is>
          <t>0.00%</t>
        </is>
      </c>
    </row>
    <row r="70">
      <c r="A70" s="2" t="n">
        <v>45982</v>
      </c>
      <c r="B70" t="inlineStr">
        <is>
          <t>KNG</t>
        </is>
      </c>
      <c r="C70" t="inlineStr">
        <is>
          <t>GICS_INDUSTRY_NAME</t>
        </is>
      </c>
      <c r="D70" t="inlineStr">
        <is>
          <t>Chemicals</t>
        </is>
      </c>
      <c r="E70" t="inlineStr">
        <is>
          <t>Materials</t>
        </is>
      </c>
      <c r="F70" t="inlineStr"/>
      <c r="G70" t="inlineStr"/>
      <c r="H70" t="inlineStr">
        <is>
          <t>8.88%</t>
        </is>
      </c>
      <c r="I70" t="inlineStr">
        <is>
          <t>0.00%</t>
        </is>
      </c>
    </row>
    <row r="71">
      <c r="A71" s="2" t="n">
        <v>45982</v>
      </c>
      <c r="B71" t="inlineStr">
        <is>
          <t>KNG</t>
        </is>
      </c>
      <c r="C71" t="inlineStr">
        <is>
          <t>GICS_INDUSTRY_NAME</t>
        </is>
      </c>
      <c r="D71" t="inlineStr">
        <is>
          <t>Machinery</t>
        </is>
      </c>
      <c r="E71" t="inlineStr">
        <is>
          <t>Industrials</t>
        </is>
      </c>
      <c r="F71" t="inlineStr"/>
      <c r="G71" t="inlineStr"/>
      <c r="H71" t="inlineStr">
        <is>
          <t>8.71%</t>
        </is>
      </c>
      <c r="I71" t="inlineStr">
        <is>
          <t>0.00%</t>
        </is>
      </c>
    </row>
    <row r="72">
      <c r="A72" s="2" t="n">
        <v>45982</v>
      </c>
      <c r="B72" t="inlineStr">
        <is>
          <t>KNG</t>
        </is>
      </c>
      <c r="C72" t="inlineStr">
        <is>
          <t>GICS_INDUSTRY_GROUP_NAME</t>
        </is>
      </c>
      <c r="D72" t="inlineStr">
        <is>
          <t>Household &amp; Personal Products</t>
        </is>
      </c>
      <c r="E72" t="inlineStr">
        <is>
          <t>Consumer Staples</t>
        </is>
      </c>
      <c r="F72" t="inlineStr"/>
      <c r="G72" t="inlineStr"/>
      <c r="H72" t="inlineStr">
        <is>
          <t>8.34%</t>
        </is>
      </c>
      <c r="I72" t="inlineStr">
        <is>
          <t>0.00%</t>
        </is>
      </c>
    </row>
    <row r="73">
      <c r="A73" s="2" t="n">
        <v>45982</v>
      </c>
      <c r="B73" t="inlineStr">
        <is>
          <t>KNG</t>
        </is>
      </c>
      <c r="C73" t="inlineStr">
        <is>
          <t>GICS_INDUSTRY_GROUP_NAME</t>
        </is>
      </c>
      <c r="D73" t="inlineStr">
        <is>
          <t>Insurance</t>
        </is>
      </c>
      <c r="E73" t="inlineStr">
        <is>
          <t>Financials</t>
        </is>
      </c>
      <c r="F73" t="inlineStr"/>
      <c r="G73" t="inlineStr"/>
      <c r="H73" t="inlineStr">
        <is>
          <t>7.20%</t>
        </is>
      </c>
      <c r="I73" t="inlineStr">
        <is>
          <t>0.00%</t>
        </is>
      </c>
    </row>
    <row r="74">
      <c r="A74" s="2" t="n">
        <v>45982</v>
      </c>
      <c r="B74" t="inlineStr">
        <is>
          <t>KNG</t>
        </is>
      </c>
      <c r="C74" t="inlineStr">
        <is>
          <t>GICS_INDUSTRY_NAME</t>
        </is>
      </c>
      <c r="D74" t="inlineStr">
        <is>
          <t>Insurance</t>
        </is>
      </c>
      <c r="E74" t="inlineStr">
        <is>
          <t>Financials</t>
        </is>
      </c>
      <c r="F74" t="inlineStr"/>
      <c r="G74" t="inlineStr"/>
      <c r="H74" t="inlineStr">
        <is>
          <t>7.20%</t>
        </is>
      </c>
      <c r="I74" t="inlineStr">
        <is>
          <t>0.00%</t>
        </is>
      </c>
    </row>
    <row r="75">
      <c r="A75" s="2" t="n">
        <v>45982</v>
      </c>
      <c r="B75" t="inlineStr">
        <is>
          <t>KNG</t>
        </is>
      </c>
      <c r="C75" t="inlineStr">
        <is>
          <t>GICS_INDUSTRY_NAME</t>
        </is>
      </c>
      <c r="D75" t="inlineStr">
        <is>
          <t>Household Products</t>
        </is>
      </c>
      <c r="E75" t="inlineStr">
        <is>
          <t>Consumer Staples</t>
        </is>
      </c>
      <c r="F75" t="inlineStr"/>
      <c r="G75" t="inlineStr"/>
      <c r="H75" t="inlineStr">
        <is>
          <t>6.78%</t>
        </is>
      </c>
      <c r="I75" t="inlineStr">
        <is>
          <t>0.00%</t>
        </is>
      </c>
    </row>
    <row r="76">
      <c r="A76" s="2" t="n">
        <v>45982</v>
      </c>
      <c r="B76" t="inlineStr">
        <is>
          <t>KNG</t>
        </is>
      </c>
      <c r="C76" t="inlineStr">
        <is>
          <t>GICS_INDUSTRY_GROUP_NAME</t>
        </is>
      </c>
      <c r="D76" t="inlineStr">
        <is>
          <t>Health Care Equipment &amp; Services</t>
        </is>
      </c>
      <c r="E76" t="inlineStr">
        <is>
          <t>Health Care</t>
        </is>
      </c>
      <c r="F76" t="inlineStr"/>
      <c r="G76" t="inlineStr"/>
      <c r="H76" t="inlineStr">
        <is>
          <t>6.34%</t>
        </is>
      </c>
      <c r="I76" t="inlineStr">
        <is>
          <t>0.00%</t>
        </is>
      </c>
    </row>
    <row r="77">
      <c r="A77" s="2" t="n">
        <v>45982</v>
      </c>
      <c r="B77" t="inlineStr">
        <is>
          <t>KNG</t>
        </is>
      </c>
      <c r="C77" t="inlineStr">
        <is>
          <t>GICS_INDUSTRY_GROUP_NAME</t>
        </is>
      </c>
      <c r="D77" t="inlineStr">
        <is>
          <t>Utilities</t>
        </is>
      </c>
      <c r="E77" t="inlineStr">
        <is>
          <t>Utilities</t>
        </is>
      </c>
      <c r="F77" t="inlineStr"/>
      <c r="G77" t="inlineStr"/>
      <c r="H77" t="inlineStr">
        <is>
          <t>5.85%</t>
        </is>
      </c>
      <c r="I77" t="inlineStr">
        <is>
          <t>0.00%</t>
        </is>
      </c>
    </row>
    <row r="78">
      <c r="A78" s="2" t="n">
        <v>45982</v>
      </c>
      <c r="B78" t="inlineStr">
        <is>
          <t>KNG</t>
        </is>
      </c>
      <c r="C78" t="inlineStr">
        <is>
          <t>GICS_INDUSTRY_GROUP_NAME</t>
        </is>
      </c>
      <c r="D78" t="inlineStr">
        <is>
          <t>Financial Services</t>
        </is>
      </c>
      <c r="E78" t="inlineStr">
        <is>
          <t>Financials</t>
        </is>
      </c>
      <c r="F78" t="inlineStr"/>
      <c r="G78" t="inlineStr"/>
      <c r="H78" t="inlineStr">
        <is>
          <t>5.65%</t>
        </is>
      </c>
      <c r="I78" t="inlineStr">
        <is>
          <t>0.00%</t>
        </is>
      </c>
    </row>
    <row r="79">
      <c r="A79" s="2" t="n">
        <v>45982</v>
      </c>
      <c r="B79" t="inlineStr">
        <is>
          <t>KNG</t>
        </is>
      </c>
      <c r="C79" t="inlineStr">
        <is>
          <t>GICS_INDUSTRY_NAME</t>
        </is>
      </c>
      <c r="D79" t="inlineStr">
        <is>
          <t>Capital Markets</t>
        </is>
      </c>
      <c r="E79" t="inlineStr">
        <is>
          <t>Financials</t>
        </is>
      </c>
      <c r="F79" t="inlineStr"/>
      <c r="G79" t="inlineStr"/>
      <c r="H79" t="inlineStr">
        <is>
          <t>5.65%</t>
        </is>
      </c>
      <c r="I79" t="inlineStr">
        <is>
          <t>0.00%</t>
        </is>
      </c>
    </row>
    <row r="80">
      <c r="A80" s="2" t="n">
        <v>45982</v>
      </c>
      <c r="B80" t="inlineStr">
        <is>
          <t>KNG</t>
        </is>
      </c>
      <c r="C80" t="inlineStr">
        <is>
          <t>GICS_INDUSTRY_NAME</t>
        </is>
      </c>
      <c r="D80" t="inlineStr">
        <is>
          <t>Food Products</t>
        </is>
      </c>
      <c r="E80" t="inlineStr">
        <is>
          <t>Consumer Staples</t>
        </is>
      </c>
      <c r="F80" t="inlineStr"/>
      <c r="G80" t="inlineStr"/>
      <c r="H80" t="inlineStr">
        <is>
          <t>5.61%</t>
        </is>
      </c>
      <c r="I80" t="inlineStr">
        <is>
          <t>0.00%</t>
        </is>
      </c>
    </row>
    <row r="81">
      <c r="A81" s="2" t="n">
        <v>45982</v>
      </c>
      <c r="B81" t="inlineStr">
        <is>
          <t>KNG</t>
        </is>
      </c>
      <c r="C81" t="inlineStr">
        <is>
          <t>GICS_INDUSTRY_NAME</t>
        </is>
      </c>
      <c r="D81" t="inlineStr">
        <is>
          <t>Health Care Equipment &amp; Supplies</t>
        </is>
      </c>
      <c r="E81" t="inlineStr">
        <is>
          <t>Health Care</t>
        </is>
      </c>
      <c r="F81" t="inlineStr"/>
      <c r="G81" t="inlineStr"/>
      <c r="H81" t="inlineStr">
        <is>
          <t>4.45%</t>
        </is>
      </c>
      <c r="I81" t="inlineStr">
        <is>
          <t>0.00%</t>
        </is>
      </c>
    </row>
    <row r="82">
      <c r="A82" s="2" t="n">
        <v>45982</v>
      </c>
      <c r="B82" t="inlineStr">
        <is>
          <t>KNG</t>
        </is>
      </c>
      <c r="C82" t="inlineStr">
        <is>
          <t>GICS_INDUSTRY_GROUP_NAME</t>
        </is>
      </c>
      <c r="D82" t="inlineStr">
        <is>
          <t>Pharmaceuticals, Biotechnology &amp; Life Sciences</t>
        </is>
      </c>
      <c r="E82" t="inlineStr">
        <is>
          <t>Health Care</t>
        </is>
      </c>
      <c r="F82" t="inlineStr"/>
      <c r="G82" t="inlineStr"/>
      <c r="H82" t="inlineStr">
        <is>
          <t>4.44%</t>
        </is>
      </c>
      <c r="I82" t="inlineStr">
        <is>
          <t>0.00%</t>
        </is>
      </c>
    </row>
    <row r="83">
      <c r="A83" s="2" t="n">
        <v>45982</v>
      </c>
      <c r="B83" t="inlineStr">
        <is>
          <t>KNG</t>
        </is>
      </c>
      <c r="C83" t="inlineStr">
        <is>
          <t>GICS_INDUSTRY_NAME</t>
        </is>
      </c>
      <c r="D83" t="inlineStr">
        <is>
          <t>Beverages</t>
        </is>
      </c>
      <c r="E83" t="inlineStr">
        <is>
          <t>Consumer Staples</t>
        </is>
      </c>
      <c r="F83" t="inlineStr"/>
      <c r="G83" t="inlineStr"/>
      <c r="H83" t="inlineStr">
        <is>
          <t>4.32%</t>
        </is>
      </c>
      <c r="I83" t="inlineStr">
        <is>
          <t>0.00%</t>
        </is>
      </c>
    </row>
    <row r="84">
      <c r="A84" s="2" t="n">
        <v>45982</v>
      </c>
      <c r="B84" t="inlineStr">
        <is>
          <t>KNG</t>
        </is>
      </c>
      <c r="C84" t="inlineStr">
        <is>
          <t>GICS_INDUSTRY_GROUP_NAME</t>
        </is>
      </c>
      <c r="D84" t="inlineStr">
        <is>
          <t>Consumer Staples Distribution &amp; Retail</t>
        </is>
      </c>
      <c r="E84" t="inlineStr">
        <is>
          <t>Consumer Staples</t>
        </is>
      </c>
      <c r="F84" t="inlineStr"/>
      <c r="G84" t="inlineStr"/>
      <c r="H84" t="inlineStr">
        <is>
          <t>4.19%</t>
        </is>
      </c>
      <c r="I84" t="inlineStr">
        <is>
          <t>0.00%</t>
        </is>
      </c>
    </row>
    <row r="85">
      <c r="A85" s="2" t="n">
        <v>45982</v>
      </c>
      <c r="B85" t="inlineStr">
        <is>
          <t>KNG</t>
        </is>
      </c>
      <c r="C85" t="inlineStr">
        <is>
          <t>GICS_INDUSTRY_NAME</t>
        </is>
      </c>
      <c r="D85" t="inlineStr">
        <is>
          <t>Consumer Staples Distribution &amp; Retail</t>
        </is>
      </c>
      <c r="E85" t="inlineStr">
        <is>
          <t>Consumer Staples</t>
        </is>
      </c>
      <c r="F85" t="inlineStr"/>
      <c r="G85" t="inlineStr"/>
      <c r="H85" t="inlineStr">
        <is>
          <t>4.19%</t>
        </is>
      </c>
      <c r="I85" t="inlineStr">
        <is>
          <t>0.00%</t>
        </is>
      </c>
    </row>
    <row r="86">
      <c r="A86" s="2" t="n">
        <v>45982</v>
      </c>
      <c r="B86" t="inlineStr">
        <is>
          <t>KNG</t>
        </is>
      </c>
      <c r="C86" t="inlineStr">
        <is>
          <t>GICS_INDUSTRY_GROUP_NAME</t>
        </is>
      </c>
      <c r="D86" t="inlineStr">
        <is>
          <t>Equity Real Estate Investment Trusts</t>
        </is>
      </c>
      <c r="E86" t="inlineStr">
        <is>
          <t>Real Estate</t>
        </is>
      </c>
      <c r="F86" t="inlineStr"/>
      <c r="G86" t="inlineStr"/>
      <c r="H86" t="inlineStr">
        <is>
          <t>4.18%</t>
        </is>
      </c>
      <c r="I86" t="inlineStr">
        <is>
          <t>0.00%</t>
        </is>
      </c>
    </row>
    <row r="87">
      <c r="A87" s="2" t="n">
        <v>45982</v>
      </c>
      <c r="B87" t="inlineStr">
        <is>
          <t>KNG</t>
        </is>
      </c>
      <c r="C87" t="inlineStr">
        <is>
          <t>GICS_INDUSTRY_GROUP_NAME</t>
        </is>
      </c>
      <c r="D87" t="inlineStr">
        <is>
          <t>Transportation</t>
        </is>
      </c>
      <c r="E87" t="inlineStr">
        <is>
          <t>Industrials</t>
        </is>
      </c>
      <c r="F87" t="inlineStr"/>
      <c r="G87" t="inlineStr"/>
      <c r="H87" t="inlineStr">
        <is>
          <t>3.45%</t>
        </is>
      </c>
      <c r="I87" t="inlineStr">
        <is>
          <t>0.00%</t>
        </is>
      </c>
    </row>
    <row r="88">
      <c r="A88" s="2" t="n">
        <v>45982</v>
      </c>
      <c r="B88" t="inlineStr">
        <is>
          <t>KNG</t>
        </is>
      </c>
      <c r="C88" t="inlineStr">
        <is>
          <t>GICS_INDUSTRY_NAME</t>
        </is>
      </c>
      <c r="D88" t="inlineStr">
        <is>
          <t>Air Freight &amp; Logistics</t>
        </is>
      </c>
      <c r="E88" t="inlineStr">
        <is>
          <t>Industrials</t>
        </is>
      </c>
      <c r="F88" t="inlineStr"/>
      <c r="G88" t="inlineStr"/>
      <c r="H88" t="inlineStr">
        <is>
          <t>3.45%</t>
        </is>
      </c>
      <c r="I88" t="inlineStr">
        <is>
          <t>0.00%</t>
        </is>
      </c>
    </row>
    <row r="89">
      <c r="A89" s="2" t="n">
        <v>45982</v>
      </c>
      <c r="B89" t="inlineStr">
        <is>
          <t>KNG</t>
        </is>
      </c>
      <c r="C89" t="inlineStr">
        <is>
          <t>GICS_INDUSTRY_NAME</t>
        </is>
      </c>
      <c r="D89" t="inlineStr">
        <is>
          <t>Trading Companies &amp; Distributors</t>
        </is>
      </c>
      <c r="E89" t="inlineStr">
        <is>
          <t>Industrials</t>
        </is>
      </c>
      <c r="F89" t="inlineStr"/>
      <c r="G89" t="inlineStr"/>
      <c r="H89" t="inlineStr">
        <is>
          <t>2.98%</t>
        </is>
      </c>
      <c r="I89" t="inlineStr">
        <is>
          <t>0.00%</t>
        </is>
      </c>
    </row>
    <row r="90">
      <c r="A90" s="2" t="n">
        <v>45982</v>
      </c>
      <c r="B90" t="inlineStr">
        <is>
          <t>KNG</t>
        </is>
      </c>
      <c r="C90" t="inlineStr">
        <is>
          <t>GICS_INDUSTRY_GROUP_NAME</t>
        </is>
      </c>
      <c r="D90" t="inlineStr">
        <is>
          <t>Energy</t>
        </is>
      </c>
      <c r="E90" t="inlineStr">
        <is>
          <t>Energy</t>
        </is>
      </c>
      <c r="F90" t="inlineStr"/>
      <c r="G90" t="inlineStr"/>
      <c r="H90" t="inlineStr">
        <is>
          <t>2.86%</t>
        </is>
      </c>
      <c r="I90" t="inlineStr">
        <is>
          <t>0.00%</t>
        </is>
      </c>
    </row>
    <row r="91">
      <c r="A91" s="2" t="n">
        <v>45982</v>
      </c>
      <c r="B91" t="inlineStr">
        <is>
          <t>KNG</t>
        </is>
      </c>
      <c r="C91" t="inlineStr">
        <is>
          <t>GICS_INDUSTRY_NAME</t>
        </is>
      </c>
      <c r="D91" t="inlineStr">
        <is>
          <t>Oil, Gas &amp; Consumable Fuels</t>
        </is>
      </c>
      <c r="E91" t="inlineStr">
        <is>
          <t>Energy</t>
        </is>
      </c>
      <c r="F91" t="inlineStr"/>
      <c r="G91" t="inlineStr"/>
      <c r="H91" t="inlineStr">
        <is>
          <t>2.86%</t>
        </is>
      </c>
      <c r="I91" t="inlineStr">
        <is>
          <t>0.00%</t>
        </is>
      </c>
    </row>
    <row r="92">
      <c r="A92" s="2" t="n">
        <v>45982</v>
      </c>
      <c r="B92" t="inlineStr">
        <is>
          <t>KNG</t>
        </is>
      </c>
      <c r="C92" t="inlineStr">
        <is>
          <t>GICS_INDUSTRY_GROUP_NAME</t>
        </is>
      </c>
      <c r="D92" t="inlineStr">
        <is>
          <t>Consumer Discretionary Distribution &amp; Retail</t>
        </is>
      </c>
      <c r="E92" t="inlineStr">
        <is>
          <t>Consumer Discretionary</t>
        </is>
      </c>
      <c r="F92" t="inlineStr"/>
      <c r="G92" t="inlineStr"/>
      <c r="H92" t="inlineStr">
        <is>
          <t>2.80%</t>
        </is>
      </c>
      <c r="I92" t="inlineStr">
        <is>
          <t>0.00%</t>
        </is>
      </c>
    </row>
    <row r="93">
      <c r="A93" s="2" t="n">
        <v>45982</v>
      </c>
      <c r="B93" t="inlineStr">
        <is>
          <t>KNG</t>
        </is>
      </c>
      <c r="C93" t="inlineStr">
        <is>
          <t>GICS_INDUSTRY_GROUP_NAME</t>
        </is>
      </c>
      <c r="D93" t="inlineStr">
        <is>
          <t>Software &amp; Services</t>
        </is>
      </c>
      <c r="E93" t="inlineStr">
        <is>
          <t>Information Technology</t>
        </is>
      </c>
      <c r="F93" t="inlineStr"/>
      <c r="G93" t="inlineStr"/>
      <c r="H93" t="inlineStr">
        <is>
          <t>2.75%</t>
        </is>
      </c>
      <c r="I93" t="inlineStr">
        <is>
          <t>0.00%</t>
        </is>
      </c>
    </row>
    <row r="94">
      <c r="A94" s="2" t="n">
        <v>45982</v>
      </c>
      <c r="B94" t="inlineStr">
        <is>
          <t>KNG</t>
        </is>
      </c>
      <c r="C94" t="inlineStr">
        <is>
          <t>GICS_INDUSTRY_NAME</t>
        </is>
      </c>
      <c r="D94" t="inlineStr">
        <is>
          <t>Retail REITs</t>
        </is>
      </c>
      <c r="E94" t="inlineStr">
        <is>
          <t>Real Estate</t>
        </is>
      </c>
      <c r="F94" t="inlineStr"/>
      <c r="G94" t="inlineStr"/>
      <c r="H94" t="inlineStr">
        <is>
          <t>2.75%</t>
        </is>
      </c>
      <c r="I94" t="inlineStr">
        <is>
          <t>0.00%</t>
        </is>
      </c>
    </row>
    <row r="95">
      <c r="A95" s="2" t="n">
        <v>45982</v>
      </c>
      <c r="B95" t="inlineStr">
        <is>
          <t>KNG</t>
        </is>
      </c>
      <c r="C95" t="inlineStr">
        <is>
          <t>GICS_INDUSTRY_NAME</t>
        </is>
      </c>
      <c r="D95" t="inlineStr">
        <is>
          <t>Electric Utilities</t>
        </is>
      </c>
      <c r="E95" t="inlineStr">
        <is>
          <t>Utilities</t>
        </is>
      </c>
      <c r="F95" t="inlineStr"/>
      <c r="G95" t="inlineStr"/>
      <c r="H95" t="inlineStr">
        <is>
          <t>2.72%</t>
        </is>
      </c>
      <c r="I95" t="inlineStr">
        <is>
          <t>0.00%</t>
        </is>
      </c>
    </row>
    <row r="96">
      <c r="A96" s="2" t="n">
        <v>45982</v>
      </c>
      <c r="B96" t="inlineStr">
        <is>
          <t>KNG</t>
        </is>
      </c>
      <c r="C96" t="inlineStr">
        <is>
          <t>GICS_INDUSTRY_GROUP_NAME</t>
        </is>
      </c>
      <c r="D96" t="inlineStr">
        <is>
          <t>Commercial &amp; Professional Services</t>
        </is>
      </c>
      <c r="E96" t="inlineStr">
        <is>
          <t>Industrials</t>
        </is>
      </c>
      <c r="F96" t="inlineStr"/>
      <c r="G96" t="inlineStr"/>
      <c r="H96" t="inlineStr">
        <is>
          <t>2.67%</t>
        </is>
      </c>
      <c r="I96" t="inlineStr">
        <is>
          <t>0.00%</t>
        </is>
      </c>
    </row>
    <row r="97">
      <c r="A97" s="2" t="n">
        <v>45982</v>
      </c>
      <c r="B97" t="inlineStr">
        <is>
          <t>KNG</t>
        </is>
      </c>
      <c r="C97" t="inlineStr">
        <is>
          <t>GICS_INDUSTRY_NAME</t>
        </is>
      </c>
      <c r="D97" t="inlineStr">
        <is>
          <t>Health Care Providers &amp; Services</t>
        </is>
      </c>
      <c r="E97" t="inlineStr">
        <is>
          <t>Health Care</t>
        </is>
      </c>
      <c r="F97" t="inlineStr"/>
      <c r="G97" t="inlineStr"/>
      <c r="H97" t="inlineStr">
        <is>
          <t>1.89%</t>
        </is>
      </c>
      <c r="I97" t="inlineStr">
        <is>
          <t>0.00%</t>
        </is>
      </c>
    </row>
    <row r="98">
      <c r="A98" s="2" t="n">
        <v>45982</v>
      </c>
      <c r="B98" t="inlineStr">
        <is>
          <t>KNG</t>
        </is>
      </c>
      <c r="C98" t="inlineStr">
        <is>
          <t>GICS_INDUSTRY_NAME</t>
        </is>
      </c>
      <c r="D98" t="inlineStr">
        <is>
          <t>Gas Utilities</t>
        </is>
      </c>
      <c r="E98" t="inlineStr">
        <is>
          <t>Utilities</t>
        </is>
      </c>
      <c r="F98" t="inlineStr"/>
      <c r="G98" t="inlineStr"/>
      <c r="H98" t="inlineStr">
        <is>
          <t>1.69%</t>
        </is>
      </c>
      <c r="I98" t="inlineStr">
        <is>
          <t>0.00%</t>
        </is>
      </c>
    </row>
    <row r="99">
      <c r="A99" s="2" t="n">
        <v>45982</v>
      </c>
      <c r="B99" t="inlineStr">
        <is>
          <t>KNG</t>
        </is>
      </c>
      <c r="C99" t="inlineStr">
        <is>
          <t>GICS_INDUSTRY_NAME</t>
        </is>
      </c>
      <c r="D99" t="inlineStr">
        <is>
          <t>Metals &amp; Mining</t>
        </is>
      </c>
      <c r="E99" t="inlineStr">
        <is>
          <t>Materials</t>
        </is>
      </c>
      <c r="F99" t="inlineStr"/>
      <c r="G99" t="inlineStr"/>
      <c r="H99" t="inlineStr">
        <is>
          <t>1.60%</t>
        </is>
      </c>
      <c r="I99" t="inlineStr">
        <is>
          <t>0.00%</t>
        </is>
      </c>
    </row>
    <row r="100">
      <c r="A100" s="2" t="n">
        <v>45982</v>
      </c>
      <c r="B100" t="inlineStr">
        <is>
          <t>KNG</t>
        </is>
      </c>
      <c r="C100" t="inlineStr">
        <is>
          <t>GICS_INDUSTRY_NAME</t>
        </is>
      </c>
      <c r="D100" t="inlineStr">
        <is>
          <t>Personal Care Products</t>
        </is>
      </c>
      <c r="E100" t="inlineStr">
        <is>
          <t>Consumer Staples</t>
        </is>
      </c>
      <c r="F100" t="inlineStr"/>
      <c r="G100" t="inlineStr"/>
      <c r="H100" t="inlineStr">
        <is>
          <t>1.56%</t>
        </is>
      </c>
      <c r="I100" t="inlineStr">
        <is>
          <t>0.00%</t>
        </is>
      </c>
    </row>
    <row r="101">
      <c r="A101" s="2" t="n">
        <v>45982</v>
      </c>
      <c r="B101" t="inlineStr">
        <is>
          <t>KNG</t>
        </is>
      </c>
      <c r="C101" t="inlineStr">
        <is>
          <t>GICS_INDUSTRY_NAME</t>
        </is>
      </c>
      <c r="D101" t="inlineStr">
        <is>
          <t>Pharmaceuticals</t>
        </is>
      </c>
      <c r="E101" t="inlineStr">
        <is>
          <t>Health Care</t>
        </is>
      </c>
      <c r="F101" t="inlineStr"/>
      <c r="G101" t="inlineStr"/>
      <c r="H101" t="inlineStr">
        <is>
          <t>1.53%</t>
        </is>
      </c>
      <c r="I101" t="inlineStr">
        <is>
          <t>0.00%</t>
        </is>
      </c>
    </row>
    <row r="102">
      <c r="A102" s="2" t="n">
        <v>45982</v>
      </c>
      <c r="B102" t="inlineStr">
        <is>
          <t>KNG</t>
        </is>
      </c>
      <c r="C102" t="inlineStr">
        <is>
          <t>GICS_INDUSTRY_NAME</t>
        </is>
      </c>
      <c r="D102" t="inlineStr">
        <is>
          <t>Containers &amp; Packaging</t>
        </is>
      </c>
      <c r="E102" t="inlineStr">
        <is>
          <t>Materials</t>
        </is>
      </c>
      <c r="F102" t="inlineStr"/>
      <c r="G102" t="inlineStr"/>
      <c r="H102" t="inlineStr">
        <is>
          <t>1.50%</t>
        </is>
      </c>
      <c r="I102" t="inlineStr">
        <is>
          <t>0.00%</t>
        </is>
      </c>
    </row>
    <row r="103">
      <c r="A103" s="2" t="n">
        <v>45982</v>
      </c>
      <c r="B103" t="inlineStr">
        <is>
          <t>KNG</t>
        </is>
      </c>
      <c r="C103" t="inlineStr">
        <is>
          <t>GICS_INDUSTRY_NAME</t>
        </is>
      </c>
      <c r="D103" t="inlineStr">
        <is>
          <t>IT Services</t>
        </is>
      </c>
      <c r="E103" t="inlineStr">
        <is>
          <t>Information Technology</t>
        </is>
      </c>
      <c r="F103" t="inlineStr"/>
      <c r="G103" t="inlineStr"/>
      <c r="H103" t="inlineStr">
        <is>
          <t>1.50%</t>
        </is>
      </c>
      <c r="I103" t="inlineStr">
        <is>
          <t>0.00%</t>
        </is>
      </c>
    </row>
    <row r="104">
      <c r="A104" s="2" t="n">
        <v>45982</v>
      </c>
      <c r="B104" t="inlineStr">
        <is>
          <t>KNG</t>
        </is>
      </c>
      <c r="C104" t="inlineStr">
        <is>
          <t>GICS_INDUSTRY_NAME</t>
        </is>
      </c>
      <c r="D104" t="inlineStr">
        <is>
          <t>Biotechnology</t>
        </is>
      </c>
      <c r="E104" t="inlineStr">
        <is>
          <t>Health Care</t>
        </is>
      </c>
      <c r="F104" t="inlineStr"/>
      <c r="G104" t="inlineStr"/>
      <c r="H104" t="inlineStr">
        <is>
          <t>1.49%</t>
        </is>
      </c>
      <c r="I104" t="inlineStr">
        <is>
          <t>0.00%</t>
        </is>
      </c>
    </row>
    <row r="105">
      <c r="A105" s="2" t="n">
        <v>45982</v>
      </c>
      <c r="B105" t="inlineStr">
        <is>
          <t>KNG</t>
        </is>
      </c>
      <c r="C105" t="inlineStr">
        <is>
          <t>GICS_INDUSTRY_NAME</t>
        </is>
      </c>
      <c r="D105" t="inlineStr">
        <is>
          <t>Aerospace &amp; Defense</t>
        </is>
      </c>
      <c r="E105" t="inlineStr">
        <is>
          <t>Industrials</t>
        </is>
      </c>
      <c r="F105" t="inlineStr"/>
      <c r="G105" t="inlineStr"/>
      <c r="H105" t="inlineStr">
        <is>
          <t>1.45%</t>
        </is>
      </c>
      <c r="I105" t="inlineStr">
        <is>
          <t>0.00%</t>
        </is>
      </c>
    </row>
    <row r="106">
      <c r="A106" s="2" t="n">
        <v>45982</v>
      </c>
      <c r="B106" t="inlineStr">
        <is>
          <t>KNG</t>
        </is>
      </c>
      <c r="C106" t="inlineStr">
        <is>
          <t>GICS_INDUSTRY_NAME</t>
        </is>
      </c>
      <c r="D106" t="inlineStr">
        <is>
          <t>Multi-Utilities</t>
        </is>
      </c>
      <c r="E106" t="inlineStr">
        <is>
          <t>Utilities</t>
        </is>
      </c>
      <c r="F106" t="inlineStr"/>
      <c r="G106" t="inlineStr"/>
      <c r="H106" t="inlineStr">
        <is>
          <t>1.44%</t>
        </is>
      </c>
      <c r="I106" t="inlineStr">
        <is>
          <t>0.00%</t>
        </is>
      </c>
    </row>
    <row r="107">
      <c r="A107" s="2" t="n">
        <v>45982</v>
      </c>
      <c r="B107" t="inlineStr">
        <is>
          <t>KNG</t>
        </is>
      </c>
      <c r="C107" t="inlineStr">
        <is>
          <t>GICS_INDUSTRY_GROUP_NAME</t>
        </is>
      </c>
      <c r="D107" t="inlineStr">
        <is>
          <t>Consumer Services</t>
        </is>
      </c>
      <c r="E107" t="inlineStr">
        <is>
          <t>Consumer Discretionary</t>
        </is>
      </c>
      <c r="F107" t="inlineStr"/>
      <c r="G107" t="inlineStr"/>
      <c r="H107" t="inlineStr">
        <is>
          <t>1.44%</t>
        </is>
      </c>
      <c r="I107" t="inlineStr">
        <is>
          <t>0.00%</t>
        </is>
      </c>
    </row>
    <row r="108">
      <c r="A108" s="2" t="n">
        <v>45982</v>
      </c>
      <c r="B108" t="inlineStr">
        <is>
          <t>KNG</t>
        </is>
      </c>
      <c r="C108" t="inlineStr">
        <is>
          <t>GICS_INDUSTRY_NAME</t>
        </is>
      </c>
      <c r="D108" t="inlineStr">
        <is>
          <t>Hotels, Restaurants &amp; Leisure</t>
        </is>
      </c>
      <c r="E108" t="inlineStr">
        <is>
          <t>Consumer Discretionary</t>
        </is>
      </c>
      <c r="F108" t="inlineStr"/>
      <c r="G108" t="inlineStr"/>
      <c r="H108" t="inlineStr">
        <is>
          <t>1.44%</t>
        </is>
      </c>
      <c r="I108" t="inlineStr">
        <is>
          <t>0.00%</t>
        </is>
      </c>
    </row>
    <row r="109">
      <c r="A109" s="2" t="n">
        <v>45982</v>
      </c>
      <c r="B109" t="inlineStr">
        <is>
          <t>KNG</t>
        </is>
      </c>
      <c r="C109" t="inlineStr">
        <is>
          <t>GICS_INDUSTRY_NAME</t>
        </is>
      </c>
      <c r="D109" t="inlineStr">
        <is>
          <t>Residential REITs</t>
        </is>
      </c>
      <c r="E109" t="inlineStr">
        <is>
          <t>Real Estate</t>
        </is>
      </c>
      <c r="F109" t="inlineStr"/>
      <c r="G109" t="inlineStr"/>
      <c r="H109" t="inlineStr">
        <is>
          <t>1.42%</t>
        </is>
      </c>
      <c r="I109" t="inlineStr">
        <is>
          <t>0.00%</t>
        </is>
      </c>
    </row>
    <row r="110">
      <c r="A110" s="2" t="n">
        <v>45982</v>
      </c>
      <c r="B110" t="inlineStr">
        <is>
          <t>KNG</t>
        </is>
      </c>
      <c r="C110" t="inlineStr">
        <is>
          <t>GICS_INDUSTRY_NAME</t>
        </is>
      </c>
      <c r="D110" t="inlineStr">
        <is>
          <t>Electrical Equipment</t>
        </is>
      </c>
      <c r="E110" t="inlineStr">
        <is>
          <t>Industrials</t>
        </is>
      </c>
      <c r="F110" t="inlineStr"/>
      <c r="G110" t="inlineStr"/>
      <c r="H110" t="inlineStr">
        <is>
          <t>1.42%</t>
        </is>
      </c>
      <c r="I110" t="inlineStr">
        <is>
          <t>0.00%</t>
        </is>
      </c>
    </row>
    <row r="111">
      <c r="A111" s="2" t="n">
        <v>45982</v>
      </c>
      <c r="B111" t="inlineStr">
        <is>
          <t>KNG</t>
        </is>
      </c>
      <c r="C111" t="inlineStr">
        <is>
          <t>GICS_INDUSTRY_NAME</t>
        </is>
      </c>
      <c r="D111" t="inlineStr">
        <is>
          <t>Life Sciences Tools &amp; Services</t>
        </is>
      </c>
      <c r="E111" t="inlineStr">
        <is>
          <t>Health Care</t>
        </is>
      </c>
      <c r="F111" t="inlineStr"/>
      <c r="G111" t="inlineStr"/>
      <c r="H111" t="inlineStr">
        <is>
          <t>1.41%</t>
        </is>
      </c>
      <c r="I111" t="inlineStr">
        <is>
          <t>0.00%</t>
        </is>
      </c>
    </row>
    <row r="112">
      <c r="A112" s="2" t="n">
        <v>45982</v>
      </c>
      <c r="B112" t="inlineStr">
        <is>
          <t>KNG</t>
        </is>
      </c>
      <c r="C112" t="inlineStr">
        <is>
          <t>GICS_INDUSTRY_NAME</t>
        </is>
      </c>
      <c r="D112" t="inlineStr">
        <is>
          <t>Distributors</t>
        </is>
      </c>
      <c r="E112" t="inlineStr">
        <is>
          <t>Consumer Discretionary</t>
        </is>
      </c>
      <c r="F112" t="inlineStr"/>
      <c r="G112" t="inlineStr"/>
      <c r="H112" t="inlineStr">
        <is>
          <t>1.40%</t>
        </is>
      </c>
      <c r="I112" t="inlineStr">
        <is>
          <t>0.00%</t>
        </is>
      </c>
    </row>
    <row r="113">
      <c r="A113" s="2" t="n">
        <v>45982</v>
      </c>
      <c r="B113" t="inlineStr">
        <is>
          <t>KNG</t>
        </is>
      </c>
      <c r="C113" t="inlineStr">
        <is>
          <t>GICS_INDUSTRY_NAME</t>
        </is>
      </c>
      <c r="D113" t="inlineStr">
        <is>
          <t>Specialty Retail</t>
        </is>
      </c>
      <c r="E113" t="inlineStr">
        <is>
          <t>Consumer Discretionary</t>
        </is>
      </c>
      <c r="F113" t="inlineStr"/>
      <c r="G113" t="inlineStr"/>
      <c r="H113" t="inlineStr">
        <is>
          <t>1.39%</t>
        </is>
      </c>
      <c r="I113" t="inlineStr">
        <is>
          <t>0.00%</t>
        </is>
      </c>
    </row>
    <row r="114">
      <c r="A114" s="2" t="n">
        <v>45982</v>
      </c>
      <c r="B114" t="inlineStr">
        <is>
          <t>KNG</t>
        </is>
      </c>
      <c r="C114" t="inlineStr">
        <is>
          <t>GICS_INDUSTRY_NAME</t>
        </is>
      </c>
      <c r="D114" t="inlineStr">
        <is>
          <t>Commercial Services &amp; Supplies</t>
        </is>
      </c>
      <c r="E114" t="inlineStr">
        <is>
          <t>Industrials</t>
        </is>
      </c>
      <c r="F114" t="inlineStr"/>
      <c r="G114" t="inlineStr"/>
      <c r="H114" t="inlineStr">
        <is>
          <t>1.39%</t>
        </is>
      </c>
      <c r="I114" t="inlineStr">
        <is>
          <t>0.00%</t>
        </is>
      </c>
    </row>
    <row r="115">
      <c r="A115" s="2" t="n">
        <v>45982</v>
      </c>
      <c r="B115" t="inlineStr">
        <is>
          <t>KNG</t>
        </is>
      </c>
      <c r="C115" t="inlineStr">
        <is>
          <t>GICS_INDUSTRY_NAME</t>
        </is>
      </c>
      <c r="D115" t="inlineStr">
        <is>
          <t>Building Products</t>
        </is>
      </c>
      <c r="E115" t="inlineStr">
        <is>
          <t>Industrials</t>
        </is>
      </c>
      <c r="F115" t="inlineStr"/>
      <c r="G115" t="inlineStr"/>
      <c r="H115" t="inlineStr">
        <is>
          <t>1.38%</t>
        </is>
      </c>
      <c r="I115" t="inlineStr">
        <is>
          <t>0.00%</t>
        </is>
      </c>
    </row>
    <row r="116">
      <c r="A116" s="2" t="n">
        <v>45982</v>
      </c>
      <c r="B116" t="inlineStr">
        <is>
          <t>KNG</t>
        </is>
      </c>
      <c r="C116" t="inlineStr">
        <is>
          <t>GICS_INDUSTRY_NAME</t>
        </is>
      </c>
      <c r="D116" t="inlineStr">
        <is>
          <t>Professional Services</t>
        </is>
      </c>
      <c r="E116" t="inlineStr">
        <is>
          <t>Industrials</t>
        </is>
      </c>
      <c r="F116" t="inlineStr"/>
      <c r="G116" t="inlineStr"/>
      <c r="H116" t="inlineStr">
        <is>
          <t>1.29%</t>
        </is>
      </c>
      <c r="I116" t="inlineStr">
        <is>
          <t>0.00%</t>
        </is>
      </c>
    </row>
    <row r="117">
      <c r="A117" s="2" t="n">
        <v>45982</v>
      </c>
      <c r="B117" t="inlineStr">
        <is>
          <t>KNG</t>
        </is>
      </c>
      <c r="C117" t="inlineStr">
        <is>
          <t>GICS_INDUSTRY_NAME</t>
        </is>
      </c>
      <c r="D117" t="inlineStr">
        <is>
          <t>Software</t>
        </is>
      </c>
      <c r="E117" t="inlineStr">
        <is>
          <t>Information Technology</t>
        </is>
      </c>
      <c r="F117" t="inlineStr"/>
      <c r="G117" t="inlineStr"/>
      <c r="H117" t="inlineStr">
        <is>
          <t>1.26%</t>
        </is>
      </c>
      <c r="I117" t="inlineStr">
        <is>
          <t>0.00%</t>
        </is>
      </c>
    </row>
    <row r="118">
      <c r="A118" s="2" t="n">
        <v>45982</v>
      </c>
      <c r="B118" t="inlineStr">
        <is>
          <t>RDVI</t>
        </is>
      </c>
      <c r="C118" t="inlineStr">
        <is>
          <t>GICS_INDUSTRY_GROUP_NAME</t>
        </is>
      </c>
      <c r="D118" t="inlineStr">
        <is>
          <t>Financial Services</t>
        </is>
      </c>
      <c r="E118" t="inlineStr">
        <is>
          <t>Financials</t>
        </is>
      </c>
      <c r="F118" t="inlineStr"/>
      <c r="G118" t="inlineStr"/>
      <c r="H118" t="inlineStr">
        <is>
          <t>15.30%</t>
        </is>
      </c>
      <c r="I118" t="inlineStr">
        <is>
          <t>0.00%</t>
        </is>
      </c>
    </row>
    <row r="119">
      <c r="A119" s="2" t="n">
        <v>45982</v>
      </c>
      <c r="B119" t="inlineStr">
        <is>
          <t>RDVI</t>
        </is>
      </c>
      <c r="C119" t="inlineStr">
        <is>
          <t>GICS_INDUSTRY_GROUP_NAME</t>
        </is>
      </c>
      <c r="D119" t="inlineStr">
        <is>
          <t>Semiconductors &amp; Semiconductor Equipment</t>
        </is>
      </c>
      <c r="E119" t="inlineStr">
        <is>
          <t>Information Technology</t>
        </is>
      </c>
      <c r="F119" t="inlineStr"/>
      <c r="G119" t="inlineStr"/>
      <c r="H119" t="inlineStr">
        <is>
          <t>13.47%</t>
        </is>
      </c>
      <c r="I119" t="inlineStr">
        <is>
          <t>0.00%</t>
        </is>
      </c>
    </row>
    <row r="120">
      <c r="A120" s="2" t="n">
        <v>45982</v>
      </c>
      <c r="B120" t="inlineStr">
        <is>
          <t>RDVI</t>
        </is>
      </c>
      <c r="C120" t="inlineStr">
        <is>
          <t>GICS_INDUSTRY_NAME</t>
        </is>
      </c>
      <c r="D120" t="inlineStr">
        <is>
          <t>Semiconductors &amp; Semiconductor Equipment</t>
        </is>
      </c>
      <c r="E120" t="inlineStr">
        <is>
          <t>Information Technology</t>
        </is>
      </c>
      <c r="F120" t="inlineStr"/>
      <c r="G120" t="inlineStr"/>
      <c r="H120" t="inlineStr">
        <is>
          <t>13.47%</t>
        </is>
      </c>
      <c r="I120" t="inlineStr">
        <is>
          <t>0.00%</t>
        </is>
      </c>
    </row>
    <row r="121">
      <c r="A121" s="2" t="n">
        <v>45982</v>
      </c>
      <c r="B121" t="inlineStr">
        <is>
          <t>RDVI</t>
        </is>
      </c>
      <c r="C121" t="inlineStr">
        <is>
          <t>GICS_INDUSTRY_GROUP_NAME</t>
        </is>
      </c>
      <c r="D121" t="inlineStr">
        <is>
          <t>Insurance</t>
        </is>
      </c>
      <c r="E121" t="inlineStr">
        <is>
          <t>Financials</t>
        </is>
      </c>
      <c r="F121" t="inlineStr"/>
      <c r="G121" t="inlineStr"/>
      <c r="H121" t="inlineStr">
        <is>
          <t>12.53%</t>
        </is>
      </c>
      <c r="I121" t="inlineStr">
        <is>
          <t>0.00%</t>
        </is>
      </c>
    </row>
    <row r="122">
      <c r="A122" s="2" t="n">
        <v>45982</v>
      </c>
      <c r="B122" t="inlineStr">
        <is>
          <t>RDVI</t>
        </is>
      </c>
      <c r="C122" t="inlineStr">
        <is>
          <t>GICS_INDUSTRY_NAME</t>
        </is>
      </c>
      <c r="D122" t="inlineStr">
        <is>
          <t>Insurance</t>
        </is>
      </c>
      <c r="E122" t="inlineStr">
        <is>
          <t>Financials</t>
        </is>
      </c>
      <c r="F122" t="inlineStr"/>
      <c r="G122" t="inlineStr"/>
      <c r="H122" t="inlineStr">
        <is>
          <t>12.53%</t>
        </is>
      </c>
      <c r="I122" t="inlineStr">
        <is>
          <t>0.00%</t>
        </is>
      </c>
    </row>
    <row r="123">
      <c r="A123" s="2" t="n">
        <v>45982</v>
      </c>
      <c r="B123" t="inlineStr">
        <is>
          <t>RDVI</t>
        </is>
      </c>
      <c r="C123" t="inlineStr">
        <is>
          <t>GICS_INDUSTRY_GROUP_NAME</t>
        </is>
      </c>
      <c r="D123" t="inlineStr">
        <is>
          <t>Capital Goods</t>
        </is>
      </c>
      <c r="E123" t="inlineStr">
        <is>
          <t>Industrials</t>
        </is>
      </c>
      <c r="F123" t="inlineStr"/>
      <c r="G123" t="inlineStr"/>
      <c r="H123" t="inlineStr">
        <is>
          <t>10.51%</t>
        </is>
      </c>
      <c r="I123" t="inlineStr">
        <is>
          <t>0.00%</t>
        </is>
      </c>
    </row>
    <row r="124">
      <c r="A124" s="2" t="n">
        <v>45982</v>
      </c>
      <c r="B124" t="inlineStr">
        <is>
          <t>RDVI</t>
        </is>
      </c>
      <c r="C124" t="inlineStr">
        <is>
          <t>GICS_INDUSTRY_NAME</t>
        </is>
      </c>
      <c r="D124" t="inlineStr">
        <is>
          <t>Capital Markets</t>
        </is>
      </c>
      <c r="E124" t="inlineStr">
        <is>
          <t>Financials</t>
        </is>
      </c>
      <c r="F124" t="inlineStr"/>
      <c r="G124" t="inlineStr"/>
      <c r="H124" t="inlineStr">
        <is>
          <t>8.40%</t>
        </is>
      </c>
      <c r="I124" t="inlineStr">
        <is>
          <t>0.00%</t>
        </is>
      </c>
    </row>
    <row r="125">
      <c r="A125" s="2" t="n">
        <v>45982</v>
      </c>
      <c r="B125" t="inlineStr">
        <is>
          <t>RDVI</t>
        </is>
      </c>
      <c r="C125" t="inlineStr">
        <is>
          <t>GICS_INDUSTRY_GROUP_NAME</t>
        </is>
      </c>
      <c r="D125" t="inlineStr">
        <is>
          <t>Media &amp; Entertainment</t>
        </is>
      </c>
      <c r="E125" t="inlineStr">
        <is>
          <t>Communication Services</t>
        </is>
      </c>
      <c r="F125" t="inlineStr"/>
      <c r="G125" t="inlineStr"/>
      <c r="H125" t="inlineStr">
        <is>
          <t>7.38%</t>
        </is>
      </c>
      <c r="I125" t="inlineStr">
        <is>
          <t>0.00%</t>
        </is>
      </c>
    </row>
    <row r="126">
      <c r="A126" s="2" t="n">
        <v>45982</v>
      </c>
      <c r="B126" t="inlineStr">
        <is>
          <t>RDVI</t>
        </is>
      </c>
      <c r="C126" t="inlineStr">
        <is>
          <t>GICS_INDUSTRY_GROUP_NAME</t>
        </is>
      </c>
      <c r="D126" t="inlineStr">
        <is>
          <t>Banks</t>
        </is>
      </c>
      <c r="E126" t="inlineStr">
        <is>
          <t>Financials</t>
        </is>
      </c>
      <c r="F126" t="inlineStr"/>
      <c r="G126" t="inlineStr"/>
      <c r="H126" t="inlineStr">
        <is>
          <t>6.90%</t>
        </is>
      </c>
      <c r="I126" t="inlineStr">
        <is>
          <t>0.00%</t>
        </is>
      </c>
    </row>
    <row r="127">
      <c r="A127" s="2" t="n">
        <v>45982</v>
      </c>
      <c r="B127" t="inlineStr">
        <is>
          <t>RDVI</t>
        </is>
      </c>
      <c r="C127" t="inlineStr">
        <is>
          <t>GICS_INDUSTRY_NAME</t>
        </is>
      </c>
      <c r="D127" t="inlineStr">
        <is>
          <t>Banks</t>
        </is>
      </c>
      <c r="E127" t="inlineStr">
        <is>
          <t>Financials</t>
        </is>
      </c>
      <c r="F127" t="inlineStr"/>
      <c r="G127" t="inlineStr"/>
      <c r="H127" t="inlineStr">
        <is>
          <t>6.90%</t>
        </is>
      </c>
      <c r="I127" t="inlineStr">
        <is>
          <t>0.00%</t>
        </is>
      </c>
    </row>
    <row r="128">
      <c r="A128" s="2" t="n">
        <v>45982</v>
      </c>
      <c r="B128" t="inlineStr">
        <is>
          <t>RDVI</t>
        </is>
      </c>
      <c r="C128" t="inlineStr">
        <is>
          <t>GICS_INDUSTRY_GROUP_NAME</t>
        </is>
      </c>
      <c r="D128" t="inlineStr">
        <is>
          <t>Software &amp; Services</t>
        </is>
      </c>
      <c r="E128" t="inlineStr">
        <is>
          <t>Information Technology</t>
        </is>
      </c>
      <c r="F128" t="inlineStr"/>
      <c r="G128" t="inlineStr"/>
      <c r="H128" t="inlineStr">
        <is>
          <t>6.87%</t>
        </is>
      </c>
      <c r="I128" t="inlineStr">
        <is>
          <t>0.00%</t>
        </is>
      </c>
    </row>
    <row r="129">
      <c r="A129" s="2" t="n">
        <v>45982</v>
      </c>
      <c r="B129" t="inlineStr">
        <is>
          <t>RDVI</t>
        </is>
      </c>
      <c r="C129" t="inlineStr">
        <is>
          <t>GICS_INDUSTRY_NAME</t>
        </is>
      </c>
      <c r="D129" t="inlineStr">
        <is>
          <t>Machinery</t>
        </is>
      </c>
      <c r="E129" t="inlineStr">
        <is>
          <t>Industrials</t>
        </is>
      </c>
      <c r="F129" t="inlineStr"/>
      <c r="G129" t="inlineStr"/>
      <c r="H129" t="inlineStr">
        <is>
          <t>6.66%</t>
        </is>
      </c>
      <c r="I129" t="inlineStr">
        <is>
          <t>0.00%</t>
        </is>
      </c>
    </row>
    <row r="130">
      <c r="A130" s="2" t="n">
        <v>45982</v>
      </c>
      <c r="B130" t="inlineStr">
        <is>
          <t>RDVI</t>
        </is>
      </c>
      <c r="C130" t="inlineStr">
        <is>
          <t>GICS_INDUSTRY_GROUP_NAME</t>
        </is>
      </c>
      <c r="D130" t="inlineStr">
        <is>
          <t>Consumer Discretionary Distribution &amp; Retail</t>
        </is>
      </c>
      <c r="E130" t="inlineStr">
        <is>
          <t>Consumer Discretionary</t>
        </is>
      </c>
      <c r="F130" t="inlineStr"/>
      <c r="G130" t="inlineStr"/>
      <c r="H130" t="inlineStr">
        <is>
          <t>6.30%</t>
        </is>
      </c>
      <c r="I130" t="inlineStr">
        <is>
          <t>0.00%</t>
        </is>
      </c>
    </row>
    <row r="131">
      <c r="A131" s="2" t="n">
        <v>45982</v>
      </c>
      <c r="B131" t="inlineStr">
        <is>
          <t>RDVI</t>
        </is>
      </c>
      <c r="C131" t="inlineStr">
        <is>
          <t>GICS_INDUSTRY_NAME</t>
        </is>
      </c>
      <c r="D131" t="inlineStr">
        <is>
          <t>Interactive Media &amp; Services</t>
        </is>
      </c>
      <c r="E131" t="inlineStr">
        <is>
          <t>Communication Services</t>
        </is>
      </c>
      <c r="F131" t="inlineStr"/>
      <c r="G131" t="inlineStr"/>
      <c r="H131" t="inlineStr">
        <is>
          <t>4.88%</t>
        </is>
      </c>
      <c r="I131" t="inlineStr">
        <is>
          <t>0.00%</t>
        </is>
      </c>
    </row>
    <row r="132">
      <c r="A132" s="2" t="n">
        <v>45982</v>
      </c>
      <c r="B132" t="inlineStr">
        <is>
          <t>RDVI</t>
        </is>
      </c>
      <c r="C132" t="inlineStr">
        <is>
          <t>GICS_INDUSTRY_GROUP_NAME</t>
        </is>
      </c>
      <c r="D132" t="inlineStr">
        <is>
          <t>Consumer Durables &amp; Apparel</t>
        </is>
      </c>
      <c r="E132" t="inlineStr">
        <is>
          <t>Consumer Discretionary</t>
        </is>
      </c>
      <c r="F132" t="inlineStr"/>
      <c r="G132" t="inlineStr"/>
      <c r="H132" t="inlineStr">
        <is>
          <t>4.27%</t>
        </is>
      </c>
      <c r="I132" t="inlineStr">
        <is>
          <t>0.00%</t>
        </is>
      </c>
    </row>
    <row r="133">
      <c r="A133" s="2" t="n">
        <v>45982</v>
      </c>
      <c r="B133" t="inlineStr">
        <is>
          <t>RDVI</t>
        </is>
      </c>
      <c r="C133" t="inlineStr">
        <is>
          <t>GICS_INDUSTRY_NAME</t>
        </is>
      </c>
      <c r="D133" t="inlineStr">
        <is>
          <t>Household Durables</t>
        </is>
      </c>
      <c r="E133" t="inlineStr">
        <is>
          <t>Consumer Discretionary</t>
        </is>
      </c>
      <c r="F133" t="inlineStr"/>
      <c r="G133" t="inlineStr"/>
      <c r="H133" t="inlineStr">
        <is>
          <t>4.27%</t>
        </is>
      </c>
      <c r="I133" t="inlineStr">
        <is>
          <t>0.00%</t>
        </is>
      </c>
    </row>
    <row r="134">
      <c r="A134" s="2" t="n">
        <v>45982</v>
      </c>
      <c r="B134" t="inlineStr">
        <is>
          <t>RDVI</t>
        </is>
      </c>
      <c r="C134" t="inlineStr">
        <is>
          <t>GICS_INDUSTRY_NAME</t>
        </is>
      </c>
      <c r="D134" t="inlineStr">
        <is>
          <t>Specialty Retail</t>
        </is>
      </c>
      <c r="E134" t="inlineStr">
        <is>
          <t>Consumer Discretionary</t>
        </is>
      </c>
      <c r="F134" t="inlineStr"/>
      <c r="G134" t="inlineStr"/>
      <c r="H134" t="inlineStr">
        <is>
          <t>4.16%</t>
        </is>
      </c>
      <c r="I134" t="inlineStr">
        <is>
          <t>0.00%</t>
        </is>
      </c>
    </row>
    <row r="135">
      <c r="A135" s="2" t="n">
        <v>45982</v>
      </c>
      <c r="B135" t="inlineStr">
        <is>
          <t>RDVI</t>
        </is>
      </c>
      <c r="C135" t="inlineStr">
        <is>
          <t>GICS_INDUSTRY_NAME</t>
        </is>
      </c>
      <c r="D135" t="inlineStr">
        <is>
          <t>Consumer Finance</t>
        </is>
      </c>
      <c r="E135" t="inlineStr">
        <is>
          <t>Financials</t>
        </is>
      </c>
      <c r="F135" t="inlineStr"/>
      <c r="G135" t="inlineStr"/>
      <c r="H135" t="inlineStr">
        <is>
          <t>3.77%</t>
        </is>
      </c>
      <c r="I135" t="inlineStr">
        <is>
          <t>0.00%</t>
        </is>
      </c>
    </row>
    <row r="136">
      <c r="A136" s="2" t="n">
        <v>45982</v>
      </c>
      <c r="B136" t="inlineStr">
        <is>
          <t>RDVI</t>
        </is>
      </c>
      <c r="C136" t="inlineStr">
        <is>
          <t>GICS_INDUSTRY_NAME</t>
        </is>
      </c>
      <c r="D136" t="inlineStr">
        <is>
          <t>Software</t>
        </is>
      </c>
      <c r="E136" t="inlineStr">
        <is>
          <t>Information Technology</t>
        </is>
      </c>
      <c r="F136" t="inlineStr"/>
      <c r="G136" t="inlineStr"/>
      <c r="H136" t="inlineStr">
        <is>
          <t>3.53%</t>
        </is>
      </c>
      <c r="I136" t="inlineStr">
        <is>
          <t>0.00%</t>
        </is>
      </c>
    </row>
    <row r="137">
      <c r="A137" s="2" t="n">
        <v>45982</v>
      </c>
      <c r="B137" t="inlineStr">
        <is>
          <t>RDVI</t>
        </is>
      </c>
      <c r="C137" t="inlineStr">
        <is>
          <t>GICS_INDUSTRY_GROUP_NAME</t>
        </is>
      </c>
      <c r="D137" t="inlineStr">
        <is>
          <t>Health Care Equipment &amp; Services</t>
        </is>
      </c>
      <c r="E137" t="inlineStr">
        <is>
          <t>Health Care</t>
        </is>
      </c>
      <c r="F137" t="inlineStr"/>
      <c r="G137" t="inlineStr"/>
      <c r="H137" t="inlineStr">
        <is>
          <t>3.48%</t>
        </is>
      </c>
      <c r="I137" t="inlineStr">
        <is>
          <t>0.00%</t>
        </is>
      </c>
    </row>
    <row r="138">
      <c r="A138" s="2" t="n">
        <v>45982</v>
      </c>
      <c r="B138" t="inlineStr">
        <is>
          <t>RDVI</t>
        </is>
      </c>
      <c r="C138" t="inlineStr">
        <is>
          <t>GICS_INDUSTRY_NAME</t>
        </is>
      </c>
      <c r="D138" t="inlineStr">
        <is>
          <t>IT Services</t>
        </is>
      </c>
      <c r="E138" t="inlineStr">
        <is>
          <t>Information Technology</t>
        </is>
      </c>
      <c r="F138" t="inlineStr"/>
      <c r="G138" t="inlineStr"/>
      <c r="H138" t="inlineStr">
        <is>
          <t>3.35%</t>
        </is>
      </c>
      <c r="I138" t="inlineStr">
        <is>
          <t>0.00%</t>
        </is>
      </c>
    </row>
    <row r="139">
      <c r="A139" s="2" t="n">
        <v>45982</v>
      </c>
      <c r="B139" t="inlineStr">
        <is>
          <t>RDVI</t>
        </is>
      </c>
      <c r="C139" t="inlineStr">
        <is>
          <t>GICS_INDUSTRY_NAME</t>
        </is>
      </c>
      <c r="D139" t="inlineStr">
        <is>
          <t>Financial Services</t>
        </is>
      </c>
      <c r="E139" t="inlineStr">
        <is>
          <t>Financials</t>
        </is>
      </c>
      <c r="F139" t="inlineStr"/>
      <c r="G139" t="inlineStr"/>
      <c r="H139" t="inlineStr">
        <is>
          <t>3.12%</t>
        </is>
      </c>
      <c r="I139" t="inlineStr">
        <is>
          <t>0.00%</t>
        </is>
      </c>
    </row>
    <row r="140">
      <c r="A140" s="2" t="n">
        <v>45982</v>
      </c>
      <c r="B140" t="inlineStr">
        <is>
          <t>RDVI</t>
        </is>
      </c>
      <c r="C140" t="inlineStr">
        <is>
          <t>GICS_INDUSTRY_GROUP_NAME</t>
        </is>
      </c>
      <c r="D140" t="inlineStr">
        <is>
          <t>Energy</t>
        </is>
      </c>
      <c r="E140" t="inlineStr">
        <is>
          <t>Energy</t>
        </is>
      </c>
      <c r="F140" t="inlineStr"/>
      <c r="G140" t="inlineStr"/>
      <c r="H140" t="inlineStr">
        <is>
          <t>3.04%</t>
        </is>
      </c>
      <c r="I140" t="inlineStr">
        <is>
          <t>0.00%</t>
        </is>
      </c>
    </row>
    <row r="141">
      <c r="A141" s="2" t="n">
        <v>45982</v>
      </c>
      <c r="B141" t="inlineStr">
        <is>
          <t>RDVI</t>
        </is>
      </c>
      <c r="C141" t="inlineStr">
        <is>
          <t>GICS_INDUSTRY_GROUP_NAME</t>
        </is>
      </c>
      <c r="D141" t="inlineStr">
        <is>
          <t>Commercial &amp; Professional Services</t>
        </is>
      </c>
      <c r="E141" t="inlineStr">
        <is>
          <t>Industrials</t>
        </is>
      </c>
      <c r="F141" t="inlineStr"/>
      <c r="G141" t="inlineStr"/>
      <c r="H141" t="inlineStr">
        <is>
          <t>2.68%</t>
        </is>
      </c>
      <c r="I141" t="inlineStr">
        <is>
          <t>0.00%</t>
        </is>
      </c>
    </row>
    <row r="142">
      <c r="A142" s="2" t="n">
        <v>45982</v>
      </c>
      <c r="B142" t="inlineStr">
        <is>
          <t>RDVI</t>
        </is>
      </c>
      <c r="C142" t="inlineStr">
        <is>
          <t>GICS_INDUSTRY_GROUP_NAME</t>
        </is>
      </c>
      <c r="D142" t="inlineStr">
        <is>
          <t>Technology Hardware &amp; Equipment</t>
        </is>
      </c>
      <c r="E142" t="inlineStr">
        <is>
          <t>Information Technology</t>
        </is>
      </c>
      <c r="F142" t="inlineStr"/>
      <c r="G142" t="inlineStr"/>
      <c r="H142" t="inlineStr">
        <is>
          <t>2.27%</t>
        </is>
      </c>
      <c r="I142" t="inlineStr">
        <is>
          <t>0.00%</t>
        </is>
      </c>
    </row>
    <row r="143">
      <c r="A143" s="2" t="n">
        <v>45982</v>
      </c>
      <c r="B143" t="inlineStr">
        <is>
          <t>RDVI</t>
        </is>
      </c>
      <c r="C143" t="inlineStr">
        <is>
          <t>GICS_INDUSTRY_NAME</t>
        </is>
      </c>
      <c r="D143" t="inlineStr">
        <is>
          <t>Professional Services</t>
        </is>
      </c>
      <c r="E143" t="inlineStr">
        <is>
          <t>Industrials</t>
        </is>
      </c>
      <c r="F143" t="inlineStr"/>
      <c r="G143" t="inlineStr"/>
      <c r="H143" t="inlineStr">
        <is>
          <t>2.21%</t>
        </is>
      </c>
      <c r="I143" t="inlineStr">
        <is>
          <t>0.00%</t>
        </is>
      </c>
    </row>
    <row r="144">
      <c r="A144" s="2" t="n">
        <v>45982</v>
      </c>
      <c r="B144" t="inlineStr">
        <is>
          <t>RDVI</t>
        </is>
      </c>
      <c r="C144" t="inlineStr">
        <is>
          <t>GICS_INDUSTRY_NAME</t>
        </is>
      </c>
      <c r="D144" t="inlineStr">
        <is>
          <t>Energy Equipment &amp; Services</t>
        </is>
      </c>
      <c r="E144" t="inlineStr">
        <is>
          <t>Energy</t>
        </is>
      </c>
      <c r="F144" t="inlineStr"/>
      <c r="G144" t="inlineStr"/>
      <c r="H144" t="inlineStr">
        <is>
          <t>2.18%</t>
        </is>
      </c>
      <c r="I144" t="inlineStr">
        <is>
          <t>0.00%</t>
        </is>
      </c>
    </row>
    <row r="145">
      <c r="A145" s="2" t="n">
        <v>45982</v>
      </c>
      <c r="B145" t="inlineStr">
        <is>
          <t>RDVI</t>
        </is>
      </c>
      <c r="C145" t="inlineStr">
        <is>
          <t>GICS_INDUSTRY_NAME</t>
        </is>
      </c>
      <c r="D145" t="inlineStr">
        <is>
          <t>Broadline Retail</t>
        </is>
      </c>
      <c r="E145" t="inlineStr">
        <is>
          <t>Consumer Discretionary</t>
        </is>
      </c>
      <c r="F145" t="inlineStr"/>
      <c r="G145" t="inlineStr"/>
      <c r="H145" t="inlineStr">
        <is>
          <t>2.14%</t>
        </is>
      </c>
      <c r="I145" t="inlineStr">
        <is>
          <t>0.00%</t>
        </is>
      </c>
    </row>
    <row r="146">
      <c r="A146" s="2" t="n">
        <v>45982</v>
      </c>
      <c r="B146" t="inlineStr">
        <is>
          <t>RDVI</t>
        </is>
      </c>
      <c r="C146" t="inlineStr">
        <is>
          <t>GICS_INDUSTRY_NAME</t>
        </is>
      </c>
      <c r="D146" t="inlineStr">
        <is>
          <t>Entertainment</t>
        </is>
      </c>
      <c r="E146" t="inlineStr">
        <is>
          <t>Communication Services</t>
        </is>
      </c>
      <c r="F146" t="inlineStr"/>
      <c r="G146" t="inlineStr"/>
      <c r="H146" t="inlineStr">
        <is>
          <t>1.93%</t>
        </is>
      </c>
      <c r="I146" t="inlineStr">
        <is>
          <t>0.00%</t>
        </is>
      </c>
    </row>
    <row r="147">
      <c r="A147" s="2" t="n">
        <v>45982</v>
      </c>
      <c r="B147" t="inlineStr">
        <is>
          <t>RDVI</t>
        </is>
      </c>
      <c r="C147" t="inlineStr">
        <is>
          <t>GICS_INDUSTRY_NAME</t>
        </is>
      </c>
      <c r="D147" t="inlineStr">
        <is>
          <t>Health Care Equipment &amp; Supplies</t>
        </is>
      </c>
      <c r="E147" t="inlineStr">
        <is>
          <t>Health Care</t>
        </is>
      </c>
      <c r="F147" t="inlineStr"/>
      <c r="G147" t="inlineStr"/>
      <c r="H147" t="inlineStr">
        <is>
          <t>1.80%</t>
        </is>
      </c>
      <c r="I147" t="inlineStr">
        <is>
          <t>0.00%</t>
        </is>
      </c>
    </row>
    <row r="148">
      <c r="A148" s="2" t="n">
        <v>45982</v>
      </c>
      <c r="B148" t="inlineStr">
        <is>
          <t>RDVI</t>
        </is>
      </c>
      <c r="C148" t="inlineStr">
        <is>
          <t>GICS_INDUSTRY_GROUP_NAME</t>
        </is>
      </c>
      <c r="D148" t="inlineStr">
        <is>
          <t>Consumer Services</t>
        </is>
      </c>
      <c r="E148" t="inlineStr">
        <is>
          <t>Consumer Discretionary</t>
        </is>
      </c>
      <c r="F148" t="inlineStr"/>
      <c r="G148" t="inlineStr"/>
      <c r="H148" t="inlineStr">
        <is>
          <t>1.70%</t>
        </is>
      </c>
      <c r="I148" t="inlineStr">
        <is>
          <t>0.00%</t>
        </is>
      </c>
    </row>
    <row r="149">
      <c r="A149" s="2" t="n">
        <v>45982</v>
      </c>
      <c r="B149" t="inlineStr">
        <is>
          <t>RDVI</t>
        </is>
      </c>
      <c r="C149" t="inlineStr">
        <is>
          <t>GICS_INDUSTRY_NAME</t>
        </is>
      </c>
      <c r="D149" t="inlineStr">
        <is>
          <t>Hotels, Restaurants &amp; Leisure</t>
        </is>
      </c>
      <c r="E149" t="inlineStr">
        <is>
          <t>Consumer Discretionary</t>
        </is>
      </c>
      <c r="F149" t="inlineStr"/>
      <c r="G149" t="inlineStr"/>
      <c r="H149" t="inlineStr">
        <is>
          <t>1.70%</t>
        </is>
      </c>
      <c r="I149" t="inlineStr">
        <is>
          <t>0.00%</t>
        </is>
      </c>
    </row>
    <row r="150">
      <c r="A150" s="2" t="n">
        <v>45982</v>
      </c>
      <c r="B150" t="inlineStr">
        <is>
          <t>RDVI</t>
        </is>
      </c>
      <c r="C150" t="inlineStr">
        <is>
          <t>GICS_INDUSTRY_NAME</t>
        </is>
      </c>
      <c r="D150" t="inlineStr">
        <is>
          <t>Aerospace &amp; Defense</t>
        </is>
      </c>
      <c r="E150" t="inlineStr">
        <is>
          <t>Industrials</t>
        </is>
      </c>
      <c r="F150" t="inlineStr"/>
      <c r="G150" t="inlineStr"/>
      <c r="H150" t="inlineStr">
        <is>
          <t>1.69%</t>
        </is>
      </c>
      <c r="I150" t="inlineStr">
        <is>
          <t>0.00%</t>
        </is>
      </c>
    </row>
    <row r="151">
      <c r="A151" s="2" t="n">
        <v>45982</v>
      </c>
      <c r="B151" t="inlineStr">
        <is>
          <t>RDVI</t>
        </is>
      </c>
      <c r="C151" t="inlineStr">
        <is>
          <t>GICS_INDUSTRY_NAME</t>
        </is>
      </c>
      <c r="D151" t="inlineStr">
        <is>
          <t>Health Care Providers &amp; Services</t>
        </is>
      </c>
      <c r="E151" t="inlineStr">
        <is>
          <t>Health Care</t>
        </is>
      </c>
      <c r="F151" t="inlineStr"/>
      <c r="G151" t="inlineStr"/>
      <c r="H151" t="inlineStr">
        <is>
          <t>1.67%</t>
        </is>
      </c>
      <c r="I151" t="inlineStr">
        <is>
          <t>0.00%</t>
        </is>
      </c>
    </row>
    <row r="152">
      <c r="A152" s="2" t="n">
        <v>45982</v>
      </c>
      <c r="B152" t="inlineStr">
        <is>
          <t>RDVI</t>
        </is>
      </c>
      <c r="C152" t="inlineStr">
        <is>
          <t>GICS_INDUSTRY_NAME</t>
        </is>
      </c>
      <c r="D152" t="inlineStr">
        <is>
          <t>Technology Hardware, Storage &amp; Peripherals</t>
        </is>
      </c>
      <c r="E152" t="inlineStr">
        <is>
          <t>Information Technology</t>
        </is>
      </c>
      <c r="F152" t="inlineStr"/>
      <c r="G152" t="inlineStr"/>
      <c r="H152" t="inlineStr">
        <is>
          <t>1.65%</t>
        </is>
      </c>
      <c r="I152" t="inlineStr">
        <is>
          <t>0.00%</t>
        </is>
      </c>
    </row>
    <row r="153">
      <c r="A153" s="2" t="n">
        <v>45982</v>
      </c>
      <c r="B153" t="inlineStr">
        <is>
          <t>RDVI</t>
        </is>
      </c>
      <c r="C153" t="inlineStr">
        <is>
          <t>GICS_INDUSTRY_NAME</t>
        </is>
      </c>
      <c r="D153" t="inlineStr">
        <is>
          <t>Electrical Equipment</t>
        </is>
      </c>
      <c r="E153" t="inlineStr">
        <is>
          <t>Industrials</t>
        </is>
      </c>
      <c r="F153" t="inlineStr"/>
      <c r="G153" t="inlineStr"/>
      <c r="H153" t="inlineStr">
        <is>
          <t>0.99%</t>
        </is>
      </c>
      <c r="I153" t="inlineStr">
        <is>
          <t>0.00%</t>
        </is>
      </c>
    </row>
    <row r="154">
      <c r="A154" s="2" t="n">
        <v>45982</v>
      </c>
      <c r="B154" t="inlineStr">
        <is>
          <t>RDVI</t>
        </is>
      </c>
      <c r="C154" t="inlineStr">
        <is>
          <t>GICS_INDUSTRY_GROUP_NAME</t>
        </is>
      </c>
      <c r="D154" t="inlineStr">
        <is>
          <t>Consumer Staples Distribution &amp; Retail</t>
        </is>
      </c>
      <c r="E154" t="inlineStr">
        <is>
          <t>Consumer Staples</t>
        </is>
      </c>
      <c r="F154" t="inlineStr"/>
      <c r="G154" t="inlineStr"/>
      <c r="H154" t="inlineStr">
        <is>
          <t>0.88%</t>
        </is>
      </c>
      <c r="I154" t="inlineStr">
        <is>
          <t>0.00%</t>
        </is>
      </c>
    </row>
    <row r="155">
      <c r="A155" s="2" t="n">
        <v>45982</v>
      </c>
      <c r="B155" t="inlineStr">
        <is>
          <t>RDVI</t>
        </is>
      </c>
      <c r="C155" t="inlineStr">
        <is>
          <t>GICS_INDUSTRY_NAME</t>
        </is>
      </c>
      <c r="D155" t="inlineStr">
        <is>
          <t>Consumer Staples Distribution &amp; Retail</t>
        </is>
      </c>
      <c r="E155" t="inlineStr">
        <is>
          <t>Consumer Staples</t>
        </is>
      </c>
      <c r="F155" t="inlineStr"/>
      <c r="G155" t="inlineStr"/>
      <c r="H155" t="inlineStr">
        <is>
          <t>0.88%</t>
        </is>
      </c>
      <c r="I155" t="inlineStr">
        <is>
          <t>0.00%</t>
        </is>
      </c>
    </row>
    <row r="156">
      <c r="A156" s="2" t="n">
        <v>45982</v>
      </c>
      <c r="B156" t="inlineStr">
        <is>
          <t>RDVI</t>
        </is>
      </c>
      <c r="C156" t="inlineStr">
        <is>
          <t>GICS_INDUSTRY_NAME</t>
        </is>
      </c>
      <c r="D156" t="inlineStr">
        <is>
          <t>Oil, Gas &amp; Consumable Fuels</t>
        </is>
      </c>
      <c r="E156" t="inlineStr">
        <is>
          <t>Energy</t>
        </is>
      </c>
      <c r="F156" t="inlineStr"/>
      <c r="G156" t="inlineStr"/>
      <c r="H156" t="inlineStr">
        <is>
          <t>0.86%</t>
        </is>
      </c>
      <c r="I156" t="inlineStr">
        <is>
          <t>0.00%</t>
        </is>
      </c>
    </row>
    <row r="157">
      <c r="A157" s="2" t="n">
        <v>45982</v>
      </c>
      <c r="B157" t="inlineStr">
        <is>
          <t>RDVI</t>
        </is>
      </c>
      <c r="C157" t="inlineStr">
        <is>
          <t>GICS_INDUSTRY_NAME</t>
        </is>
      </c>
      <c r="D157" t="inlineStr">
        <is>
          <t>Construction &amp; Engineering</t>
        </is>
      </c>
      <c r="E157" t="inlineStr">
        <is>
          <t>Industrials</t>
        </is>
      </c>
      <c r="F157" t="inlineStr"/>
      <c r="G157" t="inlineStr"/>
      <c r="H157" t="inlineStr">
        <is>
          <t>0.84%</t>
        </is>
      </c>
      <c r="I157" t="inlineStr">
        <is>
          <t>0.00%</t>
        </is>
      </c>
    </row>
    <row r="158">
      <c r="A158" s="2" t="n">
        <v>45982</v>
      </c>
      <c r="B158" t="inlineStr">
        <is>
          <t>RDVI</t>
        </is>
      </c>
      <c r="C158" t="inlineStr">
        <is>
          <t>GICS_INDUSTRY_GROUP_NAME</t>
        </is>
      </c>
      <c r="D158" t="inlineStr">
        <is>
          <t>Transportation</t>
        </is>
      </c>
      <c r="E158" t="inlineStr">
        <is>
          <t>Industrials</t>
        </is>
      </c>
      <c r="F158" t="inlineStr"/>
      <c r="G158" t="inlineStr"/>
      <c r="H158" t="inlineStr">
        <is>
          <t>0.73%</t>
        </is>
      </c>
      <c r="I158" t="inlineStr">
        <is>
          <t>0.00%</t>
        </is>
      </c>
    </row>
    <row r="159">
      <c r="A159" s="2" t="n">
        <v>45982</v>
      </c>
      <c r="B159" t="inlineStr">
        <is>
          <t>RDVI</t>
        </is>
      </c>
      <c r="C159" t="inlineStr">
        <is>
          <t>GICS_INDUSTRY_NAME</t>
        </is>
      </c>
      <c r="D159" t="inlineStr">
        <is>
          <t>Ground Transportation</t>
        </is>
      </c>
      <c r="E159" t="inlineStr">
        <is>
          <t>Industrials</t>
        </is>
      </c>
      <c r="F159" t="inlineStr"/>
      <c r="G159" t="inlineStr"/>
      <c r="H159" t="inlineStr">
        <is>
          <t>0.73%</t>
        </is>
      </c>
      <c r="I159" t="inlineStr">
        <is>
          <t>0.00%</t>
        </is>
      </c>
    </row>
    <row r="160">
      <c r="A160" s="2" t="n">
        <v>45982</v>
      </c>
      <c r="B160" t="inlineStr">
        <is>
          <t>RDVI</t>
        </is>
      </c>
      <c r="C160" t="inlineStr">
        <is>
          <t>GICS_INDUSTRY_GROUP_NAME</t>
        </is>
      </c>
      <c r="D160" t="inlineStr">
        <is>
          <t>Food, Beverage &amp; Tobacco</t>
        </is>
      </c>
      <c r="E160" t="inlineStr">
        <is>
          <t>Consumer Staples</t>
        </is>
      </c>
      <c r="F160" t="inlineStr"/>
      <c r="G160" t="inlineStr"/>
      <c r="H160" t="inlineStr">
        <is>
          <t>0.70%</t>
        </is>
      </c>
      <c r="I160" t="inlineStr">
        <is>
          <t>0.00%</t>
        </is>
      </c>
    </row>
    <row r="161">
      <c r="A161" s="2" t="n">
        <v>45982</v>
      </c>
      <c r="B161" t="inlineStr">
        <is>
          <t>RDVI</t>
        </is>
      </c>
      <c r="C161" t="inlineStr">
        <is>
          <t>GICS_INDUSTRY_NAME</t>
        </is>
      </c>
      <c r="D161" t="inlineStr">
        <is>
          <t>Beverages</t>
        </is>
      </c>
      <c r="E161" t="inlineStr">
        <is>
          <t>Consumer Staples</t>
        </is>
      </c>
      <c r="F161" t="inlineStr"/>
      <c r="G161" t="inlineStr"/>
      <c r="H161" t="inlineStr">
        <is>
          <t>0.70%</t>
        </is>
      </c>
      <c r="I161" t="inlineStr">
        <is>
          <t>0.00%</t>
        </is>
      </c>
    </row>
    <row r="162">
      <c r="A162" s="2" t="n">
        <v>45982</v>
      </c>
      <c r="B162" t="inlineStr">
        <is>
          <t>RDVI</t>
        </is>
      </c>
      <c r="C162" t="inlineStr">
        <is>
          <t>GICS_INDUSTRY_NAME</t>
        </is>
      </c>
      <c r="D162" t="inlineStr">
        <is>
          <t>Communications Equipment</t>
        </is>
      </c>
      <c r="E162" t="inlineStr">
        <is>
          <t>Information Technology</t>
        </is>
      </c>
      <c r="F162" t="inlineStr"/>
      <c r="G162" t="inlineStr"/>
      <c r="H162" t="inlineStr">
        <is>
          <t>0.62%</t>
        </is>
      </c>
      <c r="I162" t="inlineStr">
        <is>
          <t>0.00%</t>
        </is>
      </c>
    </row>
    <row r="163">
      <c r="A163" s="2" t="n">
        <v>45982</v>
      </c>
      <c r="B163" t="inlineStr">
        <is>
          <t>RDVI</t>
        </is>
      </c>
      <c r="C163" t="inlineStr">
        <is>
          <t>GICS_INDUSTRY_GROUP_NAME</t>
        </is>
      </c>
      <c r="D163" t="inlineStr">
        <is>
          <t>Pharmaceuticals, Biotechnology &amp; Life Sciences</t>
        </is>
      </c>
      <c r="E163" t="inlineStr">
        <is>
          <t>Health Care</t>
        </is>
      </c>
      <c r="F163" t="inlineStr"/>
      <c r="G163" t="inlineStr"/>
      <c r="H163" t="inlineStr">
        <is>
          <t>0.59%</t>
        </is>
      </c>
      <c r="I163" t="inlineStr">
        <is>
          <t>0.00%</t>
        </is>
      </c>
    </row>
    <row r="164">
      <c r="A164" s="2" t="n">
        <v>45982</v>
      </c>
      <c r="B164" t="inlineStr">
        <is>
          <t>RDVI</t>
        </is>
      </c>
      <c r="C164" t="inlineStr">
        <is>
          <t>GICS_INDUSTRY_NAME</t>
        </is>
      </c>
      <c r="D164" t="inlineStr">
        <is>
          <t>Pharmaceuticals</t>
        </is>
      </c>
      <c r="E164" t="inlineStr">
        <is>
          <t>Health Care</t>
        </is>
      </c>
      <c r="F164" t="inlineStr"/>
      <c r="G164" t="inlineStr"/>
      <c r="H164" t="inlineStr">
        <is>
          <t>0.59%</t>
        </is>
      </c>
      <c r="I164" t="inlineStr">
        <is>
          <t>0.00%</t>
        </is>
      </c>
    </row>
    <row r="165">
      <c r="A165" s="2" t="n">
        <v>45982</v>
      </c>
      <c r="B165" t="inlineStr">
        <is>
          <t>RDVI</t>
        </is>
      </c>
      <c r="C165" t="inlineStr">
        <is>
          <t>GICS_INDUSTRY_NAME</t>
        </is>
      </c>
      <c r="D165" t="inlineStr">
        <is>
          <t>Media</t>
        </is>
      </c>
      <c r="E165" t="inlineStr">
        <is>
          <t>Communication Services</t>
        </is>
      </c>
      <c r="F165" t="inlineStr"/>
      <c r="G165" t="inlineStr"/>
      <c r="H165" t="inlineStr">
        <is>
          <t>0.56%</t>
        </is>
      </c>
      <c r="I165" t="inlineStr">
        <is>
          <t>0.00%</t>
        </is>
      </c>
    </row>
    <row r="166">
      <c r="A166" s="2" t="n">
        <v>45982</v>
      </c>
      <c r="B166" t="inlineStr">
        <is>
          <t>RDVI</t>
        </is>
      </c>
      <c r="C166" t="inlineStr">
        <is>
          <t>GICS_INDUSTRY_NAME</t>
        </is>
      </c>
      <c r="D166" t="inlineStr">
        <is>
          <t>Commercial Services &amp; Supplies</t>
        </is>
      </c>
      <c r="E166" t="inlineStr">
        <is>
          <t>Industrials</t>
        </is>
      </c>
      <c r="F166" t="inlineStr"/>
      <c r="G166" t="inlineStr"/>
      <c r="H166" t="inlineStr">
        <is>
          <t>0.47%</t>
        </is>
      </c>
      <c r="I166" t="inlineStr">
        <is>
          <t>0.00%</t>
        </is>
      </c>
    </row>
    <row r="167">
      <c r="A167" s="2" t="n">
        <v>45982</v>
      </c>
      <c r="B167" t="inlineStr">
        <is>
          <t>RDVI</t>
        </is>
      </c>
      <c r="C167" t="inlineStr">
        <is>
          <t>GICS_INDUSTRY_GROUP_NAME</t>
        </is>
      </c>
      <c r="D167" t="inlineStr">
        <is>
          <t>Materials</t>
        </is>
      </c>
      <c r="E167" t="inlineStr">
        <is>
          <t>Materials</t>
        </is>
      </c>
      <c r="F167" t="inlineStr"/>
      <c r="G167" t="inlineStr"/>
      <c r="H167" t="inlineStr">
        <is>
          <t>0.42%</t>
        </is>
      </c>
      <c r="I167" t="inlineStr">
        <is>
          <t>0.00%</t>
        </is>
      </c>
    </row>
    <row r="168">
      <c r="A168" s="2" t="n">
        <v>45982</v>
      </c>
      <c r="B168" t="inlineStr">
        <is>
          <t>RDVI</t>
        </is>
      </c>
      <c r="C168" t="inlineStr">
        <is>
          <t>GICS_INDUSTRY_NAME</t>
        </is>
      </c>
      <c r="D168" t="inlineStr">
        <is>
          <t>Chemicals</t>
        </is>
      </c>
      <c r="E168" t="inlineStr">
        <is>
          <t>Materials</t>
        </is>
      </c>
      <c r="F168" t="inlineStr"/>
      <c r="G168" t="inlineStr"/>
      <c r="H168" t="inlineStr">
        <is>
          <t>0.42%</t>
        </is>
      </c>
      <c r="I168" t="inlineStr">
        <is>
          <t>0.00%</t>
        </is>
      </c>
    </row>
    <row r="169">
      <c r="A169" s="2" t="n">
        <v>45982</v>
      </c>
      <c r="B169" t="inlineStr">
        <is>
          <t>RDVI</t>
        </is>
      </c>
      <c r="C169" t="inlineStr">
        <is>
          <t>GICS_INDUSTRY_NAME</t>
        </is>
      </c>
      <c r="D169" t="inlineStr">
        <is>
          <t>Building Products</t>
        </is>
      </c>
      <c r="E169" t="inlineStr">
        <is>
          <t>Industrials</t>
        </is>
      </c>
      <c r="F169" t="inlineStr"/>
      <c r="G169" t="inlineStr"/>
      <c r="H169" t="inlineStr">
        <is>
          <t>0.33%</t>
        </is>
      </c>
      <c r="I169" t="inlineStr">
        <is>
          <t>0.00%</t>
        </is>
      </c>
    </row>
    <row r="170">
      <c r="A170" s="2" t="n">
        <v>45982</v>
      </c>
      <c r="B170" t="inlineStr">
        <is>
          <t>SDVD</t>
        </is>
      </c>
      <c r="C170" t="inlineStr">
        <is>
          <t>GICS_INDUSTRY_GROUP_NAME</t>
        </is>
      </c>
      <c r="D170" t="inlineStr">
        <is>
          <t>Capital Goods</t>
        </is>
      </c>
      <c r="E170" t="inlineStr">
        <is>
          <t>Industrials</t>
        </is>
      </c>
      <c r="F170" t="inlineStr"/>
      <c r="G170" t="inlineStr"/>
      <c r="H170" t="inlineStr">
        <is>
          <t>24.23%</t>
        </is>
      </c>
      <c r="I170" t="inlineStr">
        <is>
          <t>0.00%</t>
        </is>
      </c>
    </row>
    <row r="171">
      <c r="A171" s="2" t="n">
        <v>45982</v>
      </c>
      <c r="B171" t="inlineStr">
        <is>
          <t>SDVD</t>
        </is>
      </c>
      <c r="C171" t="inlineStr">
        <is>
          <t>GICS_INDUSTRY_GROUP_NAME</t>
        </is>
      </c>
      <c r="D171" t="inlineStr">
        <is>
          <t>Banks</t>
        </is>
      </c>
      <c r="E171" t="inlineStr">
        <is>
          <t>Financials</t>
        </is>
      </c>
      <c r="F171" t="inlineStr"/>
      <c r="G171" t="inlineStr"/>
      <c r="H171" t="inlineStr">
        <is>
          <t>14.63%</t>
        </is>
      </c>
      <c r="I171" t="inlineStr">
        <is>
          <t>0.00%</t>
        </is>
      </c>
    </row>
    <row r="172">
      <c r="A172" s="2" t="n">
        <v>45982</v>
      </c>
      <c r="B172" t="inlineStr">
        <is>
          <t>SDVD</t>
        </is>
      </c>
      <c r="C172" t="inlineStr">
        <is>
          <t>GICS_INDUSTRY_NAME</t>
        </is>
      </c>
      <c r="D172" t="inlineStr">
        <is>
          <t>Banks</t>
        </is>
      </c>
      <c r="E172" t="inlineStr">
        <is>
          <t>Financials</t>
        </is>
      </c>
      <c r="F172" t="inlineStr"/>
      <c r="G172" t="inlineStr"/>
      <c r="H172" t="inlineStr">
        <is>
          <t>14.63%</t>
        </is>
      </c>
      <c r="I172" t="inlineStr">
        <is>
          <t>0.00%</t>
        </is>
      </c>
    </row>
    <row r="173">
      <c r="A173" s="2" t="n">
        <v>45982</v>
      </c>
      <c r="B173" t="inlineStr">
        <is>
          <t>SDVD</t>
        </is>
      </c>
      <c r="C173" t="inlineStr">
        <is>
          <t>GICS_INDUSTRY_NAME</t>
        </is>
      </c>
      <c r="D173" t="inlineStr">
        <is>
          <t>Machinery</t>
        </is>
      </c>
      <c r="E173" t="inlineStr">
        <is>
          <t>Industrials</t>
        </is>
      </c>
      <c r="F173" t="inlineStr"/>
      <c r="G173" t="inlineStr"/>
      <c r="H173" t="inlineStr">
        <is>
          <t>11.04%</t>
        </is>
      </c>
      <c r="I173" t="inlineStr">
        <is>
          <t>0.00%</t>
        </is>
      </c>
    </row>
    <row r="174">
      <c r="A174" s="2" t="n">
        <v>45982</v>
      </c>
      <c r="B174" t="inlineStr">
        <is>
          <t>SDVD</t>
        </is>
      </c>
      <c r="C174" t="inlineStr">
        <is>
          <t>GICS_INDUSTRY_GROUP_NAME</t>
        </is>
      </c>
      <c r="D174" t="inlineStr">
        <is>
          <t>Insurance</t>
        </is>
      </c>
      <c r="E174" t="inlineStr">
        <is>
          <t>Financials</t>
        </is>
      </c>
      <c r="F174" t="inlineStr"/>
      <c r="G174" t="inlineStr"/>
      <c r="H174" t="inlineStr">
        <is>
          <t>8.90%</t>
        </is>
      </c>
      <c r="I174" t="inlineStr">
        <is>
          <t>0.00%</t>
        </is>
      </c>
    </row>
    <row r="175">
      <c r="A175" s="2" t="n">
        <v>45982</v>
      </c>
      <c r="B175" t="inlineStr">
        <is>
          <t>SDVD</t>
        </is>
      </c>
      <c r="C175" t="inlineStr">
        <is>
          <t>GICS_INDUSTRY_NAME</t>
        </is>
      </c>
      <c r="D175" t="inlineStr">
        <is>
          <t>Insurance</t>
        </is>
      </c>
      <c r="E175" t="inlineStr">
        <is>
          <t>Financials</t>
        </is>
      </c>
      <c r="F175" t="inlineStr"/>
      <c r="G175" t="inlineStr"/>
      <c r="H175" t="inlineStr">
        <is>
          <t>8.90%</t>
        </is>
      </c>
      <c r="I175" t="inlineStr">
        <is>
          <t>0.00%</t>
        </is>
      </c>
    </row>
    <row r="176">
      <c r="A176" s="2" t="n">
        <v>45982</v>
      </c>
      <c r="B176" t="inlineStr">
        <is>
          <t>SDVD</t>
        </is>
      </c>
      <c r="C176" t="inlineStr">
        <is>
          <t>GICS_INDUSTRY_GROUP_NAME</t>
        </is>
      </c>
      <c r="D176" t="inlineStr">
        <is>
          <t>Financial Services</t>
        </is>
      </c>
      <c r="E176" t="inlineStr">
        <is>
          <t>Financials</t>
        </is>
      </c>
      <c r="F176" t="inlineStr"/>
      <c r="G176" t="inlineStr"/>
      <c r="H176" t="inlineStr">
        <is>
          <t>8.17%</t>
        </is>
      </c>
      <c r="I176" t="inlineStr">
        <is>
          <t>0.00%</t>
        </is>
      </c>
    </row>
    <row r="177">
      <c r="A177" s="2" t="n">
        <v>45982</v>
      </c>
      <c r="B177" t="inlineStr">
        <is>
          <t>SDVD</t>
        </is>
      </c>
      <c r="C177" t="inlineStr">
        <is>
          <t>GICS_INDUSTRY_GROUP_NAME</t>
        </is>
      </c>
      <c r="D177" t="inlineStr">
        <is>
          <t>Commercial &amp; Professional Services</t>
        </is>
      </c>
      <c r="E177" t="inlineStr">
        <is>
          <t>Industrials</t>
        </is>
      </c>
      <c r="F177" t="inlineStr"/>
      <c r="G177" t="inlineStr"/>
      <c r="H177" t="inlineStr">
        <is>
          <t>7.09%</t>
        </is>
      </c>
      <c r="I177" t="inlineStr">
        <is>
          <t>0.00%</t>
        </is>
      </c>
    </row>
    <row r="178">
      <c r="A178" s="2" t="n">
        <v>45982</v>
      </c>
      <c r="B178" t="inlineStr">
        <is>
          <t>SDVD</t>
        </is>
      </c>
      <c r="C178" t="inlineStr">
        <is>
          <t>GICS_INDUSTRY_GROUP_NAME</t>
        </is>
      </c>
      <c r="D178" t="inlineStr">
        <is>
          <t>Consumer Durables &amp; Apparel</t>
        </is>
      </c>
      <c r="E178" t="inlineStr">
        <is>
          <t>Consumer Discretionary</t>
        </is>
      </c>
      <c r="F178" t="inlineStr"/>
      <c r="G178" t="inlineStr"/>
      <c r="H178" t="inlineStr">
        <is>
          <t>5.97%</t>
        </is>
      </c>
      <c r="I178" t="inlineStr">
        <is>
          <t>0.00%</t>
        </is>
      </c>
    </row>
    <row r="179">
      <c r="A179" s="2" t="n">
        <v>45982</v>
      </c>
      <c r="B179" t="inlineStr">
        <is>
          <t>SDVD</t>
        </is>
      </c>
      <c r="C179" t="inlineStr">
        <is>
          <t>GICS_INDUSTRY_NAME</t>
        </is>
      </c>
      <c r="D179" t="inlineStr">
        <is>
          <t>Building Products</t>
        </is>
      </c>
      <c r="E179" t="inlineStr">
        <is>
          <t>Industrials</t>
        </is>
      </c>
      <c r="F179" t="inlineStr"/>
      <c r="G179" t="inlineStr"/>
      <c r="H179" t="inlineStr">
        <is>
          <t>4.38%</t>
        </is>
      </c>
      <c r="I179" t="inlineStr">
        <is>
          <t>0.00%</t>
        </is>
      </c>
    </row>
    <row r="180">
      <c r="A180" s="2" t="n">
        <v>45982</v>
      </c>
      <c r="B180" t="inlineStr">
        <is>
          <t>SDVD</t>
        </is>
      </c>
      <c r="C180" t="inlineStr">
        <is>
          <t>GICS_INDUSTRY_NAME</t>
        </is>
      </c>
      <c r="D180" t="inlineStr">
        <is>
          <t>Professional Services</t>
        </is>
      </c>
      <c r="E180" t="inlineStr">
        <is>
          <t>Industrials</t>
        </is>
      </c>
      <c r="F180" t="inlineStr"/>
      <c r="G180" t="inlineStr"/>
      <c r="H180" t="inlineStr">
        <is>
          <t>4.37%</t>
        </is>
      </c>
      <c r="I180" t="inlineStr">
        <is>
          <t>0.00%</t>
        </is>
      </c>
    </row>
    <row r="181">
      <c r="A181" s="2" t="n">
        <v>45982</v>
      </c>
      <c r="B181" t="inlineStr">
        <is>
          <t>SDVD</t>
        </is>
      </c>
      <c r="C181" t="inlineStr">
        <is>
          <t>GICS_INDUSTRY_NAME</t>
        </is>
      </c>
      <c r="D181" t="inlineStr">
        <is>
          <t>Capital Markets</t>
        </is>
      </c>
      <c r="E181" t="inlineStr">
        <is>
          <t>Financials</t>
        </is>
      </c>
      <c r="F181" t="inlineStr"/>
      <c r="G181" t="inlineStr"/>
      <c r="H181" t="inlineStr">
        <is>
          <t>4.26%</t>
        </is>
      </c>
      <c r="I181" t="inlineStr">
        <is>
          <t>0.00%</t>
        </is>
      </c>
    </row>
    <row r="182">
      <c r="A182" s="2" t="n">
        <v>45982</v>
      </c>
      <c r="B182" t="inlineStr">
        <is>
          <t>SDVD</t>
        </is>
      </c>
      <c r="C182" t="inlineStr">
        <is>
          <t>GICS_INDUSTRY_GROUP_NAME</t>
        </is>
      </c>
      <c r="D182" t="inlineStr">
        <is>
          <t>Materials</t>
        </is>
      </c>
      <c r="E182" t="inlineStr">
        <is>
          <t>Materials</t>
        </is>
      </c>
      <c r="F182" t="inlineStr"/>
      <c r="G182" t="inlineStr"/>
      <c r="H182" t="inlineStr">
        <is>
          <t>3.94%</t>
        </is>
      </c>
      <c r="I182" t="inlineStr">
        <is>
          <t>0.00%</t>
        </is>
      </c>
    </row>
    <row r="183">
      <c r="A183" s="2" t="n">
        <v>45982</v>
      </c>
      <c r="B183" t="inlineStr">
        <is>
          <t>SDVD</t>
        </is>
      </c>
      <c r="C183" t="inlineStr">
        <is>
          <t>GICS_INDUSTRY_NAME</t>
        </is>
      </c>
      <c r="D183" t="inlineStr">
        <is>
          <t>Construction &amp; Engineering</t>
        </is>
      </c>
      <c r="E183" t="inlineStr">
        <is>
          <t>Industrials</t>
        </is>
      </c>
      <c r="F183" t="inlineStr"/>
      <c r="G183" t="inlineStr"/>
      <c r="H183" t="inlineStr">
        <is>
          <t>3.87%</t>
        </is>
      </c>
      <c r="I183" t="inlineStr">
        <is>
          <t>0.00%</t>
        </is>
      </c>
    </row>
    <row r="184">
      <c r="A184" s="2" t="n">
        <v>45982</v>
      </c>
      <c r="B184" t="inlineStr">
        <is>
          <t>SDVD</t>
        </is>
      </c>
      <c r="C184" t="inlineStr">
        <is>
          <t>GICS_INDUSTRY_GROUP_NAME</t>
        </is>
      </c>
      <c r="D184" t="inlineStr">
        <is>
          <t>Energy</t>
        </is>
      </c>
      <c r="E184" t="inlineStr">
        <is>
          <t>Energy</t>
        </is>
      </c>
      <c r="F184" t="inlineStr"/>
      <c r="G184" t="inlineStr"/>
      <c r="H184" t="inlineStr">
        <is>
          <t>3.66%</t>
        </is>
      </c>
      <c r="I184" t="inlineStr">
        <is>
          <t>0.00%</t>
        </is>
      </c>
    </row>
    <row r="185">
      <c r="A185" s="2" t="n">
        <v>45982</v>
      </c>
      <c r="B185" t="inlineStr">
        <is>
          <t>SDVD</t>
        </is>
      </c>
      <c r="C185" t="inlineStr">
        <is>
          <t>GICS_INDUSTRY_GROUP_NAME</t>
        </is>
      </c>
      <c r="D185" t="inlineStr">
        <is>
          <t>Food, Beverage &amp; Tobacco</t>
        </is>
      </c>
      <c r="E185" t="inlineStr">
        <is>
          <t>Consumer Staples</t>
        </is>
      </c>
      <c r="F185" t="inlineStr"/>
      <c r="G185" t="inlineStr"/>
      <c r="H185" t="inlineStr">
        <is>
          <t>3.52%</t>
        </is>
      </c>
      <c r="I185" t="inlineStr">
        <is>
          <t>0.00%</t>
        </is>
      </c>
    </row>
    <row r="186">
      <c r="A186" s="2" t="n">
        <v>45982</v>
      </c>
      <c r="B186" t="inlineStr">
        <is>
          <t>SDVD</t>
        </is>
      </c>
      <c r="C186" t="inlineStr">
        <is>
          <t>GICS_INDUSTRY_GROUP_NAME</t>
        </is>
      </c>
      <c r="D186" t="inlineStr">
        <is>
          <t>Software &amp; Services</t>
        </is>
      </c>
      <c r="E186" t="inlineStr">
        <is>
          <t>Information Technology</t>
        </is>
      </c>
      <c r="F186" t="inlineStr"/>
      <c r="G186" t="inlineStr"/>
      <c r="H186" t="inlineStr">
        <is>
          <t>3.36%</t>
        </is>
      </c>
      <c r="I186" t="inlineStr">
        <is>
          <t>0.00%</t>
        </is>
      </c>
    </row>
    <row r="187">
      <c r="A187" s="2" t="n">
        <v>45982</v>
      </c>
      <c r="B187" t="inlineStr">
        <is>
          <t>SDVD</t>
        </is>
      </c>
      <c r="C187" t="inlineStr">
        <is>
          <t>GICS_INDUSTRY_NAME</t>
        </is>
      </c>
      <c r="D187" t="inlineStr">
        <is>
          <t>Household Durables</t>
        </is>
      </c>
      <c r="E187" t="inlineStr">
        <is>
          <t>Consumer Discretionary</t>
        </is>
      </c>
      <c r="F187" t="inlineStr"/>
      <c r="G187" t="inlineStr"/>
      <c r="H187" t="inlineStr">
        <is>
          <t>3.25%</t>
        </is>
      </c>
      <c r="I187" t="inlineStr">
        <is>
          <t>0.00%</t>
        </is>
      </c>
    </row>
    <row r="188">
      <c r="A188" s="2" t="n">
        <v>45982</v>
      </c>
      <c r="B188" t="inlineStr">
        <is>
          <t>SDVD</t>
        </is>
      </c>
      <c r="C188" t="inlineStr">
        <is>
          <t>GICS_INDUSTRY_NAME</t>
        </is>
      </c>
      <c r="D188" t="inlineStr">
        <is>
          <t>Software</t>
        </is>
      </c>
      <c r="E188" t="inlineStr">
        <is>
          <t>Information Technology</t>
        </is>
      </c>
      <c r="F188" t="inlineStr"/>
      <c r="G188" t="inlineStr"/>
      <c r="H188" t="inlineStr">
        <is>
          <t>3.15%</t>
        </is>
      </c>
      <c r="I188" t="inlineStr">
        <is>
          <t>0.00%</t>
        </is>
      </c>
    </row>
    <row r="189">
      <c r="A189" s="2" t="n">
        <v>45982</v>
      </c>
      <c r="B189" t="inlineStr">
        <is>
          <t>SDVD</t>
        </is>
      </c>
      <c r="C189" t="inlineStr">
        <is>
          <t>GICS_INDUSTRY_GROUP_NAME</t>
        </is>
      </c>
      <c r="D189" t="inlineStr">
        <is>
          <t>Health Care Equipment &amp; Services</t>
        </is>
      </c>
      <c r="E189" t="inlineStr">
        <is>
          <t>Health Care</t>
        </is>
      </c>
      <c r="F189" t="inlineStr"/>
      <c r="G189" t="inlineStr"/>
      <c r="H189" t="inlineStr">
        <is>
          <t>2.98%</t>
        </is>
      </c>
      <c r="I189" t="inlineStr">
        <is>
          <t>0.00%</t>
        </is>
      </c>
    </row>
    <row r="190">
      <c r="A190" s="2" t="n">
        <v>45982</v>
      </c>
      <c r="B190" t="inlineStr">
        <is>
          <t>SDVD</t>
        </is>
      </c>
      <c r="C190" t="inlineStr">
        <is>
          <t>GICS_INDUSTRY_GROUP_NAME</t>
        </is>
      </c>
      <c r="D190" t="inlineStr">
        <is>
          <t>Consumer Services</t>
        </is>
      </c>
      <c r="E190" t="inlineStr">
        <is>
          <t>Consumer Discretionary</t>
        </is>
      </c>
      <c r="F190" t="inlineStr"/>
      <c r="G190" t="inlineStr"/>
      <c r="H190" t="inlineStr">
        <is>
          <t>2.89%</t>
        </is>
      </c>
      <c r="I190" t="inlineStr">
        <is>
          <t>0.00%</t>
        </is>
      </c>
    </row>
    <row r="191">
      <c r="A191" s="2" t="n">
        <v>45982</v>
      </c>
      <c r="B191" t="inlineStr">
        <is>
          <t>SDVD</t>
        </is>
      </c>
      <c r="C191" t="inlineStr">
        <is>
          <t>GICS_INDUSTRY_NAME</t>
        </is>
      </c>
      <c r="D191" t="inlineStr">
        <is>
          <t>Financial Services</t>
        </is>
      </c>
      <c r="E191" t="inlineStr">
        <is>
          <t>Financials</t>
        </is>
      </c>
      <c r="F191" t="inlineStr"/>
      <c r="G191" t="inlineStr"/>
      <c r="H191" t="inlineStr">
        <is>
          <t>2.84%</t>
        </is>
      </c>
      <c r="I191" t="inlineStr">
        <is>
          <t>0.00%</t>
        </is>
      </c>
    </row>
    <row r="192">
      <c r="A192" s="2" t="n">
        <v>45982</v>
      </c>
      <c r="B192" t="inlineStr">
        <is>
          <t>SDVD</t>
        </is>
      </c>
      <c r="C192" t="inlineStr">
        <is>
          <t>GICS_INDUSTRY_NAME</t>
        </is>
      </c>
      <c r="D192" t="inlineStr">
        <is>
          <t>Commercial Services &amp; Supplies</t>
        </is>
      </c>
      <c r="E192" t="inlineStr">
        <is>
          <t>Industrials</t>
        </is>
      </c>
      <c r="F192" t="inlineStr"/>
      <c r="G192" t="inlineStr"/>
      <c r="H192" t="inlineStr">
        <is>
          <t>2.72%</t>
        </is>
      </c>
      <c r="I192" t="inlineStr">
        <is>
          <t>0.00%</t>
        </is>
      </c>
    </row>
    <row r="193">
      <c r="A193" s="2" t="n">
        <v>45982</v>
      </c>
      <c r="B193" t="inlineStr">
        <is>
          <t>SDVD</t>
        </is>
      </c>
      <c r="C193" t="inlineStr">
        <is>
          <t>GICS_INDUSTRY_NAME</t>
        </is>
      </c>
      <c r="D193" t="inlineStr">
        <is>
          <t>Textiles, Apparel &amp; Luxury Goods</t>
        </is>
      </c>
      <c r="E193" t="inlineStr">
        <is>
          <t>Consumer Discretionary</t>
        </is>
      </c>
      <c r="F193" t="inlineStr"/>
      <c r="G193" t="inlineStr"/>
      <c r="H193" t="inlineStr">
        <is>
          <t>2.72%</t>
        </is>
      </c>
      <c r="I193" t="inlineStr">
        <is>
          <t>0.00%</t>
        </is>
      </c>
    </row>
    <row r="194">
      <c r="A194" s="2" t="n">
        <v>45982</v>
      </c>
      <c r="B194" t="inlineStr">
        <is>
          <t>SDVD</t>
        </is>
      </c>
      <c r="C194" t="inlineStr">
        <is>
          <t>GICS_INDUSTRY_NAME</t>
        </is>
      </c>
      <c r="D194" t="inlineStr">
        <is>
          <t>Energy Equipment &amp; Services</t>
        </is>
      </c>
      <c r="E194" t="inlineStr">
        <is>
          <t>Energy</t>
        </is>
      </c>
      <c r="F194" t="inlineStr"/>
      <c r="G194" t="inlineStr"/>
      <c r="H194" t="inlineStr">
        <is>
          <t>2.66%</t>
        </is>
      </c>
      <c r="I194" t="inlineStr">
        <is>
          <t>0.00%</t>
        </is>
      </c>
    </row>
    <row r="195">
      <c r="A195" s="2" t="n">
        <v>45982</v>
      </c>
      <c r="B195" t="inlineStr">
        <is>
          <t>SDVD</t>
        </is>
      </c>
      <c r="C195" t="inlineStr">
        <is>
          <t>GICS_INDUSTRY_GROUP_NAME</t>
        </is>
      </c>
      <c r="D195" t="inlineStr">
        <is>
          <t>Consumer Discretionary Distribution &amp; Retail</t>
        </is>
      </c>
      <c r="E195" t="inlineStr">
        <is>
          <t>Consumer Discretionary</t>
        </is>
      </c>
      <c r="F195" t="inlineStr"/>
      <c r="G195" t="inlineStr"/>
      <c r="H195" t="inlineStr">
        <is>
          <t>2.50%</t>
        </is>
      </c>
      <c r="I195" t="inlineStr">
        <is>
          <t>0.00%</t>
        </is>
      </c>
    </row>
    <row r="196">
      <c r="A196" s="2" t="n">
        <v>45982</v>
      </c>
      <c r="B196" t="inlineStr">
        <is>
          <t>SDVD</t>
        </is>
      </c>
      <c r="C196" t="inlineStr">
        <is>
          <t>GICS_INDUSTRY_NAME</t>
        </is>
      </c>
      <c r="D196" t="inlineStr">
        <is>
          <t>Diversified Consumer Services</t>
        </is>
      </c>
      <c r="E196" t="inlineStr">
        <is>
          <t>Consumer Discretionary</t>
        </is>
      </c>
      <c r="F196" t="inlineStr"/>
      <c r="G196" t="inlineStr"/>
      <c r="H196" t="inlineStr">
        <is>
          <t>2.50%</t>
        </is>
      </c>
      <c r="I196" t="inlineStr">
        <is>
          <t>0.00%</t>
        </is>
      </c>
    </row>
    <row r="197">
      <c r="A197" s="2" t="n">
        <v>45982</v>
      </c>
      <c r="B197" t="inlineStr">
        <is>
          <t>SDVD</t>
        </is>
      </c>
      <c r="C197" t="inlineStr">
        <is>
          <t>GICS_INDUSTRY_NAME</t>
        </is>
      </c>
      <c r="D197" t="inlineStr">
        <is>
          <t>Electrical Equipment</t>
        </is>
      </c>
      <c r="E197" t="inlineStr">
        <is>
          <t>Industrials</t>
        </is>
      </c>
      <c r="F197" t="inlineStr"/>
      <c r="G197" t="inlineStr"/>
      <c r="H197" t="inlineStr">
        <is>
          <t>2.47%</t>
        </is>
      </c>
      <c r="I197" t="inlineStr">
        <is>
          <t>0.00%</t>
        </is>
      </c>
    </row>
    <row r="198">
      <c r="A198" s="2" t="n">
        <v>45982</v>
      </c>
      <c r="B198" t="inlineStr">
        <is>
          <t>SDVD</t>
        </is>
      </c>
      <c r="C198" t="inlineStr">
        <is>
          <t>GICS_INDUSTRY_NAME</t>
        </is>
      </c>
      <c r="D198" t="inlineStr">
        <is>
          <t>Food Products</t>
        </is>
      </c>
      <c r="E198" t="inlineStr">
        <is>
          <t>Consumer Staples</t>
        </is>
      </c>
      <c r="F198" t="inlineStr"/>
      <c r="G198" t="inlineStr"/>
      <c r="H198" t="inlineStr">
        <is>
          <t>2.20%</t>
        </is>
      </c>
      <c r="I198" t="inlineStr">
        <is>
          <t>0.00%</t>
        </is>
      </c>
    </row>
    <row r="199">
      <c r="A199" s="2" t="n">
        <v>45982</v>
      </c>
      <c r="B199" t="inlineStr">
        <is>
          <t>SDVD</t>
        </is>
      </c>
      <c r="C199" t="inlineStr">
        <is>
          <t>GICS_INDUSTRY_NAME</t>
        </is>
      </c>
      <c r="D199" t="inlineStr">
        <is>
          <t>Health Care Providers &amp; Services</t>
        </is>
      </c>
      <c r="E199" t="inlineStr">
        <is>
          <t>Health Care</t>
        </is>
      </c>
      <c r="F199" t="inlineStr"/>
      <c r="G199" t="inlineStr"/>
      <c r="H199" t="inlineStr">
        <is>
          <t>2.18%</t>
        </is>
      </c>
      <c r="I199" t="inlineStr">
        <is>
          <t>0.00%</t>
        </is>
      </c>
    </row>
    <row r="200">
      <c r="A200" s="2" t="n">
        <v>45982</v>
      </c>
      <c r="B200" t="inlineStr">
        <is>
          <t>SDVD</t>
        </is>
      </c>
      <c r="C200" t="inlineStr">
        <is>
          <t>GICS_INDUSTRY_GROUP_NAME</t>
        </is>
      </c>
      <c r="D200" t="inlineStr">
        <is>
          <t>Media &amp; Entertainment</t>
        </is>
      </c>
      <c r="E200" t="inlineStr">
        <is>
          <t>Communication Services</t>
        </is>
      </c>
      <c r="F200" t="inlineStr"/>
      <c r="G200" t="inlineStr"/>
      <c r="H200" t="inlineStr">
        <is>
          <t>2.16%</t>
        </is>
      </c>
      <c r="I200" t="inlineStr">
        <is>
          <t>0.00%</t>
        </is>
      </c>
    </row>
    <row r="201">
      <c r="A201" s="2" t="n">
        <v>45982</v>
      </c>
      <c r="B201" t="inlineStr">
        <is>
          <t>SDVD</t>
        </is>
      </c>
      <c r="C201" t="inlineStr">
        <is>
          <t>GICS_INDUSTRY_NAME</t>
        </is>
      </c>
      <c r="D201" t="inlineStr">
        <is>
          <t>Media</t>
        </is>
      </c>
      <c r="E201" t="inlineStr">
        <is>
          <t>Communication Services</t>
        </is>
      </c>
      <c r="F201" t="inlineStr"/>
      <c r="G201" t="inlineStr"/>
      <c r="H201" t="inlineStr">
        <is>
          <t>2.16%</t>
        </is>
      </c>
      <c r="I201" t="inlineStr">
        <is>
          <t>0.00%</t>
        </is>
      </c>
    </row>
    <row r="202">
      <c r="A202" s="2" t="n">
        <v>45982</v>
      </c>
      <c r="B202" t="inlineStr">
        <is>
          <t>SDVD</t>
        </is>
      </c>
      <c r="C202" t="inlineStr">
        <is>
          <t>GICS_INDUSTRY_NAME</t>
        </is>
      </c>
      <c r="D202" t="inlineStr">
        <is>
          <t>Specialty Retail</t>
        </is>
      </c>
      <c r="E202" t="inlineStr">
        <is>
          <t>Consumer Discretionary</t>
        </is>
      </c>
      <c r="F202" t="inlineStr"/>
      <c r="G202" t="inlineStr"/>
      <c r="H202" t="inlineStr">
        <is>
          <t>1.90%</t>
        </is>
      </c>
      <c r="I202" t="inlineStr">
        <is>
          <t>0.00%</t>
        </is>
      </c>
    </row>
    <row r="203">
      <c r="A203" s="2" t="n">
        <v>45982</v>
      </c>
      <c r="B203" t="inlineStr">
        <is>
          <t>SDVD</t>
        </is>
      </c>
      <c r="C203" t="inlineStr">
        <is>
          <t>GICS_INDUSTRY_NAME</t>
        </is>
      </c>
      <c r="D203" t="inlineStr">
        <is>
          <t>Chemicals</t>
        </is>
      </c>
      <c r="E203" t="inlineStr">
        <is>
          <t>Materials</t>
        </is>
      </c>
      <c r="F203" t="inlineStr"/>
      <c r="G203" t="inlineStr"/>
      <c r="H203" t="inlineStr">
        <is>
          <t>1.68%</t>
        </is>
      </c>
      <c r="I203" t="inlineStr">
        <is>
          <t>0.00%</t>
        </is>
      </c>
    </row>
    <row r="204">
      <c r="A204" s="2" t="n">
        <v>45982</v>
      </c>
      <c r="B204" t="inlineStr">
        <is>
          <t>SDVD</t>
        </is>
      </c>
      <c r="C204" t="inlineStr">
        <is>
          <t>GICS_INDUSTRY_NAME</t>
        </is>
      </c>
      <c r="D204" t="inlineStr">
        <is>
          <t>Aerospace &amp; Defense</t>
        </is>
      </c>
      <c r="E204" t="inlineStr">
        <is>
          <t>Industrials</t>
        </is>
      </c>
      <c r="F204" t="inlineStr"/>
      <c r="G204" t="inlineStr"/>
      <c r="H204" t="inlineStr">
        <is>
          <t>1.64%</t>
        </is>
      </c>
      <c r="I204" t="inlineStr">
        <is>
          <t>0.00%</t>
        </is>
      </c>
    </row>
    <row r="205">
      <c r="A205" s="2" t="n">
        <v>45982</v>
      </c>
      <c r="B205" t="inlineStr">
        <is>
          <t>SDVD</t>
        </is>
      </c>
      <c r="C205" t="inlineStr">
        <is>
          <t>GICS_INDUSTRY_NAME</t>
        </is>
      </c>
      <c r="D205" t="inlineStr">
        <is>
          <t>Metals &amp; Mining</t>
        </is>
      </c>
      <c r="E205" t="inlineStr">
        <is>
          <t>Materials</t>
        </is>
      </c>
      <c r="F205" t="inlineStr"/>
      <c r="G205" t="inlineStr"/>
      <c r="H205" t="inlineStr">
        <is>
          <t>1.55%</t>
        </is>
      </c>
      <c r="I205" t="inlineStr">
        <is>
          <t>0.00%</t>
        </is>
      </c>
    </row>
    <row r="206">
      <c r="A206" s="2" t="n">
        <v>45982</v>
      </c>
      <c r="B206" t="inlineStr">
        <is>
          <t>SDVD</t>
        </is>
      </c>
      <c r="C206" t="inlineStr">
        <is>
          <t>GICS_INDUSTRY_GROUP_NAME</t>
        </is>
      </c>
      <c r="D206" t="inlineStr">
        <is>
          <t>Technology Hardware &amp; Equipment</t>
        </is>
      </c>
      <c r="E206" t="inlineStr">
        <is>
          <t>Information Technology</t>
        </is>
      </c>
      <c r="F206" t="inlineStr"/>
      <c r="G206" t="inlineStr"/>
      <c r="H206" t="inlineStr">
        <is>
          <t>1.31%</t>
        </is>
      </c>
      <c r="I206" t="inlineStr">
        <is>
          <t>0.00%</t>
        </is>
      </c>
    </row>
    <row r="207">
      <c r="A207" s="2" t="n">
        <v>45982</v>
      </c>
      <c r="B207" t="inlineStr">
        <is>
          <t>SDVD</t>
        </is>
      </c>
      <c r="C207" t="inlineStr">
        <is>
          <t>GICS_INDUSTRY_NAME</t>
        </is>
      </c>
      <c r="D207" t="inlineStr">
        <is>
          <t>Beverages</t>
        </is>
      </c>
      <c r="E207" t="inlineStr">
        <is>
          <t>Consumer Staples</t>
        </is>
      </c>
      <c r="F207" t="inlineStr"/>
      <c r="G207" t="inlineStr"/>
      <c r="H207" t="inlineStr">
        <is>
          <t>1.10%</t>
        </is>
      </c>
      <c r="I207" t="inlineStr">
        <is>
          <t>0.00%</t>
        </is>
      </c>
    </row>
    <row r="208">
      <c r="A208" s="2" t="n">
        <v>45982</v>
      </c>
      <c r="B208" t="inlineStr">
        <is>
          <t>SDVD</t>
        </is>
      </c>
      <c r="C208" t="inlineStr">
        <is>
          <t>GICS_INDUSTRY_NAME</t>
        </is>
      </c>
      <c r="D208" t="inlineStr">
        <is>
          <t>Consumer Finance</t>
        </is>
      </c>
      <c r="E208" t="inlineStr">
        <is>
          <t>Financials</t>
        </is>
      </c>
      <c r="F208" t="inlineStr"/>
      <c r="G208" t="inlineStr"/>
      <c r="H208" t="inlineStr">
        <is>
          <t>1.06%</t>
        </is>
      </c>
      <c r="I208" t="inlineStr">
        <is>
          <t>0.00%</t>
        </is>
      </c>
    </row>
    <row r="209">
      <c r="A209" s="2" t="n">
        <v>45982</v>
      </c>
      <c r="B209" t="inlineStr">
        <is>
          <t>SDVD</t>
        </is>
      </c>
      <c r="C209" t="inlineStr">
        <is>
          <t>GICS_INDUSTRY_GROUP_NAME</t>
        </is>
      </c>
      <c r="D209" t="inlineStr">
        <is>
          <t>Household &amp; Personal Products</t>
        </is>
      </c>
      <c r="E209" t="inlineStr">
        <is>
          <t>Consumer Staples</t>
        </is>
      </c>
      <c r="F209" t="inlineStr"/>
      <c r="G209" t="inlineStr"/>
      <c r="H209" t="inlineStr">
        <is>
          <t>1.05%</t>
        </is>
      </c>
      <c r="I209" t="inlineStr">
        <is>
          <t>0.00%</t>
        </is>
      </c>
    </row>
    <row r="210">
      <c r="A210" s="2" t="n">
        <v>45982</v>
      </c>
      <c r="B210" t="inlineStr">
        <is>
          <t>SDVD</t>
        </is>
      </c>
      <c r="C210" t="inlineStr">
        <is>
          <t>GICS_INDUSTRY_GROUP_NAME</t>
        </is>
      </c>
      <c r="D210" t="inlineStr">
        <is>
          <t>Consumer Staples Distribution &amp; Retail</t>
        </is>
      </c>
      <c r="E210" t="inlineStr">
        <is>
          <t>Consumer Staples</t>
        </is>
      </c>
      <c r="F210" t="inlineStr"/>
      <c r="G210" t="inlineStr"/>
      <c r="H210" t="inlineStr">
        <is>
          <t>1.02%</t>
        </is>
      </c>
      <c r="I210" t="inlineStr">
        <is>
          <t>0.00%</t>
        </is>
      </c>
    </row>
    <row r="211">
      <c r="A211" s="2" t="n">
        <v>45982</v>
      </c>
      <c r="B211" t="inlineStr">
        <is>
          <t>SDVD</t>
        </is>
      </c>
      <c r="C211" t="inlineStr">
        <is>
          <t>GICS_INDUSTRY_NAME</t>
        </is>
      </c>
      <c r="D211" t="inlineStr">
        <is>
          <t>Consumer Staples Distribution &amp; Retail</t>
        </is>
      </c>
      <c r="E211" t="inlineStr">
        <is>
          <t>Consumer Staples</t>
        </is>
      </c>
      <c r="F211" t="inlineStr"/>
      <c r="G211" t="inlineStr"/>
      <c r="H211" t="inlineStr">
        <is>
          <t>1.02%</t>
        </is>
      </c>
      <c r="I211" t="inlineStr">
        <is>
          <t>0.00%</t>
        </is>
      </c>
    </row>
    <row r="212">
      <c r="A212" s="2" t="n">
        <v>45982</v>
      </c>
      <c r="B212" t="inlineStr">
        <is>
          <t>SDVD</t>
        </is>
      </c>
      <c r="C212" t="inlineStr">
        <is>
          <t>GICS_INDUSTRY_NAME</t>
        </is>
      </c>
      <c r="D212" t="inlineStr">
        <is>
          <t>Oil, Gas &amp; Consumable Fuels</t>
        </is>
      </c>
      <c r="E212" t="inlineStr">
        <is>
          <t>Energy</t>
        </is>
      </c>
      <c r="F212" t="inlineStr"/>
      <c r="G212" t="inlineStr"/>
      <c r="H212" t="inlineStr">
        <is>
          <t>1.00%</t>
        </is>
      </c>
      <c r="I212" t="inlineStr">
        <is>
          <t>0.00%</t>
        </is>
      </c>
    </row>
    <row r="213">
      <c r="A213" s="2" t="n">
        <v>45982</v>
      </c>
      <c r="B213" t="inlineStr">
        <is>
          <t>SDVD</t>
        </is>
      </c>
      <c r="C213" t="inlineStr">
        <is>
          <t>GICS_INDUSTRY_NAME</t>
        </is>
      </c>
      <c r="D213" t="inlineStr">
        <is>
          <t>Electronic Equipment, Instruments &amp; Components</t>
        </is>
      </c>
      <c r="E213" t="inlineStr">
        <is>
          <t>Information Technology</t>
        </is>
      </c>
      <c r="F213" t="inlineStr"/>
      <c r="G213" t="inlineStr"/>
      <c r="H213" t="inlineStr">
        <is>
          <t>0.87%</t>
        </is>
      </c>
      <c r="I213" t="inlineStr">
        <is>
          <t>0.00%</t>
        </is>
      </c>
    </row>
    <row r="214">
      <c r="A214" s="2" t="n">
        <v>45982</v>
      </c>
      <c r="B214" t="inlineStr">
        <is>
          <t>SDVD</t>
        </is>
      </c>
      <c r="C214" t="inlineStr">
        <is>
          <t>GICS_INDUSTRY_GROUP_NAME</t>
        </is>
      </c>
      <c r="D214" t="inlineStr">
        <is>
          <t>Utilities</t>
        </is>
      </c>
      <c r="E214" t="inlineStr">
        <is>
          <t>Utilities</t>
        </is>
      </c>
      <c r="F214" t="inlineStr"/>
      <c r="G214" t="inlineStr"/>
      <c r="H214" t="inlineStr">
        <is>
          <t>0.86%</t>
        </is>
      </c>
      <c r="I214" t="inlineStr">
        <is>
          <t>0.00%</t>
        </is>
      </c>
    </row>
    <row r="215">
      <c r="A215" s="2" t="n">
        <v>45982</v>
      </c>
      <c r="B215" t="inlineStr">
        <is>
          <t>SDVD</t>
        </is>
      </c>
      <c r="C215" t="inlineStr">
        <is>
          <t>GICS_INDUSTRY_NAME</t>
        </is>
      </c>
      <c r="D215" t="inlineStr">
        <is>
          <t>Electric Utilities</t>
        </is>
      </c>
      <c r="E215" t="inlineStr">
        <is>
          <t>Utilities</t>
        </is>
      </c>
      <c r="F215" t="inlineStr"/>
      <c r="G215" t="inlineStr"/>
      <c r="H215" t="inlineStr">
        <is>
          <t>0.86%</t>
        </is>
      </c>
      <c r="I215" t="inlineStr">
        <is>
          <t>0.00%</t>
        </is>
      </c>
    </row>
    <row r="216">
      <c r="A216" s="2" t="n">
        <v>45982</v>
      </c>
      <c r="B216" t="inlineStr">
        <is>
          <t>SDVD</t>
        </is>
      </c>
      <c r="C216" t="inlineStr">
        <is>
          <t>GICS_INDUSTRY_NAME</t>
        </is>
      </c>
      <c r="D216" t="inlineStr">
        <is>
          <t>Trading Companies &amp; Distributors</t>
        </is>
      </c>
      <c r="E216" t="inlineStr">
        <is>
          <t>Industrials</t>
        </is>
      </c>
      <c r="F216" t="inlineStr"/>
      <c r="G216" t="inlineStr"/>
      <c r="H216" t="inlineStr">
        <is>
          <t>0.83%</t>
        </is>
      </c>
      <c r="I216" t="inlineStr">
        <is>
          <t>0.00%</t>
        </is>
      </c>
    </row>
    <row r="217">
      <c r="A217" s="2" t="n">
        <v>45982</v>
      </c>
      <c r="B217" t="inlineStr">
        <is>
          <t>SDVD</t>
        </is>
      </c>
      <c r="C217" t="inlineStr">
        <is>
          <t>GICS_INDUSTRY_NAME</t>
        </is>
      </c>
      <c r="D217" t="inlineStr">
        <is>
          <t>Health Care Equipment &amp; Supplies</t>
        </is>
      </c>
      <c r="E217" t="inlineStr">
        <is>
          <t>Health Care</t>
        </is>
      </c>
      <c r="F217" t="inlineStr"/>
      <c r="G217" t="inlineStr"/>
      <c r="H217" t="inlineStr">
        <is>
          <t>0.79%</t>
        </is>
      </c>
      <c r="I217" t="inlineStr">
        <is>
          <t>0.00%</t>
        </is>
      </c>
    </row>
    <row r="218">
      <c r="A218" s="2" t="n">
        <v>45982</v>
      </c>
      <c r="B218" t="inlineStr">
        <is>
          <t>SDVD</t>
        </is>
      </c>
      <c r="C218" t="inlineStr">
        <is>
          <t>GICS_INDUSTRY_GROUP_NAME</t>
        </is>
      </c>
      <c r="D218" t="inlineStr">
        <is>
          <t>Semiconductors &amp; Semiconductor Equipment</t>
        </is>
      </c>
      <c r="E218" t="inlineStr">
        <is>
          <t>Information Technology</t>
        </is>
      </c>
      <c r="F218" t="inlineStr"/>
      <c r="G218" t="inlineStr"/>
      <c r="H218" t="inlineStr">
        <is>
          <t>0.65%</t>
        </is>
      </c>
      <c r="I218" t="inlineStr">
        <is>
          <t>0.00%</t>
        </is>
      </c>
    </row>
    <row r="219">
      <c r="A219" s="2" t="n">
        <v>45982</v>
      </c>
      <c r="B219" t="inlineStr">
        <is>
          <t>SDVD</t>
        </is>
      </c>
      <c r="C219" t="inlineStr">
        <is>
          <t>GICS_INDUSTRY_NAME</t>
        </is>
      </c>
      <c r="D219" t="inlineStr">
        <is>
          <t>Semiconductors &amp; Semiconductor Equipment</t>
        </is>
      </c>
      <c r="E219" t="inlineStr">
        <is>
          <t>Information Technology</t>
        </is>
      </c>
      <c r="F219" t="inlineStr"/>
      <c r="G219" t="inlineStr"/>
      <c r="H219" t="inlineStr">
        <is>
          <t>0.65%</t>
        </is>
      </c>
      <c r="I219" t="inlineStr">
        <is>
          <t>0.00%</t>
        </is>
      </c>
    </row>
    <row r="220">
      <c r="A220" s="2" t="n">
        <v>45982</v>
      </c>
      <c r="B220" t="inlineStr">
        <is>
          <t>SDVD</t>
        </is>
      </c>
      <c r="C220" t="inlineStr">
        <is>
          <t>GICS_INDUSTRY_GROUP_NAME</t>
        </is>
      </c>
      <c r="D220" t="inlineStr">
        <is>
          <t>Automobiles &amp; Components</t>
        </is>
      </c>
      <c r="E220" t="inlineStr">
        <is>
          <t>Consumer Discretionary</t>
        </is>
      </c>
      <c r="F220" t="inlineStr"/>
      <c r="G220" t="inlineStr"/>
      <c r="H220" t="inlineStr">
        <is>
          <t>0.64%</t>
        </is>
      </c>
      <c r="I220" t="inlineStr">
        <is>
          <t>0.00%</t>
        </is>
      </c>
    </row>
    <row r="221">
      <c r="A221" s="2" t="n">
        <v>45982</v>
      </c>
      <c r="B221" t="inlineStr">
        <is>
          <t>SDVD</t>
        </is>
      </c>
      <c r="C221" t="inlineStr">
        <is>
          <t>GICS_INDUSTRY_NAME</t>
        </is>
      </c>
      <c r="D221" t="inlineStr">
        <is>
          <t>Automobile Components</t>
        </is>
      </c>
      <c r="E221" t="inlineStr">
        <is>
          <t>Consumer Discretionary</t>
        </is>
      </c>
      <c r="F221" t="inlineStr"/>
      <c r="G221" t="inlineStr"/>
      <c r="H221" t="inlineStr">
        <is>
          <t>0.64%</t>
        </is>
      </c>
      <c r="I221" t="inlineStr">
        <is>
          <t>0.00%</t>
        </is>
      </c>
    </row>
    <row r="222">
      <c r="A222" s="2" t="n">
        <v>45982</v>
      </c>
      <c r="B222" t="inlineStr">
        <is>
          <t>SDVD</t>
        </is>
      </c>
      <c r="C222" t="inlineStr">
        <is>
          <t>GICS_INDUSTRY_NAME</t>
        </is>
      </c>
      <c r="D222" t="inlineStr">
        <is>
          <t>Broadline Retail</t>
        </is>
      </c>
      <c r="E222" t="inlineStr">
        <is>
          <t>Consumer Discretionary</t>
        </is>
      </c>
      <c r="F222" t="inlineStr"/>
      <c r="G222" t="inlineStr"/>
      <c r="H222" t="inlineStr">
        <is>
          <t>0.60%</t>
        </is>
      </c>
      <c r="I222" t="inlineStr">
        <is>
          <t>0.00%</t>
        </is>
      </c>
    </row>
    <row r="223">
      <c r="A223" s="2" t="n">
        <v>45982</v>
      </c>
      <c r="B223" t="inlineStr">
        <is>
          <t>SDVD</t>
        </is>
      </c>
      <c r="C223" t="inlineStr">
        <is>
          <t>GICS_INDUSTRY_NAME</t>
        </is>
      </c>
      <c r="D223" t="inlineStr">
        <is>
          <t>Household Products</t>
        </is>
      </c>
      <c r="E223" t="inlineStr">
        <is>
          <t>Consumer Staples</t>
        </is>
      </c>
      <c r="F223" t="inlineStr"/>
      <c r="G223" t="inlineStr"/>
      <c r="H223" t="inlineStr">
        <is>
          <t>0.52%</t>
        </is>
      </c>
      <c r="I223" t="inlineStr">
        <is>
          <t>0.00%</t>
        </is>
      </c>
    </row>
    <row r="224">
      <c r="A224" s="2" t="n">
        <v>45982</v>
      </c>
      <c r="B224" t="inlineStr">
        <is>
          <t>SDVD</t>
        </is>
      </c>
      <c r="C224" t="inlineStr">
        <is>
          <t>GICS_INDUSTRY_NAME</t>
        </is>
      </c>
      <c r="D224" t="inlineStr">
        <is>
          <t>Personal Care Products</t>
        </is>
      </c>
      <c r="E224" t="inlineStr">
        <is>
          <t>Consumer Staples</t>
        </is>
      </c>
      <c r="F224" t="inlineStr"/>
      <c r="G224" t="inlineStr"/>
      <c r="H224" t="inlineStr">
        <is>
          <t>0.52%</t>
        </is>
      </c>
      <c r="I224" t="inlineStr">
        <is>
          <t>0.00%</t>
        </is>
      </c>
    </row>
    <row r="225">
      <c r="A225" s="2" t="n">
        <v>45982</v>
      </c>
      <c r="B225" t="inlineStr">
        <is>
          <t>SDVD</t>
        </is>
      </c>
      <c r="C225" t="inlineStr">
        <is>
          <t>GICS_INDUSTRY_NAME</t>
        </is>
      </c>
      <c r="D225" t="inlineStr">
        <is>
          <t>Technology Hardware, Storage &amp; Peripherals</t>
        </is>
      </c>
      <c r="E225" t="inlineStr">
        <is>
          <t>Information Technology</t>
        </is>
      </c>
      <c r="F225" t="inlineStr"/>
      <c r="G225" t="inlineStr"/>
      <c r="H225" t="inlineStr">
        <is>
          <t>0.44%</t>
        </is>
      </c>
      <c r="I225" t="inlineStr">
        <is>
          <t>0.00%</t>
        </is>
      </c>
    </row>
    <row r="226">
      <c r="A226" s="2" t="n">
        <v>45982</v>
      </c>
      <c r="B226" t="inlineStr">
        <is>
          <t>SDVD</t>
        </is>
      </c>
      <c r="C226" t="inlineStr">
        <is>
          <t>GICS_INDUSTRY_NAME</t>
        </is>
      </c>
      <c r="D226" t="inlineStr">
        <is>
          <t>Hotels, Restaurants &amp; Leisure</t>
        </is>
      </c>
      <c r="E226" t="inlineStr">
        <is>
          <t>Consumer Discretionary</t>
        </is>
      </c>
      <c r="F226" t="inlineStr"/>
      <c r="G226" t="inlineStr"/>
      <c r="H226" t="inlineStr">
        <is>
          <t>0.39%</t>
        </is>
      </c>
      <c r="I226" t="inlineStr">
        <is>
          <t>0.00%</t>
        </is>
      </c>
    </row>
    <row r="227">
      <c r="A227" s="2" t="n">
        <v>45982</v>
      </c>
      <c r="B227" t="inlineStr">
        <is>
          <t>SDVD</t>
        </is>
      </c>
      <c r="C227" t="inlineStr">
        <is>
          <t>GICS_INDUSTRY_NAME</t>
        </is>
      </c>
      <c r="D227" t="inlineStr">
        <is>
          <t>Containers &amp; Packaging</t>
        </is>
      </c>
      <c r="E227" t="inlineStr">
        <is>
          <t>Materials</t>
        </is>
      </c>
      <c r="F227" t="inlineStr"/>
      <c r="G227" t="inlineStr"/>
      <c r="H227" t="inlineStr">
        <is>
          <t>0.35%</t>
        </is>
      </c>
      <c r="I227" t="inlineStr">
        <is>
          <t>0.00%</t>
        </is>
      </c>
    </row>
    <row r="228">
      <c r="A228" s="2" t="n">
        <v>45982</v>
      </c>
      <c r="B228" t="inlineStr">
        <is>
          <t>SDVD</t>
        </is>
      </c>
      <c r="C228" t="inlineStr">
        <is>
          <t>GICS_INDUSTRY_GROUP_NAME</t>
        </is>
      </c>
      <c r="D228" t="inlineStr">
        <is>
          <t>Telecommunication Services</t>
        </is>
      </c>
      <c r="E228" t="inlineStr">
        <is>
          <t>Communication Services</t>
        </is>
      </c>
      <c r="F228" t="inlineStr"/>
      <c r="G228" t="inlineStr"/>
      <c r="H228" t="inlineStr">
        <is>
          <t>0.34%</t>
        </is>
      </c>
      <c r="I228" t="inlineStr">
        <is>
          <t>0.00%</t>
        </is>
      </c>
    </row>
    <row r="229">
      <c r="A229" s="2" t="n">
        <v>45982</v>
      </c>
      <c r="B229" t="inlineStr">
        <is>
          <t>SDVD</t>
        </is>
      </c>
      <c r="C229" t="inlineStr">
        <is>
          <t>GICS_INDUSTRY_NAME</t>
        </is>
      </c>
      <c r="D229" t="inlineStr">
        <is>
          <t>Diversified Telecommunication Services</t>
        </is>
      </c>
      <c r="E229" t="inlineStr">
        <is>
          <t>Communication Services</t>
        </is>
      </c>
      <c r="F229" t="inlineStr"/>
      <c r="G229" t="inlineStr"/>
      <c r="H229" t="inlineStr">
        <is>
          <t>0.34%</t>
        </is>
      </c>
      <c r="I229" t="inlineStr">
        <is>
          <t>0.00%</t>
        </is>
      </c>
    </row>
    <row r="230">
      <c r="A230" s="2" t="n">
        <v>45982</v>
      </c>
      <c r="B230" t="inlineStr">
        <is>
          <t>SDVD</t>
        </is>
      </c>
      <c r="C230" t="inlineStr">
        <is>
          <t>GICS_INDUSTRY_NAME</t>
        </is>
      </c>
      <c r="D230" t="inlineStr">
        <is>
          <t>Construction Materials</t>
        </is>
      </c>
      <c r="E230" t="inlineStr">
        <is>
          <t>Materials</t>
        </is>
      </c>
      <c r="F230" t="inlineStr"/>
      <c r="G230" t="inlineStr"/>
      <c r="H230" t="inlineStr">
        <is>
          <t>0.24%</t>
        </is>
      </c>
      <c r="I230" t="inlineStr">
        <is>
          <t>0.00%</t>
        </is>
      </c>
    </row>
    <row r="231">
      <c r="A231" s="2" t="n">
        <v>45982</v>
      </c>
      <c r="B231" t="inlineStr">
        <is>
          <t>SDVD</t>
        </is>
      </c>
      <c r="C231" t="inlineStr">
        <is>
          <t>GICS_INDUSTRY_NAME</t>
        </is>
      </c>
      <c r="D231" t="inlineStr">
        <is>
          <t>Tobacco</t>
        </is>
      </c>
      <c r="E231" t="inlineStr">
        <is>
          <t>Consumer Staples</t>
        </is>
      </c>
      <c r="F231" t="inlineStr"/>
      <c r="G231" t="inlineStr"/>
      <c r="H231" t="inlineStr">
        <is>
          <t>0.23%</t>
        </is>
      </c>
      <c r="I231" t="inlineStr">
        <is>
          <t>0.00%</t>
        </is>
      </c>
    </row>
    <row r="232">
      <c r="A232" s="2" t="n">
        <v>45982</v>
      </c>
      <c r="B232" t="inlineStr">
        <is>
          <t>SDVD</t>
        </is>
      </c>
      <c r="C232" t="inlineStr">
        <is>
          <t>GICS_INDUSTRY_NAME</t>
        </is>
      </c>
      <c r="D232" t="inlineStr">
        <is>
          <t>IT Services</t>
        </is>
      </c>
      <c r="E232" t="inlineStr">
        <is>
          <t>Information Technology</t>
        </is>
      </c>
      <c r="F232" t="inlineStr"/>
      <c r="G232" t="inlineStr"/>
      <c r="H232" t="inlineStr">
        <is>
          <t>0.21%</t>
        </is>
      </c>
      <c r="I232" t="inlineStr">
        <is>
          <t>0.00%</t>
        </is>
      </c>
    </row>
    <row r="233">
      <c r="A233" s="2" t="n">
        <v>45982</v>
      </c>
      <c r="B233" t="inlineStr">
        <is>
          <t>SDVD</t>
        </is>
      </c>
      <c r="C233" t="inlineStr">
        <is>
          <t>GICS_INDUSTRY_GROUP_NAME</t>
        </is>
      </c>
      <c r="D233" t="inlineStr">
        <is>
          <t>Transportation</t>
        </is>
      </c>
      <c r="E233" t="inlineStr">
        <is>
          <t>Industrials</t>
        </is>
      </c>
      <c r="F233" t="inlineStr"/>
      <c r="G233" t="inlineStr"/>
      <c r="H233" t="inlineStr">
        <is>
          <t>0.15%</t>
        </is>
      </c>
      <c r="I233" t="inlineStr">
        <is>
          <t>0.00%</t>
        </is>
      </c>
    </row>
    <row r="234">
      <c r="A234" s="2" t="n">
        <v>45982</v>
      </c>
      <c r="B234" t="inlineStr">
        <is>
          <t>SDVD</t>
        </is>
      </c>
      <c r="C234" t="inlineStr">
        <is>
          <t>GICS_INDUSTRY_NAME</t>
        </is>
      </c>
      <c r="D234" t="inlineStr">
        <is>
          <t>Air Freight &amp; Logistics</t>
        </is>
      </c>
      <c r="E234" t="inlineStr">
        <is>
          <t>Industrials</t>
        </is>
      </c>
      <c r="F234" t="inlineStr"/>
      <c r="G234" t="inlineStr"/>
      <c r="H234" t="inlineStr">
        <is>
          <t>0.15%</t>
        </is>
      </c>
      <c r="I234" t="inlineStr">
        <is>
          <t>0.00%</t>
        </is>
      </c>
    </row>
    <row r="235">
      <c r="A235" s="2" t="n">
        <v>45982</v>
      </c>
      <c r="B235" t="inlineStr">
        <is>
          <t>SDVD</t>
        </is>
      </c>
      <c r="C235" t="inlineStr">
        <is>
          <t>GICS_INDUSTRY_NAME</t>
        </is>
      </c>
      <c r="D235" t="inlineStr">
        <is>
          <t>Paper &amp; Forest Products</t>
        </is>
      </c>
      <c r="E235" t="inlineStr">
        <is>
          <t>Materials</t>
        </is>
      </c>
      <c r="F235" t="inlineStr"/>
      <c r="G235" t="inlineStr"/>
      <c r="H235" t="inlineStr">
        <is>
          <t>0.11%</t>
        </is>
      </c>
      <c r="I235" t="inlineStr">
        <is>
          <t>0.00%</t>
        </is>
      </c>
    </row>
    <row r="236">
      <c r="A236" s="2" t="n">
        <v>45982</v>
      </c>
      <c r="B236" t="inlineStr">
        <is>
          <t>TDVI</t>
        </is>
      </c>
      <c r="C236" t="inlineStr">
        <is>
          <t>GICS_INDUSTRY_GROUP_NAME</t>
        </is>
      </c>
      <c r="D236" t="inlineStr">
        <is>
          <t>Semiconductors &amp; Semiconductor Equipment</t>
        </is>
      </c>
      <c r="E236" t="inlineStr">
        <is>
          <t>Information Technology</t>
        </is>
      </c>
      <c r="F236" t="b">
        <v>1</v>
      </c>
      <c r="G236" t="inlineStr"/>
      <c r="H236" t="inlineStr">
        <is>
          <t>37.86%</t>
        </is>
      </c>
      <c r="I236" t="inlineStr">
        <is>
          <t>0.00%</t>
        </is>
      </c>
    </row>
    <row r="237">
      <c r="A237" s="2" t="n">
        <v>45982</v>
      </c>
      <c r="B237" t="inlineStr">
        <is>
          <t>TDVI</t>
        </is>
      </c>
      <c r="C237" t="inlineStr">
        <is>
          <t>GICS_INDUSTRY_NAME</t>
        </is>
      </c>
      <c r="D237" t="inlineStr">
        <is>
          <t>Semiconductors &amp; Semiconductor Equipment</t>
        </is>
      </c>
      <c r="E237" t="inlineStr">
        <is>
          <t>Information Technology</t>
        </is>
      </c>
      <c r="F237" t="b">
        <v>1</v>
      </c>
      <c r="G237" t="inlineStr"/>
      <c r="H237" t="inlineStr">
        <is>
          <t>37.86%</t>
        </is>
      </c>
      <c r="I237" t="inlineStr">
        <is>
          <t>0.00%</t>
        </is>
      </c>
    </row>
    <row r="238">
      <c r="A238" s="2" t="n">
        <v>45982</v>
      </c>
      <c r="B238" t="inlineStr">
        <is>
          <t>TDVI</t>
        </is>
      </c>
      <c r="C238" t="inlineStr">
        <is>
          <t>GICS_INDUSTRY_GROUP_NAME</t>
        </is>
      </c>
      <c r="D238" t="inlineStr">
        <is>
          <t>Software &amp; Services</t>
        </is>
      </c>
      <c r="E238" t="inlineStr">
        <is>
          <t>Information Technology</t>
        </is>
      </c>
      <c r="F238" t="b">
        <v>1</v>
      </c>
      <c r="G238" t="inlineStr"/>
      <c r="H238" t="inlineStr">
        <is>
          <t>30.55%</t>
        </is>
      </c>
      <c r="I238" t="inlineStr">
        <is>
          <t>0.00%</t>
        </is>
      </c>
    </row>
    <row r="239">
      <c r="A239" s="2" t="n">
        <v>45982</v>
      </c>
      <c r="B239" t="inlineStr">
        <is>
          <t>TDVI</t>
        </is>
      </c>
      <c r="C239" t="inlineStr">
        <is>
          <t>GICS_INDUSTRY_NAME</t>
        </is>
      </c>
      <c r="D239" t="inlineStr">
        <is>
          <t>Software</t>
        </is>
      </c>
      <c r="E239" t="inlineStr">
        <is>
          <t>Information Technology</t>
        </is>
      </c>
      <c r="F239" t="inlineStr"/>
      <c r="G239" t="inlineStr"/>
      <c r="H239" t="inlineStr">
        <is>
          <t>19.44%</t>
        </is>
      </c>
      <c r="I239" t="inlineStr">
        <is>
          <t>0.00%</t>
        </is>
      </c>
    </row>
    <row r="240">
      <c r="A240" s="2" t="n">
        <v>45982</v>
      </c>
      <c r="B240" t="inlineStr">
        <is>
          <t>TDVI</t>
        </is>
      </c>
      <c r="C240" t="inlineStr">
        <is>
          <t>GICS_INDUSTRY_GROUP_NAME</t>
        </is>
      </c>
      <c r="D240" t="inlineStr">
        <is>
          <t>Technology Hardware &amp; Equipment</t>
        </is>
      </c>
      <c r="E240" t="inlineStr">
        <is>
          <t>Information Technology</t>
        </is>
      </c>
      <c r="F240" t="inlineStr"/>
      <c r="G240" t="inlineStr"/>
      <c r="H240" t="inlineStr">
        <is>
          <t>15.82%</t>
        </is>
      </c>
      <c r="I240" t="inlineStr">
        <is>
          <t>0.00%</t>
        </is>
      </c>
    </row>
    <row r="241">
      <c r="A241" s="2" t="n">
        <v>45982</v>
      </c>
      <c r="B241" t="inlineStr">
        <is>
          <t>TDVI</t>
        </is>
      </c>
      <c r="C241" t="inlineStr">
        <is>
          <t>GICS_INDUSTRY_GROUP_NAME</t>
        </is>
      </c>
      <c r="D241" t="inlineStr">
        <is>
          <t>Telecommunication Services</t>
        </is>
      </c>
      <c r="E241" t="inlineStr">
        <is>
          <t>Communication Services</t>
        </is>
      </c>
      <c r="F241" t="inlineStr"/>
      <c r="G241" t="inlineStr"/>
      <c r="H241" t="inlineStr">
        <is>
          <t>11.42%</t>
        </is>
      </c>
      <c r="I241" t="inlineStr">
        <is>
          <t>0.00%</t>
        </is>
      </c>
    </row>
    <row r="242">
      <c r="A242" s="2" t="n">
        <v>45982</v>
      </c>
      <c r="B242" t="inlineStr">
        <is>
          <t>TDVI</t>
        </is>
      </c>
      <c r="C242" t="inlineStr">
        <is>
          <t>GICS_INDUSTRY_NAME</t>
        </is>
      </c>
      <c r="D242" t="inlineStr">
        <is>
          <t>IT Services</t>
        </is>
      </c>
      <c r="E242" t="inlineStr">
        <is>
          <t>Information Technology</t>
        </is>
      </c>
      <c r="F242" t="inlineStr"/>
      <c r="G242" t="inlineStr"/>
      <c r="H242" t="inlineStr">
        <is>
          <t>11.11%</t>
        </is>
      </c>
      <c r="I242" t="inlineStr">
        <is>
          <t>0.00%</t>
        </is>
      </c>
    </row>
    <row r="243">
      <c r="A243" s="2" t="n">
        <v>45982</v>
      </c>
      <c r="B243" t="inlineStr">
        <is>
          <t>TDVI</t>
        </is>
      </c>
      <c r="C243" t="inlineStr">
        <is>
          <t>GICS_INDUSTRY_NAME</t>
        </is>
      </c>
      <c r="D243" t="inlineStr">
        <is>
          <t>Diversified Telecommunication Services</t>
        </is>
      </c>
      <c r="E243" t="inlineStr">
        <is>
          <t>Communication Services</t>
        </is>
      </c>
      <c r="F243" t="inlineStr"/>
      <c r="G243" t="inlineStr"/>
      <c r="H243" t="inlineStr">
        <is>
          <t>6.20%</t>
        </is>
      </c>
      <c r="I243" t="inlineStr">
        <is>
          <t>0.00%</t>
        </is>
      </c>
    </row>
    <row r="244">
      <c r="A244" s="2" t="n">
        <v>45982</v>
      </c>
      <c r="B244" t="inlineStr">
        <is>
          <t>TDVI</t>
        </is>
      </c>
      <c r="C244" t="inlineStr">
        <is>
          <t>GICS_INDUSTRY_NAME</t>
        </is>
      </c>
      <c r="D244" t="inlineStr">
        <is>
          <t>Technology Hardware, Storage &amp; Peripherals</t>
        </is>
      </c>
      <c r="E244" t="inlineStr">
        <is>
          <t>Information Technology</t>
        </is>
      </c>
      <c r="F244" t="inlineStr"/>
      <c r="G244" t="inlineStr"/>
      <c r="H244" t="inlineStr">
        <is>
          <t>5.36%</t>
        </is>
      </c>
      <c r="I244" t="inlineStr">
        <is>
          <t>0.00%</t>
        </is>
      </c>
    </row>
    <row r="245">
      <c r="A245" s="2" t="n">
        <v>45982</v>
      </c>
      <c r="B245" t="inlineStr">
        <is>
          <t>TDVI</t>
        </is>
      </c>
      <c r="C245" t="inlineStr">
        <is>
          <t>GICS_INDUSTRY_NAME</t>
        </is>
      </c>
      <c r="D245" t="inlineStr">
        <is>
          <t>Electronic Equipment, Instruments &amp; Components</t>
        </is>
      </c>
      <c r="E245" t="inlineStr">
        <is>
          <t>Information Technology</t>
        </is>
      </c>
      <c r="F245" t="inlineStr"/>
      <c r="G245" t="inlineStr"/>
      <c r="H245" t="inlineStr">
        <is>
          <t>5.24%</t>
        </is>
      </c>
      <c r="I245" t="inlineStr">
        <is>
          <t>0.00%</t>
        </is>
      </c>
    </row>
    <row r="246">
      <c r="A246" s="2" t="n">
        <v>45982</v>
      </c>
      <c r="B246" t="inlineStr">
        <is>
          <t>TDVI</t>
        </is>
      </c>
      <c r="C246" t="inlineStr">
        <is>
          <t>GICS_INDUSTRY_NAME</t>
        </is>
      </c>
      <c r="D246" t="inlineStr">
        <is>
          <t>Wireless Telecommunication Services</t>
        </is>
      </c>
      <c r="E246" t="inlineStr">
        <is>
          <t>Communication Services</t>
        </is>
      </c>
      <c r="F246" t="inlineStr"/>
      <c r="G246" t="inlineStr"/>
      <c r="H246" t="inlineStr">
        <is>
          <t>5.22%</t>
        </is>
      </c>
      <c r="I246" t="inlineStr">
        <is>
          <t>0.00%</t>
        </is>
      </c>
    </row>
    <row r="247">
      <c r="A247" s="2" t="n">
        <v>45982</v>
      </c>
      <c r="B247" t="inlineStr">
        <is>
          <t>TDVI</t>
        </is>
      </c>
      <c r="C247" t="inlineStr">
        <is>
          <t>GICS_INDUSTRY_NAME</t>
        </is>
      </c>
      <c r="D247" t="inlineStr">
        <is>
          <t>Communications Equipment</t>
        </is>
      </c>
      <c r="E247" t="inlineStr">
        <is>
          <t>Information Technology</t>
        </is>
      </c>
      <c r="F247" t="inlineStr"/>
      <c r="G247" t="inlineStr"/>
      <c r="H247" t="inlineStr">
        <is>
          <t>5.22%</t>
        </is>
      </c>
      <c r="I247" t="inlineStr">
        <is>
          <t>0.00%</t>
        </is>
      </c>
    </row>
    <row r="248">
      <c r="A248" s="2" t="n">
        <v>45982</v>
      </c>
      <c r="B248" t="inlineStr">
        <is>
          <t>TDVI</t>
        </is>
      </c>
      <c r="C248" t="inlineStr">
        <is>
          <t>GICS_INDUSTRY_GROUP_NAME</t>
        </is>
      </c>
      <c r="D248" t="inlineStr">
        <is>
          <t>Commercial &amp; Professional Services</t>
        </is>
      </c>
      <c r="E248" t="inlineStr">
        <is>
          <t>Industrials</t>
        </is>
      </c>
      <c r="F248" t="inlineStr"/>
      <c r="G248" t="inlineStr"/>
      <c r="H248" t="inlineStr">
        <is>
          <t>2.28%</t>
        </is>
      </c>
      <c r="I248" t="inlineStr">
        <is>
          <t>0.00%</t>
        </is>
      </c>
    </row>
    <row r="249">
      <c r="A249" s="2" t="n">
        <v>45982</v>
      </c>
      <c r="B249" t="inlineStr">
        <is>
          <t>TDVI</t>
        </is>
      </c>
      <c r="C249" t="inlineStr">
        <is>
          <t>GICS_INDUSTRY_NAME</t>
        </is>
      </c>
      <c r="D249" t="inlineStr">
        <is>
          <t>Professional Services</t>
        </is>
      </c>
      <c r="E249" t="inlineStr">
        <is>
          <t>Industrials</t>
        </is>
      </c>
      <c r="F249" t="inlineStr"/>
      <c r="G249" t="inlineStr"/>
      <c r="H249" t="inlineStr">
        <is>
          <t>2.28%</t>
        </is>
      </c>
      <c r="I249" t="inlineStr">
        <is>
          <t>0.00%</t>
        </is>
      </c>
    </row>
    <row r="250">
      <c r="A250" s="2" t="n">
        <v>45982</v>
      </c>
      <c r="B250" t="inlineStr">
        <is>
          <t>TDVI</t>
        </is>
      </c>
      <c r="C250" t="inlineStr">
        <is>
          <t>GICS_INDUSTRY_GROUP_NAME</t>
        </is>
      </c>
      <c r="D250" t="inlineStr">
        <is>
          <t>Media &amp; Entertainment</t>
        </is>
      </c>
      <c r="E250" t="inlineStr">
        <is>
          <t>Communication Services</t>
        </is>
      </c>
      <c r="F250" t="inlineStr"/>
      <c r="G250" t="inlineStr"/>
      <c r="H250" t="inlineStr">
        <is>
          <t>2.07%</t>
        </is>
      </c>
      <c r="I250" t="inlineStr">
        <is>
          <t>0.00%</t>
        </is>
      </c>
    </row>
    <row r="251">
      <c r="A251" s="2" t="n">
        <v>45982</v>
      </c>
      <c r="B251" t="inlineStr">
        <is>
          <t>TDVI</t>
        </is>
      </c>
      <c r="C251" t="inlineStr">
        <is>
          <t>GICS_INDUSTRY_NAME</t>
        </is>
      </c>
      <c r="D251" t="inlineStr">
        <is>
          <t>Media</t>
        </is>
      </c>
      <c r="E251" t="inlineStr">
        <is>
          <t>Communication Services</t>
        </is>
      </c>
      <c r="F251" t="inlineStr"/>
      <c r="G251" t="inlineStr"/>
      <c r="H251" t="inlineStr">
        <is>
          <t>1.62%</t>
        </is>
      </c>
      <c r="I251" t="inlineStr">
        <is>
          <t>0.00%</t>
        </is>
      </c>
    </row>
    <row r="252">
      <c r="A252" s="2" t="n">
        <v>45982</v>
      </c>
      <c r="B252" t="inlineStr">
        <is>
          <t>TDVI</t>
        </is>
      </c>
      <c r="C252" t="inlineStr">
        <is>
          <t>GICS_INDUSTRY_NAME</t>
        </is>
      </c>
      <c r="D252" t="inlineStr">
        <is>
          <t>Interactive Media &amp; Services</t>
        </is>
      </c>
      <c r="E252" t="inlineStr">
        <is>
          <t>Communication Services</t>
        </is>
      </c>
      <c r="F252" t="inlineStr"/>
      <c r="G252" t="inlineStr"/>
      <c r="H252" t="inlineStr">
        <is>
          <t>0.45%</t>
        </is>
      </c>
      <c r="I252"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50" customWidth="1" min="1" max="1"/>
    <col width="6" customWidth="1" min="2" max="2"/>
    <col width="31" customWidth="1" min="3" max="3"/>
    <col width="27" customWidth="1" min="4" max="4"/>
    <col width="41" customWidth="1" min="5" max="5"/>
    <col width="27" customWidth="1" min="6" max="6"/>
    <col width="20" customWidth="1" min="7" max="7"/>
    <col width="18" customWidth="1" min="8" max="8"/>
    <col width="20" customWidth="1" min="9" max="9"/>
    <col width="20"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DOGG</t>
        </is>
      </c>
      <c r="C2" s="3">
        <f>IF(K2/J2&gt;=0.8,"PASS","FAIL")</f>
        <v/>
      </c>
      <c r="D2" s="3" t="n">
        <v>19969380.059</v>
      </c>
      <c r="E2" s="3" t="n">
        <v>0</v>
      </c>
      <c r="F2" s="3" t="n">
        <v>0</v>
      </c>
      <c r="G2" s="3" t="n">
        <v>3377802036.354166</v>
      </c>
      <c r="H2" s="3" t="n">
        <v>415320.37</v>
      </c>
      <c r="I2" s="3" t="n">
        <v>3378217356.724165</v>
      </c>
      <c r="J2" s="3" t="n">
        <v>3398186736.783165</v>
      </c>
      <c r="K2" s="3" t="n">
        <v>3397771416.413166</v>
      </c>
      <c r="L2" s="4">
        <f>K2/J2</f>
        <v/>
      </c>
      <c r="M2" s="3" t="n">
        <v>3398186736.783165</v>
      </c>
      <c r="N2" s="3" t="n">
        <v>3397771416.413166</v>
      </c>
      <c r="O2" s="4">
        <f>N2/M2</f>
        <v/>
      </c>
      <c r="P2" t="inlineStr">
        <is>
          <t>Yes</t>
        </is>
      </c>
    </row>
    <row r="3">
      <c r="A3" s="2" t="n">
        <v>45982</v>
      </c>
      <c r="B3" t="inlineStr">
        <is>
          <t>SDVD</t>
        </is>
      </c>
      <c r="C3" s="3">
        <f>IF(K3/J3&gt;=0.8,"PASS","FAIL")</f>
        <v/>
      </c>
      <c r="D3" s="3" t="n">
        <v>657311377.3779998</v>
      </c>
      <c r="E3" s="3" t="n">
        <v>38521279.14385921</v>
      </c>
      <c r="F3" s="3" t="n">
        <v>-985920.0000000001</v>
      </c>
      <c r="G3" s="3" t="n">
        <v>0</v>
      </c>
      <c r="H3" s="3" t="n">
        <v>5581024.7</v>
      </c>
      <c r="I3" s="3" t="n">
        <v>0</v>
      </c>
      <c r="J3" s="3" t="n">
        <v>701413681.221859</v>
      </c>
      <c r="K3" s="3" t="n">
        <v>657311377.3779998</v>
      </c>
      <c r="L3" s="4">
        <f>K3/J3</f>
        <v/>
      </c>
      <c r="M3" s="3" t="n">
        <v>661906482.0779998</v>
      </c>
      <c r="N3" s="3" t="n">
        <v>657311377.3779998</v>
      </c>
      <c r="O3" s="4">
        <f>N3/M3</f>
        <v/>
      </c>
      <c r="P3" t="inlineStr">
        <is>
          <t>No</t>
        </is>
      </c>
    </row>
    <row r="4">
      <c r="A4" s="2" t="n">
        <v>45982</v>
      </c>
      <c r="B4" t="inlineStr">
        <is>
          <t>TDVI</t>
        </is>
      </c>
      <c r="C4" s="3">
        <f>IF(K4/J4&gt;=0.8,"PASS","FAIL")</f>
        <v/>
      </c>
      <c r="D4" s="3" t="n">
        <v>188296705.485</v>
      </c>
      <c r="E4" s="3" t="n">
        <v>11520885.509914</v>
      </c>
      <c r="F4" s="3" t="n">
        <v>-234940</v>
      </c>
      <c r="G4" s="3" t="n">
        <v>0</v>
      </c>
      <c r="H4" s="3" t="n">
        <v>1533246.56</v>
      </c>
      <c r="I4" s="3" t="n">
        <v>0</v>
      </c>
      <c r="J4" s="3" t="n">
        <v>201350837.554914</v>
      </c>
      <c r="K4" s="3" t="n">
        <v>188296705.485</v>
      </c>
      <c r="L4" s="4">
        <f>K4/J4</f>
        <v/>
      </c>
      <c r="M4" s="3" t="n">
        <v>189595012.045</v>
      </c>
      <c r="N4" s="3" t="n">
        <v>188296705.485</v>
      </c>
      <c r="O4" s="4">
        <f>N4/M4</f>
        <v/>
      </c>
      <c r="P4" t="inlineStr">
        <is>
          <t>No</t>
        </is>
      </c>
    </row>
    <row r="5">
      <c r="A5" s="2" t="n">
        <v>45982</v>
      </c>
      <c r="B5" t="inlineStr">
        <is>
          <t>FGSI</t>
        </is>
      </c>
      <c r="C5" s="3">
        <f>IF(K5/J5&gt;=0.8,"PASS","FAIL")</f>
        <v/>
      </c>
      <c r="D5" s="3" t="n">
        <v>2919317.515</v>
      </c>
      <c r="E5" s="3" t="n">
        <v>230557.201238</v>
      </c>
      <c r="F5" s="3" t="n">
        <v>-4697</v>
      </c>
      <c r="G5" s="3" t="n">
        <v>0</v>
      </c>
      <c r="H5" s="3" t="n">
        <v>25370.08</v>
      </c>
      <c r="I5" s="3" t="n">
        <v>0</v>
      </c>
      <c r="J5" s="3" t="n">
        <v>3175244.796238</v>
      </c>
      <c r="K5" s="3" t="n">
        <v>3149874.716237999</v>
      </c>
      <c r="L5" s="4">
        <f>K5/J5</f>
        <v/>
      </c>
      <c r="M5" s="3" t="n">
        <v>2939990.595</v>
      </c>
      <c r="N5" s="3" t="n">
        <v>2914620.515</v>
      </c>
      <c r="O5" s="4">
        <f>N5/M5</f>
        <v/>
      </c>
      <c r="P5" t="inlineStr">
        <is>
          <t>Yes</t>
        </is>
      </c>
    </row>
    <row r="6">
      <c r="A6" s="2" t="n">
        <v>45982</v>
      </c>
      <c r="B6" t="inlineStr">
        <is>
          <t>RDVI</t>
        </is>
      </c>
      <c r="C6" s="3">
        <f>IF(K6/J6&gt;=0.8,"PASS","FAIL")</f>
        <v/>
      </c>
      <c r="D6" s="3" t="n">
        <v>2445974594.451</v>
      </c>
      <c r="E6" s="3" t="n">
        <v>181284521.994235</v>
      </c>
      <c r="F6" s="3" t="n">
        <v>-3696850</v>
      </c>
      <c r="G6" s="3" t="n">
        <v>0</v>
      </c>
      <c r="H6" s="3" t="n">
        <v>21042647.02</v>
      </c>
      <c r="I6" s="3" t="n">
        <v>0</v>
      </c>
      <c r="J6" s="3" t="n">
        <v>2648301763.465235</v>
      </c>
      <c r="K6" s="3" t="n">
        <v>2445974594.451</v>
      </c>
      <c r="L6" s="4">
        <f>K6/J6</f>
        <v/>
      </c>
      <c r="M6" s="3" t="n">
        <v>2463320391.471</v>
      </c>
      <c r="N6" s="3" t="n">
        <v>2445974594.451</v>
      </c>
      <c r="O6" s="4">
        <f>N6/M6</f>
        <v/>
      </c>
      <c r="P6" t="inlineStr">
        <is>
          <t>No</t>
        </is>
      </c>
    </row>
    <row r="7">
      <c r="A7" s="2" t="n">
        <v>45982</v>
      </c>
      <c r="B7" t="inlineStr">
        <is>
          <t>KNG</t>
        </is>
      </c>
      <c r="C7" s="3">
        <f>IF(K7/J7&gt;=0.8,"PASS","FAIL")</f>
        <v/>
      </c>
      <c r="D7" s="3" t="n">
        <v>3475474371.456</v>
      </c>
      <c r="E7" s="3" t="n">
        <v>372673266.3152868</v>
      </c>
      <c r="F7" s="3" t="n">
        <v>-25783353</v>
      </c>
      <c r="G7" s="3" t="n">
        <v>0</v>
      </c>
      <c r="H7" s="3" t="n">
        <v>29637499.67</v>
      </c>
      <c r="I7" s="3" t="n">
        <v>0</v>
      </c>
      <c r="J7" s="3" t="n">
        <v>3877785137.441287</v>
      </c>
      <c r="K7" s="3" t="n">
        <v>3848147637.771287</v>
      </c>
      <c r="L7" s="4">
        <f>K7/J7</f>
        <v/>
      </c>
      <c r="M7" s="3" t="n">
        <v>3479328518.126</v>
      </c>
      <c r="N7" s="3" t="n">
        <v>3449691018.456</v>
      </c>
      <c r="O7" s="4">
        <f>N7/M7</f>
        <v/>
      </c>
      <c r="P7" t="inlineStr">
        <is>
          <t>Yes</t>
        </is>
      </c>
    </row>
    <row r="8">
      <c r="A8" s="2" t="n">
        <v>45982</v>
      </c>
      <c r="B8" t="inlineStr">
        <is>
          <t>FDND</t>
        </is>
      </c>
      <c r="C8" s="3">
        <f>IF(K8/J8&gt;=0.8,"PASS","FAIL")</f>
        <v/>
      </c>
      <c r="D8" s="3" t="n">
        <v>9747794.789999999</v>
      </c>
      <c r="E8" s="3" t="n">
        <v>646176.3903</v>
      </c>
      <c r="F8" s="3" t="n">
        <v>-15750</v>
      </c>
      <c r="G8" s="3" t="n">
        <v>0</v>
      </c>
      <c r="H8" s="3" t="n">
        <v>82164.53999999999</v>
      </c>
      <c r="I8" s="3" t="n">
        <v>0</v>
      </c>
      <c r="J8" s="3" t="n">
        <v>10476135.7203</v>
      </c>
      <c r="K8" s="3" t="n">
        <v>9747794.789999999</v>
      </c>
      <c r="L8" s="4">
        <f>K8/J8</f>
        <v/>
      </c>
      <c r="M8" s="3" t="n">
        <v>9814209.329999998</v>
      </c>
      <c r="N8" s="3" t="n">
        <v>9747794.789999999</v>
      </c>
      <c r="O8" s="4">
        <f>N8/M8</f>
        <v/>
      </c>
      <c r="P8" t="inlineStr">
        <is>
          <t>No</t>
        </is>
      </c>
    </row>
    <row r="9">
      <c r="A9" t="inlineStr">
        <is>
          <t>* Note: Some funds' 80% policies include the options positions while others only include equity exposure.</t>
        </is>
      </c>
      <c r="B9" t="inlineStr"/>
      <c r="C9" t="inlineStr"/>
      <c r="D9" t="inlineStr"/>
      <c r="E9" t="inlineStr"/>
      <c r="F9" t="inlineStr"/>
      <c r="G9" t="inlineStr"/>
      <c r="H9" t="inlineStr"/>
      <c r="I9" t="inlineStr"/>
      <c r="J9" t="inlineStr"/>
      <c r="K9" t="inlineStr"/>
      <c r="L9" t="inlineStr"/>
      <c r="M9" t="inlineStr"/>
      <c r="N9" t="inlineStr"/>
      <c r="O9" t="inlineStr"/>
      <c r="P9" t="inlineStr"/>
    </row>
    <row r="10">
      <c r="A10" t="inlineStr">
        <is>
          <t>* CCET = Cash, Cash Equivalents, and T-bills (less than 1-year maturity).</t>
        </is>
      </c>
      <c r="B10" t="inlineStr"/>
      <c r="C10" t="inlineStr"/>
      <c r="D10" t="inlineStr"/>
      <c r="E10" t="inlineStr"/>
      <c r="F10" t="inlineStr"/>
      <c r="G10" t="inlineStr"/>
      <c r="H10" t="inlineStr"/>
      <c r="I10" t="inlineStr"/>
      <c r="J10" t="inlineStr"/>
      <c r="K10" t="inlineStr"/>
      <c r="L10" t="inlineStr"/>
      <c r="M10" t="inlineStr"/>
      <c r="N10" t="inlineStr"/>
      <c r="O10" t="inlineStr"/>
      <c r="P10"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8"/>
  <sheetViews>
    <sheetView workbookViewId="0">
      <selection activeCell="A1" sqref="A1"/>
    </sheetView>
  </sheetViews>
  <sheetFormatPr baseColWidth="8" defaultRowHeight="15"/>
  <cols>
    <col width="50" customWidth="1" min="1" max="1"/>
    <col width="6" customWidth="1" min="2" max="2"/>
    <col width="19" customWidth="1" min="3" max="3"/>
    <col width="19" customWidth="1" min="4" max="4"/>
    <col width="26" customWidth="1" min="5" max="5"/>
    <col width="32" customWidth="1" min="6" max="6"/>
    <col width="30" customWidth="1" min="7" max="7"/>
    <col width="41" customWidth="1" min="8" max="8"/>
    <col width="48" customWidth="1" min="9" max="9"/>
    <col width="15" customWidth="1" min="10" max="10"/>
    <col width="30" customWidth="1" min="11" max="11"/>
    <col width="15"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20" customWidth="1" min="21" max="21"/>
    <col width="23"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DOGG</t>
        </is>
      </c>
      <c r="C2" t="inlineStr">
        <is>
          <t>non-diversified</t>
        </is>
      </c>
      <c r="D2" t="inlineStr">
        <is>
          <t>diversified</t>
        </is>
      </c>
      <c r="E2" s="3">
        <f>IF(C2=D2,"PASS","FAIL")</f>
        <v/>
      </c>
      <c r="F2" s="3">
        <f>IF(L2/J2&gt;=0.75,"PASS","FAIL")</f>
        <v/>
      </c>
      <c r="G2" s="3">
        <f>IF(O2="None","PASS","FAIL")</f>
        <v/>
      </c>
      <c r="H2" s="3">
        <f>IF(T2="","",IF(T2&lt;=0.1,"PASS","FAIL"))</f>
        <v/>
      </c>
      <c r="I2" s="3">
        <f>IF(U2=0,"PASS",IF(U2&lt;=0.05*L2,"PASS","FAIL"))</f>
        <v/>
      </c>
      <c r="J2" s="3" t="n">
        <v>54251961.19</v>
      </c>
      <c r="K2" s="5" t="n">
        <v>0</v>
      </c>
      <c r="L2" s="3" t="n">
        <v>44944054.03</v>
      </c>
      <c r="M2" s="3" t="n">
        <v>896.65</v>
      </c>
      <c r="N2" s="3" t="n">
        <v>0</v>
      </c>
      <c r="O2" t="inlineStr">
        <is>
          <t>None</t>
        </is>
      </c>
      <c r="P2" t="inlineStr">
        <is>
          <t>AMGN, VZ, MRK, KO, PG, MCD</t>
        </is>
      </c>
      <c r="Q2" s="5" t="n">
        <v>0.2865331378518726</v>
      </c>
      <c r="R2" s="5" t="n">
        <v>0.7134668621481275</v>
      </c>
      <c r="S2" t="inlineStr">
        <is>
          <t>(None, 0, 3.54%, 0.0000000%), (None, 0, 3.49%, 0.0000000%), (None, 0, 3.34%, 0.0000000%), (None, 0, 2.69%, 0.0000000%)</t>
        </is>
      </c>
      <c r="T2" s="5" t="n">
        <v>0</v>
      </c>
      <c r="U2" s="3" t="n">
        <v>0</v>
      </c>
      <c r="V2" s="5" t="n">
        <v>0</v>
      </c>
      <c r="W2" t="inlineStr"/>
    </row>
    <row r="3">
      <c r="A3" s="2" t="n">
        <v>45982</v>
      </c>
      <c r="B3" t="inlineStr">
        <is>
          <t>SDVD</t>
        </is>
      </c>
      <c r="C3" t="inlineStr">
        <is>
          <t>non-diversified</t>
        </is>
      </c>
      <c r="D3" t="inlineStr">
        <is>
          <t>diversified</t>
        </is>
      </c>
      <c r="E3" s="3">
        <f>IF(C3=D3,"PASS","FAIL")</f>
        <v/>
      </c>
      <c r="F3" s="3">
        <f>IF(L3/J3&gt;=0.75,"PASS","FAIL")</f>
        <v/>
      </c>
      <c r="G3" s="3">
        <f>IF(O3="None","PASS","FAIL")</f>
        <v/>
      </c>
      <c r="H3" s="3">
        <f>IF(T3="","",IF(T3&lt;=0.1,"PASS","FAIL"))</f>
        <v/>
      </c>
      <c r="I3" s="3">
        <f>IF(U3=0,"PASS",IF(U3&lt;=0.05*L3,"PASS","FAIL"))</f>
        <v/>
      </c>
      <c r="J3" s="3" t="n">
        <v>663468524.62</v>
      </c>
      <c r="K3" s="5" t="n">
        <v>0</v>
      </c>
      <c r="L3" s="3" t="n">
        <v>658467017.83</v>
      </c>
      <c r="M3" s="3" t="n">
        <v>15119.15</v>
      </c>
      <c r="N3" s="3" t="n">
        <v>0</v>
      </c>
      <c r="O3" t="inlineStr">
        <is>
          <t>None</t>
        </is>
      </c>
      <c r="P3" t="inlineStr">
        <is>
          <t>FIX, IDCC, ENS, YOU, IBP, COKE, MLI, RL, WWD, WFRD, PSMT, FOXA, WMS, NYT, EME, ITT, WTS, IBKR, WRB, CBOE, CADE, NTRS, NOV, MTG</t>
        </is>
      </c>
      <c r="Q3" s="5" t="n">
        <v>0.2510737438935515</v>
      </c>
      <c r="R3" s="5" t="n">
        <v>0.7489262561064485</v>
      </c>
      <c r="S3" t="inlineStr">
        <is>
          <t>(None, 0, 0.89%, 0.0000000%), (None, 0, 0.88%, 0.0000000%), (None, 0, 0.87%, 0.0000000%), (None, 0, 0.86%, 0.0000000%), (None, 0, 0.85%, 0.0000000%), (None, 0, 0.85%, 0.0000000%), (None, 0, 0.84%, 0.0000000%), (None, 0, 0.83%, 0.0000000%), (None, 0, 0.83%, 0.0000000%), (None, 0, 0.82%, 0.0000000%), (None, 0, 0.82%, 0.0000000%), (None, 0, 0.81%, 0.0000000%), (None, 0, 0.81%, 0.0000000%), (None, 0, 0.80%, 0.0000000%), (None, 0, 0.80%, 0.0000000%), (None, 0, 0.80%, 0.0000000%), (None, 0, 0.79%, 0.0000000%), (None, 0, 0.79%, 0.0000000%), (None, 0, 0.79%, 0.0000000%), (None, 0, 0.79%, 0.0000000%), (None, 0, 0.79%, 0.0000000%), (None, 0, 0.78%, 0.0000000%), (None, 0, 0.78%, 0.0000000%), (None, 0, 0.78%, 0.0000000%), (None, 0, 0.78%, 0.0000000%), (None, 0, 0.78%, 0.0000000%), (None, 0, 0.77%, 0.0000000%), (None, 0, 0.77%, 0.0000000%), (None, 0, 0.77%, 0.0000000%), (None, 0, 0.76%, 0.0000000%), (None, 0, 0.75%, 0.0000000%), (None, 0, 0.74%, 0.0000000%), (None, 0, 0.74%, 0.0000000%), (None, 0, 0.73%, 0.0000000%), (None, 0, 0.73%, 0.0000000%), (None, 0, 0.71%, 0.0000000%), (None, 0, 0.70%, 0.0000000%), (None, 0, 0.70%, 0.0000000%), (None, 0, 0.69%, 0.0000000%), (None, 0, 0.68%, 0.0000000%), (None, 0, 0.68%, 0.0000000%), (None, 0, 0.67%, 0.0000000%), (None, 0, 0.67%, 0.0000000%), (None, 0, 0.66%, 0.0000000%), (None, 0, 0.66%, 0.0000000%), (None, 0, 0.66%, 0.0000000%), (None, 0, 0.66%, 0.0000000%), (None, 0, 0.64%, 0.0000000%), (None, 0, 0.64%, 0.0000000%), (None, 0, 0.63%, 0.0000000%), (None, 0, 0.63%, 0.0000000%), (None, 0, 0.63%, 0.0000000%), (None, 0, 0.63%, 0.0000000%), (None, 0, 0.63%, 0.0000000%), (None, 0, 0.63%, 0.0000000%), (None, 0, 0.61%, 0.0000000%), (None, 0, 0.61%, 0.0000000%), (None, 0, 0.60%, 0.0000000%), (None, 0, 0.60%, 0.0000000%), (None, 0, 0.59%, 0.0000000%), (None, 0, 0.58%, 0.0000000%), (None, 0, 0.58%, 0.0000000%), (None, 0, 0.57%, 0.0000000%), (None, 0, 0.57%, 0.0000000%), (None, 0, 0.56%, 0.0000000%), (None, 0, 0.56%, 0.0000000%), (None, 0, 0.56%, 0.0000000%), (None, 0, 0.54%, 0.0000000%), (None, 0, 0.54%, 0.0000000%), (None, 0, 0.53%, 0.0000000%), (None, 0, 0.53%, 0.0000000%), (None, 0, 0.52%, 0.0000000%), (None, 0, 0.52%, 0.0000000%), (None, 0, 0.52%, 0.0000000%), (None, 0, 0.52%, 0.0000000%), (None, 0, 0.51%, 0.0000000%), (None, 0, 0.51%, 0.0000000%), (None, 0, 0.50%, 0.0000000%), (None, 0, 0.46%, 0.0000000%), (None, 0, 0.46%, 0.0000000%), (None, 0, 0.46%, 0.0000000%), (None, 0, 0.45%, 0.0000000%), (None, 0, 0.45%, 0.0000000%), (None, 0, 0.45%, 0.0000000%), (None, 0, 0.44%, 0.0000000%), (None, 0, 0.44%, 0.0000000%), (None, 0, 0.43%, 0.0000000%), (None, 0, 0.42%, 0.0000000%), (None, 0, 0.42%, 0.0000000%), (None, 0, 0.41%, 0.0000000%), (None, 0, 0.41%, 0.0000000%), (None, 0, 0.40%, 0.0000000%), (None, 0, 0.38%, 0.0000000%), (None, 0, 0.38%, 0.0000000%), (None, 0, 0.37%, 0.0000000%), (None, 0, 0.37%, 0.0000000%), (None, 0, 0.35%, 0.0000000%), (None, 0, 0.35%, 0.0000000%), (None, 0, 0.35%, 0.0000000%), (None, 0, 0.34%, 0.0000000%), (None, 0, 0.34%, 0.0000000%), (None, 0, 0.34%, 0.0000000%), (None, 0, 0.32%, 0.0000000%), (None, 0, 0.32%, 0.0000000%), (None, 0, 0.26%, 0.0000000%), (None, 0, 0.26%, 0.0000000%), (None, 0, 0.25%, 0.0000000%), (None, 0, 0.24%, 0.0000000%), (None, 0, 0.24%, 0.0000000%), (None, 0, 0.24%, 0.0000000%), (None, 0, 0.24%, 0.0000000%), (None, 0, 0.23%, 0.0000000%), (None, 0, 0.23%, 0.0000000%), (None, 0, 0.23%, 0.0000000%), (None, 0, 0.23%, 0.0000000%), (None, 0, 0.23%, 0.0000000%), (None, 0, 0.22%, 0.0000000%), (None, 0, 0.21%, 0.0000000%), (None, 0, 0.21%, 0.0000000%), (None, 0, 0.21%, 0.0000000%), (None, 0, 0.21%, 0.0000000%), (None, 0, 0.21%, 0.0000000%), (None, 0, 0.20%, 0.0000000%), (None, 0, 0.20%, 0.0000000%), (None, 0, 0.20%, 0.0000000%), (None, 0, 0.20%, 0.0000000%), (None, 0, 0.20%, 0.0000000%), (None, 0, 0.20%, 0.0000000%), (None, 0, 0.20%, 0.0000000%), (None, 0, 0.19%, 0.0000000%), (None, 0, 0.19%, 0.0000000%), (None, 0, 0.18%, 0.0000000%), (None, 0, 0.18%, 0.0000000%), (None, 0, 0.18%, 0.0000000%), (None, 0, 0.18%, 0.0000000%), (None, 0, 0.18%, 0.0000000%), (None, 0, 0.18%, 0.0000000%), (None, 0, 0.18%, 0.0000000%), (None, 0, 0.18%, 0.0000000%), (None, 0, 0.18%, 0.0000000%), (None, 0, 0.17%, 0.0000000%), (None, 0, 0.17%, 0.0000000%), (None, 0, 0.17%, 0.0000000%), (None, 0, 0.17%, 0.0000000%), (None, 0, 0.16%, 0.0000000%), (None, 0, 0.16%, 0.0000000%), (None, 0, 0.15%, 0.0000000%), (None, 0, 0.15%, 0.0000000%), (None, 0, 0.15%, 0.0000000%), (None, 0, 0.14%, 0.0000000%), (None, 0, 0.14%, 0.0000000%), (None, 0, 0.13%, 0.0000000%), (None, 0, 0.13%, 0.0000000%), (None, 0, 0.12%, 0.0000000%), (None, 0, 0.12%, 0.0000000%), (None, 0, 0.11%, 0.0000000%), (None, 0, 0.09%, 0.0000000%)</t>
        </is>
      </c>
      <c r="T3" s="5" t="n">
        <v>0</v>
      </c>
      <c r="U3" s="3" t="n">
        <v>985920.0000000001</v>
      </c>
      <c r="V3" s="5" t="n">
        <v>0.001486008700359499</v>
      </c>
      <c r="W3" t="inlineStr"/>
    </row>
    <row r="4">
      <c r="A4" s="2" t="n">
        <v>45982</v>
      </c>
      <c r="B4" t="inlineStr">
        <is>
          <t>TDVI</t>
        </is>
      </c>
      <c r="C4" t="inlineStr">
        <is>
          <t>non-diversified</t>
        </is>
      </c>
      <c r="D4" t="inlineStr">
        <is>
          <t>non-diversified</t>
        </is>
      </c>
      <c r="E4" s="3">
        <f>IF(C4=D4,"PASS","FAIL")</f>
        <v/>
      </c>
      <c r="F4" s="3">
        <f>IF(L4/J4&gt;=0.75,"PASS","FAIL")</f>
        <v/>
      </c>
      <c r="G4" s="3">
        <f>IF(O4="None","PASS","FAIL")</f>
        <v/>
      </c>
      <c r="H4" s="3">
        <f>IF(T4="","",IF(T4&lt;=0.1,"PASS","FAIL"))</f>
        <v/>
      </c>
      <c r="I4" s="3">
        <f>IF(U4=0,"PASS",IF(U4&lt;=0.05*L4,"PASS","FAIL"))</f>
        <v/>
      </c>
      <c r="J4" s="3" t="n">
        <v>190203088.24</v>
      </c>
      <c r="K4" s="5" t="n">
        <v>0</v>
      </c>
      <c r="L4" s="3" t="n">
        <v>188834563.79</v>
      </c>
      <c r="M4" s="3" t="n">
        <v>3874.91</v>
      </c>
      <c r="N4" s="3" t="n">
        <v>37792730.415</v>
      </c>
      <c r="O4" t="inlineStr">
        <is>
          <t>(None, 29,910, 14,095,087.50), (None, 74,848, 11,936,759.04), (None, 59,475, 11,760,883.88)</t>
        </is>
      </c>
      <c r="P4" t="inlineStr">
        <is>
          <t>IBM, AVGO</t>
        </is>
      </c>
      <c r="Q4" s="5" t="n">
        <v>0.1898006778825626</v>
      </c>
      <c r="R4" s="5" t="n">
        <v>0.8101993221174375</v>
      </c>
      <c r="S4" t="inlineStr">
        <is>
          <t>(None, 0, 7.41%, 0.0000000%), (None, 0, 6.28%, 0.0000000%), (None, 0, 6.18%, 0.0000000%), (None, 0, 4.73%, 0.0000000%), (None, 0, 4.05%, 0.0000000%), (None, 0, 2.68%, 0.0000000%), (None, 0, 2.53%, 0.0000000%), (None, 0, 2.41%, 0.0000000%), (None, 0, 2.19%, 0.0000000%), (None, 0, 2.08%, 0.0000000%), (None, 0, 2.00%, 0.0000000%), (None, 0, 1.86%, 0.0000000%), (None, 0, 1.76%, 0.0000000%), (None, 0, 1.68%, 0.0000000%), (None, 0, 1.65%, 0.0000000%), (None, 0, 1.65%, 0.0000000%), (None, 0, 1.63%, 0.0000000%), (None, 0, 1.60%, 0.0000000%), (None, 0, 1.60%, 0.0000000%), (None, 0, 1.55%, 0.0000000%), (None, 0, 1.44%, 0.0000000%), (None, 0, 1.42%, 0.0000000%), (None, 0, 1.30%, 0.0000000%), (None, 0, 1.25%, 0.0000000%), (None, 0, 1.21%, 0.0000000%), (None, 0, 1.21%, 0.0000000%), (None, 0, 1.13%, 0.0000000%), (None, 0, 1.12%, 0.0000000%), (None, 0, 0.96%, 0.0000000%), (None, 0, 0.91%, 0.0000000%), (None, 0, 0.90%, 0.0000000%), (None, 0, 0.57%, 0.0000000%), (None, 0, 0.53%, 0.0000000%), (None, 0, 0.50%, 0.0000000%), (None, 0, 0.46%, 0.0000000%), (None, 0, 0.42%, 0.0000000%), (None, 0, 0.41%, 0.0000000%), (None, 0, 0.40%, 0.0000000%), (None, 0, 0.39%, 0.0000000%), (None, 0, 0.39%, 0.0000000%), (None, 0, 0.34%, 0.0000000%), (None, 0, 0.31%, 0.0000000%), (None, 0, 0.31%, 0.0000000%), (None, 0, 0.30%, 0.0000000%), (None, 0, 0.29%, 0.0000000%), (None, 0, 0.28%, 0.0000000%), (None, 0, 0.21%, 0.0000000%), (None, 0, 0.21%, 0.0000000%), (None, 0, 0.20%, 0.0000000%), (None, 0, 0.19%, 0.0000000%), (None, 0, 0.18%, 0.0000000%), (None, 0, 0.17%, 0.0000000%), (None, 0, 0.16%, 0.0000000%), (None, 0, 0.13%, 0.0000000%), (None, 0, 0.13%, 0.0000000%), (None, 0, 0.12%, 0.0000000%), (None, 0, 0.12%, 0.0000000%), (None, 0, 0.11%, 0.0000000%), (None, 0, 0.11%, 0.0000000%), (None, 0, 0.10%, 0.0000000%), (None, 0, 0.10%, 0.0000000%), (None, 0, 0.10%, 0.0000000%), (None, 0, 0.09%, 0.0000000%), (None, 0, 0.09%, 0.0000000%), (None, 0, 0.09%, 0.0000000%), (None, 0, 0.09%, 0.0000000%), (None, 0, 0.09%, 0.0000000%), (None, 0, 0.09%, 0.0000000%), (None, 0, 0.08%, 0.0000000%), (None, 0, 0.07%, 0.0000000%), (None, 0, 0.07%, 0.0000000%), (None, 0, 0.07%, 0.0000000%), (None, 0, 0.06%, 0.0000000%), (None, 0, 0.06%, 0.0000000%), (None, 0, 0.06%, 0.0000000%), (None, 0, 0.05%, 0.0000000%), (None, 0, 0.05%, 0.0000000%), (None, 0, 0.05%, 0.0000000%), (None, 0, 0.05%, 0.0000000%), (None, 0, 0.04%, 0.0000000%), (None, 0, 0.04%, 0.0000000%), (None, 0, 0.04%, 0.0000000%), (None, 0, 0.04%, 0.0000000%), (None, 0, 0.03%, 0.0000000%), (None, 0, 0.03%, 0.0000000%), (None, 0, 0.02%, 0.0000000%), (None, 0, 0.02%, 0.0000000%), (None, 0, 0.02%, 0.0000000%), (None, 0, 0.01%, 0.0000000%), (None, 0, 0.01%, 0.0000000%), (None, 0, 0.00%, 0.0000000%)</t>
        </is>
      </c>
      <c r="T4" s="5" t="n">
        <v>0</v>
      </c>
      <c r="U4" s="3" t="n">
        <v>234940</v>
      </c>
      <c r="V4" s="5" t="n">
        <v>0.001235206022015534</v>
      </c>
      <c r="W4" t="inlineStr"/>
    </row>
    <row r="5">
      <c r="A5" s="2" t="n">
        <v>45982</v>
      </c>
      <c r="B5" t="inlineStr">
        <is>
          <t>FGSI</t>
        </is>
      </c>
      <c r="C5" t="inlineStr">
        <is>
          <t>non-diversified</t>
        </is>
      </c>
      <c r="D5" t="inlineStr">
        <is>
          <t>diversified</t>
        </is>
      </c>
      <c r="E5" s="3">
        <f>IF(C5=D5,"PASS","FAIL")</f>
        <v/>
      </c>
      <c r="F5" s="3">
        <f>IF(L5/J5&gt;=0.75,"PASS","FAIL")</f>
        <v/>
      </c>
      <c r="G5" s="3">
        <f>IF(O5="None","PASS","FAIL")</f>
        <v/>
      </c>
      <c r="H5" s="3">
        <f>IF(T5="","",IF(T5&lt;=0.1,"PASS","FAIL"))</f>
        <v/>
      </c>
      <c r="I5" s="3">
        <f>IF(U5=0,"PASS",IF(U5&lt;=0.05*L5,"PASS","FAIL"))</f>
        <v/>
      </c>
      <c r="J5" s="3" t="n">
        <v>2949398.84</v>
      </c>
      <c r="K5" s="5" t="n">
        <v>0</v>
      </c>
      <c r="L5" s="3" t="n">
        <v>2927194.66</v>
      </c>
      <c r="M5" s="3" t="n">
        <v>67.90000000000001</v>
      </c>
      <c r="N5" s="3" t="n">
        <v>0</v>
      </c>
      <c r="O5" t="inlineStr">
        <is>
          <t>None</t>
        </is>
      </c>
      <c r="P5" t="inlineStr">
        <is>
          <t>LLY, INCY, SLB, UTHR, BKR, APO, TJX, CBOE, APH, CAT</t>
        </is>
      </c>
      <c r="Q5" s="5" t="n">
        <v>0.232095136781918</v>
      </c>
      <c r="R5" s="5" t="n">
        <v>0.767904863218082</v>
      </c>
      <c r="S5" t="inlineStr">
        <is>
          <t>(None, 0, 2.14%, 0.0000000%), (None, 0, 2.12%, 0.0000000%), (None, 0, 2.10%, 0.0000000%), (None, 0, 2.09%, 0.0000000%), (None, 0, 2.05%, 0.0000000%), (None, 0, 2.04%, 0.0000000%), (None, 0, 2.03%, 0.0000000%), (None, 0, 2.03%, 0.0000000%), (None, 0, 2.02%, 0.0000000%), (None, 0, 2.01%, 0.0000000%), (None, 0, 2.01%, 0.0000000%), (None, 0, 2.01%, 0.0000000%), (None, 0, 2.00%, 0.0000000%), (None, 0, 1.99%, 0.0000000%), (None, 0, 1.99%, 0.0000000%), (None, 0, 1.98%, 0.0000000%), (None, 0, 1.97%, 0.0000000%), (None, 0, 1.94%, 0.0000000%), (None, 0, 1.92%, 0.0000000%), (None, 0, 1.92%, 0.0000000%), (None, 0, 1.91%, 0.0000000%), (None, 0, 1.91%, 0.0000000%), (None, 0, 1.89%, 0.0000000%), (None, 0, 1.89%, 0.0000000%), (None, 0, 1.89%, 0.0000000%), (None, 0, 1.88%, 0.0000000%), (None, 0, 1.88%, 0.0000000%), (None, 0, 1.87%, 0.0000000%), (None, 0, 1.83%, 0.0000000%), (None, 0, 1.81%, 0.0000000%), (None, 0, 1.81%, 0.0000000%), (None, 0, 1.81%, 0.0000000%), (None, 0, 1.73%, 0.0000000%), (None, 0, 1.72%, 0.0000000%), (None, 0, 1.70%, 0.0000000%), (None, 0, 1.66%, 0.0000000%), (None, 0, 1.61%, 0.0000000%), (None, 0, 1.61%, 0.0000000%), (None, 0, 1.60%, 0.0000000%), (None, 0, 1.57%, 0.0000000%)</t>
        </is>
      </c>
      <c r="T5" s="5" t="n">
        <v>0</v>
      </c>
      <c r="U5" s="3" t="n">
        <v>4697</v>
      </c>
      <c r="V5" s="5" t="n">
        <v>0.001592527920028612</v>
      </c>
      <c r="W5" t="inlineStr"/>
    </row>
    <row r="6">
      <c r="A6" s="2" t="n">
        <v>45982</v>
      </c>
      <c r="B6" t="inlineStr">
        <is>
          <t>RDVI</t>
        </is>
      </c>
      <c r="C6" t="inlineStr">
        <is>
          <t>non-diversified</t>
        </is>
      </c>
      <c r="D6" t="inlineStr">
        <is>
          <t>diversified</t>
        </is>
      </c>
      <c r="E6" s="3">
        <f>IF(C6=D6,"PASS","FAIL")</f>
        <v/>
      </c>
      <c r="F6" s="3">
        <f>IF(L6/J6&gt;=0.75,"PASS","FAIL")</f>
        <v/>
      </c>
      <c r="G6" s="3">
        <f>IF(O6="None","PASS","FAIL")</f>
        <v/>
      </c>
      <c r="H6" s="3">
        <f>IF(T6="","",IF(T6&lt;=0.1,"PASS","FAIL"))</f>
        <v/>
      </c>
      <c r="I6" s="3">
        <f>IF(U6=0,"PASS",IF(U6&lt;=0.05*L6,"PASS","FAIL"))</f>
        <v/>
      </c>
      <c r="J6" s="3" t="n">
        <v>2472809024.16</v>
      </c>
      <c r="K6" s="5" t="n">
        <v>0</v>
      </c>
      <c r="L6" s="3" t="n">
        <v>2454314499.24</v>
      </c>
      <c r="M6" s="3" t="n">
        <v>49745.75</v>
      </c>
      <c r="N6" s="3" t="n">
        <v>0</v>
      </c>
      <c r="O6" t="inlineStr">
        <is>
          <t>None</t>
        </is>
      </c>
      <c r="P6" t="inlineStr">
        <is>
          <t>GOOGLE, KLAC, AMAT, MLI, NVDA, LRCX, ROST, BK, BKR, AXP</t>
        </is>
      </c>
      <c r="Q6" s="5" t="n">
        <v>0.2456017518605123</v>
      </c>
      <c r="R6" s="5" t="n">
        <v>0.7543982481394876</v>
      </c>
      <c r="S6" t="inlineStr">
        <is>
          <t>(None, 0, 2.11%, 0.0000000%), (None, 0, 2.08%, 0.0000000%), (None, 0, 2.04%, 0.0000000%), (None, 0, 2.03%, 0.0000000%), (None, 0, 1.99%, 0.0000000%), (None, 0, 1.97%, 0.0000000%), (None, 0, 1.96%, 0.0000000%), (None, 0, 1.95%, 0.0000000%), (None, 0, 1.91%, 0.0000000%), (None, 0, 1.88%, 0.0000000%), (None, 0, 1.87%, 0.0000000%), (None, 0, 1.86%, 0.0000000%), (None, 0, 1.84%, 0.0000000%), (None, 0, 1.81%, 0.0000000%), (None, 0, 1.80%, 0.0000000%), (None, 0, 1.78%, 0.0000000%), (None, 0, 1.76%, 0.0000000%), (None, 0, 1.71%, 0.0000000%), (None, 0, 1.68%, 0.0000000%), (None, 0, 1.68%, 0.0000000%), (None, 0, 1.64%, 0.0000000%), (None, 0, 1.58%, 0.0000000%), (None, 0, 1.55%, 0.0000000%), (None, 0, 1.52%, 0.0000000%), (None, 0, 1.50%, 0.0000000%), (None, 0, 1.50%, 0.0000000%), (None, 0, 1.46%, 0.0000000%), (None, 0, 1.40%, 0.0000000%), (None, 0, 1.37%, 0.0000000%), (None, 0, 1.33%, 0.0000000%), (None, 0, 1.32%, 0.0000000%), (None, 0, 1.12%, 0.0000000%), (None, 0, 0.98%, 0.0000000%), (None, 0, 0.98%, 0.0000000%), (None, 0, 0.94%, 0.0000000%), (None, 0, 0.94%, 0.0000000%), (None, 0, 0.93%, 0.0000000%), (None, 0, 0.87%, 0.0000000%), (None, 0, 0.83%, 0.0000000%), (None, 0, 0.81%, 0.0000000%), (None, 0, 0.81%, 0.0000000%), (None, 0, 0.72%, 0.0000000%), (None, 0, 0.69%, 0.0000000%), (None, 0, 0.67%, 0.0000000%), (None, 0, 0.61%, 0.0000000%), (None, 0, 0.59%, 0.0000000%), (None, 0, 0.55%, 0.0000000%), (None, 0, 0.54%, 0.0000000%), (None, 0, 0.54%, 0.0000000%), (None, 0, 0.51%, 0.0000000%), (None, 0, 0.49%, 0.0000000%), (None, 0, 0.47%, 0.0000000%), (None, 0, 0.47%, 0.0000000%), (None, 0, 0.47%, 0.0000000%), (None, 0, 0.46%, 0.0000000%), (None, 0, 0.46%, 0.0000000%), (None, 0, 0.46%, 0.0000000%), (None, 0, 0.45%, 0.0000000%), (None, 0, 0.45%, 0.0000000%), (None, 0, 0.42%, 0.0000000%), (None, 0, 0.38%, 0.0000000%), (None, 0, 0.38%, 0.0000000%), (None, 0, 0.37%, 0.0000000%), (None, 0, 0.32%, 0.0000000%)</t>
        </is>
      </c>
      <c r="T6" s="5" t="n">
        <v>0</v>
      </c>
      <c r="U6" s="3" t="n">
        <v>3696850</v>
      </c>
      <c r="V6" s="5" t="n">
        <v>0.001495000205790579</v>
      </c>
      <c r="W6" t="inlineStr"/>
    </row>
    <row r="7">
      <c r="A7" s="2" t="n">
        <v>45982</v>
      </c>
      <c r="B7" t="inlineStr">
        <is>
          <t>KNG</t>
        </is>
      </c>
      <c r="C7" t="inlineStr">
        <is>
          <t>diversified</t>
        </is>
      </c>
      <c r="D7" t="inlineStr">
        <is>
          <t>diversified</t>
        </is>
      </c>
      <c r="E7" s="3">
        <f>IF(C7=D7,"PASS","FAIL")</f>
        <v/>
      </c>
      <c r="F7" s="3">
        <f>IF(L7/J7&gt;=0.75,"PASS","FAIL")</f>
        <v/>
      </c>
      <c r="G7" s="3">
        <f>IF(O7="None","PASS","FAIL")</f>
        <v/>
      </c>
      <c r="H7" s="3">
        <f>IF(T7="","",IF(T7&lt;=0.1,"PASS","FAIL"))</f>
        <v/>
      </c>
      <c r="I7" s="3">
        <f>IF(U7=0,"PASS",IF(U7&lt;=0.05*L7,"PASS","FAIL"))</f>
        <v/>
      </c>
      <c r="J7" s="3" t="n">
        <v>3534389673.28</v>
      </c>
      <c r="K7" s="5" t="n">
        <v>0</v>
      </c>
      <c r="L7" s="3" t="n">
        <v>3489899335.27</v>
      </c>
      <c r="M7" s="3" t="n">
        <v>70683.72</v>
      </c>
      <c r="N7" s="3" t="n">
        <v>0</v>
      </c>
      <c r="O7" t="inlineStr">
        <is>
          <t>None</t>
        </is>
      </c>
      <c r="P7" t="inlineStr">
        <is>
          <t>CAH, ALB, ATO, EXPD, CHRW, GWW, NUE, DOV, CAT, KVUE, CB, JNJ, CINF, MDT, ABBV, AFL</t>
        </is>
      </c>
      <c r="Q7" s="5" t="n">
        <v>0.2525795865690216</v>
      </c>
      <c r="R7" s="5" t="n">
        <v>0.7474204134309783</v>
      </c>
      <c r="S7" t="inlineStr">
        <is>
          <t>(None, 0, 1.46%, 0.0000000%), (None, 0, 1.45%, 0.0000000%), (None, 0, 1.45%, 0.0000000%), (None, 0, 1.45%, 0.0000000%), (None, 0, 1.43%, 0.0000000%), (None, 0, 1.43%, 0.0000000%), (None, 0, 1.43%, 0.0000000%), (None, 0, 1.43%, 0.0000000%), (None, 0, 1.43%, 0.0000000%), (None, 0, 1.43%, 0.0000000%), (None, 0, 1.42%, 0.0000000%), (None, 0, 1.42%, 0.0000000%), (None, 0, 1.42%, 0.0000000%), (None, 0, 1.42%, 0.0000000%), (None, 0, 1.41%, 0.0000000%), (None, 0, 1.41%, 0.0000000%), (None, 0, 1.40%, 0.0000000%), (None, 0, 1.40%, 0.0000000%), (None, 0, 1.40%, 0.0000000%), (None, 0, 1.40%, 0.0000000%), (None, 0, 1.40%, 0.0000000%), (None, 0, 1.39%, 0.0000000%), (None, 0, 1.39%, 0.0000000%), (None, 0, 1.38%, 0.0000000%), (None, 0, 1.38%, 0.0000000%), (None, 0, 1.38%, 0.0000000%), (None, 0, 1.38%, 0.0000000%), (None, 0, 1.37%, 0.0000000%), (None, 0, 1.37%, 0.0000000%), (None, 0, 1.37%, 0.0000000%), (None, 0, 1.37%, 0.0000000%), (None, 0, 1.37%, 0.0000000%), (None, 0, 1.36%, 0.0000000%), (None, 0, 1.36%, 0.0000000%), (None, 0, 1.36%, 0.0000000%), (None, 0, 1.36%, 0.0000000%), (None, 0, 1.36%, 0.0000000%), (None, 0, 1.36%, 0.0000000%), (None, 0, 1.35%, 0.0000000%), (None, 0, 1.35%, 0.0000000%), (None, 0, 1.34%, 0.0000000%), (None, 0, 1.33%, 0.0000000%), (None, 0, 1.33%, 0.0000000%), (None, 0, 1.33%, 0.0000000%), (None, 0, 1.33%, 0.0000000%), (None, 0, 1.30%, 0.0000000%), (None, 0, 1.29%, 0.0000000%), (None, 0, 1.28%, 0.0000000%), (None, 0, 1.27%, 0.0000000%), (None, 0, 1.25%, 0.0000000%), (None, 0, 1.25%, 0.0000000%), (None, 0, 1.24%, 0.0000000%), (None, 0, 1.23%, 0.0000000%)</t>
        </is>
      </c>
      <c r="T7" s="5" t="n">
        <v>0</v>
      </c>
      <c r="U7" s="3" t="n">
        <v>25783353</v>
      </c>
      <c r="V7" s="5" t="n">
        <v>0.007294994435651012</v>
      </c>
      <c r="W7" t="inlineStr"/>
    </row>
    <row r="8">
      <c r="A8" s="2" t="n">
        <v>45982</v>
      </c>
      <c r="B8" t="inlineStr">
        <is>
          <t>FDND</t>
        </is>
      </c>
      <c r="C8" t="inlineStr">
        <is>
          <t>non-diversified</t>
        </is>
      </c>
      <c r="D8" t="inlineStr">
        <is>
          <t>non-diversified</t>
        </is>
      </c>
      <c r="E8" s="3">
        <f>IF(C8=D8,"PASS","FAIL")</f>
        <v/>
      </c>
      <c r="F8" s="3">
        <f>IF(L8/J8&gt;=0.75,"PASS","FAIL")</f>
        <v/>
      </c>
      <c r="G8" s="3">
        <f>IF(O8="None","PASS","FAIL")</f>
        <v/>
      </c>
      <c r="H8" s="3">
        <f>IF(T8="","",IF(T8&lt;=0.1,"PASS","FAIL"))</f>
        <v/>
      </c>
      <c r="I8" s="3">
        <f>IF(U8=0,"PASS",IF(U8&lt;=0.05*L8,"PASS","FAIL"))</f>
        <v/>
      </c>
      <c r="J8" s="3" t="n">
        <v>9851169.699999999</v>
      </c>
      <c r="K8" s="5" t="n">
        <v>0</v>
      </c>
      <c r="L8" s="3" t="n">
        <v>9778898.85</v>
      </c>
      <c r="M8" s="3" t="n">
        <v>200.73</v>
      </c>
      <c r="N8" s="3" t="n">
        <v>2342534.395</v>
      </c>
      <c r="O8" t="inlineStr">
        <is>
          <t>(None, 8,542, 889,606.59), (None, 1,426, 847,215.12), (None, 7,961, 605,712.68)</t>
        </is>
      </c>
      <c r="P8" t="inlineStr">
        <is>
          <t>GOOGLE, AMZN</t>
        </is>
      </c>
      <c r="Q8" s="5" t="n">
        <v>0.2419566186636648</v>
      </c>
      <c r="R8" s="5" t="n">
        <v>0.7580433813363352</v>
      </c>
      <c r="S8" t="inlineStr">
        <is>
          <t>(None, 0, 9.03%, 0.0000000%), (None, 0, 8.60%, 0.0000000%), (None, 0, 6.15%, 0.0000000%), (None, 0, 4.58%, 0.0000000%), (None, 0, 4.26%, 0.0000000%), (None, 0, 3.80%, 0.0000000%), (None, 0, 3.28%, 0.0000000%), (None, 0, 2.95%, 0.0000000%), (None, 0, 2.45%, 0.0000000%), (None, 0, 2.43%, 0.0000000%), (None, 0, 2.41%, 0.0000000%), (None, 0, 2.13%, 0.0000000%), (None, 0, 2.06%, 0.0000000%), (None, 0, 2.04%, 0.0000000%), (None, 0, 1.81%, 0.0000000%), (None, 0, 1.55%, 0.0000000%), (None, 0, 1.53%, 0.0000000%), (None, 0, 1.52%, 0.0000000%), (None, 0, 1.43%, 0.0000000%), (None, 0, 1.06%, 0.0000000%), (None, 0, 1.01%, 0.0000000%), (None, 0, 0.89%, 0.0000000%), (None, 0, 0.86%, 0.0000000%), (None, 0, 0.78%, 0.0000000%), (None, 0, 0.74%, 0.0000000%), (None, 0, 0.66%, 0.0000000%), (None, 0, 0.65%, 0.0000000%), (None, 0, 0.62%, 0.0000000%), (None, 0, 0.56%, 0.0000000%), (None, 0, 0.55%, 0.0000000%), (None, 0, 0.55%, 0.0000000%), (None, 0, 0.54%, 0.0000000%), (None, 0, 0.34%, 0.0000000%), (None, 0, 0.29%, 0.0000000%), (None, 0, 0.25%, 0.0000000%), (None, 0, 0.23%, 0.0000000%), (None, 0, 0.18%, 0.0000000%), (None, 0, 0.16%, 0.0000000%)</t>
        </is>
      </c>
      <c r="T8" s="5" t="n">
        <v>0</v>
      </c>
      <c r="U8" s="3" t="n">
        <v>15750</v>
      </c>
      <c r="V8" s="5" t="n">
        <v>0.0015987949126488</v>
      </c>
      <c r="W8" t="inlineStr"/>
    </row>
    <row r="9">
      <c r="A9" t="inlineStr">
        <is>
          <t>* To be classified as a diversified company under the 1940 Act, at least 75% of the value of the fund's total assets must be invested in:</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1) cash and cash items (including receivables),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2) government securities,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3) securities of other investment companies, and</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4) other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row r="14">
      <c r="A14" t="inlineStr">
        <is>
          <t xml:space="preserve">* </t>
        </is>
      </c>
      <c r="B14" t="inlineStr"/>
      <c r="C14" t="inlineStr"/>
      <c r="D14" t="inlineStr"/>
      <c r="E14" t="inlineStr"/>
      <c r="F14" t="inlineStr"/>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row>
    <row r="15">
      <c r="A15" t="inlineStr">
        <is>
          <t>* Compliance Conditions:</t>
        </is>
      </c>
      <c r="B15" t="inlineStr"/>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row>
    <row r="16">
      <c r="A16" t="inlineStr">
        <is>
          <t>* Condition 40 Act 1: 75% of the fund must be invested in diversified assets.</t>
        </is>
      </c>
      <c r="B16" t="inlineStr"/>
      <c r="C16" t="inlineStr"/>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row>
    <row r="17">
      <c r="A17" t="inlineStr">
        <is>
          <t>* Condition 40 Act 2a: No single issuer in the 75% can exceed 5% of total assets.</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c r="V17" t="inlineStr"/>
      <c r="W17" t="inlineStr"/>
    </row>
    <row r="18">
      <c r="A18" t="inlineStr">
        <is>
          <t>* Condition 40 Act 2b: No single issuer in the 75% can exceed 10% of the issuer's voting securities.</t>
        </is>
      </c>
      <c r="B18" t="inlineStr"/>
      <c r="C18" t="inlineStr"/>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c r="V18" t="inlineStr"/>
      <c r="W1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50" customWidth="1" min="1" max="1"/>
    <col width="6" customWidth="1" min="2" max="2"/>
    <col width="17" customWidth="1" min="3" max="3"/>
    <col width="31" customWidth="1" min="4" max="4"/>
    <col width="28" customWidth="1" min="5" max="5"/>
    <col width="22" customWidth="1" min="6" max="6"/>
    <col width="19" customWidth="1" min="7" max="7"/>
    <col width="15" customWidth="1" min="8" max="8"/>
    <col width="25" customWidth="1" min="9" max="9"/>
    <col width="10" customWidth="1" min="10" max="10"/>
    <col width="23" customWidth="1" min="11" max="11"/>
    <col width="30" customWidth="1" min="12" max="12"/>
    <col width="24" customWidth="1" min="13" max="13"/>
    <col width="50"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DOGG</t>
        </is>
      </c>
      <c r="C2" t="inlineStr">
        <is>
          <t>PASS</t>
        </is>
      </c>
      <c r="D2" s="3">
        <f>IF(I2/H2&gt;=0.5,"PASS","FAIL")</f>
        <v/>
      </c>
      <c r="E2" s="3">
        <f>IF(L2&lt;=0.5,"PASS","FAIL")</f>
        <v/>
      </c>
      <c r="F2" t="inlineStr">
        <is>
          <t>PASS</t>
        </is>
      </c>
      <c r="G2" t="inlineStr">
        <is>
          <t>PASS</t>
        </is>
      </c>
      <c r="H2" s="3" t="n">
        <v>54251961.19</v>
      </c>
      <c r="I2" s="3" t="n">
        <v>19969380.059</v>
      </c>
      <c r="J2" s="3" t="n">
        <v>896.65</v>
      </c>
      <c r="K2" s="5" t="n">
        <v>2712598.0595</v>
      </c>
      <c r="L2" s="5" t="n">
        <v>0</v>
      </c>
      <c r="M2" s="3" t="n">
        <v>0</v>
      </c>
      <c r="N2" t="inlineStr">
        <is>
          <t>None</t>
        </is>
      </c>
      <c r="O2" s="5" t="n">
        <v>0</v>
      </c>
      <c r="P2" t="inlineStr">
        <is>
          <t>None</t>
        </is>
      </c>
      <c r="Q2" t="inlineStr">
        <is>
          <t>N/A (0.00%)</t>
        </is>
      </c>
      <c r="R2" t="inlineStr">
        <is>
          <t>N/A (0.00%)</t>
        </is>
      </c>
    </row>
    <row r="3">
      <c r="A3" s="2" t="n">
        <v>45982</v>
      </c>
      <c r="B3" t="inlineStr">
        <is>
          <t>SDVD</t>
        </is>
      </c>
      <c r="C3" t="inlineStr">
        <is>
          <t>PASS</t>
        </is>
      </c>
      <c r="D3" s="3">
        <f>IF(I3/H3&gt;=0.5,"PASS","FAIL")</f>
        <v/>
      </c>
      <c r="E3" s="3">
        <f>IF(L3&lt;=0.5,"PASS","FAIL")</f>
        <v/>
      </c>
      <c r="F3" t="inlineStr">
        <is>
          <t>PASS</t>
        </is>
      </c>
      <c r="G3" t="inlineStr">
        <is>
          <t>PASS</t>
        </is>
      </c>
      <c r="H3" s="3" t="n">
        <v>663468524.62</v>
      </c>
      <c r="I3" s="3" t="n">
        <v>657311377.378</v>
      </c>
      <c r="J3" s="3" t="n">
        <v>15119.15</v>
      </c>
      <c r="K3" s="5" t="n">
        <v>33173426.231</v>
      </c>
      <c r="L3" s="5" t="n">
        <v>0</v>
      </c>
      <c r="M3" s="3" t="n">
        <v>0</v>
      </c>
      <c r="N3" t="inlineStr">
        <is>
          <t>None</t>
        </is>
      </c>
      <c r="O3" s="5" t="n">
        <v>0</v>
      </c>
      <c r="P3" t="inlineStr">
        <is>
          <t>None</t>
        </is>
      </c>
      <c r="Q3" t="inlineStr">
        <is>
          <t>ATMU (0.75%)</t>
        </is>
      </c>
      <c r="R3" t="inlineStr">
        <is>
          <t>DCI (0.75%)</t>
        </is>
      </c>
    </row>
    <row r="4">
      <c r="A4" s="2" t="n">
        <v>45982</v>
      </c>
      <c r="B4" t="inlineStr">
        <is>
          <t>TDVI</t>
        </is>
      </c>
      <c r="C4" t="inlineStr">
        <is>
          <t>PASS</t>
        </is>
      </c>
      <c r="D4" s="3">
        <f>IF(I4/H4&gt;=0.5,"PASS","FAIL")</f>
        <v/>
      </c>
      <c r="E4" s="3">
        <f>IF(L4&lt;=0.5,"PASS","FAIL")</f>
        <v/>
      </c>
      <c r="F4" t="inlineStr">
        <is>
          <t>PASS</t>
        </is>
      </c>
      <c r="G4" t="inlineStr">
        <is>
          <t>PASS</t>
        </is>
      </c>
      <c r="H4" s="3" t="n">
        <v>190203088.24</v>
      </c>
      <c r="I4" s="3" t="n">
        <v>188296705.485</v>
      </c>
      <c r="J4" s="3" t="n">
        <v>3874.91</v>
      </c>
      <c r="K4" s="5" t="n">
        <v>9510154.412</v>
      </c>
      <c r="L4" s="5" t="n">
        <v>0.3899373989175353</v>
      </c>
      <c r="M4" s="3" t="n">
        <v>5</v>
      </c>
      <c r="N4" t="inlineStr">
        <is>
          <t>(, 9.81%), (, 9.17%), (, 7.46%), (, 6.32%), (, 6.23%)</t>
        </is>
      </c>
      <c r="O4" s="5" t="n">
        <v>0</v>
      </c>
      <c r="P4" t="inlineStr">
        <is>
          <t>None</t>
        </is>
      </c>
      <c r="Q4" t="inlineStr">
        <is>
          <t>AMAT (2.69%)</t>
        </is>
      </c>
      <c r="R4" t="inlineStr">
        <is>
          <t>ADI (2.55%)</t>
        </is>
      </c>
    </row>
    <row r="5">
      <c r="A5" s="2" t="n">
        <v>45982</v>
      </c>
      <c r="B5" t="inlineStr">
        <is>
          <t>FGSI</t>
        </is>
      </c>
      <c r="C5" t="inlineStr">
        <is>
          <t>PASS</t>
        </is>
      </c>
      <c r="D5" s="3">
        <f>IF(I5/H5&gt;=0.5,"PASS","FAIL")</f>
        <v/>
      </c>
      <c r="E5" s="3">
        <f>IF(L5&lt;=0.5,"PASS","FAIL")</f>
        <v/>
      </c>
      <c r="F5" t="inlineStr">
        <is>
          <t>PASS</t>
        </is>
      </c>
      <c r="G5" t="inlineStr">
        <is>
          <t>PASS</t>
        </is>
      </c>
      <c r="H5" s="3" t="n">
        <v>2949398.84</v>
      </c>
      <c r="I5" s="3" t="n">
        <v>2919317.515</v>
      </c>
      <c r="J5" s="3" t="n">
        <v>67.90000000000001</v>
      </c>
      <c r="K5" s="5" t="n">
        <v>147469.942</v>
      </c>
      <c r="L5" s="5" t="n">
        <v>0</v>
      </c>
      <c r="M5" s="3" t="n">
        <v>0</v>
      </c>
      <c r="N5" t="inlineStr">
        <is>
          <t>None</t>
        </is>
      </c>
      <c r="O5" s="5" t="n">
        <v>0</v>
      </c>
      <c r="P5" t="inlineStr">
        <is>
          <t>None</t>
        </is>
      </c>
      <c r="Q5" t="inlineStr">
        <is>
          <t>SCHW (2.02%)</t>
        </is>
      </c>
      <c r="R5" t="inlineStr">
        <is>
          <t>MMC (2.01%)</t>
        </is>
      </c>
    </row>
    <row r="6">
      <c r="A6" s="2" t="n">
        <v>45982</v>
      </c>
      <c r="B6" t="inlineStr">
        <is>
          <t>RDVI</t>
        </is>
      </c>
      <c r="C6" t="inlineStr">
        <is>
          <t>PASS</t>
        </is>
      </c>
      <c r="D6" s="3">
        <f>IF(I6/H6&gt;=0.5,"PASS","FAIL")</f>
        <v/>
      </c>
      <c r="E6" s="3">
        <f>IF(L6&lt;=0.5,"PASS","FAIL")</f>
        <v/>
      </c>
      <c r="F6" t="inlineStr">
        <is>
          <t>PASS</t>
        </is>
      </c>
      <c r="G6" t="inlineStr">
        <is>
          <t>PASS</t>
        </is>
      </c>
      <c r="H6" s="3" t="n">
        <v>2472809024.16</v>
      </c>
      <c r="I6" s="3" t="n">
        <v>2445974594.451</v>
      </c>
      <c r="J6" s="3" t="n">
        <v>49745.75</v>
      </c>
      <c r="K6" s="5" t="n">
        <v>123640451.208</v>
      </c>
      <c r="L6" s="5" t="n">
        <v>0</v>
      </c>
      <c r="M6" s="3" t="n">
        <v>0</v>
      </c>
      <c r="N6" t="inlineStr">
        <is>
          <t>None</t>
        </is>
      </c>
      <c r="O6" s="5" t="n">
        <v>0</v>
      </c>
      <c r="P6" t="inlineStr">
        <is>
          <t>None</t>
        </is>
      </c>
      <c r="Q6" t="inlineStr">
        <is>
          <t>UNM (1.85%)</t>
        </is>
      </c>
      <c r="R6" t="inlineStr">
        <is>
          <t>CTSH (1.82%)</t>
        </is>
      </c>
    </row>
    <row r="7">
      <c r="A7" s="2" t="n">
        <v>45982</v>
      </c>
      <c r="B7" t="inlineStr">
        <is>
          <t>KNG</t>
        </is>
      </c>
      <c r="C7" t="inlineStr">
        <is>
          <t>PASS</t>
        </is>
      </c>
      <c r="D7" s="3">
        <f>IF(I7/H7&gt;=0.5,"PASS","FAIL")</f>
        <v/>
      </c>
      <c r="E7" s="3">
        <f>IF(L7&lt;=0.5,"PASS","FAIL")</f>
        <v/>
      </c>
      <c r="F7" t="inlineStr">
        <is>
          <t>PASS</t>
        </is>
      </c>
      <c r="G7" t="inlineStr">
        <is>
          <t>PASS</t>
        </is>
      </c>
      <c r="H7" s="3" t="n">
        <v>3534389673.28</v>
      </c>
      <c r="I7" s="3" t="n">
        <v>3449691018.455999</v>
      </c>
      <c r="J7" s="3" t="n">
        <v>70683.72</v>
      </c>
      <c r="K7" s="5" t="n">
        <v>176719483.664</v>
      </c>
      <c r="L7" s="5" t="n">
        <v>0</v>
      </c>
      <c r="M7" s="3" t="n">
        <v>0</v>
      </c>
      <c r="N7" t="inlineStr">
        <is>
          <t>None</t>
        </is>
      </c>
      <c r="O7" s="5" t="n">
        <v>0</v>
      </c>
      <c r="P7" t="inlineStr">
        <is>
          <t>None</t>
        </is>
      </c>
      <c r="Q7" t="inlineStr">
        <is>
          <t>PG (1.42%)</t>
        </is>
      </c>
      <c r="R7" t="inlineStr">
        <is>
          <t>WMT (1.42%)</t>
        </is>
      </c>
    </row>
    <row r="8">
      <c r="A8" s="2" t="n">
        <v>45982</v>
      </c>
      <c r="B8" t="inlineStr">
        <is>
          <t>FDND</t>
        </is>
      </c>
      <c r="C8" t="inlineStr">
        <is>
          <t>PASS</t>
        </is>
      </c>
      <c r="D8" s="3">
        <f>IF(I8/H8&gt;=0.5,"PASS","FAIL")</f>
        <v/>
      </c>
      <c r="E8" s="3">
        <f>IF(L8&lt;=0.5,"PASS","FAIL")</f>
        <v/>
      </c>
      <c r="F8" t="inlineStr">
        <is>
          <t>PASS</t>
        </is>
      </c>
      <c r="G8" t="inlineStr">
        <is>
          <t>PASS</t>
        </is>
      </c>
      <c r="H8" s="3" t="n">
        <v>9851169.699999999</v>
      </c>
      <c r="I8" s="3" t="n">
        <v>9747794.789999999</v>
      </c>
      <c r="J8" s="3" t="n">
        <v>200.73</v>
      </c>
      <c r="K8" s="5" t="n">
        <v>492558.485</v>
      </c>
      <c r="L8" s="5" t="n">
        <v>0.4815065343476786</v>
      </c>
      <c r="M8" s="3" t="n">
        <v>5</v>
      </c>
      <c r="N8" t="inlineStr">
        <is>
          <t>(, 13.71%), (, 10.48%), (, 9.10%), (, 8.66%), (, 6.19%)</t>
        </is>
      </c>
      <c r="O8" s="5" t="n">
        <v>0</v>
      </c>
      <c r="P8" t="inlineStr">
        <is>
          <t>None</t>
        </is>
      </c>
      <c r="Q8" t="inlineStr">
        <is>
          <t>CRM (4.61%)</t>
        </is>
      </c>
      <c r="R8" t="inlineStr">
        <is>
          <t>BKNG (4.29%)</t>
        </is>
      </c>
    </row>
    <row r="9">
      <c r="A9" t="inlineStr">
        <is>
          <t>* IRS Condition 1: 90% of income must come from qualifying sources.</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row>
    <row r="10">
      <c r="A10" t="inlineStr">
        <is>
          <t>* IRS Condition 2a: At least 50% of assets must be allocated to qualifying securities.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row>
    <row r="11">
      <c r="A11" t="inlineStr">
        <is>
          <t>* IRS Condition 2a5: for 50% of portfolio, no issuer is more than 5% of fund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row>
    <row r="12">
      <c r="A12" t="inlineStr">
        <is>
          <t>* IRS Condition 2a10: for 50% of portfolio, fund doesn't hold more than 10% of any issuer's outstanding float.</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row>
    <row r="13">
      <c r="A13" t="inlineStr">
        <is>
          <t>* IRS Condition 2b: No single issuer may constitute more than 25% of assets.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DOGG</t>
        </is>
      </c>
      <c r="C2" s="3" t="n">
        <v>54251961.19</v>
      </c>
      <c r="D2" s="3" t="n">
        <v>0</v>
      </c>
      <c r="E2" s="5" t="n">
        <v>0</v>
      </c>
      <c r="F2" s="5" t="n">
        <v>0.3680858649342406</v>
      </c>
      <c r="G2" s="3">
        <f>IF(E2&lt;=0.15,"PASS","FAIL")</f>
        <v/>
      </c>
      <c r="H2" s="3">
        <f>IF(F2&gt;=0.85,"PASS","FAIL")</f>
        <v/>
      </c>
    </row>
    <row r="3">
      <c r="A3" s="2" t="n">
        <v>45982</v>
      </c>
      <c r="B3" t="inlineStr">
        <is>
          <t>SDVD</t>
        </is>
      </c>
      <c r="C3" s="3" t="n">
        <v>663468524.62</v>
      </c>
      <c r="D3" s="3" t="n">
        <v>0</v>
      </c>
      <c r="E3" s="5" t="n">
        <v>0</v>
      </c>
      <c r="F3" s="5" t="n">
        <v>0.990719759847648</v>
      </c>
      <c r="G3" s="3">
        <f>IF(E3&lt;=0.15,"PASS","FAIL")</f>
        <v/>
      </c>
      <c r="H3" s="3">
        <f>IF(F3&gt;=0.85,"PASS","FAIL")</f>
        <v/>
      </c>
    </row>
    <row r="4">
      <c r="A4" s="2" t="n">
        <v>45982</v>
      </c>
      <c r="B4" t="inlineStr">
        <is>
          <t>TDVI</t>
        </is>
      </c>
      <c r="C4" s="3" t="n">
        <v>190203088.24</v>
      </c>
      <c r="D4" s="3" t="n">
        <v>0</v>
      </c>
      <c r="E4" s="5" t="n">
        <v>0</v>
      </c>
      <c r="F4" s="5" t="n">
        <v>0.9899771198636139</v>
      </c>
      <c r="G4" s="3">
        <f>IF(E4&lt;=0.15,"PASS","FAIL")</f>
        <v/>
      </c>
      <c r="H4" s="3">
        <f>IF(F4&gt;=0.85,"PASS","FAIL")</f>
        <v/>
      </c>
    </row>
    <row r="5">
      <c r="A5" s="2" t="n">
        <v>45982</v>
      </c>
      <c r="B5" t="inlineStr">
        <is>
          <t>FGSI</t>
        </is>
      </c>
      <c r="C5" s="3" t="n">
        <v>2949398.84</v>
      </c>
      <c r="D5" s="3" t="n">
        <v>0</v>
      </c>
      <c r="E5" s="5" t="n">
        <v>0</v>
      </c>
      <c r="F5" s="5" t="n">
        <v>0.9898008622665627</v>
      </c>
      <c r="G5" s="3">
        <f>IF(E5&lt;=0.15,"PASS","FAIL")</f>
        <v/>
      </c>
      <c r="H5" s="3">
        <f>IF(F5&gt;=0.85,"PASS","FAIL")</f>
        <v/>
      </c>
    </row>
    <row r="6">
      <c r="A6" s="2" t="n">
        <v>45982</v>
      </c>
      <c r="B6" t="inlineStr">
        <is>
          <t>RDVI</t>
        </is>
      </c>
      <c r="C6" s="3" t="n">
        <v>2472809024.16</v>
      </c>
      <c r="D6" s="3" t="n">
        <v>0</v>
      </c>
      <c r="E6" s="5" t="n">
        <v>0</v>
      </c>
      <c r="F6" s="5" t="n">
        <v>0.9891481997004942</v>
      </c>
      <c r="G6" s="3">
        <f>IF(E6&lt;=0.15,"PASS","FAIL")</f>
        <v/>
      </c>
      <c r="H6" s="3">
        <f>IF(F6&gt;=0.85,"PASS","FAIL")</f>
        <v/>
      </c>
    </row>
    <row r="7">
      <c r="A7" s="2" t="n">
        <v>45982</v>
      </c>
      <c r="B7" t="inlineStr">
        <is>
          <t>KNG</t>
        </is>
      </c>
      <c r="C7" s="3" t="n">
        <v>3534389673.28</v>
      </c>
      <c r="D7" s="3" t="n">
        <v>0</v>
      </c>
      <c r="E7" s="5" t="n">
        <v>0</v>
      </c>
      <c r="F7" s="5" t="n">
        <v>0.9833308414549194</v>
      </c>
      <c r="G7" s="3">
        <f>IF(E7&lt;=0.15,"PASS","FAIL")</f>
        <v/>
      </c>
      <c r="H7" s="3">
        <f>IF(F7&gt;=0.85,"PASS","FAIL")</f>
        <v/>
      </c>
    </row>
    <row r="8">
      <c r="A8" s="2" t="n">
        <v>45982</v>
      </c>
      <c r="B8" t="inlineStr">
        <is>
          <t>FDND</t>
        </is>
      </c>
      <c r="C8" s="3" t="n">
        <v>9851169.699999999</v>
      </c>
      <c r="D8" s="3" t="n">
        <v>0</v>
      </c>
      <c r="E8" s="5" t="n">
        <v>0</v>
      </c>
      <c r="F8" s="5" t="n">
        <v>0.989506331415649</v>
      </c>
      <c r="G8" s="3">
        <f>IF(E8&lt;=0.15,"PASS","FAIL")</f>
        <v/>
      </c>
      <c r="H8" s="3">
        <f>IF(F8&gt;=0.85,"PASS","FAIL")</f>
        <v/>
      </c>
    </row>
    <row r="9">
      <c r="A9" t="inlineStr">
        <is>
          <t>* We search for tags in Bloomberg for any illiquid or restricted securities.</t>
        </is>
      </c>
      <c r="B9" t="inlineStr"/>
      <c r="C9" t="inlineStr"/>
      <c r="D9" t="inlineStr"/>
      <c r="E9" t="inlineStr"/>
      <c r="F9" t="inlineStr"/>
      <c r="G9" t="inlineStr"/>
      <c r="H9" t="inlineStr"/>
    </row>
    <row r="10">
      <c r="A10" t="inlineStr">
        <is>
          <t>* If none, it reports 'None'.</t>
        </is>
      </c>
      <c r="B10" t="inlineStr"/>
      <c r="C10" t="inlineStr"/>
      <c r="D10" t="inlineStr"/>
      <c r="E10" t="inlineStr"/>
      <c r="F10" t="inlineStr"/>
      <c r="G10" t="inlineStr"/>
      <c r="H10"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50" customWidth="1" min="1" max="1"/>
    <col width="6"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DOGG</t>
        </is>
      </c>
      <c r="C2" s="3" t="n">
        <v>0</v>
      </c>
      <c r="D2" s="3" t="n">
        <v>19969380.059</v>
      </c>
    </row>
    <row r="3">
      <c r="A3" s="2" t="n">
        <v>45982</v>
      </c>
      <c r="B3" t="inlineStr">
        <is>
          <t>SDVD</t>
        </is>
      </c>
      <c r="C3" s="3" t="n">
        <v>0</v>
      </c>
      <c r="D3" s="3" t="n">
        <v>657311377.3779998</v>
      </c>
    </row>
    <row r="4">
      <c r="A4" s="2" t="n">
        <v>45982</v>
      </c>
      <c r="B4" t="inlineStr">
        <is>
          <t>TDVI</t>
        </is>
      </c>
      <c r="C4" s="3" t="n">
        <v>0</v>
      </c>
      <c r="D4" s="3" t="n">
        <v>188296705.485</v>
      </c>
    </row>
    <row r="5">
      <c r="A5" s="2" t="n">
        <v>45982</v>
      </c>
      <c r="B5" t="inlineStr">
        <is>
          <t>FGSI</t>
        </is>
      </c>
      <c r="C5" s="3" t="n">
        <v>0</v>
      </c>
      <c r="D5" s="3" t="n">
        <v>2919317.515</v>
      </c>
    </row>
    <row r="6">
      <c r="A6" s="2" t="n">
        <v>45982</v>
      </c>
      <c r="B6" t="inlineStr">
        <is>
          <t>RDVI</t>
        </is>
      </c>
      <c r="C6" s="3" t="n">
        <v>0</v>
      </c>
      <c r="D6" s="3" t="n">
        <v>2445974594.451</v>
      </c>
    </row>
    <row r="7">
      <c r="A7" s="2" t="n">
        <v>45982</v>
      </c>
      <c r="B7" t="inlineStr">
        <is>
          <t>KNG</t>
        </is>
      </c>
      <c r="C7" s="3" t="n">
        <v>0</v>
      </c>
      <c r="D7" s="3" t="n">
        <v>3475474371.456</v>
      </c>
    </row>
    <row r="8">
      <c r="A8" s="2" t="n">
        <v>45982</v>
      </c>
      <c r="B8" t="inlineStr">
        <is>
          <t>FDND</t>
        </is>
      </c>
      <c r="C8" s="3" t="n">
        <v>0</v>
      </c>
      <c r="D8" s="3" t="n">
        <v>9747794.789999999</v>
      </c>
    </row>
    <row r="9">
      <c r="A9" t="inlineStr">
        <is>
          <t>* We search for tags in Bloomberg for any fund holdings categorized as real estate.</t>
        </is>
      </c>
      <c r="B9" t="inlineStr"/>
      <c r="C9" t="inlineStr"/>
      <c r="D9" t="inlineStr"/>
    </row>
    <row r="10">
      <c r="A10" t="inlineStr">
        <is>
          <t>* If none, it reports 'None'.</t>
        </is>
      </c>
      <c r="B10" t="inlineStr"/>
      <c r="C10" t="inlineStr"/>
      <c r="D10"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0"/>
  <sheetViews>
    <sheetView workbookViewId="0">
      <selection activeCell="A1" sqref="A1"/>
    </sheetView>
  </sheetViews>
  <sheetFormatPr baseColWidth="8" defaultRowHeight="15"/>
  <cols>
    <col width="50" customWidth="1" min="1" max="1"/>
    <col width="6" customWidth="1" min="2" max="2"/>
    <col width="22" customWidth="1" min="3" max="3"/>
  </cols>
  <sheetData>
    <row r="1">
      <c r="A1" s="1" t="inlineStr">
        <is>
          <t>Date</t>
        </is>
      </c>
      <c r="B1" s="1" t="inlineStr">
        <is>
          <t>Fund</t>
        </is>
      </c>
      <c r="C1" s="1" t="inlineStr">
        <is>
          <t>Commodities Exposure</t>
        </is>
      </c>
    </row>
    <row r="2">
      <c r="A2" s="2" t="n">
        <v>45982</v>
      </c>
      <c r="B2" t="inlineStr">
        <is>
          <t>DOGG</t>
        </is>
      </c>
      <c r="C2" s="3" t="n">
        <v>0</v>
      </c>
    </row>
    <row r="3">
      <c r="A3" s="2" t="n">
        <v>45982</v>
      </c>
      <c r="B3" t="inlineStr">
        <is>
          <t>SDVD</t>
        </is>
      </c>
      <c r="C3" s="3" t="n">
        <v>0</v>
      </c>
    </row>
    <row r="4">
      <c r="A4" s="2" t="n">
        <v>45982</v>
      </c>
      <c r="B4" t="inlineStr">
        <is>
          <t>TDVI</t>
        </is>
      </c>
      <c r="C4" s="3" t="n">
        <v>0</v>
      </c>
    </row>
    <row r="5">
      <c r="A5" s="2" t="n">
        <v>45982</v>
      </c>
      <c r="B5" t="inlineStr">
        <is>
          <t>FGSI</t>
        </is>
      </c>
      <c r="C5" s="3" t="n">
        <v>0</v>
      </c>
    </row>
    <row r="6">
      <c r="A6" s="2" t="n">
        <v>45982</v>
      </c>
      <c r="B6" t="inlineStr">
        <is>
          <t>RDVI</t>
        </is>
      </c>
      <c r="C6" s="3" t="n">
        <v>0</v>
      </c>
    </row>
    <row r="7">
      <c r="A7" s="2" t="n">
        <v>45982</v>
      </c>
      <c r="B7" t="inlineStr">
        <is>
          <t>KNG</t>
        </is>
      </c>
      <c r="C7" s="3" t="n">
        <v>0</v>
      </c>
    </row>
    <row r="8">
      <c r="A8" s="2" t="n">
        <v>45982</v>
      </c>
      <c r="B8" t="inlineStr">
        <is>
          <t>FDND</t>
        </is>
      </c>
      <c r="C8" s="3" t="n">
        <v>0</v>
      </c>
    </row>
    <row r="9">
      <c r="A9" t="inlineStr">
        <is>
          <t>* We search for tags in Bloomberg for any fund holdings categorized as commodities.</t>
        </is>
      </c>
      <c r="B9" t="inlineStr"/>
      <c r="C9" t="inlineStr"/>
    </row>
    <row r="10">
      <c r="A10" t="inlineStr">
        <is>
          <t>* If none, it reports 'None'.</t>
        </is>
      </c>
      <c r="B10" t="inlineStr"/>
      <c r="C1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0" customWidth="1" min="1" max="1"/>
    <col width="6" customWidth="1" min="2" max="2"/>
    <col width="15"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DOGG</t>
        </is>
      </c>
      <c r="C2" s="3" t="n">
        <v>54251961.19</v>
      </c>
      <c r="D2" t="inlineStr">
        <is>
          <t>None</t>
        </is>
      </c>
      <c r="E2" s="5" t="n">
        <v>0</v>
      </c>
      <c r="F2" s="3" t="n">
        <v>0</v>
      </c>
      <c r="G2" s="5">
        <f>IF(E2&lt;=0.03,"PASS","FAIL")</f>
        <v/>
      </c>
      <c r="H2" s="3">
        <f>IF(F2/C2&lt;=0.05,"PASS","FAIL")</f>
        <v/>
      </c>
      <c r="I2" s="3">
        <f>IF(F2/C2&lt;=0.10,"PASS","FAIL")</f>
        <v/>
      </c>
      <c r="J2" s="3">
        <f>IF(AND(G2="PASS",H2="PASS",I2="PASS"),"PASS","FAIL")</f>
        <v/>
      </c>
    </row>
    <row r="3">
      <c r="A3" s="2" t="n">
        <v>45982</v>
      </c>
      <c r="B3" t="inlineStr">
        <is>
          <t>SDVD</t>
        </is>
      </c>
      <c r="C3" s="3" t="n">
        <v>663468524.62</v>
      </c>
      <c r="D3" t="inlineStr">
        <is>
          <t>None</t>
        </is>
      </c>
      <c r="E3" s="5" t="n">
        <v>0</v>
      </c>
      <c r="F3" s="3" t="n">
        <v>0</v>
      </c>
      <c r="G3" s="5">
        <f>IF(E3&lt;=0.03,"PASS","FAIL")</f>
        <v/>
      </c>
      <c r="H3" s="3">
        <f>IF(F3/C3&lt;=0.05,"PASS","FAIL")</f>
        <v/>
      </c>
      <c r="I3" s="3">
        <f>IF(F3/C3&lt;=0.10,"PASS","FAIL")</f>
        <v/>
      </c>
      <c r="J3" s="3">
        <f>IF(AND(G3="PASS",H3="PASS",I3="PASS"),"PASS","FAIL")</f>
        <v/>
      </c>
    </row>
    <row r="4">
      <c r="A4" s="2" t="n">
        <v>45982</v>
      </c>
      <c r="B4" t="inlineStr">
        <is>
          <t>TDVI</t>
        </is>
      </c>
      <c r="C4" s="3" t="n">
        <v>190203088.24</v>
      </c>
      <c r="D4" t="inlineStr">
        <is>
          <t>None</t>
        </is>
      </c>
      <c r="E4" s="5" t="n">
        <v>0</v>
      </c>
      <c r="F4" s="3" t="n">
        <v>0</v>
      </c>
      <c r="G4" s="5">
        <f>IF(E4&lt;=0.03,"PASS","FAIL")</f>
        <v/>
      </c>
      <c r="H4" s="3">
        <f>IF(F4/C4&lt;=0.05,"PASS","FAIL")</f>
        <v/>
      </c>
      <c r="I4" s="3">
        <f>IF(F4/C4&lt;=0.10,"PASS","FAIL")</f>
        <v/>
      </c>
      <c r="J4" s="3">
        <f>IF(AND(G4="PASS",H4="PASS",I4="PASS"),"PASS","FAIL")</f>
        <v/>
      </c>
    </row>
    <row r="5">
      <c r="A5" s="2" t="n">
        <v>45982</v>
      </c>
      <c r="B5" t="inlineStr">
        <is>
          <t>FGSI</t>
        </is>
      </c>
      <c r="C5" s="3" t="n">
        <v>2949398.84</v>
      </c>
      <c r="D5" t="inlineStr">
        <is>
          <t>None</t>
        </is>
      </c>
      <c r="E5" s="5" t="n">
        <v>0</v>
      </c>
      <c r="F5" s="3" t="n">
        <v>0</v>
      </c>
      <c r="G5" s="5">
        <f>IF(E5&lt;=0.03,"PASS","FAIL")</f>
        <v/>
      </c>
      <c r="H5" s="3">
        <f>IF(F5/C5&lt;=0.05,"PASS","FAIL")</f>
        <v/>
      </c>
      <c r="I5" s="3">
        <f>IF(F5/C5&lt;=0.10,"PASS","FAIL")</f>
        <v/>
      </c>
      <c r="J5" s="3">
        <f>IF(AND(G5="PASS",H5="PASS",I5="PASS"),"PASS","FAIL")</f>
        <v/>
      </c>
    </row>
    <row r="6">
      <c r="A6" s="2" t="n">
        <v>45982</v>
      </c>
      <c r="B6" t="inlineStr">
        <is>
          <t>RDVI</t>
        </is>
      </c>
      <c r="C6" s="3" t="n">
        <v>2472809024.16</v>
      </c>
      <c r="D6" t="inlineStr">
        <is>
          <t>None</t>
        </is>
      </c>
      <c r="E6" s="5" t="n">
        <v>0</v>
      </c>
      <c r="F6" s="3" t="n">
        <v>0</v>
      </c>
      <c r="G6" s="5">
        <f>IF(E6&lt;=0.03,"PASS","FAIL")</f>
        <v/>
      </c>
      <c r="H6" s="3">
        <f>IF(F6/C6&lt;=0.05,"PASS","FAIL")</f>
        <v/>
      </c>
      <c r="I6" s="3">
        <f>IF(F6/C6&lt;=0.10,"PASS","FAIL")</f>
        <v/>
      </c>
      <c r="J6" s="3">
        <f>IF(AND(G6="PASS",H6="PASS",I6="PASS"),"PASS","FAIL")</f>
        <v/>
      </c>
    </row>
    <row r="7">
      <c r="A7" s="2" t="n">
        <v>45982</v>
      </c>
      <c r="B7" t="inlineStr">
        <is>
          <t>KNG</t>
        </is>
      </c>
      <c r="C7" s="3" t="n">
        <v>3534389673.28</v>
      </c>
      <c r="D7" t="inlineStr">
        <is>
          <t>None</t>
        </is>
      </c>
      <c r="E7" s="5" t="n">
        <v>0</v>
      </c>
      <c r="F7" s="3" t="n">
        <v>0</v>
      </c>
      <c r="G7" s="5">
        <f>IF(E7&lt;=0.03,"PASS","FAIL")</f>
        <v/>
      </c>
      <c r="H7" s="3">
        <f>IF(F7/C7&lt;=0.05,"PASS","FAIL")</f>
        <v/>
      </c>
      <c r="I7" s="3">
        <f>IF(F7/C7&lt;=0.10,"PASS","FAIL")</f>
        <v/>
      </c>
      <c r="J7" s="3">
        <f>IF(AND(G7="PASS",H7="PASS",I7="PASS"),"PASS","FAIL")</f>
        <v/>
      </c>
    </row>
    <row r="8">
      <c r="A8" s="2" t="n">
        <v>45982</v>
      </c>
      <c r="B8" t="inlineStr">
        <is>
          <t>FDND</t>
        </is>
      </c>
      <c r="C8" s="3" t="n">
        <v>9851169.699999999</v>
      </c>
      <c r="D8" t="inlineStr">
        <is>
          <t>None</t>
        </is>
      </c>
      <c r="E8" s="5" t="n">
        <v>0</v>
      </c>
      <c r="F8" s="3" t="n">
        <v>0</v>
      </c>
      <c r="G8" s="5">
        <f>IF(E8&lt;=0.03,"PASS","FAIL")</f>
        <v/>
      </c>
      <c r="H8" s="3">
        <f>IF(F8/C8&lt;=0.05,"PASS","FAIL")</f>
        <v/>
      </c>
      <c r="I8" s="3">
        <f>IF(F8/C8&lt;=0.10,"PASS","FAIL")</f>
        <v/>
      </c>
      <c r="J8" s="3">
        <f>IF(AND(G8="PASS",H8="PASS",I8="PASS"),"PASS","FAIL")</f>
        <v/>
      </c>
    </row>
    <row r="9">
      <c r="A9"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9" t="inlineStr"/>
      <c r="C9" t="inlineStr"/>
      <c r="D9" t="inlineStr"/>
      <c r="E9" t="inlineStr"/>
      <c r="F9" t="inlineStr"/>
      <c r="G9" t="inlineStr"/>
      <c r="H9" t="inlineStr"/>
      <c r="I9" t="inlineStr"/>
      <c r="J9"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0" customWidth="1" min="1" max="1"/>
    <col width="6" customWidth="1" min="2" max="2"/>
    <col width="11" customWidth="1" min="3" max="3"/>
    <col width="15"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DOGG</t>
        </is>
      </c>
      <c r="C2" t="inlineStr">
        <is>
          <t>PASS</t>
        </is>
      </c>
      <c r="D2" s="3" t="n">
        <v>54251961.19</v>
      </c>
      <c r="E2" t="inlineStr">
        <is>
          <t>None</t>
        </is>
      </c>
    </row>
    <row r="3">
      <c r="A3" s="2" t="n">
        <v>45982</v>
      </c>
      <c r="B3" t="inlineStr">
        <is>
          <t>SDVD</t>
        </is>
      </c>
      <c r="C3" t="inlineStr">
        <is>
          <t>PASS</t>
        </is>
      </c>
      <c r="D3" s="3" t="n">
        <v>663468524.62</v>
      </c>
      <c r="E3" t="inlineStr">
        <is>
          <t>AGO (0.00000%), AIZ (0.00000%), AXS (0.00000%), CINF (0.00000%), CNO (0.00000%), EG (0.00000%), KMPR (0.00000%), LNC (0.00000%), ORI (0.00000%), PFG (0.00000%), PRI (0.00000%), RGA (0.00000%), RNR (0.00000%), SIGI (0.00000%), THG (0.00000%), UNM (0.00000%), WRB (0.00000%)</t>
        </is>
      </c>
    </row>
    <row r="4">
      <c r="A4" s="2" t="n">
        <v>45982</v>
      </c>
      <c r="B4" t="inlineStr">
        <is>
          <t>TDVI</t>
        </is>
      </c>
      <c r="C4" t="inlineStr">
        <is>
          <t>PASS</t>
        </is>
      </c>
      <c r="D4" s="3" t="n">
        <v>190203088.24</v>
      </c>
      <c r="E4" t="inlineStr">
        <is>
          <t>None</t>
        </is>
      </c>
    </row>
    <row r="5">
      <c r="A5" s="2" t="n">
        <v>45982</v>
      </c>
      <c r="B5" t="inlineStr">
        <is>
          <t>FGSI</t>
        </is>
      </c>
      <c r="C5" t="inlineStr">
        <is>
          <t>PASS</t>
        </is>
      </c>
      <c r="D5" s="3" t="n">
        <v>2949398.84</v>
      </c>
      <c r="E5" t="inlineStr">
        <is>
          <t>MMC (0.00000%)</t>
        </is>
      </c>
    </row>
    <row r="6">
      <c r="A6" s="2" t="n">
        <v>45982</v>
      </c>
      <c r="B6" t="inlineStr">
        <is>
          <t>RDVI</t>
        </is>
      </c>
      <c r="C6" t="inlineStr">
        <is>
          <t>PASS</t>
        </is>
      </c>
      <c r="D6" s="3" t="n">
        <v>2472809024.16</v>
      </c>
      <c r="E6" t="inlineStr">
        <is>
          <t>AFL (0.00000%), ALL (0.00000%), CB (0.00000%), CINF (0.00000%), EG (0.00000%), HIG (0.00000%), LNC (0.00000%), MET (0.00000%), PGR (0.00000%), TRV (0.00000%), UNM (0.00000%)</t>
        </is>
      </c>
    </row>
    <row r="7">
      <c r="A7" s="2" t="n">
        <v>45982</v>
      </c>
      <c r="B7" t="inlineStr">
        <is>
          <t>KNG</t>
        </is>
      </c>
      <c r="C7" t="inlineStr">
        <is>
          <t>PASS</t>
        </is>
      </c>
      <c r="D7" s="3" t="n">
        <v>3534389673.28</v>
      </c>
      <c r="E7" t="inlineStr">
        <is>
          <t>AFL (0.00000%), BRO (0.00000%), CB (0.00000%), CINF (0.00000%), ERIE (0.00000%)</t>
        </is>
      </c>
    </row>
    <row r="8">
      <c r="A8" s="2" t="n">
        <v>45982</v>
      </c>
      <c r="B8" t="inlineStr">
        <is>
          <t>FDND</t>
        </is>
      </c>
      <c r="C8" t="inlineStr">
        <is>
          <t>PASS</t>
        </is>
      </c>
      <c r="D8" s="3" t="n">
        <v>9851169.699999999</v>
      </c>
      <c r="E8" t="inlineStr">
        <is>
          <t>None</t>
        </is>
      </c>
    </row>
    <row r="9">
      <c r="A9" t="inlineStr">
        <is>
          <t>* The Fund may not own more than 10% of the total outstanding voting stock of an insurance company.</t>
        </is>
      </c>
      <c r="B9" t="inlineStr"/>
      <c r="C9" t="inlineStr"/>
      <c r="D9" t="inlineStr"/>
      <c r="E9"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50" customWidth="1" min="1" max="1"/>
    <col width="6" customWidth="1" min="2" max="2"/>
    <col width="29" customWidth="1" min="3" max="3"/>
    <col width="21" customWidth="1" min="4" max="4"/>
    <col width="29" customWidth="1" min="5" max="5"/>
    <col width="50" customWidth="1" min="6" max="6"/>
    <col width="50" customWidth="1" min="7" max="7"/>
    <col width="50" customWidth="1" min="8" max="8"/>
    <col width="15"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DOGG</t>
        </is>
      </c>
      <c r="C2" s="3">
        <f>IF(K2&lt;=0.05,"PASS","FAIL")</f>
        <v/>
      </c>
      <c r="D2" t="inlineStr">
        <is>
          <t>PASS</t>
        </is>
      </c>
      <c r="E2" s="3">
        <f>IF(L2&lt;=0.05,"PASS","FAIL")</f>
        <v/>
      </c>
      <c r="F2" s="3">
        <f>IF(AND(C2="PASS",D2="PASS",E2="PASS",F2="PASS"),"PASS","FAIL")</f>
        <v/>
      </c>
      <c r="G2" t="inlineStr">
        <is>
          <t>None</t>
        </is>
      </c>
      <c r="H2" t="inlineStr">
        <is>
          <t>None</t>
        </is>
      </c>
      <c r="I2" s="3" t="n">
        <v>54251961.19</v>
      </c>
      <c r="J2" s="5" t="n">
        <v>0</v>
      </c>
      <c r="K2" s="5" t="n">
        <v>0</v>
      </c>
    </row>
    <row r="3">
      <c r="A3" s="2" t="n">
        <v>45982</v>
      </c>
      <c r="B3" t="inlineStr">
        <is>
          <t>SDVD</t>
        </is>
      </c>
      <c r="C3" s="3">
        <f>IF(K3&lt;=0.05,"PASS","FAIL")</f>
        <v/>
      </c>
      <c r="D3" t="inlineStr">
        <is>
          <t>PASS</t>
        </is>
      </c>
      <c r="E3" s="3">
        <f>IF(L3&lt;=0.05,"PASS","FAIL")</f>
        <v/>
      </c>
      <c r="F3" s="3">
        <f>IF(AND(C3="PASS",D3="PASS",E3="PASS",F3="PASS"),"PASS","FAIL")</f>
        <v/>
      </c>
      <c r="G3" t="inlineStr">
        <is>
          <t>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 None (0.00000%)</t>
        </is>
      </c>
      <c r="H3" t="inlineStr">
        <is>
          <t>None (0.24%), None (0.94%), None (0.95%), None (0.54%), None (0.78%), None (0.21%), None (0.78%), None (0.88%), None (0.82%), None (0.18%), None (0.21%), None (0.20%), None (0.60%), None (0.78%), None (0.60%), None (0.42%), None (0.96%), None (0.81%), None (0.23%), None (0.16%), None (0.63%), None (0.93%), None (0.77%), None (0.77%), None (0.21%), None (0.38%), None (0.80%), None (0.37%), None (0.74%), None (0.61%), None (0.18%), None (0.85%), None (0.20%)</t>
        </is>
      </c>
      <c r="I3" s="3" t="n">
        <v>663468524.62</v>
      </c>
      <c r="J3" s="5" t="n">
        <v>0</v>
      </c>
      <c r="K3" s="5" t="n">
        <v>0.009616312625612796</v>
      </c>
    </row>
    <row r="4">
      <c r="A4" s="2" t="n">
        <v>45982</v>
      </c>
      <c r="B4" t="inlineStr">
        <is>
          <t>TDVI</t>
        </is>
      </c>
      <c r="C4" s="3">
        <f>IF(K4&lt;=0.05,"PASS","FAIL")</f>
        <v/>
      </c>
      <c r="D4" t="inlineStr">
        <is>
          <t>PASS</t>
        </is>
      </c>
      <c r="E4" s="3">
        <f>IF(L4&lt;=0.05,"PASS","FAIL")</f>
        <v/>
      </c>
      <c r="F4" s="3">
        <f>IF(AND(C4="PASS",D4="PASS",E4="PASS",F4="PASS"),"PASS","FAIL")</f>
        <v/>
      </c>
      <c r="G4" t="inlineStr">
        <is>
          <t>None</t>
        </is>
      </c>
      <c r="H4" t="inlineStr">
        <is>
          <t>None</t>
        </is>
      </c>
      <c r="I4" s="3" t="n">
        <v>190203088.24</v>
      </c>
      <c r="J4" s="5" t="n">
        <v>0</v>
      </c>
      <c r="K4" s="5" t="n">
        <v>0</v>
      </c>
    </row>
    <row r="5">
      <c r="A5" s="2" t="n">
        <v>45982</v>
      </c>
      <c r="B5" t="inlineStr">
        <is>
          <t>FGSI</t>
        </is>
      </c>
      <c r="C5" s="3">
        <f>IF(K5&lt;=0.05,"PASS","FAIL")</f>
        <v/>
      </c>
      <c r="D5" t="inlineStr">
        <is>
          <t>PASS</t>
        </is>
      </c>
      <c r="E5" s="3">
        <f>IF(L5&lt;=0.05,"PASS","FAIL")</f>
        <v/>
      </c>
      <c r="F5" s="3">
        <f>IF(AND(C5="PASS",D5="PASS",E5="PASS",F5="PASS"),"PASS","FAIL")</f>
        <v/>
      </c>
      <c r="G5" t="inlineStr">
        <is>
          <t>None (0.00000%), None (0.00000%), None (0.00000%), None (0.00000%), None (0.00000%)</t>
        </is>
      </c>
      <c r="H5" t="inlineStr">
        <is>
          <t>None (1.99%), None (2.19%), None (1.92%), None (2.12%), None (2.00%)</t>
        </is>
      </c>
      <c r="I5" s="3" t="n">
        <v>2949398.84</v>
      </c>
      <c r="J5" s="5" t="n">
        <v>0</v>
      </c>
      <c r="K5" s="5" t="n">
        <v>0.02187119596208969</v>
      </c>
    </row>
    <row r="6">
      <c r="A6" s="2" t="n">
        <v>45982</v>
      </c>
      <c r="B6" t="inlineStr">
        <is>
          <t>RDVI</t>
        </is>
      </c>
      <c r="C6" s="3">
        <f>IF(K6&lt;=0.05,"PASS","FAIL")</f>
        <v/>
      </c>
      <c r="D6" t="inlineStr">
        <is>
          <t>PASS</t>
        </is>
      </c>
      <c r="E6" s="3">
        <f>IF(L6&lt;=0.05,"PASS","FAIL")</f>
        <v/>
      </c>
      <c r="F6" s="3">
        <f>IF(AND(C6="PASS",D6="PASS",E6="PASS",F6="PASS"),"PASS","FAIL")</f>
        <v/>
      </c>
      <c r="G6" t="inlineStr">
        <is>
          <t>None (0.00000%), None (0.00000%), None (0.00000%), None (0.00000%), None (0.00000%), None (0.00000%), None (0.00000%), None (0.00000%), None (0.00000%), None (0.00000%), None (0.00000%), None (0.00000%)</t>
        </is>
      </c>
      <c r="H6" t="inlineStr">
        <is>
          <t>None (0.81%), None (0.51%), None (2.21%), None (1.40%), None (1.97%), None (2.08%), None (0.45%), None (0.54%), None (1.37%), None (1.80%), None (1.55%), None (0.45%)</t>
        </is>
      </c>
      <c r="I6" s="3" t="n">
        <v>2472809024.16</v>
      </c>
      <c r="J6" s="5" t="n">
        <v>0</v>
      </c>
      <c r="K6" s="5" t="n">
        <v>0.02207467426989948</v>
      </c>
    </row>
    <row r="7">
      <c r="A7" s="2" t="n">
        <v>45982</v>
      </c>
      <c r="B7" t="inlineStr">
        <is>
          <t>KNG</t>
        </is>
      </c>
      <c r="C7" s="3">
        <f>IF(K7&lt;=0.05,"PASS","FAIL")</f>
        <v/>
      </c>
      <c r="D7" t="inlineStr">
        <is>
          <t>PASS</t>
        </is>
      </c>
      <c r="E7" s="3">
        <f>IF(L7&lt;=0.05,"PASS","FAIL")</f>
        <v/>
      </c>
      <c r="F7" s="3">
        <f>IF(AND(C7="PASS",D7="PASS",E7="PASS",F7="PASS"),"PASS","FAIL")</f>
        <v/>
      </c>
      <c r="G7" t="inlineStr">
        <is>
          <t>None (0.00000%), None (0.00000%), None (0.00000%), None (0.00000%)</t>
        </is>
      </c>
      <c r="H7" t="inlineStr">
        <is>
          <t>None (1.36%), None (1.35%), None (1.45%), None (1.38%)</t>
        </is>
      </c>
      <c r="I7" s="3" t="n">
        <v>3534389673.28</v>
      </c>
      <c r="J7" s="5" t="n">
        <v>0</v>
      </c>
      <c r="K7" s="5" t="n">
        <v>0.01448439256345246</v>
      </c>
    </row>
    <row r="8">
      <c r="A8" s="2" t="n">
        <v>45982</v>
      </c>
      <c r="B8" t="inlineStr">
        <is>
          <t>FDND</t>
        </is>
      </c>
      <c r="C8" s="3">
        <f>IF(K8&lt;=0.05,"PASS","FAIL")</f>
        <v/>
      </c>
      <c r="D8" t="inlineStr">
        <is>
          <t>PASS</t>
        </is>
      </c>
      <c r="E8" s="3">
        <f>IF(L8&lt;=0.05,"PASS","FAIL")</f>
        <v/>
      </c>
      <c r="F8" s="3">
        <f>IF(AND(C8="PASS",D8="PASS",E8="PASS",F8="PASS"),"PASS","FAIL")</f>
        <v/>
      </c>
      <c r="G8" t="inlineStr">
        <is>
          <t>None</t>
        </is>
      </c>
      <c r="H8" t="inlineStr">
        <is>
          <t>None</t>
        </is>
      </c>
      <c r="I8" s="3" t="n">
        <v>9851169.699999999</v>
      </c>
      <c r="J8" s="5" t="n">
        <v>0</v>
      </c>
      <c r="K8" s="5" t="n">
        <v>0</v>
      </c>
    </row>
    <row r="9">
      <c r="A9"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9" t="inlineStr"/>
      <c r="C9" t="inlineStr"/>
      <c r="D9" t="inlineStr"/>
      <c r="E9" t="inlineStr"/>
      <c r="F9" t="inlineStr"/>
      <c r="G9" t="inlineStr"/>
      <c r="H9" t="inlineStr"/>
      <c r="I9" t="inlineStr"/>
      <c r="J9" t="inlineStr"/>
      <c r="K9"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2025-11-24T17:02:34Z</dcterms:created>
  <dcterms:modified xmlns:dcterms="http://purl.org/dc/terms/" xmlns:xsi="http://www.w3.org/2001/XMLSchema-instance" xsi:type="dcterms:W3CDTF">2025-11-24T17:02:34Z</dcterms:modified>
</cp:coreProperties>
</file>