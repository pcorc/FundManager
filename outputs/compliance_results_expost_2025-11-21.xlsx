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ICS_Compliance" sheetId="1" state="visible" r:id="rId1"/>
    <sheet xmlns:r="http://schemas.openxmlformats.org/officeDocument/2006/relationships" name="GICS_Calculations" sheetId="2" state="visible" r:id="rId2"/>
    <sheet xmlns:r="http://schemas.openxmlformats.org/officeDocument/2006/relationships" name="Prospectus_80pct" sheetId="3" state="visible" r:id="rId3"/>
    <sheet xmlns:r="http://schemas.openxmlformats.org/officeDocument/2006/relationships" name="40Act_Diversification" sheetId="4" state="visible" r:id="rId4"/>
    <sheet xmlns:r="http://schemas.openxmlformats.org/officeDocument/2006/relationships" name="IRS_Diversification" sheetId="5" state="visible" r:id="rId5"/>
    <sheet xmlns:r="http://schemas.openxmlformats.org/officeDocument/2006/relationships" name="Real_Estate" sheetId="6" state="visible" r:id="rId6"/>
    <sheet xmlns:r="http://schemas.openxmlformats.org/officeDocument/2006/relationships" name="Commodities" sheetId="7" state="visible" r:id="rId7"/>
    <sheet xmlns:r="http://schemas.openxmlformats.org/officeDocument/2006/relationships" name="12d1_Other_Investment_Companies" sheetId="8" state="visible" r:id="rId8"/>
    <sheet xmlns:r="http://schemas.openxmlformats.org/officeDocument/2006/relationships" name="12d2_Insurance_Companies" sheetId="9" state="visible" r:id="rId9"/>
    <sheet xmlns:r="http://schemas.openxmlformats.org/officeDocument/2006/relationships" name="12d3_Securities_Business" sheetId="10" state="visible" r:id="rId10"/>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165" fontId="0" fillId="0" borderId="0" pivotButton="0" quotePrefix="0" xfId="0"/>
    <xf numFmtId="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50" customWidth="1" min="1" max="1"/>
    <col width="8" customWidth="1" min="2" max="2"/>
    <col width="25" customWidth="1" min="3" max="3"/>
    <col width="22" customWidth="1" min="4" max="4"/>
    <col width="28" customWidth="1" min="5" max="5"/>
    <col width="29" customWidth="1" min="6" max="6"/>
    <col width="35" customWidth="1" min="7" max="7"/>
    <col width="36" customWidth="1" min="8" max="8"/>
    <col width="27" customWidth="1" min="9" max="9"/>
  </cols>
  <sheetData>
    <row r="1">
      <c r="A1" s="1" t="inlineStr">
        <is>
          <t>Date</t>
        </is>
      </c>
      <c r="B1" s="1" t="inlineStr">
        <is>
          <t>Fund</t>
        </is>
      </c>
      <c r="C1" s="1" t="inlineStr">
        <is>
          <t>Overall GICS Compliance</t>
        </is>
      </c>
      <c r="D1" s="1" t="inlineStr">
        <is>
          <t>Industry Exceeds 25%</t>
        </is>
      </c>
      <c r="E1" s="1" t="inlineStr">
        <is>
          <t>Industry Group Exceeds 25%</t>
        </is>
      </c>
      <c r="F1" s="1" t="inlineStr">
        <is>
          <t>Index Industry Exceeds 25%?</t>
        </is>
      </c>
      <c r="G1" s="1" t="inlineStr">
        <is>
          <t>Index Industry Group Exceeds 25%?</t>
        </is>
      </c>
      <c r="H1" s="1" t="inlineStr">
        <is>
          <t>Can Fund exceed 25% if Index does?</t>
        </is>
      </c>
      <c r="I1" s="1" t="inlineStr">
        <is>
          <t>Exceptions to Conc Policy</t>
        </is>
      </c>
    </row>
    <row r="2">
      <c r="A2" s="2" t="n">
        <v>45982</v>
      </c>
      <c r="B2" t="inlineStr">
        <is>
          <t>HE3B1</t>
        </is>
      </c>
      <c r="C2" t="inlineStr">
        <is>
          <t>PASS</t>
        </is>
      </c>
      <c r="D2" t="b">
        <v>0</v>
      </c>
      <c r="E2" t="b">
        <v>0</v>
      </c>
      <c r="F2" t="b">
        <v>0</v>
      </c>
      <c r="G2" t="b">
        <v>0</v>
      </c>
      <c r="H2" t="inlineStr">
        <is>
          <t>No</t>
        </is>
      </c>
      <c r="I2" t="inlineStr"/>
    </row>
    <row r="3">
      <c r="A3" s="2" t="n">
        <v>45982</v>
      </c>
      <c r="B3" t="inlineStr">
        <is>
          <t>HE3B2</t>
        </is>
      </c>
      <c r="C3" t="inlineStr">
        <is>
          <t>PASS</t>
        </is>
      </c>
      <c r="D3" t="b">
        <v>0</v>
      </c>
      <c r="E3" t="b">
        <v>0</v>
      </c>
      <c r="F3" t="b">
        <v>0</v>
      </c>
      <c r="G3" t="b">
        <v>0</v>
      </c>
      <c r="H3" t="inlineStr">
        <is>
          <t>No</t>
        </is>
      </c>
      <c r="I3" t="inlineStr"/>
    </row>
    <row r="4">
      <c r="A4" s="2" t="n">
        <v>45982</v>
      </c>
      <c r="B4" t="inlineStr">
        <is>
          <t>HE3B3</t>
        </is>
      </c>
      <c r="C4" t="inlineStr">
        <is>
          <t>PASS</t>
        </is>
      </c>
      <c r="D4" t="b">
        <v>0</v>
      </c>
      <c r="E4" t="b">
        <v>0</v>
      </c>
      <c r="F4" t="b">
        <v>0</v>
      </c>
      <c r="G4" t="b">
        <v>0</v>
      </c>
      <c r="H4" t="inlineStr">
        <is>
          <t>No</t>
        </is>
      </c>
      <c r="I4" t="inlineStr"/>
    </row>
    <row r="5">
      <c r="A5" s="2" t="n">
        <v>45982</v>
      </c>
      <c r="B5" t="inlineStr">
        <is>
          <t>P20127</t>
        </is>
      </c>
      <c r="C5" t="inlineStr">
        <is>
          <t>PASS</t>
        </is>
      </c>
      <c r="D5" t="b">
        <v>0</v>
      </c>
      <c r="E5" t="b">
        <v>0</v>
      </c>
      <c r="F5" t="b">
        <v>0</v>
      </c>
      <c r="G5" t="b">
        <v>0</v>
      </c>
      <c r="H5" t="inlineStr">
        <is>
          <t>No</t>
        </is>
      </c>
      <c r="I5" t="inlineStr"/>
    </row>
    <row r="6">
      <c r="A6" s="2" t="n">
        <v>45982</v>
      </c>
      <c r="B6" t="inlineStr">
        <is>
          <t>P21026</t>
        </is>
      </c>
      <c r="C6" t="inlineStr">
        <is>
          <t>PASS</t>
        </is>
      </c>
      <c r="D6" t="b">
        <v>0</v>
      </c>
      <c r="E6" t="b">
        <v>0</v>
      </c>
      <c r="F6" t="b">
        <v>0</v>
      </c>
      <c r="G6" t="b">
        <v>0</v>
      </c>
      <c r="H6" t="inlineStr">
        <is>
          <t>No</t>
        </is>
      </c>
      <c r="I6" t="inlineStr"/>
    </row>
    <row r="7">
      <c r="A7" s="2" t="n">
        <v>45982</v>
      </c>
      <c r="B7" t="inlineStr">
        <is>
          <t>P2726</t>
        </is>
      </c>
      <c r="C7" t="inlineStr">
        <is>
          <t>PASS</t>
        </is>
      </c>
      <c r="D7" t="b">
        <v>0</v>
      </c>
      <c r="E7" t="b">
        <v>0</v>
      </c>
      <c r="F7" t="b">
        <v>0</v>
      </c>
      <c r="G7" t="b">
        <v>0</v>
      </c>
      <c r="H7" t="inlineStr">
        <is>
          <t>No</t>
        </is>
      </c>
      <c r="I7" t="inlineStr"/>
    </row>
    <row r="8">
      <c r="A8" s="2" t="n">
        <v>45982</v>
      </c>
      <c r="B8" t="inlineStr">
        <is>
          <t>P30128</t>
        </is>
      </c>
      <c r="C8" t="inlineStr">
        <is>
          <t>PASS</t>
        </is>
      </c>
      <c r="D8" t="b">
        <v>0</v>
      </c>
      <c r="E8" t="b">
        <v>0</v>
      </c>
      <c r="F8" t="b">
        <v>0</v>
      </c>
      <c r="G8" t="b">
        <v>0</v>
      </c>
      <c r="H8" t="inlineStr">
        <is>
          <t>No</t>
        </is>
      </c>
      <c r="I8" t="inlineStr"/>
    </row>
    <row r="9">
      <c r="A9" s="2" t="n">
        <v>45982</v>
      </c>
      <c r="B9" t="inlineStr">
        <is>
          <t>P31027</t>
        </is>
      </c>
      <c r="C9" t="inlineStr">
        <is>
          <t>PASS</t>
        </is>
      </c>
      <c r="D9" t="b">
        <v>0</v>
      </c>
      <c r="E9" t="b">
        <v>0</v>
      </c>
      <c r="F9" t="b">
        <v>0</v>
      </c>
      <c r="G9" t="b">
        <v>0</v>
      </c>
      <c r="H9" t="inlineStr">
        <is>
          <t>No</t>
        </is>
      </c>
      <c r="I9" t="inlineStr"/>
    </row>
    <row r="10">
      <c r="A10" s="2" t="n">
        <v>45982</v>
      </c>
      <c r="B10" t="inlineStr">
        <is>
          <t>P3727</t>
        </is>
      </c>
      <c r="C10" t="inlineStr">
        <is>
          <t>PASS</t>
        </is>
      </c>
      <c r="D10" t="b">
        <v>0</v>
      </c>
      <c r="E10" t="b">
        <v>0</v>
      </c>
      <c r="F10" t="b">
        <v>0</v>
      </c>
      <c r="G10" t="b">
        <v>0</v>
      </c>
      <c r="H10" t="inlineStr">
        <is>
          <t>No</t>
        </is>
      </c>
      <c r="I10" t="inlineStr"/>
    </row>
    <row r="11">
      <c r="A11" s="2" t="n">
        <v>45982</v>
      </c>
      <c r="B11" t="inlineStr">
        <is>
          <t>R21126</t>
        </is>
      </c>
      <c r="C11" t="inlineStr">
        <is>
          <t>PASS</t>
        </is>
      </c>
      <c r="D11" t="b">
        <v>0</v>
      </c>
      <c r="E11" t="b">
        <v>0</v>
      </c>
      <c r="F11" t="b">
        <v>0</v>
      </c>
      <c r="G11" t="b">
        <v>0</v>
      </c>
      <c r="H11" t="inlineStr">
        <is>
          <t>No</t>
        </is>
      </c>
      <c r="I11" t="inlineStr"/>
    </row>
    <row r="12">
      <c r="A12" s="2" t="n">
        <v>45982</v>
      </c>
      <c r="B12" t="inlineStr">
        <is>
          <t>TR2B1</t>
        </is>
      </c>
      <c r="C12" t="inlineStr">
        <is>
          <t>PASS</t>
        </is>
      </c>
      <c r="D12" t="b">
        <v>0</v>
      </c>
      <c r="E12" t="b">
        <v>0</v>
      </c>
      <c r="F12" t="b">
        <v>0</v>
      </c>
      <c r="G12" t="b">
        <v>0</v>
      </c>
      <c r="H12" t="inlineStr">
        <is>
          <t>No</t>
        </is>
      </c>
      <c r="I12" t="inlineStr"/>
    </row>
    <row r="13">
      <c r="A13" s="2" t="n">
        <v>45982</v>
      </c>
      <c r="B13" t="inlineStr">
        <is>
          <t>TR2B2</t>
        </is>
      </c>
      <c r="C13" t="inlineStr">
        <is>
          <t>PASS</t>
        </is>
      </c>
      <c r="D13" t="b">
        <v>0</v>
      </c>
      <c r="E13" t="b">
        <v>0</v>
      </c>
      <c r="F13" t="b">
        <v>0</v>
      </c>
      <c r="G13" t="b">
        <v>0</v>
      </c>
      <c r="H13" t="inlineStr">
        <is>
          <t>No</t>
        </is>
      </c>
      <c r="I13" t="inlineStr"/>
    </row>
    <row r="14">
      <c r="A14" s="2" t="n">
        <v>45982</v>
      </c>
      <c r="B14" t="inlineStr">
        <is>
          <t>TR2B3</t>
        </is>
      </c>
      <c r="C14" t="inlineStr">
        <is>
          <t>PASS</t>
        </is>
      </c>
      <c r="D14" t="b">
        <v>0</v>
      </c>
      <c r="E14" t="b">
        <v>0</v>
      </c>
      <c r="F14" t="b">
        <v>0</v>
      </c>
      <c r="G14" t="b">
        <v>0</v>
      </c>
      <c r="H14" t="inlineStr">
        <is>
          <t>No</t>
        </is>
      </c>
      <c r="I14" t="inlineStr"/>
    </row>
    <row r="15">
      <c r="A15" t="inlineStr">
        <is>
          <t>* Certain funds may not have more than 25% of total assets in any industry or group of industries. However, other funds may have more than 25% of total assets in an industry or group of industries if (1) the fund’s Underlying ETF invests more than 25% of its assets in that industry or group of industries or (2) the fund is specifically permitted to concentrate in a specified industry or group of industries in its fundamental investment policy (such as information technology). Therefore, some funds have additional info listed about their underlying ETF (represented by an index) or have a note that they can concentrate in a certain industry or group of industries.</t>
        </is>
      </c>
      <c r="B15" t="inlineStr"/>
      <c r="C15" t="inlineStr"/>
      <c r="D15" t="inlineStr"/>
      <c r="E15" t="inlineStr"/>
      <c r="F15" t="inlineStr"/>
      <c r="G15" t="inlineStr"/>
      <c r="H15" t="inlineStr"/>
      <c r="I15"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21"/>
  <sheetViews>
    <sheetView workbookViewId="0">
      <selection activeCell="A1" sqref="A1"/>
    </sheetView>
  </sheetViews>
  <sheetFormatPr baseColWidth="8" defaultRowHeight="15"/>
  <cols>
    <col width="12" customWidth="1" min="1" max="1"/>
    <col width="8" customWidth="1" min="2" max="2"/>
    <col width="26" customWidth="1" min="3" max="3"/>
    <col width="48" customWidth="1" min="4" max="4"/>
    <col width="24" customWidth="1" min="5" max="5"/>
    <col width="21" customWidth="1" min="6" max="6"/>
    <col width="22" customWidth="1" min="7" max="7"/>
    <col width="13" customWidth="1" min="8" max="8"/>
    <col width="14" customWidth="1" min="9" max="9"/>
  </cols>
  <sheetData>
    <row r="1">
      <c r="A1" s="1" t="inlineStr">
        <is>
          <t>Date</t>
        </is>
      </c>
      <c r="B1" s="1" t="inlineStr">
        <is>
          <t>Fund</t>
        </is>
      </c>
      <c r="C1" s="1" t="inlineStr">
        <is>
          <t>GICS_Class</t>
        </is>
      </c>
      <c r="D1" s="1" t="inlineStr">
        <is>
          <t>GICS_Class Value</t>
        </is>
      </c>
      <c r="E1" s="1" t="inlineStr">
        <is>
          <t>GICS_SECTOR_NAME</t>
        </is>
      </c>
      <c r="F1" s="1" t="inlineStr">
        <is>
          <t>Exceeding_Fund_25%?</t>
        </is>
      </c>
      <c r="G1" s="1" t="inlineStr">
        <is>
          <t>Exceeding_Index_25%?</t>
        </is>
      </c>
      <c r="H1" s="1" t="inlineStr">
        <is>
          <t>Fund_Weight</t>
        </is>
      </c>
      <c r="I1" s="1" t="inlineStr">
        <is>
          <t>Index_Weight</t>
        </is>
      </c>
    </row>
    <row r="2">
      <c r="A2" s="2" t="n">
        <v>45982</v>
      </c>
      <c r="B2" t="inlineStr">
        <is>
          <t>HE3B1</t>
        </is>
      </c>
      <c r="C2" t="inlineStr">
        <is>
          <t>GICS_INDUSTRY_GROUP_NAME</t>
        </is>
      </c>
      <c r="D2" t="inlineStr">
        <is>
          <t>Semiconductors &amp; Semiconductor Equipment</t>
        </is>
      </c>
      <c r="E2" t="inlineStr">
        <is>
          <t>Information Technology</t>
        </is>
      </c>
      <c r="F2" t="inlineStr"/>
      <c r="G2" t="inlineStr"/>
      <c r="H2" t="inlineStr">
        <is>
          <t>13.95%</t>
        </is>
      </c>
      <c r="I2" t="inlineStr">
        <is>
          <t>0.00%</t>
        </is>
      </c>
    </row>
    <row r="3">
      <c r="A3" s="2" t="n">
        <v>45982</v>
      </c>
      <c r="B3" t="inlineStr">
        <is>
          <t>HE3B1</t>
        </is>
      </c>
      <c r="C3" t="inlineStr">
        <is>
          <t>GICS_INDUSTRY_NAME</t>
        </is>
      </c>
      <c r="D3" t="inlineStr">
        <is>
          <t>Semiconductors &amp; Semiconductor Equipment</t>
        </is>
      </c>
      <c r="E3" t="inlineStr">
        <is>
          <t>Information Technology</t>
        </is>
      </c>
      <c r="F3" t="inlineStr"/>
      <c r="G3" t="inlineStr"/>
      <c r="H3" t="inlineStr">
        <is>
          <t>13.95%</t>
        </is>
      </c>
      <c r="I3" t="inlineStr">
        <is>
          <t>0.00%</t>
        </is>
      </c>
    </row>
    <row r="4">
      <c r="A4" s="2" t="n">
        <v>45982</v>
      </c>
      <c r="B4" t="inlineStr">
        <is>
          <t>HE3B1</t>
        </is>
      </c>
      <c r="C4" t="inlineStr">
        <is>
          <t>GICS_INDUSTRY_GROUP_NAME</t>
        </is>
      </c>
      <c r="D4" t="inlineStr">
        <is>
          <t>Software &amp; Services</t>
        </is>
      </c>
      <c r="E4" t="inlineStr">
        <is>
          <t>Information Technology</t>
        </is>
      </c>
      <c r="F4" t="inlineStr"/>
      <c r="G4" t="inlineStr"/>
      <c r="H4" t="inlineStr">
        <is>
          <t>11.04%</t>
        </is>
      </c>
      <c r="I4" t="inlineStr">
        <is>
          <t>0.00%</t>
        </is>
      </c>
    </row>
    <row r="5">
      <c r="A5" s="2" t="n">
        <v>45982</v>
      </c>
      <c r="B5" t="inlineStr">
        <is>
          <t>HE3B1</t>
        </is>
      </c>
      <c r="C5" t="inlineStr">
        <is>
          <t>GICS_INDUSTRY_NAME</t>
        </is>
      </c>
      <c r="D5" t="inlineStr">
        <is>
          <t>Software</t>
        </is>
      </c>
      <c r="E5" t="inlineStr">
        <is>
          <t>Information Technology</t>
        </is>
      </c>
      <c r="F5" t="inlineStr"/>
      <c r="G5" t="inlineStr"/>
      <c r="H5" t="inlineStr">
        <is>
          <t>9.88%</t>
        </is>
      </c>
      <c r="I5" t="inlineStr">
        <is>
          <t>0.00%</t>
        </is>
      </c>
    </row>
    <row r="6">
      <c r="A6" s="2" t="n">
        <v>45982</v>
      </c>
      <c r="B6" t="inlineStr">
        <is>
          <t>HE3B1</t>
        </is>
      </c>
      <c r="C6" t="inlineStr">
        <is>
          <t>GICS_INDUSTRY_GROUP_NAME</t>
        </is>
      </c>
      <c r="D6" t="inlineStr">
        <is>
          <t>Media &amp; Entertainment</t>
        </is>
      </c>
      <c r="E6" t="inlineStr">
        <is>
          <t>Communication Services</t>
        </is>
      </c>
      <c r="F6" t="inlineStr"/>
      <c r="G6" t="inlineStr"/>
      <c r="H6" t="inlineStr">
        <is>
          <t>9.62%</t>
        </is>
      </c>
      <c r="I6" t="inlineStr">
        <is>
          <t>0.00%</t>
        </is>
      </c>
    </row>
    <row r="7">
      <c r="A7" s="2" t="n">
        <v>45982</v>
      </c>
      <c r="B7" t="inlineStr">
        <is>
          <t>HE3B1</t>
        </is>
      </c>
      <c r="C7" t="inlineStr">
        <is>
          <t>GICS_INDUSTRY_GROUP_NAME</t>
        </is>
      </c>
      <c r="D7" t="inlineStr">
        <is>
          <t>Technology Hardware &amp; Equipment</t>
        </is>
      </c>
      <c r="E7" t="inlineStr">
        <is>
          <t>Information Technology</t>
        </is>
      </c>
      <c r="F7" t="inlineStr"/>
      <c r="G7" t="inlineStr"/>
      <c r="H7" t="inlineStr">
        <is>
          <t>9.48%</t>
        </is>
      </c>
      <c r="I7" t="inlineStr">
        <is>
          <t>0.00%</t>
        </is>
      </c>
    </row>
    <row r="8">
      <c r="A8" s="2" t="n">
        <v>45982</v>
      </c>
      <c r="B8" t="inlineStr">
        <is>
          <t>HE3B1</t>
        </is>
      </c>
      <c r="C8" t="inlineStr">
        <is>
          <t>GICS_INDUSTRY_NAME</t>
        </is>
      </c>
      <c r="D8" t="inlineStr">
        <is>
          <t>Interactive Media &amp; Services</t>
        </is>
      </c>
      <c r="E8" t="inlineStr">
        <is>
          <t>Communication Services</t>
        </is>
      </c>
      <c r="F8" t="inlineStr"/>
      <c r="G8" t="inlineStr"/>
      <c r="H8" t="inlineStr">
        <is>
          <t>9.03%</t>
        </is>
      </c>
      <c r="I8" t="inlineStr">
        <is>
          <t>0.00%</t>
        </is>
      </c>
    </row>
    <row r="9">
      <c r="A9" s="2" t="n">
        <v>45982</v>
      </c>
      <c r="B9" t="inlineStr">
        <is>
          <t>HE3B1</t>
        </is>
      </c>
      <c r="C9" t="inlineStr">
        <is>
          <t>GICS_INDUSTRY_NAME</t>
        </is>
      </c>
      <c r="D9" t="inlineStr">
        <is>
          <t>Technology Hardware, Storage &amp; Peripherals</t>
        </is>
      </c>
      <c r="E9" t="inlineStr">
        <is>
          <t>Information Technology</t>
        </is>
      </c>
      <c r="F9" t="inlineStr"/>
      <c r="G9" t="inlineStr"/>
      <c r="H9" t="inlineStr">
        <is>
          <t>7.30%</t>
        </is>
      </c>
      <c r="I9" t="inlineStr">
        <is>
          <t>0.00%</t>
        </is>
      </c>
    </row>
    <row r="10">
      <c r="A10" s="2" t="n">
        <v>45982</v>
      </c>
      <c r="B10" t="inlineStr">
        <is>
          <t>HE3B1</t>
        </is>
      </c>
      <c r="C10" t="inlineStr">
        <is>
          <t>GICS_INDUSTRY_GROUP_NAME</t>
        </is>
      </c>
      <c r="D10" t="inlineStr">
        <is>
          <t>Capital Goods</t>
        </is>
      </c>
      <c r="E10" t="inlineStr">
        <is>
          <t>Industrials</t>
        </is>
      </c>
      <c r="F10" t="inlineStr"/>
      <c r="G10" t="inlineStr"/>
      <c r="H10" t="inlineStr">
        <is>
          <t>7.13%</t>
        </is>
      </c>
      <c r="I10" t="inlineStr">
        <is>
          <t>0.00%</t>
        </is>
      </c>
    </row>
    <row r="11">
      <c r="A11" s="2" t="n">
        <v>45982</v>
      </c>
      <c r="B11" t="inlineStr">
        <is>
          <t>HE3B1</t>
        </is>
      </c>
      <c r="C11" t="inlineStr">
        <is>
          <t>GICS_INDUSTRY_GROUP_NAME</t>
        </is>
      </c>
      <c r="D11" t="inlineStr">
        <is>
          <t>Pharmaceuticals, Biotechnology &amp; Life Sciences</t>
        </is>
      </c>
      <c r="E11" t="inlineStr">
        <is>
          <t>Health Care</t>
        </is>
      </c>
      <c r="F11" t="inlineStr"/>
      <c r="G11" t="inlineStr"/>
      <c r="H11" t="inlineStr">
        <is>
          <t>6.37%</t>
        </is>
      </c>
      <c r="I11" t="inlineStr">
        <is>
          <t>0.00%</t>
        </is>
      </c>
    </row>
    <row r="12">
      <c r="A12" s="2" t="n">
        <v>45982</v>
      </c>
      <c r="B12" t="inlineStr">
        <is>
          <t>HE3B1</t>
        </is>
      </c>
      <c r="C12" t="inlineStr">
        <is>
          <t>GICS_INDUSTRY_GROUP_NAME</t>
        </is>
      </c>
      <c r="D12" t="inlineStr">
        <is>
          <t>Financial Services</t>
        </is>
      </c>
      <c r="E12" t="inlineStr">
        <is>
          <t>Financials</t>
        </is>
      </c>
      <c r="F12" t="inlineStr"/>
      <c r="G12" t="inlineStr"/>
      <c r="H12" t="inlineStr">
        <is>
          <t>5.55%</t>
        </is>
      </c>
      <c r="I12" t="inlineStr">
        <is>
          <t>0.00%</t>
        </is>
      </c>
    </row>
    <row r="13">
      <c r="A13" s="2" t="n">
        <v>45982</v>
      </c>
      <c r="B13" t="inlineStr">
        <is>
          <t>HE3B1</t>
        </is>
      </c>
      <c r="C13" t="inlineStr">
        <is>
          <t>GICS_INDUSTRY_GROUP_NAME</t>
        </is>
      </c>
      <c r="D13" t="inlineStr">
        <is>
          <t>Consumer Discretionary Distribution &amp; Retail</t>
        </is>
      </c>
      <c r="E13" t="inlineStr">
        <is>
          <t>Consumer Discretionary</t>
        </is>
      </c>
      <c r="F13" t="inlineStr"/>
      <c r="G13" t="inlineStr"/>
      <c r="H13" t="inlineStr">
        <is>
          <t>5.33%</t>
        </is>
      </c>
      <c r="I13" t="inlineStr">
        <is>
          <t>0.00%</t>
        </is>
      </c>
    </row>
    <row r="14">
      <c r="A14" s="2" t="n">
        <v>45982</v>
      </c>
      <c r="B14" t="inlineStr">
        <is>
          <t>HE3B1</t>
        </is>
      </c>
      <c r="C14" t="inlineStr">
        <is>
          <t>GICS_INDUSTRY_GROUP_NAME</t>
        </is>
      </c>
      <c r="D14" t="inlineStr">
        <is>
          <t>Banks</t>
        </is>
      </c>
      <c r="E14" t="inlineStr">
        <is>
          <t>Financials</t>
        </is>
      </c>
      <c r="F14" t="inlineStr"/>
      <c r="G14" t="inlineStr"/>
      <c r="H14" t="inlineStr">
        <is>
          <t>5.19%</t>
        </is>
      </c>
      <c r="I14" t="inlineStr">
        <is>
          <t>0.00%</t>
        </is>
      </c>
    </row>
    <row r="15">
      <c r="A15" s="2" t="n">
        <v>45982</v>
      </c>
      <c r="B15" t="inlineStr">
        <is>
          <t>HE3B1</t>
        </is>
      </c>
      <c r="C15" t="inlineStr">
        <is>
          <t>GICS_INDUSTRY_NAME</t>
        </is>
      </c>
      <c r="D15" t="inlineStr">
        <is>
          <t>Banks</t>
        </is>
      </c>
      <c r="E15" t="inlineStr">
        <is>
          <t>Financials</t>
        </is>
      </c>
      <c r="F15" t="inlineStr"/>
      <c r="G15" t="inlineStr"/>
      <c r="H15" t="inlineStr">
        <is>
          <t>5.19%</t>
        </is>
      </c>
      <c r="I15" t="inlineStr">
        <is>
          <t>0.00%</t>
        </is>
      </c>
    </row>
    <row r="16">
      <c r="A16" s="2" t="n">
        <v>45982</v>
      </c>
      <c r="B16" t="inlineStr">
        <is>
          <t>HE3B1</t>
        </is>
      </c>
      <c r="C16" t="inlineStr">
        <is>
          <t>GICS_INDUSTRY_NAME</t>
        </is>
      </c>
      <c r="D16" t="inlineStr">
        <is>
          <t>Broadline Retail</t>
        </is>
      </c>
      <c r="E16" t="inlineStr">
        <is>
          <t>Consumer Discretionary</t>
        </is>
      </c>
      <c r="F16" t="inlineStr"/>
      <c r="G16" t="inlineStr"/>
      <c r="H16" t="inlineStr">
        <is>
          <t>4.06%</t>
        </is>
      </c>
      <c r="I16" t="inlineStr">
        <is>
          <t>0.00%</t>
        </is>
      </c>
    </row>
    <row r="17">
      <c r="A17" s="2" t="n">
        <v>45982</v>
      </c>
      <c r="B17" t="inlineStr">
        <is>
          <t>HE3B1</t>
        </is>
      </c>
      <c r="C17" t="inlineStr">
        <is>
          <t>GICS_INDUSTRY_GROUP_NAME</t>
        </is>
      </c>
      <c r="D17" t="inlineStr">
        <is>
          <t>Health Care Equipment &amp; Services</t>
        </is>
      </c>
      <c r="E17" t="inlineStr">
        <is>
          <t>Health Care</t>
        </is>
      </c>
      <c r="F17" t="inlineStr"/>
      <c r="G17" t="inlineStr"/>
      <c r="H17" t="inlineStr">
        <is>
          <t>3.49%</t>
        </is>
      </c>
      <c r="I17" t="inlineStr">
        <is>
          <t>0.00%</t>
        </is>
      </c>
    </row>
    <row r="18">
      <c r="A18" s="2" t="n">
        <v>45982</v>
      </c>
      <c r="B18" t="inlineStr">
        <is>
          <t>HE3B1</t>
        </is>
      </c>
      <c r="C18" t="inlineStr">
        <is>
          <t>GICS_INDUSTRY_NAME</t>
        </is>
      </c>
      <c r="D18" t="inlineStr">
        <is>
          <t>Aerospace &amp; Defense</t>
        </is>
      </c>
      <c r="E18" t="inlineStr">
        <is>
          <t>Industrials</t>
        </is>
      </c>
      <c r="F18" t="inlineStr"/>
      <c r="G18" t="inlineStr"/>
      <c r="H18" t="inlineStr">
        <is>
          <t>3.48%</t>
        </is>
      </c>
      <c r="I18" t="inlineStr">
        <is>
          <t>0.00%</t>
        </is>
      </c>
    </row>
    <row r="19">
      <c r="A19" s="2" t="n">
        <v>45982</v>
      </c>
      <c r="B19" t="inlineStr">
        <is>
          <t>HE3B1</t>
        </is>
      </c>
      <c r="C19" t="inlineStr">
        <is>
          <t>GICS_INDUSTRY_NAME</t>
        </is>
      </c>
      <c r="D19" t="inlineStr">
        <is>
          <t>Capital Markets</t>
        </is>
      </c>
      <c r="E19" t="inlineStr">
        <is>
          <t>Financials</t>
        </is>
      </c>
      <c r="F19" t="inlineStr"/>
      <c r="G19" t="inlineStr"/>
      <c r="H19" t="inlineStr">
        <is>
          <t>3.05%</t>
        </is>
      </c>
      <c r="I19" t="inlineStr">
        <is>
          <t>0.00%</t>
        </is>
      </c>
    </row>
    <row r="20">
      <c r="A20" s="2" t="n">
        <v>45982</v>
      </c>
      <c r="B20" t="inlineStr">
        <is>
          <t>HE3B1</t>
        </is>
      </c>
      <c r="C20" t="inlineStr">
        <is>
          <t>GICS_INDUSTRY_NAME</t>
        </is>
      </c>
      <c r="D20" t="inlineStr">
        <is>
          <t>Pharmaceuticals</t>
        </is>
      </c>
      <c r="E20" t="inlineStr">
        <is>
          <t>Health Care</t>
        </is>
      </c>
      <c r="F20" t="inlineStr"/>
      <c r="G20" t="inlineStr"/>
      <c r="H20" t="inlineStr">
        <is>
          <t>2.96%</t>
        </is>
      </c>
      <c r="I20" t="inlineStr">
        <is>
          <t>0.00%</t>
        </is>
      </c>
    </row>
    <row r="21">
      <c r="A21" s="2" t="n">
        <v>45982</v>
      </c>
      <c r="B21" t="inlineStr">
        <is>
          <t>HE3B1</t>
        </is>
      </c>
      <c r="C21" t="inlineStr">
        <is>
          <t>GICS_INDUSTRY_GROUP_NAME</t>
        </is>
      </c>
      <c r="D21" t="inlineStr">
        <is>
          <t>Energy</t>
        </is>
      </c>
      <c r="E21" t="inlineStr">
        <is>
          <t>Energy</t>
        </is>
      </c>
      <c r="F21" t="inlineStr"/>
      <c r="G21" t="inlineStr"/>
      <c r="H21" t="inlineStr">
        <is>
          <t>2.88%</t>
        </is>
      </c>
      <c r="I21" t="inlineStr">
        <is>
          <t>0.00%</t>
        </is>
      </c>
    </row>
    <row r="22">
      <c r="A22" s="2" t="n">
        <v>45982</v>
      </c>
      <c r="B22" t="inlineStr">
        <is>
          <t>HE3B1</t>
        </is>
      </c>
      <c r="C22" t="inlineStr">
        <is>
          <t>GICS_INDUSTRY_NAME</t>
        </is>
      </c>
      <c r="D22" t="inlineStr">
        <is>
          <t>Oil, Gas &amp; Consumable Fuels</t>
        </is>
      </c>
      <c r="E22" t="inlineStr">
        <is>
          <t>Energy</t>
        </is>
      </c>
      <c r="F22" t="inlineStr"/>
      <c r="G22" t="inlineStr"/>
      <c r="H22" t="inlineStr">
        <is>
          <t>2.88%</t>
        </is>
      </c>
      <c r="I22" t="inlineStr">
        <is>
          <t>0.00%</t>
        </is>
      </c>
    </row>
    <row r="23">
      <c r="A23" s="2" t="n">
        <v>45982</v>
      </c>
      <c r="B23" t="inlineStr">
        <is>
          <t>HE3B1</t>
        </is>
      </c>
      <c r="C23" t="inlineStr">
        <is>
          <t>GICS_INDUSTRY_GROUP_NAME</t>
        </is>
      </c>
      <c r="D23" t="inlineStr">
        <is>
          <t>Insurance</t>
        </is>
      </c>
      <c r="E23" t="inlineStr">
        <is>
          <t>Financials</t>
        </is>
      </c>
      <c r="F23" t="inlineStr"/>
      <c r="G23" t="inlineStr"/>
      <c r="H23" t="inlineStr">
        <is>
          <t>2.68%</t>
        </is>
      </c>
      <c r="I23" t="inlineStr">
        <is>
          <t>0.00%</t>
        </is>
      </c>
    </row>
    <row r="24">
      <c r="A24" s="2" t="n">
        <v>45982</v>
      </c>
      <c r="B24" t="inlineStr">
        <is>
          <t>HE3B1</t>
        </is>
      </c>
      <c r="C24" t="inlineStr">
        <is>
          <t>GICS_INDUSTRY_NAME</t>
        </is>
      </c>
      <c r="D24" t="inlineStr">
        <is>
          <t>Insurance</t>
        </is>
      </c>
      <c r="E24" t="inlineStr">
        <is>
          <t>Financials</t>
        </is>
      </c>
      <c r="F24" t="inlineStr"/>
      <c r="G24" t="inlineStr"/>
      <c r="H24" t="inlineStr">
        <is>
          <t>2.68%</t>
        </is>
      </c>
      <c r="I24" t="inlineStr">
        <is>
          <t>0.00%</t>
        </is>
      </c>
    </row>
    <row r="25">
      <c r="A25" s="2" t="n">
        <v>45982</v>
      </c>
      <c r="B25" t="inlineStr">
        <is>
          <t>HE3B1</t>
        </is>
      </c>
      <c r="C25" t="inlineStr">
        <is>
          <t>GICS_INDUSTRY_NAME</t>
        </is>
      </c>
      <c r="D25" t="inlineStr">
        <is>
          <t>Health Care Equipment &amp; Supplies</t>
        </is>
      </c>
      <c r="E25" t="inlineStr">
        <is>
          <t>Health Care</t>
        </is>
      </c>
      <c r="F25" t="inlineStr"/>
      <c r="G25" t="inlineStr"/>
      <c r="H25" t="inlineStr">
        <is>
          <t>2.66%</t>
        </is>
      </c>
      <c r="I25" t="inlineStr">
        <is>
          <t>0.00%</t>
        </is>
      </c>
    </row>
    <row r="26">
      <c r="A26" s="2" t="n">
        <v>45982</v>
      </c>
      <c r="B26" t="inlineStr">
        <is>
          <t>HE3B1</t>
        </is>
      </c>
      <c r="C26" t="inlineStr">
        <is>
          <t>GICS_INDUSTRY_GROUP_NAME</t>
        </is>
      </c>
      <c r="D26" t="inlineStr">
        <is>
          <t>Utilities</t>
        </is>
      </c>
      <c r="E26" t="inlineStr">
        <is>
          <t>Utilities</t>
        </is>
      </c>
      <c r="F26" t="inlineStr"/>
      <c r="G26" t="inlineStr"/>
      <c r="H26" t="inlineStr">
        <is>
          <t>2.30%</t>
        </is>
      </c>
      <c r="I26" t="inlineStr">
        <is>
          <t>0.00%</t>
        </is>
      </c>
    </row>
    <row r="27">
      <c r="A27" s="2" t="n">
        <v>45982</v>
      </c>
      <c r="B27" t="inlineStr">
        <is>
          <t>HE3B1</t>
        </is>
      </c>
      <c r="C27" t="inlineStr">
        <is>
          <t>GICS_INDUSTRY_NAME</t>
        </is>
      </c>
      <c r="D27" t="inlineStr">
        <is>
          <t>Electric Utilities</t>
        </is>
      </c>
      <c r="E27" t="inlineStr">
        <is>
          <t>Utilities</t>
        </is>
      </c>
      <c r="F27" t="inlineStr"/>
      <c r="G27" t="inlineStr"/>
      <c r="H27" t="inlineStr">
        <is>
          <t>2.30%</t>
        </is>
      </c>
      <c r="I27" t="inlineStr">
        <is>
          <t>0.00%</t>
        </is>
      </c>
    </row>
    <row r="28">
      <c r="A28" s="2" t="n">
        <v>45982</v>
      </c>
      <c r="B28" t="inlineStr">
        <is>
          <t>HE3B1</t>
        </is>
      </c>
      <c r="C28" t="inlineStr">
        <is>
          <t>GICS_INDUSTRY_NAME</t>
        </is>
      </c>
      <c r="D28" t="inlineStr">
        <is>
          <t>Biotechnology</t>
        </is>
      </c>
      <c r="E28" t="inlineStr">
        <is>
          <t>Health Care</t>
        </is>
      </c>
      <c r="F28" t="inlineStr"/>
      <c r="G28" t="inlineStr"/>
      <c r="H28" t="inlineStr">
        <is>
          <t>2.30%</t>
        </is>
      </c>
      <c r="I28" t="inlineStr">
        <is>
          <t>0.00%</t>
        </is>
      </c>
    </row>
    <row r="29">
      <c r="A29" s="2" t="n">
        <v>45982</v>
      </c>
      <c r="B29" t="inlineStr">
        <is>
          <t>HE3B1</t>
        </is>
      </c>
      <c r="C29" t="inlineStr">
        <is>
          <t>GICS_INDUSTRY_GROUP_NAME</t>
        </is>
      </c>
      <c r="D29" t="inlineStr">
        <is>
          <t>Food, Beverage &amp; Tobacco</t>
        </is>
      </c>
      <c r="E29" t="inlineStr">
        <is>
          <t>Consumer Staples</t>
        </is>
      </c>
      <c r="F29" t="inlineStr"/>
      <c r="G29" t="inlineStr"/>
      <c r="H29" t="inlineStr">
        <is>
          <t>2.29%</t>
        </is>
      </c>
      <c r="I29" t="inlineStr">
        <is>
          <t>0.00%</t>
        </is>
      </c>
    </row>
    <row r="30">
      <c r="A30" s="2" t="n">
        <v>45982</v>
      </c>
      <c r="B30" t="inlineStr">
        <is>
          <t>HE3B1</t>
        </is>
      </c>
      <c r="C30" t="inlineStr">
        <is>
          <t>GICS_INDUSTRY_NAME</t>
        </is>
      </c>
      <c r="D30" t="inlineStr">
        <is>
          <t>Communications Equipment</t>
        </is>
      </c>
      <c r="E30" t="inlineStr">
        <is>
          <t>Information Technology</t>
        </is>
      </c>
      <c r="F30" t="inlineStr"/>
      <c r="G30" t="inlineStr"/>
      <c r="H30" t="inlineStr">
        <is>
          <t>2.19%</t>
        </is>
      </c>
      <c r="I30" t="inlineStr">
        <is>
          <t>0.00%</t>
        </is>
      </c>
    </row>
    <row r="31">
      <c r="A31" s="2" t="n">
        <v>45982</v>
      </c>
      <c r="B31" t="inlineStr">
        <is>
          <t>HE3B1</t>
        </is>
      </c>
      <c r="C31" t="inlineStr">
        <is>
          <t>GICS_INDUSTRY_GROUP_NAME</t>
        </is>
      </c>
      <c r="D31" t="inlineStr">
        <is>
          <t>Automobiles &amp; Components</t>
        </is>
      </c>
      <c r="E31" t="inlineStr">
        <is>
          <t>Consumer Discretionary</t>
        </is>
      </c>
      <c r="F31" t="inlineStr"/>
      <c r="G31" t="inlineStr"/>
      <c r="H31" t="inlineStr">
        <is>
          <t>2.15%</t>
        </is>
      </c>
      <c r="I31" t="inlineStr">
        <is>
          <t>0.00%</t>
        </is>
      </c>
    </row>
    <row r="32">
      <c r="A32" s="2" t="n">
        <v>45982</v>
      </c>
      <c r="B32" t="inlineStr">
        <is>
          <t>HE3B1</t>
        </is>
      </c>
      <c r="C32" t="inlineStr">
        <is>
          <t>GICS_INDUSTRY_NAME</t>
        </is>
      </c>
      <c r="D32" t="inlineStr">
        <is>
          <t>Automobiles</t>
        </is>
      </c>
      <c r="E32" t="inlineStr">
        <is>
          <t>Consumer Discretionary</t>
        </is>
      </c>
      <c r="F32" t="inlineStr"/>
      <c r="G32" t="inlineStr"/>
      <c r="H32" t="inlineStr">
        <is>
          <t>2.15%</t>
        </is>
      </c>
      <c r="I32" t="inlineStr">
        <is>
          <t>0.00%</t>
        </is>
      </c>
    </row>
    <row r="33">
      <c r="A33" s="2" t="n">
        <v>45982</v>
      </c>
      <c r="B33" t="inlineStr">
        <is>
          <t>HE3B1</t>
        </is>
      </c>
      <c r="C33" t="inlineStr">
        <is>
          <t>GICS_INDUSTRY_GROUP_NAME</t>
        </is>
      </c>
      <c r="D33" t="inlineStr">
        <is>
          <t>Consumer Staples Distribution &amp; Retail</t>
        </is>
      </c>
      <c r="E33" t="inlineStr">
        <is>
          <t>Consumer Staples</t>
        </is>
      </c>
      <c r="F33" t="inlineStr"/>
      <c r="G33" t="inlineStr"/>
      <c r="H33" t="inlineStr">
        <is>
          <t>1.79%</t>
        </is>
      </c>
      <c r="I33" t="inlineStr">
        <is>
          <t>0.00%</t>
        </is>
      </c>
    </row>
    <row r="34">
      <c r="A34" s="2" t="n">
        <v>45982</v>
      </c>
      <c r="B34" t="inlineStr">
        <is>
          <t>HE3B1</t>
        </is>
      </c>
      <c r="C34" t="inlineStr">
        <is>
          <t>GICS_INDUSTRY_NAME</t>
        </is>
      </c>
      <c r="D34" t="inlineStr">
        <is>
          <t>Consumer Staples Distribution &amp; Retail</t>
        </is>
      </c>
      <c r="E34" t="inlineStr">
        <is>
          <t>Consumer Staples</t>
        </is>
      </c>
      <c r="F34" t="inlineStr"/>
      <c r="G34" t="inlineStr"/>
      <c r="H34" t="inlineStr">
        <is>
          <t>1.79%</t>
        </is>
      </c>
      <c r="I34" t="inlineStr">
        <is>
          <t>0.00%</t>
        </is>
      </c>
    </row>
    <row r="35">
      <c r="A35" s="2" t="n">
        <v>45982</v>
      </c>
      <c r="B35" t="inlineStr">
        <is>
          <t>HE3B1</t>
        </is>
      </c>
      <c r="C35" t="inlineStr">
        <is>
          <t>GICS_INDUSTRY_NAME</t>
        </is>
      </c>
      <c r="D35" t="inlineStr">
        <is>
          <t>Financial Services</t>
        </is>
      </c>
      <c r="E35" t="inlineStr">
        <is>
          <t>Financials</t>
        </is>
      </c>
      <c r="F35" t="inlineStr"/>
      <c r="G35" t="inlineStr"/>
      <c r="H35" t="inlineStr">
        <is>
          <t>1.78%</t>
        </is>
      </c>
      <c r="I35" t="inlineStr">
        <is>
          <t>0.00%</t>
        </is>
      </c>
    </row>
    <row r="36">
      <c r="A36" s="2" t="n">
        <v>45982</v>
      </c>
      <c r="B36" t="inlineStr">
        <is>
          <t>HE3B1</t>
        </is>
      </c>
      <c r="C36" t="inlineStr">
        <is>
          <t>GICS_INDUSTRY_NAME</t>
        </is>
      </c>
      <c r="D36" t="inlineStr">
        <is>
          <t>Machinery</t>
        </is>
      </c>
      <c r="E36" t="inlineStr">
        <is>
          <t>Industrials</t>
        </is>
      </c>
      <c r="F36" t="inlineStr"/>
      <c r="G36" t="inlineStr"/>
      <c r="H36" t="inlineStr">
        <is>
          <t>1.76%</t>
        </is>
      </c>
      <c r="I36" t="inlineStr">
        <is>
          <t>0.00%</t>
        </is>
      </c>
    </row>
    <row r="37">
      <c r="A37" s="2" t="n">
        <v>45982</v>
      </c>
      <c r="B37" t="inlineStr">
        <is>
          <t>HE3B1</t>
        </is>
      </c>
      <c r="C37" t="inlineStr">
        <is>
          <t>GICS_INDUSTRY_GROUP_NAME</t>
        </is>
      </c>
      <c r="D37" t="inlineStr">
        <is>
          <t>Consumer Services</t>
        </is>
      </c>
      <c r="E37" t="inlineStr">
        <is>
          <t>Consumer Discretionary</t>
        </is>
      </c>
      <c r="F37" t="inlineStr"/>
      <c r="G37" t="inlineStr"/>
      <c r="H37" t="inlineStr">
        <is>
          <t>1.72%</t>
        </is>
      </c>
      <c r="I37" t="inlineStr">
        <is>
          <t>0.00%</t>
        </is>
      </c>
    </row>
    <row r="38">
      <c r="A38" s="2" t="n">
        <v>45982</v>
      </c>
      <c r="B38" t="inlineStr">
        <is>
          <t>HE3B1</t>
        </is>
      </c>
      <c r="C38" t="inlineStr">
        <is>
          <t>GICS_INDUSTRY_NAME</t>
        </is>
      </c>
      <c r="D38" t="inlineStr">
        <is>
          <t>Hotels, Restaurants &amp; Leisure</t>
        </is>
      </c>
      <c r="E38" t="inlineStr">
        <is>
          <t>Consumer Discretionary</t>
        </is>
      </c>
      <c r="F38" t="inlineStr"/>
      <c r="G38" t="inlineStr"/>
      <c r="H38" t="inlineStr">
        <is>
          <t>1.72%</t>
        </is>
      </c>
      <c r="I38" t="inlineStr">
        <is>
          <t>0.00%</t>
        </is>
      </c>
    </row>
    <row r="39">
      <c r="A39" s="2" t="n">
        <v>45982</v>
      </c>
      <c r="B39" t="inlineStr">
        <is>
          <t>HE3B1</t>
        </is>
      </c>
      <c r="C39" t="inlineStr">
        <is>
          <t>GICS_INDUSTRY_GROUP_NAME</t>
        </is>
      </c>
      <c r="D39" t="inlineStr">
        <is>
          <t>Materials</t>
        </is>
      </c>
      <c r="E39" t="inlineStr">
        <is>
          <t>Materials</t>
        </is>
      </c>
      <c r="F39" t="inlineStr"/>
      <c r="G39" t="inlineStr"/>
      <c r="H39" t="inlineStr">
        <is>
          <t>1.69%</t>
        </is>
      </c>
      <c r="I39" t="inlineStr">
        <is>
          <t>0.00%</t>
        </is>
      </c>
    </row>
    <row r="40">
      <c r="A40" s="2" t="n">
        <v>45982</v>
      </c>
      <c r="B40" t="inlineStr">
        <is>
          <t>HE3B1</t>
        </is>
      </c>
      <c r="C40" t="inlineStr">
        <is>
          <t>GICS_INDUSTRY_NAME</t>
        </is>
      </c>
      <c r="D40" t="inlineStr">
        <is>
          <t>Chemicals</t>
        </is>
      </c>
      <c r="E40" t="inlineStr">
        <is>
          <t>Materials</t>
        </is>
      </c>
      <c r="F40" t="inlineStr"/>
      <c r="G40" t="inlineStr"/>
      <c r="H40" t="inlineStr">
        <is>
          <t>1.69%</t>
        </is>
      </c>
      <c r="I40" t="inlineStr">
        <is>
          <t>0.00%</t>
        </is>
      </c>
    </row>
    <row r="41">
      <c r="A41" s="2" t="n">
        <v>45982</v>
      </c>
      <c r="B41" t="inlineStr">
        <is>
          <t>HE3B1</t>
        </is>
      </c>
      <c r="C41" t="inlineStr">
        <is>
          <t>GICS_INDUSTRY_GROUP_NAME</t>
        </is>
      </c>
      <c r="D41" t="inlineStr">
        <is>
          <t>Equity Real Estate Investment Trusts</t>
        </is>
      </c>
      <c r="E41" t="inlineStr">
        <is>
          <t>Real Estate</t>
        </is>
      </c>
      <c r="F41" t="inlineStr"/>
      <c r="G41" t="inlineStr"/>
      <c r="H41" t="inlineStr">
        <is>
          <t>1.47%</t>
        </is>
      </c>
      <c r="I41" t="inlineStr">
        <is>
          <t>0.00%</t>
        </is>
      </c>
    </row>
    <row r="42">
      <c r="A42" s="2" t="n">
        <v>45982</v>
      </c>
      <c r="B42" t="inlineStr">
        <is>
          <t>HE3B1</t>
        </is>
      </c>
      <c r="C42" t="inlineStr">
        <is>
          <t>GICS_INDUSTRY_NAME</t>
        </is>
      </c>
      <c r="D42" t="inlineStr">
        <is>
          <t>Specialized REITs</t>
        </is>
      </c>
      <c r="E42" t="inlineStr">
        <is>
          <t>Real Estate</t>
        </is>
      </c>
      <c r="F42" t="inlineStr"/>
      <c r="G42" t="inlineStr"/>
      <c r="H42" t="inlineStr">
        <is>
          <t>1.47%</t>
        </is>
      </c>
      <c r="I42" t="inlineStr">
        <is>
          <t>0.00%</t>
        </is>
      </c>
    </row>
    <row r="43">
      <c r="A43" s="2" t="n">
        <v>45982</v>
      </c>
      <c r="B43" t="inlineStr">
        <is>
          <t>HE3B1</t>
        </is>
      </c>
      <c r="C43" t="inlineStr">
        <is>
          <t>GICS_INDUSTRY_GROUP_NAME</t>
        </is>
      </c>
      <c r="D43" t="inlineStr">
        <is>
          <t>Transportation</t>
        </is>
      </c>
      <c r="E43" t="inlineStr">
        <is>
          <t>Industrials</t>
        </is>
      </c>
      <c r="F43" t="inlineStr"/>
      <c r="G43" t="inlineStr"/>
      <c r="H43" t="inlineStr">
        <is>
          <t>1.44%</t>
        </is>
      </c>
      <c r="I43" t="inlineStr">
        <is>
          <t>0.00%</t>
        </is>
      </c>
    </row>
    <row r="44">
      <c r="A44" s="2" t="n">
        <v>45982</v>
      </c>
      <c r="B44" t="inlineStr">
        <is>
          <t>HE3B1</t>
        </is>
      </c>
      <c r="C44" t="inlineStr">
        <is>
          <t>GICS_INDUSTRY_NAME</t>
        </is>
      </c>
      <c r="D44" t="inlineStr">
        <is>
          <t>Specialty Retail</t>
        </is>
      </c>
      <c r="E44" t="inlineStr">
        <is>
          <t>Consumer Discretionary</t>
        </is>
      </c>
      <c r="F44" t="inlineStr"/>
      <c r="G44" t="inlineStr"/>
      <c r="H44" t="inlineStr">
        <is>
          <t>1.27%</t>
        </is>
      </c>
      <c r="I44" t="inlineStr">
        <is>
          <t>0.00%</t>
        </is>
      </c>
    </row>
    <row r="45">
      <c r="A45" s="2" t="n">
        <v>45982</v>
      </c>
      <c r="B45" t="inlineStr">
        <is>
          <t>HE3B1</t>
        </is>
      </c>
      <c r="C45" t="inlineStr">
        <is>
          <t>GICS_INDUSTRY_NAME</t>
        </is>
      </c>
      <c r="D45" t="inlineStr">
        <is>
          <t>Beverages</t>
        </is>
      </c>
      <c r="E45" t="inlineStr">
        <is>
          <t>Consumer Staples</t>
        </is>
      </c>
      <c r="F45" t="inlineStr"/>
      <c r="G45" t="inlineStr"/>
      <c r="H45" t="inlineStr">
        <is>
          <t>1.23%</t>
        </is>
      </c>
      <c r="I45" t="inlineStr">
        <is>
          <t>0.00%</t>
        </is>
      </c>
    </row>
    <row r="46">
      <c r="A46" s="2" t="n">
        <v>45982</v>
      </c>
      <c r="B46" t="inlineStr">
        <is>
          <t>HE3B1</t>
        </is>
      </c>
      <c r="C46" t="inlineStr">
        <is>
          <t>GICS_INDUSTRY_NAME</t>
        </is>
      </c>
      <c r="D46" t="inlineStr">
        <is>
          <t>IT Services</t>
        </is>
      </c>
      <c r="E46" t="inlineStr">
        <is>
          <t>Information Technology</t>
        </is>
      </c>
      <c r="F46" t="inlineStr"/>
      <c r="G46" t="inlineStr"/>
      <c r="H46" t="inlineStr">
        <is>
          <t>1.16%</t>
        </is>
      </c>
      <c r="I46" t="inlineStr">
        <is>
          <t>0.00%</t>
        </is>
      </c>
    </row>
    <row r="47">
      <c r="A47" s="2" t="n">
        <v>45982</v>
      </c>
      <c r="B47" t="inlineStr">
        <is>
          <t>HE3B1</t>
        </is>
      </c>
      <c r="C47" t="inlineStr">
        <is>
          <t>GICS_INDUSTRY_NAME</t>
        </is>
      </c>
      <c r="D47" t="inlineStr">
        <is>
          <t>Life Sciences Tools &amp; Services</t>
        </is>
      </c>
      <c r="E47" t="inlineStr">
        <is>
          <t>Health Care</t>
        </is>
      </c>
      <c r="F47" t="inlineStr"/>
      <c r="G47" t="inlineStr"/>
      <c r="H47" t="inlineStr">
        <is>
          <t>1.11%</t>
        </is>
      </c>
      <c r="I47" t="inlineStr">
        <is>
          <t>0.00%</t>
        </is>
      </c>
    </row>
    <row r="48">
      <c r="A48" s="2" t="n">
        <v>45982</v>
      </c>
      <c r="B48" t="inlineStr">
        <is>
          <t>HE3B1</t>
        </is>
      </c>
      <c r="C48" t="inlineStr">
        <is>
          <t>GICS_INDUSTRY_NAME</t>
        </is>
      </c>
      <c r="D48" t="inlineStr">
        <is>
          <t>Ground Transportation</t>
        </is>
      </c>
      <c r="E48" t="inlineStr">
        <is>
          <t>Industrials</t>
        </is>
      </c>
      <c r="F48" t="inlineStr"/>
      <c r="G48" t="inlineStr"/>
      <c r="H48" t="inlineStr">
        <is>
          <t>0.99%</t>
        </is>
      </c>
      <c r="I48" t="inlineStr">
        <is>
          <t>0.00%</t>
        </is>
      </c>
    </row>
    <row r="49">
      <c r="A49" s="2" t="n">
        <v>45982</v>
      </c>
      <c r="B49" t="inlineStr">
        <is>
          <t>HE3B1</t>
        </is>
      </c>
      <c r="C49" t="inlineStr">
        <is>
          <t>GICS_INDUSTRY_GROUP_NAME</t>
        </is>
      </c>
      <c r="D49" t="inlineStr">
        <is>
          <t>Household &amp; Personal Products</t>
        </is>
      </c>
      <c r="E49" t="inlineStr">
        <is>
          <t>Consumer Staples</t>
        </is>
      </c>
      <c r="F49" t="inlineStr"/>
      <c r="G49" t="inlineStr"/>
      <c r="H49" t="inlineStr">
        <is>
          <t>0.98%</t>
        </is>
      </c>
      <c r="I49" t="inlineStr">
        <is>
          <t>0.00%</t>
        </is>
      </c>
    </row>
    <row r="50">
      <c r="A50" s="2" t="n">
        <v>45982</v>
      </c>
      <c r="B50" t="inlineStr">
        <is>
          <t>HE3B1</t>
        </is>
      </c>
      <c r="C50" t="inlineStr">
        <is>
          <t>GICS_INDUSTRY_NAME</t>
        </is>
      </c>
      <c r="D50" t="inlineStr">
        <is>
          <t>Household Products</t>
        </is>
      </c>
      <c r="E50" t="inlineStr">
        <is>
          <t>Consumer Staples</t>
        </is>
      </c>
      <c r="F50" t="inlineStr"/>
      <c r="G50" t="inlineStr"/>
      <c r="H50" t="inlineStr">
        <is>
          <t>0.98%</t>
        </is>
      </c>
      <c r="I50" t="inlineStr">
        <is>
          <t>0.00%</t>
        </is>
      </c>
    </row>
    <row r="51">
      <c r="A51" s="2" t="n">
        <v>45982</v>
      </c>
      <c r="B51" t="inlineStr">
        <is>
          <t>HE3B1</t>
        </is>
      </c>
      <c r="C51" t="inlineStr">
        <is>
          <t>GICS_INDUSTRY_NAME</t>
        </is>
      </c>
      <c r="D51" t="inlineStr">
        <is>
          <t>Industrial Conglomerates</t>
        </is>
      </c>
      <c r="E51" t="inlineStr">
        <is>
          <t>Industrials</t>
        </is>
      </c>
      <c r="F51" t="inlineStr"/>
      <c r="G51" t="inlineStr"/>
      <c r="H51" t="inlineStr">
        <is>
          <t>0.97%</t>
        </is>
      </c>
      <c r="I51" t="inlineStr">
        <is>
          <t>0.00%</t>
        </is>
      </c>
    </row>
    <row r="52">
      <c r="A52" s="2" t="n">
        <v>45982</v>
      </c>
      <c r="B52" t="inlineStr">
        <is>
          <t>HE3B1</t>
        </is>
      </c>
      <c r="C52" t="inlineStr">
        <is>
          <t>GICS_INDUSTRY_NAME</t>
        </is>
      </c>
      <c r="D52" t="inlineStr">
        <is>
          <t>Electrical Equipment</t>
        </is>
      </c>
      <c r="E52" t="inlineStr">
        <is>
          <t>Industrials</t>
        </is>
      </c>
      <c r="F52" t="inlineStr"/>
      <c r="G52" t="inlineStr"/>
      <c r="H52" t="inlineStr">
        <is>
          <t>0.92%</t>
        </is>
      </c>
      <c r="I52" t="inlineStr">
        <is>
          <t>0.00%</t>
        </is>
      </c>
    </row>
    <row r="53">
      <c r="A53" s="2" t="n">
        <v>45982</v>
      </c>
      <c r="B53" t="inlineStr">
        <is>
          <t>HE3B1</t>
        </is>
      </c>
      <c r="C53" t="inlineStr">
        <is>
          <t>GICS_INDUSTRY_GROUP_NAME</t>
        </is>
      </c>
      <c r="D53" t="inlineStr">
        <is>
          <t>Telecommunication Services</t>
        </is>
      </c>
      <c r="E53" t="inlineStr">
        <is>
          <t>Communication Services</t>
        </is>
      </c>
      <c r="F53" t="inlineStr"/>
      <c r="G53" t="inlineStr"/>
      <c r="H53" t="inlineStr">
        <is>
          <t>0.92%</t>
        </is>
      </c>
      <c r="I53" t="inlineStr">
        <is>
          <t>0.00%</t>
        </is>
      </c>
    </row>
    <row r="54">
      <c r="A54" s="2" t="n">
        <v>45982</v>
      </c>
      <c r="B54" t="inlineStr">
        <is>
          <t>HE3B1</t>
        </is>
      </c>
      <c r="C54" t="inlineStr">
        <is>
          <t>GICS_INDUSTRY_NAME</t>
        </is>
      </c>
      <c r="D54" t="inlineStr">
        <is>
          <t>Diversified Telecommunication Services</t>
        </is>
      </c>
      <c r="E54" t="inlineStr">
        <is>
          <t>Communication Services</t>
        </is>
      </c>
      <c r="F54" t="inlineStr"/>
      <c r="G54" t="inlineStr"/>
      <c r="H54" t="inlineStr">
        <is>
          <t>0.92%</t>
        </is>
      </c>
      <c r="I54" t="inlineStr">
        <is>
          <t>0.00%</t>
        </is>
      </c>
    </row>
    <row r="55">
      <c r="A55" s="2" t="n">
        <v>45982</v>
      </c>
      <c r="B55" t="inlineStr">
        <is>
          <t>HE3B1</t>
        </is>
      </c>
      <c r="C55" t="inlineStr">
        <is>
          <t>GICS_INDUSTRY_NAME</t>
        </is>
      </c>
      <c r="D55" t="inlineStr">
        <is>
          <t>Tobacco</t>
        </is>
      </c>
      <c r="E55" t="inlineStr">
        <is>
          <t>Consumer Staples</t>
        </is>
      </c>
      <c r="F55" t="inlineStr"/>
      <c r="G55" t="inlineStr"/>
      <c r="H55" t="inlineStr">
        <is>
          <t>0.87%</t>
        </is>
      </c>
      <c r="I55" t="inlineStr">
        <is>
          <t>0.00%</t>
        </is>
      </c>
    </row>
    <row r="56">
      <c r="A56" s="2" t="n">
        <v>45982</v>
      </c>
      <c r="B56" t="inlineStr">
        <is>
          <t>HE3B1</t>
        </is>
      </c>
      <c r="C56" t="inlineStr">
        <is>
          <t>GICS_INDUSTRY_NAME</t>
        </is>
      </c>
      <c r="D56" t="inlineStr">
        <is>
          <t>Health Care Providers &amp; Services</t>
        </is>
      </c>
      <c r="E56" t="inlineStr">
        <is>
          <t>Health Care</t>
        </is>
      </c>
      <c r="F56" t="inlineStr"/>
      <c r="G56" t="inlineStr"/>
      <c r="H56" t="inlineStr">
        <is>
          <t>0.83%</t>
        </is>
      </c>
      <c r="I56" t="inlineStr">
        <is>
          <t>0.00%</t>
        </is>
      </c>
    </row>
    <row r="57">
      <c r="A57" s="2" t="n">
        <v>45982</v>
      </c>
      <c r="B57" t="inlineStr">
        <is>
          <t>HE3B1</t>
        </is>
      </c>
      <c r="C57" t="inlineStr">
        <is>
          <t>GICS_INDUSTRY_NAME</t>
        </is>
      </c>
      <c r="D57" t="inlineStr">
        <is>
          <t>Consumer Finance</t>
        </is>
      </c>
      <c r="E57" t="inlineStr">
        <is>
          <t>Financials</t>
        </is>
      </c>
      <c r="F57" t="inlineStr"/>
      <c r="G57" t="inlineStr"/>
      <c r="H57" t="inlineStr">
        <is>
          <t>0.72%</t>
        </is>
      </c>
      <c r="I57" t="inlineStr">
        <is>
          <t>0.00%</t>
        </is>
      </c>
    </row>
    <row r="58">
      <c r="A58" s="2" t="n">
        <v>45982</v>
      </c>
      <c r="B58" t="inlineStr">
        <is>
          <t>HE3B1</t>
        </is>
      </c>
      <c r="C58" t="inlineStr">
        <is>
          <t>GICS_INDUSTRY_GROUP_NAME</t>
        </is>
      </c>
      <c r="D58" t="inlineStr">
        <is>
          <t>Consumer Durables &amp; Apparel</t>
        </is>
      </c>
      <c r="E58" t="inlineStr">
        <is>
          <t>Consumer Discretionary</t>
        </is>
      </c>
      <c r="F58" t="inlineStr"/>
      <c r="G58" t="inlineStr"/>
      <c r="H58" t="inlineStr">
        <is>
          <t>0.53%</t>
        </is>
      </c>
      <c r="I58" t="inlineStr">
        <is>
          <t>0.00%</t>
        </is>
      </c>
    </row>
    <row r="59">
      <c r="A59" s="2" t="n">
        <v>45982</v>
      </c>
      <c r="B59" t="inlineStr">
        <is>
          <t>HE3B1</t>
        </is>
      </c>
      <c r="C59" t="inlineStr">
        <is>
          <t>GICS_INDUSTRY_NAME</t>
        </is>
      </c>
      <c r="D59" t="inlineStr">
        <is>
          <t>Textiles, Apparel &amp; Luxury Goods</t>
        </is>
      </c>
      <c r="E59" t="inlineStr">
        <is>
          <t>Consumer Discretionary</t>
        </is>
      </c>
      <c r="F59" t="inlineStr"/>
      <c r="G59" t="inlineStr"/>
      <c r="H59" t="inlineStr">
        <is>
          <t>0.53%</t>
        </is>
      </c>
      <c r="I59" t="inlineStr">
        <is>
          <t>0.00%</t>
        </is>
      </c>
    </row>
    <row r="60">
      <c r="A60" s="2" t="n">
        <v>45982</v>
      </c>
      <c r="B60" t="inlineStr">
        <is>
          <t>HE3B1</t>
        </is>
      </c>
      <c r="C60" t="inlineStr">
        <is>
          <t>GICS_INDUSTRY_NAME</t>
        </is>
      </c>
      <c r="D60" t="inlineStr">
        <is>
          <t>Air Freight &amp; Logistics</t>
        </is>
      </c>
      <c r="E60" t="inlineStr">
        <is>
          <t>Industrials</t>
        </is>
      </c>
      <c r="F60" t="inlineStr"/>
      <c r="G60" t="inlineStr"/>
      <c r="H60" t="inlineStr">
        <is>
          <t>0.45%</t>
        </is>
      </c>
      <c r="I60" t="inlineStr">
        <is>
          <t>0.00%</t>
        </is>
      </c>
    </row>
    <row r="61">
      <c r="A61" s="2" t="n">
        <v>45982</v>
      </c>
      <c r="B61" t="inlineStr">
        <is>
          <t>HE3B1</t>
        </is>
      </c>
      <c r="C61" t="inlineStr">
        <is>
          <t>GICS_INDUSTRY_NAME</t>
        </is>
      </c>
      <c r="D61" t="inlineStr">
        <is>
          <t>Entertainment</t>
        </is>
      </c>
      <c r="E61" t="inlineStr">
        <is>
          <t>Communication Services</t>
        </is>
      </c>
      <c r="F61" t="inlineStr"/>
      <c r="G61" t="inlineStr"/>
      <c r="H61" t="inlineStr">
        <is>
          <t>0.38%</t>
        </is>
      </c>
      <c r="I61" t="inlineStr">
        <is>
          <t>0.00%</t>
        </is>
      </c>
    </row>
    <row r="62">
      <c r="A62" s="2" t="n">
        <v>45982</v>
      </c>
      <c r="B62" t="inlineStr">
        <is>
          <t>HE3B1</t>
        </is>
      </c>
      <c r="C62" t="inlineStr">
        <is>
          <t>GICS_INDUSTRY_NAME</t>
        </is>
      </c>
      <c r="D62" t="inlineStr">
        <is>
          <t>Media</t>
        </is>
      </c>
      <c r="E62" t="inlineStr">
        <is>
          <t>Communication Services</t>
        </is>
      </c>
      <c r="F62" t="inlineStr"/>
      <c r="G62" t="inlineStr"/>
      <c r="H62" t="inlineStr">
        <is>
          <t>0.21%</t>
        </is>
      </c>
      <c r="I62" t="inlineStr">
        <is>
          <t>0.00%</t>
        </is>
      </c>
    </row>
    <row r="63">
      <c r="A63" s="2" t="n">
        <v>45982</v>
      </c>
      <c r="B63" t="inlineStr">
        <is>
          <t>HE3B1</t>
        </is>
      </c>
      <c r="C63" t="inlineStr">
        <is>
          <t>GICS_INDUSTRY_NAME</t>
        </is>
      </c>
      <c r="D63" t="inlineStr">
        <is>
          <t>Food Products</t>
        </is>
      </c>
      <c r="E63" t="inlineStr">
        <is>
          <t>Consumer Staples</t>
        </is>
      </c>
      <c r="F63" t="inlineStr"/>
      <c r="G63" t="inlineStr"/>
      <c r="H63" t="inlineStr">
        <is>
          <t>0.19%</t>
        </is>
      </c>
      <c r="I63" t="inlineStr">
        <is>
          <t>0.00%</t>
        </is>
      </c>
    </row>
    <row r="64">
      <c r="A64" s="2" t="n">
        <v>45982</v>
      </c>
      <c r="B64" t="inlineStr">
        <is>
          <t>HE3B1</t>
        </is>
      </c>
      <c r="C64" t="inlineStr">
        <is>
          <t>GICS_INDUSTRY_GROUP_NAME</t>
        </is>
      </c>
      <c r="D64" t="inlineStr">
        <is>
          <t>Commercial &amp; Professional Services</t>
        </is>
      </c>
      <c r="E64" t="inlineStr">
        <is>
          <t>Industrials</t>
        </is>
      </c>
      <c r="F64" t="inlineStr"/>
      <c r="G64" t="inlineStr"/>
      <c r="H64" t="inlineStr">
        <is>
          <t>0.00%</t>
        </is>
      </c>
      <c r="I64" t="inlineStr">
        <is>
          <t>0.00%</t>
        </is>
      </c>
    </row>
    <row r="65">
      <c r="A65" s="2" t="n">
        <v>45982</v>
      </c>
      <c r="B65" t="inlineStr">
        <is>
          <t>HE3B1</t>
        </is>
      </c>
      <c r="C65" t="inlineStr">
        <is>
          <t>GICS_INDUSTRY_NAME</t>
        </is>
      </c>
      <c r="D65" t="inlineStr">
        <is>
          <t>Commercial Services &amp; Supplies</t>
        </is>
      </c>
      <c r="E65" t="inlineStr">
        <is>
          <t>Industrials</t>
        </is>
      </c>
      <c r="F65" t="inlineStr"/>
      <c r="G65" t="inlineStr"/>
      <c r="H65" t="inlineStr">
        <is>
          <t>0.00%</t>
        </is>
      </c>
      <c r="I65" t="inlineStr">
        <is>
          <t>0.00%</t>
        </is>
      </c>
    </row>
    <row r="66">
      <c r="A66" s="2" t="n">
        <v>45982</v>
      </c>
      <c r="B66" t="inlineStr">
        <is>
          <t>HE3B2</t>
        </is>
      </c>
      <c r="C66" t="inlineStr">
        <is>
          <t>GICS_INDUSTRY_GROUP_NAME</t>
        </is>
      </c>
      <c r="D66" t="inlineStr">
        <is>
          <t>Semiconductors &amp; Semiconductor Equipment</t>
        </is>
      </c>
      <c r="E66" t="inlineStr">
        <is>
          <t>Information Technology</t>
        </is>
      </c>
      <c r="F66" t="inlineStr"/>
      <c r="G66" t="inlineStr"/>
      <c r="H66" t="inlineStr">
        <is>
          <t>14.93%</t>
        </is>
      </c>
      <c r="I66" t="inlineStr">
        <is>
          <t>0.00%</t>
        </is>
      </c>
    </row>
    <row r="67">
      <c r="A67" s="2" t="n">
        <v>45982</v>
      </c>
      <c r="B67" t="inlineStr">
        <is>
          <t>HE3B2</t>
        </is>
      </c>
      <c r="C67" t="inlineStr">
        <is>
          <t>GICS_INDUSTRY_NAME</t>
        </is>
      </c>
      <c r="D67" t="inlineStr">
        <is>
          <t>Semiconductors &amp; Semiconductor Equipment</t>
        </is>
      </c>
      <c r="E67" t="inlineStr">
        <is>
          <t>Information Technology</t>
        </is>
      </c>
      <c r="F67" t="inlineStr"/>
      <c r="G67" t="inlineStr"/>
      <c r="H67" t="inlineStr">
        <is>
          <t>14.93%</t>
        </is>
      </c>
      <c r="I67" t="inlineStr">
        <is>
          <t>0.00%</t>
        </is>
      </c>
    </row>
    <row r="68">
      <c r="A68" s="2" t="n">
        <v>45982</v>
      </c>
      <c r="B68" t="inlineStr">
        <is>
          <t>HE3B2</t>
        </is>
      </c>
      <c r="C68" t="inlineStr">
        <is>
          <t>GICS_INDUSTRY_GROUP_NAME</t>
        </is>
      </c>
      <c r="D68" t="inlineStr">
        <is>
          <t>Technology Hardware &amp; Equipment</t>
        </is>
      </c>
      <c r="E68" t="inlineStr">
        <is>
          <t>Information Technology</t>
        </is>
      </c>
      <c r="F68" t="inlineStr"/>
      <c r="G68" t="inlineStr"/>
      <c r="H68" t="inlineStr">
        <is>
          <t>9.80%</t>
        </is>
      </c>
      <c r="I68" t="inlineStr">
        <is>
          <t>0.00%</t>
        </is>
      </c>
    </row>
    <row r="69">
      <c r="A69" s="2" t="n">
        <v>45982</v>
      </c>
      <c r="B69" t="inlineStr">
        <is>
          <t>HE3B2</t>
        </is>
      </c>
      <c r="C69" t="inlineStr">
        <is>
          <t>GICS_INDUSTRY_GROUP_NAME</t>
        </is>
      </c>
      <c r="D69" t="inlineStr">
        <is>
          <t>Software &amp; Services</t>
        </is>
      </c>
      <c r="E69" t="inlineStr">
        <is>
          <t>Information Technology</t>
        </is>
      </c>
      <c r="F69" t="inlineStr"/>
      <c r="G69" t="inlineStr"/>
      <c r="H69" t="inlineStr">
        <is>
          <t>9.74%</t>
        </is>
      </c>
      <c r="I69" t="inlineStr">
        <is>
          <t>0.00%</t>
        </is>
      </c>
    </row>
    <row r="70">
      <c r="A70" s="2" t="n">
        <v>45982</v>
      </c>
      <c r="B70" t="inlineStr">
        <is>
          <t>HE3B2</t>
        </is>
      </c>
      <c r="C70" t="inlineStr">
        <is>
          <t>GICS_INDUSTRY_GROUP_NAME</t>
        </is>
      </c>
      <c r="D70" t="inlineStr">
        <is>
          <t>Media &amp; Entertainment</t>
        </is>
      </c>
      <c r="E70" t="inlineStr">
        <is>
          <t>Communication Services</t>
        </is>
      </c>
      <c r="F70" t="inlineStr"/>
      <c r="G70" t="inlineStr"/>
      <c r="H70" t="inlineStr">
        <is>
          <t>9.70%</t>
        </is>
      </c>
      <c r="I70" t="inlineStr">
        <is>
          <t>0.00%</t>
        </is>
      </c>
    </row>
    <row r="71">
      <c r="A71" s="2" t="n">
        <v>45982</v>
      </c>
      <c r="B71" t="inlineStr">
        <is>
          <t>HE3B2</t>
        </is>
      </c>
      <c r="C71" t="inlineStr">
        <is>
          <t>GICS_INDUSTRY_NAME</t>
        </is>
      </c>
      <c r="D71" t="inlineStr">
        <is>
          <t>Software</t>
        </is>
      </c>
      <c r="E71" t="inlineStr">
        <is>
          <t>Information Technology</t>
        </is>
      </c>
      <c r="F71" t="inlineStr"/>
      <c r="G71" t="inlineStr"/>
      <c r="H71" t="inlineStr">
        <is>
          <t>8.53%</t>
        </is>
      </c>
      <c r="I71" t="inlineStr">
        <is>
          <t>0.00%</t>
        </is>
      </c>
    </row>
    <row r="72">
      <c r="A72" s="2" t="n">
        <v>45982</v>
      </c>
      <c r="B72" t="inlineStr">
        <is>
          <t>HE3B2</t>
        </is>
      </c>
      <c r="C72" t="inlineStr">
        <is>
          <t>GICS_INDUSTRY_NAME</t>
        </is>
      </c>
      <c r="D72" t="inlineStr">
        <is>
          <t>Interactive Media &amp; Services</t>
        </is>
      </c>
      <c r="E72" t="inlineStr">
        <is>
          <t>Communication Services</t>
        </is>
      </c>
      <c r="F72" t="inlineStr"/>
      <c r="G72" t="inlineStr"/>
      <c r="H72" t="inlineStr">
        <is>
          <t>8.32%</t>
        </is>
      </c>
      <c r="I72" t="inlineStr">
        <is>
          <t>0.00%</t>
        </is>
      </c>
    </row>
    <row r="73">
      <c r="A73" s="2" t="n">
        <v>45982</v>
      </c>
      <c r="B73" t="inlineStr">
        <is>
          <t>HE3B2</t>
        </is>
      </c>
      <c r="C73" t="inlineStr">
        <is>
          <t>GICS_INDUSTRY_NAME</t>
        </is>
      </c>
      <c r="D73" t="inlineStr">
        <is>
          <t>Technology Hardware, Storage &amp; Peripherals</t>
        </is>
      </c>
      <c r="E73" t="inlineStr">
        <is>
          <t>Information Technology</t>
        </is>
      </c>
      <c r="F73" t="inlineStr"/>
      <c r="G73" t="inlineStr"/>
      <c r="H73" t="inlineStr">
        <is>
          <t>7.62%</t>
        </is>
      </c>
      <c r="I73" t="inlineStr">
        <is>
          <t>0.00%</t>
        </is>
      </c>
    </row>
    <row r="74">
      <c r="A74" s="2" t="n">
        <v>45982</v>
      </c>
      <c r="B74" t="inlineStr">
        <is>
          <t>HE3B2</t>
        </is>
      </c>
      <c r="C74" t="inlineStr">
        <is>
          <t>GICS_INDUSTRY_GROUP_NAME</t>
        </is>
      </c>
      <c r="D74" t="inlineStr">
        <is>
          <t>Financial Services</t>
        </is>
      </c>
      <c r="E74" t="inlineStr">
        <is>
          <t>Financials</t>
        </is>
      </c>
      <c r="F74" t="inlineStr"/>
      <c r="G74" t="inlineStr"/>
      <c r="H74" t="inlineStr">
        <is>
          <t>6.64%</t>
        </is>
      </c>
      <c r="I74" t="inlineStr">
        <is>
          <t>0.00%</t>
        </is>
      </c>
    </row>
    <row r="75">
      <c r="A75" s="2" t="n">
        <v>45982</v>
      </c>
      <c r="B75" t="inlineStr">
        <is>
          <t>HE3B2</t>
        </is>
      </c>
      <c r="C75" t="inlineStr">
        <is>
          <t>GICS_INDUSTRY_GROUP_NAME</t>
        </is>
      </c>
      <c r="D75" t="inlineStr">
        <is>
          <t>Capital Goods</t>
        </is>
      </c>
      <c r="E75" t="inlineStr">
        <is>
          <t>Industrials</t>
        </is>
      </c>
      <c r="F75" t="inlineStr"/>
      <c r="G75" t="inlineStr"/>
      <c r="H75" t="inlineStr">
        <is>
          <t>6.16%</t>
        </is>
      </c>
      <c r="I75" t="inlineStr">
        <is>
          <t>0.00%</t>
        </is>
      </c>
    </row>
    <row r="76">
      <c r="A76" s="2" t="n">
        <v>45982</v>
      </c>
      <c r="B76" t="inlineStr">
        <is>
          <t>HE3B2</t>
        </is>
      </c>
      <c r="C76" t="inlineStr">
        <is>
          <t>GICS_INDUSTRY_GROUP_NAME</t>
        </is>
      </c>
      <c r="D76" t="inlineStr">
        <is>
          <t>Pharmaceuticals, Biotechnology &amp; Life Sciences</t>
        </is>
      </c>
      <c r="E76" t="inlineStr">
        <is>
          <t>Health Care</t>
        </is>
      </c>
      <c r="F76" t="inlineStr"/>
      <c r="G76" t="inlineStr"/>
      <c r="H76" t="inlineStr">
        <is>
          <t>5.57%</t>
        </is>
      </c>
      <c r="I76" t="inlineStr">
        <is>
          <t>0.00%</t>
        </is>
      </c>
    </row>
    <row r="77">
      <c r="A77" s="2" t="n">
        <v>45982</v>
      </c>
      <c r="B77" t="inlineStr">
        <is>
          <t>HE3B2</t>
        </is>
      </c>
      <c r="C77" t="inlineStr">
        <is>
          <t>GICS_INDUSTRY_GROUP_NAME</t>
        </is>
      </c>
      <c r="D77" t="inlineStr">
        <is>
          <t>Consumer Discretionary Distribution &amp; Retail</t>
        </is>
      </c>
      <c r="E77" t="inlineStr">
        <is>
          <t>Consumer Discretionary</t>
        </is>
      </c>
      <c r="F77" t="inlineStr"/>
      <c r="G77" t="inlineStr"/>
      <c r="H77" t="inlineStr">
        <is>
          <t>5.33%</t>
        </is>
      </c>
      <c r="I77" t="inlineStr">
        <is>
          <t>0.00%</t>
        </is>
      </c>
    </row>
    <row r="78">
      <c r="A78" s="2" t="n">
        <v>45982</v>
      </c>
      <c r="B78" t="inlineStr">
        <is>
          <t>HE3B2</t>
        </is>
      </c>
      <c r="C78" t="inlineStr">
        <is>
          <t>GICS_INDUSTRY_GROUP_NAME</t>
        </is>
      </c>
      <c r="D78" t="inlineStr">
        <is>
          <t>Banks</t>
        </is>
      </c>
      <c r="E78" t="inlineStr">
        <is>
          <t>Financials</t>
        </is>
      </c>
      <c r="F78" t="inlineStr"/>
      <c r="G78" t="inlineStr"/>
      <c r="H78" t="inlineStr">
        <is>
          <t>4.47%</t>
        </is>
      </c>
      <c r="I78" t="inlineStr">
        <is>
          <t>0.00%</t>
        </is>
      </c>
    </row>
    <row r="79">
      <c r="A79" s="2" t="n">
        <v>45982</v>
      </c>
      <c r="B79" t="inlineStr">
        <is>
          <t>HE3B2</t>
        </is>
      </c>
      <c r="C79" t="inlineStr">
        <is>
          <t>GICS_INDUSTRY_NAME</t>
        </is>
      </c>
      <c r="D79" t="inlineStr">
        <is>
          <t>Banks</t>
        </is>
      </c>
      <c r="E79" t="inlineStr">
        <is>
          <t>Financials</t>
        </is>
      </c>
      <c r="F79" t="inlineStr"/>
      <c r="G79" t="inlineStr"/>
      <c r="H79" t="inlineStr">
        <is>
          <t>4.47%</t>
        </is>
      </c>
      <c r="I79" t="inlineStr">
        <is>
          <t>0.00%</t>
        </is>
      </c>
    </row>
    <row r="80">
      <c r="A80" s="2" t="n">
        <v>45982</v>
      </c>
      <c r="B80" t="inlineStr">
        <is>
          <t>HE3B2</t>
        </is>
      </c>
      <c r="C80" t="inlineStr">
        <is>
          <t>GICS_INDUSTRY_GROUP_NAME</t>
        </is>
      </c>
      <c r="D80" t="inlineStr">
        <is>
          <t>Health Care Equipment &amp; Services</t>
        </is>
      </c>
      <c r="E80" t="inlineStr">
        <is>
          <t>Health Care</t>
        </is>
      </c>
      <c r="F80" t="inlineStr"/>
      <c r="G80" t="inlineStr"/>
      <c r="H80" t="inlineStr">
        <is>
          <t>4.28%</t>
        </is>
      </c>
      <c r="I80" t="inlineStr">
        <is>
          <t>0.00%</t>
        </is>
      </c>
    </row>
    <row r="81">
      <c r="A81" s="2" t="n">
        <v>45982</v>
      </c>
      <c r="B81" t="inlineStr">
        <is>
          <t>HE3B2</t>
        </is>
      </c>
      <c r="C81" t="inlineStr">
        <is>
          <t>GICS_INDUSTRY_NAME</t>
        </is>
      </c>
      <c r="D81" t="inlineStr">
        <is>
          <t>Broadline Retail</t>
        </is>
      </c>
      <c r="E81" t="inlineStr">
        <is>
          <t>Consumer Discretionary</t>
        </is>
      </c>
      <c r="F81" t="inlineStr"/>
      <c r="G81" t="inlineStr"/>
      <c r="H81" t="inlineStr">
        <is>
          <t>4.06%</t>
        </is>
      </c>
      <c r="I81" t="inlineStr">
        <is>
          <t>0.00%</t>
        </is>
      </c>
    </row>
    <row r="82">
      <c r="A82" s="2" t="n">
        <v>45982</v>
      </c>
      <c r="B82" t="inlineStr">
        <is>
          <t>HE3B2</t>
        </is>
      </c>
      <c r="C82" t="inlineStr">
        <is>
          <t>GICS_INDUSTRY_NAME</t>
        </is>
      </c>
      <c r="D82" t="inlineStr">
        <is>
          <t>Financial Services</t>
        </is>
      </c>
      <c r="E82" t="inlineStr">
        <is>
          <t>Financials</t>
        </is>
      </c>
      <c r="F82" t="inlineStr"/>
      <c r="G82" t="inlineStr"/>
      <c r="H82" t="inlineStr">
        <is>
          <t>3.34%</t>
        </is>
      </c>
      <c r="I82" t="inlineStr">
        <is>
          <t>0.00%</t>
        </is>
      </c>
    </row>
    <row r="83">
      <c r="A83" s="2" t="n">
        <v>45982</v>
      </c>
      <c r="B83" t="inlineStr">
        <is>
          <t>HE3B2</t>
        </is>
      </c>
      <c r="C83" t="inlineStr">
        <is>
          <t>GICS_INDUSTRY_NAME</t>
        </is>
      </c>
      <c r="D83" t="inlineStr">
        <is>
          <t>Aerospace &amp; Defense</t>
        </is>
      </c>
      <c r="E83" t="inlineStr">
        <is>
          <t>Industrials</t>
        </is>
      </c>
      <c r="F83" t="inlineStr"/>
      <c r="G83" t="inlineStr"/>
      <c r="H83" t="inlineStr">
        <is>
          <t>3.01%</t>
        </is>
      </c>
      <c r="I83" t="inlineStr">
        <is>
          <t>0.00%</t>
        </is>
      </c>
    </row>
    <row r="84">
      <c r="A84" s="2" t="n">
        <v>45982</v>
      </c>
      <c r="B84" t="inlineStr">
        <is>
          <t>HE3B2</t>
        </is>
      </c>
      <c r="C84" t="inlineStr">
        <is>
          <t>GICS_INDUSTRY_GROUP_NAME</t>
        </is>
      </c>
      <c r="D84" t="inlineStr">
        <is>
          <t>Energy</t>
        </is>
      </c>
      <c r="E84" t="inlineStr">
        <is>
          <t>Energy</t>
        </is>
      </c>
      <c r="F84" t="inlineStr"/>
      <c r="G84" t="inlineStr"/>
      <c r="H84" t="inlineStr">
        <is>
          <t>2.88%</t>
        </is>
      </c>
      <c r="I84" t="inlineStr">
        <is>
          <t>0.00%</t>
        </is>
      </c>
    </row>
    <row r="85">
      <c r="A85" s="2" t="n">
        <v>45982</v>
      </c>
      <c r="B85" t="inlineStr">
        <is>
          <t>HE3B2</t>
        </is>
      </c>
      <c r="C85" t="inlineStr">
        <is>
          <t>GICS_INDUSTRY_NAME</t>
        </is>
      </c>
      <c r="D85" t="inlineStr">
        <is>
          <t>Oil, Gas &amp; Consumable Fuels</t>
        </is>
      </c>
      <c r="E85" t="inlineStr">
        <is>
          <t>Energy</t>
        </is>
      </c>
      <c r="F85" t="inlineStr"/>
      <c r="G85" t="inlineStr"/>
      <c r="H85" t="inlineStr">
        <is>
          <t>2.88%</t>
        </is>
      </c>
      <c r="I85" t="inlineStr">
        <is>
          <t>0.00%</t>
        </is>
      </c>
    </row>
    <row r="86">
      <c r="A86" s="2" t="n">
        <v>45982</v>
      </c>
      <c r="B86" t="inlineStr">
        <is>
          <t>HE3B2</t>
        </is>
      </c>
      <c r="C86" t="inlineStr">
        <is>
          <t>GICS_INDUSTRY_NAME</t>
        </is>
      </c>
      <c r="D86" t="inlineStr">
        <is>
          <t>Capital Markets</t>
        </is>
      </c>
      <c r="E86" t="inlineStr">
        <is>
          <t>Financials</t>
        </is>
      </c>
      <c r="F86" t="inlineStr"/>
      <c r="G86" t="inlineStr"/>
      <c r="H86" t="inlineStr">
        <is>
          <t>2.68%</t>
        </is>
      </c>
      <c r="I86" t="inlineStr">
        <is>
          <t>0.00%</t>
        </is>
      </c>
    </row>
    <row r="87">
      <c r="A87" s="2" t="n">
        <v>45982</v>
      </c>
      <c r="B87" t="inlineStr">
        <is>
          <t>HE3B2</t>
        </is>
      </c>
      <c r="C87" t="inlineStr">
        <is>
          <t>GICS_INDUSTRY_NAME</t>
        </is>
      </c>
      <c r="D87" t="inlineStr">
        <is>
          <t>Pharmaceuticals</t>
        </is>
      </c>
      <c r="E87" t="inlineStr">
        <is>
          <t>Health Care</t>
        </is>
      </c>
      <c r="F87" t="inlineStr"/>
      <c r="G87" t="inlineStr"/>
      <c r="H87" t="inlineStr">
        <is>
          <t>2.59%</t>
        </is>
      </c>
      <c r="I87" t="inlineStr">
        <is>
          <t>0.00%</t>
        </is>
      </c>
    </row>
    <row r="88">
      <c r="A88" s="2" t="n">
        <v>45982</v>
      </c>
      <c r="B88" t="inlineStr">
        <is>
          <t>HE3B2</t>
        </is>
      </c>
      <c r="C88" t="inlineStr">
        <is>
          <t>GICS_INDUSTRY_NAME</t>
        </is>
      </c>
      <c r="D88" t="inlineStr">
        <is>
          <t>Health Care Equipment &amp; Supplies</t>
        </is>
      </c>
      <c r="E88" t="inlineStr">
        <is>
          <t>Health Care</t>
        </is>
      </c>
      <c r="F88" t="inlineStr"/>
      <c r="G88" t="inlineStr"/>
      <c r="H88" t="inlineStr">
        <is>
          <t>2.32%</t>
        </is>
      </c>
      <c r="I88" t="inlineStr">
        <is>
          <t>0.00%</t>
        </is>
      </c>
    </row>
    <row r="89">
      <c r="A89" s="2" t="n">
        <v>45982</v>
      </c>
      <c r="B89" t="inlineStr">
        <is>
          <t>HE3B2</t>
        </is>
      </c>
      <c r="C89" t="inlineStr">
        <is>
          <t>GICS_INDUSTRY_GROUP_NAME</t>
        </is>
      </c>
      <c r="D89" t="inlineStr">
        <is>
          <t>Insurance</t>
        </is>
      </c>
      <c r="E89" t="inlineStr">
        <is>
          <t>Financials</t>
        </is>
      </c>
      <c r="F89" t="inlineStr"/>
      <c r="G89" t="inlineStr"/>
      <c r="H89" t="inlineStr">
        <is>
          <t>2.31%</t>
        </is>
      </c>
      <c r="I89" t="inlineStr">
        <is>
          <t>0.00%</t>
        </is>
      </c>
    </row>
    <row r="90">
      <c r="A90" s="2" t="n">
        <v>45982</v>
      </c>
      <c r="B90" t="inlineStr">
        <is>
          <t>HE3B2</t>
        </is>
      </c>
      <c r="C90" t="inlineStr">
        <is>
          <t>GICS_INDUSTRY_NAME</t>
        </is>
      </c>
      <c r="D90" t="inlineStr">
        <is>
          <t>Insurance</t>
        </is>
      </c>
      <c r="E90" t="inlineStr">
        <is>
          <t>Financials</t>
        </is>
      </c>
      <c r="F90" t="inlineStr"/>
      <c r="G90" t="inlineStr"/>
      <c r="H90" t="inlineStr">
        <is>
          <t>2.31%</t>
        </is>
      </c>
      <c r="I90" t="inlineStr">
        <is>
          <t>0.00%</t>
        </is>
      </c>
    </row>
    <row r="91">
      <c r="A91" s="2" t="n">
        <v>45982</v>
      </c>
      <c r="B91" t="inlineStr">
        <is>
          <t>HE3B2</t>
        </is>
      </c>
      <c r="C91" t="inlineStr">
        <is>
          <t>GICS_INDUSTRY_GROUP_NAME</t>
        </is>
      </c>
      <c r="D91" t="inlineStr">
        <is>
          <t>Utilities</t>
        </is>
      </c>
      <c r="E91" t="inlineStr">
        <is>
          <t>Utilities</t>
        </is>
      </c>
      <c r="F91" t="inlineStr"/>
      <c r="G91" t="inlineStr"/>
      <c r="H91" t="inlineStr">
        <is>
          <t>2.30%</t>
        </is>
      </c>
      <c r="I91" t="inlineStr">
        <is>
          <t>0.00%</t>
        </is>
      </c>
    </row>
    <row r="92">
      <c r="A92" s="2" t="n">
        <v>45982</v>
      </c>
      <c r="B92" t="inlineStr">
        <is>
          <t>HE3B2</t>
        </is>
      </c>
      <c r="C92" t="inlineStr">
        <is>
          <t>GICS_INDUSTRY_NAME</t>
        </is>
      </c>
      <c r="D92" t="inlineStr">
        <is>
          <t>Electric Utilities</t>
        </is>
      </c>
      <c r="E92" t="inlineStr">
        <is>
          <t>Utilities</t>
        </is>
      </c>
      <c r="F92" t="inlineStr"/>
      <c r="G92" t="inlineStr"/>
      <c r="H92" t="inlineStr">
        <is>
          <t>2.30%</t>
        </is>
      </c>
      <c r="I92" t="inlineStr">
        <is>
          <t>0.00%</t>
        </is>
      </c>
    </row>
    <row r="93">
      <c r="A93" s="2" t="n">
        <v>45982</v>
      </c>
      <c r="B93" t="inlineStr">
        <is>
          <t>HE3B2</t>
        </is>
      </c>
      <c r="C93" t="inlineStr">
        <is>
          <t>GICS_INDUSTRY_GROUP_NAME</t>
        </is>
      </c>
      <c r="D93" t="inlineStr">
        <is>
          <t>Food, Beverage &amp; Tobacco</t>
        </is>
      </c>
      <c r="E93" t="inlineStr">
        <is>
          <t>Consumer Staples</t>
        </is>
      </c>
      <c r="F93" t="inlineStr"/>
      <c r="G93" t="inlineStr"/>
      <c r="H93" t="inlineStr">
        <is>
          <t>2.29%</t>
        </is>
      </c>
      <c r="I93" t="inlineStr">
        <is>
          <t>0.00%</t>
        </is>
      </c>
    </row>
    <row r="94">
      <c r="A94" s="2" t="n">
        <v>45982</v>
      </c>
      <c r="B94" t="inlineStr">
        <is>
          <t>HE3B2</t>
        </is>
      </c>
      <c r="C94" t="inlineStr">
        <is>
          <t>GICS_INDUSTRY_NAME</t>
        </is>
      </c>
      <c r="D94" t="inlineStr">
        <is>
          <t>Communications Equipment</t>
        </is>
      </c>
      <c r="E94" t="inlineStr">
        <is>
          <t>Information Technology</t>
        </is>
      </c>
      <c r="F94" t="inlineStr"/>
      <c r="G94" t="inlineStr"/>
      <c r="H94" t="inlineStr">
        <is>
          <t>2.19%</t>
        </is>
      </c>
      <c r="I94" t="inlineStr">
        <is>
          <t>0.00%</t>
        </is>
      </c>
    </row>
    <row r="95">
      <c r="A95" s="2" t="n">
        <v>45982</v>
      </c>
      <c r="B95" t="inlineStr">
        <is>
          <t>HE3B2</t>
        </is>
      </c>
      <c r="C95" t="inlineStr">
        <is>
          <t>GICS_INDUSTRY_GROUP_NAME</t>
        </is>
      </c>
      <c r="D95" t="inlineStr">
        <is>
          <t>Automobiles &amp; Components</t>
        </is>
      </c>
      <c r="E95" t="inlineStr">
        <is>
          <t>Consumer Discretionary</t>
        </is>
      </c>
      <c r="F95" t="inlineStr"/>
      <c r="G95" t="inlineStr"/>
      <c r="H95" t="inlineStr">
        <is>
          <t>2.15%</t>
        </is>
      </c>
      <c r="I95" t="inlineStr">
        <is>
          <t>0.00%</t>
        </is>
      </c>
    </row>
    <row r="96">
      <c r="A96" s="2" t="n">
        <v>45982</v>
      </c>
      <c r="B96" t="inlineStr">
        <is>
          <t>HE3B2</t>
        </is>
      </c>
      <c r="C96" t="inlineStr">
        <is>
          <t>GICS_INDUSTRY_NAME</t>
        </is>
      </c>
      <c r="D96" t="inlineStr">
        <is>
          <t>Automobiles</t>
        </is>
      </c>
      <c r="E96" t="inlineStr">
        <is>
          <t>Consumer Discretionary</t>
        </is>
      </c>
      <c r="F96" t="inlineStr"/>
      <c r="G96" t="inlineStr"/>
      <c r="H96" t="inlineStr">
        <is>
          <t>2.15%</t>
        </is>
      </c>
      <c r="I96" t="inlineStr">
        <is>
          <t>0.00%</t>
        </is>
      </c>
    </row>
    <row r="97">
      <c r="A97" s="2" t="n">
        <v>45982</v>
      </c>
      <c r="B97" t="inlineStr">
        <is>
          <t>HE3B2</t>
        </is>
      </c>
      <c r="C97" t="inlineStr">
        <is>
          <t>GICS_INDUSTRY_NAME</t>
        </is>
      </c>
      <c r="D97" t="inlineStr">
        <is>
          <t>Biotechnology</t>
        </is>
      </c>
      <c r="E97" t="inlineStr">
        <is>
          <t>Health Care</t>
        </is>
      </c>
      <c r="F97" t="inlineStr"/>
      <c r="G97" t="inlineStr"/>
      <c r="H97" t="inlineStr">
        <is>
          <t>2.01%</t>
        </is>
      </c>
      <c r="I97" t="inlineStr">
        <is>
          <t>0.00%</t>
        </is>
      </c>
    </row>
    <row r="98">
      <c r="A98" s="2" t="n">
        <v>45982</v>
      </c>
      <c r="B98" t="inlineStr">
        <is>
          <t>HE3B2</t>
        </is>
      </c>
      <c r="C98" t="inlineStr">
        <is>
          <t>GICS_INDUSTRY_NAME</t>
        </is>
      </c>
      <c r="D98" t="inlineStr">
        <is>
          <t>Health Care Providers &amp; Services</t>
        </is>
      </c>
      <c r="E98" t="inlineStr">
        <is>
          <t>Health Care</t>
        </is>
      </c>
      <c r="F98" t="inlineStr"/>
      <c r="G98" t="inlineStr"/>
      <c r="H98" t="inlineStr">
        <is>
          <t>1.96%</t>
        </is>
      </c>
      <c r="I98" t="inlineStr">
        <is>
          <t>0.00%</t>
        </is>
      </c>
    </row>
    <row r="99">
      <c r="A99" s="2" t="n">
        <v>45982</v>
      </c>
      <c r="B99" t="inlineStr">
        <is>
          <t>HE3B2</t>
        </is>
      </c>
      <c r="C99" t="inlineStr">
        <is>
          <t>GICS_INDUSTRY_GROUP_NAME</t>
        </is>
      </c>
      <c r="D99" t="inlineStr">
        <is>
          <t>Consumer Staples Distribution &amp; Retail</t>
        </is>
      </c>
      <c r="E99" t="inlineStr">
        <is>
          <t>Consumer Staples</t>
        </is>
      </c>
      <c r="F99" t="inlineStr"/>
      <c r="G99" t="inlineStr"/>
      <c r="H99" t="inlineStr">
        <is>
          <t>1.79%</t>
        </is>
      </c>
      <c r="I99" t="inlineStr">
        <is>
          <t>0.00%</t>
        </is>
      </c>
    </row>
    <row r="100">
      <c r="A100" s="2" t="n">
        <v>45982</v>
      </c>
      <c r="B100" t="inlineStr">
        <is>
          <t>HE3B2</t>
        </is>
      </c>
      <c r="C100" t="inlineStr">
        <is>
          <t>GICS_INDUSTRY_NAME</t>
        </is>
      </c>
      <c r="D100" t="inlineStr">
        <is>
          <t>Consumer Staples Distribution &amp; Retail</t>
        </is>
      </c>
      <c r="E100" t="inlineStr">
        <is>
          <t>Consumer Staples</t>
        </is>
      </c>
      <c r="F100" t="inlineStr"/>
      <c r="G100" t="inlineStr"/>
      <c r="H100" t="inlineStr">
        <is>
          <t>1.79%</t>
        </is>
      </c>
      <c r="I100" t="inlineStr">
        <is>
          <t>0.00%</t>
        </is>
      </c>
    </row>
    <row r="101">
      <c r="A101" s="2" t="n">
        <v>45982</v>
      </c>
      <c r="B101" t="inlineStr">
        <is>
          <t>HE3B2</t>
        </is>
      </c>
      <c r="C101" t="inlineStr">
        <is>
          <t>GICS_INDUSTRY_GROUP_NAME</t>
        </is>
      </c>
      <c r="D101" t="inlineStr">
        <is>
          <t>Consumer Services</t>
        </is>
      </c>
      <c r="E101" t="inlineStr">
        <is>
          <t>Consumer Discretionary</t>
        </is>
      </c>
      <c r="F101" t="inlineStr"/>
      <c r="G101" t="inlineStr"/>
      <c r="H101" t="inlineStr">
        <is>
          <t>1.71%</t>
        </is>
      </c>
      <c r="I101" t="inlineStr">
        <is>
          <t>0.00%</t>
        </is>
      </c>
    </row>
    <row r="102">
      <c r="A102" s="2" t="n">
        <v>45982</v>
      </c>
      <c r="B102" t="inlineStr">
        <is>
          <t>HE3B2</t>
        </is>
      </c>
      <c r="C102" t="inlineStr">
        <is>
          <t>GICS_INDUSTRY_NAME</t>
        </is>
      </c>
      <c r="D102" t="inlineStr">
        <is>
          <t>Hotels, Restaurants &amp; Leisure</t>
        </is>
      </c>
      <c r="E102" t="inlineStr">
        <is>
          <t>Consumer Discretionary</t>
        </is>
      </c>
      <c r="F102" t="inlineStr"/>
      <c r="G102" t="inlineStr"/>
      <c r="H102" t="inlineStr">
        <is>
          <t>1.71%</t>
        </is>
      </c>
      <c r="I102" t="inlineStr">
        <is>
          <t>0.00%</t>
        </is>
      </c>
    </row>
    <row r="103">
      <c r="A103" s="2" t="n">
        <v>45982</v>
      </c>
      <c r="B103" t="inlineStr">
        <is>
          <t>HE3B2</t>
        </is>
      </c>
      <c r="C103" t="inlineStr">
        <is>
          <t>GICS_INDUSTRY_GROUP_NAME</t>
        </is>
      </c>
      <c r="D103" t="inlineStr">
        <is>
          <t>Materials</t>
        </is>
      </c>
      <c r="E103" t="inlineStr">
        <is>
          <t>Materials</t>
        </is>
      </c>
      <c r="F103" t="inlineStr"/>
      <c r="G103" t="inlineStr"/>
      <c r="H103" t="inlineStr">
        <is>
          <t>1.69%</t>
        </is>
      </c>
      <c r="I103" t="inlineStr">
        <is>
          <t>0.00%</t>
        </is>
      </c>
    </row>
    <row r="104">
      <c r="A104" s="2" t="n">
        <v>45982</v>
      </c>
      <c r="B104" t="inlineStr">
        <is>
          <t>HE3B2</t>
        </is>
      </c>
      <c r="C104" t="inlineStr">
        <is>
          <t>GICS_INDUSTRY_NAME</t>
        </is>
      </c>
      <c r="D104" t="inlineStr">
        <is>
          <t>Chemicals</t>
        </is>
      </c>
      <c r="E104" t="inlineStr">
        <is>
          <t>Materials</t>
        </is>
      </c>
      <c r="F104" t="inlineStr"/>
      <c r="G104" t="inlineStr"/>
      <c r="H104" t="inlineStr">
        <is>
          <t>1.69%</t>
        </is>
      </c>
      <c r="I104" t="inlineStr">
        <is>
          <t>0.00%</t>
        </is>
      </c>
    </row>
    <row r="105">
      <c r="A105" s="2" t="n">
        <v>45982</v>
      </c>
      <c r="B105" t="inlineStr">
        <is>
          <t>HE3B2</t>
        </is>
      </c>
      <c r="C105" t="inlineStr">
        <is>
          <t>GICS_INDUSTRY_NAME</t>
        </is>
      </c>
      <c r="D105" t="inlineStr">
        <is>
          <t>Machinery</t>
        </is>
      </c>
      <c r="E105" t="inlineStr">
        <is>
          <t>Industrials</t>
        </is>
      </c>
      <c r="F105" t="inlineStr"/>
      <c r="G105" t="inlineStr"/>
      <c r="H105" t="inlineStr">
        <is>
          <t>1.52%</t>
        </is>
      </c>
      <c r="I105" t="inlineStr">
        <is>
          <t>0.00%</t>
        </is>
      </c>
    </row>
    <row r="106">
      <c r="A106" s="2" t="n">
        <v>45982</v>
      </c>
      <c r="B106" t="inlineStr">
        <is>
          <t>HE3B2</t>
        </is>
      </c>
      <c r="C106" t="inlineStr">
        <is>
          <t>GICS_INDUSTRY_GROUP_NAME</t>
        </is>
      </c>
      <c r="D106" t="inlineStr">
        <is>
          <t>Equity Real Estate Investment Trusts</t>
        </is>
      </c>
      <c r="E106" t="inlineStr">
        <is>
          <t>Real Estate</t>
        </is>
      </c>
      <c r="F106" t="inlineStr"/>
      <c r="G106" t="inlineStr"/>
      <c r="H106" t="inlineStr">
        <is>
          <t>1.47%</t>
        </is>
      </c>
      <c r="I106" t="inlineStr">
        <is>
          <t>0.00%</t>
        </is>
      </c>
    </row>
    <row r="107">
      <c r="A107" s="2" t="n">
        <v>45982</v>
      </c>
      <c r="B107" t="inlineStr">
        <is>
          <t>HE3B2</t>
        </is>
      </c>
      <c r="C107" t="inlineStr">
        <is>
          <t>GICS_INDUSTRY_NAME</t>
        </is>
      </c>
      <c r="D107" t="inlineStr">
        <is>
          <t>Specialized REITs</t>
        </is>
      </c>
      <c r="E107" t="inlineStr">
        <is>
          <t>Real Estate</t>
        </is>
      </c>
      <c r="F107" t="inlineStr"/>
      <c r="G107" t="inlineStr"/>
      <c r="H107" t="inlineStr">
        <is>
          <t>1.47%</t>
        </is>
      </c>
      <c r="I107" t="inlineStr">
        <is>
          <t>0.00%</t>
        </is>
      </c>
    </row>
    <row r="108">
      <c r="A108" s="2" t="n">
        <v>45982</v>
      </c>
      <c r="B108" t="inlineStr">
        <is>
          <t>HE3B2</t>
        </is>
      </c>
      <c r="C108" t="inlineStr">
        <is>
          <t>GICS_INDUSTRY_GROUP_NAME</t>
        </is>
      </c>
      <c r="D108" t="inlineStr">
        <is>
          <t>Transportation</t>
        </is>
      </c>
      <c r="E108" t="inlineStr">
        <is>
          <t>Industrials</t>
        </is>
      </c>
      <c r="F108" t="inlineStr"/>
      <c r="G108" t="inlineStr"/>
      <c r="H108" t="inlineStr">
        <is>
          <t>1.32%</t>
        </is>
      </c>
      <c r="I108" t="inlineStr">
        <is>
          <t>0.00%</t>
        </is>
      </c>
    </row>
    <row r="109">
      <c r="A109" s="2" t="n">
        <v>45982</v>
      </c>
      <c r="B109" t="inlineStr">
        <is>
          <t>HE3B2</t>
        </is>
      </c>
      <c r="C109" t="inlineStr">
        <is>
          <t>GICS_INDUSTRY_NAME</t>
        </is>
      </c>
      <c r="D109" t="inlineStr">
        <is>
          <t>Specialty Retail</t>
        </is>
      </c>
      <c r="E109" t="inlineStr">
        <is>
          <t>Consumer Discretionary</t>
        </is>
      </c>
      <c r="F109" t="inlineStr"/>
      <c r="G109" t="inlineStr"/>
      <c r="H109" t="inlineStr">
        <is>
          <t>1.27%</t>
        </is>
      </c>
      <c r="I109" t="inlineStr">
        <is>
          <t>0.00%</t>
        </is>
      </c>
    </row>
    <row r="110">
      <c r="A110" s="2" t="n">
        <v>45982</v>
      </c>
      <c r="B110" t="inlineStr">
        <is>
          <t>HE3B2</t>
        </is>
      </c>
      <c r="C110" t="inlineStr">
        <is>
          <t>GICS_INDUSTRY_NAME</t>
        </is>
      </c>
      <c r="D110" t="inlineStr">
        <is>
          <t>Beverages</t>
        </is>
      </c>
      <c r="E110" t="inlineStr">
        <is>
          <t>Consumer Staples</t>
        </is>
      </c>
      <c r="F110" t="inlineStr"/>
      <c r="G110" t="inlineStr"/>
      <c r="H110" t="inlineStr">
        <is>
          <t>1.23%</t>
        </is>
      </c>
      <c r="I110" t="inlineStr">
        <is>
          <t>0.00%</t>
        </is>
      </c>
    </row>
    <row r="111">
      <c r="A111" s="2" t="n">
        <v>45982</v>
      </c>
      <c r="B111" t="inlineStr">
        <is>
          <t>HE3B2</t>
        </is>
      </c>
      <c r="C111" t="inlineStr">
        <is>
          <t>GICS_INDUSTRY_NAME</t>
        </is>
      </c>
      <c r="D111" t="inlineStr">
        <is>
          <t>IT Services</t>
        </is>
      </c>
      <c r="E111" t="inlineStr">
        <is>
          <t>Information Technology</t>
        </is>
      </c>
      <c r="F111" t="inlineStr"/>
      <c r="G111" t="inlineStr"/>
      <c r="H111" t="inlineStr">
        <is>
          <t>1.21%</t>
        </is>
      </c>
      <c r="I111" t="inlineStr">
        <is>
          <t>0.00%</t>
        </is>
      </c>
    </row>
    <row r="112">
      <c r="A112" s="2" t="n">
        <v>45982</v>
      </c>
      <c r="B112" t="inlineStr">
        <is>
          <t>HE3B2</t>
        </is>
      </c>
      <c r="C112" t="inlineStr">
        <is>
          <t>GICS_INDUSTRY_NAME</t>
        </is>
      </c>
      <c r="D112" t="inlineStr">
        <is>
          <t>Entertainment</t>
        </is>
      </c>
      <c r="E112" t="inlineStr">
        <is>
          <t>Communication Services</t>
        </is>
      </c>
      <c r="F112" t="inlineStr"/>
      <c r="G112" t="inlineStr"/>
      <c r="H112" t="inlineStr">
        <is>
          <t>1.18%</t>
        </is>
      </c>
      <c r="I112" t="inlineStr">
        <is>
          <t>0.00%</t>
        </is>
      </c>
    </row>
    <row r="113">
      <c r="A113" s="2" t="n">
        <v>45982</v>
      </c>
      <c r="B113" t="inlineStr">
        <is>
          <t>HE3B2</t>
        </is>
      </c>
      <c r="C113" t="inlineStr">
        <is>
          <t>GICS_INDUSTRY_GROUP_NAME</t>
        </is>
      </c>
      <c r="D113" t="inlineStr">
        <is>
          <t>Commercial &amp; Professional Services</t>
        </is>
      </c>
      <c r="E113" t="inlineStr">
        <is>
          <t>Industrials</t>
        </is>
      </c>
      <c r="F113" t="inlineStr"/>
      <c r="G113" t="inlineStr"/>
      <c r="H113" t="inlineStr">
        <is>
          <t>1.10%</t>
        </is>
      </c>
      <c r="I113" t="inlineStr">
        <is>
          <t>0.00%</t>
        </is>
      </c>
    </row>
    <row r="114">
      <c r="A114" s="2" t="n">
        <v>45982</v>
      </c>
      <c r="B114" t="inlineStr">
        <is>
          <t>HE3B2</t>
        </is>
      </c>
      <c r="C114" t="inlineStr">
        <is>
          <t>GICS_INDUSTRY_NAME</t>
        </is>
      </c>
      <c r="D114" t="inlineStr">
        <is>
          <t>Commercial Services &amp; Supplies</t>
        </is>
      </c>
      <c r="E114" t="inlineStr">
        <is>
          <t>Industrials</t>
        </is>
      </c>
      <c r="F114" t="inlineStr"/>
      <c r="G114" t="inlineStr"/>
      <c r="H114" t="inlineStr">
        <is>
          <t>1.10%</t>
        </is>
      </c>
      <c r="I114" t="inlineStr">
        <is>
          <t>0.00%</t>
        </is>
      </c>
    </row>
    <row r="115">
      <c r="A115" s="2" t="n">
        <v>45982</v>
      </c>
      <c r="B115" t="inlineStr">
        <is>
          <t>HE3B2</t>
        </is>
      </c>
      <c r="C115" t="inlineStr">
        <is>
          <t>GICS_INDUSTRY_GROUP_NAME</t>
        </is>
      </c>
      <c r="D115" t="inlineStr">
        <is>
          <t>Household &amp; Personal Products</t>
        </is>
      </c>
      <c r="E115" t="inlineStr">
        <is>
          <t>Consumer Staples</t>
        </is>
      </c>
      <c r="F115" t="inlineStr"/>
      <c r="G115" t="inlineStr"/>
      <c r="H115" t="inlineStr">
        <is>
          <t>0.98%</t>
        </is>
      </c>
      <c r="I115" t="inlineStr">
        <is>
          <t>0.00%</t>
        </is>
      </c>
    </row>
    <row r="116">
      <c r="A116" s="2" t="n">
        <v>45982</v>
      </c>
      <c r="B116" t="inlineStr">
        <is>
          <t>HE3B2</t>
        </is>
      </c>
      <c r="C116" t="inlineStr">
        <is>
          <t>GICS_INDUSTRY_NAME</t>
        </is>
      </c>
      <c r="D116" t="inlineStr">
        <is>
          <t>Household Products</t>
        </is>
      </c>
      <c r="E116" t="inlineStr">
        <is>
          <t>Consumer Staples</t>
        </is>
      </c>
      <c r="F116" t="inlineStr"/>
      <c r="G116" t="inlineStr"/>
      <c r="H116" t="inlineStr">
        <is>
          <t>0.98%</t>
        </is>
      </c>
      <c r="I116" t="inlineStr">
        <is>
          <t>0.00%</t>
        </is>
      </c>
    </row>
    <row r="117">
      <c r="A117" s="2" t="n">
        <v>45982</v>
      </c>
      <c r="B117" t="inlineStr">
        <is>
          <t>HE3B2</t>
        </is>
      </c>
      <c r="C117" t="inlineStr">
        <is>
          <t>GICS_INDUSTRY_NAME</t>
        </is>
      </c>
      <c r="D117" t="inlineStr">
        <is>
          <t>Life Sciences Tools &amp; Services</t>
        </is>
      </c>
      <c r="E117" t="inlineStr">
        <is>
          <t>Health Care</t>
        </is>
      </c>
      <c r="F117" t="inlineStr"/>
      <c r="G117" t="inlineStr"/>
      <c r="H117" t="inlineStr">
        <is>
          <t>0.98%</t>
        </is>
      </c>
      <c r="I117" t="inlineStr">
        <is>
          <t>0.00%</t>
        </is>
      </c>
    </row>
    <row r="118">
      <c r="A118" s="2" t="n">
        <v>45982</v>
      </c>
      <c r="B118" t="inlineStr">
        <is>
          <t>HE3B2</t>
        </is>
      </c>
      <c r="C118" t="inlineStr">
        <is>
          <t>GICS_INDUSTRY_NAME</t>
        </is>
      </c>
      <c r="D118" t="inlineStr">
        <is>
          <t>Ground Transportation</t>
        </is>
      </c>
      <c r="E118" t="inlineStr">
        <is>
          <t>Industrials</t>
        </is>
      </c>
      <c r="F118" t="inlineStr"/>
      <c r="G118" t="inlineStr"/>
      <c r="H118" t="inlineStr">
        <is>
          <t>0.93%</t>
        </is>
      </c>
      <c r="I118" t="inlineStr">
        <is>
          <t>0.00%</t>
        </is>
      </c>
    </row>
    <row r="119">
      <c r="A119" s="2" t="n">
        <v>45982</v>
      </c>
      <c r="B119" t="inlineStr">
        <is>
          <t>HE3B2</t>
        </is>
      </c>
      <c r="C119" t="inlineStr">
        <is>
          <t>GICS_INDUSTRY_NAME</t>
        </is>
      </c>
      <c r="D119" t="inlineStr">
        <is>
          <t>Tobacco</t>
        </is>
      </c>
      <c r="E119" t="inlineStr">
        <is>
          <t>Consumer Staples</t>
        </is>
      </c>
      <c r="F119" t="inlineStr"/>
      <c r="G119" t="inlineStr"/>
      <c r="H119" t="inlineStr">
        <is>
          <t>0.87%</t>
        </is>
      </c>
      <c r="I119" t="inlineStr">
        <is>
          <t>0.00%</t>
        </is>
      </c>
    </row>
    <row r="120">
      <c r="A120" s="2" t="n">
        <v>45982</v>
      </c>
      <c r="B120" t="inlineStr">
        <is>
          <t>HE3B2</t>
        </is>
      </c>
      <c r="C120" t="inlineStr">
        <is>
          <t>GICS_INDUSTRY_GROUP_NAME</t>
        </is>
      </c>
      <c r="D120" t="inlineStr">
        <is>
          <t>Telecommunication Services</t>
        </is>
      </c>
      <c r="E120" t="inlineStr">
        <is>
          <t>Communication Services</t>
        </is>
      </c>
      <c r="F120" t="inlineStr"/>
      <c r="G120" t="inlineStr"/>
      <c r="H120" t="inlineStr">
        <is>
          <t>0.84%</t>
        </is>
      </c>
      <c r="I120" t="inlineStr">
        <is>
          <t>0.00%</t>
        </is>
      </c>
    </row>
    <row r="121">
      <c r="A121" s="2" t="n">
        <v>45982</v>
      </c>
      <c r="B121" t="inlineStr">
        <is>
          <t>HE3B2</t>
        </is>
      </c>
      <c r="C121" t="inlineStr">
        <is>
          <t>GICS_INDUSTRY_NAME</t>
        </is>
      </c>
      <c r="D121" t="inlineStr">
        <is>
          <t>Diversified Telecommunication Services</t>
        </is>
      </c>
      <c r="E121" t="inlineStr">
        <is>
          <t>Communication Services</t>
        </is>
      </c>
      <c r="F121" t="inlineStr"/>
      <c r="G121" t="inlineStr"/>
      <c r="H121" t="inlineStr">
        <is>
          <t>0.84%</t>
        </is>
      </c>
      <c r="I121" t="inlineStr">
        <is>
          <t>0.00%</t>
        </is>
      </c>
    </row>
    <row r="122">
      <c r="A122" s="2" t="n">
        <v>45982</v>
      </c>
      <c r="B122" t="inlineStr">
        <is>
          <t>HE3B2</t>
        </is>
      </c>
      <c r="C122" t="inlineStr">
        <is>
          <t>GICS_INDUSTRY_NAME</t>
        </is>
      </c>
      <c r="D122" t="inlineStr">
        <is>
          <t>Industrial Conglomerates</t>
        </is>
      </c>
      <c r="E122" t="inlineStr">
        <is>
          <t>Industrials</t>
        </is>
      </c>
      <c r="F122" t="inlineStr"/>
      <c r="G122" t="inlineStr"/>
      <c r="H122" t="inlineStr">
        <is>
          <t>0.84%</t>
        </is>
      </c>
      <c r="I122" t="inlineStr">
        <is>
          <t>0.00%</t>
        </is>
      </c>
    </row>
    <row r="123">
      <c r="A123" s="2" t="n">
        <v>45982</v>
      </c>
      <c r="B123" t="inlineStr">
        <is>
          <t>HE3B2</t>
        </is>
      </c>
      <c r="C123" t="inlineStr">
        <is>
          <t>GICS_INDUSTRY_NAME</t>
        </is>
      </c>
      <c r="D123" t="inlineStr">
        <is>
          <t>Electrical Equipment</t>
        </is>
      </c>
      <c r="E123" t="inlineStr">
        <is>
          <t>Industrials</t>
        </is>
      </c>
      <c r="F123" t="inlineStr"/>
      <c r="G123" t="inlineStr"/>
      <c r="H123" t="inlineStr">
        <is>
          <t>0.79%</t>
        </is>
      </c>
      <c r="I123" t="inlineStr">
        <is>
          <t>0.00%</t>
        </is>
      </c>
    </row>
    <row r="124">
      <c r="A124" s="2" t="n">
        <v>45982</v>
      </c>
      <c r="B124" t="inlineStr">
        <is>
          <t>HE3B2</t>
        </is>
      </c>
      <c r="C124" t="inlineStr">
        <is>
          <t>GICS_INDUSTRY_NAME</t>
        </is>
      </c>
      <c r="D124" t="inlineStr">
        <is>
          <t>Consumer Finance</t>
        </is>
      </c>
      <c r="E124" t="inlineStr">
        <is>
          <t>Financials</t>
        </is>
      </c>
      <c r="F124" t="inlineStr"/>
      <c r="G124" t="inlineStr"/>
      <c r="H124" t="inlineStr">
        <is>
          <t>0.62%</t>
        </is>
      </c>
      <c r="I124" t="inlineStr">
        <is>
          <t>0.00%</t>
        </is>
      </c>
    </row>
    <row r="125">
      <c r="A125" s="2" t="n">
        <v>45982</v>
      </c>
      <c r="B125" t="inlineStr">
        <is>
          <t>HE3B2</t>
        </is>
      </c>
      <c r="C125" t="inlineStr">
        <is>
          <t>GICS_INDUSTRY_GROUP_NAME</t>
        </is>
      </c>
      <c r="D125" t="inlineStr">
        <is>
          <t>Consumer Durables &amp; Apparel</t>
        </is>
      </c>
      <c r="E125" t="inlineStr">
        <is>
          <t>Consumer Discretionary</t>
        </is>
      </c>
      <c r="F125" t="inlineStr"/>
      <c r="G125" t="inlineStr"/>
      <c r="H125" t="inlineStr">
        <is>
          <t>0.53%</t>
        </is>
      </c>
      <c r="I125" t="inlineStr">
        <is>
          <t>0.00%</t>
        </is>
      </c>
    </row>
    <row r="126">
      <c r="A126" s="2" t="n">
        <v>45982</v>
      </c>
      <c r="B126" t="inlineStr">
        <is>
          <t>HE3B2</t>
        </is>
      </c>
      <c r="C126" t="inlineStr">
        <is>
          <t>GICS_INDUSTRY_NAME</t>
        </is>
      </c>
      <c r="D126" t="inlineStr">
        <is>
          <t>Textiles, Apparel &amp; Luxury Goods</t>
        </is>
      </c>
      <c r="E126" t="inlineStr">
        <is>
          <t>Consumer Discretionary</t>
        </is>
      </c>
      <c r="F126" t="inlineStr"/>
      <c r="G126" t="inlineStr"/>
      <c r="H126" t="inlineStr">
        <is>
          <t>0.53%</t>
        </is>
      </c>
      <c r="I126" t="inlineStr">
        <is>
          <t>0.00%</t>
        </is>
      </c>
    </row>
    <row r="127">
      <c r="A127" s="2" t="n">
        <v>45982</v>
      </c>
      <c r="B127" t="inlineStr">
        <is>
          <t>HE3B2</t>
        </is>
      </c>
      <c r="C127" t="inlineStr">
        <is>
          <t>GICS_INDUSTRY_NAME</t>
        </is>
      </c>
      <c r="D127" t="inlineStr">
        <is>
          <t>Air Freight &amp; Logistics</t>
        </is>
      </c>
      <c r="E127" t="inlineStr">
        <is>
          <t>Industrials</t>
        </is>
      </c>
      <c r="F127" t="inlineStr"/>
      <c r="G127" t="inlineStr"/>
      <c r="H127" t="inlineStr">
        <is>
          <t>0.39%</t>
        </is>
      </c>
      <c r="I127" t="inlineStr">
        <is>
          <t>0.00%</t>
        </is>
      </c>
    </row>
    <row r="128">
      <c r="A128" s="2" t="n">
        <v>45982</v>
      </c>
      <c r="B128" t="inlineStr">
        <is>
          <t>HE3B2</t>
        </is>
      </c>
      <c r="C128" t="inlineStr">
        <is>
          <t>GICS_INDUSTRY_NAME</t>
        </is>
      </c>
      <c r="D128" t="inlineStr">
        <is>
          <t>Media</t>
        </is>
      </c>
      <c r="E128" t="inlineStr">
        <is>
          <t>Communication Services</t>
        </is>
      </c>
      <c r="F128" t="inlineStr"/>
      <c r="G128" t="inlineStr"/>
      <c r="H128" t="inlineStr">
        <is>
          <t>0.19%</t>
        </is>
      </c>
      <c r="I128" t="inlineStr">
        <is>
          <t>0.00%</t>
        </is>
      </c>
    </row>
    <row r="129">
      <c r="A129" s="2" t="n">
        <v>45982</v>
      </c>
      <c r="B129" t="inlineStr">
        <is>
          <t>HE3B2</t>
        </is>
      </c>
      <c r="C129" t="inlineStr">
        <is>
          <t>GICS_INDUSTRY_NAME</t>
        </is>
      </c>
      <c r="D129" t="inlineStr">
        <is>
          <t>Food Products</t>
        </is>
      </c>
      <c r="E129" t="inlineStr">
        <is>
          <t>Consumer Staples</t>
        </is>
      </c>
      <c r="F129" t="inlineStr"/>
      <c r="G129" t="inlineStr"/>
      <c r="H129" t="inlineStr">
        <is>
          <t>0.19%</t>
        </is>
      </c>
      <c r="I129" t="inlineStr">
        <is>
          <t>0.00%</t>
        </is>
      </c>
    </row>
    <row r="130">
      <c r="A130" s="2" t="n">
        <v>45982</v>
      </c>
      <c r="B130" t="inlineStr">
        <is>
          <t>HE3B3</t>
        </is>
      </c>
      <c r="C130" t="inlineStr">
        <is>
          <t>GICS_INDUSTRY_GROUP_NAME</t>
        </is>
      </c>
      <c r="D130" t="inlineStr">
        <is>
          <t>Semiconductors &amp; Semiconductor Equipment</t>
        </is>
      </c>
      <c r="E130" t="inlineStr">
        <is>
          <t>Information Technology</t>
        </is>
      </c>
      <c r="F130" t="inlineStr"/>
      <c r="G130" t="inlineStr"/>
      <c r="H130" t="inlineStr">
        <is>
          <t>14.15%</t>
        </is>
      </c>
      <c r="I130" t="inlineStr">
        <is>
          <t>0.00%</t>
        </is>
      </c>
    </row>
    <row r="131">
      <c r="A131" s="2" t="n">
        <v>45982</v>
      </c>
      <c r="B131" t="inlineStr">
        <is>
          <t>HE3B3</t>
        </is>
      </c>
      <c r="C131" t="inlineStr">
        <is>
          <t>GICS_INDUSTRY_NAME</t>
        </is>
      </c>
      <c r="D131" t="inlineStr">
        <is>
          <t>Semiconductors &amp; Semiconductor Equipment</t>
        </is>
      </c>
      <c r="E131" t="inlineStr">
        <is>
          <t>Information Technology</t>
        </is>
      </c>
      <c r="F131" t="inlineStr"/>
      <c r="G131" t="inlineStr"/>
      <c r="H131" t="inlineStr">
        <is>
          <t>14.15%</t>
        </is>
      </c>
      <c r="I131" t="inlineStr">
        <is>
          <t>0.00%</t>
        </is>
      </c>
    </row>
    <row r="132">
      <c r="A132" s="2" t="n">
        <v>45982</v>
      </c>
      <c r="B132" t="inlineStr">
        <is>
          <t>HE3B3</t>
        </is>
      </c>
      <c r="C132" t="inlineStr">
        <is>
          <t>GICS_INDUSTRY_GROUP_NAME</t>
        </is>
      </c>
      <c r="D132" t="inlineStr">
        <is>
          <t>Software &amp; Services</t>
        </is>
      </c>
      <c r="E132" t="inlineStr">
        <is>
          <t>Information Technology</t>
        </is>
      </c>
      <c r="F132" t="inlineStr"/>
      <c r="G132" t="inlineStr"/>
      <c r="H132" t="inlineStr">
        <is>
          <t>10.92%</t>
        </is>
      </c>
      <c r="I132" t="inlineStr">
        <is>
          <t>0.00%</t>
        </is>
      </c>
    </row>
    <row r="133">
      <c r="A133" s="2" t="n">
        <v>45982</v>
      </c>
      <c r="B133" t="inlineStr">
        <is>
          <t>HE3B3</t>
        </is>
      </c>
      <c r="C133" t="inlineStr">
        <is>
          <t>GICS_INDUSTRY_NAME</t>
        </is>
      </c>
      <c r="D133" t="inlineStr">
        <is>
          <t>Software</t>
        </is>
      </c>
      <c r="E133" t="inlineStr">
        <is>
          <t>Information Technology</t>
        </is>
      </c>
      <c r="F133" t="inlineStr"/>
      <c r="G133" t="inlineStr"/>
      <c r="H133" t="inlineStr">
        <is>
          <t>9.78%</t>
        </is>
      </c>
      <c r="I133" t="inlineStr">
        <is>
          <t>0.00%</t>
        </is>
      </c>
    </row>
    <row r="134">
      <c r="A134" s="2" t="n">
        <v>45982</v>
      </c>
      <c r="B134" t="inlineStr">
        <is>
          <t>HE3B3</t>
        </is>
      </c>
      <c r="C134" t="inlineStr">
        <is>
          <t>GICS_INDUSTRY_GROUP_NAME</t>
        </is>
      </c>
      <c r="D134" t="inlineStr">
        <is>
          <t>Media &amp; Entertainment</t>
        </is>
      </c>
      <c r="E134" t="inlineStr">
        <is>
          <t>Communication Services</t>
        </is>
      </c>
      <c r="F134" t="inlineStr"/>
      <c r="G134" t="inlineStr"/>
      <c r="H134" t="inlineStr">
        <is>
          <t>9.70%</t>
        </is>
      </c>
      <c r="I134" t="inlineStr">
        <is>
          <t>0.00%</t>
        </is>
      </c>
    </row>
    <row r="135">
      <c r="A135" s="2" t="n">
        <v>45982</v>
      </c>
      <c r="B135" t="inlineStr">
        <is>
          <t>HE3B3</t>
        </is>
      </c>
      <c r="C135" t="inlineStr">
        <is>
          <t>GICS_INDUSTRY_GROUP_NAME</t>
        </is>
      </c>
      <c r="D135" t="inlineStr">
        <is>
          <t>Technology Hardware &amp; Equipment</t>
        </is>
      </c>
      <c r="E135" t="inlineStr">
        <is>
          <t>Information Technology</t>
        </is>
      </c>
      <c r="F135" t="inlineStr"/>
      <c r="G135" t="inlineStr"/>
      <c r="H135" t="inlineStr">
        <is>
          <t>9.40%</t>
        </is>
      </c>
      <c r="I135" t="inlineStr">
        <is>
          <t>0.00%</t>
        </is>
      </c>
    </row>
    <row r="136">
      <c r="A136" s="2" t="n">
        <v>45982</v>
      </c>
      <c r="B136" t="inlineStr">
        <is>
          <t>HE3B3</t>
        </is>
      </c>
      <c r="C136" t="inlineStr">
        <is>
          <t>GICS_INDUSTRY_NAME</t>
        </is>
      </c>
      <c r="D136" t="inlineStr">
        <is>
          <t>Interactive Media &amp; Services</t>
        </is>
      </c>
      <c r="E136" t="inlineStr">
        <is>
          <t>Communication Services</t>
        </is>
      </c>
      <c r="F136" t="inlineStr"/>
      <c r="G136" t="inlineStr"/>
      <c r="H136" t="inlineStr">
        <is>
          <t>8.32%</t>
        </is>
      </c>
      <c r="I136" t="inlineStr">
        <is>
          <t>0.00%</t>
        </is>
      </c>
    </row>
    <row r="137">
      <c r="A137" s="2" t="n">
        <v>45982</v>
      </c>
      <c r="B137" t="inlineStr">
        <is>
          <t>HE3B3</t>
        </is>
      </c>
      <c r="C137" t="inlineStr">
        <is>
          <t>GICS_INDUSTRY_GROUP_NAME</t>
        </is>
      </c>
      <c r="D137" t="inlineStr">
        <is>
          <t>Financial Services</t>
        </is>
      </c>
      <c r="E137" t="inlineStr">
        <is>
          <t>Financials</t>
        </is>
      </c>
      <c r="F137" t="inlineStr"/>
      <c r="G137" t="inlineStr"/>
      <c r="H137" t="inlineStr">
        <is>
          <t>7.89%</t>
        </is>
      </c>
      <c r="I137" t="inlineStr">
        <is>
          <t>0.00%</t>
        </is>
      </c>
    </row>
    <row r="138">
      <c r="A138" s="2" t="n">
        <v>45982</v>
      </c>
      <c r="B138" t="inlineStr">
        <is>
          <t>HE3B3</t>
        </is>
      </c>
      <c r="C138" t="inlineStr">
        <is>
          <t>GICS_INDUSTRY_NAME</t>
        </is>
      </c>
      <c r="D138" t="inlineStr">
        <is>
          <t>Technology Hardware, Storage &amp; Peripherals</t>
        </is>
      </c>
      <c r="E138" t="inlineStr">
        <is>
          <t>Information Technology</t>
        </is>
      </c>
      <c r="F138" t="inlineStr"/>
      <c r="G138" t="inlineStr"/>
      <c r="H138" t="inlineStr">
        <is>
          <t>7.22%</t>
        </is>
      </c>
      <c r="I138" t="inlineStr">
        <is>
          <t>0.00%</t>
        </is>
      </c>
    </row>
    <row r="139">
      <c r="A139" s="2" t="n">
        <v>45982</v>
      </c>
      <c r="B139" t="inlineStr">
        <is>
          <t>HE3B3</t>
        </is>
      </c>
      <c r="C139" t="inlineStr">
        <is>
          <t>GICS_INDUSTRY_GROUP_NAME</t>
        </is>
      </c>
      <c r="D139" t="inlineStr">
        <is>
          <t>Pharmaceuticals, Biotechnology &amp; Life Sciences</t>
        </is>
      </c>
      <c r="E139" t="inlineStr">
        <is>
          <t>Health Care</t>
        </is>
      </c>
      <c r="F139" t="inlineStr"/>
      <c r="G139" t="inlineStr"/>
      <c r="H139" t="inlineStr">
        <is>
          <t>6.35%</t>
        </is>
      </c>
      <c r="I139" t="inlineStr">
        <is>
          <t>0.00%</t>
        </is>
      </c>
    </row>
    <row r="140">
      <c r="A140" s="2" t="n">
        <v>45982</v>
      </c>
      <c r="B140" t="inlineStr">
        <is>
          <t>HE3B3</t>
        </is>
      </c>
      <c r="C140" t="inlineStr">
        <is>
          <t>GICS_INDUSTRY_GROUP_NAME</t>
        </is>
      </c>
      <c r="D140" t="inlineStr">
        <is>
          <t>Capital Goods</t>
        </is>
      </c>
      <c r="E140" t="inlineStr">
        <is>
          <t>Industrials</t>
        </is>
      </c>
      <c r="F140" t="inlineStr"/>
      <c r="G140" t="inlineStr"/>
      <c r="H140" t="inlineStr">
        <is>
          <t>6.16%</t>
        </is>
      </c>
      <c r="I140" t="inlineStr">
        <is>
          <t>0.00%</t>
        </is>
      </c>
    </row>
    <row r="141">
      <c r="A141" s="2" t="n">
        <v>45982</v>
      </c>
      <c r="B141" t="inlineStr">
        <is>
          <t>HE3B3</t>
        </is>
      </c>
      <c r="C141" t="inlineStr">
        <is>
          <t>GICS_INDUSTRY_GROUP_NAME</t>
        </is>
      </c>
      <c r="D141" t="inlineStr">
        <is>
          <t>Consumer Discretionary Distribution &amp; Retail</t>
        </is>
      </c>
      <c r="E141" t="inlineStr">
        <is>
          <t>Consumer Discretionary</t>
        </is>
      </c>
      <c r="F141" t="inlineStr"/>
      <c r="G141" t="inlineStr"/>
      <c r="H141" t="inlineStr">
        <is>
          <t>5.33%</t>
        </is>
      </c>
      <c r="I141" t="inlineStr">
        <is>
          <t>0.00%</t>
        </is>
      </c>
    </row>
    <row r="142">
      <c r="A142" s="2" t="n">
        <v>45982</v>
      </c>
      <c r="B142" t="inlineStr">
        <is>
          <t>HE3B3</t>
        </is>
      </c>
      <c r="C142" t="inlineStr">
        <is>
          <t>GICS_INDUSTRY_NAME</t>
        </is>
      </c>
      <c r="D142" t="inlineStr">
        <is>
          <t>Financial Services</t>
        </is>
      </c>
      <c r="E142" t="inlineStr">
        <is>
          <t>Financials</t>
        </is>
      </c>
      <c r="F142" t="inlineStr"/>
      <c r="G142" t="inlineStr"/>
      <c r="H142" t="inlineStr">
        <is>
          <t>5.13%</t>
        </is>
      </c>
      <c r="I142" t="inlineStr">
        <is>
          <t>0.00%</t>
        </is>
      </c>
    </row>
    <row r="143">
      <c r="A143" s="2" t="n">
        <v>45982</v>
      </c>
      <c r="B143" t="inlineStr">
        <is>
          <t>HE3B3</t>
        </is>
      </c>
      <c r="C143" t="inlineStr">
        <is>
          <t>GICS_INDUSTRY_NAME</t>
        </is>
      </c>
      <c r="D143" t="inlineStr">
        <is>
          <t>Broadline Retail</t>
        </is>
      </c>
      <c r="E143" t="inlineStr">
        <is>
          <t>Consumer Discretionary</t>
        </is>
      </c>
      <c r="F143" t="inlineStr"/>
      <c r="G143" t="inlineStr"/>
      <c r="H143" t="inlineStr">
        <is>
          <t>4.06%</t>
        </is>
      </c>
      <c r="I143" t="inlineStr">
        <is>
          <t>0.00%</t>
        </is>
      </c>
    </row>
    <row r="144">
      <c r="A144" s="2" t="n">
        <v>45982</v>
      </c>
      <c r="B144" t="inlineStr">
        <is>
          <t>HE3B3</t>
        </is>
      </c>
      <c r="C144" t="inlineStr">
        <is>
          <t>GICS_INDUSTRY_NAME</t>
        </is>
      </c>
      <c r="D144" t="inlineStr">
        <is>
          <t>Pharmaceuticals</t>
        </is>
      </c>
      <c r="E144" t="inlineStr">
        <is>
          <t>Health Care</t>
        </is>
      </c>
      <c r="F144" t="inlineStr"/>
      <c r="G144" t="inlineStr"/>
      <c r="H144" t="inlineStr">
        <is>
          <t>3.91%</t>
        </is>
      </c>
      <c r="I144" t="inlineStr">
        <is>
          <t>0.00%</t>
        </is>
      </c>
    </row>
    <row r="145">
      <c r="A145" s="2" t="n">
        <v>45982</v>
      </c>
      <c r="B145" t="inlineStr">
        <is>
          <t>HE3B3</t>
        </is>
      </c>
      <c r="C145" t="inlineStr">
        <is>
          <t>GICS_INDUSTRY_GROUP_NAME</t>
        </is>
      </c>
      <c r="D145" t="inlineStr">
        <is>
          <t>Banks</t>
        </is>
      </c>
      <c r="E145" t="inlineStr">
        <is>
          <t>Financials</t>
        </is>
      </c>
      <c r="F145" t="inlineStr"/>
      <c r="G145" t="inlineStr"/>
      <c r="H145" t="inlineStr">
        <is>
          <t>3.64%</t>
        </is>
      </c>
      <c r="I145" t="inlineStr">
        <is>
          <t>0.00%</t>
        </is>
      </c>
    </row>
    <row r="146">
      <c r="A146" s="2" t="n">
        <v>45982</v>
      </c>
      <c r="B146" t="inlineStr">
        <is>
          <t>HE3B3</t>
        </is>
      </c>
      <c r="C146" t="inlineStr">
        <is>
          <t>GICS_INDUSTRY_NAME</t>
        </is>
      </c>
      <c r="D146" t="inlineStr">
        <is>
          <t>Banks</t>
        </is>
      </c>
      <c r="E146" t="inlineStr">
        <is>
          <t>Financials</t>
        </is>
      </c>
      <c r="F146" t="inlineStr"/>
      <c r="G146" t="inlineStr"/>
      <c r="H146" t="inlineStr">
        <is>
          <t>3.64%</t>
        </is>
      </c>
      <c r="I146" t="inlineStr">
        <is>
          <t>0.00%</t>
        </is>
      </c>
    </row>
    <row r="147">
      <c r="A147" s="2" t="n">
        <v>45982</v>
      </c>
      <c r="B147" t="inlineStr">
        <is>
          <t>HE3B3</t>
        </is>
      </c>
      <c r="C147" t="inlineStr">
        <is>
          <t>GICS_INDUSTRY_GROUP_NAME</t>
        </is>
      </c>
      <c r="D147" t="inlineStr">
        <is>
          <t>Health Care Equipment &amp; Services</t>
        </is>
      </c>
      <c r="E147" t="inlineStr">
        <is>
          <t>Health Care</t>
        </is>
      </c>
      <c r="F147" t="inlineStr"/>
      <c r="G147" t="inlineStr"/>
      <c r="H147" t="inlineStr">
        <is>
          <t>3.50%</t>
        </is>
      </c>
      <c r="I147" t="inlineStr">
        <is>
          <t>0.00%</t>
        </is>
      </c>
    </row>
    <row r="148">
      <c r="A148" s="2" t="n">
        <v>45982</v>
      </c>
      <c r="B148" t="inlineStr">
        <is>
          <t>HE3B3</t>
        </is>
      </c>
      <c r="C148" t="inlineStr">
        <is>
          <t>GICS_INDUSTRY_NAME</t>
        </is>
      </c>
      <c r="D148" t="inlineStr">
        <is>
          <t>Aerospace &amp; Defense</t>
        </is>
      </c>
      <c r="E148" t="inlineStr">
        <is>
          <t>Industrials</t>
        </is>
      </c>
      <c r="F148" t="inlineStr"/>
      <c r="G148" t="inlineStr"/>
      <c r="H148" t="inlineStr">
        <is>
          <t>3.01%</t>
        </is>
      </c>
      <c r="I148" t="inlineStr">
        <is>
          <t>0.00%</t>
        </is>
      </c>
    </row>
    <row r="149">
      <c r="A149" s="2" t="n">
        <v>45982</v>
      </c>
      <c r="B149" t="inlineStr">
        <is>
          <t>HE3B3</t>
        </is>
      </c>
      <c r="C149" t="inlineStr">
        <is>
          <t>GICS_INDUSTRY_GROUP_NAME</t>
        </is>
      </c>
      <c r="D149" t="inlineStr">
        <is>
          <t>Energy</t>
        </is>
      </c>
      <c r="E149" t="inlineStr">
        <is>
          <t>Energy</t>
        </is>
      </c>
      <c r="F149" t="inlineStr"/>
      <c r="G149" t="inlineStr"/>
      <c r="H149" t="inlineStr">
        <is>
          <t>2.88%</t>
        </is>
      </c>
      <c r="I149" t="inlineStr">
        <is>
          <t>0.00%</t>
        </is>
      </c>
    </row>
    <row r="150">
      <c r="A150" s="2" t="n">
        <v>45982</v>
      </c>
      <c r="B150" t="inlineStr">
        <is>
          <t>HE3B3</t>
        </is>
      </c>
      <c r="C150" t="inlineStr">
        <is>
          <t>GICS_INDUSTRY_NAME</t>
        </is>
      </c>
      <c r="D150" t="inlineStr">
        <is>
          <t>Oil, Gas &amp; Consumable Fuels</t>
        </is>
      </c>
      <c r="E150" t="inlineStr">
        <is>
          <t>Energy</t>
        </is>
      </c>
      <c r="F150" t="inlineStr"/>
      <c r="G150" t="inlineStr"/>
      <c r="H150" t="inlineStr">
        <is>
          <t>2.88%</t>
        </is>
      </c>
      <c r="I150" t="inlineStr">
        <is>
          <t>0.00%</t>
        </is>
      </c>
    </row>
    <row r="151">
      <c r="A151" s="2" t="n">
        <v>45982</v>
      </c>
      <c r="B151" t="inlineStr">
        <is>
          <t>HE3B3</t>
        </is>
      </c>
      <c r="C151" t="inlineStr">
        <is>
          <t>GICS_INDUSTRY_GROUP_NAME</t>
        </is>
      </c>
      <c r="D151" t="inlineStr">
        <is>
          <t>Utilities</t>
        </is>
      </c>
      <c r="E151" t="inlineStr">
        <is>
          <t>Utilities</t>
        </is>
      </c>
      <c r="F151" t="inlineStr"/>
      <c r="G151" t="inlineStr"/>
      <c r="H151" t="inlineStr">
        <is>
          <t>2.30%</t>
        </is>
      </c>
      <c r="I151" t="inlineStr">
        <is>
          <t>0.00%</t>
        </is>
      </c>
    </row>
    <row r="152">
      <c r="A152" s="2" t="n">
        <v>45982</v>
      </c>
      <c r="B152" t="inlineStr">
        <is>
          <t>HE3B3</t>
        </is>
      </c>
      <c r="C152" t="inlineStr">
        <is>
          <t>GICS_INDUSTRY_NAME</t>
        </is>
      </c>
      <c r="D152" t="inlineStr">
        <is>
          <t>Electric Utilities</t>
        </is>
      </c>
      <c r="E152" t="inlineStr">
        <is>
          <t>Utilities</t>
        </is>
      </c>
      <c r="F152" t="inlineStr"/>
      <c r="G152" t="inlineStr"/>
      <c r="H152" t="inlineStr">
        <is>
          <t>2.30%</t>
        </is>
      </c>
      <c r="I152" t="inlineStr">
        <is>
          <t>0.00%</t>
        </is>
      </c>
    </row>
    <row r="153">
      <c r="A153" s="2" t="n">
        <v>45982</v>
      </c>
      <c r="B153" t="inlineStr">
        <is>
          <t>HE3B3</t>
        </is>
      </c>
      <c r="C153" t="inlineStr">
        <is>
          <t>GICS_INDUSTRY_GROUP_NAME</t>
        </is>
      </c>
      <c r="D153" t="inlineStr">
        <is>
          <t>Food, Beverage &amp; Tobacco</t>
        </is>
      </c>
      <c r="E153" t="inlineStr">
        <is>
          <t>Consumer Staples</t>
        </is>
      </c>
      <c r="F153" t="inlineStr"/>
      <c r="G153" t="inlineStr"/>
      <c r="H153" t="inlineStr">
        <is>
          <t>2.29%</t>
        </is>
      </c>
      <c r="I153" t="inlineStr">
        <is>
          <t>0.00%</t>
        </is>
      </c>
    </row>
    <row r="154">
      <c r="A154" s="2" t="n">
        <v>45982</v>
      </c>
      <c r="B154" t="inlineStr">
        <is>
          <t>HE3B3</t>
        </is>
      </c>
      <c r="C154" t="inlineStr">
        <is>
          <t>GICS_INDUSTRY_NAME</t>
        </is>
      </c>
      <c r="D154" t="inlineStr">
        <is>
          <t>Capital Markets</t>
        </is>
      </c>
      <c r="E154" t="inlineStr">
        <is>
          <t>Financials</t>
        </is>
      </c>
      <c r="F154" t="inlineStr"/>
      <c r="G154" t="inlineStr"/>
      <c r="H154" t="inlineStr">
        <is>
          <t>2.26%</t>
        </is>
      </c>
      <c r="I154" t="inlineStr">
        <is>
          <t>0.00%</t>
        </is>
      </c>
    </row>
    <row r="155">
      <c r="A155" s="2" t="n">
        <v>45982</v>
      </c>
      <c r="B155" t="inlineStr">
        <is>
          <t>HE3B3</t>
        </is>
      </c>
      <c r="C155" t="inlineStr">
        <is>
          <t>GICS_INDUSTRY_NAME</t>
        </is>
      </c>
      <c r="D155" t="inlineStr">
        <is>
          <t>Communications Equipment</t>
        </is>
      </c>
      <c r="E155" t="inlineStr">
        <is>
          <t>Information Technology</t>
        </is>
      </c>
      <c r="F155" t="inlineStr"/>
      <c r="G155" t="inlineStr"/>
      <c r="H155" t="inlineStr">
        <is>
          <t>2.19%</t>
        </is>
      </c>
      <c r="I155" t="inlineStr">
        <is>
          <t>0.00%</t>
        </is>
      </c>
    </row>
    <row r="156">
      <c r="A156" s="2" t="n">
        <v>45982</v>
      </c>
      <c r="B156" t="inlineStr">
        <is>
          <t>HE3B3</t>
        </is>
      </c>
      <c r="C156" t="inlineStr">
        <is>
          <t>GICS_INDUSTRY_GROUP_NAME</t>
        </is>
      </c>
      <c r="D156" t="inlineStr">
        <is>
          <t>Automobiles &amp; Components</t>
        </is>
      </c>
      <c r="E156" t="inlineStr">
        <is>
          <t>Consumer Discretionary</t>
        </is>
      </c>
      <c r="F156" t="inlineStr"/>
      <c r="G156" t="inlineStr"/>
      <c r="H156" t="inlineStr">
        <is>
          <t>2.15%</t>
        </is>
      </c>
      <c r="I156" t="inlineStr">
        <is>
          <t>0.00%</t>
        </is>
      </c>
    </row>
    <row r="157">
      <c r="A157" s="2" t="n">
        <v>45982</v>
      </c>
      <c r="B157" t="inlineStr">
        <is>
          <t>HE3B3</t>
        </is>
      </c>
      <c r="C157" t="inlineStr">
        <is>
          <t>GICS_INDUSTRY_NAME</t>
        </is>
      </c>
      <c r="D157" t="inlineStr">
        <is>
          <t>Automobiles</t>
        </is>
      </c>
      <c r="E157" t="inlineStr">
        <is>
          <t>Consumer Discretionary</t>
        </is>
      </c>
      <c r="F157" t="inlineStr"/>
      <c r="G157" t="inlineStr"/>
      <c r="H157" t="inlineStr">
        <is>
          <t>2.15%</t>
        </is>
      </c>
      <c r="I157" t="inlineStr">
        <is>
          <t>0.00%</t>
        </is>
      </c>
    </row>
    <row r="158">
      <c r="A158" s="2" t="n">
        <v>45982</v>
      </c>
      <c r="B158" t="inlineStr">
        <is>
          <t>HE3B3</t>
        </is>
      </c>
      <c r="C158" t="inlineStr">
        <is>
          <t>GICS_INDUSTRY_NAME</t>
        </is>
      </c>
      <c r="D158" t="inlineStr">
        <is>
          <t>Health Care Equipment &amp; Supplies</t>
        </is>
      </c>
      <c r="E158" t="inlineStr">
        <is>
          <t>Health Care</t>
        </is>
      </c>
      <c r="F158" t="inlineStr"/>
      <c r="G158" t="inlineStr"/>
      <c r="H158" t="inlineStr">
        <is>
          <t>1.90%</t>
        </is>
      </c>
      <c r="I158" t="inlineStr">
        <is>
          <t>0.00%</t>
        </is>
      </c>
    </row>
    <row r="159">
      <c r="A159" s="2" t="n">
        <v>45982</v>
      </c>
      <c r="B159" t="inlineStr">
        <is>
          <t>HE3B3</t>
        </is>
      </c>
      <c r="C159" t="inlineStr">
        <is>
          <t>GICS_INDUSTRY_GROUP_NAME</t>
        </is>
      </c>
      <c r="D159" t="inlineStr">
        <is>
          <t>Insurance</t>
        </is>
      </c>
      <c r="E159" t="inlineStr">
        <is>
          <t>Financials</t>
        </is>
      </c>
      <c r="F159" t="inlineStr"/>
      <c r="G159" t="inlineStr"/>
      <c r="H159" t="inlineStr">
        <is>
          <t>1.88%</t>
        </is>
      </c>
      <c r="I159" t="inlineStr">
        <is>
          <t>0.00%</t>
        </is>
      </c>
    </row>
    <row r="160">
      <c r="A160" s="2" t="n">
        <v>45982</v>
      </c>
      <c r="B160" t="inlineStr">
        <is>
          <t>HE3B3</t>
        </is>
      </c>
      <c r="C160" t="inlineStr">
        <is>
          <t>GICS_INDUSTRY_NAME</t>
        </is>
      </c>
      <c r="D160" t="inlineStr">
        <is>
          <t>Insurance</t>
        </is>
      </c>
      <c r="E160" t="inlineStr">
        <is>
          <t>Financials</t>
        </is>
      </c>
      <c r="F160" t="inlineStr"/>
      <c r="G160" t="inlineStr"/>
      <c r="H160" t="inlineStr">
        <is>
          <t>1.88%</t>
        </is>
      </c>
      <c r="I160" t="inlineStr">
        <is>
          <t>0.00%</t>
        </is>
      </c>
    </row>
    <row r="161">
      <c r="A161" s="2" t="n">
        <v>45982</v>
      </c>
      <c r="B161" t="inlineStr">
        <is>
          <t>HE3B3</t>
        </is>
      </c>
      <c r="C161" t="inlineStr">
        <is>
          <t>GICS_INDUSTRY_GROUP_NAME</t>
        </is>
      </c>
      <c r="D161" t="inlineStr">
        <is>
          <t>Consumer Staples Distribution &amp; Retail</t>
        </is>
      </c>
      <c r="E161" t="inlineStr">
        <is>
          <t>Consumer Staples</t>
        </is>
      </c>
      <c r="F161" t="inlineStr"/>
      <c r="G161" t="inlineStr"/>
      <c r="H161" t="inlineStr">
        <is>
          <t>1.79%</t>
        </is>
      </c>
      <c r="I161" t="inlineStr">
        <is>
          <t>0.00%</t>
        </is>
      </c>
    </row>
    <row r="162">
      <c r="A162" s="2" t="n">
        <v>45982</v>
      </c>
      <c r="B162" t="inlineStr">
        <is>
          <t>HE3B3</t>
        </is>
      </c>
      <c r="C162" t="inlineStr">
        <is>
          <t>GICS_INDUSTRY_NAME</t>
        </is>
      </c>
      <c r="D162" t="inlineStr">
        <is>
          <t>Consumer Staples Distribution &amp; Retail</t>
        </is>
      </c>
      <c r="E162" t="inlineStr">
        <is>
          <t>Consumer Staples</t>
        </is>
      </c>
      <c r="F162" t="inlineStr"/>
      <c r="G162" t="inlineStr"/>
      <c r="H162" t="inlineStr">
        <is>
          <t>1.79%</t>
        </is>
      </c>
      <c r="I162" t="inlineStr">
        <is>
          <t>0.00%</t>
        </is>
      </c>
    </row>
    <row r="163">
      <c r="A163" s="2" t="n">
        <v>45982</v>
      </c>
      <c r="B163" t="inlineStr">
        <is>
          <t>HE3B3</t>
        </is>
      </c>
      <c r="C163" t="inlineStr">
        <is>
          <t>GICS_INDUSTRY_GROUP_NAME</t>
        </is>
      </c>
      <c r="D163" t="inlineStr">
        <is>
          <t>Consumer Services</t>
        </is>
      </c>
      <c r="E163" t="inlineStr">
        <is>
          <t>Consumer Discretionary</t>
        </is>
      </c>
      <c r="F163" t="inlineStr"/>
      <c r="G163" t="inlineStr"/>
      <c r="H163" t="inlineStr">
        <is>
          <t>1.71%</t>
        </is>
      </c>
      <c r="I163" t="inlineStr">
        <is>
          <t>0.00%</t>
        </is>
      </c>
    </row>
    <row r="164">
      <c r="A164" s="2" t="n">
        <v>45982</v>
      </c>
      <c r="B164" t="inlineStr">
        <is>
          <t>HE3B3</t>
        </is>
      </c>
      <c r="C164" t="inlineStr">
        <is>
          <t>GICS_INDUSTRY_NAME</t>
        </is>
      </c>
      <c r="D164" t="inlineStr">
        <is>
          <t>Hotels, Restaurants &amp; Leisure</t>
        </is>
      </c>
      <c r="E164" t="inlineStr">
        <is>
          <t>Consumer Discretionary</t>
        </is>
      </c>
      <c r="F164" t="inlineStr"/>
      <c r="G164" t="inlineStr"/>
      <c r="H164" t="inlineStr">
        <is>
          <t>1.71%</t>
        </is>
      </c>
      <c r="I164" t="inlineStr">
        <is>
          <t>0.00%</t>
        </is>
      </c>
    </row>
    <row r="165">
      <c r="A165" s="2" t="n">
        <v>45982</v>
      </c>
      <c r="B165" t="inlineStr">
        <is>
          <t>HE3B3</t>
        </is>
      </c>
      <c r="C165" t="inlineStr">
        <is>
          <t>GICS_INDUSTRY_GROUP_NAME</t>
        </is>
      </c>
      <c r="D165" t="inlineStr">
        <is>
          <t>Materials</t>
        </is>
      </c>
      <c r="E165" t="inlineStr">
        <is>
          <t>Materials</t>
        </is>
      </c>
      <c r="F165" t="inlineStr"/>
      <c r="G165" t="inlineStr"/>
      <c r="H165" t="inlineStr">
        <is>
          <t>1.70%</t>
        </is>
      </c>
      <c r="I165" t="inlineStr">
        <is>
          <t>0.00%</t>
        </is>
      </c>
    </row>
    <row r="166">
      <c r="A166" s="2" t="n">
        <v>45982</v>
      </c>
      <c r="B166" t="inlineStr">
        <is>
          <t>HE3B3</t>
        </is>
      </c>
      <c r="C166" t="inlineStr">
        <is>
          <t>GICS_INDUSTRY_NAME</t>
        </is>
      </c>
      <c r="D166" t="inlineStr">
        <is>
          <t>Chemicals</t>
        </is>
      </c>
      <c r="E166" t="inlineStr">
        <is>
          <t>Materials</t>
        </is>
      </c>
      <c r="F166" t="inlineStr"/>
      <c r="G166" t="inlineStr"/>
      <c r="H166" t="inlineStr">
        <is>
          <t>1.70%</t>
        </is>
      </c>
      <c r="I166" t="inlineStr">
        <is>
          <t>0.00%</t>
        </is>
      </c>
    </row>
    <row r="167">
      <c r="A167" s="2" t="n">
        <v>45982</v>
      </c>
      <c r="B167" t="inlineStr">
        <is>
          <t>HE3B3</t>
        </is>
      </c>
      <c r="C167" t="inlineStr">
        <is>
          <t>GICS_INDUSTRY_NAME</t>
        </is>
      </c>
      <c r="D167" t="inlineStr">
        <is>
          <t>Biotechnology</t>
        </is>
      </c>
      <c r="E167" t="inlineStr">
        <is>
          <t>Health Care</t>
        </is>
      </c>
      <c r="F167" t="inlineStr"/>
      <c r="G167" t="inlineStr"/>
      <c r="H167" t="inlineStr">
        <is>
          <t>1.64%</t>
        </is>
      </c>
      <c r="I167" t="inlineStr">
        <is>
          <t>0.00%</t>
        </is>
      </c>
    </row>
    <row r="168">
      <c r="A168" s="2" t="n">
        <v>45982</v>
      </c>
      <c r="B168" t="inlineStr">
        <is>
          <t>HE3B3</t>
        </is>
      </c>
      <c r="C168" t="inlineStr">
        <is>
          <t>GICS_INDUSTRY_NAME</t>
        </is>
      </c>
      <c r="D168" t="inlineStr">
        <is>
          <t>Health Care Providers &amp; Services</t>
        </is>
      </c>
      <c r="E168" t="inlineStr">
        <is>
          <t>Health Care</t>
        </is>
      </c>
      <c r="F168" t="inlineStr"/>
      <c r="G168" t="inlineStr"/>
      <c r="H168" t="inlineStr">
        <is>
          <t>1.60%</t>
        </is>
      </c>
      <c r="I168" t="inlineStr">
        <is>
          <t>0.00%</t>
        </is>
      </c>
    </row>
    <row r="169">
      <c r="A169" s="2" t="n">
        <v>45982</v>
      </c>
      <c r="B169" t="inlineStr">
        <is>
          <t>HE3B3</t>
        </is>
      </c>
      <c r="C169" t="inlineStr">
        <is>
          <t>GICS_INDUSTRY_NAME</t>
        </is>
      </c>
      <c r="D169" t="inlineStr">
        <is>
          <t>Machinery</t>
        </is>
      </c>
      <c r="E169" t="inlineStr">
        <is>
          <t>Industrials</t>
        </is>
      </c>
      <c r="F169" t="inlineStr"/>
      <c r="G169" t="inlineStr"/>
      <c r="H169" t="inlineStr">
        <is>
          <t>1.52%</t>
        </is>
      </c>
      <c r="I169" t="inlineStr">
        <is>
          <t>0.00%</t>
        </is>
      </c>
    </row>
    <row r="170">
      <c r="A170" s="2" t="n">
        <v>45982</v>
      </c>
      <c r="B170" t="inlineStr">
        <is>
          <t>HE3B3</t>
        </is>
      </c>
      <c r="C170" t="inlineStr">
        <is>
          <t>GICS_INDUSTRY_GROUP_NAME</t>
        </is>
      </c>
      <c r="D170" t="inlineStr">
        <is>
          <t>Equity Real Estate Investment Trusts</t>
        </is>
      </c>
      <c r="E170" t="inlineStr">
        <is>
          <t>Real Estate</t>
        </is>
      </c>
      <c r="F170" t="inlineStr"/>
      <c r="G170" t="inlineStr"/>
      <c r="H170" t="inlineStr">
        <is>
          <t>1.47%</t>
        </is>
      </c>
      <c r="I170" t="inlineStr">
        <is>
          <t>0.00%</t>
        </is>
      </c>
    </row>
    <row r="171">
      <c r="A171" s="2" t="n">
        <v>45982</v>
      </c>
      <c r="B171" t="inlineStr">
        <is>
          <t>HE3B3</t>
        </is>
      </c>
      <c r="C171" t="inlineStr">
        <is>
          <t>GICS_INDUSTRY_NAME</t>
        </is>
      </c>
      <c r="D171" t="inlineStr">
        <is>
          <t>Specialized REITs</t>
        </is>
      </c>
      <c r="E171" t="inlineStr">
        <is>
          <t>Real Estate</t>
        </is>
      </c>
      <c r="F171" t="inlineStr"/>
      <c r="G171" t="inlineStr"/>
      <c r="H171" t="inlineStr">
        <is>
          <t>1.47%</t>
        </is>
      </c>
      <c r="I171" t="inlineStr">
        <is>
          <t>0.00%</t>
        </is>
      </c>
    </row>
    <row r="172">
      <c r="A172" s="2" t="n">
        <v>45982</v>
      </c>
      <c r="B172" t="inlineStr">
        <is>
          <t>HE3B3</t>
        </is>
      </c>
      <c r="C172" t="inlineStr">
        <is>
          <t>GICS_INDUSTRY_GROUP_NAME</t>
        </is>
      </c>
      <c r="D172" t="inlineStr">
        <is>
          <t>Transportation</t>
        </is>
      </c>
      <c r="E172" t="inlineStr">
        <is>
          <t>Industrials</t>
        </is>
      </c>
      <c r="F172" t="inlineStr"/>
      <c r="G172" t="inlineStr"/>
      <c r="H172" t="inlineStr">
        <is>
          <t>1.32%</t>
        </is>
      </c>
      <c r="I172" t="inlineStr">
        <is>
          <t>0.00%</t>
        </is>
      </c>
    </row>
    <row r="173">
      <c r="A173" s="2" t="n">
        <v>45982</v>
      </c>
      <c r="B173" t="inlineStr">
        <is>
          <t>HE3B3</t>
        </is>
      </c>
      <c r="C173" t="inlineStr">
        <is>
          <t>GICS_INDUSTRY_NAME</t>
        </is>
      </c>
      <c r="D173" t="inlineStr">
        <is>
          <t>Specialty Retail</t>
        </is>
      </c>
      <c r="E173" t="inlineStr">
        <is>
          <t>Consumer Discretionary</t>
        </is>
      </c>
      <c r="F173" t="inlineStr"/>
      <c r="G173" t="inlineStr"/>
      <c r="H173" t="inlineStr">
        <is>
          <t>1.27%</t>
        </is>
      </c>
      <c r="I173" t="inlineStr">
        <is>
          <t>0.00%</t>
        </is>
      </c>
    </row>
    <row r="174">
      <c r="A174" s="2" t="n">
        <v>45982</v>
      </c>
      <c r="B174" t="inlineStr">
        <is>
          <t>HE3B3</t>
        </is>
      </c>
      <c r="C174" t="inlineStr">
        <is>
          <t>GICS_INDUSTRY_NAME</t>
        </is>
      </c>
      <c r="D174" t="inlineStr">
        <is>
          <t>Beverages</t>
        </is>
      </c>
      <c r="E174" t="inlineStr">
        <is>
          <t>Consumer Staples</t>
        </is>
      </c>
      <c r="F174" t="inlineStr"/>
      <c r="G174" t="inlineStr"/>
      <c r="H174" t="inlineStr">
        <is>
          <t>1.23%</t>
        </is>
      </c>
      <c r="I174" t="inlineStr">
        <is>
          <t>0.00%</t>
        </is>
      </c>
    </row>
    <row r="175">
      <c r="A175" s="2" t="n">
        <v>45982</v>
      </c>
      <c r="B175" t="inlineStr">
        <is>
          <t>HE3B3</t>
        </is>
      </c>
      <c r="C175" t="inlineStr">
        <is>
          <t>GICS_INDUSTRY_NAME</t>
        </is>
      </c>
      <c r="D175" t="inlineStr">
        <is>
          <t>Entertainment</t>
        </is>
      </c>
      <c r="E175" t="inlineStr">
        <is>
          <t>Communication Services</t>
        </is>
      </c>
      <c r="F175" t="inlineStr"/>
      <c r="G175" t="inlineStr"/>
      <c r="H175" t="inlineStr">
        <is>
          <t>1.18%</t>
        </is>
      </c>
      <c r="I175" t="inlineStr">
        <is>
          <t>0.00%</t>
        </is>
      </c>
    </row>
    <row r="176">
      <c r="A176" s="2" t="n">
        <v>45982</v>
      </c>
      <c r="B176" t="inlineStr">
        <is>
          <t>HE3B3</t>
        </is>
      </c>
      <c r="C176" t="inlineStr">
        <is>
          <t>GICS_INDUSTRY_NAME</t>
        </is>
      </c>
      <c r="D176" t="inlineStr">
        <is>
          <t>IT Services</t>
        </is>
      </c>
      <c r="E176" t="inlineStr">
        <is>
          <t>Information Technology</t>
        </is>
      </c>
      <c r="F176" t="inlineStr"/>
      <c r="G176" t="inlineStr"/>
      <c r="H176" t="inlineStr">
        <is>
          <t>1.15%</t>
        </is>
      </c>
      <c r="I176" t="inlineStr">
        <is>
          <t>0.00%</t>
        </is>
      </c>
    </row>
    <row r="177">
      <c r="A177" s="2" t="n">
        <v>45982</v>
      </c>
      <c r="B177" t="inlineStr">
        <is>
          <t>HE3B3</t>
        </is>
      </c>
      <c r="C177" t="inlineStr">
        <is>
          <t>GICS_INDUSTRY_GROUP_NAME</t>
        </is>
      </c>
      <c r="D177" t="inlineStr">
        <is>
          <t>Commercial &amp; Professional Services</t>
        </is>
      </c>
      <c r="E177" t="inlineStr">
        <is>
          <t>Industrials</t>
        </is>
      </c>
      <c r="F177" t="inlineStr"/>
      <c r="G177" t="inlineStr"/>
      <c r="H177" t="inlineStr">
        <is>
          <t>1.10%</t>
        </is>
      </c>
      <c r="I177" t="inlineStr">
        <is>
          <t>0.00%</t>
        </is>
      </c>
    </row>
    <row r="178">
      <c r="A178" s="2" t="n">
        <v>45982</v>
      </c>
      <c r="B178" t="inlineStr">
        <is>
          <t>HE3B3</t>
        </is>
      </c>
      <c r="C178" t="inlineStr">
        <is>
          <t>GICS_INDUSTRY_NAME</t>
        </is>
      </c>
      <c r="D178" t="inlineStr">
        <is>
          <t>Commercial Services &amp; Supplies</t>
        </is>
      </c>
      <c r="E178" t="inlineStr">
        <is>
          <t>Industrials</t>
        </is>
      </c>
      <c r="F178" t="inlineStr"/>
      <c r="G178" t="inlineStr"/>
      <c r="H178" t="inlineStr">
        <is>
          <t>1.10%</t>
        </is>
      </c>
      <c r="I178" t="inlineStr">
        <is>
          <t>0.00%</t>
        </is>
      </c>
    </row>
    <row r="179">
      <c r="A179" s="2" t="n">
        <v>45982</v>
      </c>
      <c r="B179" t="inlineStr">
        <is>
          <t>HE3B3</t>
        </is>
      </c>
      <c r="C179" t="inlineStr">
        <is>
          <t>GICS_INDUSTRY_GROUP_NAME</t>
        </is>
      </c>
      <c r="D179" t="inlineStr">
        <is>
          <t>Household &amp; Personal Products</t>
        </is>
      </c>
      <c r="E179" t="inlineStr">
        <is>
          <t>Consumer Staples</t>
        </is>
      </c>
      <c r="F179" t="inlineStr"/>
      <c r="G179" t="inlineStr"/>
      <c r="H179" t="inlineStr">
        <is>
          <t>0.98%</t>
        </is>
      </c>
      <c r="I179" t="inlineStr">
        <is>
          <t>0.00%</t>
        </is>
      </c>
    </row>
    <row r="180">
      <c r="A180" s="2" t="n">
        <v>45982</v>
      </c>
      <c r="B180" t="inlineStr">
        <is>
          <t>HE3B3</t>
        </is>
      </c>
      <c r="C180" t="inlineStr">
        <is>
          <t>GICS_INDUSTRY_NAME</t>
        </is>
      </c>
      <c r="D180" t="inlineStr">
        <is>
          <t>Household Products</t>
        </is>
      </c>
      <c r="E180" t="inlineStr">
        <is>
          <t>Consumer Staples</t>
        </is>
      </c>
      <c r="F180" t="inlineStr"/>
      <c r="G180" t="inlineStr"/>
      <c r="H180" t="inlineStr">
        <is>
          <t>0.98%</t>
        </is>
      </c>
      <c r="I180" t="inlineStr">
        <is>
          <t>0.00%</t>
        </is>
      </c>
    </row>
    <row r="181">
      <c r="A181" s="2" t="n">
        <v>45982</v>
      </c>
      <c r="B181" t="inlineStr">
        <is>
          <t>HE3B3</t>
        </is>
      </c>
      <c r="C181" t="inlineStr">
        <is>
          <t>GICS_INDUSTRY_NAME</t>
        </is>
      </c>
      <c r="D181" t="inlineStr">
        <is>
          <t>Ground Transportation</t>
        </is>
      </c>
      <c r="E181" t="inlineStr">
        <is>
          <t>Industrials</t>
        </is>
      </c>
      <c r="F181" t="inlineStr"/>
      <c r="G181" t="inlineStr"/>
      <c r="H181" t="inlineStr">
        <is>
          <t>0.93%</t>
        </is>
      </c>
      <c r="I181" t="inlineStr">
        <is>
          <t>0.00%</t>
        </is>
      </c>
    </row>
    <row r="182">
      <c r="A182" s="2" t="n">
        <v>45982</v>
      </c>
      <c r="B182" t="inlineStr">
        <is>
          <t>HE3B3</t>
        </is>
      </c>
      <c r="C182" t="inlineStr">
        <is>
          <t>GICS_INDUSTRY_NAME</t>
        </is>
      </c>
      <c r="D182" t="inlineStr">
        <is>
          <t>Tobacco</t>
        </is>
      </c>
      <c r="E182" t="inlineStr">
        <is>
          <t>Consumer Staples</t>
        </is>
      </c>
      <c r="F182" t="inlineStr"/>
      <c r="G182" t="inlineStr"/>
      <c r="H182" t="inlineStr">
        <is>
          <t>0.87%</t>
        </is>
      </c>
      <c r="I182" t="inlineStr">
        <is>
          <t>0.00%</t>
        </is>
      </c>
    </row>
    <row r="183">
      <c r="A183" s="2" t="n">
        <v>45982</v>
      </c>
      <c r="B183" t="inlineStr">
        <is>
          <t>HE3B3</t>
        </is>
      </c>
      <c r="C183" t="inlineStr">
        <is>
          <t>GICS_INDUSTRY_GROUP_NAME</t>
        </is>
      </c>
      <c r="D183" t="inlineStr">
        <is>
          <t>Telecommunication Services</t>
        </is>
      </c>
      <c r="E183" t="inlineStr">
        <is>
          <t>Communication Services</t>
        </is>
      </c>
      <c r="F183" t="inlineStr"/>
      <c r="G183" t="inlineStr"/>
      <c r="H183" t="inlineStr">
        <is>
          <t>0.84%</t>
        </is>
      </c>
      <c r="I183" t="inlineStr">
        <is>
          <t>0.00%</t>
        </is>
      </c>
    </row>
    <row r="184">
      <c r="A184" s="2" t="n">
        <v>45982</v>
      </c>
      <c r="B184" t="inlineStr">
        <is>
          <t>HE3B3</t>
        </is>
      </c>
      <c r="C184" t="inlineStr">
        <is>
          <t>GICS_INDUSTRY_NAME</t>
        </is>
      </c>
      <c r="D184" t="inlineStr">
        <is>
          <t>Diversified Telecommunication Services</t>
        </is>
      </c>
      <c r="E184" t="inlineStr">
        <is>
          <t>Communication Services</t>
        </is>
      </c>
      <c r="F184" t="inlineStr"/>
      <c r="G184" t="inlineStr"/>
      <c r="H184" t="inlineStr">
        <is>
          <t>0.84%</t>
        </is>
      </c>
      <c r="I184" t="inlineStr">
        <is>
          <t>0.00%</t>
        </is>
      </c>
    </row>
    <row r="185">
      <c r="A185" s="2" t="n">
        <v>45982</v>
      </c>
      <c r="B185" t="inlineStr">
        <is>
          <t>HE3B3</t>
        </is>
      </c>
      <c r="C185" t="inlineStr">
        <is>
          <t>GICS_INDUSTRY_NAME</t>
        </is>
      </c>
      <c r="D185" t="inlineStr">
        <is>
          <t>Industrial Conglomerates</t>
        </is>
      </c>
      <c r="E185" t="inlineStr">
        <is>
          <t>Industrials</t>
        </is>
      </c>
      <c r="F185" t="inlineStr"/>
      <c r="G185" t="inlineStr"/>
      <c r="H185" t="inlineStr">
        <is>
          <t>0.84%</t>
        </is>
      </c>
      <c r="I185" t="inlineStr">
        <is>
          <t>0.00%</t>
        </is>
      </c>
    </row>
    <row r="186">
      <c r="A186" s="2" t="n">
        <v>45982</v>
      </c>
      <c r="B186" t="inlineStr">
        <is>
          <t>HE3B3</t>
        </is>
      </c>
      <c r="C186" t="inlineStr">
        <is>
          <t>GICS_INDUSTRY_NAME</t>
        </is>
      </c>
      <c r="D186" t="inlineStr">
        <is>
          <t>Life Sciences Tools &amp; Services</t>
        </is>
      </c>
      <c r="E186" t="inlineStr">
        <is>
          <t>Health Care</t>
        </is>
      </c>
      <c r="F186" t="inlineStr"/>
      <c r="G186" t="inlineStr"/>
      <c r="H186" t="inlineStr">
        <is>
          <t>0.80%</t>
        </is>
      </c>
      <c r="I186" t="inlineStr">
        <is>
          <t>0.00%</t>
        </is>
      </c>
    </row>
    <row r="187">
      <c r="A187" s="2" t="n">
        <v>45982</v>
      </c>
      <c r="B187" t="inlineStr">
        <is>
          <t>HE3B3</t>
        </is>
      </c>
      <c r="C187" t="inlineStr">
        <is>
          <t>GICS_INDUSTRY_NAME</t>
        </is>
      </c>
      <c r="D187" t="inlineStr">
        <is>
          <t>Electrical Equipment</t>
        </is>
      </c>
      <c r="E187" t="inlineStr">
        <is>
          <t>Industrials</t>
        </is>
      </c>
      <c r="F187" t="inlineStr"/>
      <c r="G187" t="inlineStr"/>
      <c r="H187" t="inlineStr">
        <is>
          <t>0.79%</t>
        </is>
      </c>
      <c r="I187" t="inlineStr">
        <is>
          <t>0.00%</t>
        </is>
      </c>
    </row>
    <row r="188">
      <c r="A188" s="2" t="n">
        <v>45982</v>
      </c>
      <c r="B188" t="inlineStr">
        <is>
          <t>HE3B3</t>
        </is>
      </c>
      <c r="C188" t="inlineStr">
        <is>
          <t>GICS_INDUSTRY_GROUP_NAME</t>
        </is>
      </c>
      <c r="D188" t="inlineStr">
        <is>
          <t>Consumer Durables &amp; Apparel</t>
        </is>
      </c>
      <c r="E188" t="inlineStr">
        <is>
          <t>Consumer Discretionary</t>
        </is>
      </c>
      <c r="F188" t="inlineStr"/>
      <c r="G188" t="inlineStr"/>
      <c r="H188" t="inlineStr">
        <is>
          <t>0.53%</t>
        </is>
      </c>
      <c r="I188" t="inlineStr">
        <is>
          <t>0.00%</t>
        </is>
      </c>
    </row>
    <row r="189">
      <c r="A189" s="2" t="n">
        <v>45982</v>
      </c>
      <c r="B189" t="inlineStr">
        <is>
          <t>HE3B3</t>
        </is>
      </c>
      <c r="C189" t="inlineStr">
        <is>
          <t>GICS_INDUSTRY_NAME</t>
        </is>
      </c>
      <c r="D189" t="inlineStr">
        <is>
          <t>Textiles, Apparel &amp; Luxury Goods</t>
        </is>
      </c>
      <c r="E189" t="inlineStr">
        <is>
          <t>Consumer Discretionary</t>
        </is>
      </c>
      <c r="F189" t="inlineStr"/>
      <c r="G189" t="inlineStr"/>
      <c r="H189" t="inlineStr">
        <is>
          <t>0.53%</t>
        </is>
      </c>
      <c r="I189" t="inlineStr">
        <is>
          <t>0.00%</t>
        </is>
      </c>
    </row>
    <row r="190">
      <c r="A190" s="2" t="n">
        <v>45982</v>
      </c>
      <c r="B190" t="inlineStr">
        <is>
          <t>HE3B3</t>
        </is>
      </c>
      <c r="C190" t="inlineStr">
        <is>
          <t>GICS_INDUSTRY_NAME</t>
        </is>
      </c>
      <c r="D190" t="inlineStr">
        <is>
          <t>Consumer Finance</t>
        </is>
      </c>
      <c r="E190" t="inlineStr">
        <is>
          <t>Financials</t>
        </is>
      </c>
      <c r="F190" t="inlineStr"/>
      <c r="G190" t="inlineStr"/>
      <c r="H190" t="inlineStr">
        <is>
          <t>0.51%</t>
        </is>
      </c>
      <c r="I190" t="inlineStr">
        <is>
          <t>0.00%</t>
        </is>
      </c>
    </row>
    <row r="191">
      <c r="A191" s="2" t="n">
        <v>45982</v>
      </c>
      <c r="B191" t="inlineStr">
        <is>
          <t>HE3B3</t>
        </is>
      </c>
      <c r="C191" t="inlineStr">
        <is>
          <t>GICS_INDUSTRY_NAME</t>
        </is>
      </c>
      <c r="D191" t="inlineStr">
        <is>
          <t>Air Freight &amp; Logistics</t>
        </is>
      </c>
      <c r="E191" t="inlineStr">
        <is>
          <t>Industrials</t>
        </is>
      </c>
      <c r="F191" t="inlineStr"/>
      <c r="G191" t="inlineStr"/>
      <c r="H191" t="inlineStr">
        <is>
          <t>0.39%</t>
        </is>
      </c>
      <c r="I191" t="inlineStr">
        <is>
          <t>0.00%</t>
        </is>
      </c>
    </row>
    <row r="192">
      <c r="A192" s="2" t="n">
        <v>45982</v>
      </c>
      <c r="B192" t="inlineStr">
        <is>
          <t>HE3B3</t>
        </is>
      </c>
      <c r="C192" t="inlineStr">
        <is>
          <t>GICS_INDUSTRY_NAME</t>
        </is>
      </c>
      <c r="D192" t="inlineStr">
        <is>
          <t>Media</t>
        </is>
      </c>
      <c r="E192" t="inlineStr">
        <is>
          <t>Communication Services</t>
        </is>
      </c>
      <c r="F192" t="inlineStr"/>
      <c r="G192" t="inlineStr"/>
      <c r="H192" t="inlineStr">
        <is>
          <t>0.19%</t>
        </is>
      </c>
      <c r="I192" t="inlineStr">
        <is>
          <t>0.00%</t>
        </is>
      </c>
    </row>
    <row r="193">
      <c r="A193" s="2" t="n">
        <v>45982</v>
      </c>
      <c r="B193" t="inlineStr">
        <is>
          <t>HE3B3</t>
        </is>
      </c>
      <c r="C193" t="inlineStr">
        <is>
          <t>GICS_INDUSTRY_NAME</t>
        </is>
      </c>
      <c r="D193" t="inlineStr">
        <is>
          <t>Food Products</t>
        </is>
      </c>
      <c r="E193" t="inlineStr">
        <is>
          <t>Consumer Staples</t>
        </is>
      </c>
      <c r="F193" t="inlineStr"/>
      <c r="G193" t="inlineStr"/>
      <c r="H193" t="inlineStr">
        <is>
          <t>0.19%</t>
        </is>
      </c>
      <c r="I193" t="inlineStr">
        <is>
          <t>0.00%</t>
        </is>
      </c>
    </row>
    <row r="194">
      <c r="A194" s="2" t="n">
        <v>45982</v>
      </c>
      <c r="B194" t="inlineStr">
        <is>
          <t>P20127</t>
        </is>
      </c>
      <c r="C194" t="inlineStr">
        <is>
          <t>GICS_INDUSTRY_GROUP_NAME</t>
        </is>
      </c>
      <c r="D194" t="inlineStr">
        <is>
          <t>Semiconductors &amp; Semiconductor Equipment</t>
        </is>
      </c>
      <c r="E194" t="inlineStr">
        <is>
          <t>Information Technology</t>
        </is>
      </c>
      <c r="F194" t="inlineStr"/>
      <c r="G194" t="inlineStr"/>
      <c r="H194" t="inlineStr">
        <is>
          <t>14.93%</t>
        </is>
      </c>
      <c r="I194" t="inlineStr">
        <is>
          <t>0.00%</t>
        </is>
      </c>
    </row>
    <row r="195">
      <c r="A195" s="2" t="n">
        <v>45982</v>
      </c>
      <c r="B195" t="inlineStr">
        <is>
          <t>P20127</t>
        </is>
      </c>
      <c r="C195" t="inlineStr">
        <is>
          <t>GICS_INDUSTRY_NAME</t>
        </is>
      </c>
      <c r="D195" t="inlineStr">
        <is>
          <t>Semiconductors &amp; Semiconductor Equipment</t>
        </is>
      </c>
      <c r="E195" t="inlineStr">
        <is>
          <t>Information Technology</t>
        </is>
      </c>
      <c r="F195" t="inlineStr"/>
      <c r="G195" t="inlineStr"/>
      <c r="H195" t="inlineStr">
        <is>
          <t>14.93%</t>
        </is>
      </c>
      <c r="I195" t="inlineStr">
        <is>
          <t>0.00%</t>
        </is>
      </c>
    </row>
    <row r="196">
      <c r="A196" s="2" t="n">
        <v>45982</v>
      </c>
      <c r="B196" t="inlineStr">
        <is>
          <t>P20127</t>
        </is>
      </c>
      <c r="C196" t="inlineStr">
        <is>
          <t>GICS_INDUSTRY_GROUP_NAME</t>
        </is>
      </c>
      <c r="D196" t="inlineStr">
        <is>
          <t>Technology Hardware &amp; Equipment</t>
        </is>
      </c>
      <c r="E196" t="inlineStr">
        <is>
          <t>Information Technology</t>
        </is>
      </c>
      <c r="F196" t="inlineStr"/>
      <c r="G196" t="inlineStr"/>
      <c r="H196" t="inlineStr">
        <is>
          <t>9.80%</t>
        </is>
      </c>
      <c r="I196" t="inlineStr">
        <is>
          <t>0.00%</t>
        </is>
      </c>
    </row>
    <row r="197">
      <c r="A197" s="2" t="n">
        <v>45982</v>
      </c>
      <c r="B197" t="inlineStr">
        <is>
          <t>P20127</t>
        </is>
      </c>
      <c r="C197" t="inlineStr">
        <is>
          <t>GICS_INDUSTRY_GROUP_NAME</t>
        </is>
      </c>
      <c r="D197" t="inlineStr">
        <is>
          <t>Software &amp; Services</t>
        </is>
      </c>
      <c r="E197" t="inlineStr">
        <is>
          <t>Information Technology</t>
        </is>
      </c>
      <c r="F197" t="inlineStr"/>
      <c r="G197" t="inlineStr"/>
      <c r="H197" t="inlineStr">
        <is>
          <t>9.74%</t>
        </is>
      </c>
      <c r="I197" t="inlineStr">
        <is>
          <t>0.00%</t>
        </is>
      </c>
    </row>
    <row r="198">
      <c r="A198" s="2" t="n">
        <v>45982</v>
      </c>
      <c r="B198" t="inlineStr">
        <is>
          <t>P20127</t>
        </is>
      </c>
      <c r="C198" t="inlineStr">
        <is>
          <t>GICS_INDUSTRY_GROUP_NAME</t>
        </is>
      </c>
      <c r="D198" t="inlineStr">
        <is>
          <t>Media &amp; Entertainment</t>
        </is>
      </c>
      <c r="E198" t="inlineStr">
        <is>
          <t>Communication Services</t>
        </is>
      </c>
      <c r="F198" t="inlineStr"/>
      <c r="G198" t="inlineStr"/>
      <c r="H198" t="inlineStr">
        <is>
          <t>9.70%</t>
        </is>
      </c>
      <c r="I198" t="inlineStr">
        <is>
          <t>0.00%</t>
        </is>
      </c>
    </row>
    <row r="199">
      <c r="A199" s="2" t="n">
        <v>45982</v>
      </c>
      <c r="B199" t="inlineStr">
        <is>
          <t>P20127</t>
        </is>
      </c>
      <c r="C199" t="inlineStr">
        <is>
          <t>GICS_INDUSTRY_NAME</t>
        </is>
      </c>
      <c r="D199" t="inlineStr">
        <is>
          <t>Software</t>
        </is>
      </c>
      <c r="E199" t="inlineStr">
        <is>
          <t>Information Technology</t>
        </is>
      </c>
      <c r="F199" t="inlineStr"/>
      <c r="G199" t="inlineStr"/>
      <c r="H199" t="inlineStr">
        <is>
          <t>8.53%</t>
        </is>
      </c>
      <c r="I199" t="inlineStr">
        <is>
          <t>0.00%</t>
        </is>
      </c>
    </row>
    <row r="200">
      <c r="A200" s="2" t="n">
        <v>45982</v>
      </c>
      <c r="B200" t="inlineStr">
        <is>
          <t>P20127</t>
        </is>
      </c>
      <c r="C200" t="inlineStr">
        <is>
          <t>GICS_INDUSTRY_NAME</t>
        </is>
      </c>
      <c r="D200" t="inlineStr">
        <is>
          <t>Interactive Media &amp; Services</t>
        </is>
      </c>
      <c r="E200" t="inlineStr">
        <is>
          <t>Communication Services</t>
        </is>
      </c>
      <c r="F200" t="inlineStr"/>
      <c r="G200" t="inlineStr"/>
      <c r="H200" t="inlineStr">
        <is>
          <t>8.32%</t>
        </is>
      </c>
      <c r="I200" t="inlineStr">
        <is>
          <t>0.00%</t>
        </is>
      </c>
    </row>
    <row r="201">
      <c r="A201" s="2" t="n">
        <v>45982</v>
      </c>
      <c r="B201" t="inlineStr">
        <is>
          <t>P20127</t>
        </is>
      </c>
      <c r="C201" t="inlineStr">
        <is>
          <t>GICS_INDUSTRY_NAME</t>
        </is>
      </c>
      <c r="D201" t="inlineStr">
        <is>
          <t>Technology Hardware, Storage &amp; Peripherals</t>
        </is>
      </c>
      <c r="E201" t="inlineStr">
        <is>
          <t>Information Technology</t>
        </is>
      </c>
      <c r="F201" t="inlineStr"/>
      <c r="G201" t="inlineStr"/>
      <c r="H201" t="inlineStr">
        <is>
          <t>7.62%</t>
        </is>
      </c>
      <c r="I201" t="inlineStr">
        <is>
          <t>0.00%</t>
        </is>
      </c>
    </row>
    <row r="202">
      <c r="A202" s="2" t="n">
        <v>45982</v>
      </c>
      <c r="B202" t="inlineStr">
        <is>
          <t>P20127</t>
        </is>
      </c>
      <c r="C202" t="inlineStr">
        <is>
          <t>GICS_INDUSTRY_GROUP_NAME</t>
        </is>
      </c>
      <c r="D202" t="inlineStr">
        <is>
          <t>Financial Services</t>
        </is>
      </c>
      <c r="E202" t="inlineStr">
        <is>
          <t>Financials</t>
        </is>
      </c>
      <c r="F202" t="inlineStr"/>
      <c r="G202" t="inlineStr"/>
      <c r="H202" t="inlineStr">
        <is>
          <t>6.64%</t>
        </is>
      </c>
      <c r="I202" t="inlineStr">
        <is>
          <t>0.00%</t>
        </is>
      </c>
    </row>
    <row r="203">
      <c r="A203" s="2" t="n">
        <v>45982</v>
      </c>
      <c r="B203" t="inlineStr">
        <is>
          <t>P20127</t>
        </is>
      </c>
      <c r="C203" t="inlineStr">
        <is>
          <t>GICS_INDUSTRY_GROUP_NAME</t>
        </is>
      </c>
      <c r="D203" t="inlineStr">
        <is>
          <t>Capital Goods</t>
        </is>
      </c>
      <c r="E203" t="inlineStr">
        <is>
          <t>Industrials</t>
        </is>
      </c>
      <c r="F203" t="inlineStr"/>
      <c r="G203" t="inlineStr"/>
      <c r="H203" t="inlineStr">
        <is>
          <t>6.16%</t>
        </is>
      </c>
      <c r="I203" t="inlineStr">
        <is>
          <t>0.00%</t>
        </is>
      </c>
    </row>
    <row r="204">
      <c r="A204" s="2" t="n">
        <v>45982</v>
      </c>
      <c r="B204" t="inlineStr">
        <is>
          <t>P20127</t>
        </is>
      </c>
      <c r="C204" t="inlineStr">
        <is>
          <t>GICS_INDUSTRY_GROUP_NAME</t>
        </is>
      </c>
      <c r="D204" t="inlineStr">
        <is>
          <t>Pharmaceuticals, Biotechnology &amp; Life Sciences</t>
        </is>
      </c>
      <c r="E204" t="inlineStr">
        <is>
          <t>Health Care</t>
        </is>
      </c>
      <c r="F204" t="inlineStr"/>
      <c r="G204" t="inlineStr"/>
      <c r="H204" t="inlineStr">
        <is>
          <t>5.57%</t>
        </is>
      </c>
      <c r="I204" t="inlineStr">
        <is>
          <t>0.00%</t>
        </is>
      </c>
    </row>
    <row r="205">
      <c r="A205" s="2" t="n">
        <v>45982</v>
      </c>
      <c r="B205" t="inlineStr">
        <is>
          <t>P20127</t>
        </is>
      </c>
      <c r="C205" t="inlineStr">
        <is>
          <t>GICS_INDUSTRY_GROUP_NAME</t>
        </is>
      </c>
      <c r="D205" t="inlineStr">
        <is>
          <t>Consumer Discretionary Distribution &amp; Retail</t>
        </is>
      </c>
      <c r="E205" t="inlineStr">
        <is>
          <t>Consumer Discretionary</t>
        </is>
      </c>
      <c r="F205" t="inlineStr"/>
      <c r="G205" t="inlineStr"/>
      <c r="H205" t="inlineStr">
        <is>
          <t>5.33%</t>
        </is>
      </c>
      <c r="I205" t="inlineStr">
        <is>
          <t>0.00%</t>
        </is>
      </c>
    </row>
    <row r="206">
      <c r="A206" s="2" t="n">
        <v>45982</v>
      </c>
      <c r="B206" t="inlineStr">
        <is>
          <t>P20127</t>
        </is>
      </c>
      <c r="C206" t="inlineStr">
        <is>
          <t>GICS_INDUSTRY_GROUP_NAME</t>
        </is>
      </c>
      <c r="D206" t="inlineStr">
        <is>
          <t>Banks</t>
        </is>
      </c>
      <c r="E206" t="inlineStr">
        <is>
          <t>Financials</t>
        </is>
      </c>
      <c r="F206" t="inlineStr"/>
      <c r="G206" t="inlineStr"/>
      <c r="H206" t="inlineStr">
        <is>
          <t>4.47%</t>
        </is>
      </c>
      <c r="I206" t="inlineStr">
        <is>
          <t>0.00%</t>
        </is>
      </c>
    </row>
    <row r="207">
      <c r="A207" s="2" t="n">
        <v>45982</v>
      </c>
      <c r="B207" t="inlineStr">
        <is>
          <t>P20127</t>
        </is>
      </c>
      <c r="C207" t="inlineStr">
        <is>
          <t>GICS_INDUSTRY_NAME</t>
        </is>
      </c>
      <c r="D207" t="inlineStr">
        <is>
          <t>Banks</t>
        </is>
      </c>
      <c r="E207" t="inlineStr">
        <is>
          <t>Financials</t>
        </is>
      </c>
      <c r="F207" t="inlineStr"/>
      <c r="G207" t="inlineStr"/>
      <c r="H207" t="inlineStr">
        <is>
          <t>4.47%</t>
        </is>
      </c>
      <c r="I207" t="inlineStr">
        <is>
          <t>0.00%</t>
        </is>
      </c>
    </row>
    <row r="208">
      <c r="A208" s="2" t="n">
        <v>45982</v>
      </c>
      <c r="B208" t="inlineStr">
        <is>
          <t>P20127</t>
        </is>
      </c>
      <c r="C208" t="inlineStr">
        <is>
          <t>GICS_INDUSTRY_GROUP_NAME</t>
        </is>
      </c>
      <c r="D208" t="inlineStr">
        <is>
          <t>Health Care Equipment &amp; Services</t>
        </is>
      </c>
      <c r="E208" t="inlineStr">
        <is>
          <t>Health Care</t>
        </is>
      </c>
      <c r="F208" t="inlineStr"/>
      <c r="G208" t="inlineStr"/>
      <c r="H208" t="inlineStr">
        <is>
          <t>4.28%</t>
        </is>
      </c>
      <c r="I208" t="inlineStr">
        <is>
          <t>0.00%</t>
        </is>
      </c>
    </row>
    <row r="209">
      <c r="A209" s="2" t="n">
        <v>45982</v>
      </c>
      <c r="B209" t="inlineStr">
        <is>
          <t>P20127</t>
        </is>
      </c>
      <c r="C209" t="inlineStr">
        <is>
          <t>GICS_INDUSTRY_NAME</t>
        </is>
      </c>
      <c r="D209" t="inlineStr">
        <is>
          <t>Broadline Retail</t>
        </is>
      </c>
      <c r="E209" t="inlineStr">
        <is>
          <t>Consumer Discretionary</t>
        </is>
      </c>
      <c r="F209" t="inlineStr"/>
      <c r="G209" t="inlineStr"/>
      <c r="H209" t="inlineStr">
        <is>
          <t>4.06%</t>
        </is>
      </c>
      <c r="I209" t="inlineStr">
        <is>
          <t>0.00%</t>
        </is>
      </c>
    </row>
    <row r="210">
      <c r="A210" s="2" t="n">
        <v>45982</v>
      </c>
      <c r="B210" t="inlineStr">
        <is>
          <t>P20127</t>
        </is>
      </c>
      <c r="C210" t="inlineStr">
        <is>
          <t>GICS_INDUSTRY_NAME</t>
        </is>
      </c>
      <c r="D210" t="inlineStr">
        <is>
          <t>Financial Services</t>
        </is>
      </c>
      <c r="E210" t="inlineStr">
        <is>
          <t>Financials</t>
        </is>
      </c>
      <c r="F210" t="inlineStr"/>
      <c r="G210" t="inlineStr"/>
      <c r="H210" t="inlineStr">
        <is>
          <t>3.34%</t>
        </is>
      </c>
      <c r="I210" t="inlineStr">
        <is>
          <t>0.00%</t>
        </is>
      </c>
    </row>
    <row r="211">
      <c r="A211" s="2" t="n">
        <v>45982</v>
      </c>
      <c r="B211" t="inlineStr">
        <is>
          <t>P20127</t>
        </is>
      </c>
      <c r="C211" t="inlineStr">
        <is>
          <t>GICS_INDUSTRY_NAME</t>
        </is>
      </c>
      <c r="D211" t="inlineStr">
        <is>
          <t>Aerospace &amp; Defense</t>
        </is>
      </c>
      <c r="E211" t="inlineStr">
        <is>
          <t>Industrials</t>
        </is>
      </c>
      <c r="F211" t="inlineStr"/>
      <c r="G211" t="inlineStr"/>
      <c r="H211" t="inlineStr">
        <is>
          <t>3.00%</t>
        </is>
      </c>
      <c r="I211" t="inlineStr">
        <is>
          <t>0.00%</t>
        </is>
      </c>
    </row>
    <row r="212">
      <c r="A212" s="2" t="n">
        <v>45982</v>
      </c>
      <c r="B212" t="inlineStr">
        <is>
          <t>P20127</t>
        </is>
      </c>
      <c r="C212" t="inlineStr">
        <is>
          <t>GICS_INDUSTRY_GROUP_NAME</t>
        </is>
      </c>
      <c r="D212" t="inlineStr">
        <is>
          <t>Energy</t>
        </is>
      </c>
      <c r="E212" t="inlineStr">
        <is>
          <t>Energy</t>
        </is>
      </c>
      <c r="F212" t="inlineStr"/>
      <c r="G212" t="inlineStr"/>
      <c r="H212" t="inlineStr">
        <is>
          <t>2.88%</t>
        </is>
      </c>
      <c r="I212" t="inlineStr">
        <is>
          <t>0.00%</t>
        </is>
      </c>
    </row>
    <row r="213">
      <c r="A213" s="2" t="n">
        <v>45982</v>
      </c>
      <c r="B213" t="inlineStr">
        <is>
          <t>P20127</t>
        </is>
      </c>
      <c r="C213" t="inlineStr">
        <is>
          <t>GICS_INDUSTRY_NAME</t>
        </is>
      </c>
      <c r="D213" t="inlineStr">
        <is>
          <t>Oil, Gas &amp; Consumable Fuels</t>
        </is>
      </c>
      <c r="E213" t="inlineStr">
        <is>
          <t>Energy</t>
        </is>
      </c>
      <c r="F213" t="inlineStr"/>
      <c r="G213" t="inlineStr"/>
      <c r="H213" t="inlineStr">
        <is>
          <t>2.88%</t>
        </is>
      </c>
      <c r="I213" t="inlineStr">
        <is>
          <t>0.00%</t>
        </is>
      </c>
    </row>
    <row r="214">
      <c r="A214" s="2" t="n">
        <v>45982</v>
      </c>
      <c r="B214" t="inlineStr">
        <is>
          <t>P20127</t>
        </is>
      </c>
      <c r="C214" t="inlineStr">
        <is>
          <t>GICS_INDUSTRY_NAME</t>
        </is>
      </c>
      <c r="D214" t="inlineStr">
        <is>
          <t>Capital Markets</t>
        </is>
      </c>
      <c r="E214" t="inlineStr">
        <is>
          <t>Financials</t>
        </is>
      </c>
      <c r="F214" t="inlineStr"/>
      <c r="G214" t="inlineStr"/>
      <c r="H214" t="inlineStr">
        <is>
          <t>2.68%</t>
        </is>
      </c>
      <c r="I214" t="inlineStr">
        <is>
          <t>0.00%</t>
        </is>
      </c>
    </row>
    <row r="215">
      <c r="A215" s="2" t="n">
        <v>45982</v>
      </c>
      <c r="B215" t="inlineStr">
        <is>
          <t>P20127</t>
        </is>
      </c>
      <c r="C215" t="inlineStr">
        <is>
          <t>GICS_INDUSTRY_NAME</t>
        </is>
      </c>
      <c r="D215" t="inlineStr">
        <is>
          <t>Pharmaceuticals</t>
        </is>
      </c>
      <c r="E215" t="inlineStr">
        <is>
          <t>Health Care</t>
        </is>
      </c>
      <c r="F215" t="inlineStr"/>
      <c r="G215" t="inlineStr"/>
      <c r="H215" t="inlineStr">
        <is>
          <t>2.59%</t>
        </is>
      </c>
      <c r="I215" t="inlineStr">
        <is>
          <t>0.00%</t>
        </is>
      </c>
    </row>
    <row r="216">
      <c r="A216" s="2" t="n">
        <v>45982</v>
      </c>
      <c r="B216" t="inlineStr">
        <is>
          <t>P20127</t>
        </is>
      </c>
      <c r="C216" t="inlineStr">
        <is>
          <t>GICS_INDUSTRY_NAME</t>
        </is>
      </c>
      <c r="D216" t="inlineStr">
        <is>
          <t>Health Care Equipment &amp; Supplies</t>
        </is>
      </c>
      <c r="E216" t="inlineStr">
        <is>
          <t>Health Care</t>
        </is>
      </c>
      <c r="F216" t="inlineStr"/>
      <c r="G216" t="inlineStr"/>
      <c r="H216" t="inlineStr">
        <is>
          <t>2.32%</t>
        </is>
      </c>
      <c r="I216" t="inlineStr">
        <is>
          <t>0.00%</t>
        </is>
      </c>
    </row>
    <row r="217">
      <c r="A217" s="2" t="n">
        <v>45982</v>
      </c>
      <c r="B217" t="inlineStr">
        <is>
          <t>P20127</t>
        </is>
      </c>
      <c r="C217" t="inlineStr">
        <is>
          <t>GICS_INDUSTRY_GROUP_NAME</t>
        </is>
      </c>
      <c r="D217" t="inlineStr">
        <is>
          <t>Insurance</t>
        </is>
      </c>
      <c r="E217" t="inlineStr">
        <is>
          <t>Financials</t>
        </is>
      </c>
      <c r="F217" t="inlineStr"/>
      <c r="G217" t="inlineStr"/>
      <c r="H217" t="inlineStr">
        <is>
          <t>2.31%</t>
        </is>
      </c>
      <c r="I217" t="inlineStr">
        <is>
          <t>0.00%</t>
        </is>
      </c>
    </row>
    <row r="218">
      <c r="A218" s="2" t="n">
        <v>45982</v>
      </c>
      <c r="B218" t="inlineStr">
        <is>
          <t>P20127</t>
        </is>
      </c>
      <c r="C218" t="inlineStr">
        <is>
          <t>GICS_INDUSTRY_NAME</t>
        </is>
      </c>
      <c r="D218" t="inlineStr">
        <is>
          <t>Insurance</t>
        </is>
      </c>
      <c r="E218" t="inlineStr">
        <is>
          <t>Financials</t>
        </is>
      </c>
      <c r="F218" t="inlineStr"/>
      <c r="G218" t="inlineStr"/>
      <c r="H218" t="inlineStr">
        <is>
          <t>2.31%</t>
        </is>
      </c>
      <c r="I218" t="inlineStr">
        <is>
          <t>0.00%</t>
        </is>
      </c>
    </row>
    <row r="219">
      <c r="A219" s="2" t="n">
        <v>45982</v>
      </c>
      <c r="B219" t="inlineStr">
        <is>
          <t>P20127</t>
        </is>
      </c>
      <c r="C219" t="inlineStr">
        <is>
          <t>GICS_INDUSTRY_GROUP_NAME</t>
        </is>
      </c>
      <c r="D219" t="inlineStr">
        <is>
          <t>Utilities</t>
        </is>
      </c>
      <c r="E219" t="inlineStr">
        <is>
          <t>Utilities</t>
        </is>
      </c>
      <c r="F219" t="inlineStr"/>
      <c r="G219" t="inlineStr"/>
      <c r="H219" t="inlineStr">
        <is>
          <t>2.30%</t>
        </is>
      </c>
      <c r="I219" t="inlineStr">
        <is>
          <t>0.00%</t>
        </is>
      </c>
    </row>
    <row r="220">
      <c r="A220" s="2" t="n">
        <v>45982</v>
      </c>
      <c r="B220" t="inlineStr">
        <is>
          <t>P20127</t>
        </is>
      </c>
      <c r="C220" t="inlineStr">
        <is>
          <t>GICS_INDUSTRY_NAME</t>
        </is>
      </c>
      <c r="D220" t="inlineStr">
        <is>
          <t>Electric Utilities</t>
        </is>
      </c>
      <c r="E220" t="inlineStr">
        <is>
          <t>Utilities</t>
        </is>
      </c>
      <c r="F220" t="inlineStr"/>
      <c r="G220" t="inlineStr"/>
      <c r="H220" t="inlineStr">
        <is>
          <t>2.30%</t>
        </is>
      </c>
      <c r="I220" t="inlineStr">
        <is>
          <t>0.00%</t>
        </is>
      </c>
    </row>
    <row r="221">
      <c r="A221" s="2" t="n">
        <v>45982</v>
      </c>
      <c r="B221" t="inlineStr">
        <is>
          <t>P20127</t>
        </is>
      </c>
      <c r="C221" t="inlineStr">
        <is>
          <t>GICS_INDUSTRY_GROUP_NAME</t>
        </is>
      </c>
      <c r="D221" t="inlineStr">
        <is>
          <t>Food, Beverage &amp; Tobacco</t>
        </is>
      </c>
      <c r="E221" t="inlineStr">
        <is>
          <t>Consumer Staples</t>
        </is>
      </c>
      <c r="F221" t="inlineStr"/>
      <c r="G221" t="inlineStr"/>
      <c r="H221" t="inlineStr">
        <is>
          <t>2.29%</t>
        </is>
      </c>
      <c r="I221" t="inlineStr">
        <is>
          <t>0.00%</t>
        </is>
      </c>
    </row>
    <row r="222">
      <c r="A222" s="2" t="n">
        <v>45982</v>
      </c>
      <c r="B222" t="inlineStr">
        <is>
          <t>P20127</t>
        </is>
      </c>
      <c r="C222" t="inlineStr">
        <is>
          <t>GICS_INDUSTRY_NAME</t>
        </is>
      </c>
      <c r="D222" t="inlineStr">
        <is>
          <t>Communications Equipment</t>
        </is>
      </c>
      <c r="E222" t="inlineStr">
        <is>
          <t>Information Technology</t>
        </is>
      </c>
      <c r="F222" t="inlineStr"/>
      <c r="G222" t="inlineStr"/>
      <c r="H222" t="inlineStr">
        <is>
          <t>2.19%</t>
        </is>
      </c>
      <c r="I222" t="inlineStr">
        <is>
          <t>0.00%</t>
        </is>
      </c>
    </row>
    <row r="223">
      <c r="A223" s="2" t="n">
        <v>45982</v>
      </c>
      <c r="B223" t="inlineStr">
        <is>
          <t>P20127</t>
        </is>
      </c>
      <c r="C223" t="inlineStr">
        <is>
          <t>GICS_INDUSTRY_GROUP_NAME</t>
        </is>
      </c>
      <c r="D223" t="inlineStr">
        <is>
          <t>Automobiles &amp; Components</t>
        </is>
      </c>
      <c r="E223" t="inlineStr">
        <is>
          <t>Consumer Discretionary</t>
        </is>
      </c>
      <c r="F223" t="inlineStr"/>
      <c r="G223" t="inlineStr"/>
      <c r="H223" t="inlineStr">
        <is>
          <t>2.15%</t>
        </is>
      </c>
      <c r="I223" t="inlineStr">
        <is>
          <t>0.00%</t>
        </is>
      </c>
    </row>
    <row r="224">
      <c r="A224" s="2" t="n">
        <v>45982</v>
      </c>
      <c r="B224" t="inlineStr">
        <is>
          <t>P20127</t>
        </is>
      </c>
      <c r="C224" t="inlineStr">
        <is>
          <t>GICS_INDUSTRY_NAME</t>
        </is>
      </c>
      <c r="D224" t="inlineStr">
        <is>
          <t>Automobiles</t>
        </is>
      </c>
      <c r="E224" t="inlineStr">
        <is>
          <t>Consumer Discretionary</t>
        </is>
      </c>
      <c r="F224" t="inlineStr"/>
      <c r="G224" t="inlineStr"/>
      <c r="H224" t="inlineStr">
        <is>
          <t>2.15%</t>
        </is>
      </c>
      <c r="I224" t="inlineStr">
        <is>
          <t>0.00%</t>
        </is>
      </c>
    </row>
    <row r="225">
      <c r="A225" s="2" t="n">
        <v>45982</v>
      </c>
      <c r="B225" t="inlineStr">
        <is>
          <t>P20127</t>
        </is>
      </c>
      <c r="C225" t="inlineStr">
        <is>
          <t>GICS_INDUSTRY_NAME</t>
        </is>
      </c>
      <c r="D225" t="inlineStr">
        <is>
          <t>Biotechnology</t>
        </is>
      </c>
      <c r="E225" t="inlineStr">
        <is>
          <t>Health Care</t>
        </is>
      </c>
      <c r="F225" t="inlineStr"/>
      <c r="G225" t="inlineStr"/>
      <c r="H225" t="inlineStr">
        <is>
          <t>2.01%</t>
        </is>
      </c>
      <c r="I225" t="inlineStr">
        <is>
          <t>0.00%</t>
        </is>
      </c>
    </row>
    <row r="226">
      <c r="A226" s="2" t="n">
        <v>45982</v>
      </c>
      <c r="B226" t="inlineStr">
        <is>
          <t>P20127</t>
        </is>
      </c>
      <c r="C226" t="inlineStr">
        <is>
          <t>GICS_INDUSTRY_NAME</t>
        </is>
      </c>
      <c r="D226" t="inlineStr">
        <is>
          <t>Health Care Providers &amp; Services</t>
        </is>
      </c>
      <c r="E226" t="inlineStr">
        <is>
          <t>Health Care</t>
        </is>
      </c>
      <c r="F226" t="inlineStr"/>
      <c r="G226" t="inlineStr"/>
      <c r="H226" t="inlineStr">
        <is>
          <t>1.96%</t>
        </is>
      </c>
      <c r="I226" t="inlineStr">
        <is>
          <t>0.00%</t>
        </is>
      </c>
    </row>
    <row r="227">
      <c r="A227" s="2" t="n">
        <v>45982</v>
      </c>
      <c r="B227" t="inlineStr">
        <is>
          <t>P20127</t>
        </is>
      </c>
      <c r="C227" t="inlineStr">
        <is>
          <t>GICS_INDUSTRY_GROUP_NAME</t>
        </is>
      </c>
      <c r="D227" t="inlineStr">
        <is>
          <t>Consumer Staples Distribution &amp; Retail</t>
        </is>
      </c>
      <c r="E227" t="inlineStr">
        <is>
          <t>Consumer Staples</t>
        </is>
      </c>
      <c r="F227" t="inlineStr"/>
      <c r="G227" t="inlineStr"/>
      <c r="H227" t="inlineStr">
        <is>
          <t>1.79%</t>
        </is>
      </c>
      <c r="I227" t="inlineStr">
        <is>
          <t>0.00%</t>
        </is>
      </c>
    </row>
    <row r="228">
      <c r="A228" s="2" t="n">
        <v>45982</v>
      </c>
      <c r="B228" t="inlineStr">
        <is>
          <t>P20127</t>
        </is>
      </c>
      <c r="C228" t="inlineStr">
        <is>
          <t>GICS_INDUSTRY_NAME</t>
        </is>
      </c>
      <c r="D228" t="inlineStr">
        <is>
          <t>Consumer Staples Distribution &amp; Retail</t>
        </is>
      </c>
      <c r="E228" t="inlineStr">
        <is>
          <t>Consumer Staples</t>
        </is>
      </c>
      <c r="F228" t="inlineStr"/>
      <c r="G228" t="inlineStr"/>
      <c r="H228" t="inlineStr">
        <is>
          <t>1.79%</t>
        </is>
      </c>
      <c r="I228" t="inlineStr">
        <is>
          <t>0.00%</t>
        </is>
      </c>
    </row>
    <row r="229">
      <c r="A229" s="2" t="n">
        <v>45982</v>
      </c>
      <c r="B229" t="inlineStr">
        <is>
          <t>P20127</t>
        </is>
      </c>
      <c r="C229" t="inlineStr">
        <is>
          <t>GICS_INDUSTRY_GROUP_NAME</t>
        </is>
      </c>
      <c r="D229" t="inlineStr">
        <is>
          <t>Consumer Services</t>
        </is>
      </c>
      <c r="E229" t="inlineStr">
        <is>
          <t>Consumer Discretionary</t>
        </is>
      </c>
      <c r="F229" t="inlineStr"/>
      <c r="G229" t="inlineStr"/>
      <c r="H229" t="inlineStr">
        <is>
          <t>1.72%</t>
        </is>
      </c>
      <c r="I229" t="inlineStr">
        <is>
          <t>0.00%</t>
        </is>
      </c>
    </row>
    <row r="230">
      <c r="A230" s="2" t="n">
        <v>45982</v>
      </c>
      <c r="B230" t="inlineStr">
        <is>
          <t>P20127</t>
        </is>
      </c>
      <c r="C230" t="inlineStr">
        <is>
          <t>GICS_INDUSTRY_NAME</t>
        </is>
      </c>
      <c r="D230" t="inlineStr">
        <is>
          <t>Hotels, Restaurants &amp; Leisure</t>
        </is>
      </c>
      <c r="E230" t="inlineStr">
        <is>
          <t>Consumer Discretionary</t>
        </is>
      </c>
      <c r="F230" t="inlineStr"/>
      <c r="G230" t="inlineStr"/>
      <c r="H230" t="inlineStr">
        <is>
          <t>1.72%</t>
        </is>
      </c>
      <c r="I230" t="inlineStr">
        <is>
          <t>0.00%</t>
        </is>
      </c>
    </row>
    <row r="231">
      <c r="A231" s="2" t="n">
        <v>45982</v>
      </c>
      <c r="B231" t="inlineStr">
        <is>
          <t>P20127</t>
        </is>
      </c>
      <c r="C231" t="inlineStr">
        <is>
          <t>GICS_INDUSTRY_GROUP_NAME</t>
        </is>
      </c>
      <c r="D231" t="inlineStr">
        <is>
          <t>Materials</t>
        </is>
      </c>
      <c r="E231" t="inlineStr">
        <is>
          <t>Materials</t>
        </is>
      </c>
      <c r="F231" t="inlineStr"/>
      <c r="G231" t="inlineStr"/>
      <c r="H231" t="inlineStr">
        <is>
          <t>1.69%</t>
        </is>
      </c>
      <c r="I231" t="inlineStr">
        <is>
          <t>0.00%</t>
        </is>
      </c>
    </row>
    <row r="232">
      <c r="A232" s="2" t="n">
        <v>45982</v>
      </c>
      <c r="B232" t="inlineStr">
        <is>
          <t>P20127</t>
        </is>
      </c>
      <c r="C232" t="inlineStr">
        <is>
          <t>GICS_INDUSTRY_NAME</t>
        </is>
      </c>
      <c r="D232" t="inlineStr">
        <is>
          <t>Chemicals</t>
        </is>
      </c>
      <c r="E232" t="inlineStr">
        <is>
          <t>Materials</t>
        </is>
      </c>
      <c r="F232" t="inlineStr"/>
      <c r="G232" t="inlineStr"/>
      <c r="H232" t="inlineStr">
        <is>
          <t>1.69%</t>
        </is>
      </c>
      <c r="I232" t="inlineStr">
        <is>
          <t>0.00%</t>
        </is>
      </c>
    </row>
    <row r="233">
      <c r="A233" s="2" t="n">
        <v>45982</v>
      </c>
      <c r="B233" t="inlineStr">
        <is>
          <t>P20127</t>
        </is>
      </c>
      <c r="C233" t="inlineStr">
        <is>
          <t>GICS_INDUSTRY_NAME</t>
        </is>
      </c>
      <c r="D233" t="inlineStr">
        <is>
          <t>Machinery</t>
        </is>
      </c>
      <c r="E233" t="inlineStr">
        <is>
          <t>Industrials</t>
        </is>
      </c>
      <c r="F233" t="inlineStr"/>
      <c r="G233" t="inlineStr"/>
      <c r="H233" t="inlineStr">
        <is>
          <t>1.52%</t>
        </is>
      </c>
      <c r="I233" t="inlineStr">
        <is>
          <t>0.00%</t>
        </is>
      </c>
    </row>
    <row r="234">
      <c r="A234" s="2" t="n">
        <v>45982</v>
      </c>
      <c r="B234" t="inlineStr">
        <is>
          <t>P20127</t>
        </is>
      </c>
      <c r="C234" t="inlineStr">
        <is>
          <t>GICS_INDUSTRY_GROUP_NAME</t>
        </is>
      </c>
      <c r="D234" t="inlineStr">
        <is>
          <t>Equity Real Estate Investment Trusts</t>
        </is>
      </c>
      <c r="E234" t="inlineStr">
        <is>
          <t>Real Estate</t>
        </is>
      </c>
      <c r="F234" t="inlineStr"/>
      <c r="G234" t="inlineStr"/>
      <c r="H234" t="inlineStr">
        <is>
          <t>1.47%</t>
        </is>
      </c>
      <c r="I234" t="inlineStr">
        <is>
          <t>0.00%</t>
        </is>
      </c>
    </row>
    <row r="235">
      <c r="A235" s="2" t="n">
        <v>45982</v>
      </c>
      <c r="B235" t="inlineStr">
        <is>
          <t>P20127</t>
        </is>
      </c>
      <c r="C235" t="inlineStr">
        <is>
          <t>GICS_INDUSTRY_NAME</t>
        </is>
      </c>
      <c r="D235" t="inlineStr">
        <is>
          <t>Specialized REITs</t>
        </is>
      </c>
      <c r="E235" t="inlineStr">
        <is>
          <t>Real Estate</t>
        </is>
      </c>
      <c r="F235" t="inlineStr"/>
      <c r="G235" t="inlineStr"/>
      <c r="H235" t="inlineStr">
        <is>
          <t>1.47%</t>
        </is>
      </c>
      <c r="I235" t="inlineStr">
        <is>
          <t>0.00%</t>
        </is>
      </c>
    </row>
    <row r="236">
      <c r="A236" s="2" t="n">
        <v>45982</v>
      </c>
      <c r="B236" t="inlineStr">
        <is>
          <t>P20127</t>
        </is>
      </c>
      <c r="C236" t="inlineStr">
        <is>
          <t>GICS_INDUSTRY_GROUP_NAME</t>
        </is>
      </c>
      <c r="D236" t="inlineStr">
        <is>
          <t>Transportation</t>
        </is>
      </c>
      <c r="E236" t="inlineStr">
        <is>
          <t>Industrials</t>
        </is>
      </c>
      <c r="F236" t="inlineStr"/>
      <c r="G236" t="inlineStr"/>
      <c r="H236" t="inlineStr">
        <is>
          <t>1.32%</t>
        </is>
      </c>
      <c r="I236" t="inlineStr">
        <is>
          <t>0.00%</t>
        </is>
      </c>
    </row>
    <row r="237">
      <c r="A237" s="2" t="n">
        <v>45982</v>
      </c>
      <c r="B237" t="inlineStr">
        <is>
          <t>P20127</t>
        </is>
      </c>
      <c r="C237" t="inlineStr">
        <is>
          <t>GICS_INDUSTRY_NAME</t>
        </is>
      </c>
      <c r="D237" t="inlineStr">
        <is>
          <t>Specialty Retail</t>
        </is>
      </c>
      <c r="E237" t="inlineStr">
        <is>
          <t>Consumer Discretionary</t>
        </is>
      </c>
      <c r="F237" t="inlineStr"/>
      <c r="G237" t="inlineStr"/>
      <c r="H237" t="inlineStr">
        <is>
          <t>1.27%</t>
        </is>
      </c>
      <c r="I237" t="inlineStr">
        <is>
          <t>0.00%</t>
        </is>
      </c>
    </row>
    <row r="238">
      <c r="A238" s="2" t="n">
        <v>45982</v>
      </c>
      <c r="B238" t="inlineStr">
        <is>
          <t>P20127</t>
        </is>
      </c>
      <c r="C238" t="inlineStr">
        <is>
          <t>GICS_INDUSTRY_NAME</t>
        </is>
      </c>
      <c r="D238" t="inlineStr">
        <is>
          <t>Beverages</t>
        </is>
      </c>
      <c r="E238" t="inlineStr">
        <is>
          <t>Consumer Staples</t>
        </is>
      </c>
      <c r="F238" t="inlineStr"/>
      <c r="G238" t="inlineStr"/>
      <c r="H238" t="inlineStr">
        <is>
          <t>1.23%</t>
        </is>
      </c>
      <c r="I238" t="inlineStr">
        <is>
          <t>0.00%</t>
        </is>
      </c>
    </row>
    <row r="239">
      <c r="A239" s="2" t="n">
        <v>45982</v>
      </c>
      <c r="B239" t="inlineStr">
        <is>
          <t>P20127</t>
        </is>
      </c>
      <c r="C239" t="inlineStr">
        <is>
          <t>GICS_INDUSTRY_NAME</t>
        </is>
      </c>
      <c r="D239" t="inlineStr">
        <is>
          <t>IT Services</t>
        </is>
      </c>
      <c r="E239" t="inlineStr">
        <is>
          <t>Information Technology</t>
        </is>
      </c>
      <c r="F239" t="inlineStr"/>
      <c r="G239" t="inlineStr"/>
      <c r="H239" t="inlineStr">
        <is>
          <t>1.21%</t>
        </is>
      </c>
      <c r="I239" t="inlineStr">
        <is>
          <t>0.00%</t>
        </is>
      </c>
    </row>
    <row r="240">
      <c r="A240" s="2" t="n">
        <v>45982</v>
      </c>
      <c r="B240" t="inlineStr">
        <is>
          <t>P20127</t>
        </is>
      </c>
      <c r="C240" t="inlineStr">
        <is>
          <t>GICS_INDUSTRY_NAME</t>
        </is>
      </c>
      <c r="D240" t="inlineStr">
        <is>
          <t>Entertainment</t>
        </is>
      </c>
      <c r="E240" t="inlineStr">
        <is>
          <t>Communication Services</t>
        </is>
      </c>
      <c r="F240" t="inlineStr"/>
      <c r="G240" t="inlineStr"/>
      <c r="H240" t="inlineStr">
        <is>
          <t>1.18%</t>
        </is>
      </c>
      <c r="I240" t="inlineStr">
        <is>
          <t>0.00%</t>
        </is>
      </c>
    </row>
    <row r="241">
      <c r="A241" s="2" t="n">
        <v>45982</v>
      </c>
      <c r="B241" t="inlineStr">
        <is>
          <t>P20127</t>
        </is>
      </c>
      <c r="C241" t="inlineStr">
        <is>
          <t>GICS_INDUSTRY_GROUP_NAME</t>
        </is>
      </c>
      <c r="D241" t="inlineStr">
        <is>
          <t>Commercial &amp; Professional Services</t>
        </is>
      </c>
      <c r="E241" t="inlineStr">
        <is>
          <t>Industrials</t>
        </is>
      </c>
      <c r="F241" t="inlineStr"/>
      <c r="G241" t="inlineStr"/>
      <c r="H241" t="inlineStr">
        <is>
          <t>1.10%</t>
        </is>
      </c>
      <c r="I241" t="inlineStr">
        <is>
          <t>0.00%</t>
        </is>
      </c>
    </row>
    <row r="242">
      <c r="A242" s="2" t="n">
        <v>45982</v>
      </c>
      <c r="B242" t="inlineStr">
        <is>
          <t>P20127</t>
        </is>
      </c>
      <c r="C242" t="inlineStr">
        <is>
          <t>GICS_INDUSTRY_NAME</t>
        </is>
      </c>
      <c r="D242" t="inlineStr">
        <is>
          <t>Commercial Services &amp; Supplies</t>
        </is>
      </c>
      <c r="E242" t="inlineStr">
        <is>
          <t>Industrials</t>
        </is>
      </c>
      <c r="F242" t="inlineStr"/>
      <c r="G242" t="inlineStr"/>
      <c r="H242" t="inlineStr">
        <is>
          <t>1.10%</t>
        </is>
      </c>
      <c r="I242" t="inlineStr">
        <is>
          <t>0.00%</t>
        </is>
      </c>
    </row>
    <row r="243">
      <c r="A243" s="2" t="n">
        <v>45982</v>
      </c>
      <c r="B243" t="inlineStr">
        <is>
          <t>P20127</t>
        </is>
      </c>
      <c r="C243" t="inlineStr">
        <is>
          <t>GICS_INDUSTRY_GROUP_NAME</t>
        </is>
      </c>
      <c r="D243" t="inlineStr">
        <is>
          <t>Household &amp; Personal Products</t>
        </is>
      </c>
      <c r="E243" t="inlineStr">
        <is>
          <t>Consumer Staples</t>
        </is>
      </c>
      <c r="F243" t="inlineStr"/>
      <c r="G243" t="inlineStr"/>
      <c r="H243" t="inlineStr">
        <is>
          <t>0.98%</t>
        </is>
      </c>
      <c r="I243" t="inlineStr">
        <is>
          <t>0.00%</t>
        </is>
      </c>
    </row>
    <row r="244">
      <c r="A244" s="2" t="n">
        <v>45982</v>
      </c>
      <c r="B244" t="inlineStr">
        <is>
          <t>P20127</t>
        </is>
      </c>
      <c r="C244" t="inlineStr">
        <is>
          <t>GICS_INDUSTRY_NAME</t>
        </is>
      </c>
      <c r="D244" t="inlineStr">
        <is>
          <t>Household Products</t>
        </is>
      </c>
      <c r="E244" t="inlineStr">
        <is>
          <t>Consumer Staples</t>
        </is>
      </c>
      <c r="F244" t="inlineStr"/>
      <c r="G244" t="inlineStr"/>
      <c r="H244" t="inlineStr">
        <is>
          <t>0.98%</t>
        </is>
      </c>
      <c r="I244" t="inlineStr">
        <is>
          <t>0.00%</t>
        </is>
      </c>
    </row>
    <row r="245">
      <c r="A245" s="2" t="n">
        <v>45982</v>
      </c>
      <c r="B245" t="inlineStr">
        <is>
          <t>P20127</t>
        </is>
      </c>
      <c r="C245" t="inlineStr">
        <is>
          <t>GICS_INDUSTRY_NAME</t>
        </is>
      </c>
      <c r="D245" t="inlineStr">
        <is>
          <t>Life Sciences Tools &amp; Services</t>
        </is>
      </c>
      <c r="E245" t="inlineStr">
        <is>
          <t>Health Care</t>
        </is>
      </c>
      <c r="F245" t="inlineStr"/>
      <c r="G245" t="inlineStr"/>
      <c r="H245" t="inlineStr">
        <is>
          <t>0.97%</t>
        </is>
      </c>
      <c r="I245" t="inlineStr">
        <is>
          <t>0.00%</t>
        </is>
      </c>
    </row>
    <row r="246">
      <c r="A246" s="2" t="n">
        <v>45982</v>
      </c>
      <c r="B246" t="inlineStr">
        <is>
          <t>P20127</t>
        </is>
      </c>
      <c r="C246" t="inlineStr">
        <is>
          <t>GICS_INDUSTRY_NAME</t>
        </is>
      </c>
      <c r="D246" t="inlineStr">
        <is>
          <t>Ground Transportation</t>
        </is>
      </c>
      <c r="E246" t="inlineStr">
        <is>
          <t>Industrials</t>
        </is>
      </c>
      <c r="F246" t="inlineStr"/>
      <c r="G246" t="inlineStr"/>
      <c r="H246" t="inlineStr">
        <is>
          <t>0.93%</t>
        </is>
      </c>
      <c r="I246" t="inlineStr">
        <is>
          <t>0.00%</t>
        </is>
      </c>
    </row>
    <row r="247">
      <c r="A247" s="2" t="n">
        <v>45982</v>
      </c>
      <c r="B247" t="inlineStr">
        <is>
          <t>P20127</t>
        </is>
      </c>
      <c r="C247" t="inlineStr">
        <is>
          <t>GICS_INDUSTRY_NAME</t>
        </is>
      </c>
      <c r="D247" t="inlineStr">
        <is>
          <t>Tobacco</t>
        </is>
      </c>
      <c r="E247" t="inlineStr">
        <is>
          <t>Consumer Staples</t>
        </is>
      </c>
      <c r="F247" t="inlineStr"/>
      <c r="G247" t="inlineStr"/>
      <c r="H247" t="inlineStr">
        <is>
          <t>0.87%</t>
        </is>
      </c>
      <c r="I247" t="inlineStr">
        <is>
          <t>0.00%</t>
        </is>
      </c>
    </row>
    <row r="248">
      <c r="A248" s="2" t="n">
        <v>45982</v>
      </c>
      <c r="B248" t="inlineStr">
        <is>
          <t>P20127</t>
        </is>
      </c>
      <c r="C248" t="inlineStr">
        <is>
          <t>GICS_INDUSTRY_GROUP_NAME</t>
        </is>
      </c>
      <c r="D248" t="inlineStr">
        <is>
          <t>Telecommunication Services</t>
        </is>
      </c>
      <c r="E248" t="inlineStr">
        <is>
          <t>Communication Services</t>
        </is>
      </c>
      <c r="F248" t="inlineStr"/>
      <c r="G248" t="inlineStr"/>
      <c r="H248" t="inlineStr">
        <is>
          <t>0.84%</t>
        </is>
      </c>
      <c r="I248" t="inlineStr">
        <is>
          <t>0.00%</t>
        </is>
      </c>
    </row>
    <row r="249">
      <c r="A249" s="2" t="n">
        <v>45982</v>
      </c>
      <c r="B249" t="inlineStr">
        <is>
          <t>P20127</t>
        </is>
      </c>
      <c r="C249" t="inlineStr">
        <is>
          <t>GICS_INDUSTRY_NAME</t>
        </is>
      </c>
      <c r="D249" t="inlineStr">
        <is>
          <t>Diversified Telecommunication Services</t>
        </is>
      </c>
      <c r="E249" t="inlineStr">
        <is>
          <t>Communication Services</t>
        </is>
      </c>
      <c r="F249" t="inlineStr"/>
      <c r="G249" t="inlineStr"/>
      <c r="H249" t="inlineStr">
        <is>
          <t>0.84%</t>
        </is>
      </c>
      <c r="I249" t="inlineStr">
        <is>
          <t>0.00%</t>
        </is>
      </c>
    </row>
    <row r="250">
      <c r="A250" s="2" t="n">
        <v>45982</v>
      </c>
      <c r="B250" t="inlineStr">
        <is>
          <t>P20127</t>
        </is>
      </c>
      <c r="C250" t="inlineStr">
        <is>
          <t>GICS_INDUSTRY_NAME</t>
        </is>
      </c>
      <c r="D250" t="inlineStr">
        <is>
          <t>Industrial Conglomerates</t>
        </is>
      </c>
      <c r="E250" t="inlineStr">
        <is>
          <t>Industrials</t>
        </is>
      </c>
      <c r="F250" t="inlineStr"/>
      <c r="G250" t="inlineStr"/>
      <c r="H250" t="inlineStr">
        <is>
          <t>0.84%</t>
        </is>
      </c>
      <c r="I250" t="inlineStr">
        <is>
          <t>0.00%</t>
        </is>
      </c>
    </row>
    <row r="251">
      <c r="A251" s="2" t="n">
        <v>45982</v>
      </c>
      <c r="B251" t="inlineStr">
        <is>
          <t>P20127</t>
        </is>
      </c>
      <c r="C251" t="inlineStr">
        <is>
          <t>GICS_INDUSTRY_NAME</t>
        </is>
      </c>
      <c r="D251" t="inlineStr">
        <is>
          <t>Electrical Equipment</t>
        </is>
      </c>
      <c r="E251" t="inlineStr">
        <is>
          <t>Industrials</t>
        </is>
      </c>
      <c r="F251" t="inlineStr"/>
      <c r="G251" t="inlineStr"/>
      <c r="H251" t="inlineStr">
        <is>
          <t>0.79%</t>
        </is>
      </c>
      <c r="I251" t="inlineStr">
        <is>
          <t>0.00%</t>
        </is>
      </c>
    </row>
    <row r="252">
      <c r="A252" s="2" t="n">
        <v>45982</v>
      </c>
      <c r="B252" t="inlineStr">
        <is>
          <t>P20127</t>
        </is>
      </c>
      <c r="C252" t="inlineStr">
        <is>
          <t>GICS_INDUSTRY_NAME</t>
        </is>
      </c>
      <c r="D252" t="inlineStr">
        <is>
          <t>Consumer Finance</t>
        </is>
      </c>
      <c r="E252" t="inlineStr">
        <is>
          <t>Financials</t>
        </is>
      </c>
      <c r="F252" t="inlineStr"/>
      <c r="G252" t="inlineStr"/>
      <c r="H252" t="inlineStr">
        <is>
          <t>0.62%</t>
        </is>
      </c>
      <c r="I252" t="inlineStr">
        <is>
          <t>0.00%</t>
        </is>
      </c>
    </row>
    <row r="253">
      <c r="A253" s="2" t="n">
        <v>45982</v>
      </c>
      <c r="B253" t="inlineStr">
        <is>
          <t>P20127</t>
        </is>
      </c>
      <c r="C253" t="inlineStr">
        <is>
          <t>GICS_INDUSTRY_GROUP_NAME</t>
        </is>
      </c>
      <c r="D253" t="inlineStr">
        <is>
          <t>Consumer Durables &amp; Apparel</t>
        </is>
      </c>
      <c r="E253" t="inlineStr">
        <is>
          <t>Consumer Discretionary</t>
        </is>
      </c>
      <c r="F253" t="inlineStr"/>
      <c r="G253" t="inlineStr"/>
      <c r="H253" t="inlineStr">
        <is>
          <t>0.53%</t>
        </is>
      </c>
      <c r="I253" t="inlineStr">
        <is>
          <t>0.00%</t>
        </is>
      </c>
    </row>
    <row r="254">
      <c r="A254" s="2" t="n">
        <v>45982</v>
      </c>
      <c r="B254" t="inlineStr">
        <is>
          <t>P20127</t>
        </is>
      </c>
      <c r="C254" t="inlineStr">
        <is>
          <t>GICS_INDUSTRY_NAME</t>
        </is>
      </c>
      <c r="D254" t="inlineStr">
        <is>
          <t>Textiles, Apparel &amp; Luxury Goods</t>
        </is>
      </c>
      <c r="E254" t="inlineStr">
        <is>
          <t>Consumer Discretionary</t>
        </is>
      </c>
      <c r="F254" t="inlineStr"/>
      <c r="G254" t="inlineStr"/>
      <c r="H254" t="inlineStr">
        <is>
          <t>0.53%</t>
        </is>
      </c>
      <c r="I254" t="inlineStr">
        <is>
          <t>0.00%</t>
        </is>
      </c>
    </row>
    <row r="255">
      <c r="A255" s="2" t="n">
        <v>45982</v>
      </c>
      <c r="B255" t="inlineStr">
        <is>
          <t>P20127</t>
        </is>
      </c>
      <c r="C255" t="inlineStr">
        <is>
          <t>GICS_INDUSTRY_NAME</t>
        </is>
      </c>
      <c r="D255" t="inlineStr">
        <is>
          <t>Air Freight &amp; Logistics</t>
        </is>
      </c>
      <c r="E255" t="inlineStr">
        <is>
          <t>Industrials</t>
        </is>
      </c>
      <c r="F255" t="inlineStr"/>
      <c r="G255" t="inlineStr"/>
      <c r="H255" t="inlineStr">
        <is>
          <t>0.39%</t>
        </is>
      </c>
      <c r="I255" t="inlineStr">
        <is>
          <t>0.00%</t>
        </is>
      </c>
    </row>
    <row r="256">
      <c r="A256" s="2" t="n">
        <v>45982</v>
      </c>
      <c r="B256" t="inlineStr">
        <is>
          <t>P20127</t>
        </is>
      </c>
      <c r="C256" t="inlineStr">
        <is>
          <t>GICS_INDUSTRY_NAME</t>
        </is>
      </c>
      <c r="D256" t="inlineStr">
        <is>
          <t>Media</t>
        </is>
      </c>
      <c r="E256" t="inlineStr">
        <is>
          <t>Communication Services</t>
        </is>
      </c>
      <c r="F256" t="inlineStr"/>
      <c r="G256" t="inlineStr"/>
      <c r="H256" t="inlineStr">
        <is>
          <t>0.19%</t>
        </is>
      </c>
      <c r="I256" t="inlineStr">
        <is>
          <t>0.00%</t>
        </is>
      </c>
    </row>
    <row r="257">
      <c r="A257" s="2" t="n">
        <v>45982</v>
      </c>
      <c r="B257" t="inlineStr">
        <is>
          <t>P20127</t>
        </is>
      </c>
      <c r="C257" t="inlineStr">
        <is>
          <t>GICS_INDUSTRY_NAME</t>
        </is>
      </c>
      <c r="D257" t="inlineStr">
        <is>
          <t>Food Products</t>
        </is>
      </c>
      <c r="E257" t="inlineStr">
        <is>
          <t>Consumer Staples</t>
        </is>
      </c>
      <c r="F257" t="inlineStr"/>
      <c r="G257" t="inlineStr"/>
      <c r="H257" t="inlineStr">
        <is>
          <t>0.19%</t>
        </is>
      </c>
      <c r="I257" t="inlineStr">
        <is>
          <t>0.00%</t>
        </is>
      </c>
    </row>
    <row r="258">
      <c r="A258" s="2" t="n">
        <v>45982</v>
      </c>
      <c r="B258" t="inlineStr">
        <is>
          <t>P21026</t>
        </is>
      </c>
      <c r="C258" t="inlineStr">
        <is>
          <t>GICS_INDUSTRY_GROUP_NAME</t>
        </is>
      </c>
      <c r="D258" t="inlineStr">
        <is>
          <t>Semiconductors &amp; Semiconductor Equipment</t>
        </is>
      </c>
      <c r="E258" t="inlineStr">
        <is>
          <t>Information Technology</t>
        </is>
      </c>
      <c r="F258" t="inlineStr"/>
      <c r="G258" t="inlineStr"/>
      <c r="H258" t="inlineStr">
        <is>
          <t>14.93%</t>
        </is>
      </c>
      <c r="I258" t="inlineStr">
        <is>
          <t>0.00%</t>
        </is>
      </c>
    </row>
    <row r="259">
      <c r="A259" s="2" t="n">
        <v>45982</v>
      </c>
      <c r="B259" t="inlineStr">
        <is>
          <t>P21026</t>
        </is>
      </c>
      <c r="C259" t="inlineStr">
        <is>
          <t>GICS_INDUSTRY_NAME</t>
        </is>
      </c>
      <c r="D259" t="inlineStr">
        <is>
          <t>Semiconductors &amp; Semiconductor Equipment</t>
        </is>
      </c>
      <c r="E259" t="inlineStr">
        <is>
          <t>Information Technology</t>
        </is>
      </c>
      <c r="F259" t="inlineStr"/>
      <c r="G259" t="inlineStr"/>
      <c r="H259" t="inlineStr">
        <is>
          <t>14.93%</t>
        </is>
      </c>
      <c r="I259" t="inlineStr">
        <is>
          <t>0.00%</t>
        </is>
      </c>
    </row>
    <row r="260">
      <c r="A260" s="2" t="n">
        <v>45982</v>
      </c>
      <c r="B260" t="inlineStr">
        <is>
          <t>P21026</t>
        </is>
      </c>
      <c r="C260" t="inlineStr">
        <is>
          <t>GICS_INDUSTRY_GROUP_NAME</t>
        </is>
      </c>
      <c r="D260" t="inlineStr">
        <is>
          <t>Technology Hardware &amp; Equipment</t>
        </is>
      </c>
      <c r="E260" t="inlineStr">
        <is>
          <t>Information Technology</t>
        </is>
      </c>
      <c r="F260" t="inlineStr"/>
      <c r="G260" t="inlineStr"/>
      <c r="H260" t="inlineStr">
        <is>
          <t>9.80%</t>
        </is>
      </c>
      <c r="I260" t="inlineStr">
        <is>
          <t>0.00%</t>
        </is>
      </c>
    </row>
    <row r="261">
      <c r="A261" s="2" t="n">
        <v>45982</v>
      </c>
      <c r="B261" t="inlineStr">
        <is>
          <t>P21026</t>
        </is>
      </c>
      <c r="C261" t="inlineStr">
        <is>
          <t>GICS_INDUSTRY_GROUP_NAME</t>
        </is>
      </c>
      <c r="D261" t="inlineStr">
        <is>
          <t>Software &amp; Services</t>
        </is>
      </c>
      <c r="E261" t="inlineStr">
        <is>
          <t>Information Technology</t>
        </is>
      </c>
      <c r="F261" t="inlineStr"/>
      <c r="G261" t="inlineStr"/>
      <c r="H261" t="inlineStr">
        <is>
          <t>9.74%</t>
        </is>
      </c>
      <c r="I261" t="inlineStr">
        <is>
          <t>0.00%</t>
        </is>
      </c>
    </row>
    <row r="262">
      <c r="A262" s="2" t="n">
        <v>45982</v>
      </c>
      <c r="B262" t="inlineStr">
        <is>
          <t>P21026</t>
        </is>
      </c>
      <c r="C262" t="inlineStr">
        <is>
          <t>GICS_INDUSTRY_GROUP_NAME</t>
        </is>
      </c>
      <c r="D262" t="inlineStr">
        <is>
          <t>Media &amp; Entertainment</t>
        </is>
      </c>
      <c r="E262" t="inlineStr">
        <is>
          <t>Communication Services</t>
        </is>
      </c>
      <c r="F262" t="inlineStr"/>
      <c r="G262" t="inlineStr"/>
      <c r="H262" t="inlineStr">
        <is>
          <t>9.70%</t>
        </is>
      </c>
      <c r="I262" t="inlineStr">
        <is>
          <t>0.00%</t>
        </is>
      </c>
    </row>
    <row r="263">
      <c r="A263" s="2" t="n">
        <v>45982</v>
      </c>
      <c r="B263" t="inlineStr">
        <is>
          <t>P21026</t>
        </is>
      </c>
      <c r="C263" t="inlineStr">
        <is>
          <t>GICS_INDUSTRY_NAME</t>
        </is>
      </c>
      <c r="D263" t="inlineStr">
        <is>
          <t>Software</t>
        </is>
      </c>
      <c r="E263" t="inlineStr">
        <is>
          <t>Information Technology</t>
        </is>
      </c>
      <c r="F263" t="inlineStr"/>
      <c r="G263" t="inlineStr"/>
      <c r="H263" t="inlineStr">
        <is>
          <t>8.53%</t>
        </is>
      </c>
      <c r="I263" t="inlineStr">
        <is>
          <t>0.00%</t>
        </is>
      </c>
    </row>
    <row r="264">
      <c r="A264" s="2" t="n">
        <v>45982</v>
      </c>
      <c r="B264" t="inlineStr">
        <is>
          <t>P21026</t>
        </is>
      </c>
      <c r="C264" t="inlineStr">
        <is>
          <t>GICS_INDUSTRY_NAME</t>
        </is>
      </c>
      <c r="D264" t="inlineStr">
        <is>
          <t>Interactive Media &amp; Services</t>
        </is>
      </c>
      <c r="E264" t="inlineStr">
        <is>
          <t>Communication Services</t>
        </is>
      </c>
      <c r="F264" t="inlineStr"/>
      <c r="G264" t="inlineStr"/>
      <c r="H264" t="inlineStr">
        <is>
          <t>8.32%</t>
        </is>
      </c>
      <c r="I264" t="inlineStr">
        <is>
          <t>0.00%</t>
        </is>
      </c>
    </row>
    <row r="265">
      <c r="A265" s="2" t="n">
        <v>45982</v>
      </c>
      <c r="B265" t="inlineStr">
        <is>
          <t>P21026</t>
        </is>
      </c>
      <c r="C265" t="inlineStr">
        <is>
          <t>GICS_INDUSTRY_NAME</t>
        </is>
      </c>
      <c r="D265" t="inlineStr">
        <is>
          <t>Technology Hardware, Storage &amp; Peripherals</t>
        </is>
      </c>
      <c r="E265" t="inlineStr">
        <is>
          <t>Information Technology</t>
        </is>
      </c>
      <c r="F265" t="inlineStr"/>
      <c r="G265" t="inlineStr"/>
      <c r="H265" t="inlineStr">
        <is>
          <t>7.62%</t>
        </is>
      </c>
      <c r="I265" t="inlineStr">
        <is>
          <t>0.00%</t>
        </is>
      </c>
    </row>
    <row r="266">
      <c r="A266" s="2" t="n">
        <v>45982</v>
      </c>
      <c r="B266" t="inlineStr">
        <is>
          <t>P21026</t>
        </is>
      </c>
      <c r="C266" t="inlineStr">
        <is>
          <t>GICS_INDUSTRY_GROUP_NAME</t>
        </is>
      </c>
      <c r="D266" t="inlineStr">
        <is>
          <t>Financial Services</t>
        </is>
      </c>
      <c r="E266" t="inlineStr">
        <is>
          <t>Financials</t>
        </is>
      </c>
      <c r="F266" t="inlineStr"/>
      <c r="G266" t="inlineStr"/>
      <c r="H266" t="inlineStr">
        <is>
          <t>6.64%</t>
        </is>
      </c>
      <c r="I266" t="inlineStr">
        <is>
          <t>0.00%</t>
        </is>
      </c>
    </row>
    <row r="267">
      <c r="A267" s="2" t="n">
        <v>45982</v>
      </c>
      <c r="B267" t="inlineStr">
        <is>
          <t>P21026</t>
        </is>
      </c>
      <c r="C267" t="inlineStr">
        <is>
          <t>GICS_INDUSTRY_GROUP_NAME</t>
        </is>
      </c>
      <c r="D267" t="inlineStr">
        <is>
          <t>Capital Goods</t>
        </is>
      </c>
      <c r="E267" t="inlineStr">
        <is>
          <t>Industrials</t>
        </is>
      </c>
      <c r="F267" t="inlineStr"/>
      <c r="G267" t="inlineStr"/>
      <c r="H267" t="inlineStr">
        <is>
          <t>6.16%</t>
        </is>
      </c>
      <c r="I267" t="inlineStr">
        <is>
          <t>0.00%</t>
        </is>
      </c>
    </row>
    <row r="268">
      <c r="A268" s="2" t="n">
        <v>45982</v>
      </c>
      <c r="B268" t="inlineStr">
        <is>
          <t>P21026</t>
        </is>
      </c>
      <c r="C268" t="inlineStr">
        <is>
          <t>GICS_INDUSTRY_GROUP_NAME</t>
        </is>
      </c>
      <c r="D268" t="inlineStr">
        <is>
          <t>Pharmaceuticals, Biotechnology &amp; Life Sciences</t>
        </is>
      </c>
      <c r="E268" t="inlineStr">
        <is>
          <t>Health Care</t>
        </is>
      </c>
      <c r="F268" t="inlineStr"/>
      <c r="G268" t="inlineStr"/>
      <c r="H268" t="inlineStr">
        <is>
          <t>5.57%</t>
        </is>
      </c>
      <c r="I268" t="inlineStr">
        <is>
          <t>0.00%</t>
        </is>
      </c>
    </row>
    <row r="269">
      <c r="A269" s="2" t="n">
        <v>45982</v>
      </c>
      <c r="B269" t="inlineStr">
        <is>
          <t>P21026</t>
        </is>
      </c>
      <c r="C269" t="inlineStr">
        <is>
          <t>GICS_INDUSTRY_GROUP_NAME</t>
        </is>
      </c>
      <c r="D269" t="inlineStr">
        <is>
          <t>Consumer Discretionary Distribution &amp; Retail</t>
        </is>
      </c>
      <c r="E269" t="inlineStr">
        <is>
          <t>Consumer Discretionary</t>
        </is>
      </c>
      <c r="F269" t="inlineStr"/>
      <c r="G269" t="inlineStr"/>
      <c r="H269" t="inlineStr">
        <is>
          <t>5.33%</t>
        </is>
      </c>
      <c r="I269" t="inlineStr">
        <is>
          <t>0.00%</t>
        </is>
      </c>
    </row>
    <row r="270">
      <c r="A270" s="2" t="n">
        <v>45982</v>
      </c>
      <c r="B270" t="inlineStr">
        <is>
          <t>P21026</t>
        </is>
      </c>
      <c r="C270" t="inlineStr">
        <is>
          <t>GICS_INDUSTRY_GROUP_NAME</t>
        </is>
      </c>
      <c r="D270" t="inlineStr">
        <is>
          <t>Banks</t>
        </is>
      </c>
      <c r="E270" t="inlineStr">
        <is>
          <t>Financials</t>
        </is>
      </c>
      <c r="F270" t="inlineStr"/>
      <c r="G270" t="inlineStr"/>
      <c r="H270" t="inlineStr">
        <is>
          <t>4.47%</t>
        </is>
      </c>
      <c r="I270" t="inlineStr">
        <is>
          <t>0.00%</t>
        </is>
      </c>
    </row>
    <row r="271">
      <c r="A271" s="2" t="n">
        <v>45982</v>
      </c>
      <c r="B271" t="inlineStr">
        <is>
          <t>P21026</t>
        </is>
      </c>
      <c r="C271" t="inlineStr">
        <is>
          <t>GICS_INDUSTRY_NAME</t>
        </is>
      </c>
      <c r="D271" t="inlineStr">
        <is>
          <t>Banks</t>
        </is>
      </c>
      <c r="E271" t="inlineStr">
        <is>
          <t>Financials</t>
        </is>
      </c>
      <c r="F271" t="inlineStr"/>
      <c r="G271" t="inlineStr"/>
      <c r="H271" t="inlineStr">
        <is>
          <t>4.47%</t>
        </is>
      </c>
      <c r="I271" t="inlineStr">
        <is>
          <t>0.00%</t>
        </is>
      </c>
    </row>
    <row r="272">
      <c r="A272" s="2" t="n">
        <v>45982</v>
      </c>
      <c r="B272" t="inlineStr">
        <is>
          <t>P21026</t>
        </is>
      </c>
      <c r="C272" t="inlineStr">
        <is>
          <t>GICS_INDUSTRY_GROUP_NAME</t>
        </is>
      </c>
      <c r="D272" t="inlineStr">
        <is>
          <t>Health Care Equipment &amp; Services</t>
        </is>
      </c>
      <c r="E272" t="inlineStr">
        <is>
          <t>Health Care</t>
        </is>
      </c>
      <c r="F272" t="inlineStr"/>
      <c r="G272" t="inlineStr"/>
      <c r="H272" t="inlineStr">
        <is>
          <t>4.28%</t>
        </is>
      </c>
      <c r="I272" t="inlineStr">
        <is>
          <t>0.00%</t>
        </is>
      </c>
    </row>
    <row r="273">
      <c r="A273" s="2" t="n">
        <v>45982</v>
      </c>
      <c r="B273" t="inlineStr">
        <is>
          <t>P21026</t>
        </is>
      </c>
      <c r="C273" t="inlineStr">
        <is>
          <t>GICS_INDUSTRY_NAME</t>
        </is>
      </c>
      <c r="D273" t="inlineStr">
        <is>
          <t>Broadline Retail</t>
        </is>
      </c>
      <c r="E273" t="inlineStr">
        <is>
          <t>Consumer Discretionary</t>
        </is>
      </c>
      <c r="F273" t="inlineStr"/>
      <c r="G273" t="inlineStr"/>
      <c r="H273" t="inlineStr">
        <is>
          <t>4.06%</t>
        </is>
      </c>
      <c r="I273" t="inlineStr">
        <is>
          <t>0.00%</t>
        </is>
      </c>
    </row>
    <row r="274">
      <c r="A274" s="2" t="n">
        <v>45982</v>
      </c>
      <c r="B274" t="inlineStr">
        <is>
          <t>P21026</t>
        </is>
      </c>
      <c r="C274" t="inlineStr">
        <is>
          <t>GICS_INDUSTRY_NAME</t>
        </is>
      </c>
      <c r="D274" t="inlineStr">
        <is>
          <t>Financial Services</t>
        </is>
      </c>
      <c r="E274" t="inlineStr">
        <is>
          <t>Financials</t>
        </is>
      </c>
      <c r="F274" t="inlineStr"/>
      <c r="G274" t="inlineStr"/>
      <c r="H274" t="inlineStr">
        <is>
          <t>3.34%</t>
        </is>
      </c>
      <c r="I274" t="inlineStr">
        <is>
          <t>0.00%</t>
        </is>
      </c>
    </row>
    <row r="275">
      <c r="A275" s="2" t="n">
        <v>45982</v>
      </c>
      <c r="B275" t="inlineStr">
        <is>
          <t>P21026</t>
        </is>
      </c>
      <c r="C275" t="inlineStr">
        <is>
          <t>GICS_INDUSTRY_NAME</t>
        </is>
      </c>
      <c r="D275" t="inlineStr">
        <is>
          <t>Aerospace &amp; Defense</t>
        </is>
      </c>
      <c r="E275" t="inlineStr">
        <is>
          <t>Industrials</t>
        </is>
      </c>
      <c r="F275" t="inlineStr"/>
      <c r="G275" t="inlineStr"/>
      <c r="H275" t="inlineStr">
        <is>
          <t>3.00%</t>
        </is>
      </c>
      <c r="I275" t="inlineStr">
        <is>
          <t>0.00%</t>
        </is>
      </c>
    </row>
    <row r="276">
      <c r="A276" s="2" t="n">
        <v>45982</v>
      </c>
      <c r="B276" t="inlineStr">
        <is>
          <t>P21026</t>
        </is>
      </c>
      <c r="C276" t="inlineStr">
        <is>
          <t>GICS_INDUSTRY_GROUP_NAME</t>
        </is>
      </c>
      <c r="D276" t="inlineStr">
        <is>
          <t>Energy</t>
        </is>
      </c>
      <c r="E276" t="inlineStr">
        <is>
          <t>Energy</t>
        </is>
      </c>
      <c r="F276" t="inlineStr"/>
      <c r="G276" t="inlineStr"/>
      <c r="H276" t="inlineStr">
        <is>
          <t>2.88%</t>
        </is>
      </c>
      <c r="I276" t="inlineStr">
        <is>
          <t>0.00%</t>
        </is>
      </c>
    </row>
    <row r="277">
      <c r="A277" s="2" t="n">
        <v>45982</v>
      </c>
      <c r="B277" t="inlineStr">
        <is>
          <t>P21026</t>
        </is>
      </c>
      <c r="C277" t="inlineStr">
        <is>
          <t>GICS_INDUSTRY_NAME</t>
        </is>
      </c>
      <c r="D277" t="inlineStr">
        <is>
          <t>Oil, Gas &amp; Consumable Fuels</t>
        </is>
      </c>
      <c r="E277" t="inlineStr">
        <is>
          <t>Energy</t>
        </is>
      </c>
      <c r="F277" t="inlineStr"/>
      <c r="G277" t="inlineStr"/>
      <c r="H277" t="inlineStr">
        <is>
          <t>2.88%</t>
        </is>
      </c>
      <c r="I277" t="inlineStr">
        <is>
          <t>0.00%</t>
        </is>
      </c>
    </row>
    <row r="278">
      <c r="A278" s="2" t="n">
        <v>45982</v>
      </c>
      <c r="B278" t="inlineStr">
        <is>
          <t>P21026</t>
        </is>
      </c>
      <c r="C278" t="inlineStr">
        <is>
          <t>GICS_INDUSTRY_NAME</t>
        </is>
      </c>
      <c r="D278" t="inlineStr">
        <is>
          <t>Capital Markets</t>
        </is>
      </c>
      <c r="E278" t="inlineStr">
        <is>
          <t>Financials</t>
        </is>
      </c>
      <c r="F278" t="inlineStr"/>
      <c r="G278" t="inlineStr"/>
      <c r="H278" t="inlineStr">
        <is>
          <t>2.68%</t>
        </is>
      </c>
      <c r="I278" t="inlineStr">
        <is>
          <t>0.00%</t>
        </is>
      </c>
    </row>
    <row r="279">
      <c r="A279" s="2" t="n">
        <v>45982</v>
      </c>
      <c r="B279" t="inlineStr">
        <is>
          <t>P21026</t>
        </is>
      </c>
      <c r="C279" t="inlineStr">
        <is>
          <t>GICS_INDUSTRY_NAME</t>
        </is>
      </c>
      <c r="D279" t="inlineStr">
        <is>
          <t>Pharmaceuticals</t>
        </is>
      </c>
      <c r="E279" t="inlineStr">
        <is>
          <t>Health Care</t>
        </is>
      </c>
      <c r="F279" t="inlineStr"/>
      <c r="G279" t="inlineStr"/>
      <c r="H279" t="inlineStr">
        <is>
          <t>2.58%</t>
        </is>
      </c>
      <c r="I279" t="inlineStr">
        <is>
          <t>0.00%</t>
        </is>
      </c>
    </row>
    <row r="280">
      <c r="A280" s="2" t="n">
        <v>45982</v>
      </c>
      <c r="B280" t="inlineStr">
        <is>
          <t>P21026</t>
        </is>
      </c>
      <c r="C280" t="inlineStr">
        <is>
          <t>GICS_INDUSTRY_NAME</t>
        </is>
      </c>
      <c r="D280" t="inlineStr">
        <is>
          <t>Health Care Equipment &amp; Supplies</t>
        </is>
      </c>
      <c r="E280" t="inlineStr">
        <is>
          <t>Health Care</t>
        </is>
      </c>
      <c r="F280" t="inlineStr"/>
      <c r="G280" t="inlineStr"/>
      <c r="H280" t="inlineStr">
        <is>
          <t>2.32%</t>
        </is>
      </c>
      <c r="I280" t="inlineStr">
        <is>
          <t>0.00%</t>
        </is>
      </c>
    </row>
    <row r="281">
      <c r="A281" s="2" t="n">
        <v>45982</v>
      </c>
      <c r="B281" t="inlineStr">
        <is>
          <t>P21026</t>
        </is>
      </c>
      <c r="C281" t="inlineStr">
        <is>
          <t>GICS_INDUSTRY_GROUP_NAME</t>
        </is>
      </c>
      <c r="D281" t="inlineStr">
        <is>
          <t>Insurance</t>
        </is>
      </c>
      <c r="E281" t="inlineStr">
        <is>
          <t>Financials</t>
        </is>
      </c>
      <c r="F281" t="inlineStr"/>
      <c r="G281" t="inlineStr"/>
      <c r="H281" t="inlineStr">
        <is>
          <t>2.31%</t>
        </is>
      </c>
      <c r="I281" t="inlineStr">
        <is>
          <t>0.00%</t>
        </is>
      </c>
    </row>
    <row r="282">
      <c r="A282" s="2" t="n">
        <v>45982</v>
      </c>
      <c r="B282" t="inlineStr">
        <is>
          <t>P21026</t>
        </is>
      </c>
      <c r="C282" t="inlineStr">
        <is>
          <t>GICS_INDUSTRY_NAME</t>
        </is>
      </c>
      <c r="D282" t="inlineStr">
        <is>
          <t>Insurance</t>
        </is>
      </c>
      <c r="E282" t="inlineStr">
        <is>
          <t>Financials</t>
        </is>
      </c>
      <c r="F282" t="inlineStr"/>
      <c r="G282" t="inlineStr"/>
      <c r="H282" t="inlineStr">
        <is>
          <t>2.31%</t>
        </is>
      </c>
      <c r="I282" t="inlineStr">
        <is>
          <t>0.00%</t>
        </is>
      </c>
    </row>
    <row r="283">
      <c r="A283" s="2" t="n">
        <v>45982</v>
      </c>
      <c r="B283" t="inlineStr">
        <is>
          <t>P21026</t>
        </is>
      </c>
      <c r="C283" t="inlineStr">
        <is>
          <t>GICS_INDUSTRY_GROUP_NAME</t>
        </is>
      </c>
      <c r="D283" t="inlineStr">
        <is>
          <t>Utilities</t>
        </is>
      </c>
      <c r="E283" t="inlineStr">
        <is>
          <t>Utilities</t>
        </is>
      </c>
      <c r="F283" t="inlineStr"/>
      <c r="G283" t="inlineStr"/>
      <c r="H283" t="inlineStr">
        <is>
          <t>2.30%</t>
        </is>
      </c>
      <c r="I283" t="inlineStr">
        <is>
          <t>0.00%</t>
        </is>
      </c>
    </row>
    <row r="284">
      <c r="A284" s="2" t="n">
        <v>45982</v>
      </c>
      <c r="B284" t="inlineStr">
        <is>
          <t>P21026</t>
        </is>
      </c>
      <c r="C284" t="inlineStr">
        <is>
          <t>GICS_INDUSTRY_NAME</t>
        </is>
      </c>
      <c r="D284" t="inlineStr">
        <is>
          <t>Electric Utilities</t>
        </is>
      </c>
      <c r="E284" t="inlineStr">
        <is>
          <t>Utilities</t>
        </is>
      </c>
      <c r="F284" t="inlineStr"/>
      <c r="G284" t="inlineStr"/>
      <c r="H284" t="inlineStr">
        <is>
          <t>2.30%</t>
        </is>
      </c>
      <c r="I284" t="inlineStr">
        <is>
          <t>0.00%</t>
        </is>
      </c>
    </row>
    <row r="285">
      <c r="A285" s="2" t="n">
        <v>45982</v>
      </c>
      <c r="B285" t="inlineStr">
        <is>
          <t>P21026</t>
        </is>
      </c>
      <c r="C285" t="inlineStr">
        <is>
          <t>GICS_INDUSTRY_GROUP_NAME</t>
        </is>
      </c>
      <c r="D285" t="inlineStr">
        <is>
          <t>Food, Beverage &amp; Tobacco</t>
        </is>
      </c>
      <c r="E285" t="inlineStr">
        <is>
          <t>Consumer Staples</t>
        </is>
      </c>
      <c r="F285" t="inlineStr"/>
      <c r="G285" t="inlineStr"/>
      <c r="H285" t="inlineStr">
        <is>
          <t>2.29%</t>
        </is>
      </c>
      <c r="I285" t="inlineStr">
        <is>
          <t>0.00%</t>
        </is>
      </c>
    </row>
    <row r="286">
      <c r="A286" s="2" t="n">
        <v>45982</v>
      </c>
      <c r="B286" t="inlineStr">
        <is>
          <t>P21026</t>
        </is>
      </c>
      <c r="C286" t="inlineStr">
        <is>
          <t>GICS_INDUSTRY_NAME</t>
        </is>
      </c>
      <c r="D286" t="inlineStr">
        <is>
          <t>Communications Equipment</t>
        </is>
      </c>
      <c r="E286" t="inlineStr">
        <is>
          <t>Information Technology</t>
        </is>
      </c>
      <c r="F286" t="inlineStr"/>
      <c r="G286" t="inlineStr"/>
      <c r="H286" t="inlineStr">
        <is>
          <t>2.19%</t>
        </is>
      </c>
      <c r="I286" t="inlineStr">
        <is>
          <t>0.00%</t>
        </is>
      </c>
    </row>
    <row r="287">
      <c r="A287" s="2" t="n">
        <v>45982</v>
      </c>
      <c r="B287" t="inlineStr">
        <is>
          <t>P21026</t>
        </is>
      </c>
      <c r="C287" t="inlineStr">
        <is>
          <t>GICS_INDUSTRY_GROUP_NAME</t>
        </is>
      </c>
      <c r="D287" t="inlineStr">
        <is>
          <t>Automobiles &amp; Components</t>
        </is>
      </c>
      <c r="E287" t="inlineStr">
        <is>
          <t>Consumer Discretionary</t>
        </is>
      </c>
      <c r="F287" t="inlineStr"/>
      <c r="G287" t="inlineStr"/>
      <c r="H287" t="inlineStr">
        <is>
          <t>2.15%</t>
        </is>
      </c>
      <c r="I287" t="inlineStr">
        <is>
          <t>0.00%</t>
        </is>
      </c>
    </row>
    <row r="288">
      <c r="A288" s="2" t="n">
        <v>45982</v>
      </c>
      <c r="B288" t="inlineStr">
        <is>
          <t>P21026</t>
        </is>
      </c>
      <c r="C288" t="inlineStr">
        <is>
          <t>GICS_INDUSTRY_NAME</t>
        </is>
      </c>
      <c r="D288" t="inlineStr">
        <is>
          <t>Automobiles</t>
        </is>
      </c>
      <c r="E288" t="inlineStr">
        <is>
          <t>Consumer Discretionary</t>
        </is>
      </c>
      <c r="F288" t="inlineStr"/>
      <c r="G288" t="inlineStr"/>
      <c r="H288" t="inlineStr">
        <is>
          <t>2.15%</t>
        </is>
      </c>
      <c r="I288" t="inlineStr">
        <is>
          <t>0.00%</t>
        </is>
      </c>
    </row>
    <row r="289">
      <c r="A289" s="2" t="n">
        <v>45982</v>
      </c>
      <c r="B289" t="inlineStr">
        <is>
          <t>P21026</t>
        </is>
      </c>
      <c r="C289" t="inlineStr">
        <is>
          <t>GICS_INDUSTRY_NAME</t>
        </is>
      </c>
      <c r="D289" t="inlineStr">
        <is>
          <t>Biotechnology</t>
        </is>
      </c>
      <c r="E289" t="inlineStr">
        <is>
          <t>Health Care</t>
        </is>
      </c>
      <c r="F289" t="inlineStr"/>
      <c r="G289" t="inlineStr"/>
      <c r="H289" t="inlineStr">
        <is>
          <t>2.01%</t>
        </is>
      </c>
      <c r="I289" t="inlineStr">
        <is>
          <t>0.00%</t>
        </is>
      </c>
    </row>
    <row r="290">
      <c r="A290" s="2" t="n">
        <v>45982</v>
      </c>
      <c r="B290" t="inlineStr">
        <is>
          <t>P21026</t>
        </is>
      </c>
      <c r="C290" t="inlineStr">
        <is>
          <t>GICS_INDUSTRY_NAME</t>
        </is>
      </c>
      <c r="D290" t="inlineStr">
        <is>
          <t>Health Care Providers &amp; Services</t>
        </is>
      </c>
      <c r="E290" t="inlineStr">
        <is>
          <t>Health Care</t>
        </is>
      </c>
      <c r="F290" t="inlineStr"/>
      <c r="G290" t="inlineStr"/>
      <c r="H290" t="inlineStr">
        <is>
          <t>1.96%</t>
        </is>
      </c>
      <c r="I290" t="inlineStr">
        <is>
          <t>0.00%</t>
        </is>
      </c>
    </row>
    <row r="291">
      <c r="A291" s="2" t="n">
        <v>45982</v>
      </c>
      <c r="B291" t="inlineStr">
        <is>
          <t>P21026</t>
        </is>
      </c>
      <c r="C291" t="inlineStr">
        <is>
          <t>GICS_INDUSTRY_GROUP_NAME</t>
        </is>
      </c>
      <c r="D291" t="inlineStr">
        <is>
          <t>Consumer Staples Distribution &amp; Retail</t>
        </is>
      </c>
      <c r="E291" t="inlineStr">
        <is>
          <t>Consumer Staples</t>
        </is>
      </c>
      <c r="F291" t="inlineStr"/>
      <c r="G291" t="inlineStr"/>
      <c r="H291" t="inlineStr">
        <is>
          <t>1.79%</t>
        </is>
      </c>
      <c r="I291" t="inlineStr">
        <is>
          <t>0.00%</t>
        </is>
      </c>
    </row>
    <row r="292">
      <c r="A292" s="2" t="n">
        <v>45982</v>
      </c>
      <c r="B292" t="inlineStr">
        <is>
          <t>P21026</t>
        </is>
      </c>
      <c r="C292" t="inlineStr">
        <is>
          <t>GICS_INDUSTRY_NAME</t>
        </is>
      </c>
      <c r="D292" t="inlineStr">
        <is>
          <t>Consumer Staples Distribution &amp; Retail</t>
        </is>
      </c>
      <c r="E292" t="inlineStr">
        <is>
          <t>Consumer Staples</t>
        </is>
      </c>
      <c r="F292" t="inlineStr"/>
      <c r="G292" t="inlineStr"/>
      <c r="H292" t="inlineStr">
        <is>
          <t>1.79%</t>
        </is>
      </c>
      <c r="I292" t="inlineStr">
        <is>
          <t>0.00%</t>
        </is>
      </c>
    </row>
    <row r="293">
      <c r="A293" s="2" t="n">
        <v>45982</v>
      </c>
      <c r="B293" t="inlineStr">
        <is>
          <t>P21026</t>
        </is>
      </c>
      <c r="C293" t="inlineStr">
        <is>
          <t>GICS_INDUSTRY_GROUP_NAME</t>
        </is>
      </c>
      <c r="D293" t="inlineStr">
        <is>
          <t>Consumer Services</t>
        </is>
      </c>
      <c r="E293" t="inlineStr">
        <is>
          <t>Consumer Discretionary</t>
        </is>
      </c>
      <c r="F293" t="inlineStr"/>
      <c r="G293" t="inlineStr"/>
      <c r="H293" t="inlineStr">
        <is>
          <t>1.71%</t>
        </is>
      </c>
      <c r="I293" t="inlineStr">
        <is>
          <t>0.00%</t>
        </is>
      </c>
    </row>
    <row r="294">
      <c r="A294" s="2" t="n">
        <v>45982</v>
      </c>
      <c r="B294" t="inlineStr">
        <is>
          <t>P21026</t>
        </is>
      </c>
      <c r="C294" t="inlineStr">
        <is>
          <t>GICS_INDUSTRY_NAME</t>
        </is>
      </c>
      <c r="D294" t="inlineStr">
        <is>
          <t>Hotels, Restaurants &amp; Leisure</t>
        </is>
      </c>
      <c r="E294" t="inlineStr">
        <is>
          <t>Consumer Discretionary</t>
        </is>
      </c>
      <c r="F294" t="inlineStr"/>
      <c r="G294" t="inlineStr"/>
      <c r="H294" t="inlineStr">
        <is>
          <t>1.71%</t>
        </is>
      </c>
      <c r="I294" t="inlineStr">
        <is>
          <t>0.00%</t>
        </is>
      </c>
    </row>
    <row r="295">
      <c r="A295" s="2" t="n">
        <v>45982</v>
      </c>
      <c r="B295" t="inlineStr">
        <is>
          <t>P21026</t>
        </is>
      </c>
      <c r="C295" t="inlineStr">
        <is>
          <t>GICS_INDUSTRY_GROUP_NAME</t>
        </is>
      </c>
      <c r="D295" t="inlineStr">
        <is>
          <t>Materials</t>
        </is>
      </c>
      <c r="E295" t="inlineStr">
        <is>
          <t>Materials</t>
        </is>
      </c>
      <c r="F295" t="inlineStr"/>
      <c r="G295" t="inlineStr"/>
      <c r="H295" t="inlineStr">
        <is>
          <t>1.70%</t>
        </is>
      </c>
      <c r="I295" t="inlineStr">
        <is>
          <t>0.00%</t>
        </is>
      </c>
    </row>
    <row r="296">
      <c r="A296" s="2" t="n">
        <v>45982</v>
      </c>
      <c r="B296" t="inlineStr">
        <is>
          <t>P21026</t>
        </is>
      </c>
      <c r="C296" t="inlineStr">
        <is>
          <t>GICS_INDUSTRY_NAME</t>
        </is>
      </c>
      <c r="D296" t="inlineStr">
        <is>
          <t>Chemicals</t>
        </is>
      </c>
      <c r="E296" t="inlineStr">
        <is>
          <t>Materials</t>
        </is>
      </c>
      <c r="F296" t="inlineStr"/>
      <c r="G296" t="inlineStr"/>
      <c r="H296" t="inlineStr">
        <is>
          <t>1.70%</t>
        </is>
      </c>
      <c r="I296" t="inlineStr">
        <is>
          <t>0.00%</t>
        </is>
      </c>
    </row>
    <row r="297">
      <c r="A297" s="2" t="n">
        <v>45982</v>
      </c>
      <c r="B297" t="inlineStr">
        <is>
          <t>P21026</t>
        </is>
      </c>
      <c r="C297" t="inlineStr">
        <is>
          <t>GICS_INDUSTRY_NAME</t>
        </is>
      </c>
      <c r="D297" t="inlineStr">
        <is>
          <t>Machinery</t>
        </is>
      </c>
      <c r="E297" t="inlineStr">
        <is>
          <t>Industrials</t>
        </is>
      </c>
      <c r="F297" t="inlineStr"/>
      <c r="G297" t="inlineStr"/>
      <c r="H297" t="inlineStr">
        <is>
          <t>1.52%</t>
        </is>
      </c>
      <c r="I297" t="inlineStr">
        <is>
          <t>0.00%</t>
        </is>
      </c>
    </row>
    <row r="298">
      <c r="A298" s="2" t="n">
        <v>45982</v>
      </c>
      <c r="B298" t="inlineStr">
        <is>
          <t>P21026</t>
        </is>
      </c>
      <c r="C298" t="inlineStr">
        <is>
          <t>GICS_INDUSTRY_GROUP_NAME</t>
        </is>
      </c>
      <c r="D298" t="inlineStr">
        <is>
          <t>Equity Real Estate Investment Trusts</t>
        </is>
      </c>
      <c r="E298" t="inlineStr">
        <is>
          <t>Real Estate</t>
        </is>
      </c>
      <c r="F298" t="inlineStr"/>
      <c r="G298" t="inlineStr"/>
      <c r="H298" t="inlineStr">
        <is>
          <t>1.47%</t>
        </is>
      </c>
      <c r="I298" t="inlineStr">
        <is>
          <t>0.00%</t>
        </is>
      </c>
    </row>
    <row r="299">
      <c r="A299" s="2" t="n">
        <v>45982</v>
      </c>
      <c r="B299" t="inlineStr">
        <is>
          <t>P21026</t>
        </is>
      </c>
      <c r="C299" t="inlineStr">
        <is>
          <t>GICS_INDUSTRY_NAME</t>
        </is>
      </c>
      <c r="D299" t="inlineStr">
        <is>
          <t>Specialized REITs</t>
        </is>
      </c>
      <c r="E299" t="inlineStr">
        <is>
          <t>Real Estate</t>
        </is>
      </c>
      <c r="F299" t="inlineStr"/>
      <c r="G299" t="inlineStr"/>
      <c r="H299" t="inlineStr">
        <is>
          <t>1.47%</t>
        </is>
      </c>
      <c r="I299" t="inlineStr">
        <is>
          <t>0.00%</t>
        </is>
      </c>
    </row>
    <row r="300">
      <c r="A300" s="2" t="n">
        <v>45982</v>
      </c>
      <c r="B300" t="inlineStr">
        <is>
          <t>P21026</t>
        </is>
      </c>
      <c r="C300" t="inlineStr">
        <is>
          <t>GICS_INDUSTRY_GROUP_NAME</t>
        </is>
      </c>
      <c r="D300" t="inlineStr">
        <is>
          <t>Transportation</t>
        </is>
      </c>
      <c r="E300" t="inlineStr">
        <is>
          <t>Industrials</t>
        </is>
      </c>
      <c r="F300" t="inlineStr"/>
      <c r="G300" t="inlineStr"/>
      <c r="H300" t="inlineStr">
        <is>
          <t>1.32%</t>
        </is>
      </c>
      <c r="I300" t="inlineStr">
        <is>
          <t>0.00%</t>
        </is>
      </c>
    </row>
    <row r="301">
      <c r="A301" s="2" t="n">
        <v>45982</v>
      </c>
      <c r="B301" t="inlineStr">
        <is>
          <t>P21026</t>
        </is>
      </c>
      <c r="C301" t="inlineStr">
        <is>
          <t>GICS_INDUSTRY_NAME</t>
        </is>
      </c>
      <c r="D301" t="inlineStr">
        <is>
          <t>Specialty Retail</t>
        </is>
      </c>
      <c r="E301" t="inlineStr">
        <is>
          <t>Consumer Discretionary</t>
        </is>
      </c>
      <c r="F301" t="inlineStr"/>
      <c r="G301" t="inlineStr"/>
      <c r="H301" t="inlineStr">
        <is>
          <t>1.27%</t>
        </is>
      </c>
      <c r="I301" t="inlineStr">
        <is>
          <t>0.00%</t>
        </is>
      </c>
    </row>
    <row r="302">
      <c r="A302" s="2" t="n">
        <v>45982</v>
      </c>
      <c r="B302" t="inlineStr">
        <is>
          <t>P21026</t>
        </is>
      </c>
      <c r="C302" t="inlineStr">
        <is>
          <t>GICS_INDUSTRY_NAME</t>
        </is>
      </c>
      <c r="D302" t="inlineStr">
        <is>
          <t>Beverages</t>
        </is>
      </c>
      <c r="E302" t="inlineStr">
        <is>
          <t>Consumer Staples</t>
        </is>
      </c>
      <c r="F302" t="inlineStr"/>
      <c r="G302" t="inlineStr"/>
      <c r="H302" t="inlineStr">
        <is>
          <t>1.23%</t>
        </is>
      </c>
      <c r="I302" t="inlineStr">
        <is>
          <t>0.00%</t>
        </is>
      </c>
    </row>
    <row r="303">
      <c r="A303" s="2" t="n">
        <v>45982</v>
      </c>
      <c r="B303" t="inlineStr">
        <is>
          <t>P21026</t>
        </is>
      </c>
      <c r="C303" t="inlineStr">
        <is>
          <t>GICS_INDUSTRY_NAME</t>
        </is>
      </c>
      <c r="D303" t="inlineStr">
        <is>
          <t>IT Services</t>
        </is>
      </c>
      <c r="E303" t="inlineStr">
        <is>
          <t>Information Technology</t>
        </is>
      </c>
      <c r="F303" t="inlineStr"/>
      <c r="G303" t="inlineStr"/>
      <c r="H303" t="inlineStr">
        <is>
          <t>1.21%</t>
        </is>
      </c>
      <c r="I303" t="inlineStr">
        <is>
          <t>0.00%</t>
        </is>
      </c>
    </row>
    <row r="304">
      <c r="A304" s="2" t="n">
        <v>45982</v>
      </c>
      <c r="B304" t="inlineStr">
        <is>
          <t>P21026</t>
        </is>
      </c>
      <c r="C304" t="inlineStr">
        <is>
          <t>GICS_INDUSTRY_NAME</t>
        </is>
      </c>
      <c r="D304" t="inlineStr">
        <is>
          <t>Entertainment</t>
        </is>
      </c>
      <c r="E304" t="inlineStr">
        <is>
          <t>Communication Services</t>
        </is>
      </c>
      <c r="F304" t="inlineStr"/>
      <c r="G304" t="inlineStr"/>
      <c r="H304" t="inlineStr">
        <is>
          <t>1.18%</t>
        </is>
      </c>
      <c r="I304" t="inlineStr">
        <is>
          <t>0.00%</t>
        </is>
      </c>
    </row>
    <row r="305">
      <c r="A305" s="2" t="n">
        <v>45982</v>
      </c>
      <c r="B305" t="inlineStr">
        <is>
          <t>P21026</t>
        </is>
      </c>
      <c r="C305" t="inlineStr">
        <is>
          <t>GICS_INDUSTRY_GROUP_NAME</t>
        </is>
      </c>
      <c r="D305" t="inlineStr">
        <is>
          <t>Commercial &amp; Professional Services</t>
        </is>
      </c>
      <c r="E305" t="inlineStr">
        <is>
          <t>Industrials</t>
        </is>
      </c>
      <c r="F305" t="inlineStr"/>
      <c r="G305" t="inlineStr"/>
      <c r="H305" t="inlineStr">
        <is>
          <t>1.10%</t>
        </is>
      </c>
      <c r="I305" t="inlineStr">
        <is>
          <t>0.00%</t>
        </is>
      </c>
    </row>
    <row r="306">
      <c r="A306" s="2" t="n">
        <v>45982</v>
      </c>
      <c r="B306" t="inlineStr">
        <is>
          <t>P21026</t>
        </is>
      </c>
      <c r="C306" t="inlineStr">
        <is>
          <t>GICS_INDUSTRY_NAME</t>
        </is>
      </c>
      <c r="D306" t="inlineStr">
        <is>
          <t>Commercial Services &amp; Supplies</t>
        </is>
      </c>
      <c r="E306" t="inlineStr">
        <is>
          <t>Industrials</t>
        </is>
      </c>
      <c r="F306" t="inlineStr"/>
      <c r="G306" t="inlineStr"/>
      <c r="H306" t="inlineStr">
        <is>
          <t>1.10%</t>
        </is>
      </c>
      <c r="I306" t="inlineStr">
        <is>
          <t>0.00%</t>
        </is>
      </c>
    </row>
    <row r="307">
      <c r="A307" s="2" t="n">
        <v>45982</v>
      </c>
      <c r="B307" t="inlineStr">
        <is>
          <t>P21026</t>
        </is>
      </c>
      <c r="C307" t="inlineStr">
        <is>
          <t>GICS_INDUSTRY_GROUP_NAME</t>
        </is>
      </c>
      <c r="D307" t="inlineStr">
        <is>
          <t>Household &amp; Personal Products</t>
        </is>
      </c>
      <c r="E307" t="inlineStr">
        <is>
          <t>Consumer Staples</t>
        </is>
      </c>
      <c r="F307" t="inlineStr"/>
      <c r="G307" t="inlineStr"/>
      <c r="H307" t="inlineStr">
        <is>
          <t>0.98%</t>
        </is>
      </c>
      <c r="I307" t="inlineStr">
        <is>
          <t>0.00%</t>
        </is>
      </c>
    </row>
    <row r="308">
      <c r="A308" s="2" t="n">
        <v>45982</v>
      </c>
      <c r="B308" t="inlineStr">
        <is>
          <t>P21026</t>
        </is>
      </c>
      <c r="C308" t="inlineStr">
        <is>
          <t>GICS_INDUSTRY_NAME</t>
        </is>
      </c>
      <c r="D308" t="inlineStr">
        <is>
          <t>Household Products</t>
        </is>
      </c>
      <c r="E308" t="inlineStr">
        <is>
          <t>Consumer Staples</t>
        </is>
      </c>
      <c r="F308" t="inlineStr"/>
      <c r="G308" t="inlineStr"/>
      <c r="H308" t="inlineStr">
        <is>
          <t>0.98%</t>
        </is>
      </c>
      <c r="I308" t="inlineStr">
        <is>
          <t>0.00%</t>
        </is>
      </c>
    </row>
    <row r="309">
      <c r="A309" s="2" t="n">
        <v>45982</v>
      </c>
      <c r="B309" t="inlineStr">
        <is>
          <t>P21026</t>
        </is>
      </c>
      <c r="C309" t="inlineStr">
        <is>
          <t>GICS_INDUSTRY_NAME</t>
        </is>
      </c>
      <c r="D309" t="inlineStr">
        <is>
          <t>Life Sciences Tools &amp; Services</t>
        </is>
      </c>
      <c r="E309" t="inlineStr">
        <is>
          <t>Health Care</t>
        </is>
      </c>
      <c r="F309" t="inlineStr"/>
      <c r="G309" t="inlineStr"/>
      <c r="H309" t="inlineStr">
        <is>
          <t>0.97%</t>
        </is>
      </c>
      <c r="I309" t="inlineStr">
        <is>
          <t>0.00%</t>
        </is>
      </c>
    </row>
    <row r="310">
      <c r="A310" s="2" t="n">
        <v>45982</v>
      </c>
      <c r="B310" t="inlineStr">
        <is>
          <t>P21026</t>
        </is>
      </c>
      <c r="C310" t="inlineStr">
        <is>
          <t>GICS_INDUSTRY_NAME</t>
        </is>
      </c>
      <c r="D310" t="inlineStr">
        <is>
          <t>Ground Transportation</t>
        </is>
      </c>
      <c r="E310" t="inlineStr">
        <is>
          <t>Industrials</t>
        </is>
      </c>
      <c r="F310" t="inlineStr"/>
      <c r="G310" t="inlineStr"/>
      <c r="H310" t="inlineStr">
        <is>
          <t>0.93%</t>
        </is>
      </c>
      <c r="I310" t="inlineStr">
        <is>
          <t>0.00%</t>
        </is>
      </c>
    </row>
    <row r="311">
      <c r="A311" s="2" t="n">
        <v>45982</v>
      </c>
      <c r="B311" t="inlineStr">
        <is>
          <t>P21026</t>
        </is>
      </c>
      <c r="C311" t="inlineStr">
        <is>
          <t>GICS_INDUSTRY_NAME</t>
        </is>
      </c>
      <c r="D311" t="inlineStr">
        <is>
          <t>Tobacco</t>
        </is>
      </c>
      <c r="E311" t="inlineStr">
        <is>
          <t>Consumer Staples</t>
        </is>
      </c>
      <c r="F311" t="inlineStr"/>
      <c r="G311" t="inlineStr"/>
      <c r="H311" t="inlineStr">
        <is>
          <t>0.87%</t>
        </is>
      </c>
      <c r="I311" t="inlineStr">
        <is>
          <t>0.00%</t>
        </is>
      </c>
    </row>
    <row r="312">
      <c r="A312" s="2" t="n">
        <v>45982</v>
      </c>
      <c r="B312" t="inlineStr">
        <is>
          <t>P21026</t>
        </is>
      </c>
      <c r="C312" t="inlineStr">
        <is>
          <t>GICS_INDUSTRY_GROUP_NAME</t>
        </is>
      </c>
      <c r="D312" t="inlineStr">
        <is>
          <t>Telecommunication Services</t>
        </is>
      </c>
      <c r="E312" t="inlineStr">
        <is>
          <t>Communication Services</t>
        </is>
      </c>
      <c r="F312" t="inlineStr"/>
      <c r="G312" t="inlineStr"/>
      <c r="H312" t="inlineStr">
        <is>
          <t>0.84%</t>
        </is>
      </c>
      <c r="I312" t="inlineStr">
        <is>
          <t>0.00%</t>
        </is>
      </c>
    </row>
    <row r="313">
      <c r="A313" s="2" t="n">
        <v>45982</v>
      </c>
      <c r="B313" t="inlineStr">
        <is>
          <t>P21026</t>
        </is>
      </c>
      <c r="C313" t="inlineStr">
        <is>
          <t>GICS_INDUSTRY_NAME</t>
        </is>
      </c>
      <c r="D313" t="inlineStr">
        <is>
          <t>Diversified Telecommunication Services</t>
        </is>
      </c>
      <c r="E313" t="inlineStr">
        <is>
          <t>Communication Services</t>
        </is>
      </c>
      <c r="F313" t="inlineStr"/>
      <c r="G313" t="inlineStr"/>
      <c r="H313" t="inlineStr">
        <is>
          <t>0.84%</t>
        </is>
      </c>
      <c r="I313" t="inlineStr">
        <is>
          <t>0.00%</t>
        </is>
      </c>
    </row>
    <row r="314">
      <c r="A314" s="2" t="n">
        <v>45982</v>
      </c>
      <c r="B314" t="inlineStr">
        <is>
          <t>P21026</t>
        </is>
      </c>
      <c r="C314" t="inlineStr">
        <is>
          <t>GICS_INDUSTRY_NAME</t>
        </is>
      </c>
      <c r="D314" t="inlineStr">
        <is>
          <t>Industrial Conglomerates</t>
        </is>
      </c>
      <c r="E314" t="inlineStr">
        <is>
          <t>Industrials</t>
        </is>
      </c>
      <c r="F314" t="inlineStr"/>
      <c r="G314" t="inlineStr"/>
      <c r="H314" t="inlineStr">
        <is>
          <t>0.84%</t>
        </is>
      </c>
      <c r="I314" t="inlineStr">
        <is>
          <t>0.00%</t>
        </is>
      </c>
    </row>
    <row r="315">
      <c r="A315" s="2" t="n">
        <v>45982</v>
      </c>
      <c r="B315" t="inlineStr">
        <is>
          <t>P21026</t>
        </is>
      </c>
      <c r="C315" t="inlineStr">
        <is>
          <t>GICS_INDUSTRY_NAME</t>
        </is>
      </c>
      <c r="D315" t="inlineStr">
        <is>
          <t>Electrical Equipment</t>
        </is>
      </c>
      <c r="E315" t="inlineStr">
        <is>
          <t>Industrials</t>
        </is>
      </c>
      <c r="F315" t="inlineStr"/>
      <c r="G315" t="inlineStr"/>
      <c r="H315" t="inlineStr">
        <is>
          <t>0.79%</t>
        </is>
      </c>
      <c r="I315" t="inlineStr">
        <is>
          <t>0.00%</t>
        </is>
      </c>
    </row>
    <row r="316">
      <c r="A316" s="2" t="n">
        <v>45982</v>
      </c>
      <c r="B316" t="inlineStr">
        <is>
          <t>P21026</t>
        </is>
      </c>
      <c r="C316" t="inlineStr">
        <is>
          <t>GICS_INDUSTRY_NAME</t>
        </is>
      </c>
      <c r="D316" t="inlineStr">
        <is>
          <t>Consumer Finance</t>
        </is>
      </c>
      <c r="E316" t="inlineStr">
        <is>
          <t>Financials</t>
        </is>
      </c>
      <c r="F316" t="inlineStr"/>
      <c r="G316" t="inlineStr"/>
      <c r="H316" t="inlineStr">
        <is>
          <t>0.62%</t>
        </is>
      </c>
      <c r="I316" t="inlineStr">
        <is>
          <t>0.00%</t>
        </is>
      </c>
    </row>
    <row r="317">
      <c r="A317" s="2" t="n">
        <v>45982</v>
      </c>
      <c r="B317" t="inlineStr">
        <is>
          <t>P21026</t>
        </is>
      </c>
      <c r="C317" t="inlineStr">
        <is>
          <t>GICS_INDUSTRY_GROUP_NAME</t>
        </is>
      </c>
      <c r="D317" t="inlineStr">
        <is>
          <t>Consumer Durables &amp; Apparel</t>
        </is>
      </c>
      <c r="E317" t="inlineStr">
        <is>
          <t>Consumer Discretionary</t>
        </is>
      </c>
      <c r="F317" t="inlineStr"/>
      <c r="G317" t="inlineStr"/>
      <c r="H317" t="inlineStr">
        <is>
          <t>0.53%</t>
        </is>
      </c>
      <c r="I317" t="inlineStr">
        <is>
          <t>0.00%</t>
        </is>
      </c>
    </row>
    <row r="318">
      <c r="A318" s="2" t="n">
        <v>45982</v>
      </c>
      <c r="B318" t="inlineStr">
        <is>
          <t>P21026</t>
        </is>
      </c>
      <c r="C318" t="inlineStr">
        <is>
          <t>GICS_INDUSTRY_NAME</t>
        </is>
      </c>
      <c r="D318" t="inlineStr">
        <is>
          <t>Textiles, Apparel &amp; Luxury Goods</t>
        </is>
      </c>
      <c r="E318" t="inlineStr">
        <is>
          <t>Consumer Discretionary</t>
        </is>
      </c>
      <c r="F318" t="inlineStr"/>
      <c r="G318" t="inlineStr"/>
      <c r="H318" t="inlineStr">
        <is>
          <t>0.53%</t>
        </is>
      </c>
      <c r="I318" t="inlineStr">
        <is>
          <t>0.00%</t>
        </is>
      </c>
    </row>
    <row r="319">
      <c r="A319" s="2" t="n">
        <v>45982</v>
      </c>
      <c r="B319" t="inlineStr">
        <is>
          <t>P21026</t>
        </is>
      </c>
      <c r="C319" t="inlineStr">
        <is>
          <t>GICS_INDUSTRY_NAME</t>
        </is>
      </c>
      <c r="D319" t="inlineStr">
        <is>
          <t>Air Freight &amp; Logistics</t>
        </is>
      </c>
      <c r="E319" t="inlineStr">
        <is>
          <t>Industrials</t>
        </is>
      </c>
      <c r="F319" t="inlineStr"/>
      <c r="G319" t="inlineStr"/>
      <c r="H319" t="inlineStr">
        <is>
          <t>0.39%</t>
        </is>
      </c>
      <c r="I319" t="inlineStr">
        <is>
          <t>0.00%</t>
        </is>
      </c>
    </row>
    <row r="320">
      <c r="A320" s="2" t="n">
        <v>45982</v>
      </c>
      <c r="B320" t="inlineStr">
        <is>
          <t>P21026</t>
        </is>
      </c>
      <c r="C320" t="inlineStr">
        <is>
          <t>GICS_INDUSTRY_NAME</t>
        </is>
      </c>
      <c r="D320" t="inlineStr">
        <is>
          <t>Media</t>
        </is>
      </c>
      <c r="E320" t="inlineStr">
        <is>
          <t>Communication Services</t>
        </is>
      </c>
      <c r="F320" t="inlineStr"/>
      <c r="G320" t="inlineStr"/>
      <c r="H320" t="inlineStr">
        <is>
          <t>0.19%</t>
        </is>
      </c>
      <c r="I320" t="inlineStr">
        <is>
          <t>0.00%</t>
        </is>
      </c>
    </row>
    <row r="321">
      <c r="A321" s="2" t="n">
        <v>45982</v>
      </c>
      <c r="B321" t="inlineStr">
        <is>
          <t>P21026</t>
        </is>
      </c>
      <c r="C321" t="inlineStr">
        <is>
          <t>GICS_INDUSTRY_NAME</t>
        </is>
      </c>
      <c r="D321" t="inlineStr">
        <is>
          <t>Food Products</t>
        </is>
      </c>
      <c r="E321" t="inlineStr">
        <is>
          <t>Consumer Staples</t>
        </is>
      </c>
      <c r="F321" t="inlineStr"/>
      <c r="G321" t="inlineStr"/>
      <c r="H321" t="inlineStr">
        <is>
          <t>0.19%</t>
        </is>
      </c>
      <c r="I321" t="inlineStr">
        <is>
          <t>0.00%</t>
        </is>
      </c>
    </row>
    <row r="322">
      <c r="A322" s="2" t="n">
        <v>45982</v>
      </c>
      <c r="B322" t="inlineStr">
        <is>
          <t>P2726</t>
        </is>
      </c>
      <c r="C322" t="inlineStr">
        <is>
          <t>GICS_INDUSTRY_GROUP_NAME</t>
        </is>
      </c>
      <c r="D322" t="inlineStr">
        <is>
          <t>Semiconductors &amp; Semiconductor Equipment</t>
        </is>
      </c>
      <c r="E322" t="inlineStr">
        <is>
          <t>Information Technology</t>
        </is>
      </c>
      <c r="F322" t="inlineStr"/>
      <c r="G322" t="inlineStr"/>
      <c r="H322" t="inlineStr">
        <is>
          <t>14.93%</t>
        </is>
      </c>
      <c r="I322" t="inlineStr">
        <is>
          <t>0.00%</t>
        </is>
      </c>
    </row>
    <row r="323">
      <c r="A323" s="2" t="n">
        <v>45982</v>
      </c>
      <c r="B323" t="inlineStr">
        <is>
          <t>P2726</t>
        </is>
      </c>
      <c r="C323" t="inlineStr">
        <is>
          <t>GICS_INDUSTRY_NAME</t>
        </is>
      </c>
      <c r="D323" t="inlineStr">
        <is>
          <t>Semiconductors &amp; Semiconductor Equipment</t>
        </is>
      </c>
      <c r="E323" t="inlineStr">
        <is>
          <t>Information Technology</t>
        </is>
      </c>
      <c r="F323" t="inlineStr"/>
      <c r="G323" t="inlineStr"/>
      <c r="H323" t="inlineStr">
        <is>
          <t>14.93%</t>
        </is>
      </c>
      <c r="I323" t="inlineStr">
        <is>
          <t>0.00%</t>
        </is>
      </c>
    </row>
    <row r="324">
      <c r="A324" s="2" t="n">
        <v>45982</v>
      </c>
      <c r="B324" t="inlineStr">
        <is>
          <t>P2726</t>
        </is>
      </c>
      <c r="C324" t="inlineStr">
        <is>
          <t>GICS_INDUSTRY_GROUP_NAME</t>
        </is>
      </c>
      <c r="D324" t="inlineStr">
        <is>
          <t>Technology Hardware &amp; Equipment</t>
        </is>
      </c>
      <c r="E324" t="inlineStr">
        <is>
          <t>Information Technology</t>
        </is>
      </c>
      <c r="F324" t="inlineStr"/>
      <c r="G324" t="inlineStr"/>
      <c r="H324" t="inlineStr">
        <is>
          <t>9.80%</t>
        </is>
      </c>
      <c r="I324" t="inlineStr">
        <is>
          <t>0.00%</t>
        </is>
      </c>
    </row>
    <row r="325">
      <c r="A325" s="2" t="n">
        <v>45982</v>
      </c>
      <c r="B325" t="inlineStr">
        <is>
          <t>P2726</t>
        </is>
      </c>
      <c r="C325" t="inlineStr">
        <is>
          <t>GICS_INDUSTRY_GROUP_NAME</t>
        </is>
      </c>
      <c r="D325" t="inlineStr">
        <is>
          <t>Software &amp; Services</t>
        </is>
      </c>
      <c r="E325" t="inlineStr">
        <is>
          <t>Information Technology</t>
        </is>
      </c>
      <c r="F325" t="inlineStr"/>
      <c r="G325" t="inlineStr"/>
      <c r="H325" t="inlineStr">
        <is>
          <t>9.74%</t>
        </is>
      </c>
      <c r="I325" t="inlineStr">
        <is>
          <t>0.00%</t>
        </is>
      </c>
    </row>
    <row r="326">
      <c r="A326" s="2" t="n">
        <v>45982</v>
      </c>
      <c r="B326" t="inlineStr">
        <is>
          <t>P2726</t>
        </is>
      </c>
      <c r="C326" t="inlineStr">
        <is>
          <t>GICS_INDUSTRY_GROUP_NAME</t>
        </is>
      </c>
      <c r="D326" t="inlineStr">
        <is>
          <t>Media &amp; Entertainment</t>
        </is>
      </c>
      <c r="E326" t="inlineStr">
        <is>
          <t>Communication Services</t>
        </is>
      </c>
      <c r="F326" t="inlineStr"/>
      <c r="G326" t="inlineStr"/>
      <c r="H326" t="inlineStr">
        <is>
          <t>9.69%</t>
        </is>
      </c>
      <c r="I326" t="inlineStr">
        <is>
          <t>0.00%</t>
        </is>
      </c>
    </row>
    <row r="327">
      <c r="A327" s="2" t="n">
        <v>45982</v>
      </c>
      <c r="B327" t="inlineStr">
        <is>
          <t>P2726</t>
        </is>
      </c>
      <c r="C327" t="inlineStr">
        <is>
          <t>GICS_INDUSTRY_NAME</t>
        </is>
      </c>
      <c r="D327" t="inlineStr">
        <is>
          <t>Software</t>
        </is>
      </c>
      <c r="E327" t="inlineStr">
        <is>
          <t>Information Technology</t>
        </is>
      </c>
      <c r="F327" t="inlineStr"/>
      <c r="G327" t="inlineStr"/>
      <c r="H327" t="inlineStr">
        <is>
          <t>8.53%</t>
        </is>
      </c>
      <c r="I327" t="inlineStr">
        <is>
          <t>0.00%</t>
        </is>
      </c>
    </row>
    <row r="328">
      <c r="A328" s="2" t="n">
        <v>45982</v>
      </c>
      <c r="B328" t="inlineStr">
        <is>
          <t>P2726</t>
        </is>
      </c>
      <c r="C328" t="inlineStr">
        <is>
          <t>GICS_INDUSTRY_NAME</t>
        </is>
      </c>
      <c r="D328" t="inlineStr">
        <is>
          <t>Interactive Media &amp; Services</t>
        </is>
      </c>
      <c r="E328" t="inlineStr">
        <is>
          <t>Communication Services</t>
        </is>
      </c>
      <c r="F328" t="inlineStr"/>
      <c r="G328" t="inlineStr"/>
      <c r="H328" t="inlineStr">
        <is>
          <t>8.32%</t>
        </is>
      </c>
      <c r="I328" t="inlineStr">
        <is>
          <t>0.00%</t>
        </is>
      </c>
    </row>
    <row r="329">
      <c r="A329" s="2" t="n">
        <v>45982</v>
      </c>
      <c r="B329" t="inlineStr">
        <is>
          <t>P2726</t>
        </is>
      </c>
      <c r="C329" t="inlineStr">
        <is>
          <t>GICS_INDUSTRY_NAME</t>
        </is>
      </c>
      <c r="D329" t="inlineStr">
        <is>
          <t>Technology Hardware, Storage &amp; Peripherals</t>
        </is>
      </c>
      <c r="E329" t="inlineStr">
        <is>
          <t>Information Technology</t>
        </is>
      </c>
      <c r="F329" t="inlineStr"/>
      <c r="G329" t="inlineStr"/>
      <c r="H329" t="inlineStr">
        <is>
          <t>7.62%</t>
        </is>
      </c>
      <c r="I329" t="inlineStr">
        <is>
          <t>0.00%</t>
        </is>
      </c>
    </row>
    <row r="330">
      <c r="A330" s="2" t="n">
        <v>45982</v>
      </c>
      <c r="B330" t="inlineStr">
        <is>
          <t>P2726</t>
        </is>
      </c>
      <c r="C330" t="inlineStr">
        <is>
          <t>GICS_INDUSTRY_GROUP_NAME</t>
        </is>
      </c>
      <c r="D330" t="inlineStr">
        <is>
          <t>Financial Services</t>
        </is>
      </c>
      <c r="E330" t="inlineStr">
        <is>
          <t>Financials</t>
        </is>
      </c>
      <c r="F330" t="inlineStr"/>
      <c r="G330" t="inlineStr"/>
      <c r="H330" t="inlineStr">
        <is>
          <t>6.64%</t>
        </is>
      </c>
      <c r="I330" t="inlineStr">
        <is>
          <t>0.00%</t>
        </is>
      </c>
    </row>
    <row r="331">
      <c r="A331" s="2" t="n">
        <v>45982</v>
      </c>
      <c r="B331" t="inlineStr">
        <is>
          <t>P2726</t>
        </is>
      </c>
      <c r="C331" t="inlineStr">
        <is>
          <t>GICS_INDUSTRY_GROUP_NAME</t>
        </is>
      </c>
      <c r="D331" t="inlineStr">
        <is>
          <t>Capital Goods</t>
        </is>
      </c>
      <c r="E331" t="inlineStr">
        <is>
          <t>Industrials</t>
        </is>
      </c>
      <c r="F331" t="inlineStr"/>
      <c r="G331" t="inlineStr"/>
      <c r="H331" t="inlineStr">
        <is>
          <t>6.16%</t>
        </is>
      </c>
      <c r="I331" t="inlineStr">
        <is>
          <t>0.00%</t>
        </is>
      </c>
    </row>
    <row r="332">
      <c r="A332" s="2" t="n">
        <v>45982</v>
      </c>
      <c r="B332" t="inlineStr">
        <is>
          <t>P2726</t>
        </is>
      </c>
      <c r="C332" t="inlineStr">
        <is>
          <t>GICS_INDUSTRY_GROUP_NAME</t>
        </is>
      </c>
      <c r="D332" t="inlineStr">
        <is>
          <t>Pharmaceuticals, Biotechnology &amp; Life Sciences</t>
        </is>
      </c>
      <c r="E332" t="inlineStr">
        <is>
          <t>Health Care</t>
        </is>
      </c>
      <c r="F332" t="inlineStr"/>
      <c r="G332" t="inlineStr"/>
      <c r="H332" t="inlineStr">
        <is>
          <t>5.57%</t>
        </is>
      </c>
      <c r="I332" t="inlineStr">
        <is>
          <t>0.00%</t>
        </is>
      </c>
    </row>
    <row r="333">
      <c r="A333" s="2" t="n">
        <v>45982</v>
      </c>
      <c r="B333" t="inlineStr">
        <is>
          <t>P2726</t>
        </is>
      </c>
      <c r="C333" t="inlineStr">
        <is>
          <t>GICS_INDUSTRY_GROUP_NAME</t>
        </is>
      </c>
      <c r="D333" t="inlineStr">
        <is>
          <t>Consumer Discretionary Distribution &amp; Retail</t>
        </is>
      </c>
      <c r="E333" t="inlineStr">
        <is>
          <t>Consumer Discretionary</t>
        </is>
      </c>
      <c r="F333" t="inlineStr"/>
      <c r="G333" t="inlineStr"/>
      <c r="H333" t="inlineStr">
        <is>
          <t>5.33%</t>
        </is>
      </c>
      <c r="I333" t="inlineStr">
        <is>
          <t>0.00%</t>
        </is>
      </c>
    </row>
    <row r="334">
      <c r="A334" s="2" t="n">
        <v>45982</v>
      </c>
      <c r="B334" t="inlineStr">
        <is>
          <t>P2726</t>
        </is>
      </c>
      <c r="C334" t="inlineStr">
        <is>
          <t>GICS_INDUSTRY_GROUP_NAME</t>
        </is>
      </c>
      <c r="D334" t="inlineStr">
        <is>
          <t>Banks</t>
        </is>
      </c>
      <c r="E334" t="inlineStr">
        <is>
          <t>Financials</t>
        </is>
      </c>
      <c r="F334" t="inlineStr"/>
      <c r="G334" t="inlineStr"/>
      <c r="H334" t="inlineStr">
        <is>
          <t>4.47%</t>
        </is>
      </c>
      <c r="I334" t="inlineStr">
        <is>
          <t>0.00%</t>
        </is>
      </c>
    </row>
    <row r="335">
      <c r="A335" s="2" t="n">
        <v>45982</v>
      </c>
      <c r="B335" t="inlineStr">
        <is>
          <t>P2726</t>
        </is>
      </c>
      <c r="C335" t="inlineStr">
        <is>
          <t>GICS_INDUSTRY_NAME</t>
        </is>
      </c>
      <c r="D335" t="inlineStr">
        <is>
          <t>Banks</t>
        </is>
      </c>
      <c r="E335" t="inlineStr">
        <is>
          <t>Financials</t>
        </is>
      </c>
      <c r="F335" t="inlineStr"/>
      <c r="G335" t="inlineStr"/>
      <c r="H335" t="inlineStr">
        <is>
          <t>4.47%</t>
        </is>
      </c>
      <c r="I335" t="inlineStr">
        <is>
          <t>0.00%</t>
        </is>
      </c>
    </row>
    <row r="336">
      <c r="A336" s="2" t="n">
        <v>45982</v>
      </c>
      <c r="B336" t="inlineStr">
        <is>
          <t>P2726</t>
        </is>
      </c>
      <c r="C336" t="inlineStr">
        <is>
          <t>GICS_INDUSTRY_GROUP_NAME</t>
        </is>
      </c>
      <c r="D336" t="inlineStr">
        <is>
          <t>Health Care Equipment &amp; Services</t>
        </is>
      </c>
      <c r="E336" t="inlineStr">
        <is>
          <t>Health Care</t>
        </is>
      </c>
      <c r="F336" t="inlineStr"/>
      <c r="G336" t="inlineStr"/>
      <c r="H336" t="inlineStr">
        <is>
          <t>4.28%</t>
        </is>
      </c>
      <c r="I336" t="inlineStr">
        <is>
          <t>0.00%</t>
        </is>
      </c>
    </row>
    <row r="337">
      <c r="A337" s="2" t="n">
        <v>45982</v>
      </c>
      <c r="B337" t="inlineStr">
        <is>
          <t>P2726</t>
        </is>
      </c>
      <c r="C337" t="inlineStr">
        <is>
          <t>GICS_INDUSTRY_NAME</t>
        </is>
      </c>
      <c r="D337" t="inlineStr">
        <is>
          <t>Broadline Retail</t>
        </is>
      </c>
      <c r="E337" t="inlineStr">
        <is>
          <t>Consumer Discretionary</t>
        </is>
      </c>
      <c r="F337" t="inlineStr"/>
      <c r="G337" t="inlineStr"/>
      <c r="H337" t="inlineStr">
        <is>
          <t>4.06%</t>
        </is>
      </c>
      <c r="I337" t="inlineStr">
        <is>
          <t>0.00%</t>
        </is>
      </c>
    </row>
    <row r="338">
      <c r="A338" s="2" t="n">
        <v>45982</v>
      </c>
      <c r="B338" t="inlineStr">
        <is>
          <t>P2726</t>
        </is>
      </c>
      <c r="C338" t="inlineStr">
        <is>
          <t>GICS_INDUSTRY_NAME</t>
        </is>
      </c>
      <c r="D338" t="inlineStr">
        <is>
          <t>Financial Services</t>
        </is>
      </c>
      <c r="E338" t="inlineStr">
        <is>
          <t>Financials</t>
        </is>
      </c>
      <c r="F338" t="inlineStr"/>
      <c r="G338" t="inlineStr"/>
      <c r="H338" t="inlineStr">
        <is>
          <t>3.34%</t>
        </is>
      </c>
      <c r="I338" t="inlineStr">
        <is>
          <t>0.00%</t>
        </is>
      </c>
    </row>
    <row r="339">
      <c r="A339" s="2" t="n">
        <v>45982</v>
      </c>
      <c r="B339" t="inlineStr">
        <is>
          <t>P2726</t>
        </is>
      </c>
      <c r="C339" t="inlineStr">
        <is>
          <t>GICS_INDUSTRY_NAME</t>
        </is>
      </c>
      <c r="D339" t="inlineStr">
        <is>
          <t>Aerospace &amp; Defense</t>
        </is>
      </c>
      <c r="E339" t="inlineStr">
        <is>
          <t>Industrials</t>
        </is>
      </c>
      <c r="F339" t="inlineStr"/>
      <c r="G339" t="inlineStr"/>
      <c r="H339" t="inlineStr">
        <is>
          <t>3.00%</t>
        </is>
      </c>
      <c r="I339" t="inlineStr">
        <is>
          <t>0.00%</t>
        </is>
      </c>
    </row>
    <row r="340">
      <c r="A340" s="2" t="n">
        <v>45982</v>
      </c>
      <c r="B340" t="inlineStr">
        <is>
          <t>P2726</t>
        </is>
      </c>
      <c r="C340" t="inlineStr">
        <is>
          <t>GICS_INDUSTRY_GROUP_NAME</t>
        </is>
      </c>
      <c r="D340" t="inlineStr">
        <is>
          <t>Energy</t>
        </is>
      </c>
      <c r="E340" t="inlineStr">
        <is>
          <t>Energy</t>
        </is>
      </c>
      <c r="F340" t="inlineStr"/>
      <c r="G340" t="inlineStr"/>
      <c r="H340" t="inlineStr">
        <is>
          <t>2.88%</t>
        </is>
      </c>
      <c r="I340" t="inlineStr">
        <is>
          <t>0.00%</t>
        </is>
      </c>
    </row>
    <row r="341">
      <c r="A341" s="2" t="n">
        <v>45982</v>
      </c>
      <c r="B341" t="inlineStr">
        <is>
          <t>P2726</t>
        </is>
      </c>
      <c r="C341" t="inlineStr">
        <is>
          <t>GICS_INDUSTRY_NAME</t>
        </is>
      </c>
      <c r="D341" t="inlineStr">
        <is>
          <t>Oil, Gas &amp; Consumable Fuels</t>
        </is>
      </c>
      <c r="E341" t="inlineStr">
        <is>
          <t>Energy</t>
        </is>
      </c>
      <c r="F341" t="inlineStr"/>
      <c r="G341" t="inlineStr"/>
      <c r="H341" t="inlineStr">
        <is>
          <t>2.88%</t>
        </is>
      </c>
      <c r="I341" t="inlineStr">
        <is>
          <t>0.00%</t>
        </is>
      </c>
    </row>
    <row r="342">
      <c r="A342" s="2" t="n">
        <v>45982</v>
      </c>
      <c r="B342" t="inlineStr">
        <is>
          <t>P2726</t>
        </is>
      </c>
      <c r="C342" t="inlineStr">
        <is>
          <t>GICS_INDUSTRY_NAME</t>
        </is>
      </c>
      <c r="D342" t="inlineStr">
        <is>
          <t>Capital Markets</t>
        </is>
      </c>
      <c r="E342" t="inlineStr">
        <is>
          <t>Financials</t>
        </is>
      </c>
      <c r="F342" t="inlineStr"/>
      <c r="G342" t="inlineStr"/>
      <c r="H342" t="inlineStr">
        <is>
          <t>2.68%</t>
        </is>
      </c>
      <c r="I342" t="inlineStr">
        <is>
          <t>0.00%</t>
        </is>
      </c>
    </row>
    <row r="343">
      <c r="A343" s="2" t="n">
        <v>45982</v>
      </c>
      <c r="B343" t="inlineStr">
        <is>
          <t>P2726</t>
        </is>
      </c>
      <c r="C343" t="inlineStr">
        <is>
          <t>GICS_INDUSTRY_NAME</t>
        </is>
      </c>
      <c r="D343" t="inlineStr">
        <is>
          <t>Pharmaceuticals</t>
        </is>
      </c>
      <c r="E343" t="inlineStr">
        <is>
          <t>Health Care</t>
        </is>
      </c>
      <c r="F343" t="inlineStr"/>
      <c r="G343" t="inlineStr"/>
      <c r="H343" t="inlineStr">
        <is>
          <t>2.58%</t>
        </is>
      </c>
      <c r="I343" t="inlineStr">
        <is>
          <t>0.00%</t>
        </is>
      </c>
    </row>
    <row r="344">
      <c r="A344" s="2" t="n">
        <v>45982</v>
      </c>
      <c r="B344" t="inlineStr">
        <is>
          <t>P2726</t>
        </is>
      </c>
      <c r="C344" t="inlineStr">
        <is>
          <t>GICS_INDUSTRY_NAME</t>
        </is>
      </c>
      <c r="D344" t="inlineStr">
        <is>
          <t>Health Care Equipment &amp; Supplies</t>
        </is>
      </c>
      <c r="E344" t="inlineStr">
        <is>
          <t>Health Care</t>
        </is>
      </c>
      <c r="F344" t="inlineStr"/>
      <c r="G344" t="inlineStr"/>
      <c r="H344" t="inlineStr">
        <is>
          <t>2.32%</t>
        </is>
      </c>
      <c r="I344" t="inlineStr">
        <is>
          <t>0.00%</t>
        </is>
      </c>
    </row>
    <row r="345">
      <c r="A345" s="2" t="n">
        <v>45982</v>
      </c>
      <c r="B345" t="inlineStr">
        <is>
          <t>P2726</t>
        </is>
      </c>
      <c r="C345" t="inlineStr">
        <is>
          <t>GICS_INDUSTRY_GROUP_NAME</t>
        </is>
      </c>
      <c r="D345" t="inlineStr">
        <is>
          <t>Insurance</t>
        </is>
      </c>
      <c r="E345" t="inlineStr">
        <is>
          <t>Financials</t>
        </is>
      </c>
      <c r="F345" t="inlineStr"/>
      <c r="G345" t="inlineStr"/>
      <c r="H345" t="inlineStr">
        <is>
          <t>2.31%</t>
        </is>
      </c>
      <c r="I345" t="inlineStr">
        <is>
          <t>0.00%</t>
        </is>
      </c>
    </row>
    <row r="346">
      <c r="A346" s="2" t="n">
        <v>45982</v>
      </c>
      <c r="B346" t="inlineStr">
        <is>
          <t>P2726</t>
        </is>
      </c>
      <c r="C346" t="inlineStr">
        <is>
          <t>GICS_INDUSTRY_NAME</t>
        </is>
      </c>
      <c r="D346" t="inlineStr">
        <is>
          <t>Insurance</t>
        </is>
      </c>
      <c r="E346" t="inlineStr">
        <is>
          <t>Financials</t>
        </is>
      </c>
      <c r="F346" t="inlineStr"/>
      <c r="G346" t="inlineStr"/>
      <c r="H346" t="inlineStr">
        <is>
          <t>2.31%</t>
        </is>
      </c>
      <c r="I346" t="inlineStr">
        <is>
          <t>0.00%</t>
        </is>
      </c>
    </row>
    <row r="347">
      <c r="A347" s="2" t="n">
        <v>45982</v>
      </c>
      <c r="B347" t="inlineStr">
        <is>
          <t>P2726</t>
        </is>
      </c>
      <c r="C347" t="inlineStr">
        <is>
          <t>GICS_INDUSTRY_GROUP_NAME</t>
        </is>
      </c>
      <c r="D347" t="inlineStr">
        <is>
          <t>Utilities</t>
        </is>
      </c>
      <c r="E347" t="inlineStr">
        <is>
          <t>Utilities</t>
        </is>
      </c>
      <c r="F347" t="inlineStr"/>
      <c r="G347" t="inlineStr"/>
      <c r="H347" t="inlineStr">
        <is>
          <t>2.30%</t>
        </is>
      </c>
      <c r="I347" t="inlineStr">
        <is>
          <t>0.00%</t>
        </is>
      </c>
    </row>
    <row r="348">
      <c r="A348" s="2" t="n">
        <v>45982</v>
      </c>
      <c r="B348" t="inlineStr">
        <is>
          <t>P2726</t>
        </is>
      </c>
      <c r="C348" t="inlineStr">
        <is>
          <t>GICS_INDUSTRY_NAME</t>
        </is>
      </c>
      <c r="D348" t="inlineStr">
        <is>
          <t>Electric Utilities</t>
        </is>
      </c>
      <c r="E348" t="inlineStr">
        <is>
          <t>Utilities</t>
        </is>
      </c>
      <c r="F348" t="inlineStr"/>
      <c r="G348" t="inlineStr"/>
      <c r="H348" t="inlineStr">
        <is>
          <t>2.30%</t>
        </is>
      </c>
      <c r="I348" t="inlineStr">
        <is>
          <t>0.00%</t>
        </is>
      </c>
    </row>
    <row r="349">
      <c r="A349" s="2" t="n">
        <v>45982</v>
      </c>
      <c r="B349" t="inlineStr">
        <is>
          <t>P2726</t>
        </is>
      </c>
      <c r="C349" t="inlineStr">
        <is>
          <t>GICS_INDUSTRY_GROUP_NAME</t>
        </is>
      </c>
      <c r="D349" t="inlineStr">
        <is>
          <t>Food, Beverage &amp; Tobacco</t>
        </is>
      </c>
      <c r="E349" t="inlineStr">
        <is>
          <t>Consumer Staples</t>
        </is>
      </c>
      <c r="F349" t="inlineStr"/>
      <c r="G349" t="inlineStr"/>
      <c r="H349" t="inlineStr">
        <is>
          <t>2.29%</t>
        </is>
      </c>
      <c r="I349" t="inlineStr">
        <is>
          <t>0.00%</t>
        </is>
      </c>
    </row>
    <row r="350">
      <c r="A350" s="2" t="n">
        <v>45982</v>
      </c>
      <c r="B350" t="inlineStr">
        <is>
          <t>P2726</t>
        </is>
      </c>
      <c r="C350" t="inlineStr">
        <is>
          <t>GICS_INDUSTRY_NAME</t>
        </is>
      </c>
      <c r="D350" t="inlineStr">
        <is>
          <t>Communications Equipment</t>
        </is>
      </c>
      <c r="E350" t="inlineStr">
        <is>
          <t>Information Technology</t>
        </is>
      </c>
      <c r="F350" t="inlineStr"/>
      <c r="G350" t="inlineStr"/>
      <c r="H350" t="inlineStr">
        <is>
          <t>2.19%</t>
        </is>
      </c>
      <c r="I350" t="inlineStr">
        <is>
          <t>0.00%</t>
        </is>
      </c>
    </row>
    <row r="351">
      <c r="A351" s="2" t="n">
        <v>45982</v>
      </c>
      <c r="B351" t="inlineStr">
        <is>
          <t>P2726</t>
        </is>
      </c>
      <c r="C351" t="inlineStr">
        <is>
          <t>GICS_INDUSTRY_GROUP_NAME</t>
        </is>
      </c>
      <c r="D351" t="inlineStr">
        <is>
          <t>Automobiles &amp; Components</t>
        </is>
      </c>
      <c r="E351" t="inlineStr">
        <is>
          <t>Consumer Discretionary</t>
        </is>
      </c>
      <c r="F351" t="inlineStr"/>
      <c r="G351" t="inlineStr"/>
      <c r="H351" t="inlineStr">
        <is>
          <t>2.15%</t>
        </is>
      </c>
      <c r="I351" t="inlineStr">
        <is>
          <t>0.00%</t>
        </is>
      </c>
    </row>
    <row r="352">
      <c r="A352" s="2" t="n">
        <v>45982</v>
      </c>
      <c r="B352" t="inlineStr">
        <is>
          <t>P2726</t>
        </is>
      </c>
      <c r="C352" t="inlineStr">
        <is>
          <t>GICS_INDUSTRY_NAME</t>
        </is>
      </c>
      <c r="D352" t="inlineStr">
        <is>
          <t>Automobiles</t>
        </is>
      </c>
      <c r="E352" t="inlineStr">
        <is>
          <t>Consumer Discretionary</t>
        </is>
      </c>
      <c r="F352" t="inlineStr"/>
      <c r="G352" t="inlineStr"/>
      <c r="H352" t="inlineStr">
        <is>
          <t>2.15%</t>
        </is>
      </c>
      <c r="I352" t="inlineStr">
        <is>
          <t>0.00%</t>
        </is>
      </c>
    </row>
    <row r="353">
      <c r="A353" s="2" t="n">
        <v>45982</v>
      </c>
      <c r="B353" t="inlineStr">
        <is>
          <t>P2726</t>
        </is>
      </c>
      <c r="C353" t="inlineStr">
        <is>
          <t>GICS_INDUSTRY_NAME</t>
        </is>
      </c>
      <c r="D353" t="inlineStr">
        <is>
          <t>Biotechnology</t>
        </is>
      </c>
      <c r="E353" t="inlineStr">
        <is>
          <t>Health Care</t>
        </is>
      </c>
      <c r="F353" t="inlineStr"/>
      <c r="G353" t="inlineStr"/>
      <c r="H353" t="inlineStr">
        <is>
          <t>2.01%</t>
        </is>
      </c>
      <c r="I353" t="inlineStr">
        <is>
          <t>0.00%</t>
        </is>
      </c>
    </row>
    <row r="354">
      <c r="A354" s="2" t="n">
        <v>45982</v>
      </c>
      <c r="B354" t="inlineStr">
        <is>
          <t>P2726</t>
        </is>
      </c>
      <c r="C354" t="inlineStr">
        <is>
          <t>GICS_INDUSTRY_NAME</t>
        </is>
      </c>
      <c r="D354" t="inlineStr">
        <is>
          <t>Health Care Providers &amp; Services</t>
        </is>
      </c>
      <c r="E354" t="inlineStr">
        <is>
          <t>Health Care</t>
        </is>
      </c>
      <c r="F354" t="inlineStr"/>
      <c r="G354" t="inlineStr"/>
      <c r="H354" t="inlineStr">
        <is>
          <t>1.96%</t>
        </is>
      </c>
      <c r="I354" t="inlineStr">
        <is>
          <t>0.00%</t>
        </is>
      </c>
    </row>
    <row r="355">
      <c r="A355" s="2" t="n">
        <v>45982</v>
      </c>
      <c r="B355" t="inlineStr">
        <is>
          <t>P2726</t>
        </is>
      </c>
      <c r="C355" t="inlineStr">
        <is>
          <t>GICS_INDUSTRY_GROUP_NAME</t>
        </is>
      </c>
      <c r="D355" t="inlineStr">
        <is>
          <t>Consumer Staples Distribution &amp; Retail</t>
        </is>
      </c>
      <c r="E355" t="inlineStr">
        <is>
          <t>Consumer Staples</t>
        </is>
      </c>
      <c r="F355" t="inlineStr"/>
      <c r="G355" t="inlineStr"/>
      <c r="H355" t="inlineStr">
        <is>
          <t>1.79%</t>
        </is>
      </c>
      <c r="I355" t="inlineStr">
        <is>
          <t>0.00%</t>
        </is>
      </c>
    </row>
    <row r="356">
      <c r="A356" s="2" t="n">
        <v>45982</v>
      </c>
      <c r="B356" t="inlineStr">
        <is>
          <t>P2726</t>
        </is>
      </c>
      <c r="C356" t="inlineStr">
        <is>
          <t>GICS_INDUSTRY_NAME</t>
        </is>
      </c>
      <c r="D356" t="inlineStr">
        <is>
          <t>Consumer Staples Distribution &amp; Retail</t>
        </is>
      </c>
      <c r="E356" t="inlineStr">
        <is>
          <t>Consumer Staples</t>
        </is>
      </c>
      <c r="F356" t="inlineStr"/>
      <c r="G356" t="inlineStr"/>
      <c r="H356" t="inlineStr">
        <is>
          <t>1.79%</t>
        </is>
      </c>
      <c r="I356" t="inlineStr">
        <is>
          <t>0.00%</t>
        </is>
      </c>
    </row>
    <row r="357">
      <c r="A357" s="2" t="n">
        <v>45982</v>
      </c>
      <c r="B357" t="inlineStr">
        <is>
          <t>P2726</t>
        </is>
      </c>
      <c r="C357" t="inlineStr">
        <is>
          <t>GICS_INDUSTRY_GROUP_NAME</t>
        </is>
      </c>
      <c r="D357" t="inlineStr">
        <is>
          <t>Consumer Services</t>
        </is>
      </c>
      <c r="E357" t="inlineStr">
        <is>
          <t>Consumer Discretionary</t>
        </is>
      </c>
      <c r="F357" t="inlineStr"/>
      <c r="G357" t="inlineStr"/>
      <c r="H357" t="inlineStr">
        <is>
          <t>1.72%</t>
        </is>
      </c>
      <c r="I357" t="inlineStr">
        <is>
          <t>0.00%</t>
        </is>
      </c>
    </row>
    <row r="358">
      <c r="A358" s="2" t="n">
        <v>45982</v>
      </c>
      <c r="B358" t="inlineStr">
        <is>
          <t>P2726</t>
        </is>
      </c>
      <c r="C358" t="inlineStr">
        <is>
          <t>GICS_INDUSTRY_NAME</t>
        </is>
      </c>
      <c r="D358" t="inlineStr">
        <is>
          <t>Hotels, Restaurants &amp; Leisure</t>
        </is>
      </c>
      <c r="E358" t="inlineStr">
        <is>
          <t>Consumer Discretionary</t>
        </is>
      </c>
      <c r="F358" t="inlineStr"/>
      <c r="G358" t="inlineStr"/>
      <c r="H358" t="inlineStr">
        <is>
          <t>1.72%</t>
        </is>
      </c>
      <c r="I358" t="inlineStr">
        <is>
          <t>0.00%</t>
        </is>
      </c>
    </row>
    <row r="359">
      <c r="A359" s="2" t="n">
        <v>45982</v>
      </c>
      <c r="B359" t="inlineStr">
        <is>
          <t>P2726</t>
        </is>
      </c>
      <c r="C359" t="inlineStr">
        <is>
          <t>GICS_INDUSTRY_GROUP_NAME</t>
        </is>
      </c>
      <c r="D359" t="inlineStr">
        <is>
          <t>Materials</t>
        </is>
      </c>
      <c r="E359" t="inlineStr">
        <is>
          <t>Materials</t>
        </is>
      </c>
      <c r="F359" t="inlineStr"/>
      <c r="G359" t="inlineStr"/>
      <c r="H359" t="inlineStr">
        <is>
          <t>1.70%</t>
        </is>
      </c>
      <c r="I359" t="inlineStr">
        <is>
          <t>0.00%</t>
        </is>
      </c>
    </row>
    <row r="360">
      <c r="A360" s="2" t="n">
        <v>45982</v>
      </c>
      <c r="B360" t="inlineStr">
        <is>
          <t>P2726</t>
        </is>
      </c>
      <c r="C360" t="inlineStr">
        <is>
          <t>GICS_INDUSTRY_NAME</t>
        </is>
      </c>
      <c r="D360" t="inlineStr">
        <is>
          <t>Chemicals</t>
        </is>
      </c>
      <c r="E360" t="inlineStr">
        <is>
          <t>Materials</t>
        </is>
      </c>
      <c r="F360" t="inlineStr"/>
      <c r="G360" t="inlineStr"/>
      <c r="H360" t="inlineStr">
        <is>
          <t>1.70%</t>
        </is>
      </c>
      <c r="I360" t="inlineStr">
        <is>
          <t>0.00%</t>
        </is>
      </c>
    </row>
    <row r="361">
      <c r="A361" s="2" t="n">
        <v>45982</v>
      </c>
      <c r="B361" t="inlineStr">
        <is>
          <t>P2726</t>
        </is>
      </c>
      <c r="C361" t="inlineStr">
        <is>
          <t>GICS_INDUSTRY_NAME</t>
        </is>
      </c>
      <c r="D361" t="inlineStr">
        <is>
          <t>Machinery</t>
        </is>
      </c>
      <c r="E361" t="inlineStr">
        <is>
          <t>Industrials</t>
        </is>
      </c>
      <c r="F361" t="inlineStr"/>
      <c r="G361" t="inlineStr"/>
      <c r="H361" t="inlineStr">
        <is>
          <t>1.52%</t>
        </is>
      </c>
      <c r="I361" t="inlineStr">
        <is>
          <t>0.00%</t>
        </is>
      </c>
    </row>
    <row r="362">
      <c r="A362" s="2" t="n">
        <v>45982</v>
      </c>
      <c r="B362" t="inlineStr">
        <is>
          <t>P2726</t>
        </is>
      </c>
      <c r="C362" t="inlineStr">
        <is>
          <t>GICS_INDUSTRY_GROUP_NAME</t>
        </is>
      </c>
      <c r="D362" t="inlineStr">
        <is>
          <t>Equity Real Estate Investment Trusts</t>
        </is>
      </c>
      <c r="E362" t="inlineStr">
        <is>
          <t>Real Estate</t>
        </is>
      </c>
      <c r="F362" t="inlineStr"/>
      <c r="G362" t="inlineStr"/>
      <c r="H362" t="inlineStr">
        <is>
          <t>1.47%</t>
        </is>
      </c>
      <c r="I362" t="inlineStr">
        <is>
          <t>0.00%</t>
        </is>
      </c>
    </row>
    <row r="363">
      <c r="A363" s="2" t="n">
        <v>45982</v>
      </c>
      <c r="B363" t="inlineStr">
        <is>
          <t>P2726</t>
        </is>
      </c>
      <c r="C363" t="inlineStr">
        <is>
          <t>GICS_INDUSTRY_NAME</t>
        </is>
      </c>
      <c r="D363" t="inlineStr">
        <is>
          <t>Specialized REITs</t>
        </is>
      </c>
      <c r="E363" t="inlineStr">
        <is>
          <t>Real Estate</t>
        </is>
      </c>
      <c r="F363" t="inlineStr"/>
      <c r="G363" t="inlineStr"/>
      <c r="H363" t="inlineStr">
        <is>
          <t>1.47%</t>
        </is>
      </c>
      <c r="I363" t="inlineStr">
        <is>
          <t>0.00%</t>
        </is>
      </c>
    </row>
    <row r="364">
      <c r="A364" s="2" t="n">
        <v>45982</v>
      </c>
      <c r="B364" t="inlineStr">
        <is>
          <t>P2726</t>
        </is>
      </c>
      <c r="C364" t="inlineStr">
        <is>
          <t>GICS_INDUSTRY_GROUP_NAME</t>
        </is>
      </c>
      <c r="D364" t="inlineStr">
        <is>
          <t>Transportation</t>
        </is>
      </c>
      <c r="E364" t="inlineStr">
        <is>
          <t>Industrials</t>
        </is>
      </c>
      <c r="F364" t="inlineStr"/>
      <c r="G364" t="inlineStr"/>
      <c r="H364" t="inlineStr">
        <is>
          <t>1.32%</t>
        </is>
      </c>
      <c r="I364" t="inlineStr">
        <is>
          <t>0.00%</t>
        </is>
      </c>
    </row>
    <row r="365">
      <c r="A365" s="2" t="n">
        <v>45982</v>
      </c>
      <c r="B365" t="inlineStr">
        <is>
          <t>P2726</t>
        </is>
      </c>
      <c r="C365" t="inlineStr">
        <is>
          <t>GICS_INDUSTRY_NAME</t>
        </is>
      </c>
      <c r="D365" t="inlineStr">
        <is>
          <t>Specialty Retail</t>
        </is>
      </c>
      <c r="E365" t="inlineStr">
        <is>
          <t>Consumer Discretionary</t>
        </is>
      </c>
      <c r="F365" t="inlineStr"/>
      <c r="G365" t="inlineStr"/>
      <c r="H365" t="inlineStr">
        <is>
          <t>1.27%</t>
        </is>
      </c>
      <c r="I365" t="inlineStr">
        <is>
          <t>0.00%</t>
        </is>
      </c>
    </row>
    <row r="366">
      <c r="A366" s="2" t="n">
        <v>45982</v>
      </c>
      <c r="B366" t="inlineStr">
        <is>
          <t>P2726</t>
        </is>
      </c>
      <c r="C366" t="inlineStr">
        <is>
          <t>GICS_INDUSTRY_NAME</t>
        </is>
      </c>
      <c r="D366" t="inlineStr">
        <is>
          <t>Beverages</t>
        </is>
      </c>
      <c r="E366" t="inlineStr">
        <is>
          <t>Consumer Staples</t>
        </is>
      </c>
      <c r="F366" t="inlineStr"/>
      <c r="G366" t="inlineStr"/>
      <c r="H366" t="inlineStr">
        <is>
          <t>1.23%</t>
        </is>
      </c>
      <c r="I366" t="inlineStr">
        <is>
          <t>0.00%</t>
        </is>
      </c>
    </row>
    <row r="367">
      <c r="A367" s="2" t="n">
        <v>45982</v>
      </c>
      <c r="B367" t="inlineStr">
        <is>
          <t>P2726</t>
        </is>
      </c>
      <c r="C367" t="inlineStr">
        <is>
          <t>GICS_INDUSTRY_NAME</t>
        </is>
      </c>
      <c r="D367" t="inlineStr">
        <is>
          <t>IT Services</t>
        </is>
      </c>
      <c r="E367" t="inlineStr">
        <is>
          <t>Information Technology</t>
        </is>
      </c>
      <c r="F367" t="inlineStr"/>
      <c r="G367" t="inlineStr"/>
      <c r="H367" t="inlineStr">
        <is>
          <t>1.21%</t>
        </is>
      </c>
      <c r="I367" t="inlineStr">
        <is>
          <t>0.00%</t>
        </is>
      </c>
    </row>
    <row r="368">
      <c r="A368" s="2" t="n">
        <v>45982</v>
      </c>
      <c r="B368" t="inlineStr">
        <is>
          <t>P2726</t>
        </is>
      </c>
      <c r="C368" t="inlineStr">
        <is>
          <t>GICS_INDUSTRY_NAME</t>
        </is>
      </c>
      <c r="D368" t="inlineStr">
        <is>
          <t>Entertainment</t>
        </is>
      </c>
      <c r="E368" t="inlineStr">
        <is>
          <t>Communication Services</t>
        </is>
      </c>
      <c r="F368" t="inlineStr"/>
      <c r="G368" t="inlineStr"/>
      <c r="H368" t="inlineStr">
        <is>
          <t>1.18%</t>
        </is>
      </c>
      <c r="I368" t="inlineStr">
        <is>
          <t>0.00%</t>
        </is>
      </c>
    </row>
    <row r="369">
      <c r="A369" s="2" t="n">
        <v>45982</v>
      </c>
      <c r="B369" t="inlineStr">
        <is>
          <t>P2726</t>
        </is>
      </c>
      <c r="C369" t="inlineStr">
        <is>
          <t>GICS_INDUSTRY_GROUP_NAME</t>
        </is>
      </c>
      <c r="D369" t="inlineStr">
        <is>
          <t>Commercial &amp; Professional Services</t>
        </is>
      </c>
      <c r="E369" t="inlineStr">
        <is>
          <t>Industrials</t>
        </is>
      </c>
      <c r="F369" t="inlineStr"/>
      <c r="G369" t="inlineStr"/>
      <c r="H369" t="inlineStr">
        <is>
          <t>1.10%</t>
        </is>
      </c>
      <c r="I369" t="inlineStr">
        <is>
          <t>0.00%</t>
        </is>
      </c>
    </row>
    <row r="370">
      <c r="A370" s="2" t="n">
        <v>45982</v>
      </c>
      <c r="B370" t="inlineStr">
        <is>
          <t>P2726</t>
        </is>
      </c>
      <c r="C370" t="inlineStr">
        <is>
          <t>GICS_INDUSTRY_NAME</t>
        </is>
      </c>
      <c r="D370" t="inlineStr">
        <is>
          <t>Commercial Services &amp; Supplies</t>
        </is>
      </c>
      <c r="E370" t="inlineStr">
        <is>
          <t>Industrials</t>
        </is>
      </c>
      <c r="F370" t="inlineStr"/>
      <c r="G370" t="inlineStr"/>
      <c r="H370" t="inlineStr">
        <is>
          <t>1.10%</t>
        </is>
      </c>
      <c r="I370" t="inlineStr">
        <is>
          <t>0.00%</t>
        </is>
      </c>
    </row>
    <row r="371">
      <c r="A371" s="2" t="n">
        <v>45982</v>
      </c>
      <c r="B371" t="inlineStr">
        <is>
          <t>P2726</t>
        </is>
      </c>
      <c r="C371" t="inlineStr">
        <is>
          <t>GICS_INDUSTRY_GROUP_NAME</t>
        </is>
      </c>
      <c r="D371" t="inlineStr">
        <is>
          <t>Household &amp; Personal Products</t>
        </is>
      </c>
      <c r="E371" t="inlineStr">
        <is>
          <t>Consumer Staples</t>
        </is>
      </c>
      <c r="F371" t="inlineStr"/>
      <c r="G371" t="inlineStr"/>
      <c r="H371" t="inlineStr">
        <is>
          <t>0.98%</t>
        </is>
      </c>
      <c r="I371" t="inlineStr">
        <is>
          <t>0.00%</t>
        </is>
      </c>
    </row>
    <row r="372">
      <c r="A372" s="2" t="n">
        <v>45982</v>
      </c>
      <c r="B372" t="inlineStr">
        <is>
          <t>P2726</t>
        </is>
      </c>
      <c r="C372" t="inlineStr">
        <is>
          <t>GICS_INDUSTRY_NAME</t>
        </is>
      </c>
      <c r="D372" t="inlineStr">
        <is>
          <t>Household Products</t>
        </is>
      </c>
      <c r="E372" t="inlineStr">
        <is>
          <t>Consumer Staples</t>
        </is>
      </c>
      <c r="F372" t="inlineStr"/>
      <c r="G372" t="inlineStr"/>
      <c r="H372" t="inlineStr">
        <is>
          <t>0.98%</t>
        </is>
      </c>
      <c r="I372" t="inlineStr">
        <is>
          <t>0.00%</t>
        </is>
      </c>
    </row>
    <row r="373">
      <c r="A373" s="2" t="n">
        <v>45982</v>
      </c>
      <c r="B373" t="inlineStr">
        <is>
          <t>P2726</t>
        </is>
      </c>
      <c r="C373" t="inlineStr">
        <is>
          <t>GICS_INDUSTRY_NAME</t>
        </is>
      </c>
      <c r="D373" t="inlineStr">
        <is>
          <t>Life Sciences Tools &amp; Services</t>
        </is>
      </c>
      <c r="E373" t="inlineStr">
        <is>
          <t>Health Care</t>
        </is>
      </c>
      <c r="F373" t="inlineStr"/>
      <c r="G373" t="inlineStr"/>
      <c r="H373" t="inlineStr">
        <is>
          <t>0.97%</t>
        </is>
      </c>
      <c r="I373" t="inlineStr">
        <is>
          <t>0.00%</t>
        </is>
      </c>
    </row>
    <row r="374">
      <c r="A374" s="2" t="n">
        <v>45982</v>
      </c>
      <c r="B374" t="inlineStr">
        <is>
          <t>P2726</t>
        </is>
      </c>
      <c r="C374" t="inlineStr">
        <is>
          <t>GICS_INDUSTRY_NAME</t>
        </is>
      </c>
      <c r="D374" t="inlineStr">
        <is>
          <t>Ground Transportation</t>
        </is>
      </c>
      <c r="E374" t="inlineStr">
        <is>
          <t>Industrials</t>
        </is>
      </c>
      <c r="F374" t="inlineStr"/>
      <c r="G374" t="inlineStr"/>
      <c r="H374" t="inlineStr">
        <is>
          <t>0.93%</t>
        </is>
      </c>
      <c r="I374" t="inlineStr">
        <is>
          <t>0.00%</t>
        </is>
      </c>
    </row>
    <row r="375">
      <c r="A375" s="2" t="n">
        <v>45982</v>
      </c>
      <c r="B375" t="inlineStr">
        <is>
          <t>P2726</t>
        </is>
      </c>
      <c r="C375" t="inlineStr">
        <is>
          <t>GICS_INDUSTRY_NAME</t>
        </is>
      </c>
      <c r="D375" t="inlineStr">
        <is>
          <t>Tobacco</t>
        </is>
      </c>
      <c r="E375" t="inlineStr">
        <is>
          <t>Consumer Staples</t>
        </is>
      </c>
      <c r="F375" t="inlineStr"/>
      <c r="G375" t="inlineStr"/>
      <c r="H375" t="inlineStr">
        <is>
          <t>0.87%</t>
        </is>
      </c>
      <c r="I375" t="inlineStr">
        <is>
          <t>0.00%</t>
        </is>
      </c>
    </row>
    <row r="376">
      <c r="A376" s="2" t="n">
        <v>45982</v>
      </c>
      <c r="B376" t="inlineStr">
        <is>
          <t>P2726</t>
        </is>
      </c>
      <c r="C376" t="inlineStr">
        <is>
          <t>GICS_INDUSTRY_GROUP_NAME</t>
        </is>
      </c>
      <c r="D376" t="inlineStr">
        <is>
          <t>Telecommunication Services</t>
        </is>
      </c>
      <c r="E376" t="inlineStr">
        <is>
          <t>Communication Services</t>
        </is>
      </c>
      <c r="F376" t="inlineStr"/>
      <c r="G376" t="inlineStr"/>
      <c r="H376" t="inlineStr">
        <is>
          <t>0.84%</t>
        </is>
      </c>
      <c r="I376" t="inlineStr">
        <is>
          <t>0.00%</t>
        </is>
      </c>
    </row>
    <row r="377">
      <c r="A377" s="2" t="n">
        <v>45982</v>
      </c>
      <c r="B377" t="inlineStr">
        <is>
          <t>P2726</t>
        </is>
      </c>
      <c r="C377" t="inlineStr">
        <is>
          <t>GICS_INDUSTRY_NAME</t>
        </is>
      </c>
      <c r="D377" t="inlineStr">
        <is>
          <t>Diversified Telecommunication Services</t>
        </is>
      </c>
      <c r="E377" t="inlineStr">
        <is>
          <t>Communication Services</t>
        </is>
      </c>
      <c r="F377" t="inlineStr"/>
      <c r="G377" t="inlineStr"/>
      <c r="H377" t="inlineStr">
        <is>
          <t>0.84%</t>
        </is>
      </c>
      <c r="I377" t="inlineStr">
        <is>
          <t>0.00%</t>
        </is>
      </c>
    </row>
    <row r="378">
      <c r="A378" s="2" t="n">
        <v>45982</v>
      </c>
      <c r="B378" t="inlineStr">
        <is>
          <t>P2726</t>
        </is>
      </c>
      <c r="C378" t="inlineStr">
        <is>
          <t>GICS_INDUSTRY_NAME</t>
        </is>
      </c>
      <c r="D378" t="inlineStr">
        <is>
          <t>Industrial Conglomerates</t>
        </is>
      </c>
      <c r="E378" t="inlineStr">
        <is>
          <t>Industrials</t>
        </is>
      </c>
      <c r="F378" t="inlineStr"/>
      <c r="G378" t="inlineStr"/>
      <c r="H378" t="inlineStr">
        <is>
          <t>0.84%</t>
        </is>
      </c>
      <c r="I378" t="inlineStr">
        <is>
          <t>0.00%</t>
        </is>
      </c>
    </row>
    <row r="379">
      <c r="A379" s="2" t="n">
        <v>45982</v>
      </c>
      <c r="B379" t="inlineStr">
        <is>
          <t>P2726</t>
        </is>
      </c>
      <c r="C379" t="inlineStr">
        <is>
          <t>GICS_INDUSTRY_NAME</t>
        </is>
      </c>
      <c r="D379" t="inlineStr">
        <is>
          <t>Electrical Equipment</t>
        </is>
      </c>
      <c r="E379" t="inlineStr">
        <is>
          <t>Industrials</t>
        </is>
      </c>
      <c r="F379" t="inlineStr"/>
      <c r="G379" t="inlineStr"/>
      <c r="H379" t="inlineStr">
        <is>
          <t>0.79%</t>
        </is>
      </c>
      <c r="I379" t="inlineStr">
        <is>
          <t>0.00%</t>
        </is>
      </c>
    </row>
    <row r="380">
      <c r="A380" s="2" t="n">
        <v>45982</v>
      </c>
      <c r="B380" t="inlineStr">
        <is>
          <t>P2726</t>
        </is>
      </c>
      <c r="C380" t="inlineStr">
        <is>
          <t>GICS_INDUSTRY_NAME</t>
        </is>
      </c>
      <c r="D380" t="inlineStr">
        <is>
          <t>Consumer Finance</t>
        </is>
      </c>
      <c r="E380" t="inlineStr">
        <is>
          <t>Financials</t>
        </is>
      </c>
      <c r="F380" t="inlineStr"/>
      <c r="G380" t="inlineStr"/>
      <c r="H380" t="inlineStr">
        <is>
          <t>0.62%</t>
        </is>
      </c>
      <c r="I380" t="inlineStr">
        <is>
          <t>0.00%</t>
        </is>
      </c>
    </row>
    <row r="381">
      <c r="A381" s="2" t="n">
        <v>45982</v>
      </c>
      <c r="B381" t="inlineStr">
        <is>
          <t>P2726</t>
        </is>
      </c>
      <c r="C381" t="inlineStr">
        <is>
          <t>GICS_INDUSTRY_GROUP_NAME</t>
        </is>
      </c>
      <c r="D381" t="inlineStr">
        <is>
          <t>Consumer Durables &amp; Apparel</t>
        </is>
      </c>
      <c r="E381" t="inlineStr">
        <is>
          <t>Consumer Discretionary</t>
        </is>
      </c>
      <c r="F381" t="inlineStr"/>
      <c r="G381" t="inlineStr"/>
      <c r="H381" t="inlineStr">
        <is>
          <t>0.53%</t>
        </is>
      </c>
      <c r="I381" t="inlineStr">
        <is>
          <t>0.00%</t>
        </is>
      </c>
    </row>
    <row r="382">
      <c r="A382" s="2" t="n">
        <v>45982</v>
      </c>
      <c r="B382" t="inlineStr">
        <is>
          <t>P2726</t>
        </is>
      </c>
      <c r="C382" t="inlineStr">
        <is>
          <t>GICS_INDUSTRY_NAME</t>
        </is>
      </c>
      <c r="D382" t="inlineStr">
        <is>
          <t>Textiles, Apparel &amp; Luxury Goods</t>
        </is>
      </c>
      <c r="E382" t="inlineStr">
        <is>
          <t>Consumer Discretionary</t>
        </is>
      </c>
      <c r="F382" t="inlineStr"/>
      <c r="G382" t="inlineStr"/>
      <c r="H382" t="inlineStr">
        <is>
          <t>0.53%</t>
        </is>
      </c>
      <c r="I382" t="inlineStr">
        <is>
          <t>0.00%</t>
        </is>
      </c>
    </row>
    <row r="383">
      <c r="A383" s="2" t="n">
        <v>45982</v>
      </c>
      <c r="B383" t="inlineStr">
        <is>
          <t>P2726</t>
        </is>
      </c>
      <c r="C383" t="inlineStr">
        <is>
          <t>GICS_INDUSTRY_NAME</t>
        </is>
      </c>
      <c r="D383" t="inlineStr">
        <is>
          <t>Air Freight &amp; Logistics</t>
        </is>
      </c>
      <c r="E383" t="inlineStr">
        <is>
          <t>Industrials</t>
        </is>
      </c>
      <c r="F383" t="inlineStr"/>
      <c r="G383" t="inlineStr"/>
      <c r="H383" t="inlineStr">
        <is>
          <t>0.39%</t>
        </is>
      </c>
      <c r="I383" t="inlineStr">
        <is>
          <t>0.00%</t>
        </is>
      </c>
    </row>
    <row r="384">
      <c r="A384" s="2" t="n">
        <v>45982</v>
      </c>
      <c r="B384" t="inlineStr">
        <is>
          <t>P2726</t>
        </is>
      </c>
      <c r="C384" t="inlineStr">
        <is>
          <t>GICS_INDUSTRY_NAME</t>
        </is>
      </c>
      <c r="D384" t="inlineStr">
        <is>
          <t>Media</t>
        </is>
      </c>
      <c r="E384" t="inlineStr">
        <is>
          <t>Communication Services</t>
        </is>
      </c>
      <c r="F384" t="inlineStr"/>
      <c r="G384" t="inlineStr"/>
      <c r="H384" t="inlineStr">
        <is>
          <t>0.19%</t>
        </is>
      </c>
      <c r="I384" t="inlineStr">
        <is>
          <t>0.00%</t>
        </is>
      </c>
    </row>
    <row r="385">
      <c r="A385" s="2" t="n">
        <v>45982</v>
      </c>
      <c r="B385" t="inlineStr">
        <is>
          <t>P2726</t>
        </is>
      </c>
      <c r="C385" t="inlineStr">
        <is>
          <t>GICS_INDUSTRY_NAME</t>
        </is>
      </c>
      <c r="D385" t="inlineStr">
        <is>
          <t>Food Products</t>
        </is>
      </c>
      <c r="E385" t="inlineStr">
        <is>
          <t>Consumer Staples</t>
        </is>
      </c>
      <c r="F385" t="inlineStr"/>
      <c r="G385" t="inlineStr"/>
      <c r="H385" t="inlineStr">
        <is>
          <t>0.19%</t>
        </is>
      </c>
      <c r="I385" t="inlineStr">
        <is>
          <t>0.00%</t>
        </is>
      </c>
    </row>
    <row r="386">
      <c r="A386" s="2" t="n">
        <v>45982</v>
      </c>
      <c r="B386" t="inlineStr">
        <is>
          <t>P30128</t>
        </is>
      </c>
      <c r="C386" t="inlineStr">
        <is>
          <t>GICS_INDUSTRY_GROUP_NAME</t>
        </is>
      </c>
      <c r="D386" t="inlineStr">
        <is>
          <t>Semiconductors &amp; Semiconductor Equipment</t>
        </is>
      </c>
      <c r="E386" t="inlineStr">
        <is>
          <t>Information Technology</t>
        </is>
      </c>
      <c r="F386" t="inlineStr"/>
      <c r="G386" t="inlineStr"/>
      <c r="H386" t="inlineStr">
        <is>
          <t>14.93%</t>
        </is>
      </c>
      <c r="I386" t="inlineStr">
        <is>
          <t>0.00%</t>
        </is>
      </c>
    </row>
    <row r="387">
      <c r="A387" s="2" t="n">
        <v>45982</v>
      </c>
      <c r="B387" t="inlineStr">
        <is>
          <t>P30128</t>
        </is>
      </c>
      <c r="C387" t="inlineStr">
        <is>
          <t>GICS_INDUSTRY_NAME</t>
        </is>
      </c>
      <c r="D387" t="inlineStr">
        <is>
          <t>Semiconductors &amp; Semiconductor Equipment</t>
        </is>
      </c>
      <c r="E387" t="inlineStr">
        <is>
          <t>Information Technology</t>
        </is>
      </c>
      <c r="F387" t="inlineStr"/>
      <c r="G387" t="inlineStr"/>
      <c r="H387" t="inlineStr">
        <is>
          <t>14.93%</t>
        </is>
      </c>
      <c r="I387" t="inlineStr">
        <is>
          <t>0.00%</t>
        </is>
      </c>
    </row>
    <row r="388">
      <c r="A388" s="2" t="n">
        <v>45982</v>
      </c>
      <c r="B388" t="inlineStr">
        <is>
          <t>P30128</t>
        </is>
      </c>
      <c r="C388" t="inlineStr">
        <is>
          <t>GICS_INDUSTRY_GROUP_NAME</t>
        </is>
      </c>
      <c r="D388" t="inlineStr">
        <is>
          <t>Technology Hardware &amp; Equipment</t>
        </is>
      </c>
      <c r="E388" t="inlineStr">
        <is>
          <t>Information Technology</t>
        </is>
      </c>
      <c r="F388" t="inlineStr"/>
      <c r="G388" t="inlineStr"/>
      <c r="H388" t="inlineStr">
        <is>
          <t>9.80%</t>
        </is>
      </c>
      <c r="I388" t="inlineStr">
        <is>
          <t>0.00%</t>
        </is>
      </c>
    </row>
    <row r="389">
      <c r="A389" s="2" t="n">
        <v>45982</v>
      </c>
      <c r="B389" t="inlineStr">
        <is>
          <t>P30128</t>
        </is>
      </c>
      <c r="C389" t="inlineStr">
        <is>
          <t>GICS_INDUSTRY_GROUP_NAME</t>
        </is>
      </c>
      <c r="D389" t="inlineStr">
        <is>
          <t>Software &amp; Services</t>
        </is>
      </c>
      <c r="E389" t="inlineStr">
        <is>
          <t>Information Technology</t>
        </is>
      </c>
      <c r="F389" t="inlineStr"/>
      <c r="G389" t="inlineStr"/>
      <c r="H389" t="inlineStr">
        <is>
          <t>9.74%</t>
        </is>
      </c>
      <c r="I389" t="inlineStr">
        <is>
          <t>0.00%</t>
        </is>
      </c>
    </row>
    <row r="390">
      <c r="A390" s="2" t="n">
        <v>45982</v>
      </c>
      <c r="B390" t="inlineStr">
        <is>
          <t>P30128</t>
        </is>
      </c>
      <c r="C390" t="inlineStr">
        <is>
          <t>GICS_INDUSTRY_GROUP_NAME</t>
        </is>
      </c>
      <c r="D390" t="inlineStr">
        <is>
          <t>Media &amp; Entertainment</t>
        </is>
      </c>
      <c r="E390" t="inlineStr">
        <is>
          <t>Communication Services</t>
        </is>
      </c>
      <c r="F390" t="inlineStr"/>
      <c r="G390" t="inlineStr"/>
      <c r="H390" t="inlineStr">
        <is>
          <t>9.70%</t>
        </is>
      </c>
      <c r="I390" t="inlineStr">
        <is>
          <t>0.00%</t>
        </is>
      </c>
    </row>
    <row r="391">
      <c r="A391" s="2" t="n">
        <v>45982</v>
      </c>
      <c r="B391" t="inlineStr">
        <is>
          <t>P30128</t>
        </is>
      </c>
      <c r="C391" t="inlineStr">
        <is>
          <t>GICS_INDUSTRY_NAME</t>
        </is>
      </c>
      <c r="D391" t="inlineStr">
        <is>
          <t>Software</t>
        </is>
      </c>
      <c r="E391" t="inlineStr">
        <is>
          <t>Information Technology</t>
        </is>
      </c>
      <c r="F391" t="inlineStr"/>
      <c r="G391" t="inlineStr"/>
      <c r="H391" t="inlineStr">
        <is>
          <t>8.53%</t>
        </is>
      </c>
      <c r="I391" t="inlineStr">
        <is>
          <t>0.00%</t>
        </is>
      </c>
    </row>
    <row r="392">
      <c r="A392" s="2" t="n">
        <v>45982</v>
      </c>
      <c r="B392" t="inlineStr">
        <is>
          <t>P30128</t>
        </is>
      </c>
      <c r="C392" t="inlineStr">
        <is>
          <t>GICS_INDUSTRY_NAME</t>
        </is>
      </c>
      <c r="D392" t="inlineStr">
        <is>
          <t>Interactive Media &amp; Services</t>
        </is>
      </c>
      <c r="E392" t="inlineStr">
        <is>
          <t>Communication Services</t>
        </is>
      </c>
      <c r="F392" t="inlineStr"/>
      <c r="G392" t="inlineStr"/>
      <c r="H392" t="inlineStr">
        <is>
          <t>8.32%</t>
        </is>
      </c>
      <c r="I392" t="inlineStr">
        <is>
          <t>0.00%</t>
        </is>
      </c>
    </row>
    <row r="393">
      <c r="A393" s="2" t="n">
        <v>45982</v>
      </c>
      <c r="B393" t="inlineStr">
        <is>
          <t>P30128</t>
        </is>
      </c>
      <c r="C393" t="inlineStr">
        <is>
          <t>GICS_INDUSTRY_NAME</t>
        </is>
      </c>
      <c r="D393" t="inlineStr">
        <is>
          <t>Technology Hardware, Storage &amp; Peripherals</t>
        </is>
      </c>
      <c r="E393" t="inlineStr">
        <is>
          <t>Information Technology</t>
        </is>
      </c>
      <c r="F393" t="inlineStr"/>
      <c r="G393" t="inlineStr"/>
      <c r="H393" t="inlineStr">
        <is>
          <t>7.62%</t>
        </is>
      </c>
      <c r="I393" t="inlineStr">
        <is>
          <t>0.00%</t>
        </is>
      </c>
    </row>
    <row r="394">
      <c r="A394" s="2" t="n">
        <v>45982</v>
      </c>
      <c r="B394" t="inlineStr">
        <is>
          <t>P30128</t>
        </is>
      </c>
      <c r="C394" t="inlineStr">
        <is>
          <t>GICS_INDUSTRY_GROUP_NAME</t>
        </is>
      </c>
      <c r="D394" t="inlineStr">
        <is>
          <t>Financial Services</t>
        </is>
      </c>
      <c r="E394" t="inlineStr">
        <is>
          <t>Financials</t>
        </is>
      </c>
      <c r="F394" t="inlineStr"/>
      <c r="G394" t="inlineStr"/>
      <c r="H394" t="inlineStr">
        <is>
          <t>6.64%</t>
        </is>
      </c>
      <c r="I394" t="inlineStr">
        <is>
          <t>0.00%</t>
        </is>
      </c>
    </row>
    <row r="395">
      <c r="A395" s="2" t="n">
        <v>45982</v>
      </c>
      <c r="B395" t="inlineStr">
        <is>
          <t>P30128</t>
        </is>
      </c>
      <c r="C395" t="inlineStr">
        <is>
          <t>GICS_INDUSTRY_GROUP_NAME</t>
        </is>
      </c>
      <c r="D395" t="inlineStr">
        <is>
          <t>Capital Goods</t>
        </is>
      </c>
      <c r="E395" t="inlineStr">
        <is>
          <t>Industrials</t>
        </is>
      </c>
      <c r="F395" t="inlineStr"/>
      <c r="G395" t="inlineStr"/>
      <c r="H395" t="inlineStr">
        <is>
          <t>6.16%</t>
        </is>
      </c>
      <c r="I395" t="inlineStr">
        <is>
          <t>0.00%</t>
        </is>
      </c>
    </row>
    <row r="396">
      <c r="A396" s="2" t="n">
        <v>45982</v>
      </c>
      <c r="B396" t="inlineStr">
        <is>
          <t>P30128</t>
        </is>
      </c>
      <c r="C396" t="inlineStr">
        <is>
          <t>GICS_INDUSTRY_GROUP_NAME</t>
        </is>
      </c>
      <c r="D396" t="inlineStr">
        <is>
          <t>Pharmaceuticals, Biotechnology &amp; Life Sciences</t>
        </is>
      </c>
      <c r="E396" t="inlineStr">
        <is>
          <t>Health Care</t>
        </is>
      </c>
      <c r="F396" t="inlineStr"/>
      <c r="G396" t="inlineStr"/>
      <c r="H396" t="inlineStr">
        <is>
          <t>5.57%</t>
        </is>
      </c>
      <c r="I396" t="inlineStr">
        <is>
          <t>0.00%</t>
        </is>
      </c>
    </row>
    <row r="397">
      <c r="A397" s="2" t="n">
        <v>45982</v>
      </c>
      <c r="B397" t="inlineStr">
        <is>
          <t>P30128</t>
        </is>
      </c>
      <c r="C397" t="inlineStr">
        <is>
          <t>GICS_INDUSTRY_GROUP_NAME</t>
        </is>
      </c>
      <c r="D397" t="inlineStr">
        <is>
          <t>Consumer Discretionary Distribution &amp; Retail</t>
        </is>
      </c>
      <c r="E397" t="inlineStr">
        <is>
          <t>Consumer Discretionary</t>
        </is>
      </c>
      <c r="F397" t="inlineStr"/>
      <c r="G397" t="inlineStr"/>
      <c r="H397" t="inlineStr">
        <is>
          <t>5.33%</t>
        </is>
      </c>
      <c r="I397" t="inlineStr">
        <is>
          <t>0.00%</t>
        </is>
      </c>
    </row>
    <row r="398">
      <c r="A398" s="2" t="n">
        <v>45982</v>
      </c>
      <c r="B398" t="inlineStr">
        <is>
          <t>P30128</t>
        </is>
      </c>
      <c r="C398" t="inlineStr">
        <is>
          <t>GICS_INDUSTRY_GROUP_NAME</t>
        </is>
      </c>
      <c r="D398" t="inlineStr">
        <is>
          <t>Banks</t>
        </is>
      </c>
      <c r="E398" t="inlineStr">
        <is>
          <t>Financials</t>
        </is>
      </c>
      <c r="F398" t="inlineStr"/>
      <c r="G398" t="inlineStr"/>
      <c r="H398" t="inlineStr">
        <is>
          <t>4.47%</t>
        </is>
      </c>
      <c r="I398" t="inlineStr">
        <is>
          <t>0.00%</t>
        </is>
      </c>
    </row>
    <row r="399">
      <c r="A399" s="2" t="n">
        <v>45982</v>
      </c>
      <c r="B399" t="inlineStr">
        <is>
          <t>P30128</t>
        </is>
      </c>
      <c r="C399" t="inlineStr">
        <is>
          <t>GICS_INDUSTRY_NAME</t>
        </is>
      </c>
      <c r="D399" t="inlineStr">
        <is>
          <t>Banks</t>
        </is>
      </c>
      <c r="E399" t="inlineStr">
        <is>
          <t>Financials</t>
        </is>
      </c>
      <c r="F399" t="inlineStr"/>
      <c r="G399" t="inlineStr"/>
      <c r="H399" t="inlineStr">
        <is>
          <t>4.47%</t>
        </is>
      </c>
      <c r="I399" t="inlineStr">
        <is>
          <t>0.00%</t>
        </is>
      </c>
    </row>
    <row r="400">
      <c r="A400" s="2" t="n">
        <v>45982</v>
      </c>
      <c r="B400" t="inlineStr">
        <is>
          <t>P30128</t>
        </is>
      </c>
      <c r="C400" t="inlineStr">
        <is>
          <t>GICS_INDUSTRY_GROUP_NAME</t>
        </is>
      </c>
      <c r="D400" t="inlineStr">
        <is>
          <t>Health Care Equipment &amp; Services</t>
        </is>
      </c>
      <c r="E400" t="inlineStr">
        <is>
          <t>Health Care</t>
        </is>
      </c>
      <c r="F400" t="inlineStr"/>
      <c r="G400" t="inlineStr"/>
      <c r="H400" t="inlineStr">
        <is>
          <t>4.28%</t>
        </is>
      </c>
      <c r="I400" t="inlineStr">
        <is>
          <t>0.00%</t>
        </is>
      </c>
    </row>
    <row r="401">
      <c r="A401" s="2" t="n">
        <v>45982</v>
      </c>
      <c r="B401" t="inlineStr">
        <is>
          <t>P30128</t>
        </is>
      </c>
      <c r="C401" t="inlineStr">
        <is>
          <t>GICS_INDUSTRY_NAME</t>
        </is>
      </c>
      <c r="D401" t="inlineStr">
        <is>
          <t>Broadline Retail</t>
        </is>
      </c>
      <c r="E401" t="inlineStr">
        <is>
          <t>Consumer Discretionary</t>
        </is>
      </c>
      <c r="F401" t="inlineStr"/>
      <c r="G401" t="inlineStr"/>
      <c r="H401" t="inlineStr">
        <is>
          <t>4.06%</t>
        </is>
      </c>
      <c r="I401" t="inlineStr">
        <is>
          <t>0.00%</t>
        </is>
      </c>
    </row>
    <row r="402">
      <c r="A402" s="2" t="n">
        <v>45982</v>
      </c>
      <c r="B402" t="inlineStr">
        <is>
          <t>P30128</t>
        </is>
      </c>
      <c r="C402" t="inlineStr">
        <is>
          <t>GICS_INDUSTRY_NAME</t>
        </is>
      </c>
      <c r="D402" t="inlineStr">
        <is>
          <t>Financial Services</t>
        </is>
      </c>
      <c r="E402" t="inlineStr">
        <is>
          <t>Financials</t>
        </is>
      </c>
      <c r="F402" t="inlineStr"/>
      <c r="G402" t="inlineStr"/>
      <c r="H402" t="inlineStr">
        <is>
          <t>3.34%</t>
        </is>
      </c>
      <c r="I402" t="inlineStr">
        <is>
          <t>0.00%</t>
        </is>
      </c>
    </row>
    <row r="403">
      <c r="A403" s="2" t="n">
        <v>45982</v>
      </c>
      <c r="B403" t="inlineStr">
        <is>
          <t>P30128</t>
        </is>
      </c>
      <c r="C403" t="inlineStr">
        <is>
          <t>GICS_INDUSTRY_NAME</t>
        </is>
      </c>
      <c r="D403" t="inlineStr">
        <is>
          <t>Aerospace &amp; Defense</t>
        </is>
      </c>
      <c r="E403" t="inlineStr">
        <is>
          <t>Industrials</t>
        </is>
      </c>
      <c r="F403" t="inlineStr"/>
      <c r="G403" t="inlineStr"/>
      <c r="H403" t="inlineStr">
        <is>
          <t>3.01%</t>
        </is>
      </c>
      <c r="I403" t="inlineStr">
        <is>
          <t>0.00%</t>
        </is>
      </c>
    </row>
    <row r="404">
      <c r="A404" s="2" t="n">
        <v>45982</v>
      </c>
      <c r="B404" t="inlineStr">
        <is>
          <t>P30128</t>
        </is>
      </c>
      <c r="C404" t="inlineStr">
        <is>
          <t>GICS_INDUSTRY_GROUP_NAME</t>
        </is>
      </c>
      <c r="D404" t="inlineStr">
        <is>
          <t>Energy</t>
        </is>
      </c>
      <c r="E404" t="inlineStr">
        <is>
          <t>Energy</t>
        </is>
      </c>
      <c r="F404" t="inlineStr"/>
      <c r="G404" t="inlineStr"/>
      <c r="H404" t="inlineStr">
        <is>
          <t>2.88%</t>
        </is>
      </c>
      <c r="I404" t="inlineStr">
        <is>
          <t>0.00%</t>
        </is>
      </c>
    </row>
    <row r="405">
      <c r="A405" s="2" t="n">
        <v>45982</v>
      </c>
      <c r="B405" t="inlineStr">
        <is>
          <t>P30128</t>
        </is>
      </c>
      <c r="C405" t="inlineStr">
        <is>
          <t>GICS_INDUSTRY_NAME</t>
        </is>
      </c>
      <c r="D405" t="inlineStr">
        <is>
          <t>Oil, Gas &amp; Consumable Fuels</t>
        </is>
      </c>
      <c r="E405" t="inlineStr">
        <is>
          <t>Energy</t>
        </is>
      </c>
      <c r="F405" t="inlineStr"/>
      <c r="G405" t="inlineStr"/>
      <c r="H405" t="inlineStr">
        <is>
          <t>2.88%</t>
        </is>
      </c>
      <c r="I405" t="inlineStr">
        <is>
          <t>0.00%</t>
        </is>
      </c>
    </row>
    <row r="406">
      <c r="A406" s="2" t="n">
        <v>45982</v>
      </c>
      <c r="B406" t="inlineStr">
        <is>
          <t>P30128</t>
        </is>
      </c>
      <c r="C406" t="inlineStr">
        <is>
          <t>GICS_INDUSTRY_NAME</t>
        </is>
      </c>
      <c r="D406" t="inlineStr">
        <is>
          <t>Capital Markets</t>
        </is>
      </c>
      <c r="E406" t="inlineStr">
        <is>
          <t>Financials</t>
        </is>
      </c>
      <c r="F406" t="inlineStr"/>
      <c r="G406" t="inlineStr"/>
      <c r="H406" t="inlineStr">
        <is>
          <t>2.68%</t>
        </is>
      </c>
      <c r="I406" t="inlineStr">
        <is>
          <t>0.00%</t>
        </is>
      </c>
    </row>
    <row r="407">
      <c r="A407" s="2" t="n">
        <v>45982</v>
      </c>
      <c r="B407" t="inlineStr">
        <is>
          <t>P30128</t>
        </is>
      </c>
      <c r="C407" t="inlineStr">
        <is>
          <t>GICS_INDUSTRY_NAME</t>
        </is>
      </c>
      <c r="D407" t="inlineStr">
        <is>
          <t>Pharmaceuticals</t>
        </is>
      </c>
      <c r="E407" t="inlineStr">
        <is>
          <t>Health Care</t>
        </is>
      </c>
      <c r="F407" t="inlineStr"/>
      <c r="G407" t="inlineStr"/>
      <c r="H407" t="inlineStr">
        <is>
          <t>2.59%</t>
        </is>
      </c>
      <c r="I407" t="inlineStr">
        <is>
          <t>0.00%</t>
        </is>
      </c>
    </row>
    <row r="408">
      <c r="A408" s="2" t="n">
        <v>45982</v>
      </c>
      <c r="B408" t="inlineStr">
        <is>
          <t>P30128</t>
        </is>
      </c>
      <c r="C408" t="inlineStr">
        <is>
          <t>GICS_INDUSTRY_NAME</t>
        </is>
      </c>
      <c r="D408" t="inlineStr">
        <is>
          <t>Health Care Equipment &amp; Supplies</t>
        </is>
      </c>
      <c r="E408" t="inlineStr">
        <is>
          <t>Health Care</t>
        </is>
      </c>
      <c r="F408" t="inlineStr"/>
      <c r="G408" t="inlineStr"/>
      <c r="H408" t="inlineStr">
        <is>
          <t>2.32%</t>
        </is>
      </c>
      <c r="I408" t="inlineStr">
        <is>
          <t>0.00%</t>
        </is>
      </c>
    </row>
    <row r="409">
      <c r="A409" s="2" t="n">
        <v>45982</v>
      </c>
      <c r="B409" t="inlineStr">
        <is>
          <t>P30128</t>
        </is>
      </c>
      <c r="C409" t="inlineStr">
        <is>
          <t>GICS_INDUSTRY_GROUP_NAME</t>
        </is>
      </c>
      <c r="D409" t="inlineStr">
        <is>
          <t>Insurance</t>
        </is>
      </c>
      <c r="E409" t="inlineStr">
        <is>
          <t>Financials</t>
        </is>
      </c>
      <c r="F409" t="inlineStr"/>
      <c r="G409" t="inlineStr"/>
      <c r="H409" t="inlineStr">
        <is>
          <t>2.31%</t>
        </is>
      </c>
      <c r="I409" t="inlineStr">
        <is>
          <t>0.00%</t>
        </is>
      </c>
    </row>
    <row r="410">
      <c r="A410" s="2" t="n">
        <v>45982</v>
      </c>
      <c r="B410" t="inlineStr">
        <is>
          <t>P30128</t>
        </is>
      </c>
      <c r="C410" t="inlineStr">
        <is>
          <t>GICS_INDUSTRY_NAME</t>
        </is>
      </c>
      <c r="D410" t="inlineStr">
        <is>
          <t>Insurance</t>
        </is>
      </c>
      <c r="E410" t="inlineStr">
        <is>
          <t>Financials</t>
        </is>
      </c>
      <c r="F410" t="inlineStr"/>
      <c r="G410" t="inlineStr"/>
      <c r="H410" t="inlineStr">
        <is>
          <t>2.31%</t>
        </is>
      </c>
      <c r="I410" t="inlineStr">
        <is>
          <t>0.00%</t>
        </is>
      </c>
    </row>
    <row r="411">
      <c r="A411" s="2" t="n">
        <v>45982</v>
      </c>
      <c r="B411" t="inlineStr">
        <is>
          <t>P30128</t>
        </is>
      </c>
      <c r="C411" t="inlineStr">
        <is>
          <t>GICS_INDUSTRY_GROUP_NAME</t>
        </is>
      </c>
      <c r="D411" t="inlineStr">
        <is>
          <t>Utilities</t>
        </is>
      </c>
      <c r="E411" t="inlineStr">
        <is>
          <t>Utilities</t>
        </is>
      </c>
      <c r="F411" t="inlineStr"/>
      <c r="G411" t="inlineStr"/>
      <c r="H411" t="inlineStr">
        <is>
          <t>2.30%</t>
        </is>
      </c>
      <c r="I411" t="inlineStr">
        <is>
          <t>0.00%</t>
        </is>
      </c>
    </row>
    <row r="412">
      <c r="A412" s="2" t="n">
        <v>45982</v>
      </c>
      <c r="B412" t="inlineStr">
        <is>
          <t>P30128</t>
        </is>
      </c>
      <c r="C412" t="inlineStr">
        <is>
          <t>GICS_INDUSTRY_NAME</t>
        </is>
      </c>
      <c r="D412" t="inlineStr">
        <is>
          <t>Electric Utilities</t>
        </is>
      </c>
      <c r="E412" t="inlineStr">
        <is>
          <t>Utilities</t>
        </is>
      </c>
      <c r="F412" t="inlineStr"/>
      <c r="G412" t="inlineStr"/>
      <c r="H412" t="inlineStr">
        <is>
          <t>2.30%</t>
        </is>
      </c>
      <c r="I412" t="inlineStr">
        <is>
          <t>0.00%</t>
        </is>
      </c>
    </row>
    <row r="413">
      <c r="A413" s="2" t="n">
        <v>45982</v>
      </c>
      <c r="B413" t="inlineStr">
        <is>
          <t>P30128</t>
        </is>
      </c>
      <c r="C413" t="inlineStr">
        <is>
          <t>GICS_INDUSTRY_GROUP_NAME</t>
        </is>
      </c>
      <c r="D413" t="inlineStr">
        <is>
          <t>Food, Beverage &amp; Tobacco</t>
        </is>
      </c>
      <c r="E413" t="inlineStr">
        <is>
          <t>Consumer Staples</t>
        </is>
      </c>
      <c r="F413" t="inlineStr"/>
      <c r="G413" t="inlineStr"/>
      <c r="H413" t="inlineStr">
        <is>
          <t>2.29%</t>
        </is>
      </c>
      <c r="I413" t="inlineStr">
        <is>
          <t>0.00%</t>
        </is>
      </c>
    </row>
    <row r="414">
      <c r="A414" s="2" t="n">
        <v>45982</v>
      </c>
      <c r="B414" t="inlineStr">
        <is>
          <t>P30128</t>
        </is>
      </c>
      <c r="C414" t="inlineStr">
        <is>
          <t>GICS_INDUSTRY_NAME</t>
        </is>
      </c>
      <c r="D414" t="inlineStr">
        <is>
          <t>Communications Equipment</t>
        </is>
      </c>
      <c r="E414" t="inlineStr">
        <is>
          <t>Information Technology</t>
        </is>
      </c>
      <c r="F414" t="inlineStr"/>
      <c r="G414" t="inlineStr"/>
      <c r="H414" t="inlineStr">
        <is>
          <t>2.19%</t>
        </is>
      </c>
      <c r="I414" t="inlineStr">
        <is>
          <t>0.00%</t>
        </is>
      </c>
    </row>
    <row r="415">
      <c r="A415" s="2" t="n">
        <v>45982</v>
      </c>
      <c r="B415" t="inlineStr">
        <is>
          <t>P30128</t>
        </is>
      </c>
      <c r="C415" t="inlineStr">
        <is>
          <t>GICS_INDUSTRY_GROUP_NAME</t>
        </is>
      </c>
      <c r="D415" t="inlineStr">
        <is>
          <t>Automobiles &amp; Components</t>
        </is>
      </c>
      <c r="E415" t="inlineStr">
        <is>
          <t>Consumer Discretionary</t>
        </is>
      </c>
      <c r="F415" t="inlineStr"/>
      <c r="G415" t="inlineStr"/>
      <c r="H415" t="inlineStr">
        <is>
          <t>2.15%</t>
        </is>
      </c>
      <c r="I415" t="inlineStr">
        <is>
          <t>0.00%</t>
        </is>
      </c>
    </row>
    <row r="416">
      <c r="A416" s="2" t="n">
        <v>45982</v>
      </c>
      <c r="B416" t="inlineStr">
        <is>
          <t>P30128</t>
        </is>
      </c>
      <c r="C416" t="inlineStr">
        <is>
          <t>GICS_INDUSTRY_NAME</t>
        </is>
      </c>
      <c r="D416" t="inlineStr">
        <is>
          <t>Automobiles</t>
        </is>
      </c>
      <c r="E416" t="inlineStr">
        <is>
          <t>Consumer Discretionary</t>
        </is>
      </c>
      <c r="F416" t="inlineStr"/>
      <c r="G416" t="inlineStr"/>
      <c r="H416" t="inlineStr">
        <is>
          <t>2.15%</t>
        </is>
      </c>
      <c r="I416" t="inlineStr">
        <is>
          <t>0.00%</t>
        </is>
      </c>
    </row>
    <row r="417">
      <c r="A417" s="2" t="n">
        <v>45982</v>
      </c>
      <c r="B417" t="inlineStr">
        <is>
          <t>P30128</t>
        </is>
      </c>
      <c r="C417" t="inlineStr">
        <is>
          <t>GICS_INDUSTRY_NAME</t>
        </is>
      </c>
      <c r="D417" t="inlineStr">
        <is>
          <t>Biotechnology</t>
        </is>
      </c>
      <c r="E417" t="inlineStr">
        <is>
          <t>Health Care</t>
        </is>
      </c>
      <c r="F417" t="inlineStr"/>
      <c r="G417" t="inlineStr"/>
      <c r="H417" t="inlineStr">
        <is>
          <t>2.01%</t>
        </is>
      </c>
      <c r="I417" t="inlineStr">
        <is>
          <t>0.00%</t>
        </is>
      </c>
    </row>
    <row r="418">
      <c r="A418" s="2" t="n">
        <v>45982</v>
      </c>
      <c r="B418" t="inlineStr">
        <is>
          <t>P30128</t>
        </is>
      </c>
      <c r="C418" t="inlineStr">
        <is>
          <t>GICS_INDUSTRY_NAME</t>
        </is>
      </c>
      <c r="D418" t="inlineStr">
        <is>
          <t>Health Care Providers &amp; Services</t>
        </is>
      </c>
      <c r="E418" t="inlineStr">
        <is>
          <t>Health Care</t>
        </is>
      </c>
      <c r="F418" t="inlineStr"/>
      <c r="G418" t="inlineStr"/>
      <c r="H418" t="inlineStr">
        <is>
          <t>1.96%</t>
        </is>
      </c>
      <c r="I418" t="inlineStr">
        <is>
          <t>0.00%</t>
        </is>
      </c>
    </row>
    <row r="419">
      <c r="A419" s="2" t="n">
        <v>45982</v>
      </c>
      <c r="B419" t="inlineStr">
        <is>
          <t>P30128</t>
        </is>
      </c>
      <c r="C419" t="inlineStr">
        <is>
          <t>GICS_INDUSTRY_GROUP_NAME</t>
        </is>
      </c>
      <c r="D419" t="inlineStr">
        <is>
          <t>Consumer Staples Distribution &amp; Retail</t>
        </is>
      </c>
      <c r="E419" t="inlineStr">
        <is>
          <t>Consumer Staples</t>
        </is>
      </c>
      <c r="F419" t="inlineStr"/>
      <c r="G419" t="inlineStr"/>
      <c r="H419" t="inlineStr">
        <is>
          <t>1.79%</t>
        </is>
      </c>
      <c r="I419" t="inlineStr">
        <is>
          <t>0.00%</t>
        </is>
      </c>
    </row>
    <row r="420">
      <c r="A420" s="2" t="n">
        <v>45982</v>
      </c>
      <c r="B420" t="inlineStr">
        <is>
          <t>P30128</t>
        </is>
      </c>
      <c r="C420" t="inlineStr">
        <is>
          <t>GICS_INDUSTRY_NAME</t>
        </is>
      </c>
      <c r="D420" t="inlineStr">
        <is>
          <t>Consumer Staples Distribution &amp; Retail</t>
        </is>
      </c>
      <c r="E420" t="inlineStr">
        <is>
          <t>Consumer Staples</t>
        </is>
      </c>
      <c r="F420" t="inlineStr"/>
      <c r="G420" t="inlineStr"/>
      <c r="H420" t="inlineStr">
        <is>
          <t>1.79%</t>
        </is>
      </c>
      <c r="I420" t="inlineStr">
        <is>
          <t>0.00%</t>
        </is>
      </c>
    </row>
    <row r="421">
      <c r="A421" s="2" t="n">
        <v>45982</v>
      </c>
      <c r="B421" t="inlineStr">
        <is>
          <t>P30128</t>
        </is>
      </c>
      <c r="C421" t="inlineStr">
        <is>
          <t>GICS_INDUSTRY_GROUP_NAME</t>
        </is>
      </c>
      <c r="D421" t="inlineStr">
        <is>
          <t>Consumer Services</t>
        </is>
      </c>
      <c r="E421" t="inlineStr">
        <is>
          <t>Consumer Discretionary</t>
        </is>
      </c>
      <c r="F421" t="inlineStr"/>
      <c r="G421" t="inlineStr"/>
      <c r="H421" t="inlineStr">
        <is>
          <t>1.71%</t>
        </is>
      </c>
      <c r="I421" t="inlineStr">
        <is>
          <t>0.00%</t>
        </is>
      </c>
    </row>
    <row r="422">
      <c r="A422" s="2" t="n">
        <v>45982</v>
      </c>
      <c r="B422" t="inlineStr">
        <is>
          <t>P30128</t>
        </is>
      </c>
      <c r="C422" t="inlineStr">
        <is>
          <t>GICS_INDUSTRY_NAME</t>
        </is>
      </c>
      <c r="D422" t="inlineStr">
        <is>
          <t>Hotels, Restaurants &amp; Leisure</t>
        </is>
      </c>
      <c r="E422" t="inlineStr">
        <is>
          <t>Consumer Discretionary</t>
        </is>
      </c>
      <c r="F422" t="inlineStr"/>
      <c r="G422" t="inlineStr"/>
      <c r="H422" t="inlineStr">
        <is>
          <t>1.71%</t>
        </is>
      </c>
      <c r="I422" t="inlineStr">
        <is>
          <t>0.00%</t>
        </is>
      </c>
    </row>
    <row r="423">
      <c r="A423" s="2" t="n">
        <v>45982</v>
      </c>
      <c r="B423" t="inlineStr">
        <is>
          <t>P30128</t>
        </is>
      </c>
      <c r="C423" t="inlineStr">
        <is>
          <t>GICS_INDUSTRY_GROUP_NAME</t>
        </is>
      </c>
      <c r="D423" t="inlineStr">
        <is>
          <t>Materials</t>
        </is>
      </c>
      <c r="E423" t="inlineStr">
        <is>
          <t>Materials</t>
        </is>
      </c>
      <c r="F423" t="inlineStr"/>
      <c r="G423" t="inlineStr"/>
      <c r="H423" t="inlineStr">
        <is>
          <t>1.69%</t>
        </is>
      </c>
      <c r="I423" t="inlineStr">
        <is>
          <t>0.00%</t>
        </is>
      </c>
    </row>
    <row r="424">
      <c r="A424" s="2" t="n">
        <v>45982</v>
      </c>
      <c r="B424" t="inlineStr">
        <is>
          <t>P30128</t>
        </is>
      </c>
      <c r="C424" t="inlineStr">
        <is>
          <t>GICS_INDUSTRY_NAME</t>
        </is>
      </c>
      <c r="D424" t="inlineStr">
        <is>
          <t>Chemicals</t>
        </is>
      </c>
      <c r="E424" t="inlineStr">
        <is>
          <t>Materials</t>
        </is>
      </c>
      <c r="F424" t="inlineStr"/>
      <c r="G424" t="inlineStr"/>
      <c r="H424" t="inlineStr">
        <is>
          <t>1.69%</t>
        </is>
      </c>
      <c r="I424" t="inlineStr">
        <is>
          <t>0.00%</t>
        </is>
      </c>
    </row>
    <row r="425">
      <c r="A425" s="2" t="n">
        <v>45982</v>
      </c>
      <c r="B425" t="inlineStr">
        <is>
          <t>P30128</t>
        </is>
      </c>
      <c r="C425" t="inlineStr">
        <is>
          <t>GICS_INDUSTRY_NAME</t>
        </is>
      </c>
      <c r="D425" t="inlineStr">
        <is>
          <t>Machinery</t>
        </is>
      </c>
      <c r="E425" t="inlineStr">
        <is>
          <t>Industrials</t>
        </is>
      </c>
      <c r="F425" t="inlineStr"/>
      <c r="G425" t="inlineStr"/>
      <c r="H425" t="inlineStr">
        <is>
          <t>1.52%</t>
        </is>
      </c>
      <c r="I425" t="inlineStr">
        <is>
          <t>0.00%</t>
        </is>
      </c>
    </row>
    <row r="426">
      <c r="A426" s="2" t="n">
        <v>45982</v>
      </c>
      <c r="B426" t="inlineStr">
        <is>
          <t>P30128</t>
        </is>
      </c>
      <c r="C426" t="inlineStr">
        <is>
          <t>GICS_INDUSTRY_GROUP_NAME</t>
        </is>
      </c>
      <c r="D426" t="inlineStr">
        <is>
          <t>Equity Real Estate Investment Trusts</t>
        </is>
      </c>
      <c r="E426" t="inlineStr">
        <is>
          <t>Real Estate</t>
        </is>
      </c>
      <c r="F426" t="inlineStr"/>
      <c r="G426" t="inlineStr"/>
      <c r="H426" t="inlineStr">
        <is>
          <t>1.47%</t>
        </is>
      </c>
      <c r="I426" t="inlineStr">
        <is>
          <t>0.00%</t>
        </is>
      </c>
    </row>
    <row r="427">
      <c r="A427" s="2" t="n">
        <v>45982</v>
      </c>
      <c r="B427" t="inlineStr">
        <is>
          <t>P30128</t>
        </is>
      </c>
      <c r="C427" t="inlineStr">
        <is>
          <t>GICS_INDUSTRY_NAME</t>
        </is>
      </c>
      <c r="D427" t="inlineStr">
        <is>
          <t>Specialized REITs</t>
        </is>
      </c>
      <c r="E427" t="inlineStr">
        <is>
          <t>Real Estate</t>
        </is>
      </c>
      <c r="F427" t="inlineStr"/>
      <c r="G427" t="inlineStr"/>
      <c r="H427" t="inlineStr">
        <is>
          <t>1.47%</t>
        </is>
      </c>
      <c r="I427" t="inlineStr">
        <is>
          <t>0.00%</t>
        </is>
      </c>
    </row>
    <row r="428">
      <c r="A428" s="2" t="n">
        <v>45982</v>
      </c>
      <c r="B428" t="inlineStr">
        <is>
          <t>P30128</t>
        </is>
      </c>
      <c r="C428" t="inlineStr">
        <is>
          <t>GICS_INDUSTRY_GROUP_NAME</t>
        </is>
      </c>
      <c r="D428" t="inlineStr">
        <is>
          <t>Transportation</t>
        </is>
      </c>
      <c r="E428" t="inlineStr">
        <is>
          <t>Industrials</t>
        </is>
      </c>
      <c r="F428" t="inlineStr"/>
      <c r="G428" t="inlineStr"/>
      <c r="H428" t="inlineStr">
        <is>
          <t>1.32%</t>
        </is>
      </c>
      <c r="I428" t="inlineStr">
        <is>
          <t>0.00%</t>
        </is>
      </c>
    </row>
    <row r="429">
      <c r="A429" s="2" t="n">
        <v>45982</v>
      </c>
      <c r="B429" t="inlineStr">
        <is>
          <t>P30128</t>
        </is>
      </c>
      <c r="C429" t="inlineStr">
        <is>
          <t>GICS_INDUSTRY_NAME</t>
        </is>
      </c>
      <c r="D429" t="inlineStr">
        <is>
          <t>Specialty Retail</t>
        </is>
      </c>
      <c r="E429" t="inlineStr">
        <is>
          <t>Consumer Discretionary</t>
        </is>
      </c>
      <c r="F429" t="inlineStr"/>
      <c r="G429" t="inlineStr"/>
      <c r="H429" t="inlineStr">
        <is>
          <t>1.27%</t>
        </is>
      </c>
      <c r="I429" t="inlineStr">
        <is>
          <t>0.00%</t>
        </is>
      </c>
    </row>
    <row r="430">
      <c r="A430" s="2" t="n">
        <v>45982</v>
      </c>
      <c r="B430" t="inlineStr">
        <is>
          <t>P30128</t>
        </is>
      </c>
      <c r="C430" t="inlineStr">
        <is>
          <t>GICS_INDUSTRY_NAME</t>
        </is>
      </c>
      <c r="D430" t="inlineStr">
        <is>
          <t>Beverages</t>
        </is>
      </c>
      <c r="E430" t="inlineStr">
        <is>
          <t>Consumer Staples</t>
        </is>
      </c>
      <c r="F430" t="inlineStr"/>
      <c r="G430" t="inlineStr"/>
      <c r="H430" t="inlineStr">
        <is>
          <t>1.23%</t>
        </is>
      </c>
      <c r="I430" t="inlineStr">
        <is>
          <t>0.00%</t>
        </is>
      </c>
    </row>
    <row r="431">
      <c r="A431" s="2" t="n">
        <v>45982</v>
      </c>
      <c r="B431" t="inlineStr">
        <is>
          <t>P30128</t>
        </is>
      </c>
      <c r="C431" t="inlineStr">
        <is>
          <t>GICS_INDUSTRY_NAME</t>
        </is>
      </c>
      <c r="D431" t="inlineStr">
        <is>
          <t>IT Services</t>
        </is>
      </c>
      <c r="E431" t="inlineStr">
        <is>
          <t>Information Technology</t>
        </is>
      </c>
      <c r="F431" t="inlineStr"/>
      <c r="G431" t="inlineStr"/>
      <c r="H431" t="inlineStr">
        <is>
          <t>1.21%</t>
        </is>
      </c>
      <c r="I431" t="inlineStr">
        <is>
          <t>0.00%</t>
        </is>
      </c>
    </row>
    <row r="432">
      <c r="A432" s="2" t="n">
        <v>45982</v>
      </c>
      <c r="B432" t="inlineStr">
        <is>
          <t>P30128</t>
        </is>
      </c>
      <c r="C432" t="inlineStr">
        <is>
          <t>GICS_INDUSTRY_NAME</t>
        </is>
      </c>
      <c r="D432" t="inlineStr">
        <is>
          <t>Entertainment</t>
        </is>
      </c>
      <c r="E432" t="inlineStr">
        <is>
          <t>Communication Services</t>
        </is>
      </c>
      <c r="F432" t="inlineStr"/>
      <c r="G432" t="inlineStr"/>
      <c r="H432" t="inlineStr">
        <is>
          <t>1.18%</t>
        </is>
      </c>
      <c r="I432" t="inlineStr">
        <is>
          <t>0.00%</t>
        </is>
      </c>
    </row>
    <row r="433">
      <c r="A433" s="2" t="n">
        <v>45982</v>
      </c>
      <c r="B433" t="inlineStr">
        <is>
          <t>P30128</t>
        </is>
      </c>
      <c r="C433" t="inlineStr">
        <is>
          <t>GICS_INDUSTRY_GROUP_NAME</t>
        </is>
      </c>
      <c r="D433" t="inlineStr">
        <is>
          <t>Commercial &amp; Professional Services</t>
        </is>
      </c>
      <c r="E433" t="inlineStr">
        <is>
          <t>Industrials</t>
        </is>
      </c>
      <c r="F433" t="inlineStr"/>
      <c r="G433" t="inlineStr"/>
      <c r="H433" t="inlineStr">
        <is>
          <t>1.10%</t>
        </is>
      </c>
      <c r="I433" t="inlineStr">
        <is>
          <t>0.00%</t>
        </is>
      </c>
    </row>
    <row r="434">
      <c r="A434" s="2" t="n">
        <v>45982</v>
      </c>
      <c r="B434" t="inlineStr">
        <is>
          <t>P30128</t>
        </is>
      </c>
      <c r="C434" t="inlineStr">
        <is>
          <t>GICS_INDUSTRY_NAME</t>
        </is>
      </c>
      <c r="D434" t="inlineStr">
        <is>
          <t>Commercial Services &amp; Supplies</t>
        </is>
      </c>
      <c r="E434" t="inlineStr">
        <is>
          <t>Industrials</t>
        </is>
      </c>
      <c r="F434" t="inlineStr"/>
      <c r="G434" t="inlineStr"/>
      <c r="H434" t="inlineStr">
        <is>
          <t>1.10%</t>
        </is>
      </c>
      <c r="I434" t="inlineStr">
        <is>
          <t>0.00%</t>
        </is>
      </c>
    </row>
    <row r="435">
      <c r="A435" s="2" t="n">
        <v>45982</v>
      </c>
      <c r="B435" t="inlineStr">
        <is>
          <t>P30128</t>
        </is>
      </c>
      <c r="C435" t="inlineStr">
        <is>
          <t>GICS_INDUSTRY_GROUP_NAME</t>
        </is>
      </c>
      <c r="D435" t="inlineStr">
        <is>
          <t>Household &amp; Personal Products</t>
        </is>
      </c>
      <c r="E435" t="inlineStr">
        <is>
          <t>Consumer Staples</t>
        </is>
      </c>
      <c r="F435" t="inlineStr"/>
      <c r="G435" t="inlineStr"/>
      <c r="H435" t="inlineStr">
        <is>
          <t>0.98%</t>
        </is>
      </c>
      <c r="I435" t="inlineStr">
        <is>
          <t>0.00%</t>
        </is>
      </c>
    </row>
    <row r="436">
      <c r="A436" s="2" t="n">
        <v>45982</v>
      </c>
      <c r="B436" t="inlineStr">
        <is>
          <t>P30128</t>
        </is>
      </c>
      <c r="C436" t="inlineStr">
        <is>
          <t>GICS_INDUSTRY_NAME</t>
        </is>
      </c>
      <c r="D436" t="inlineStr">
        <is>
          <t>Household Products</t>
        </is>
      </c>
      <c r="E436" t="inlineStr">
        <is>
          <t>Consumer Staples</t>
        </is>
      </c>
      <c r="F436" t="inlineStr"/>
      <c r="G436" t="inlineStr"/>
      <c r="H436" t="inlineStr">
        <is>
          <t>0.98%</t>
        </is>
      </c>
      <c r="I436" t="inlineStr">
        <is>
          <t>0.00%</t>
        </is>
      </c>
    </row>
    <row r="437">
      <c r="A437" s="2" t="n">
        <v>45982</v>
      </c>
      <c r="B437" t="inlineStr">
        <is>
          <t>P30128</t>
        </is>
      </c>
      <c r="C437" t="inlineStr">
        <is>
          <t>GICS_INDUSTRY_NAME</t>
        </is>
      </c>
      <c r="D437" t="inlineStr">
        <is>
          <t>Life Sciences Tools &amp; Services</t>
        </is>
      </c>
      <c r="E437" t="inlineStr">
        <is>
          <t>Health Care</t>
        </is>
      </c>
      <c r="F437" t="inlineStr"/>
      <c r="G437" t="inlineStr"/>
      <c r="H437" t="inlineStr">
        <is>
          <t>0.97%</t>
        </is>
      </c>
      <c r="I437" t="inlineStr">
        <is>
          <t>0.00%</t>
        </is>
      </c>
    </row>
    <row r="438">
      <c r="A438" s="2" t="n">
        <v>45982</v>
      </c>
      <c r="B438" t="inlineStr">
        <is>
          <t>P30128</t>
        </is>
      </c>
      <c r="C438" t="inlineStr">
        <is>
          <t>GICS_INDUSTRY_NAME</t>
        </is>
      </c>
      <c r="D438" t="inlineStr">
        <is>
          <t>Ground Transportation</t>
        </is>
      </c>
      <c r="E438" t="inlineStr">
        <is>
          <t>Industrials</t>
        </is>
      </c>
      <c r="F438" t="inlineStr"/>
      <c r="G438" t="inlineStr"/>
      <c r="H438" t="inlineStr">
        <is>
          <t>0.93%</t>
        </is>
      </c>
      <c r="I438" t="inlineStr">
        <is>
          <t>0.00%</t>
        </is>
      </c>
    </row>
    <row r="439">
      <c r="A439" s="2" t="n">
        <v>45982</v>
      </c>
      <c r="B439" t="inlineStr">
        <is>
          <t>P30128</t>
        </is>
      </c>
      <c r="C439" t="inlineStr">
        <is>
          <t>GICS_INDUSTRY_NAME</t>
        </is>
      </c>
      <c r="D439" t="inlineStr">
        <is>
          <t>Tobacco</t>
        </is>
      </c>
      <c r="E439" t="inlineStr">
        <is>
          <t>Consumer Staples</t>
        </is>
      </c>
      <c r="F439" t="inlineStr"/>
      <c r="G439" t="inlineStr"/>
      <c r="H439" t="inlineStr">
        <is>
          <t>0.87%</t>
        </is>
      </c>
      <c r="I439" t="inlineStr">
        <is>
          <t>0.00%</t>
        </is>
      </c>
    </row>
    <row r="440">
      <c r="A440" s="2" t="n">
        <v>45982</v>
      </c>
      <c r="B440" t="inlineStr">
        <is>
          <t>P30128</t>
        </is>
      </c>
      <c r="C440" t="inlineStr">
        <is>
          <t>GICS_INDUSTRY_GROUP_NAME</t>
        </is>
      </c>
      <c r="D440" t="inlineStr">
        <is>
          <t>Telecommunication Services</t>
        </is>
      </c>
      <c r="E440" t="inlineStr">
        <is>
          <t>Communication Services</t>
        </is>
      </c>
      <c r="F440" t="inlineStr"/>
      <c r="G440" t="inlineStr"/>
      <c r="H440" t="inlineStr">
        <is>
          <t>0.84%</t>
        </is>
      </c>
      <c r="I440" t="inlineStr">
        <is>
          <t>0.00%</t>
        </is>
      </c>
    </row>
    <row r="441">
      <c r="A441" s="2" t="n">
        <v>45982</v>
      </c>
      <c r="B441" t="inlineStr">
        <is>
          <t>P30128</t>
        </is>
      </c>
      <c r="C441" t="inlineStr">
        <is>
          <t>GICS_INDUSTRY_NAME</t>
        </is>
      </c>
      <c r="D441" t="inlineStr">
        <is>
          <t>Diversified Telecommunication Services</t>
        </is>
      </c>
      <c r="E441" t="inlineStr">
        <is>
          <t>Communication Services</t>
        </is>
      </c>
      <c r="F441" t="inlineStr"/>
      <c r="G441" t="inlineStr"/>
      <c r="H441" t="inlineStr">
        <is>
          <t>0.84%</t>
        </is>
      </c>
      <c r="I441" t="inlineStr">
        <is>
          <t>0.00%</t>
        </is>
      </c>
    </row>
    <row r="442">
      <c r="A442" s="2" t="n">
        <v>45982</v>
      </c>
      <c r="B442" t="inlineStr">
        <is>
          <t>P30128</t>
        </is>
      </c>
      <c r="C442" t="inlineStr">
        <is>
          <t>GICS_INDUSTRY_NAME</t>
        </is>
      </c>
      <c r="D442" t="inlineStr">
        <is>
          <t>Industrial Conglomerates</t>
        </is>
      </c>
      <c r="E442" t="inlineStr">
        <is>
          <t>Industrials</t>
        </is>
      </c>
      <c r="F442" t="inlineStr"/>
      <c r="G442" t="inlineStr"/>
      <c r="H442" t="inlineStr">
        <is>
          <t>0.84%</t>
        </is>
      </c>
      <c r="I442" t="inlineStr">
        <is>
          <t>0.00%</t>
        </is>
      </c>
    </row>
    <row r="443">
      <c r="A443" s="2" t="n">
        <v>45982</v>
      </c>
      <c r="B443" t="inlineStr">
        <is>
          <t>P30128</t>
        </is>
      </c>
      <c r="C443" t="inlineStr">
        <is>
          <t>GICS_INDUSTRY_NAME</t>
        </is>
      </c>
      <c r="D443" t="inlineStr">
        <is>
          <t>Electrical Equipment</t>
        </is>
      </c>
      <c r="E443" t="inlineStr">
        <is>
          <t>Industrials</t>
        </is>
      </c>
      <c r="F443" t="inlineStr"/>
      <c r="G443" t="inlineStr"/>
      <c r="H443" t="inlineStr">
        <is>
          <t>0.79%</t>
        </is>
      </c>
      <c r="I443" t="inlineStr">
        <is>
          <t>0.00%</t>
        </is>
      </c>
    </row>
    <row r="444">
      <c r="A444" s="2" t="n">
        <v>45982</v>
      </c>
      <c r="B444" t="inlineStr">
        <is>
          <t>P30128</t>
        </is>
      </c>
      <c r="C444" t="inlineStr">
        <is>
          <t>GICS_INDUSTRY_NAME</t>
        </is>
      </c>
      <c r="D444" t="inlineStr">
        <is>
          <t>Consumer Finance</t>
        </is>
      </c>
      <c r="E444" t="inlineStr">
        <is>
          <t>Financials</t>
        </is>
      </c>
      <c r="F444" t="inlineStr"/>
      <c r="G444" t="inlineStr"/>
      <c r="H444" t="inlineStr">
        <is>
          <t>0.62%</t>
        </is>
      </c>
      <c r="I444" t="inlineStr">
        <is>
          <t>0.00%</t>
        </is>
      </c>
    </row>
    <row r="445">
      <c r="A445" s="2" t="n">
        <v>45982</v>
      </c>
      <c r="B445" t="inlineStr">
        <is>
          <t>P30128</t>
        </is>
      </c>
      <c r="C445" t="inlineStr">
        <is>
          <t>GICS_INDUSTRY_GROUP_NAME</t>
        </is>
      </c>
      <c r="D445" t="inlineStr">
        <is>
          <t>Consumer Durables &amp; Apparel</t>
        </is>
      </c>
      <c r="E445" t="inlineStr">
        <is>
          <t>Consumer Discretionary</t>
        </is>
      </c>
      <c r="F445" t="inlineStr"/>
      <c r="G445" t="inlineStr"/>
      <c r="H445" t="inlineStr">
        <is>
          <t>0.53%</t>
        </is>
      </c>
      <c r="I445" t="inlineStr">
        <is>
          <t>0.00%</t>
        </is>
      </c>
    </row>
    <row r="446">
      <c r="A446" s="2" t="n">
        <v>45982</v>
      </c>
      <c r="B446" t="inlineStr">
        <is>
          <t>P30128</t>
        </is>
      </c>
      <c r="C446" t="inlineStr">
        <is>
          <t>GICS_INDUSTRY_NAME</t>
        </is>
      </c>
      <c r="D446" t="inlineStr">
        <is>
          <t>Textiles, Apparel &amp; Luxury Goods</t>
        </is>
      </c>
      <c r="E446" t="inlineStr">
        <is>
          <t>Consumer Discretionary</t>
        </is>
      </c>
      <c r="F446" t="inlineStr"/>
      <c r="G446" t="inlineStr"/>
      <c r="H446" t="inlineStr">
        <is>
          <t>0.53%</t>
        </is>
      </c>
      <c r="I446" t="inlineStr">
        <is>
          <t>0.00%</t>
        </is>
      </c>
    </row>
    <row r="447">
      <c r="A447" s="2" t="n">
        <v>45982</v>
      </c>
      <c r="B447" t="inlineStr">
        <is>
          <t>P30128</t>
        </is>
      </c>
      <c r="C447" t="inlineStr">
        <is>
          <t>GICS_INDUSTRY_NAME</t>
        </is>
      </c>
      <c r="D447" t="inlineStr">
        <is>
          <t>Air Freight &amp; Logistics</t>
        </is>
      </c>
      <c r="E447" t="inlineStr">
        <is>
          <t>Industrials</t>
        </is>
      </c>
      <c r="F447" t="inlineStr"/>
      <c r="G447" t="inlineStr"/>
      <c r="H447" t="inlineStr">
        <is>
          <t>0.39%</t>
        </is>
      </c>
      <c r="I447" t="inlineStr">
        <is>
          <t>0.00%</t>
        </is>
      </c>
    </row>
    <row r="448">
      <c r="A448" s="2" t="n">
        <v>45982</v>
      </c>
      <c r="B448" t="inlineStr">
        <is>
          <t>P30128</t>
        </is>
      </c>
      <c r="C448" t="inlineStr">
        <is>
          <t>GICS_INDUSTRY_NAME</t>
        </is>
      </c>
      <c r="D448" t="inlineStr">
        <is>
          <t>Media</t>
        </is>
      </c>
      <c r="E448" t="inlineStr">
        <is>
          <t>Communication Services</t>
        </is>
      </c>
      <c r="F448" t="inlineStr"/>
      <c r="G448" t="inlineStr"/>
      <c r="H448" t="inlineStr">
        <is>
          <t>0.19%</t>
        </is>
      </c>
      <c r="I448" t="inlineStr">
        <is>
          <t>0.00%</t>
        </is>
      </c>
    </row>
    <row r="449">
      <c r="A449" s="2" t="n">
        <v>45982</v>
      </c>
      <c r="B449" t="inlineStr">
        <is>
          <t>P30128</t>
        </is>
      </c>
      <c r="C449" t="inlineStr">
        <is>
          <t>GICS_INDUSTRY_NAME</t>
        </is>
      </c>
      <c r="D449" t="inlineStr">
        <is>
          <t>Food Products</t>
        </is>
      </c>
      <c r="E449" t="inlineStr">
        <is>
          <t>Consumer Staples</t>
        </is>
      </c>
      <c r="F449" t="inlineStr"/>
      <c r="G449" t="inlineStr"/>
      <c r="H449" t="inlineStr">
        <is>
          <t>0.19%</t>
        </is>
      </c>
      <c r="I449" t="inlineStr">
        <is>
          <t>0.00%</t>
        </is>
      </c>
    </row>
    <row r="450">
      <c r="A450" s="2" t="n">
        <v>45982</v>
      </c>
      <c r="B450" t="inlineStr">
        <is>
          <t>P31027</t>
        </is>
      </c>
      <c r="C450" t="inlineStr">
        <is>
          <t>GICS_INDUSTRY_GROUP_NAME</t>
        </is>
      </c>
      <c r="D450" t="inlineStr">
        <is>
          <t>Semiconductors &amp; Semiconductor Equipment</t>
        </is>
      </c>
      <c r="E450" t="inlineStr">
        <is>
          <t>Information Technology</t>
        </is>
      </c>
      <c r="F450" t="inlineStr"/>
      <c r="G450" t="inlineStr"/>
      <c r="H450" t="inlineStr">
        <is>
          <t>14.93%</t>
        </is>
      </c>
      <c r="I450" t="inlineStr">
        <is>
          <t>0.00%</t>
        </is>
      </c>
    </row>
    <row r="451">
      <c r="A451" s="2" t="n">
        <v>45982</v>
      </c>
      <c r="B451" t="inlineStr">
        <is>
          <t>P31027</t>
        </is>
      </c>
      <c r="C451" t="inlineStr">
        <is>
          <t>GICS_INDUSTRY_NAME</t>
        </is>
      </c>
      <c r="D451" t="inlineStr">
        <is>
          <t>Semiconductors &amp; Semiconductor Equipment</t>
        </is>
      </c>
      <c r="E451" t="inlineStr">
        <is>
          <t>Information Technology</t>
        </is>
      </c>
      <c r="F451" t="inlineStr"/>
      <c r="G451" t="inlineStr"/>
      <c r="H451" t="inlineStr">
        <is>
          <t>14.93%</t>
        </is>
      </c>
      <c r="I451" t="inlineStr">
        <is>
          <t>0.00%</t>
        </is>
      </c>
    </row>
    <row r="452">
      <c r="A452" s="2" t="n">
        <v>45982</v>
      </c>
      <c r="B452" t="inlineStr">
        <is>
          <t>P31027</t>
        </is>
      </c>
      <c r="C452" t="inlineStr">
        <is>
          <t>GICS_INDUSTRY_GROUP_NAME</t>
        </is>
      </c>
      <c r="D452" t="inlineStr">
        <is>
          <t>Technology Hardware &amp; Equipment</t>
        </is>
      </c>
      <c r="E452" t="inlineStr">
        <is>
          <t>Information Technology</t>
        </is>
      </c>
      <c r="F452" t="inlineStr"/>
      <c r="G452" t="inlineStr"/>
      <c r="H452" t="inlineStr">
        <is>
          <t>9.80%</t>
        </is>
      </c>
      <c r="I452" t="inlineStr">
        <is>
          <t>0.00%</t>
        </is>
      </c>
    </row>
    <row r="453">
      <c r="A453" s="2" t="n">
        <v>45982</v>
      </c>
      <c r="B453" t="inlineStr">
        <is>
          <t>P31027</t>
        </is>
      </c>
      <c r="C453" t="inlineStr">
        <is>
          <t>GICS_INDUSTRY_GROUP_NAME</t>
        </is>
      </c>
      <c r="D453" t="inlineStr">
        <is>
          <t>Software &amp; Services</t>
        </is>
      </c>
      <c r="E453" t="inlineStr">
        <is>
          <t>Information Technology</t>
        </is>
      </c>
      <c r="F453" t="inlineStr"/>
      <c r="G453" t="inlineStr"/>
      <c r="H453" t="inlineStr">
        <is>
          <t>9.74%</t>
        </is>
      </c>
      <c r="I453" t="inlineStr">
        <is>
          <t>0.00%</t>
        </is>
      </c>
    </row>
    <row r="454">
      <c r="A454" s="2" t="n">
        <v>45982</v>
      </c>
      <c r="B454" t="inlineStr">
        <is>
          <t>P31027</t>
        </is>
      </c>
      <c r="C454" t="inlineStr">
        <is>
          <t>GICS_INDUSTRY_GROUP_NAME</t>
        </is>
      </c>
      <c r="D454" t="inlineStr">
        <is>
          <t>Media &amp; Entertainment</t>
        </is>
      </c>
      <c r="E454" t="inlineStr">
        <is>
          <t>Communication Services</t>
        </is>
      </c>
      <c r="F454" t="inlineStr"/>
      <c r="G454" t="inlineStr"/>
      <c r="H454" t="inlineStr">
        <is>
          <t>9.70%</t>
        </is>
      </c>
      <c r="I454" t="inlineStr">
        <is>
          <t>0.00%</t>
        </is>
      </c>
    </row>
    <row r="455">
      <c r="A455" s="2" t="n">
        <v>45982</v>
      </c>
      <c r="B455" t="inlineStr">
        <is>
          <t>P31027</t>
        </is>
      </c>
      <c r="C455" t="inlineStr">
        <is>
          <t>GICS_INDUSTRY_NAME</t>
        </is>
      </c>
      <c r="D455" t="inlineStr">
        <is>
          <t>Software</t>
        </is>
      </c>
      <c r="E455" t="inlineStr">
        <is>
          <t>Information Technology</t>
        </is>
      </c>
      <c r="F455" t="inlineStr"/>
      <c r="G455" t="inlineStr"/>
      <c r="H455" t="inlineStr">
        <is>
          <t>8.53%</t>
        </is>
      </c>
      <c r="I455" t="inlineStr">
        <is>
          <t>0.00%</t>
        </is>
      </c>
    </row>
    <row r="456">
      <c r="A456" s="2" t="n">
        <v>45982</v>
      </c>
      <c r="B456" t="inlineStr">
        <is>
          <t>P31027</t>
        </is>
      </c>
      <c r="C456" t="inlineStr">
        <is>
          <t>GICS_INDUSTRY_NAME</t>
        </is>
      </c>
      <c r="D456" t="inlineStr">
        <is>
          <t>Interactive Media &amp; Services</t>
        </is>
      </c>
      <c r="E456" t="inlineStr">
        <is>
          <t>Communication Services</t>
        </is>
      </c>
      <c r="F456" t="inlineStr"/>
      <c r="G456" t="inlineStr"/>
      <c r="H456" t="inlineStr">
        <is>
          <t>8.32%</t>
        </is>
      </c>
      <c r="I456" t="inlineStr">
        <is>
          <t>0.00%</t>
        </is>
      </c>
    </row>
    <row r="457">
      <c r="A457" s="2" t="n">
        <v>45982</v>
      </c>
      <c r="B457" t="inlineStr">
        <is>
          <t>P31027</t>
        </is>
      </c>
      <c r="C457" t="inlineStr">
        <is>
          <t>GICS_INDUSTRY_NAME</t>
        </is>
      </c>
      <c r="D457" t="inlineStr">
        <is>
          <t>Technology Hardware, Storage &amp; Peripherals</t>
        </is>
      </c>
      <c r="E457" t="inlineStr">
        <is>
          <t>Information Technology</t>
        </is>
      </c>
      <c r="F457" t="inlineStr"/>
      <c r="G457" t="inlineStr"/>
      <c r="H457" t="inlineStr">
        <is>
          <t>7.62%</t>
        </is>
      </c>
      <c r="I457" t="inlineStr">
        <is>
          <t>0.00%</t>
        </is>
      </c>
    </row>
    <row r="458">
      <c r="A458" s="2" t="n">
        <v>45982</v>
      </c>
      <c r="B458" t="inlineStr">
        <is>
          <t>P31027</t>
        </is>
      </c>
      <c r="C458" t="inlineStr">
        <is>
          <t>GICS_INDUSTRY_GROUP_NAME</t>
        </is>
      </c>
      <c r="D458" t="inlineStr">
        <is>
          <t>Financial Services</t>
        </is>
      </c>
      <c r="E458" t="inlineStr">
        <is>
          <t>Financials</t>
        </is>
      </c>
      <c r="F458" t="inlineStr"/>
      <c r="G458" t="inlineStr"/>
      <c r="H458" t="inlineStr">
        <is>
          <t>6.64%</t>
        </is>
      </c>
      <c r="I458" t="inlineStr">
        <is>
          <t>0.00%</t>
        </is>
      </c>
    </row>
    <row r="459">
      <c r="A459" s="2" t="n">
        <v>45982</v>
      </c>
      <c r="B459" t="inlineStr">
        <is>
          <t>P31027</t>
        </is>
      </c>
      <c r="C459" t="inlineStr">
        <is>
          <t>GICS_INDUSTRY_GROUP_NAME</t>
        </is>
      </c>
      <c r="D459" t="inlineStr">
        <is>
          <t>Capital Goods</t>
        </is>
      </c>
      <c r="E459" t="inlineStr">
        <is>
          <t>Industrials</t>
        </is>
      </c>
      <c r="F459" t="inlineStr"/>
      <c r="G459" t="inlineStr"/>
      <c r="H459" t="inlineStr">
        <is>
          <t>6.16%</t>
        </is>
      </c>
      <c r="I459" t="inlineStr">
        <is>
          <t>0.00%</t>
        </is>
      </c>
    </row>
    <row r="460">
      <c r="A460" s="2" t="n">
        <v>45982</v>
      </c>
      <c r="B460" t="inlineStr">
        <is>
          <t>P31027</t>
        </is>
      </c>
      <c r="C460" t="inlineStr">
        <is>
          <t>GICS_INDUSTRY_GROUP_NAME</t>
        </is>
      </c>
      <c r="D460" t="inlineStr">
        <is>
          <t>Pharmaceuticals, Biotechnology &amp; Life Sciences</t>
        </is>
      </c>
      <c r="E460" t="inlineStr">
        <is>
          <t>Health Care</t>
        </is>
      </c>
      <c r="F460" t="inlineStr"/>
      <c r="G460" t="inlineStr"/>
      <c r="H460" t="inlineStr">
        <is>
          <t>5.57%</t>
        </is>
      </c>
      <c r="I460" t="inlineStr">
        <is>
          <t>0.00%</t>
        </is>
      </c>
    </row>
    <row r="461">
      <c r="A461" s="2" t="n">
        <v>45982</v>
      </c>
      <c r="B461" t="inlineStr">
        <is>
          <t>P31027</t>
        </is>
      </c>
      <c r="C461" t="inlineStr">
        <is>
          <t>GICS_INDUSTRY_GROUP_NAME</t>
        </is>
      </c>
      <c r="D461" t="inlineStr">
        <is>
          <t>Consumer Discretionary Distribution &amp; Retail</t>
        </is>
      </c>
      <c r="E461" t="inlineStr">
        <is>
          <t>Consumer Discretionary</t>
        </is>
      </c>
      <c r="F461" t="inlineStr"/>
      <c r="G461" t="inlineStr"/>
      <c r="H461" t="inlineStr">
        <is>
          <t>5.33%</t>
        </is>
      </c>
      <c r="I461" t="inlineStr">
        <is>
          <t>0.00%</t>
        </is>
      </c>
    </row>
    <row r="462">
      <c r="A462" s="2" t="n">
        <v>45982</v>
      </c>
      <c r="B462" t="inlineStr">
        <is>
          <t>P31027</t>
        </is>
      </c>
      <c r="C462" t="inlineStr">
        <is>
          <t>GICS_INDUSTRY_GROUP_NAME</t>
        </is>
      </c>
      <c r="D462" t="inlineStr">
        <is>
          <t>Banks</t>
        </is>
      </c>
      <c r="E462" t="inlineStr">
        <is>
          <t>Financials</t>
        </is>
      </c>
      <c r="F462" t="inlineStr"/>
      <c r="G462" t="inlineStr"/>
      <c r="H462" t="inlineStr">
        <is>
          <t>4.47%</t>
        </is>
      </c>
      <c r="I462" t="inlineStr">
        <is>
          <t>0.00%</t>
        </is>
      </c>
    </row>
    <row r="463">
      <c r="A463" s="2" t="n">
        <v>45982</v>
      </c>
      <c r="B463" t="inlineStr">
        <is>
          <t>P31027</t>
        </is>
      </c>
      <c r="C463" t="inlineStr">
        <is>
          <t>GICS_INDUSTRY_NAME</t>
        </is>
      </c>
      <c r="D463" t="inlineStr">
        <is>
          <t>Banks</t>
        </is>
      </c>
      <c r="E463" t="inlineStr">
        <is>
          <t>Financials</t>
        </is>
      </c>
      <c r="F463" t="inlineStr"/>
      <c r="G463" t="inlineStr"/>
      <c r="H463" t="inlineStr">
        <is>
          <t>4.47%</t>
        </is>
      </c>
      <c r="I463" t="inlineStr">
        <is>
          <t>0.00%</t>
        </is>
      </c>
    </row>
    <row r="464">
      <c r="A464" s="2" t="n">
        <v>45982</v>
      </c>
      <c r="B464" t="inlineStr">
        <is>
          <t>P31027</t>
        </is>
      </c>
      <c r="C464" t="inlineStr">
        <is>
          <t>GICS_INDUSTRY_GROUP_NAME</t>
        </is>
      </c>
      <c r="D464" t="inlineStr">
        <is>
          <t>Health Care Equipment &amp; Services</t>
        </is>
      </c>
      <c r="E464" t="inlineStr">
        <is>
          <t>Health Care</t>
        </is>
      </c>
      <c r="F464" t="inlineStr"/>
      <c r="G464" t="inlineStr"/>
      <c r="H464" t="inlineStr">
        <is>
          <t>4.29%</t>
        </is>
      </c>
      <c r="I464" t="inlineStr">
        <is>
          <t>0.00%</t>
        </is>
      </c>
    </row>
    <row r="465">
      <c r="A465" s="2" t="n">
        <v>45982</v>
      </c>
      <c r="B465" t="inlineStr">
        <is>
          <t>P31027</t>
        </is>
      </c>
      <c r="C465" t="inlineStr">
        <is>
          <t>GICS_INDUSTRY_NAME</t>
        </is>
      </c>
      <c r="D465" t="inlineStr">
        <is>
          <t>Broadline Retail</t>
        </is>
      </c>
      <c r="E465" t="inlineStr">
        <is>
          <t>Consumer Discretionary</t>
        </is>
      </c>
      <c r="F465" t="inlineStr"/>
      <c r="G465" t="inlineStr"/>
      <c r="H465" t="inlineStr">
        <is>
          <t>4.06%</t>
        </is>
      </c>
      <c r="I465" t="inlineStr">
        <is>
          <t>0.00%</t>
        </is>
      </c>
    </row>
    <row r="466">
      <c r="A466" s="2" t="n">
        <v>45982</v>
      </c>
      <c r="B466" t="inlineStr">
        <is>
          <t>P31027</t>
        </is>
      </c>
      <c r="C466" t="inlineStr">
        <is>
          <t>GICS_INDUSTRY_NAME</t>
        </is>
      </c>
      <c r="D466" t="inlineStr">
        <is>
          <t>Financial Services</t>
        </is>
      </c>
      <c r="E466" t="inlineStr">
        <is>
          <t>Financials</t>
        </is>
      </c>
      <c r="F466" t="inlineStr"/>
      <c r="G466" t="inlineStr"/>
      <c r="H466" t="inlineStr">
        <is>
          <t>3.34%</t>
        </is>
      </c>
      <c r="I466" t="inlineStr">
        <is>
          <t>0.00%</t>
        </is>
      </c>
    </row>
    <row r="467">
      <c r="A467" s="2" t="n">
        <v>45982</v>
      </c>
      <c r="B467" t="inlineStr">
        <is>
          <t>P31027</t>
        </is>
      </c>
      <c r="C467" t="inlineStr">
        <is>
          <t>GICS_INDUSTRY_NAME</t>
        </is>
      </c>
      <c r="D467" t="inlineStr">
        <is>
          <t>Aerospace &amp; Defense</t>
        </is>
      </c>
      <c r="E467" t="inlineStr">
        <is>
          <t>Industrials</t>
        </is>
      </c>
      <c r="F467" t="inlineStr"/>
      <c r="G467" t="inlineStr"/>
      <c r="H467" t="inlineStr">
        <is>
          <t>3.00%</t>
        </is>
      </c>
      <c r="I467" t="inlineStr">
        <is>
          <t>0.00%</t>
        </is>
      </c>
    </row>
    <row r="468">
      <c r="A468" s="2" t="n">
        <v>45982</v>
      </c>
      <c r="B468" t="inlineStr">
        <is>
          <t>P31027</t>
        </is>
      </c>
      <c r="C468" t="inlineStr">
        <is>
          <t>GICS_INDUSTRY_GROUP_NAME</t>
        </is>
      </c>
      <c r="D468" t="inlineStr">
        <is>
          <t>Energy</t>
        </is>
      </c>
      <c r="E468" t="inlineStr">
        <is>
          <t>Energy</t>
        </is>
      </c>
      <c r="F468" t="inlineStr"/>
      <c r="G468" t="inlineStr"/>
      <c r="H468" t="inlineStr">
        <is>
          <t>2.88%</t>
        </is>
      </c>
      <c r="I468" t="inlineStr">
        <is>
          <t>0.00%</t>
        </is>
      </c>
    </row>
    <row r="469">
      <c r="A469" s="2" t="n">
        <v>45982</v>
      </c>
      <c r="B469" t="inlineStr">
        <is>
          <t>P31027</t>
        </is>
      </c>
      <c r="C469" t="inlineStr">
        <is>
          <t>GICS_INDUSTRY_NAME</t>
        </is>
      </c>
      <c r="D469" t="inlineStr">
        <is>
          <t>Oil, Gas &amp; Consumable Fuels</t>
        </is>
      </c>
      <c r="E469" t="inlineStr">
        <is>
          <t>Energy</t>
        </is>
      </c>
      <c r="F469" t="inlineStr"/>
      <c r="G469" t="inlineStr"/>
      <c r="H469" t="inlineStr">
        <is>
          <t>2.88%</t>
        </is>
      </c>
      <c r="I469" t="inlineStr">
        <is>
          <t>0.00%</t>
        </is>
      </c>
    </row>
    <row r="470">
      <c r="A470" s="2" t="n">
        <v>45982</v>
      </c>
      <c r="B470" t="inlineStr">
        <is>
          <t>P31027</t>
        </is>
      </c>
      <c r="C470" t="inlineStr">
        <is>
          <t>GICS_INDUSTRY_NAME</t>
        </is>
      </c>
      <c r="D470" t="inlineStr">
        <is>
          <t>Capital Markets</t>
        </is>
      </c>
      <c r="E470" t="inlineStr">
        <is>
          <t>Financials</t>
        </is>
      </c>
      <c r="F470" t="inlineStr"/>
      <c r="G470" t="inlineStr"/>
      <c r="H470" t="inlineStr">
        <is>
          <t>2.68%</t>
        </is>
      </c>
      <c r="I470" t="inlineStr">
        <is>
          <t>0.00%</t>
        </is>
      </c>
    </row>
    <row r="471">
      <c r="A471" s="2" t="n">
        <v>45982</v>
      </c>
      <c r="B471" t="inlineStr">
        <is>
          <t>P31027</t>
        </is>
      </c>
      <c r="C471" t="inlineStr">
        <is>
          <t>GICS_INDUSTRY_NAME</t>
        </is>
      </c>
      <c r="D471" t="inlineStr">
        <is>
          <t>Pharmaceuticals</t>
        </is>
      </c>
      <c r="E471" t="inlineStr">
        <is>
          <t>Health Care</t>
        </is>
      </c>
      <c r="F471" t="inlineStr"/>
      <c r="G471" t="inlineStr"/>
      <c r="H471" t="inlineStr">
        <is>
          <t>2.59%</t>
        </is>
      </c>
      <c r="I471" t="inlineStr">
        <is>
          <t>0.00%</t>
        </is>
      </c>
    </row>
    <row r="472">
      <c r="A472" s="2" t="n">
        <v>45982</v>
      </c>
      <c r="B472" t="inlineStr">
        <is>
          <t>P31027</t>
        </is>
      </c>
      <c r="C472" t="inlineStr">
        <is>
          <t>GICS_INDUSTRY_NAME</t>
        </is>
      </c>
      <c r="D472" t="inlineStr">
        <is>
          <t>Health Care Equipment &amp; Supplies</t>
        </is>
      </c>
      <c r="E472" t="inlineStr">
        <is>
          <t>Health Care</t>
        </is>
      </c>
      <c r="F472" t="inlineStr"/>
      <c r="G472" t="inlineStr"/>
      <c r="H472" t="inlineStr">
        <is>
          <t>2.33%</t>
        </is>
      </c>
      <c r="I472" t="inlineStr">
        <is>
          <t>0.00%</t>
        </is>
      </c>
    </row>
    <row r="473">
      <c r="A473" s="2" t="n">
        <v>45982</v>
      </c>
      <c r="B473" t="inlineStr">
        <is>
          <t>P31027</t>
        </is>
      </c>
      <c r="C473" t="inlineStr">
        <is>
          <t>GICS_INDUSTRY_GROUP_NAME</t>
        </is>
      </c>
      <c r="D473" t="inlineStr">
        <is>
          <t>Insurance</t>
        </is>
      </c>
      <c r="E473" t="inlineStr">
        <is>
          <t>Financials</t>
        </is>
      </c>
      <c r="F473" t="inlineStr"/>
      <c r="G473" t="inlineStr"/>
      <c r="H473" t="inlineStr">
        <is>
          <t>2.31%</t>
        </is>
      </c>
      <c r="I473" t="inlineStr">
        <is>
          <t>0.00%</t>
        </is>
      </c>
    </row>
    <row r="474">
      <c r="A474" s="2" t="n">
        <v>45982</v>
      </c>
      <c r="B474" t="inlineStr">
        <is>
          <t>P31027</t>
        </is>
      </c>
      <c r="C474" t="inlineStr">
        <is>
          <t>GICS_INDUSTRY_NAME</t>
        </is>
      </c>
      <c r="D474" t="inlineStr">
        <is>
          <t>Insurance</t>
        </is>
      </c>
      <c r="E474" t="inlineStr">
        <is>
          <t>Financials</t>
        </is>
      </c>
      <c r="F474" t="inlineStr"/>
      <c r="G474" t="inlineStr"/>
      <c r="H474" t="inlineStr">
        <is>
          <t>2.31%</t>
        </is>
      </c>
      <c r="I474" t="inlineStr">
        <is>
          <t>0.00%</t>
        </is>
      </c>
    </row>
    <row r="475">
      <c r="A475" s="2" t="n">
        <v>45982</v>
      </c>
      <c r="B475" t="inlineStr">
        <is>
          <t>P31027</t>
        </is>
      </c>
      <c r="C475" t="inlineStr">
        <is>
          <t>GICS_INDUSTRY_GROUP_NAME</t>
        </is>
      </c>
      <c r="D475" t="inlineStr">
        <is>
          <t>Utilities</t>
        </is>
      </c>
      <c r="E475" t="inlineStr">
        <is>
          <t>Utilities</t>
        </is>
      </c>
      <c r="F475" t="inlineStr"/>
      <c r="G475" t="inlineStr"/>
      <c r="H475" t="inlineStr">
        <is>
          <t>2.30%</t>
        </is>
      </c>
      <c r="I475" t="inlineStr">
        <is>
          <t>0.00%</t>
        </is>
      </c>
    </row>
    <row r="476">
      <c r="A476" s="2" t="n">
        <v>45982</v>
      </c>
      <c r="B476" t="inlineStr">
        <is>
          <t>P31027</t>
        </is>
      </c>
      <c r="C476" t="inlineStr">
        <is>
          <t>GICS_INDUSTRY_NAME</t>
        </is>
      </c>
      <c r="D476" t="inlineStr">
        <is>
          <t>Electric Utilities</t>
        </is>
      </c>
      <c r="E476" t="inlineStr">
        <is>
          <t>Utilities</t>
        </is>
      </c>
      <c r="F476" t="inlineStr"/>
      <c r="G476" t="inlineStr"/>
      <c r="H476" t="inlineStr">
        <is>
          <t>2.30%</t>
        </is>
      </c>
      <c r="I476" t="inlineStr">
        <is>
          <t>0.00%</t>
        </is>
      </c>
    </row>
    <row r="477">
      <c r="A477" s="2" t="n">
        <v>45982</v>
      </c>
      <c r="B477" t="inlineStr">
        <is>
          <t>P31027</t>
        </is>
      </c>
      <c r="C477" t="inlineStr">
        <is>
          <t>GICS_INDUSTRY_GROUP_NAME</t>
        </is>
      </c>
      <c r="D477" t="inlineStr">
        <is>
          <t>Food, Beverage &amp; Tobacco</t>
        </is>
      </c>
      <c r="E477" t="inlineStr">
        <is>
          <t>Consumer Staples</t>
        </is>
      </c>
      <c r="F477" t="inlineStr"/>
      <c r="G477" t="inlineStr"/>
      <c r="H477" t="inlineStr">
        <is>
          <t>2.29%</t>
        </is>
      </c>
      <c r="I477" t="inlineStr">
        <is>
          <t>0.00%</t>
        </is>
      </c>
    </row>
    <row r="478">
      <c r="A478" s="2" t="n">
        <v>45982</v>
      </c>
      <c r="B478" t="inlineStr">
        <is>
          <t>P31027</t>
        </is>
      </c>
      <c r="C478" t="inlineStr">
        <is>
          <t>GICS_INDUSTRY_NAME</t>
        </is>
      </c>
      <c r="D478" t="inlineStr">
        <is>
          <t>Communications Equipment</t>
        </is>
      </c>
      <c r="E478" t="inlineStr">
        <is>
          <t>Information Technology</t>
        </is>
      </c>
      <c r="F478" t="inlineStr"/>
      <c r="G478" t="inlineStr"/>
      <c r="H478" t="inlineStr">
        <is>
          <t>2.19%</t>
        </is>
      </c>
      <c r="I478" t="inlineStr">
        <is>
          <t>0.00%</t>
        </is>
      </c>
    </row>
    <row r="479">
      <c r="A479" s="2" t="n">
        <v>45982</v>
      </c>
      <c r="B479" t="inlineStr">
        <is>
          <t>P31027</t>
        </is>
      </c>
      <c r="C479" t="inlineStr">
        <is>
          <t>GICS_INDUSTRY_GROUP_NAME</t>
        </is>
      </c>
      <c r="D479" t="inlineStr">
        <is>
          <t>Automobiles &amp; Components</t>
        </is>
      </c>
      <c r="E479" t="inlineStr">
        <is>
          <t>Consumer Discretionary</t>
        </is>
      </c>
      <c r="F479" t="inlineStr"/>
      <c r="G479" t="inlineStr"/>
      <c r="H479" t="inlineStr">
        <is>
          <t>2.15%</t>
        </is>
      </c>
      <c r="I479" t="inlineStr">
        <is>
          <t>0.00%</t>
        </is>
      </c>
    </row>
    <row r="480">
      <c r="A480" s="2" t="n">
        <v>45982</v>
      </c>
      <c r="B480" t="inlineStr">
        <is>
          <t>P31027</t>
        </is>
      </c>
      <c r="C480" t="inlineStr">
        <is>
          <t>GICS_INDUSTRY_NAME</t>
        </is>
      </c>
      <c r="D480" t="inlineStr">
        <is>
          <t>Automobiles</t>
        </is>
      </c>
      <c r="E480" t="inlineStr">
        <is>
          <t>Consumer Discretionary</t>
        </is>
      </c>
      <c r="F480" t="inlineStr"/>
      <c r="G480" t="inlineStr"/>
      <c r="H480" t="inlineStr">
        <is>
          <t>2.15%</t>
        </is>
      </c>
      <c r="I480" t="inlineStr">
        <is>
          <t>0.00%</t>
        </is>
      </c>
    </row>
    <row r="481">
      <c r="A481" s="2" t="n">
        <v>45982</v>
      </c>
      <c r="B481" t="inlineStr">
        <is>
          <t>P31027</t>
        </is>
      </c>
      <c r="C481" t="inlineStr">
        <is>
          <t>GICS_INDUSTRY_NAME</t>
        </is>
      </c>
      <c r="D481" t="inlineStr">
        <is>
          <t>Biotechnology</t>
        </is>
      </c>
      <c r="E481" t="inlineStr">
        <is>
          <t>Health Care</t>
        </is>
      </c>
      <c r="F481" t="inlineStr"/>
      <c r="G481" t="inlineStr"/>
      <c r="H481" t="inlineStr">
        <is>
          <t>2.01%</t>
        </is>
      </c>
      <c r="I481" t="inlineStr">
        <is>
          <t>0.00%</t>
        </is>
      </c>
    </row>
    <row r="482">
      <c r="A482" s="2" t="n">
        <v>45982</v>
      </c>
      <c r="B482" t="inlineStr">
        <is>
          <t>P31027</t>
        </is>
      </c>
      <c r="C482" t="inlineStr">
        <is>
          <t>GICS_INDUSTRY_NAME</t>
        </is>
      </c>
      <c r="D482" t="inlineStr">
        <is>
          <t>Health Care Providers &amp; Services</t>
        </is>
      </c>
      <c r="E482" t="inlineStr">
        <is>
          <t>Health Care</t>
        </is>
      </c>
      <c r="F482" t="inlineStr"/>
      <c r="G482" t="inlineStr"/>
      <c r="H482" t="inlineStr">
        <is>
          <t>1.96%</t>
        </is>
      </c>
      <c r="I482" t="inlineStr">
        <is>
          <t>0.00%</t>
        </is>
      </c>
    </row>
    <row r="483">
      <c r="A483" s="2" t="n">
        <v>45982</v>
      </c>
      <c r="B483" t="inlineStr">
        <is>
          <t>P31027</t>
        </is>
      </c>
      <c r="C483" t="inlineStr">
        <is>
          <t>GICS_INDUSTRY_GROUP_NAME</t>
        </is>
      </c>
      <c r="D483" t="inlineStr">
        <is>
          <t>Consumer Staples Distribution &amp; Retail</t>
        </is>
      </c>
      <c r="E483" t="inlineStr">
        <is>
          <t>Consumer Staples</t>
        </is>
      </c>
      <c r="F483" t="inlineStr"/>
      <c r="G483" t="inlineStr"/>
      <c r="H483" t="inlineStr">
        <is>
          <t>1.79%</t>
        </is>
      </c>
      <c r="I483" t="inlineStr">
        <is>
          <t>0.00%</t>
        </is>
      </c>
    </row>
    <row r="484">
      <c r="A484" s="2" t="n">
        <v>45982</v>
      </c>
      <c r="B484" t="inlineStr">
        <is>
          <t>P31027</t>
        </is>
      </c>
      <c r="C484" t="inlineStr">
        <is>
          <t>GICS_INDUSTRY_NAME</t>
        </is>
      </c>
      <c r="D484" t="inlineStr">
        <is>
          <t>Consumer Staples Distribution &amp; Retail</t>
        </is>
      </c>
      <c r="E484" t="inlineStr">
        <is>
          <t>Consumer Staples</t>
        </is>
      </c>
      <c r="F484" t="inlineStr"/>
      <c r="G484" t="inlineStr"/>
      <c r="H484" t="inlineStr">
        <is>
          <t>1.79%</t>
        </is>
      </c>
      <c r="I484" t="inlineStr">
        <is>
          <t>0.00%</t>
        </is>
      </c>
    </row>
    <row r="485">
      <c r="A485" s="2" t="n">
        <v>45982</v>
      </c>
      <c r="B485" t="inlineStr">
        <is>
          <t>P31027</t>
        </is>
      </c>
      <c r="C485" t="inlineStr">
        <is>
          <t>GICS_INDUSTRY_GROUP_NAME</t>
        </is>
      </c>
      <c r="D485" t="inlineStr">
        <is>
          <t>Consumer Services</t>
        </is>
      </c>
      <c r="E485" t="inlineStr">
        <is>
          <t>Consumer Discretionary</t>
        </is>
      </c>
      <c r="F485" t="inlineStr"/>
      <c r="G485" t="inlineStr"/>
      <c r="H485" t="inlineStr">
        <is>
          <t>1.71%</t>
        </is>
      </c>
      <c r="I485" t="inlineStr">
        <is>
          <t>0.00%</t>
        </is>
      </c>
    </row>
    <row r="486">
      <c r="A486" s="2" t="n">
        <v>45982</v>
      </c>
      <c r="B486" t="inlineStr">
        <is>
          <t>P31027</t>
        </is>
      </c>
      <c r="C486" t="inlineStr">
        <is>
          <t>GICS_INDUSTRY_NAME</t>
        </is>
      </c>
      <c r="D486" t="inlineStr">
        <is>
          <t>Hotels, Restaurants &amp; Leisure</t>
        </is>
      </c>
      <c r="E486" t="inlineStr">
        <is>
          <t>Consumer Discretionary</t>
        </is>
      </c>
      <c r="F486" t="inlineStr"/>
      <c r="G486" t="inlineStr"/>
      <c r="H486" t="inlineStr">
        <is>
          <t>1.71%</t>
        </is>
      </c>
      <c r="I486" t="inlineStr">
        <is>
          <t>0.00%</t>
        </is>
      </c>
    </row>
    <row r="487">
      <c r="A487" s="2" t="n">
        <v>45982</v>
      </c>
      <c r="B487" t="inlineStr">
        <is>
          <t>P31027</t>
        </is>
      </c>
      <c r="C487" t="inlineStr">
        <is>
          <t>GICS_INDUSTRY_GROUP_NAME</t>
        </is>
      </c>
      <c r="D487" t="inlineStr">
        <is>
          <t>Materials</t>
        </is>
      </c>
      <c r="E487" t="inlineStr">
        <is>
          <t>Materials</t>
        </is>
      </c>
      <c r="F487" t="inlineStr"/>
      <c r="G487" t="inlineStr"/>
      <c r="H487" t="inlineStr">
        <is>
          <t>1.70%</t>
        </is>
      </c>
      <c r="I487" t="inlineStr">
        <is>
          <t>0.00%</t>
        </is>
      </c>
    </row>
    <row r="488">
      <c r="A488" s="2" t="n">
        <v>45982</v>
      </c>
      <c r="B488" t="inlineStr">
        <is>
          <t>P31027</t>
        </is>
      </c>
      <c r="C488" t="inlineStr">
        <is>
          <t>GICS_INDUSTRY_NAME</t>
        </is>
      </c>
      <c r="D488" t="inlineStr">
        <is>
          <t>Chemicals</t>
        </is>
      </c>
      <c r="E488" t="inlineStr">
        <is>
          <t>Materials</t>
        </is>
      </c>
      <c r="F488" t="inlineStr"/>
      <c r="G488" t="inlineStr"/>
      <c r="H488" t="inlineStr">
        <is>
          <t>1.70%</t>
        </is>
      </c>
      <c r="I488" t="inlineStr">
        <is>
          <t>0.00%</t>
        </is>
      </c>
    </row>
    <row r="489">
      <c r="A489" s="2" t="n">
        <v>45982</v>
      </c>
      <c r="B489" t="inlineStr">
        <is>
          <t>P31027</t>
        </is>
      </c>
      <c r="C489" t="inlineStr">
        <is>
          <t>GICS_INDUSTRY_NAME</t>
        </is>
      </c>
      <c r="D489" t="inlineStr">
        <is>
          <t>Machinery</t>
        </is>
      </c>
      <c r="E489" t="inlineStr">
        <is>
          <t>Industrials</t>
        </is>
      </c>
      <c r="F489" t="inlineStr"/>
      <c r="G489" t="inlineStr"/>
      <c r="H489" t="inlineStr">
        <is>
          <t>1.52%</t>
        </is>
      </c>
      <c r="I489" t="inlineStr">
        <is>
          <t>0.00%</t>
        </is>
      </c>
    </row>
    <row r="490">
      <c r="A490" s="2" t="n">
        <v>45982</v>
      </c>
      <c r="B490" t="inlineStr">
        <is>
          <t>P31027</t>
        </is>
      </c>
      <c r="C490" t="inlineStr">
        <is>
          <t>GICS_INDUSTRY_GROUP_NAME</t>
        </is>
      </c>
      <c r="D490" t="inlineStr">
        <is>
          <t>Equity Real Estate Investment Trusts</t>
        </is>
      </c>
      <c r="E490" t="inlineStr">
        <is>
          <t>Real Estate</t>
        </is>
      </c>
      <c r="F490" t="inlineStr"/>
      <c r="G490" t="inlineStr"/>
      <c r="H490" t="inlineStr">
        <is>
          <t>1.47%</t>
        </is>
      </c>
      <c r="I490" t="inlineStr">
        <is>
          <t>0.00%</t>
        </is>
      </c>
    </row>
    <row r="491">
      <c r="A491" s="2" t="n">
        <v>45982</v>
      </c>
      <c r="B491" t="inlineStr">
        <is>
          <t>P31027</t>
        </is>
      </c>
      <c r="C491" t="inlineStr">
        <is>
          <t>GICS_INDUSTRY_NAME</t>
        </is>
      </c>
      <c r="D491" t="inlineStr">
        <is>
          <t>Specialized REITs</t>
        </is>
      </c>
      <c r="E491" t="inlineStr">
        <is>
          <t>Real Estate</t>
        </is>
      </c>
      <c r="F491" t="inlineStr"/>
      <c r="G491" t="inlineStr"/>
      <c r="H491" t="inlineStr">
        <is>
          <t>1.47%</t>
        </is>
      </c>
      <c r="I491" t="inlineStr">
        <is>
          <t>0.00%</t>
        </is>
      </c>
    </row>
    <row r="492">
      <c r="A492" s="2" t="n">
        <v>45982</v>
      </c>
      <c r="B492" t="inlineStr">
        <is>
          <t>P31027</t>
        </is>
      </c>
      <c r="C492" t="inlineStr">
        <is>
          <t>GICS_INDUSTRY_GROUP_NAME</t>
        </is>
      </c>
      <c r="D492" t="inlineStr">
        <is>
          <t>Transportation</t>
        </is>
      </c>
      <c r="E492" t="inlineStr">
        <is>
          <t>Industrials</t>
        </is>
      </c>
      <c r="F492" t="inlineStr"/>
      <c r="G492" t="inlineStr"/>
      <c r="H492" t="inlineStr">
        <is>
          <t>1.32%</t>
        </is>
      </c>
      <c r="I492" t="inlineStr">
        <is>
          <t>0.00%</t>
        </is>
      </c>
    </row>
    <row r="493">
      <c r="A493" s="2" t="n">
        <v>45982</v>
      </c>
      <c r="B493" t="inlineStr">
        <is>
          <t>P31027</t>
        </is>
      </c>
      <c r="C493" t="inlineStr">
        <is>
          <t>GICS_INDUSTRY_NAME</t>
        </is>
      </c>
      <c r="D493" t="inlineStr">
        <is>
          <t>Specialty Retail</t>
        </is>
      </c>
      <c r="E493" t="inlineStr">
        <is>
          <t>Consumer Discretionary</t>
        </is>
      </c>
      <c r="F493" t="inlineStr"/>
      <c r="G493" t="inlineStr"/>
      <c r="H493" t="inlineStr">
        <is>
          <t>1.27%</t>
        </is>
      </c>
      <c r="I493" t="inlineStr">
        <is>
          <t>0.00%</t>
        </is>
      </c>
    </row>
    <row r="494">
      <c r="A494" s="2" t="n">
        <v>45982</v>
      </c>
      <c r="B494" t="inlineStr">
        <is>
          <t>P31027</t>
        </is>
      </c>
      <c r="C494" t="inlineStr">
        <is>
          <t>GICS_INDUSTRY_NAME</t>
        </is>
      </c>
      <c r="D494" t="inlineStr">
        <is>
          <t>Beverages</t>
        </is>
      </c>
      <c r="E494" t="inlineStr">
        <is>
          <t>Consumer Staples</t>
        </is>
      </c>
      <c r="F494" t="inlineStr"/>
      <c r="G494" t="inlineStr"/>
      <c r="H494" t="inlineStr">
        <is>
          <t>1.23%</t>
        </is>
      </c>
      <c r="I494" t="inlineStr">
        <is>
          <t>0.00%</t>
        </is>
      </c>
    </row>
    <row r="495">
      <c r="A495" s="2" t="n">
        <v>45982</v>
      </c>
      <c r="B495" t="inlineStr">
        <is>
          <t>P31027</t>
        </is>
      </c>
      <c r="C495" t="inlineStr">
        <is>
          <t>GICS_INDUSTRY_NAME</t>
        </is>
      </c>
      <c r="D495" t="inlineStr">
        <is>
          <t>IT Services</t>
        </is>
      </c>
      <c r="E495" t="inlineStr">
        <is>
          <t>Information Technology</t>
        </is>
      </c>
      <c r="F495" t="inlineStr"/>
      <c r="G495" t="inlineStr"/>
      <c r="H495" t="inlineStr">
        <is>
          <t>1.21%</t>
        </is>
      </c>
      <c r="I495" t="inlineStr">
        <is>
          <t>0.00%</t>
        </is>
      </c>
    </row>
    <row r="496">
      <c r="A496" s="2" t="n">
        <v>45982</v>
      </c>
      <c r="B496" t="inlineStr">
        <is>
          <t>P31027</t>
        </is>
      </c>
      <c r="C496" t="inlineStr">
        <is>
          <t>GICS_INDUSTRY_NAME</t>
        </is>
      </c>
      <c r="D496" t="inlineStr">
        <is>
          <t>Entertainment</t>
        </is>
      </c>
      <c r="E496" t="inlineStr">
        <is>
          <t>Communication Services</t>
        </is>
      </c>
      <c r="F496" t="inlineStr"/>
      <c r="G496" t="inlineStr"/>
      <c r="H496" t="inlineStr">
        <is>
          <t>1.18%</t>
        </is>
      </c>
      <c r="I496" t="inlineStr">
        <is>
          <t>0.00%</t>
        </is>
      </c>
    </row>
    <row r="497">
      <c r="A497" s="2" t="n">
        <v>45982</v>
      </c>
      <c r="B497" t="inlineStr">
        <is>
          <t>P31027</t>
        </is>
      </c>
      <c r="C497" t="inlineStr">
        <is>
          <t>GICS_INDUSTRY_GROUP_NAME</t>
        </is>
      </c>
      <c r="D497" t="inlineStr">
        <is>
          <t>Commercial &amp; Professional Services</t>
        </is>
      </c>
      <c r="E497" t="inlineStr">
        <is>
          <t>Industrials</t>
        </is>
      </c>
      <c r="F497" t="inlineStr"/>
      <c r="G497" t="inlineStr"/>
      <c r="H497" t="inlineStr">
        <is>
          <t>1.10%</t>
        </is>
      </c>
      <c r="I497" t="inlineStr">
        <is>
          <t>0.00%</t>
        </is>
      </c>
    </row>
    <row r="498">
      <c r="A498" s="2" t="n">
        <v>45982</v>
      </c>
      <c r="B498" t="inlineStr">
        <is>
          <t>P31027</t>
        </is>
      </c>
      <c r="C498" t="inlineStr">
        <is>
          <t>GICS_INDUSTRY_NAME</t>
        </is>
      </c>
      <c r="D498" t="inlineStr">
        <is>
          <t>Commercial Services &amp; Supplies</t>
        </is>
      </c>
      <c r="E498" t="inlineStr">
        <is>
          <t>Industrials</t>
        </is>
      </c>
      <c r="F498" t="inlineStr"/>
      <c r="G498" t="inlineStr"/>
      <c r="H498" t="inlineStr">
        <is>
          <t>1.10%</t>
        </is>
      </c>
      <c r="I498" t="inlineStr">
        <is>
          <t>0.00%</t>
        </is>
      </c>
    </row>
    <row r="499">
      <c r="A499" s="2" t="n">
        <v>45982</v>
      </c>
      <c r="B499" t="inlineStr">
        <is>
          <t>P31027</t>
        </is>
      </c>
      <c r="C499" t="inlineStr">
        <is>
          <t>GICS_INDUSTRY_GROUP_NAME</t>
        </is>
      </c>
      <c r="D499" t="inlineStr">
        <is>
          <t>Household &amp; Personal Products</t>
        </is>
      </c>
      <c r="E499" t="inlineStr">
        <is>
          <t>Consumer Staples</t>
        </is>
      </c>
      <c r="F499" t="inlineStr"/>
      <c r="G499" t="inlineStr"/>
      <c r="H499" t="inlineStr">
        <is>
          <t>0.98%</t>
        </is>
      </c>
      <c r="I499" t="inlineStr">
        <is>
          <t>0.00%</t>
        </is>
      </c>
    </row>
    <row r="500">
      <c r="A500" s="2" t="n">
        <v>45982</v>
      </c>
      <c r="B500" t="inlineStr">
        <is>
          <t>P31027</t>
        </is>
      </c>
      <c r="C500" t="inlineStr">
        <is>
          <t>GICS_INDUSTRY_NAME</t>
        </is>
      </c>
      <c r="D500" t="inlineStr">
        <is>
          <t>Household Products</t>
        </is>
      </c>
      <c r="E500" t="inlineStr">
        <is>
          <t>Consumer Staples</t>
        </is>
      </c>
      <c r="F500" t="inlineStr"/>
      <c r="G500" t="inlineStr"/>
      <c r="H500" t="inlineStr">
        <is>
          <t>0.98%</t>
        </is>
      </c>
      <c r="I500" t="inlineStr">
        <is>
          <t>0.00%</t>
        </is>
      </c>
    </row>
    <row r="501">
      <c r="A501" s="2" t="n">
        <v>45982</v>
      </c>
      <c r="B501" t="inlineStr">
        <is>
          <t>P31027</t>
        </is>
      </c>
      <c r="C501" t="inlineStr">
        <is>
          <t>GICS_INDUSTRY_NAME</t>
        </is>
      </c>
      <c r="D501" t="inlineStr">
        <is>
          <t>Life Sciences Tools &amp; Services</t>
        </is>
      </c>
      <c r="E501" t="inlineStr">
        <is>
          <t>Health Care</t>
        </is>
      </c>
      <c r="F501" t="inlineStr"/>
      <c r="G501" t="inlineStr"/>
      <c r="H501" t="inlineStr">
        <is>
          <t>0.97%</t>
        </is>
      </c>
      <c r="I501" t="inlineStr">
        <is>
          <t>0.00%</t>
        </is>
      </c>
    </row>
    <row r="502">
      <c r="A502" s="2" t="n">
        <v>45982</v>
      </c>
      <c r="B502" t="inlineStr">
        <is>
          <t>P31027</t>
        </is>
      </c>
      <c r="C502" t="inlineStr">
        <is>
          <t>GICS_INDUSTRY_NAME</t>
        </is>
      </c>
      <c r="D502" t="inlineStr">
        <is>
          <t>Ground Transportation</t>
        </is>
      </c>
      <c r="E502" t="inlineStr">
        <is>
          <t>Industrials</t>
        </is>
      </c>
      <c r="F502" t="inlineStr"/>
      <c r="G502" t="inlineStr"/>
      <c r="H502" t="inlineStr">
        <is>
          <t>0.93%</t>
        </is>
      </c>
      <c r="I502" t="inlineStr">
        <is>
          <t>0.00%</t>
        </is>
      </c>
    </row>
    <row r="503">
      <c r="A503" s="2" t="n">
        <v>45982</v>
      </c>
      <c r="B503" t="inlineStr">
        <is>
          <t>P31027</t>
        </is>
      </c>
      <c r="C503" t="inlineStr">
        <is>
          <t>GICS_INDUSTRY_NAME</t>
        </is>
      </c>
      <c r="D503" t="inlineStr">
        <is>
          <t>Tobacco</t>
        </is>
      </c>
      <c r="E503" t="inlineStr">
        <is>
          <t>Consumer Staples</t>
        </is>
      </c>
      <c r="F503" t="inlineStr"/>
      <c r="G503" t="inlineStr"/>
      <c r="H503" t="inlineStr">
        <is>
          <t>0.87%</t>
        </is>
      </c>
      <c r="I503" t="inlineStr">
        <is>
          <t>0.00%</t>
        </is>
      </c>
    </row>
    <row r="504">
      <c r="A504" s="2" t="n">
        <v>45982</v>
      </c>
      <c r="B504" t="inlineStr">
        <is>
          <t>P31027</t>
        </is>
      </c>
      <c r="C504" t="inlineStr">
        <is>
          <t>GICS_INDUSTRY_GROUP_NAME</t>
        </is>
      </c>
      <c r="D504" t="inlineStr">
        <is>
          <t>Telecommunication Services</t>
        </is>
      </c>
      <c r="E504" t="inlineStr">
        <is>
          <t>Communication Services</t>
        </is>
      </c>
      <c r="F504" t="inlineStr"/>
      <c r="G504" t="inlineStr"/>
      <c r="H504" t="inlineStr">
        <is>
          <t>0.84%</t>
        </is>
      </c>
      <c r="I504" t="inlineStr">
        <is>
          <t>0.00%</t>
        </is>
      </c>
    </row>
    <row r="505">
      <c r="A505" s="2" t="n">
        <v>45982</v>
      </c>
      <c r="B505" t="inlineStr">
        <is>
          <t>P31027</t>
        </is>
      </c>
      <c r="C505" t="inlineStr">
        <is>
          <t>GICS_INDUSTRY_NAME</t>
        </is>
      </c>
      <c r="D505" t="inlineStr">
        <is>
          <t>Diversified Telecommunication Services</t>
        </is>
      </c>
      <c r="E505" t="inlineStr">
        <is>
          <t>Communication Services</t>
        </is>
      </c>
      <c r="F505" t="inlineStr"/>
      <c r="G505" t="inlineStr"/>
      <c r="H505" t="inlineStr">
        <is>
          <t>0.84%</t>
        </is>
      </c>
      <c r="I505" t="inlineStr">
        <is>
          <t>0.00%</t>
        </is>
      </c>
    </row>
    <row r="506">
      <c r="A506" s="2" t="n">
        <v>45982</v>
      </c>
      <c r="B506" t="inlineStr">
        <is>
          <t>P31027</t>
        </is>
      </c>
      <c r="C506" t="inlineStr">
        <is>
          <t>GICS_INDUSTRY_NAME</t>
        </is>
      </c>
      <c r="D506" t="inlineStr">
        <is>
          <t>Industrial Conglomerates</t>
        </is>
      </c>
      <c r="E506" t="inlineStr">
        <is>
          <t>Industrials</t>
        </is>
      </c>
      <c r="F506" t="inlineStr"/>
      <c r="G506" t="inlineStr"/>
      <c r="H506" t="inlineStr">
        <is>
          <t>0.84%</t>
        </is>
      </c>
      <c r="I506" t="inlineStr">
        <is>
          <t>0.00%</t>
        </is>
      </c>
    </row>
    <row r="507">
      <c r="A507" s="2" t="n">
        <v>45982</v>
      </c>
      <c r="B507" t="inlineStr">
        <is>
          <t>P31027</t>
        </is>
      </c>
      <c r="C507" t="inlineStr">
        <is>
          <t>GICS_INDUSTRY_NAME</t>
        </is>
      </c>
      <c r="D507" t="inlineStr">
        <is>
          <t>Electrical Equipment</t>
        </is>
      </c>
      <c r="E507" t="inlineStr">
        <is>
          <t>Industrials</t>
        </is>
      </c>
      <c r="F507" t="inlineStr"/>
      <c r="G507" t="inlineStr"/>
      <c r="H507" t="inlineStr">
        <is>
          <t>0.79%</t>
        </is>
      </c>
      <c r="I507" t="inlineStr">
        <is>
          <t>0.00%</t>
        </is>
      </c>
    </row>
    <row r="508">
      <c r="A508" s="2" t="n">
        <v>45982</v>
      </c>
      <c r="B508" t="inlineStr">
        <is>
          <t>P31027</t>
        </is>
      </c>
      <c r="C508" t="inlineStr">
        <is>
          <t>GICS_INDUSTRY_NAME</t>
        </is>
      </c>
      <c r="D508" t="inlineStr">
        <is>
          <t>Consumer Finance</t>
        </is>
      </c>
      <c r="E508" t="inlineStr">
        <is>
          <t>Financials</t>
        </is>
      </c>
      <c r="F508" t="inlineStr"/>
      <c r="G508" t="inlineStr"/>
      <c r="H508" t="inlineStr">
        <is>
          <t>0.62%</t>
        </is>
      </c>
      <c r="I508" t="inlineStr">
        <is>
          <t>0.00%</t>
        </is>
      </c>
    </row>
    <row r="509">
      <c r="A509" s="2" t="n">
        <v>45982</v>
      </c>
      <c r="B509" t="inlineStr">
        <is>
          <t>P31027</t>
        </is>
      </c>
      <c r="C509" t="inlineStr">
        <is>
          <t>GICS_INDUSTRY_GROUP_NAME</t>
        </is>
      </c>
      <c r="D509" t="inlineStr">
        <is>
          <t>Consumer Durables &amp; Apparel</t>
        </is>
      </c>
      <c r="E509" t="inlineStr">
        <is>
          <t>Consumer Discretionary</t>
        </is>
      </c>
      <c r="F509" t="inlineStr"/>
      <c r="G509" t="inlineStr"/>
      <c r="H509" t="inlineStr">
        <is>
          <t>0.53%</t>
        </is>
      </c>
      <c r="I509" t="inlineStr">
        <is>
          <t>0.00%</t>
        </is>
      </c>
    </row>
    <row r="510">
      <c r="A510" s="2" t="n">
        <v>45982</v>
      </c>
      <c r="B510" t="inlineStr">
        <is>
          <t>P31027</t>
        </is>
      </c>
      <c r="C510" t="inlineStr">
        <is>
          <t>GICS_INDUSTRY_NAME</t>
        </is>
      </c>
      <c r="D510" t="inlineStr">
        <is>
          <t>Textiles, Apparel &amp; Luxury Goods</t>
        </is>
      </c>
      <c r="E510" t="inlineStr">
        <is>
          <t>Consumer Discretionary</t>
        </is>
      </c>
      <c r="F510" t="inlineStr"/>
      <c r="G510" t="inlineStr"/>
      <c r="H510" t="inlineStr">
        <is>
          <t>0.53%</t>
        </is>
      </c>
      <c r="I510" t="inlineStr">
        <is>
          <t>0.00%</t>
        </is>
      </c>
    </row>
    <row r="511">
      <c r="A511" s="2" t="n">
        <v>45982</v>
      </c>
      <c r="B511" t="inlineStr">
        <is>
          <t>P31027</t>
        </is>
      </c>
      <c r="C511" t="inlineStr">
        <is>
          <t>GICS_INDUSTRY_NAME</t>
        </is>
      </c>
      <c r="D511" t="inlineStr">
        <is>
          <t>Air Freight &amp; Logistics</t>
        </is>
      </c>
      <c r="E511" t="inlineStr">
        <is>
          <t>Industrials</t>
        </is>
      </c>
      <c r="F511" t="inlineStr"/>
      <c r="G511" t="inlineStr"/>
      <c r="H511" t="inlineStr">
        <is>
          <t>0.39%</t>
        </is>
      </c>
      <c r="I511" t="inlineStr">
        <is>
          <t>0.00%</t>
        </is>
      </c>
    </row>
    <row r="512">
      <c r="A512" s="2" t="n">
        <v>45982</v>
      </c>
      <c r="B512" t="inlineStr">
        <is>
          <t>P31027</t>
        </is>
      </c>
      <c r="C512" t="inlineStr">
        <is>
          <t>GICS_INDUSTRY_NAME</t>
        </is>
      </c>
      <c r="D512" t="inlineStr">
        <is>
          <t>Media</t>
        </is>
      </c>
      <c r="E512" t="inlineStr">
        <is>
          <t>Communication Services</t>
        </is>
      </c>
      <c r="F512" t="inlineStr"/>
      <c r="G512" t="inlineStr"/>
      <c r="H512" t="inlineStr">
        <is>
          <t>0.19%</t>
        </is>
      </c>
      <c r="I512" t="inlineStr">
        <is>
          <t>0.00%</t>
        </is>
      </c>
    </row>
    <row r="513">
      <c r="A513" s="2" t="n">
        <v>45982</v>
      </c>
      <c r="B513" t="inlineStr">
        <is>
          <t>P31027</t>
        </is>
      </c>
      <c r="C513" t="inlineStr">
        <is>
          <t>GICS_INDUSTRY_NAME</t>
        </is>
      </c>
      <c r="D513" t="inlineStr">
        <is>
          <t>Food Products</t>
        </is>
      </c>
      <c r="E513" t="inlineStr">
        <is>
          <t>Consumer Staples</t>
        </is>
      </c>
      <c r="F513" t="inlineStr"/>
      <c r="G513" t="inlineStr"/>
      <c r="H513" t="inlineStr">
        <is>
          <t>0.19%</t>
        </is>
      </c>
      <c r="I513" t="inlineStr">
        <is>
          <t>0.00%</t>
        </is>
      </c>
    </row>
    <row r="514">
      <c r="A514" s="2" t="n">
        <v>45982</v>
      </c>
      <c r="B514" t="inlineStr">
        <is>
          <t>P3727</t>
        </is>
      </c>
      <c r="C514" t="inlineStr">
        <is>
          <t>GICS_INDUSTRY_GROUP_NAME</t>
        </is>
      </c>
      <c r="D514" t="inlineStr">
        <is>
          <t>Semiconductors &amp; Semiconductor Equipment</t>
        </is>
      </c>
      <c r="E514" t="inlineStr">
        <is>
          <t>Information Technology</t>
        </is>
      </c>
      <c r="F514" t="inlineStr"/>
      <c r="G514" t="inlineStr"/>
      <c r="H514" t="inlineStr">
        <is>
          <t>14.93%</t>
        </is>
      </c>
      <c r="I514" t="inlineStr">
        <is>
          <t>0.00%</t>
        </is>
      </c>
    </row>
    <row r="515">
      <c r="A515" s="2" t="n">
        <v>45982</v>
      </c>
      <c r="B515" t="inlineStr">
        <is>
          <t>P3727</t>
        </is>
      </c>
      <c r="C515" t="inlineStr">
        <is>
          <t>GICS_INDUSTRY_NAME</t>
        </is>
      </c>
      <c r="D515" t="inlineStr">
        <is>
          <t>Semiconductors &amp; Semiconductor Equipment</t>
        </is>
      </c>
      <c r="E515" t="inlineStr">
        <is>
          <t>Information Technology</t>
        </is>
      </c>
      <c r="F515" t="inlineStr"/>
      <c r="G515" t="inlineStr"/>
      <c r="H515" t="inlineStr">
        <is>
          <t>14.93%</t>
        </is>
      </c>
      <c r="I515" t="inlineStr">
        <is>
          <t>0.00%</t>
        </is>
      </c>
    </row>
    <row r="516">
      <c r="A516" s="2" t="n">
        <v>45982</v>
      </c>
      <c r="B516" t="inlineStr">
        <is>
          <t>P3727</t>
        </is>
      </c>
      <c r="C516" t="inlineStr">
        <is>
          <t>GICS_INDUSTRY_GROUP_NAME</t>
        </is>
      </c>
      <c r="D516" t="inlineStr">
        <is>
          <t>Technology Hardware &amp; Equipment</t>
        </is>
      </c>
      <c r="E516" t="inlineStr">
        <is>
          <t>Information Technology</t>
        </is>
      </c>
      <c r="F516" t="inlineStr"/>
      <c r="G516" t="inlineStr"/>
      <c r="H516" t="inlineStr">
        <is>
          <t>9.80%</t>
        </is>
      </c>
      <c r="I516" t="inlineStr">
        <is>
          <t>0.00%</t>
        </is>
      </c>
    </row>
    <row r="517">
      <c r="A517" s="2" t="n">
        <v>45982</v>
      </c>
      <c r="B517" t="inlineStr">
        <is>
          <t>P3727</t>
        </is>
      </c>
      <c r="C517" t="inlineStr">
        <is>
          <t>GICS_INDUSTRY_GROUP_NAME</t>
        </is>
      </c>
      <c r="D517" t="inlineStr">
        <is>
          <t>Software &amp; Services</t>
        </is>
      </c>
      <c r="E517" t="inlineStr">
        <is>
          <t>Information Technology</t>
        </is>
      </c>
      <c r="F517" t="inlineStr"/>
      <c r="G517" t="inlineStr"/>
      <c r="H517" t="inlineStr">
        <is>
          <t>9.74%</t>
        </is>
      </c>
      <c r="I517" t="inlineStr">
        <is>
          <t>0.00%</t>
        </is>
      </c>
    </row>
    <row r="518">
      <c r="A518" s="2" t="n">
        <v>45982</v>
      </c>
      <c r="B518" t="inlineStr">
        <is>
          <t>P3727</t>
        </is>
      </c>
      <c r="C518" t="inlineStr">
        <is>
          <t>GICS_INDUSTRY_GROUP_NAME</t>
        </is>
      </c>
      <c r="D518" t="inlineStr">
        <is>
          <t>Media &amp; Entertainment</t>
        </is>
      </c>
      <c r="E518" t="inlineStr">
        <is>
          <t>Communication Services</t>
        </is>
      </c>
      <c r="F518" t="inlineStr"/>
      <c r="G518" t="inlineStr"/>
      <c r="H518" t="inlineStr">
        <is>
          <t>9.70%</t>
        </is>
      </c>
      <c r="I518" t="inlineStr">
        <is>
          <t>0.00%</t>
        </is>
      </c>
    </row>
    <row r="519">
      <c r="A519" s="2" t="n">
        <v>45982</v>
      </c>
      <c r="B519" t="inlineStr">
        <is>
          <t>P3727</t>
        </is>
      </c>
      <c r="C519" t="inlineStr">
        <is>
          <t>GICS_INDUSTRY_NAME</t>
        </is>
      </c>
      <c r="D519" t="inlineStr">
        <is>
          <t>Software</t>
        </is>
      </c>
      <c r="E519" t="inlineStr">
        <is>
          <t>Information Technology</t>
        </is>
      </c>
      <c r="F519" t="inlineStr"/>
      <c r="G519" t="inlineStr"/>
      <c r="H519" t="inlineStr">
        <is>
          <t>8.53%</t>
        </is>
      </c>
      <c r="I519" t="inlineStr">
        <is>
          <t>0.00%</t>
        </is>
      </c>
    </row>
    <row r="520">
      <c r="A520" s="2" t="n">
        <v>45982</v>
      </c>
      <c r="B520" t="inlineStr">
        <is>
          <t>P3727</t>
        </is>
      </c>
      <c r="C520" t="inlineStr">
        <is>
          <t>GICS_INDUSTRY_NAME</t>
        </is>
      </c>
      <c r="D520" t="inlineStr">
        <is>
          <t>Interactive Media &amp; Services</t>
        </is>
      </c>
      <c r="E520" t="inlineStr">
        <is>
          <t>Communication Services</t>
        </is>
      </c>
      <c r="F520" t="inlineStr"/>
      <c r="G520" t="inlineStr"/>
      <c r="H520" t="inlineStr">
        <is>
          <t>8.32%</t>
        </is>
      </c>
      <c r="I520" t="inlineStr">
        <is>
          <t>0.00%</t>
        </is>
      </c>
    </row>
    <row r="521">
      <c r="A521" s="2" t="n">
        <v>45982</v>
      </c>
      <c r="B521" t="inlineStr">
        <is>
          <t>P3727</t>
        </is>
      </c>
      <c r="C521" t="inlineStr">
        <is>
          <t>GICS_INDUSTRY_NAME</t>
        </is>
      </c>
      <c r="D521" t="inlineStr">
        <is>
          <t>Technology Hardware, Storage &amp; Peripherals</t>
        </is>
      </c>
      <c r="E521" t="inlineStr">
        <is>
          <t>Information Technology</t>
        </is>
      </c>
      <c r="F521" t="inlineStr"/>
      <c r="G521" t="inlineStr"/>
      <c r="H521" t="inlineStr">
        <is>
          <t>7.62%</t>
        </is>
      </c>
      <c r="I521" t="inlineStr">
        <is>
          <t>0.00%</t>
        </is>
      </c>
    </row>
    <row r="522">
      <c r="A522" s="2" t="n">
        <v>45982</v>
      </c>
      <c r="B522" t="inlineStr">
        <is>
          <t>P3727</t>
        </is>
      </c>
      <c r="C522" t="inlineStr">
        <is>
          <t>GICS_INDUSTRY_GROUP_NAME</t>
        </is>
      </c>
      <c r="D522" t="inlineStr">
        <is>
          <t>Financial Services</t>
        </is>
      </c>
      <c r="E522" t="inlineStr">
        <is>
          <t>Financials</t>
        </is>
      </c>
      <c r="F522" t="inlineStr"/>
      <c r="G522" t="inlineStr"/>
      <c r="H522" t="inlineStr">
        <is>
          <t>6.64%</t>
        </is>
      </c>
      <c r="I522" t="inlineStr">
        <is>
          <t>0.00%</t>
        </is>
      </c>
    </row>
    <row r="523">
      <c r="A523" s="2" t="n">
        <v>45982</v>
      </c>
      <c r="B523" t="inlineStr">
        <is>
          <t>P3727</t>
        </is>
      </c>
      <c r="C523" t="inlineStr">
        <is>
          <t>GICS_INDUSTRY_GROUP_NAME</t>
        </is>
      </c>
      <c r="D523" t="inlineStr">
        <is>
          <t>Capital Goods</t>
        </is>
      </c>
      <c r="E523" t="inlineStr">
        <is>
          <t>Industrials</t>
        </is>
      </c>
      <c r="F523" t="inlineStr"/>
      <c r="G523" t="inlineStr"/>
      <c r="H523" t="inlineStr">
        <is>
          <t>6.16%</t>
        </is>
      </c>
      <c r="I523" t="inlineStr">
        <is>
          <t>0.00%</t>
        </is>
      </c>
    </row>
    <row r="524">
      <c r="A524" s="2" t="n">
        <v>45982</v>
      </c>
      <c r="B524" t="inlineStr">
        <is>
          <t>P3727</t>
        </is>
      </c>
      <c r="C524" t="inlineStr">
        <is>
          <t>GICS_INDUSTRY_GROUP_NAME</t>
        </is>
      </c>
      <c r="D524" t="inlineStr">
        <is>
          <t>Pharmaceuticals, Biotechnology &amp; Life Sciences</t>
        </is>
      </c>
      <c r="E524" t="inlineStr">
        <is>
          <t>Health Care</t>
        </is>
      </c>
      <c r="F524" t="inlineStr"/>
      <c r="G524" t="inlineStr"/>
      <c r="H524" t="inlineStr">
        <is>
          <t>5.57%</t>
        </is>
      </c>
      <c r="I524" t="inlineStr">
        <is>
          <t>0.00%</t>
        </is>
      </c>
    </row>
    <row r="525">
      <c r="A525" s="2" t="n">
        <v>45982</v>
      </c>
      <c r="B525" t="inlineStr">
        <is>
          <t>P3727</t>
        </is>
      </c>
      <c r="C525" t="inlineStr">
        <is>
          <t>GICS_INDUSTRY_GROUP_NAME</t>
        </is>
      </c>
      <c r="D525" t="inlineStr">
        <is>
          <t>Consumer Discretionary Distribution &amp; Retail</t>
        </is>
      </c>
      <c r="E525" t="inlineStr">
        <is>
          <t>Consumer Discretionary</t>
        </is>
      </c>
      <c r="F525" t="inlineStr"/>
      <c r="G525" t="inlineStr"/>
      <c r="H525" t="inlineStr">
        <is>
          <t>5.33%</t>
        </is>
      </c>
      <c r="I525" t="inlineStr">
        <is>
          <t>0.00%</t>
        </is>
      </c>
    </row>
    <row r="526">
      <c r="A526" s="2" t="n">
        <v>45982</v>
      </c>
      <c r="B526" t="inlineStr">
        <is>
          <t>P3727</t>
        </is>
      </c>
      <c r="C526" t="inlineStr">
        <is>
          <t>GICS_INDUSTRY_GROUP_NAME</t>
        </is>
      </c>
      <c r="D526" t="inlineStr">
        <is>
          <t>Banks</t>
        </is>
      </c>
      <c r="E526" t="inlineStr">
        <is>
          <t>Financials</t>
        </is>
      </c>
      <c r="F526" t="inlineStr"/>
      <c r="G526" t="inlineStr"/>
      <c r="H526" t="inlineStr">
        <is>
          <t>4.47%</t>
        </is>
      </c>
      <c r="I526" t="inlineStr">
        <is>
          <t>0.00%</t>
        </is>
      </c>
    </row>
    <row r="527">
      <c r="A527" s="2" t="n">
        <v>45982</v>
      </c>
      <c r="B527" t="inlineStr">
        <is>
          <t>P3727</t>
        </is>
      </c>
      <c r="C527" t="inlineStr">
        <is>
          <t>GICS_INDUSTRY_NAME</t>
        </is>
      </c>
      <c r="D527" t="inlineStr">
        <is>
          <t>Banks</t>
        </is>
      </c>
      <c r="E527" t="inlineStr">
        <is>
          <t>Financials</t>
        </is>
      </c>
      <c r="F527" t="inlineStr"/>
      <c r="G527" t="inlineStr"/>
      <c r="H527" t="inlineStr">
        <is>
          <t>4.47%</t>
        </is>
      </c>
      <c r="I527" t="inlineStr">
        <is>
          <t>0.00%</t>
        </is>
      </c>
    </row>
    <row r="528">
      <c r="A528" s="2" t="n">
        <v>45982</v>
      </c>
      <c r="B528" t="inlineStr">
        <is>
          <t>P3727</t>
        </is>
      </c>
      <c r="C528" t="inlineStr">
        <is>
          <t>GICS_INDUSTRY_GROUP_NAME</t>
        </is>
      </c>
      <c r="D528" t="inlineStr">
        <is>
          <t>Health Care Equipment &amp; Services</t>
        </is>
      </c>
      <c r="E528" t="inlineStr">
        <is>
          <t>Health Care</t>
        </is>
      </c>
      <c r="F528" t="inlineStr"/>
      <c r="G528" t="inlineStr"/>
      <c r="H528" t="inlineStr">
        <is>
          <t>4.28%</t>
        </is>
      </c>
      <c r="I528" t="inlineStr">
        <is>
          <t>0.00%</t>
        </is>
      </c>
    </row>
    <row r="529">
      <c r="A529" s="2" t="n">
        <v>45982</v>
      </c>
      <c r="B529" t="inlineStr">
        <is>
          <t>P3727</t>
        </is>
      </c>
      <c r="C529" t="inlineStr">
        <is>
          <t>GICS_INDUSTRY_NAME</t>
        </is>
      </c>
      <c r="D529" t="inlineStr">
        <is>
          <t>Broadline Retail</t>
        </is>
      </c>
      <c r="E529" t="inlineStr">
        <is>
          <t>Consumer Discretionary</t>
        </is>
      </c>
      <c r="F529" t="inlineStr"/>
      <c r="G529" t="inlineStr"/>
      <c r="H529" t="inlineStr">
        <is>
          <t>4.06%</t>
        </is>
      </c>
      <c r="I529" t="inlineStr">
        <is>
          <t>0.00%</t>
        </is>
      </c>
    </row>
    <row r="530">
      <c r="A530" s="2" t="n">
        <v>45982</v>
      </c>
      <c r="B530" t="inlineStr">
        <is>
          <t>P3727</t>
        </is>
      </c>
      <c r="C530" t="inlineStr">
        <is>
          <t>GICS_INDUSTRY_NAME</t>
        </is>
      </c>
      <c r="D530" t="inlineStr">
        <is>
          <t>Financial Services</t>
        </is>
      </c>
      <c r="E530" t="inlineStr">
        <is>
          <t>Financials</t>
        </is>
      </c>
      <c r="F530" t="inlineStr"/>
      <c r="G530" t="inlineStr"/>
      <c r="H530" t="inlineStr">
        <is>
          <t>3.34%</t>
        </is>
      </c>
      <c r="I530" t="inlineStr">
        <is>
          <t>0.00%</t>
        </is>
      </c>
    </row>
    <row r="531">
      <c r="A531" s="2" t="n">
        <v>45982</v>
      </c>
      <c r="B531" t="inlineStr">
        <is>
          <t>P3727</t>
        </is>
      </c>
      <c r="C531" t="inlineStr">
        <is>
          <t>GICS_INDUSTRY_NAME</t>
        </is>
      </c>
      <c r="D531" t="inlineStr">
        <is>
          <t>Aerospace &amp; Defense</t>
        </is>
      </c>
      <c r="E531" t="inlineStr">
        <is>
          <t>Industrials</t>
        </is>
      </c>
      <c r="F531" t="inlineStr"/>
      <c r="G531" t="inlineStr"/>
      <c r="H531" t="inlineStr">
        <is>
          <t>3.00%</t>
        </is>
      </c>
      <c r="I531" t="inlineStr">
        <is>
          <t>0.00%</t>
        </is>
      </c>
    </row>
    <row r="532">
      <c r="A532" s="2" t="n">
        <v>45982</v>
      </c>
      <c r="B532" t="inlineStr">
        <is>
          <t>P3727</t>
        </is>
      </c>
      <c r="C532" t="inlineStr">
        <is>
          <t>GICS_INDUSTRY_GROUP_NAME</t>
        </is>
      </c>
      <c r="D532" t="inlineStr">
        <is>
          <t>Energy</t>
        </is>
      </c>
      <c r="E532" t="inlineStr">
        <is>
          <t>Energy</t>
        </is>
      </c>
      <c r="F532" t="inlineStr"/>
      <c r="G532" t="inlineStr"/>
      <c r="H532" t="inlineStr">
        <is>
          <t>2.88%</t>
        </is>
      </c>
      <c r="I532" t="inlineStr">
        <is>
          <t>0.00%</t>
        </is>
      </c>
    </row>
    <row r="533">
      <c r="A533" s="2" t="n">
        <v>45982</v>
      </c>
      <c r="B533" t="inlineStr">
        <is>
          <t>P3727</t>
        </is>
      </c>
      <c r="C533" t="inlineStr">
        <is>
          <t>GICS_INDUSTRY_NAME</t>
        </is>
      </c>
      <c r="D533" t="inlineStr">
        <is>
          <t>Oil, Gas &amp; Consumable Fuels</t>
        </is>
      </c>
      <c r="E533" t="inlineStr">
        <is>
          <t>Energy</t>
        </is>
      </c>
      <c r="F533" t="inlineStr"/>
      <c r="G533" t="inlineStr"/>
      <c r="H533" t="inlineStr">
        <is>
          <t>2.88%</t>
        </is>
      </c>
      <c r="I533" t="inlineStr">
        <is>
          <t>0.00%</t>
        </is>
      </c>
    </row>
    <row r="534">
      <c r="A534" s="2" t="n">
        <v>45982</v>
      </c>
      <c r="B534" t="inlineStr">
        <is>
          <t>P3727</t>
        </is>
      </c>
      <c r="C534" t="inlineStr">
        <is>
          <t>GICS_INDUSTRY_NAME</t>
        </is>
      </c>
      <c r="D534" t="inlineStr">
        <is>
          <t>Capital Markets</t>
        </is>
      </c>
      <c r="E534" t="inlineStr">
        <is>
          <t>Financials</t>
        </is>
      </c>
      <c r="F534" t="inlineStr"/>
      <c r="G534" t="inlineStr"/>
      <c r="H534" t="inlineStr">
        <is>
          <t>2.68%</t>
        </is>
      </c>
      <c r="I534" t="inlineStr">
        <is>
          <t>0.00%</t>
        </is>
      </c>
    </row>
    <row r="535">
      <c r="A535" s="2" t="n">
        <v>45982</v>
      </c>
      <c r="B535" t="inlineStr">
        <is>
          <t>P3727</t>
        </is>
      </c>
      <c r="C535" t="inlineStr">
        <is>
          <t>GICS_INDUSTRY_NAME</t>
        </is>
      </c>
      <c r="D535" t="inlineStr">
        <is>
          <t>Pharmaceuticals</t>
        </is>
      </c>
      <c r="E535" t="inlineStr">
        <is>
          <t>Health Care</t>
        </is>
      </c>
      <c r="F535" t="inlineStr"/>
      <c r="G535" t="inlineStr"/>
      <c r="H535" t="inlineStr">
        <is>
          <t>2.59%</t>
        </is>
      </c>
      <c r="I535" t="inlineStr">
        <is>
          <t>0.00%</t>
        </is>
      </c>
    </row>
    <row r="536">
      <c r="A536" s="2" t="n">
        <v>45982</v>
      </c>
      <c r="B536" t="inlineStr">
        <is>
          <t>P3727</t>
        </is>
      </c>
      <c r="C536" t="inlineStr">
        <is>
          <t>GICS_INDUSTRY_NAME</t>
        </is>
      </c>
      <c r="D536" t="inlineStr">
        <is>
          <t>Health Care Equipment &amp; Supplies</t>
        </is>
      </c>
      <c r="E536" t="inlineStr">
        <is>
          <t>Health Care</t>
        </is>
      </c>
      <c r="F536" t="inlineStr"/>
      <c r="G536" t="inlineStr"/>
      <c r="H536" t="inlineStr">
        <is>
          <t>2.32%</t>
        </is>
      </c>
      <c r="I536" t="inlineStr">
        <is>
          <t>0.00%</t>
        </is>
      </c>
    </row>
    <row r="537">
      <c r="A537" s="2" t="n">
        <v>45982</v>
      </c>
      <c r="B537" t="inlineStr">
        <is>
          <t>P3727</t>
        </is>
      </c>
      <c r="C537" t="inlineStr">
        <is>
          <t>GICS_INDUSTRY_GROUP_NAME</t>
        </is>
      </c>
      <c r="D537" t="inlineStr">
        <is>
          <t>Insurance</t>
        </is>
      </c>
      <c r="E537" t="inlineStr">
        <is>
          <t>Financials</t>
        </is>
      </c>
      <c r="F537" t="inlineStr"/>
      <c r="G537" t="inlineStr"/>
      <c r="H537" t="inlineStr">
        <is>
          <t>2.31%</t>
        </is>
      </c>
      <c r="I537" t="inlineStr">
        <is>
          <t>0.00%</t>
        </is>
      </c>
    </row>
    <row r="538">
      <c r="A538" s="2" t="n">
        <v>45982</v>
      </c>
      <c r="B538" t="inlineStr">
        <is>
          <t>P3727</t>
        </is>
      </c>
      <c r="C538" t="inlineStr">
        <is>
          <t>GICS_INDUSTRY_NAME</t>
        </is>
      </c>
      <c r="D538" t="inlineStr">
        <is>
          <t>Insurance</t>
        </is>
      </c>
      <c r="E538" t="inlineStr">
        <is>
          <t>Financials</t>
        </is>
      </c>
      <c r="F538" t="inlineStr"/>
      <c r="G538" t="inlineStr"/>
      <c r="H538" t="inlineStr">
        <is>
          <t>2.31%</t>
        </is>
      </c>
      <c r="I538" t="inlineStr">
        <is>
          <t>0.00%</t>
        </is>
      </c>
    </row>
    <row r="539">
      <c r="A539" s="2" t="n">
        <v>45982</v>
      </c>
      <c r="B539" t="inlineStr">
        <is>
          <t>P3727</t>
        </is>
      </c>
      <c r="C539" t="inlineStr">
        <is>
          <t>GICS_INDUSTRY_GROUP_NAME</t>
        </is>
      </c>
      <c r="D539" t="inlineStr">
        <is>
          <t>Utilities</t>
        </is>
      </c>
      <c r="E539" t="inlineStr">
        <is>
          <t>Utilities</t>
        </is>
      </c>
      <c r="F539" t="inlineStr"/>
      <c r="G539" t="inlineStr"/>
      <c r="H539" t="inlineStr">
        <is>
          <t>2.30%</t>
        </is>
      </c>
      <c r="I539" t="inlineStr">
        <is>
          <t>0.00%</t>
        </is>
      </c>
    </row>
    <row r="540">
      <c r="A540" s="2" t="n">
        <v>45982</v>
      </c>
      <c r="B540" t="inlineStr">
        <is>
          <t>P3727</t>
        </is>
      </c>
      <c r="C540" t="inlineStr">
        <is>
          <t>GICS_INDUSTRY_NAME</t>
        </is>
      </c>
      <c r="D540" t="inlineStr">
        <is>
          <t>Electric Utilities</t>
        </is>
      </c>
      <c r="E540" t="inlineStr">
        <is>
          <t>Utilities</t>
        </is>
      </c>
      <c r="F540" t="inlineStr"/>
      <c r="G540" t="inlineStr"/>
      <c r="H540" t="inlineStr">
        <is>
          <t>2.30%</t>
        </is>
      </c>
      <c r="I540" t="inlineStr">
        <is>
          <t>0.00%</t>
        </is>
      </c>
    </row>
    <row r="541">
      <c r="A541" s="2" t="n">
        <v>45982</v>
      </c>
      <c r="B541" t="inlineStr">
        <is>
          <t>P3727</t>
        </is>
      </c>
      <c r="C541" t="inlineStr">
        <is>
          <t>GICS_INDUSTRY_GROUP_NAME</t>
        </is>
      </c>
      <c r="D541" t="inlineStr">
        <is>
          <t>Food, Beverage &amp; Tobacco</t>
        </is>
      </c>
      <c r="E541" t="inlineStr">
        <is>
          <t>Consumer Staples</t>
        </is>
      </c>
      <c r="F541" t="inlineStr"/>
      <c r="G541" t="inlineStr"/>
      <c r="H541" t="inlineStr">
        <is>
          <t>2.29%</t>
        </is>
      </c>
      <c r="I541" t="inlineStr">
        <is>
          <t>0.00%</t>
        </is>
      </c>
    </row>
    <row r="542">
      <c r="A542" s="2" t="n">
        <v>45982</v>
      </c>
      <c r="B542" t="inlineStr">
        <is>
          <t>P3727</t>
        </is>
      </c>
      <c r="C542" t="inlineStr">
        <is>
          <t>GICS_INDUSTRY_NAME</t>
        </is>
      </c>
      <c r="D542" t="inlineStr">
        <is>
          <t>Communications Equipment</t>
        </is>
      </c>
      <c r="E542" t="inlineStr">
        <is>
          <t>Information Technology</t>
        </is>
      </c>
      <c r="F542" t="inlineStr"/>
      <c r="G542" t="inlineStr"/>
      <c r="H542" t="inlineStr">
        <is>
          <t>2.19%</t>
        </is>
      </c>
      <c r="I542" t="inlineStr">
        <is>
          <t>0.00%</t>
        </is>
      </c>
    </row>
    <row r="543">
      <c r="A543" s="2" t="n">
        <v>45982</v>
      </c>
      <c r="B543" t="inlineStr">
        <is>
          <t>P3727</t>
        </is>
      </c>
      <c r="C543" t="inlineStr">
        <is>
          <t>GICS_INDUSTRY_GROUP_NAME</t>
        </is>
      </c>
      <c r="D543" t="inlineStr">
        <is>
          <t>Automobiles &amp; Components</t>
        </is>
      </c>
      <c r="E543" t="inlineStr">
        <is>
          <t>Consumer Discretionary</t>
        </is>
      </c>
      <c r="F543" t="inlineStr"/>
      <c r="G543" t="inlineStr"/>
      <c r="H543" t="inlineStr">
        <is>
          <t>2.15%</t>
        </is>
      </c>
      <c r="I543" t="inlineStr">
        <is>
          <t>0.00%</t>
        </is>
      </c>
    </row>
    <row r="544">
      <c r="A544" s="2" t="n">
        <v>45982</v>
      </c>
      <c r="B544" t="inlineStr">
        <is>
          <t>P3727</t>
        </is>
      </c>
      <c r="C544" t="inlineStr">
        <is>
          <t>GICS_INDUSTRY_NAME</t>
        </is>
      </c>
      <c r="D544" t="inlineStr">
        <is>
          <t>Automobiles</t>
        </is>
      </c>
      <c r="E544" t="inlineStr">
        <is>
          <t>Consumer Discretionary</t>
        </is>
      </c>
      <c r="F544" t="inlineStr"/>
      <c r="G544" t="inlineStr"/>
      <c r="H544" t="inlineStr">
        <is>
          <t>2.15%</t>
        </is>
      </c>
      <c r="I544" t="inlineStr">
        <is>
          <t>0.00%</t>
        </is>
      </c>
    </row>
    <row r="545">
      <c r="A545" s="2" t="n">
        <v>45982</v>
      </c>
      <c r="B545" t="inlineStr">
        <is>
          <t>P3727</t>
        </is>
      </c>
      <c r="C545" t="inlineStr">
        <is>
          <t>GICS_INDUSTRY_NAME</t>
        </is>
      </c>
      <c r="D545" t="inlineStr">
        <is>
          <t>Biotechnology</t>
        </is>
      </c>
      <c r="E545" t="inlineStr">
        <is>
          <t>Health Care</t>
        </is>
      </c>
      <c r="F545" t="inlineStr"/>
      <c r="G545" t="inlineStr"/>
      <c r="H545" t="inlineStr">
        <is>
          <t>2.01%</t>
        </is>
      </c>
      <c r="I545" t="inlineStr">
        <is>
          <t>0.00%</t>
        </is>
      </c>
    </row>
    <row r="546">
      <c r="A546" s="2" t="n">
        <v>45982</v>
      </c>
      <c r="B546" t="inlineStr">
        <is>
          <t>P3727</t>
        </is>
      </c>
      <c r="C546" t="inlineStr">
        <is>
          <t>GICS_INDUSTRY_NAME</t>
        </is>
      </c>
      <c r="D546" t="inlineStr">
        <is>
          <t>Health Care Providers &amp; Services</t>
        </is>
      </c>
      <c r="E546" t="inlineStr">
        <is>
          <t>Health Care</t>
        </is>
      </c>
      <c r="F546" t="inlineStr"/>
      <c r="G546" t="inlineStr"/>
      <c r="H546" t="inlineStr">
        <is>
          <t>1.96%</t>
        </is>
      </c>
      <c r="I546" t="inlineStr">
        <is>
          <t>0.00%</t>
        </is>
      </c>
    </row>
    <row r="547">
      <c r="A547" s="2" t="n">
        <v>45982</v>
      </c>
      <c r="B547" t="inlineStr">
        <is>
          <t>P3727</t>
        </is>
      </c>
      <c r="C547" t="inlineStr">
        <is>
          <t>GICS_INDUSTRY_GROUP_NAME</t>
        </is>
      </c>
      <c r="D547" t="inlineStr">
        <is>
          <t>Consumer Staples Distribution &amp; Retail</t>
        </is>
      </c>
      <c r="E547" t="inlineStr">
        <is>
          <t>Consumer Staples</t>
        </is>
      </c>
      <c r="F547" t="inlineStr"/>
      <c r="G547" t="inlineStr"/>
      <c r="H547" t="inlineStr">
        <is>
          <t>1.79%</t>
        </is>
      </c>
      <c r="I547" t="inlineStr">
        <is>
          <t>0.00%</t>
        </is>
      </c>
    </row>
    <row r="548">
      <c r="A548" s="2" t="n">
        <v>45982</v>
      </c>
      <c r="B548" t="inlineStr">
        <is>
          <t>P3727</t>
        </is>
      </c>
      <c r="C548" t="inlineStr">
        <is>
          <t>GICS_INDUSTRY_NAME</t>
        </is>
      </c>
      <c r="D548" t="inlineStr">
        <is>
          <t>Consumer Staples Distribution &amp; Retail</t>
        </is>
      </c>
      <c r="E548" t="inlineStr">
        <is>
          <t>Consumer Staples</t>
        </is>
      </c>
      <c r="F548" t="inlineStr"/>
      <c r="G548" t="inlineStr"/>
      <c r="H548" t="inlineStr">
        <is>
          <t>1.79%</t>
        </is>
      </c>
      <c r="I548" t="inlineStr">
        <is>
          <t>0.00%</t>
        </is>
      </c>
    </row>
    <row r="549">
      <c r="A549" s="2" t="n">
        <v>45982</v>
      </c>
      <c r="B549" t="inlineStr">
        <is>
          <t>P3727</t>
        </is>
      </c>
      <c r="C549" t="inlineStr">
        <is>
          <t>GICS_INDUSTRY_GROUP_NAME</t>
        </is>
      </c>
      <c r="D549" t="inlineStr">
        <is>
          <t>Consumer Services</t>
        </is>
      </c>
      <c r="E549" t="inlineStr">
        <is>
          <t>Consumer Discretionary</t>
        </is>
      </c>
      <c r="F549" t="inlineStr"/>
      <c r="G549" t="inlineStr"/>
      <c r="H549" t="inlineStr">
        <is>
          <t>1.71%</t>
        </is>
      </c>
      <c r="I549" t="inlineStr">
        <is>
          <t>0.00%</t>
        </is>
      </c>
    </row>
    <row r="550">
      <c r="A550" s="2" t="n">
        <v>45982</v>
      </c>
      <c r="B550" t="inlineStr">
        <is>
          <t>P3727</t>
        </is>
      </c>
      <c r="C550" t="inlineStr">
        <is>
          <t>GICS_INDUSTRY_NAME</t>
        </is>
      </c>
      <c r="D550" t="inlineStr">
        <is>
          <t>Hotels, Restaurants &amp; Leisure</t>
        </is>
      </c>
      <c r="E550" t="inlineStr">
        <is>
          <t>Consumer Discretionary</t>
        </is>
      </c>
      <c r="F550" t="inlineStr"/>
      <c r="G550" t="inlineStr"/>
      <c r="H550" t="inlineStr">
        <is>
          <t>1.71%</t>
        </is>
      </c>
      <c r="I550" t="inlineStr">
        <is>
          <t>0.00%</t>
        </is>
      </c>
    </row>
    <row r="551">
      <c r="A551" s="2" t="n">
        <v>45982</v>
      </c>
      <c r="B551" t="inlineStr">
        <is>
          <t>P3727</t>
        </is>
      </c>
      <c r="C551" t="inlineStr">
        <is>
          <t>GICS_INDUSTRY_GROUP_NAME</t>
        </is>
      </c>
      <c r="D551" t="inlineStr">
        <is>
          <t>Materials</t>
        </is>
      </c>
      <c r="E551" t="inlineStr">
        <is>
          <t>Materials</t>
        </is>
      </c>
      <c r="F551" t="inlineStr"/>
      <c r="G551" t="inlineStr"/>
      <c r="H551" t="inlineStr">
        <is>
          <t>1.69%</t>
        </is>
      </c>
      <c r="I551" t="inlineStr">
        <is>
          <t>0.00%</t>
        </is>
      </c>
    </row>
    <row r="552">
      <c r="A552" s="2" t="n">
        <v>45982</v>
      </c>
      <c r="B552" t="inlineStr">
        <is>
          <t>P3727</t>
        </is>
      </c>
      <c r="C552" t="inlineStr">
        <is>
          <t>GICS_INDUSTRY_NAME</t>
        </is>
      </c>
      <c r="D552" t="inlineStr">
        <is>
          <t>Chemicals</t>
        </is>
      </c>
      <c r="E552" t="inlineStr">
        <is>
          <t>Materials</t>
        </is>
      </c>
      <c r="F552" t="inlineStr"/>
      <c r="G552" t="inlineStr"/>
      <c r="H552" t="inlineStr">
        <is>
          <t>1.69%</t>
        </is>
      </c>
      <c r="I552" t="inlineStr">
        <is>
          <t>0.00%</t>
        </is>
      </c>
    </row>
    <row r="553">
      <c r="A553" s="2" t="n">
        <v>45982</v>
      </c>
      <c r="B553" t="inlineStr">
        <is>
          <t>P3727</t>
        </is>
      </c>
      <c r="C553" t="inlineStr">
        <is>
          <t>GICS_INDUSTRY_NAME</t>
        </is>
      </c>
      <c r="D553" t="inlineStr">
        <is>
          <t>Machinery</t>
        </is>
      </c>
      <c r="E553" t="inlineStr">
        <is>
          <t>Industrials</t>
        </is>
      </c>
      <c r="F553" t="inlineStr"/>
      <c r="G553" t="inlineStr"/>
      <c r="H553" t="inlineStr">
        <is>
          <t>1.52%</t>
        </is>
      </c>
      <c r="I553" t="inlineStr">
        <is>
          <t>0.00%</t>
        </is>
      </c>
    </row>
    <row r="554">
      <c r="A554" s="2" t="n">
        <v>45982</v>
      </c>
      <c r="B554" t="inlineStr">
        <is>
          <t>P3727</t>
        </is>
      </c>
      <c r="C554" t="inlineStr">
        <is>
          <t>GICS_INDUSTRY_GROUP_NAME</t>
        </is>
      </c>
      <c r="D554" t="inlineStr">
        <is>
          <t>Equity Real Estate Investment Trusts</t>
        </is>
      </c>
      <c r="E554" t="inlineStr">
        <is>
          <t>Real Estate</t>
        </is>
      </c>
      <c r="F554" t="inlineStr"/>
      <c r="G554" t="inlineStr"/>
      <c r="H554" t="inlineStr">
        <is>
          <t>1.47%</t>
        </is>
      </c>
      <c r="I554" t="inlineStr">
        <is>
          <t>0.00%</t>
        </is>
      </c>
    </row>
    <row r="555">
      <c r="A555" s="2" t="n">
        <v>45982</v>
      </c>
      <c r="B555" t="inlineStr">
        <is>
          <t>P3727</t>
        </is>
      </c>
      <c r="C555" t="inlineStr">
        <is>
          <t>GICS_INDUSTRY_NAME</t>
        </is>
      </c>
      <c r="D555" t="inlineStr">
        <is>
          <t>Specialized REITs</t>
        </is>
      </c>
      <c r="E555" t="inlineStr">
        <is>
          <t>Real Estate</t>
        </is>
      </c>
      <c r="F555" t="inlineStr"/>
      <c r="G555" t="inlineStr"/>
      <c r="H555" t="inlineStr">
        <is>
          <t>1.47%</t>
        </is>
      </c>
      <c r="I555" t="inlineStr">
        <is>
          <t>0.00%</t>
        </is>
      </c>
    </row>
    <row r="556">
      <c r="A556" s="2" t="n">
        <v>45982</v>
      </c>
      <c r="B556" t="inlineStr">
        <is>
          <t>P3727</t>
        </is>
      </c>
      <c r="C556" t="inlineStr">
        <is>
          <t>GICS_INDUSTRY_GROUP_NAME</t>
        </is>
      </c>
      <c r="D556" t="inlineStr">
        <is>
          <t>Transportation</t>
        </is>
      </c>
      <c r="E556" t="inlineStr">
        <is>
          <t>Industrials</t>
        </is>
      </c>
      <c r="F556" t="inlineStr"/>
      <c r="G556" t="inlineStr"/>
      <c r="H556" t="inlineStr">
        <is>
          <t>1.32%</t>
        </is>
      </c>
      <c r="I556" t="inlineStr">
        <is>
          <t>0.00%</t>
        </is>
      </c>
    </row>
    <row r="557">
      <c r="A557" s="2" t="n">
        <v>45982</v>
      </c>
      <c r="B557" t="inlineStr">
        <is>
          <t>P3727</t>
        </is>
      </c>
      <c r="C557" t="inlineStr">
        <is>
          <t>GICS_INDUSTRY_NAME</t>
        </is>
      </c>
      <c r="D557" t="inlineStr">
        <is>
          <t>Specialty Retail</t>
        </is>
      </c>
      <c r="E557" t="inlineStr">
        <is>
          <t>Consumer Discretionary</t>
        </is>
      </c>
      <c r="F557" t="inlineStr"/>
      <c r="G557" t="inlineStr"/>
      <c r="H557" t="inlineStr">
        <is>
          <t>1.27%</t>
        </is>
      </c>
      <c r="I557" t="inlineStr">
        <is>
          <t>0.00%</t>
        </is>
      </c>
    </row>
    <row r="558">
      <c r="A558" s="2" t="n">
        <v>45982</v>
      </c>
      <c r="B558" t="inlineStr">
        <is>
          <t>P3727</t>
        </is>
      </c>
      <c r="C558" t="inlineStr">
        <is>
          <t>GICS_INDUSTRY_NAME</t>
        </is>
      </c>
      <c r="D558" t="inlineStr">
        <is>
          <t>Beverages</t>
        </is>
      </c>
      <c r="E558" t="inlineStr">
        <is>
          <t>Consumer Staples</t>
        </is>
      </c>
      <c r="F558" t="inlineStr"/>
      <c r="G558" t="inlineStr"/>
      <c r="H558" t="inlineStr">
        <is>
          <t>1.23%</t>
        </is>
      </c>
      <c r="I558" t="inlineStr">
        <is>
          <t>0.00%</t>
        </is>
      </c>
    </row>
    <row r="559">
      <c r="A559" s="2" t="n">
        <v>45982</v>
      </c>
      <c r="B559" t="inlineStr">
        <is>
          <t>P3727</t>
        </is>
      </c>
      <c r="C559" t="inlineStr">
        <is>
          <t>GICS_INDUSTRY_NAME</t>
        </is>
      </c>
      <c r="D559" t="inlineStr">
        <is>
          <t>IT Services</t>
        </is>
      </c>
      <c r="E559" t="inlineStr">
        <is>
          <t>Information Technology</t>
        </is>
      </c>
      <c r="F559" t="inlineStr"/>
      <c r="G559" t="inlineStr"/>
      <c r="H559" t="inlineStr">
        <is>
          <t>1.21%</t>
        </is>
      </c>
      <c r="I559" t="inlineStr">
        <is>
          <t>0.00%</t>
        </is>
      </c>
    </row>
    <row r="560">
      <c r="A560" s="2" t="n">
        <v>45982</v>
      </c>
      <c r="B560" t="inlineStr">
        <is>
          <t>P3727</t>
        </is>
      </c>
      <c r="C560" t="inlineStr">
        <is>
          <t>GICS_INDUSTRY_NAME</t>
        </is>
      </c>
      <c r="D560" t="inlineStr">
        <is>
          <t>Entertainment</t>
        </is>
      </c>
      <c r="E560" t="inlineStr">
        <is>
          <t>Communication Services</t>
        </is>
      </c>
      <c r="F560" t="inlineStr"/>
      <c r="G560" t="inlineStr"/>
      <c r="H560" t="inlineStr">
        <is>
          <t>1.18%</t>
        </is>
      </c>
      <c r="I560" t="inlineStr">
        <is>
          <t>0.00%</t>
        </is>
      </c>
    </row>
    <row r="561">
      <c r="A561" s="2" t="n">
        <v>45982</v>
      </c>
      <c r="B561" t="inlineStr">
        <is>
          <t>P3727</t>
        </is>
      </c>
      <c r="C561" t="inlineStr">
        <is>
          <t>GICS_INDUSTRY_GROUP_NAME</t>
        </is>
      </c>
      <c r="D561" t="inlineStr">
        <is>
          <t>Commercial &amp; Professional Services</t>
        </is>
      </c>
      <c r="E561" t="inlineStr">
        <is>
          <t>Industrials</t>
        </is>
      </c>
      <c r="F561" t="inlineStr"/>
      <c r="G561" t="inlineStr"/>
      <c r="H561" t="inlineStr">
        <is>
          <t>1.10%</t>
        </is>
      </c>
      <c r="I561" t="inlineStr">
        <is>
          <t>0.00%</t>
        </is>
      </c>
    </row>
    <row r="562">
      <c r="A562" s="2" t="n">
        <v>45982</v>
      </c>
      <c r="B562" t="inlineStr">
        <is>
          <t>P3727</t>
        </is>
      </c>
      <c r="C562" t="inlineStr">
        <is>
          <t>GICS_INDUSTRY_NAME</t>
        </is>
      </c>
      <c r="D562" t="inlineStr">
        <is>
          <t>Commercial Services &amp; Supplies</t>
        </is>
      </c>
      <c r="E562" t="inlineStr">
        <is>
          <t>Industrials</t>
        </is>
      </c>
      <c r="F562" t="inlineStr"/>
      <c r="G562" t="inlineStr"/>
      <c r="H562" t="inlineStr">
        <is>
          <t>1.10%</t>
        </is>
      </c>
      <c r="I562" t="inlineStr">
        <is>
          <t>0.00%</t>
        </is>
      </c>
    </row>
    <row r="563">
      <c r="A563" s="2" t="n">
        <v>45982</v>
      </c>
      <c r="B563" t="inlineStr">
        <is>
          <t>P3727</t>
        </is>
      </c>
      <c r="C563" t="inlineStr">
        <is>
          <t>GICS_INDUSTRY_GROUP_NAME</t>
        </is>
      </c>
      <c r="D563" t="inlineStr">
        <is>
          <t>Household &amp; Personal Products</t>
        </is>
      </c>
      <c r="E563" t="inlineStr">
        <is>
          <t>Consumer Staples</t>
        </is>
      </c>
      <c r="F563" t="inlineStr"/>
      <c r="G563" t="inlineStr"/>
      <c r="H563" t="inlineStr">
        <is>
          <t>0.98%</t>
        </is>
      </c>
      <c r="I563" t="inlineStr">
        <is>
          <t>0.00%</t>
        </is>
      </c>
    </row>
    <row r="564">
      <c r="A564" s="2" t="n">
        <v>45982</v>
      </c>
      <c r="B564" t="inlineStr">
        <is>
          <t>P3727</t>
        </is>
      </c>
      <c r="C564" t="inlineStr">
        <is>
          <t>GICS_INDUSTRY_NAME</t>
        </is>
      </c>
      <c r="D564" t="inlineStr">
        <is>
          <t>Household Products</t>
        </is>
      </c>
      <c r="E564" t="inlineStr">
        <is>
          <t>Consumer Staples</t>
        </is>
      </c>
      <c r="F564" t="inlineStr"/>
      <c r="G564" t="inlineStr"/>
      <c r="H564" t="inlineStr">
        <is>
          <t>0.98%</t>
        </is>
      </c>
      <c r="I564" t="inlineStr">
        <is>
          <t>0.00%</t>
        </is>
      </c>
    </row>
    <row r="565">
      <c r="A565" s="2" t="n">
        <v>45982</v>
      </c>
      <c r="B565" t="inlineStr">
        <is>
          <t>P3727</t>
        </is>
      </c>
      <c r="C565" t="inlineStr">
        <is>
          <t>GICS_INDUSTRY_NAME</t>
        </is>
      </c>
      <c r="D565" t="inlineStr">
        <is>
          <t>Life Sciences Tools &amp; Services</t>
        </is>
      </c>
      <c r="E565" t="inlineStr">
        <is>
          <t>Health Care</t>
        </is>
      </c>
      <c r="F565" t="inlineStr"/>
      <c r="G565" t="inlineStr"/>
      <c r="H565" t="inlineStr">
        <is>
          <t>0.97%</t>
        </is>
      </c>
      <c r="I565" t="inlineStr">
        <is>
          <t>0.00%</t>
        </is>
      </c>
    </row>
    <row r="566">
      <c r="A566" s="2" t="n">
        <v>45982</v>
      </c>
      <c r="B566" t="inlineStr">
        <is>
          <t>P3727</t>
        </is>
      </c>
      <c r="C566" t="inlineStr">
        <is>
          <t>GICS_INDUSTRY_NAME</t>
        </is>
      </c>
      <c r="D566" t="inlineStr">
        <is>
          <t>Ground Transportation</t>
        </is>
      </c>
      <c r="E566" t="inlineStr">
        <is>
          <t>Industrials</t>
        </is>
      </c>
      <c r="F566" t="inlineStr"/>
      <c r="G566" t="inlineStr"/>
      <c r="H566" t="inlineStr">
        <is>
          <t>0.93%</t>
        </is>
      </c>
      <c r="I566" t="inlineStr">
        <is>
          <t>0.00%</t>
        </is>
      </c>
    </row>
    <row r="567">
      <c r="A567" s="2" t="n">
        <v>45982</v>
      </c>
      <c r="B567" t="inlineStr">
        <is>
          <t>P3727</t>
        </is>
      </c>
      <c r="C567" t="inlineStr">
        <is>
          <t>GICS_INDUSTRY_NAME</t>
        </is>
      </c>
      <c r="D567" t="inlineStr">
        <is>
          <t>Tobacco</t>
        </is>
      </c>
      <c r="E567" t="inlineStr">
        <is>
          <t>Consumer Staples</t>
        </is>
      </c>
      <c r="F567" t="inlineStr"/>
      <c r="G567" t="inlineStr"/>
      <c r="H567" t="inlineStr">
        <is>
          <t>0.87%</t>
        </is>
      </c>
      <c r="I567" t="inlineStr">
        <is>
          <t>0.00%</t>
        </is>
      </c>
    </row>
    <row r="568">
      <c r="A568" s="2" t="n">
        <v>45982</v>
      </c>
      <c r="B568" t="inlineStr">
        <is>
          <t>P3727</t>
        </is>
      </c>
      <c r="C568" t="inlineStr">
        <is>
          <t>GICS_INDUSTRY_GROUP_NAME</t>
        </is>
      </c>
      <c r="D568" t="inlineStr">
        <is>
          <t>Telecommunication Services</t>
        </is>
      </c>
      <c r="E568" t="inlineStr">
        <is>
          <t>Communication Services</t>
        </is>
      </c>
      <c r="F568" t="inlineStr"/>
      <c r="G568" t="inlineStr"/>
      <c r="H568" t="inlineStr">
        <is>
          <t>0.84%</t>
        </is>
      </c>
      <c r="I568" t="inlineStr">
        <is>
          <t>0.00%</t>
        </is>
      </c>
    </row>
    <row r="569">
      <c r="A569" s="2" t="n">
        <v>45982</v>
      </c>
      <c r="B569" t="inlineStr">
        <is>
          <t>P3727</t>
        </is>
      </c>
      <c r="C569" t="inlineStr">
        <is>
          <t>GICS_INDUSTRY_NAME</t>
        </is>
      </c>
      <c r="D569" t="inlineStr">
        <is>
          <t>Diversified Telecommunication Services</t>
        </is>
      </c>
      <c r="E569" t="inlineStr">
        <is>
          <t>Communication Services</t>
        </is>
      </c>
      <c r="F569" t="inlineStr"/>
      <c r="G569" t="inlineStr"/>
      <c r="H569" t="inlineStr">
        <is>
          <t>0.84%</t>
        </is>
      </c>
      <c r="I569" t="inlineStr">
        <is>
          <t>0.00%</t>
        </is>
      </c>
    </row>
    <row r="570">
      <c r="A570" s="2" t="n">
        <v>45982</v>
      </c>
      <c r="B570" t="inlineStr">
        <is>
          <t>P3727</t>
        </is>
      </c>
      <c r="C570" t="inlineStr">
        <is>
          <t>GICS_INDUSTRY_NAME</t>
        </is>
      </c>
      <c r="D570" t="inlineStr">
        <is>
          <t>Industrial Conglomerates</t>
        </is>
      </c>
      <c r="E570" t="inlineStr">
        <is>
          <t>Industrials</t>
        </is>
      </c>
      <c r="F570" t="inlineStr"/>
      <c r="G570" t="inlineStr"/>
      <c r="H570" t="inlineStr">
        <is>
          <t>0.84%</t>
        </is>
      </c>
      <c r="I570" t="inlineStr">
        <is>
          <t>0.00%</t>
        </is>
      </c>
    </row>
    <row r="571">
      <c r="A571" s="2" t="n">
        <v>45982</v>
      </c>
      <c r="B571" t="inlineStr">
        <is>
          <t>P3727</t>
        </is>
      </c>
      <c r="C571" t="inlineStr">
        <is>
          <t>GICS_INDUSTRY_NAME</t>
        </is>
      </c>
      <c r="D571" t="inlineStr">
        <is>
          <t>Electrical Equipment</t>
        </is>
      </c>
      <c r="E571" t="inlineStr">
        <is>
          <t>Industrials</t>
        </is>
      </c>
      <c r="F571" t="inlineStr"/>
      <c r="G571" t="inlineStr"/>
      <c r="H571" t="inlineStr">
        <is>
          <t>0.79%</t>
        </is>
      </c>
      <c r="I571" t="inlineStr">
        <is>
          <t>0.00%</t>
        </is>
      </c>
    </row>
    <row r="572">
      <c r="A572" s="2" t="n">
        <v>45982</v>
      </c>
      <c r="B572" t="inlineStr">
        <is>
          <t>P3727</t>
        </is>
      </c>
      <c r="C572" t="inlineStr">
        <is>
          <t>GICS_INDUSTRY_NAME</t>
        </is>
      </c>
      <c r="D572" t="inlineStr">
        <is>
          <t>Consumer Finance</t>
        </is>
      </c>
      <c r="E572" t="inlineStr">
        <is>
          <t>Financials</t>
        </is>
      </c>
      <c r="F572" t="inlineStr"/>
      <c r="G572" t="inlineStr"/>
      <c r="H572" t="inlineStr">
        <is>
          <t>0.62%</t>
        </is>
      </c>
      <c r="I572" t="inlineStr">
        <is>
          <t>0.00%</t>
        </is>
      </c>
    </row>
    <row r="573">
      <c r="A573" s="2" t="n">
        <v>45982</v>
      </c>
      <c r="B573" t="inlineStr">
        <is>
          <t>P3727</t>
        </is>
      </c>
      <c r="C573" t="inlineStr">
        <is>
          <t>GICS_INDUSTRY_GROUP_NAME</t>
        </is>
      </c>
      <c r="D573" t="inlineStr">
        <is>
          <t>Consumer Durables &amp; Apparel</t>
        </is>
      </c>
      <c r="E573" t="inlineStr">
        <is>
          <t>Consumer Discretionary</t>
        </is>
      </c>
      <c r="F573" t="inlineStr"/>
      <c r="G573" t="inlineStr"/>
      <c r="H573" t="inlineStr">
        <is>
          <t>0.53%</t>
        </is>
      </c>
      <c r="I573" t="inlineStr">
        <is>
          <t>0.00%</t>
        </is>
      </c>
    </row>
    <row r="574">
      <c r="A574" s="2" t="n">
        <v>45982</v>
      </c>
      <c r="B574" t="inlineStr">
        <is>
          <t>P3727</t>
        </is>
      </c>
      <c r="C574" t="inlineStr">
        <is>
          <t>GICS_INDUSTRY_NAME</t>
        </is>
      </c>
      <c r="D574" t="inlineStr">
        <is>
          <t>Textiles, Apparel &amp; Luxury Goods</t>
        </is>
      </c>
      <c r="E574" t="inlineStr">
        <is>
          <t>Consumer Discretionary</t>
        </is>
      </c>
      <c r="F574" t="inlineStr"/>
      <c r="G574" t="inlineStr"/>
      <c r="H574" t="inlineStr">
        <is>
          <t>0.53%</t>
        </is>
      </c>
      <c r="I574" t="inlineStr">
        <is>
          <t>0.00%</t>
        </is>
      </c>
    </row>
    <row r="575">
      <c r="A575" s="2" t="n">
        <v>45982</v>
      </c>
      <c r="B575" t="inlineStr">
        <is>
          <t>P3727</t>
        </is>
      </c>
      <c r="C575" t="inlineStr">
        <is>
          <t>GICS_INDUSTRY_NAME</t>
        </is>
      </c>
      <c r="D575" t="inlineStr">
        <is>
          <t>Air Freight &amp; Logistics</t>
        </is>
      </c>
      <c r="E575" t="inlineStr">
        <is>
          <t>Industrials</t>
        </is>
      </c>
      <c r="F575" t="inlineStr"/>
      <c r="G575" t="inlineStr"/>
      <c r="H575" t="inlineStr">
        <is>
          <t>0.39%</t>
        </is>
      </c>
      <c r="I575" t="inlineStr">
        <is>
          <t>0.00%</t>
        </is>
      </c>
    </row>
    <row r="576">
      <c r="A576" s="2" t="n">
        <v>45982</v>
      </c>
      <c r="B576" t="inlineStr">
        <is>
          <t>P3727</t>
        </is>
      </c>
      <c r="C576" t="inlineStr">
        <is>
          <t>GICS_INDUSTRY_NAME</t>
        </is>
      </c>
      <c r="D576" t="inlineStr">
        <is>
          <t>Media</t>
        </is>
      </c>
      <c r="E576" t="inlineStr">
        <is>
          <t>Communication Services</t>
        </is>
      </c>
      <c r="F576" t="inlineStr"/>
      <c r="G576" t="inlineStr"/>
      <c r="H576" t="inlineStr">
        <is>
          <t>0.19%</t>
        </is>
      </c>
      <c r="I576" t="inlineStr">
        <is>
          <t>0.00%</t>
        </is>
      </c>
    </row>
    <row r="577">
      <c r="A577" s="2" t="n">
        <v>45982</v>
      </c>
      <c r="B577" t="inlineStr">
        <is>
          <t>P3727</t>
        </is>
      </c>
      <c r="C577" t="inlineStr">
        <is>
          <t>GICS_INDUSTRY_NAME</t>
        </is>
      </c>
      <c r="D577" t="inlineStr">
        <is>
          <t>Food Products</t>
        </is>
      </c>
      <c r="E577" t="inlineStr">
        <is>
          <t>Consumer Staples</t>
        </is>
      </c>
      <c r="F577" t="inlineStr"/>
      <c r="G577" t="inlineStr"/>
      <c r="H577" t="inlineStr">
        <is>
          <t>0.19%</t>
        </is>
      </c>
      <c r="I577" t="inlineStr">
        <is>
          <t>0.00%</t>
        </is>
      </c>
    </row>
    <row r="578">
      <c r="A578" s="2" t="n">
        <v>45982</v>
      </c>
      <c r="B578" t="inlineStr">
        <is>
          <t>R21126</t>
        </is>
      </c>
      <c r="C578" t="inlineStr">
        <is>
          <t>GICS_INDUSTRY_GROUP_NAME</t>
        </is>
      </c>
      <c r="D578" t="inlineStr">
        <is>
          <t>Financial Services</t>
        </is>
      </c>
      <c r="E578" t="inlineStr">
        <is>
          <t>Financials</t>
        </is>
      </c>
      <c r="F578" t="inlineStr"/>
      <c r="G578" t="inlineStr"/>
      <c r="H578" t="inlineStr">
        <is>
          <t>15.26%</t>
        </is>
      </c>
      <c r="I578" t="inlineStr">
        <is>
          <t>0.00%</t>
        </is>
      </c>
    </row>
    <row r="579">
      <c r="A579" s="2" t="n">
        <v>45982</v>
      </c>
      <c r="B579" t="inlineStr">
        <is>
          <t>R21126</t>
        </is>
      </c>
      <c r="C579" t="inlineStr">
        <is>
          <t>GICS_INDUSTRY_GROUP_NAME</t>
        </is>
      </c>
      <c r="D579" t="inlineStr">
        <is>
          <t>Semiconductors &amp; Semiconductor Equipment</t>
        </is>
      </c>
      <c r="E579" t="inlineStr">
        <is>
          <t>Information Technology</t>
        </is>
      </c>
      <c r="F579" t="inlineStr"/>
      <c r="G579" t="inlineStr"/>
      <c r="H579" t="inlineStr">
        <is>
          <t>13.51%</t>
        </is>
      </c>
      <c r="I579" t="inlineStr">
        <is>
          <t>0.00%</t>
        </is>
      </c>
    </row>
    <row r="580">
      <c r="A580" s="2" t="n">
        <v>45982</v>
      </c>
      <c r="B580" t="inlineStr">
        <is>
          <t>R21126</t>
        </is>
      </c>
      <c r="C580" t="inlineStr">
        <is>
          <t>GICS_INDUSTRY_NAME</t>
        </is>
      </c>
      <c r="D580" t="inlineStr">
        <is>
          <t>Semiconductors &amp; Semiconductor Equipment</t>
        </is>
      </c>
      <c r="E580" t="inlineStr">
        <is>
          <t>Information Technology</t>
        </is>
      </c>
      <c r="F580" t="inlineStr"/>
      <c r="G580" t="inlineStr"/>
      <c r="H580" t="inlineStr">
        <is>
          <t>13.51%</t>
        </is>
      </c>
      <c r="I580" t="inlineStr">
        <is>
          <t>0.00%</t>
        </is>
      </c>
    </row>
    <row r="581">
      <c r="A581" s="2" t="n">
        <v>45982</v>
      </c>
      <c r="B581" t="inlineStr">
        <is>
          <t>R21126</t>
        </is>
      </c>
      <c r="C581" t="inlineStr">
        <is>
          <t>GICS_INDUSTRY_GROUP_NAME</t>
        </is>
      </c>
      <c r="D581" t="inlineStr">
        <is>
          <t>Insurance</t>
        </is>
      </c>
      <c r="E581" t="inlineStr">
        <is>
          <t>Financials</t>
        </is>
      </c>
      <c r="F581" t="inlineStr"/>
      <c r="G581" t="inlineStr"/>
      <c r="H581" t="inlineStr">
        <is>
          <t>12.53%</t>
        </is>
      </c>
      <c r="I581" t="inlineStr">
        <is>
          <t>0.00%</t>
        </is>
      </c>
    </row>
    <row r="582">
      <c r="A582" s="2" t="n">
        <v>45982</v>
      </c>
      <c r="B582" t="inlineStr">
        <is>
          <t>R21126</t>
        </is>
      </c>
      <c r="C582" t="inlineStr">
        <is>
          <t>GICS_INDUSTRY_NAME</t>
        </is>
      </c>
      <c r="D582" t="inlineStr">
        <is>
          <t>Insurance</t>
        </is>
      </c>
      <c r="E582" t="inlineStr">
        <is>
          <t>Financials</t>
        </is>
      </c>
      <c r="F582" t="inlineStr"/>
      <c r="G582" t="inlineStr"/>
      <c r="H582" t="inlineStr">
        <is>
          <t>12.53%</t>
        </is>
      </c>
      <c r="I582" t="inlineStr">
        <is>
          <t>0.00%</t>
        </is>
      </c>
    </row>
    <row r="583">
      <c r="A583" s="2" t="n">
        <v>45982</v>
      </c>
      <c r="B583" t="inlineStr">
        <is>
          <t>R21126</t>
        </is>
      </c>
      <c r="C583" t="inlineStr">
        <is>
          <t>GICS_INDUSTRY_GROUP_NAME</t>
        </is>
      </c>
      <c r="D583" t="inlineStr">
        <is>
          <t>Capital Goods</t>
        </is>
      </c>
      <c r="E583" t="inlineStr">
        <is>
          <t>Industrials</t>
        </is>
      </c>
      <c r="F583" t="inlineStr"/>
      <c r="G583" t="inlineStr"/>
      <c r="H583" t="inlineStr">
        <is>
          <t>10.49%</t>
        </is>
      </c>
      <c r="I583" t="inlineStr">
        <is>
          <t>0.00%</t>
        </is>
      </c>
    </row>
    <row r="584">
      <c r="A584" s="2" t="n">
        <v>45982</v>
      </c>
      <c r="B584" t="inlineStr">
        <is>
          <t>R21126</t>
        </is>
      </c>
      <c r="C584" t="inlineStr">
        <is>
          <t>GICS_INDUSTRY_NAME</t>
        </is>
      </c>
      <c r="D584" t="inlineStr">
        <is>
          <t>Capital Markets</t>
        </is>
      </c>
      <c r="E584" t="inlineStr">
        <is>
          <t>Financials</t>
        </is>
      </c>
      <c r="F584" t="inlineStr"/>
      <c r="G584" t="inlineStr"/>
      <c r="H584" t="inlineStr">
        <is>
          <t>8.38%</t>
        </is>
      </c>
      <c r="I584" t="inlineStr">
        <is>
          <t>0.00%</t>
        </is>
      </c>
    </row>
    <row r="585">
      <c r="A585" s="2" t="n">
        <v>45982</v>
      </c>
      <c r="B585" t="inlineStr">
        <is>
          <t>R21126</t>
        </is>
      </c>
      <c r="C585" t="inlineStr">
        <is>
          <t>GICS_INDUSTRY_GROUP_NAME</t>
        </is>
      </c>
      <c r="D585" t="inlineStr">
        <is>
          <t>Media &amp; Entertainment</t>
        </is>
      </c>
      <c r="E585" t="inlineStr">
        <is>
          <t>Communication Services</t>
        </is>
      </c>
      <c r="F585" t="inlineStr"/>
      <c r="G585" t="inlineStr"/>
      <c r="H585" t="inlineStr">
        <is>
          <t>7.37%</t>
        </is>
      </c>
      <c r="I585" t="inlineStr">
        <is>
          <t>0.00%</t>
        </is>
      </c>
    </row>
    <row r="586">
      <c r="A586" s="2" t="n">
        <v>45982</v>
      </c>
      <c r="B586" t="inlineStr">
        <is>
          <t>R21126</t>
        </is>
      </c>
      <c r="C586" t="inlineStr">
        <is>
          <t>GICS_INDUSTRY_GROUP_NAME</t>
        </is>
      </c>
      <c r="D586" t="inlineStr">
        <is>
          <t>Banks</t>
        </is>
      </c>
      <c r="E586" t="inlineStr">
        <is>
          <t>Financials</t>
        </is>
      </c>
      <c r="F586" t="inlineStr"/>
      <c r="G586" t="inlineStr"/>
      <c r="H586" t="inlineStr">
        <is>
          <t>6.90%</t>
        </is>
      </c>
      <c r="I586" t="inlineStr">
        <is>
          <t>0.00%</t>
        </is>
      </c>
    </row>
    <row r="587">
      <c r="A587" s="2" t="n">
        <v>45982</v>
      </c>
      <c r="B587" t="inlineStr">
        <is>
          <t>R21126</t>
        </is>
      </c>
      <c r="C587" t="inlineStr">
        <is>
          <t>GICS_INDUSTRY_NAME</t>
        </is>
      </c>
      <c r="D587" t="inlineStr">
        <is>
          <t>Banks</t>
        </is>
      </c>
      <c r="E587" t="inlineStr">
        <is>
          <t>Financials</t>
        </is>
      </c>
      <c r="F587" t="inlineStr"/>
      <c r="G587" t="inlineStr"/>
      <c r="H587" t="inlineStr">
        <is>
          <t>6.90%</t>
        </is>
      </c>
      <c r="I587" t="inlineStr">
        <is>
          <t>0.00%</t>
        </is>
      </c>
    </row>
    <row r="588">
      <c r="A588" s="2" t="n">
        <v>45982</v>
      </c>
      <c r="B588" t="inlineStr">
        <is>
          <t>R21126</t>
        </is>
      </c>
      <c r="C588" t="inlineStr">
        <is>
          <t>GICS_INDUSTRY_GROUP_NAME</t>
        </is>
      </c>
      <c r="D588" t="inlineStr">
        <is>
          <t>Software &amp; Services</t>
        </is>
      </c>
      <c r="E588" t="inlineStr">
        <is>
          <t>Information Technology</t>
        </is>
      </c>
      <c r="F588" t="inlineStr"/>
      <c r="G588" t="inlineStr"/>
      <c r="H588" t="inlineStr">
        <is>
          <t>6.88%</t>
        </is>
      </c>
      <c r="I588" t="inlineStr">
        <is>
          <t>0.00%</t>
        </is>
      </c>
    </row>
    <row r="589">
      <c r="A589" s="2" t="n">
        <v>45982</v>
      </c>
      <c r="B589" t="inlineStr">
        <is>
          <t>R21126</t>
        </is>
      </c>
      <c r="C589" t="inlineStr">
        <is>
          <t>GICS_INDUSTRY_NAME</t>
        </is>
      </c>
      <c r="D589" t="inlineStr">
        <is>
          <t>Machinery</t>
        </is>
      </c>
      <c r="E589" t="inlineStr">
        <is>
          <t>Industrials</t>
        </is>
      </c>
      <c r="F589" t="inlineStr"/>
      <c r="G589" t="inlineStr"/>
      <c r="H589" t="inlineStr">
        <is>
          <t>6.64%</t>
        </is>
      </c>
      <c r="I589" t="inlineStr">
        <is>
          <t>0.00%</t>
        </is>
      </c>
    </row>
    <row r="590">
      <c r="A590" s="2" t="n">
        <v>45982</v>
      </c>
      <c r="B590" t="inlineStr">
        <is>
          <t>R21126</t>
        </is>
      </c>
      <c r="C590" t="inlineStr">
        <is>
          <t>GICS_INDUSTRY_GROUP_NAME</t>
        </is>
      </c>
      <c r="D590" t="inlineStr">
        <is>
          <t>Consumer Discretionary Distribution &amp; Retail</t>
        </is>
      </c>
      <c r="E590" t="inlineStr">
        <is>
          <t>Consumer Discretionary</t>
        </is>
      </c>
      <c r="F590" t="inlineStr"/>
      <c r="G590" t="inlineStr"/>
      <c r="H590" t="inlineStr">
        <is>
          <t>6.30%</t>
        </is>
      </c>
      <c r="I590" t="inlineStr">
        <is>
          <t>0.00%</t>
        </is>
      </c>
    </row>
    <row r="591">
      <c r="A591" s="2" t="n">
        <v>45982</v>
      </c>
      <c r="B591" t="inlineStr">
        <is>
          <t>R21126</t>
        </is>
      </c>
      <c r="C591" t="inlineStr">
        <is>
          <t>GICS_INDUSTRY_NAME</t>
        </is>
      </c>
      <c r="D591" t="inlineStr">
        <is>
          <t>Interactive Media &amp; Services</t>
        </is>
      </c>
      <c r="E591" t="inlineStr">
        <is>
          <t>Communication Services</t>
        </is>
      </c>
      <c r="F591" t="inlineStr"/>
      <c r="G591" t="inlineStr"/>
      <c r="H591" t="inlineStr">
        <is>
          <t>4.88%</t>
        </is>
      </c>
      <c r="I591" t="inlineStr">
        <is>
          <t>0.00%</t>
        </is>
      </c>
    </row>
    <row r="592">
      <c r="A592" s="2" t="n">
        <v>45982</v>
      </c>
      <c r="B592" t="inlineStr">
        <is>
          <t>R21126</t>
        </is>
      </c>
      <c r="C592" t="inlineStr">
        <is>
          <t>GICS_INDUSTRY_GROUP_NAME</t>
        </is>
      </c>
      <c r="D592" t="inlineStr">
        <is>
          <t>Consumer Durables &amp; Apparel</t>
        </is>
      </c>
      <c r="E592" t="inlineStr">
        <is>
          <t>Consumer Discretionary</t>
        </is>
      </c>
      <c r="F592" t="inlineStr"/>
      <c r="G592" t="inlineStr"/>
      <c r="H592" t="inlineStr">
        <is>
          <t>4.27%</t>
        </is>
      </c>
      <c r="I592" t="inlineStr">
        <is>
          <t>0.00%</t>
        </is>
      </c>
    </row>
    <row r="593">
      <c r="A593" s="2" t="n">
        <v>45982</v>
      </c>
      <c r="B593" t="inlineStr">
        <is>
          <t>R21126</t>
        </is>
      </c>
      <c r="C593" t="inlineStr">
        <is>
          <t>GICS_INDUSTRY_NAME</t>
        </is>
      </c>
      <c r="D593" t="inlineStr">
        <is>
          <t>Household Durables</t>
        </is>
      </c>
      <c r="E593" t="inlineStr">
        <is>
          <t>Consumer Discretionary</t>
        </is>
      </c>
      <c r="F593" t="inlineStr"/>
      <c r="G593" t="inlineStr"/>
      <c r="H593" t="inlineStr">
        <is>
          <t>4.27%</t>
        </is>
      </c>
      <c r="I593" t="inlineStr">
        <is>
          <t>0.00%</t>
        </is>
      </c>
    </row>
    <row r="594">
      <c r="A594" s="2" t="n">
        <v>45982</v>
      </c>
      <c r="B594" t="inlineStr">
        <is>
          <t>R21126</t>
        </is>
      </c>
      <c r="C594" t="inlineStr">
        <is>
          <t>GICS_INDUSTRY_NAME</t>
        </is>
      </c>
      <c r="D594" t="inlineStr">
        <is>
          <t>Specialty Retail</t>
        </is>
      </c>
      <c r="E594" t="inlineStr">
        <is>
          <t>Consumer Discretionary</t>
        </is>
      </c>
      <c r="F594" t="inlineStr"/>
      <c r="G594" t="inlineStr"/>
      <c r="H594" t="inlineStr">
        <is>
          <t>4.16%</t>
        </is>
      </c>
      <c r="I594" t="inlineStr">
        <is>
          <t>0.00%</t>
        </is>
      </c>
    </row>
    <row r="595">
      <c r="A595" s="2" t="n">
        <v>45982</v>
      </c>
      <c r="B595" t="inlineStr">
        <is>
          <t>R21126</t>
        </is>
      </c>
      <c r="C595" t="inlineStr">
        <is>
          <t>GICS_INDUSTRY_NAME</t>
        </is>
      </c>
      <c r="D595" t="inlineStr">
        <is>
          <t>Consumer Finance</t>
        </is>
      </c>
      <c r="E595" t="inlineStr">
        <is>
          <t>Financials</t>
        </is>
      </c>
      <c r="F595" t="inlineStr"/>
      <c r="G595" t="inlineStr"/>
      <c r="H595" t="inlineStr">
        <is>
          <t>3.77%</t>
        </is>
      </c>
      <c r="I595" t="inlineStr">
        <is>
          <t>0.00%</t>
        </is>
      </c>
    </row>
    <row r="596">
      <c r="A596" s="2" t="n">
        <v>45982</v>
      </c>
      <c r="B596" t="inlineStr">
        <is>
          <t>R21126</t>
        </is>
      </c>
      <c r="C596" t="inlineStr">
        <is>
          <t>GICS_INDUSTRY_NAME</t>
        </is>
      </c>
      <c r="D596" t="inlineStr">
        <is>
          <t>Software</t>
        </is>
      </c>
      <c r="E596" t="inlineStr">
        <is>
          <t>Information Technology</t>
        </is>
      </c>
      <c r="F596" t="inlineStr"/>
      <c r="G596" t="inlineStr"/>
      <c r="H596" t="inlineStr">
        <is>
          <t>3.53%</t>
        </is>
      </c>
      <c r="I596" t="inlineStr">
        <is>
          <t>0.00%</t>
        </is>
      </c>
    </row>
    <row r="597">
      <c r="A597" s="2" t="n">
        <v>45982</v>
      </c>
      <c r="B597" t="inlineStr">
        <is>
          <t>R21126</t>
        </is>
      </c>
      <c r="C597" t="inlineStr">
        <is>
          <t>GICS_INDUSTRY_GROUP_NAME</t>
        </is>
      </c>
      <c r="D597" t="inlineStr">
        <is>
          <t>Health Care Equipment &amp; Services</t>
        </is>
      </c>
      <c r="E597" t="inlineStr">
        <is>
          <t>Health Care</t>
        </is>
      </c>
      <c r="F597" t="inlineStr"/>
      <c r="G597" t="inlineStr"/>
      <c r="H597" t="inlineStr">
        <is>
          <t>3.47%</t>
        </is>
      </c>
      <c r="I597" t="inlineStr">
        <is>
          <t>0.00%</t>
        </is>
      </c>
    </row>
    <row r="598">
      <c r="A598" s="2" t="n">
        <v>45982</v>
      </c>
      <c r="B598" t="inlineStr">
        <is>
          <t>R21126</t>
        </is>
      </c>
      <c r="C598" t="inlineStr">
        <is>
          <t>GICS_INDUSTRY_NAME</t>
        </is>
      </c>
      <c r="D598" t="inlineStr">
        <is>
          <t>IT Services</t>
        </is>
      </c>
      <c r="E598" t="inlineStr">
        <is>
          <t>Information Technology</t>
        </is>
      </c>
      <c r="F598" t="inlineStr"/>
      <c r="G598" t="inlineStr"/>
      <c r="H598" t="inlineStr">
        <is>
          <t>3.34%</t>
        </is>
      </c>
      <c r="I598" t="inlineStr">
        <is>
          <t>0.00%</t>
        </is>
      </c>
    </row>
    <row r="599">
      <c r="A599" s="2" t="n">
        <v>45982</v>
      </c>
      <c r="B599" t="inlineStr">
        <is>
          <t>R21126</t>
        </is>
      </c>
      <c r="C599" t="inlineStr">
        <is>
          <t>GICS_INDUSTRY_NAME</t>
        </is>
      </c>
      <c r="D599" t="inlineStr">
        <is>
          <t>Financial Services</t>
        </is>
      </c>
      <c r="E599" t="inlineStr">
        <is>
          <t>Financials</t>
        </is>
      </c>
      <c r="F599" t="inlineStr"/>
      <c r="G599" t="inlineStr"/>
      <c r="H599" t="inlineStr">
        <is>
          <t>3.11%</t>
        </is>
      </c>
      <c r="I599" t="inlineStr">
        <is>
          <t>0.00%</t>
        </is>
      </c>
    </row>
    <row r="600">
      <c r="A600" s="2" t="n">
        <v>45982</v>
      </c>
      <c r="B600" t="inlineStr">
        <is>
          <t>R21126</t>
        </is>
      </c>
      <c r="C600" t="inlineStr">
        <is>
          <t>GICS_INDUSTRY_GROUP_NAME</t>
        </is>
      </c>
      <c r="D600" t="inlineStr">
        <is>
          <t>Energy</t>
        </is>
      </c>
      <c r="E600" t="inlineStr">
        <is>
          <t>Energy</t>
        </is>
      </c>
      <c r="F600" t="inlineStr"/>
      <c r="G600" t="inlineStr"/>
      <c r="H600" t="inlineStr">
        <is>
          <t>3.05%</t>
        </is>
      </c>
      <c r="I600" t="inlineStr">
        <is>
          <t>0.00%</t>
        </is>
      </c>
    </row>
    <row r="601">
      <c r="A601" s="2" t="n">
        <v>45982</v>
      </c>
      <c r="B601" t="inlineStr">
        <is>
          <t>R21126</t>
        </is>
      </c>
      <c r="C601" t="inlineStr">
        <is>
          <t>GICS_INDUSTRY_GROUP_NAME</t>
        </is>
      </c>
      <c r="D601" t="inlineStr">
        <is>
          <t>Commercial &amp; Professional Services</t>
        </is>
      </c>
      <c r="E601" t="inlineStr">
        <is>
          <t>Industrials</t>
        </is>
      </c>
      <c r="F601" t="inlineStr"/>
      <c r="G601" t="inlineStr"/>
      <c r="H601" t="inlineStr">
        <is>
          <t>2.68%</t>
        </is>
      </c>
      <c r="I601" t="inlineStr">
        <is>
          <t>0.00%</t>
        </is>
      </c>
    </row>
    <row r="602">
      <c r="A602" s="2" t="n">
        <v>45982</v>
      </c>
      <c r="B602" t="inlineStr">
        <is>
          <t>R21126</t>
        </is>
      </c>
      <c r="C602" t="inlineStr">
        <is>
          <t>GICS_INDUSTRY_GROUP_NAME</t>
        </is>
      </c>
      <c r="D602" t="inlineStr">
        <is>
          <t>Technology Hardware &amp; Equipment</t>
        </is>
      </c>
      <c r="E602" t="inlineStr">
        <is>
          <t>Information Technology</t>
        </is>
      </c>
      <c r="F602" t="inlineStr"/>
      <c r="G602" t="inlineStr"/>
      <c r="H602" t="inlineStr">
        <is>
          <t>2.28%</t>
        </is>
      </c>
      <c r="I602" t="inlineStr">
        <is>
          <t>0.00%</t>
        </is>
      </c>
    </row>
    <row r="603">
      <c r="A603" s="2" t="n">
        <v>45982</v>
      </c>
      <c r="B603" t="inlineStr">
        <is>
          <t>R21126</t>
        </is>
      </c>
      <c r="C603" t="inlineStr">
        <is>
          <t>GICS_INDUSTRY_NAME</t>
        </is>
      </c>
      <c r="D603" t="inlineStr">
        <is>
          <t>Professional Services</t>
        </is>
      </c>
      <c r="E603" t="inlineStr">
        <is>
          <t>Industrials</t>
        </is>
      </c>
      <c r="F603" t="inlineStr"/>
      <c r="G603" t="inlineStr"/>
      <c r="H603" t="inlineStr">
        <is>
          <t>2.21%</t>
        </is>
      </c>
      <c r="I603" t="inlineStr">
        <is>
          <t>0.00%</t>
        </is>
      </c>
    </row>
    <row r="604">
      <c r="A604" s="2" t="n">
        <v>45982</v>
      </c>
      <c r="B604" t="inlineStr">
        <is>
          <t>R21126</t>
        </is>
      </c>
      <c r="C604" t="inlineStr">
        <is>
          <t>GICS_INDUSTRY_NAME</t>
        </is>
      </c>
      <c r="D604" t="inlineStr">
        <is>
          <t>Energy Equipment &amp; Services</t>
        </is>
      </c>
      <c r="E604" t="inlineStr">
        <is>
          <t>Energy</t>
        </is>
      </c>
      <c r="F604" t="inlineStr"/>
      <c r="G604" t="inlineStr"/>
      <c r="H604" t="inlineStr">
        <is>
          <t>2.19%</t>
        </is>
      </c>
      <c r="I604" t="inlineStr">
        <is>
          <t>0.00%</t>
        </is>
      </c>
    </row>
    <row r="605">
      <c r="A605" s="2" t="n">
        <v>45982</v>
      </c>
      <c r="B605" t="inlineStr">
        <is>
          <t>R21126</t>
        </is>
      </c>
      <c r="C605" t="inlineStr">
        <is>
          <t>GICS_INDUSTRY_NAME</t>
        </is>
      </c>
      <c r="D605" t="inlineStr">
        <is>
          <t>Broadline Retail</t>
        </is>
      </c>
      <c r="E605" t="inlineStr">
        <is>
          <t>Consumer Discretionary</t>
        </is>
      </c>
      <c r="F605" t="inlineStr"/>
      <c r="G605" t="inlineStr"/>
      <c r="H605" t="inlineStr">
        <is>
          <t>2.14%</t>
        </is>
      </c>
      <c r="I605" t="inlineStr">
        <is>
          <t>0.00%</t>
        </is>
      </c>
    </row>
    <row r="606">
      <c r="A606" s="2" t="n">
        <v>45982</v>
      </c>
      <c r="B606" t="inlineStr">
        <is>
          <t>R21126</t>
        </is>
      </c>
      <c r="C606" t="inlineStr">
        <is>
          <t>GICS_INDUSTRY_NAME</t>
        </is>
      </c>
      <c r="D606" t="inlineStr">
        <is>
          <t>Entertainment</t>
        </is>
      </c>
      <c r="E606" t="inlineStr">
        <is>
          <t>Communication Services</t>
        </is>
      </c>
      <c r="F606" t="inlineStr"/>
      <c r="G606" t="inlineStr"/>
      <c r="H606" t="inlineStr">
        <is>
          <t>1.93%</t>
        </is>
      </c>
      <c r="I606" t="inlineStr">
        <is>
          <t>0.00%</t>
        </is>
      </c>
    </row>
    <row r="607">
      <c r="A607" s="2" t="n">
        <v>45982</v>
      </c>
      <c r="B607" t="inlineStr">
        <is>
          <t>R21126</t>
        </is>
      </c>
      <c r="C607" t="inlineStr">
        <is>
          <t>GICS_INDUSTRY_NAME</t>
        </is>
      </c>
      <c r="D607" t="inlineStr">
        <is>
          <t>Health Care Equipment &amp; Supplies</t>
        </is>
      </c>
      <c r="E607" t="inlineStr">
        <is>
          <t>Health Care</t>
        </is>
      </c>
      <c r="F607" t="inlineStr"/>
      <c r="G607" t="inlineStr"/>
      <c r="H607" t="inlineStr">
        <is>
          <t>1.81%</t>
        </is>
      </c>
      <c r="I607" t="inlineStr">
        <is>
          <t>0.00%</t>
        </is>
      </c>
    </row>
    <row r="608">
      <c r="A608" s="2" t="n">
        <v>45982</v>
      </c>
      <c r="B608" t="inlineStr">
        <is>
          <t>R21126</t>
        </is>
      </c>
      <c r="C608" t="inlineStr">
        <is>
          <t>GICS_INDUSTRY_GROUP_NAME</t>
        </is>
      </c>
      <c r="D608" t="inlineStr">
        <is>
          <t>Consumer Services</t>
        </is>
      </c>
      <c r="E608" t="inlineStr">
        <is>
          <t>Consumer Discretionary</t>
        </is>
      </c>
      <c r="F608" t="inlineStr"/>
      <c r="G608" t="inlineStr"/>
      <c r="H608" t="inlineStr">
        <is>
          <t>1.70%</t>
        </is>
      </c>
      <c r="I608" t="inlineStr">
        <is>
          <t>0.00%</t>
        </is>
      </c>
    </row>
    <row r="609">
      <c r="A609" s="2" t="n">
        <v>45982</v>
      </c>
      <c r="B609" t="inlineStr">
        <is>
          <t>R21126</t>
        </is>
      </c>
      <c r="C609" t="inlineStr">
        <is>
          <t>GICS_INDUSTRY_NAME</t>
        </is>
      </c>
      <c r="D609" t="inlineStr">
        <is>
          <t>Hotels, Restaurants &amp; Leisure</t>
        </is>
      </c>
      <c r="E609" t="inlineStr">
        <is>
          <t>Consumer Discretionary</t>
        </is>
      </c>
      <c r="F609" t="inlineStr"/>
      <c r="G609" t="inlineStr"/>
      <c r="H609" t="inlineStr">
        <is>
          <t>1.70%</t>
        </is>
      </c>
      <c r="I609" t="inlineStr">
        <is>
          <t>0.00%</t>
        </is>
      </c>
    </row>
    <row r="610">
      <c r="A610" s="2" t="n">
        <v>45982</v>
      </c>
      <c r="B610" t="inlineStr">
        <is>
          <t>R21126</t>
        </is>
      </c>
      <c r="C610" t="inlineStr">
        <is>
          <t>GICS_INDUSTRY_NAME</t>
        </is>
      </c>
      <c r="D610" t="inlineStr">
        <is>
          <t>Aerospace &amp; Defense</t>
        </is>
      </c>
      <c r="E610" t="inlineStr">
        <is>
          <t>Industrials</t>
        </is>
      </c>
      <c r="F610" t="inlineStr"/>
      <c r="G610" t="inlineStr"/>
      <c r="H610" t="inlineStr">
        <is>
          <t>1.69%</t>
        </is>
      </c>
      <c r="I610" t="inlineStr">
        <is>
          <t>0.00%</t>
        </is>
      </c>
    </row>
    <row r="611">
      <c r="A611" s="2" t="n">
        <v>45982</v>
      </c>
      <c r="B611" t="inlineStr">
        <is>
          <t>R21126</t>
        </is>
      </c>
      <c r="C611" t="inlineStr">
        <is>
          <t>GICS_INDUSTRY_NAME</t>
        </is>
      </c>
      <c r="D611" t="inlineStr">
        <is>
          <t>Health Care Providers &amp; Services</t>
        </is>
      </c>
      <c r="E611" t="inlineStr">
        <is>
          <t>Health Care</t>
        </is>
      </c>
      <c r="F611" t="inlineStr"/>
      <c r="G611" t="inlineStr"/>
      <c r="H611" t="inlineStr">
        <is>
          <t>1.67%</t>
        </is>
      </c>
      <c r="I611" t="inlineStr">
        <is>
          <t>0.00%</t>
        </is>
      </c>
    </row>
    <row r="612">
      <c r="A612" s="2" t="n">
        <v>45982</v>
      </c>
      <c r="B612" t="inlineStr">
        <is>
          <t>R21126</t>
        </is>
      </c>
      <c r="C612" t="inlineStr">
        <is>
          <t>GICS_INDUSTRY_NAME</t>
        </is>
      </c>
      <c r="D612" t="inlineStr">
        <is>
          <t>Technology Hardware, Storage &amp; Peripherals</t>
        </is>
      </c>
      <c r="E612" t="inlineStr">
        <is>
          <t>Information Technology</t>
        </is>
      </c>
      <c r="F612" t="inlineStr"/>
      <c r="G612" t="inlineStr"/>
      <c r="H612" t="inlineStr">
        <is>
          <t>1.66%</t>
        </is>
      </c>
      <c r="I612" t="inlineStr">
        <is>
          <t>0.00%</t>
        </is>
      </c>
    </row>
    <row r="613">
      <c r="A613" s="2" t="n">
        <v>45982</v>
      </c>
      <c r="B613" t="inlineStr">
        <is>
          <t>R21126</t>
        </is>
      </c>
      <c r="C613" t="inlineStr">
        <is>
          <t>GICS_INDUSTRY_NAME</t>
        </is>
      </c>
      <c r="D613" t="inlineStr">
        <is>
          <t>Electrical Equipment</t>
        </is>
      </c>
      <c r="E613" t="inlineStr">
        <is>
          <t>Industrials</t>
        </is>
      </c>
      <c r="F613" t="inlineStr"/>
      <c r="G613" t="inlineStr"/>
      <c r="H613" t="inlineStr">
        <is>
          <t>0.98%</t>
        </is>
      </c>
      <c r="I613" t="inlineStr">
        <is>
          <t>0.00%</t>
        </is>
      </c>
    </row>
    <row r="614">
      <c r="A614" s="2" t="n">
        <v>45982</v>
      </c>
      <c r="B614" t="inlineStr">
        <is>
          <t>R21126</t>
        </is>
      </c>
      <c r="C614" t="inlineStr">
        <is>
          <t>GICS_INDUSTRY_GROUP_NAME</t>
        </is>
      </c>
      <c r="D614" t="inlineStr">
        <is>
          <t>Consumer Staples Distribution &amp; Retail</t>
        </is>
      </c>
      <c r="E614" t="inlineStr">
        <is>
          <t>Consumer Staples</t>
        </is>
      </c>
      <c r="F614" t="inlineStr"/>
      <c r="G614" t="inlineStr"/>
      <c r="H614" t="inlineStr">
        <is>
          <t>0.88%</t>
        </is>
      </c>
      <c r="I614" t="inlineStr">
        <is>
          <t>0.00%</t>
        </is>
      </c>
    </row>
    <row r="615">
      <c r="A615" s="2" t="n">
        <v>45982</v>
      </c>
      <c r="B615" t="inlineStr">
        <is>
          <t>R21126</t>
        </is>
      </c>
      <c r="C615" t="inlineStr">
        <is>
          <t>GICS_INDUSTRY_NAME</t>
        </is>
      </c>
      <c r="D615" t="inlineStr">
        <is>
          <t>Consumer Staples Distribution &amp; Retail</t>
        </is>
      </c>
      <c r="E615" t="inlineStr">
        <is>
          <t>Consumer Staples</t>
        </is>
      </c>
      <c r="F615" t="inlineStr"/>
      <c r="G615" t="inlineStr"/>
      <c r="H615" t="inlineStr">
        <is>
          <t>0.88%</t>
        </is>
      </c>
      <c r="I615" t="inlineStr">
        <is>
          <t>0.00%</t>
        </is>
      </c>
    </row>
    <row r="616">
      <c r="A616" s="2" t="n">
        <v>45982</v>
      </c>
      <c r="B616" t="inlineStr">
        <is>
          <t>R21126</t>
        </is>
      </c>
      <c r="C616" t="inlineStr">
        <is>
          <t>GICS_INDUSTRY_NAME</t>
        </is>
      </c>
      <c r="D616" t="inlineStr">
        <is>
          <t>Oil, Gas &amp; Consumable Fuels</t>
        </is>
      </c>
      <c r="E616" t="inlineStr">
        <is>
          <t>Energy</t>
        </is>
      </c>
      <c r="F616" t="inlineStr"/>
      <c r="G616" t="inlineStr"/>
      <c r="H616" t="inlineStr">
        <is>
          <t>0.86%</t>
        </is>
      </c>
      <c r="I616" t="inlineStr">
        <is>
          <t>0.00%</t>
        </is>
      </c>
    </row>
    <row r="617">
      <c r="A617" s="2" t="n">
        <v>45982</v>
      </c>
      <c r="B617" t="inlineStr">
        <is>
          <t>R21126</t>
        </is>
      </c>
      <c r="C617" t="inlineStr">
        <is>
          <t>GICS_INDUSTRY_NAME</t>
        </is>
      </c>
      <c r="D617" t="inlineStr">
        <is>
          <t>Construction &amp; Engineering</t>
        </is>
      </c>
      <c r="E617" t="inlineStr">
        <is>
          <t>Industrials</t>
        </is>
      </c>
      <c r="F617" t="inlineStr"/>
      <c r="G617" t="inlineStr"/>
      <c r="H617" t="inlineStr">
        <is>
          <t>0.84%</t>
        </is>
      </c>
      <c r="I617" t="inlineStr">
        <is>
          <t>0.00%</t>
        </is>
      </c>
    </row>
    <row r="618">
      <c r="A618" s="2" t="n">
        <v>45982</v>
      </c>
      <c r="B618" t="inlineStr">
        <is>
          <t>R21126</t>
        </is>
      </c>
      <c r="C618" t="inlineStr">
        <is>
          <t>GICS_INDUSTRY_GROUP_NAME</t>
        </is>
      </c>
      <c r="D618" t="inlineStr">
        <is>
          <t>Transportation</t>
        </is>
      </c>
      <c r="E618" t="inlineStr">
        <is>
          <t>Industrials</t>
        </is>
      </c>
      <c r="F618" t="inlineStr"/>
      <c r="G618" t="inlineStr"/>
      <c r="H618" t="inlineStr">
        <is>
          <t>0.73%</t>
        </is>
      </c>
      <c r="I618" t="inlineStr">
        <is>
          <t>0.00%</t>
        </is>
      </c>
    </row>
    <row r="619">
      <c r="A619" s="2" t="n">
        <v>45982</v>
      </c>
      <c r="B619" t="inlineStr">
        <is>
          <t>R21126</t>
        </is>
      </c>
      <c r="C619" t="inlineStr">
        <is>
          <t>GICS_INDUSTRY_NAME</t>
        </is>
      </c>
      <c r="D619" t="inlineStr">
        <is>
          <t>Ground Transportation</t>
        </is>
      </c>
      <c r="E619" t="inlineStr">
        <is>
          <t>Industrials</t>
        </is>
      </c>
      <c r="F619" t="inlineStr"/>
      <c r="G619" t="inlineStr"/>
      <c r="H619" t="inlineStr">
        <is>
          <t>0.73%</t>
        </is>
      </c>
      <c r="I619" t="inlineStr">
        <is>
          <t>0.00%</t>
        </is>
      </c>
    </row>
    <row r="620">
      <c r="A620" s="2" t="n">
        <v>45982</v>
      </c>
      <c r="B620" t="inlineStr">
        <is>
          <t>R21126</t>
        </is>
      </c>
      <c r="C620" t="inlineStr">
        <is>
          <t>GICS_INDUSTRY_GROUP_NAME</t>
        </is>
      </c>
      <c r="D620" t="inlineStr">
        <is>
          <t>Food, Beverage &amp; Tobacco</t>
        </is>
      </c>
      <c r="E620" t="inlineStr">
        <is>
          <t>Consumer Staples</t>
        </is>
      </c>
      <c r="F620" t="inlineStr"/>
      <c r="G620" t="inlineStr"/>
      <c r="H620" t="inlineStr">
        <is>
          <t>0.70%</t>
        </is>
      </c>
      <c r="I620" t="inlineStr">
        <is>
          <t>0.00%</t>
        </is>
      </c>
    </row>
    <row r="621">
      <c r="A621" s="2" t="n">
        <v>45982</v>
      </c>
      <c r="B621" t="inlineStr">
        <is>
          <t>R21126</t>
        </is>
      </c>
      <c r="C621" t="inlineStr">
        <is>
          <t>GICS_INDUSTRY_NAME</t>
        </is>
      </c>
      <c r="D621" t="inlineStr">
        <is>
          <t>Beverages</t>
        </is>
      </c>
      <c r="E621" t="inlineStr">
        <is>
          <t>Consumer Staples</t>
        </is>
      </c>
      <c r="F621" t="inlineStr"/>
      <c r="G621" t="inlineStr"/>
      <c r="H621" t="inlineStr">
        <is>
          <t>0.70%</t>
        </is>
      </c>
      <c r="I621" t="inlineStr">
        <is>
          <t>0.00%</t>
        </is>
      </c>
    </row>
    <row r="622">
      <c r="A622" s="2" t="n">
        <v>45982</v>
      </c>
      <c r="B622" t="inlineStr">
        <is>
          <t>R21126</t>
        </is>
      </c>
      <c r="C622" t="inlineStr">
        <is>
          <t>GICS_INDUSTRY_NAME</t>
        </is>
      </c>
      <c r="D622" t="inlineStr">
        <is>
          <t>Communications Equipment</t>
        </is>
      </c>
      <c r="E622" t="inlineStr">
        <is>
          <t>Information Technology</t>
        </is>
      </c>
      <c r="F622" t="inlineStr"/>
      <c r="G622" t="inlineStr"/>
      <c r="H622" t="inlineStr">
        <is>
          <t>0.62%</t>
        </is>
      </c>
      <c r="I622" t="inlineStr">
        <is>
          <t>0.00%</t>
        </is>
      </c>
    </row>
    <row r="623">
      <c r="A623" s="2" t="n">
        <v>45982</v>
      </c>
      <c r="B623" t="inlineStr">
        <is>
          <t>R21126</t>
        </is>
      </c>
      <c r="C623" t="inlineStr">
        <is>
          <t>GICS_INDUSTRY_GROUP_NAME</t>
        </is>
      </c>
      <c r="D623" t="inlineStr">
        <is>
          <t>Pharmaceuticals, Biotechnology &amp; Life Sciences</t>
        </is>
      </c>
      <c r="E623" t="inlineStr">
        <is>
          <t>Health Care</t>
        </is>
      </c>
      <c r="F623" t="inlineStr"/>
      <c r="G623" t="inlineStr"/>
      <c r="H623" t="inlineStr">
        <is>
          <t>0.59%</t>
        </is>
      </c>
      <c r="I623" t="inlineStr">
        <is>
          <t>0.00%</t>
        </is>
      </c>
    </row>
    <row r="624">
      <c r="A624" s="2" t="n">
        <v>45982</v>
      </c>
      <c r="B624" t="inlineStr">
        <is>
          <t>R21126</t>
        </is>
      </c>
      <c r="C624" t="inlineStr">
        <is>
          <t>GICS_INDUSTRY_NAME</t>
        </is>
      </c>
      <c r="D624" t="inlineStr">
        <is>
          <t>Pharmaceuticals</t>
        </is>
      </c>
      <c r="E624" t="inlineStr">
        <is>
          <t>Health Care</t>
        </is>
      </c>
      <c r="F624" t="inlineStr"/>
      <c r="G624" t="inlineStr"/>
      <c r="H624" t="inlineStr">
        <is>
          <t>0.59%</t>
        </is>
      </c>
      <c r="I624" t="inlineStr">
        <is>
          <t>0.00%</t>
        </is>
      </c>
    </row>
    <row r="625">
      <c r="A625" s="2" t="n">
        <v>45982</v>
      </c>
      <c r="B625" t="inlineStr">
        <is>
          <t>R21126</t>
        </is>
      </c>
      <c r="C625" t="inlineStr">
        <is>
          <t>GICS_INDUSTRY_NAME</t>
        </is>
      </c>
      <c r="D625" t="inlineStr">
        <is>
          <t>Media</t>
        </is>
      </c>
      <c r="E625" t="inlineStr">
        <is>
          <t>Communication Services</t>
        </is>
      </c>
      <c r="F625" t="inlineStr"/>
      <c r="G625" t="inlineStr"/>
      <c r="H625" t="inlineStr">
        <is>
          <t>0.56%</t>
        </is>
      </c>
      <c r="I625" t="inlineStr">
        <is>
          <t>0.00%</t>
        </is>
      </c>
    </row>
    <row r="626">
      <c r="A626" s="2" t="n">
        <v>45982</v>
      </c>
      <c r="B626" t="inlineStr">
        <is>
          <t>R21126</t>
        </is>
      </c>
      <c r="C626" t="inlineStr">
        <is>
          <t>GICS_INDUSTRY_NAME</t>
        </is>
      </c>
      <c r="D626" t="inlineStr">
        <is>
          <t>Commercial Services &amp; Supplies</t>
        </is>
      </c>
      <c r="E626" t="inlineStr">
        <is>
          <t>Industrials</t>
        </is>
      </c>
      <c r="F626" t="inlineStr"/>
      <c r="G626" t="inlineStr"/>
      <c r="H626" t="inlineStr">
        <is>
          <t>0.47%</t>
        </is>
      </c>
      <c r="I626" t="inlineStr">
        <is>
          <t>0.00%</t>
        </is>
      </c>
    </row>
    <row r="627">
      <c r="A627" s="2" t="n">
        <v>45982</v>
      </c>
      <c r="B627" t="inlineStr">
        <is>
          <t>R21126</t>
        </is>
      </c>
      <c r="C627" t="inlineStr">
        <is>
          <t>GICS_INDUSTRY_GROUP_NAME</t>
        </is>
      </c>
      <c r="D627" t="inlineStr">
        <is>
          <t>Materials</t>
        </is>
      </c>
      <c r="E627" t="inlineStr">
        <is>
          <t>Materials</t>
        </is>
      </c>
      <c r="F627" t="inlineStr"/>
      <c r="G627" t="inlineStr"/>
      <c r="H627" t="inlineStr">
        <is>
          <t>0.42%</t>
        </is>
      </c>
      <c r="I627" t="inlineStr">
        <is>
          <t>0.00%</t>
        </is>
      </c>
    </row>
    <row r="628">
      <c r="A628" s="2" t="n">
        <v>45982</v>
      </c>
      <c r="B628" t="inlineStr">
        <is>
          <t>R21126</t>
        </is>
      </c>
      <c r="C628" t="inlineStr">
        <is>
          <t>GICS_INDUSTRY_NAME</t>
        </is>
      </c>
      <c r="D628" t="inlineStr">
        <is>
          <t>Chemicals</t>
        </is>
      </c>
      <c r="E628" t="inlineStr">
        <is>
          <t>Materials</t>
        </is>
      </c>
      <c r="F628" t="inlineStr"/>
      <c r="G628" t="inlineStr"/>
      <c r="H628" t="inlineStr">
        <is>
          <t>0.42%</t>
        </is>
      </c>
      <c r="I628" t="inlineStr">
        <is>
          <t>0.00%</t>
        </is>
      </c>
    </row>
    <row r="629">
      <c r="A629" s="2" t="n">
        <v>45982</v>
      </c>
      <c r="B629" t="inlineStr">
        <is>
          <t>R21126</t>
        </is>
      </c>
      <c r="C629" t="inlineStr">
        <is>
          <t>GICS_INDUSTRY_NAME</t>
        </is>
      </c>
      <c r="D629" t="inlineStr">
        <is>
          <t>Building Products</t>
        </is>
      </c>
      <c r="E629" t="inlineStr">
        <is>
          <t>Industrials</t>
        </is>
      </c>
      <c r="F629" t="inlineStr"/>
      <c r="G629" t="inlineStr"/>
      <c r="H629" t="inlineStr">
        <is>
          <t>0.33%</t>
        </is>
      </c>
      <c r="I629" t="inlineStr">
        <is>
          <t>0.00%</t>
        </is>
      </c>
    </row>
    <row r="630">
      <c r="A630" s="2" t="n">
        <v>45982</v>
      </c>
      <c r="B630" t="inlineStr">
        <is>
          <t>TR2B1</t>
        </is>
      </c>
      <c r="C630" t="inlineStr">
        <is>
          <t>GICS_INDUSTRY_GROUP_NAME</t>
        </is>
      </c>
      <c r="D630" t="inlineStr">
        <is>
          <t>Semiconductors &amp; Semiconductor Equipment</t>
        </is>
      </c>
      <c r="E630" t="inlineStr">
        <is>
          <t>Information Technology</t>
        </is>
      </c>
      <c r="F630" t="inlineStr"/>
      <c r="G630" t="inlineStr"/>
      <c r="H630" t="inlineStr">
        <is>
          <t>14.93%</t>
        </is>
      </c>
      <c r="I630" t="inlineStr">
        <is>
          <t>0.00%</t>
        </is>
      </c>
    </row>
    <row r="631">
      <c r="A631" s="2" t="n">
        <v>45982</v>
      </c>
      <c r="B631" t="inlineStr">
        <is>
          <t>TR2B1</t>
        </is>
      </c>
      <c r="C631" t="inlineStr">
        <is>
          <t>GICS_INDUSTRY_NAME</t>
        </is>
      </c>
      <c r="D631" t="inlineStr">
        <is>
          <t>Semiconductors &amp; Semiconductor Equipment</t>
        </is>
      </c>
      <c r="E631" t="inlineStr">
        <is>
          <t>Information Technology</t>
        </is>
      </c>
      <c r="F631" t="inlineStr"/>
      <c r="G631" t="inlineStr"/>
      <c r="H631" t="inlineStr">
        <is>
          <t>14.93%</t>
        </is>
      </c>
      <c r="I631" t="inlineStr">
        <is>
          <t>0.00%</t>
        </is>
      </c>
    </row>
    <row r="632">
      <c r="A632" s="2" t="n">
        <v>45982</v>
      </c>
      <c r="B632" t="inlineStr">
        <is>
          <t>TR2B1</t>
        </is>
      </c>
      <c r="C632" t="inlineStr">
        <is>
          <t>GICS_INDUSTRY_GROUP_NAME</t>
        </is>
      </c>
      <c r="D632" t="inlineStr">
        <is>
          <t>Technology Hardware &amp; Equipment</t>
        </is>
      </c>
      <c r="E632" t="inlineStr">
        <is>
          <t>Information Technology</t>
        </is>
      </c>
      <c r="F632" t="inlineStr"/>
      <c r="G632" t="inlineStr"/>
      <c r="H632" t="inlineStr">
        <is>
          <t>9.80%</t>
        </is>
      </c>
      <c r="I632" t="inlineStr">
        <is>
          <t>0.00%</t>
        </is>
      </c>
    </row>
    <row r="633">
      <c r="A633" s="2" t="n">
        <v>45982</v>
      </c>
      <c r="B633" t="inlineStr">
        <is>
          <t>TR2B1</t>
        </is>
      </c>
      <c r="C633" t="inlineStr">
        <is>
          <t>GICS_INDUSTRY_GROUP_NAME</t>
        </is>
      </c>
      <c r="D633" t="inlineStr">
        <is>
          <t>Software &amp; Services</t>
        </is>
      </c>
      <c r="E633" t="inlineStr">
        <is>
          <t>Information Technology</t>
        </is>
      </c>
      <c r="F633" t="inlineStr"/>
      <c r="G633" t="inlineStr"/>
      <c r="H633" t="inlineStr">
        <is>
          <t>9.74%</t>
        </is>
      </c>
      <c r="I633" t="inlineStr">
        <is>
          <t>0.00%</t>
        </is>
      </c>
    </row>
    <row r="634">
      <c r="A634" s="2" t="n">
        <v>45982</v>
      </c>
      <c r="B634" t="inlineStr">
        <is>
          <t>TR2B1</t>
        </is>
      </c>
      <c r="C634" t="inlineStr">
        <is>
          <t>GICS_INDUSTRY_GROUP_NAME</t>
        </is>
      </c>
      <c r="D634" t="inlineStr">
        <is>
          <t>Media &amp; Entertainment</t>
        </is>
      </c>
      <c r="E634" t="inlineStr">
        <is>
          <t>Communication Services</t>
        </is>
      </c>
      <c r="F634" t="inlineStr"/>
      <c r="G634" t="inlineStr"/>
      <c r="H634" t="inlineStr">
        <is>
          <t>9.70%</t>
        </is>
      </c>
      <c r="I634" t="inlineStr">
        <is>
          <t>0.00%</t>
        </is>
      </c>
    </row>
    <row r="635">
      <c r="A635" s="2" t="n">
        <v>45982</v>
      </c>
      <c r="B635" t="inlineStr">
        <is>
          <t>TR2B1</t>
        </is>
      </c>
      <c r="C635" t="inlineStr">
        <is>
          <t>GICS_INDUSTRY_NAME</t>
        </is>
      </c>
      <c r="D635" t="inlineStr">
        <is>
          <t>Software</t>
        </is>
      </c>
      <c r="E635" t="inlineStr">
        <is>
          <t>Information Technology</t>
        </is>
      </c>
      <c r="F635" t="inlineStr"/>
      <c r="G635" t="inlineStr"/>
      <c r="H635" t="inlineStr">
        <is>
          <t>8.53%</t>
        </is>
      </c>
      <c r="I635" t="inlineStr">
        <is>
          <t>0.00%</t>
        </is>
      </c>
    </row>
    <row r="636">
      <c r="A636" s="2" t="n">
        <v>45982</v>
      </c>
      <c r="B636" t="inlineStr">
        <is>
          <t>TR2B1</t>
        </is>
      </c>
      <c r="C636" t="inlineStr">
        <is>
          <t>GICS_INDUSTRY_NAME</t>
        </is>
      </c>
      <c r="D636" t="inlineStr">
        <is>
          <t>Interactive Media &amp; Services</t>
        </is>
      </c>
      <c r="E636" t="inlineStr">
        <is>
          <t>Communication Services</t>
        </is>
      </c>
      <c r="F636" t="inlineStr"/>
      <c r="G636" t="inlineStr"/>
      <c r="H636" t="inlineStr">
        <is>
          <t>8.32%</t>
        </is>
      </c>
      <c r="I636" t="inlineStr">
        <is>
          <t>0.00%</t>
        </is>
      </c>
    </row>
    <row r="637">
      <c r="A637" s="2" t="n">
        <v>45982</v>
      </c>
      <c r="B637" t="inlineStr">
        <is>
          <t>TR2B1</t>
        </is>
      </c>
      <c r="C637" t="inlineStr">
        <is>
          <t>GICS_INDUSTRY_NAME</t>
        </is>
      </c>
      <c r="D637" t="inlineStr">
        <is>
          <t>Technology Hardware, Storage &amp; Peripherals</t>
        </is>
      </c>
      <c r="E637" t="inlineStr">
        <is>
          <t>Information Technology</t>
        </is>
      </c>
      <c r="F637" t="inlineStr"/>
      <c r="G637" t="inlineStr"/>
      <c r="H637" t="inlineStr">
        <is>
          <t>7.62%</t>
        </is>
      </c>
      <c r="I637" t="inlineStr">
        <is>
          <t>0.00%</t>
        </is>
      </c>
    </row>
    <row r="638">
      <c r="A638" s="2" t="n">
        <v>45982</v>
      </c>
      <c r="B638" t="inlineStr">
        <is>
          <t>TR2B1</t>
        </is>
      </c>
      <c r="C638" t="inlineStr">
        <is>
          <t>GICS_INDUSTRY_GROUP_NAME</t>
        </is>
      </c>
      <c r="D638" t="inlineStr">
        <is>
          <t>Financial Services</t>
        </is>
      </c>
      <c r="E638" t="inlineStr">
        <is>
          <t>Financials</t>
        </is>
      </c>
      <c r="F638" t="inlineStr"/>
      <c r="G638" t="inlineStr"/>
      <c r="H638" t="inlineStr">
        <is>
          <t>6.64%</t>
        </is>
      </c>
      <c r="I638" t="inlineStr">
        <is>
          <t>0.00%</t>
        </is>
      </c>
    </row>
    <row r="639">
      <c r="A639" s="2" t="n">
        <v>45982</v>
      </c>
      <c r="B639" t="inlineStr">
        <is>
          <t>TR2B1</t>
        </is>
      </c>
      <c r="C639" t="inlineStr">
        <is>
          <t>GICS_INDUSTRY_GROUP_NAME</t>
        </is>
      </c>
      <c r="D639" t="inlineStr">
        <is>
          <t>Capital Goods</t>
        </is>
      </c>
      <c r="E639" t="inlineStr">
        <is>
          <t>Industrials</t>
        </is>
      </c>
      <c r="F639" t="inlineStr"/>
      <c r="G639" t="inlineStr"/>
      <c r="H639" t="inlineStr">
        <is>
          <t>6.16%</t>
        </is>
      </c>
      <c r="I639" t="inlineStr">
        <is>
          <t>0.00%</t>
        </is>
      </c>
    </row>
    <row r="640">
      <c r="A640" s="2" t="n">
        <v>45982</v>
      </c>
      <c r="B640" t="inlineStr">
        <is>
          <t>TR2B1</t>
        </is>
      </c>
      <c r="C640" t="inlineStr">
        <is>
          <t>GICS_INDUSTRY_GROUP_NAME</t>
        </is>
      </c>
      <c r="D640" t="inlineStr">
        <is>
          <t>Pharmaceuticals, Biotechnology &amp; Life Sciences</t>
        </is>
      </c>
      <c r="E640" t="inlineStr">
        <is>
          <t>Health Care</t>
        </is>
      </c>
      <c r="F640" t="inlineStr"/>
      <c r="G640" t="inlineStr"/>
      <c r="H640" t="inlineStr">
        <is>
          <t>5.57%</t>
        </is>
      </c>
      <c r="I640" t="inlineStr">
        <is>
          <t>0.00%</t>
        </is>
      </c>
    </row>
    <row r="641">
      <c r="A641" s="2" t="n">
        <v>45982</v>
      </c>
      <c r="B641" t="inlineStr">
        <is>
          <t>TR2B1</t>
        </is>
      </c>
      <c r="C641" t="inlineStr">
        <is>
          <t>GICS_INDUSTRY_GROUP_NAME</t>
        </is>
      </c>
      <c r="D641" t="inlineStr">
        <is>
          <t>Consumer Discretionary Distribution &amp; Retail</t>
        </is>
      </c>
      <c r="E641" t="inlineStr">
        <is>
          <t>Consumer Discretionary</t>
        </is>
      </c>
      <c r="F641" t="inlineStr"/>
      <c r="G641" t="inlineStr"/>
      <c r="H641" t="inlineStr">
        <is>
          <t>5.33%</t>
        </is>
      </c>
      <c r="I641" t="inlineStr">
        <is>
          <t>0.00%</t>
        </is>
      </c>
    </row>
    <row r="642">
      <c r="A642" s="2" t="n">
        <v>45982</v>
      </c>
      <c r="B642" t="inlineStr">
        <is>
          <t>TR2B1</t>
        </is>
      </c>
      <c r="C642" t="inlineStr">
        <is>
          <t>GICS_INDUSTRY_GROUP_NAME</t>
        </is>
      </c>
      <c r="D642" t="inlineStr">
        <is>
          <t>Banks</t>
        </is>
      </c>
      <c r="E642" t="inlineStr">
        <is>
          <t>Financials</t>
        </is>
      </c>
      <c r="F642" t="inlineStr"/>
      <c r="G642" t="inlineStr"/>
      <c r="H642" t="inlineStr">
        <is>
          <t>4.47%</t>
        </is>
      </c>
      <c r="I642" t="inlineStr">
        <is>
          <t>0.00%</t>
        </is>
      </c>
    </row>
    <row r="643">
      <c r="A643" s="2" t="n">
        <v>45982</v>
      </c>
      <c r="B643" t="inlineStr">
        <is>
          <t>TR2B1</t>
        </is>
      </c>
      <c r="C643" t="inlineStr">
        <is>
          <t>GICS_INDUSTRY_NAME</t>
        </is>
      </c>
      <c r="D643" t="inlineStr">
        <is>
          <t>Banks</t>
        </is>
      </c>
      <c r="E643" t="inlineStr">
        <is>
          <t>Financials</t>
        </is>
      </c>
      <c r="F643" t="inlineStr"/>
      <c r="G643" t="inlineStr"/>
      <c r="H643" t="inlineStr">
        <is>
          <t>4.47%</t>
        </is>
      </c>
      <c r="I643" t="inlineStr">
        <is>
          <t>0.00%</t>
        </is>
      </c>
    </row>
    <row r="644">
      <c r="A644" s="2" t="n">
        <v>45982</v>
      </c>
      <c r="B644" t="inlineStr">
        <is>
          <t>TR2B1</t>
        </is>
      </c>
      <c r="C644" t="inlineStr">
        <is>
          <t>GICS_INDUSTRY_GROUP_NAME</t>
        </is>
      </c>
      <c r="D644" t="inlineStr">
        <is>
          <t>Health Care Equipment &amp; Services</t>
        </is>
      </c>
      <c r="E644" t="inlineStr">
        <is>
          <t>Health Care</t>
        </is>
      </c>
      <c r="F644" t="inlineStr"/>
      <c r="G644" t="inlineStr"/>
      <c r="H644" t="inlineStr">
        <is>
          <t>4.28%</t>
        </is>
      </c>
      <c r="I644" t="inlineStr">
        <is>
          <t>0.00%</t>
        </is>
      </c>
    </row>
    <row r="645">
      <c r="A645" s="2" t="n">
        <v>45982</v>
      </c>
      <c r="B645" t="inlineStr">
        <is>
          <t>TR2B1</t>
        </is>
      </c>
      <c r="C645" t="inlineStr">
        <is>
          <t>GICS_INDUSTRY_NAME</t>
        </is>
      </c>
      <c r="D645" t="inlineStr">
        <is>
          <t>Broadline Retail</t>
        </is>
      </c>
      <c r="E645" t="inlineStr">
        <is>
          <t>Consumer Discretionary</t>
        </is>
      </c>
      <c r="F645" t="inlineStr"/>
      <c r="G645" t="inlineStr"/>
      <c r="H645" t="inlineStr">
        <is>
          <t>4.06%</t>
        </is>
      </c>
      <c r="I645" t="inlineStr">
        <is>
          <t>0.00%</t>
        </is>
      </c>
    </row>
    <row r="646">
      <c r="A646" s="2" t="n">
        <v>45982</v>
      </c>
      <c r="B646" t="inlineStr">
        <is>
          <t>TR2B1</t>
        </is>
      </c>
      <c r="C646" t="inlineStr">
        <is>
          <t>GICS_INDUSTRY_NAME</t>
        </is>
      </c>
      <c r="D646" t="inlineStr">
        <is>
          <t>Financial Services</t>
        </is>
      </c>
      <c r="E646" t="inlineStr">
        <is>
          <t>Financials</t>
        </is>
      </c>
      <c r="F646" t="inlineStr"/>
      <c r="G646" t="inlineStr"/>
      <c r="H646" t="inlineStr">
        <is>
          <t>3.34%</t>
        </is>
      </c>
      <c r="I646" t="inlineStr">
        <is>
          <t>0.00%</t>
        </is>
      </c>
    </row>
    <row r="647">
      <c r="A647" s="2" t="n">
        <v>45982</v>
      </c>
      <c r="B647" t="inlineStr">
        <is>
          <t>TR2B1</t>
        </is>
      </c>
      <c r="C647" t="inlineStr">
        <is>
          <t>GICS_INDUSTRY_NAME</t>
        </is>
      </c>
      <c r="D647" t="inlineStr">
        <is>
          <t>Aerospace &amp; Defense</t>
        </is>
      </c>
      <c r="E647" t="inlineStr">
        <is>
          <t>Industrials</t>
        </is>
      </c>
      <c r="F647" t="inlineStr"/>
      <c r="G647" t="inlineStr"/>
      <c r="H647" t="inlineStr">
        <is>
          <t>3.00%</t>
        </is>
      </c>
      <c r="I647" t="inlineStr">
        <is>
          <t>0.00%</t>
        </is>
      </c>
    </row>
    <row r="648">
      <c r="A648" s="2" t="n">
        <v>45982</v>
      </c>
      <c r="B648" t="inlineStr">
        <is>
          <t>TR2B1</t>
        </is>
      </c>
      <c r="C648" t="inlineStr">
        <is>
          <t>GICS_INDUSTRY_GROUP_NAME</t>
        </is>
      </c>
      <c r="D648" t="inlineStr">
        <is>
          <t>Energy</t>
        </is>
      </c>
      <c r="E648" t="inlineStr">
        <is>
          <t>Energy</t>
        </is>
      </c>
      <c r="F648" t="inlineStr"/>
      <c r="G648" t="inlineStr"/>
      <c r="H648" t="inlineStr">
        <is>
          <t>2.88%</t>
        </is>
      </c>
      <c r="I648" t="inlineStr">
        <is>
          <t>0.00%</t>
        </is>
      </c>
    </row>
    <row r="649">
      <c r="A649" s="2" t="n">
        <v>45982</v>
      </c>
      <c r="B649" t="inlineStr">
        <is>
          <t>TR2B1</t>
        </is>
      </c>
      <c r="C649" t="inlineStr">
        <is>
          <t>GICS_INDUSTRY_NAME</t>
        </is>
      </c>
      <c r="D649" t="inlineStr">
        <is>
          <t>Oil, Gas &amp; Consumable Fuels</t>
        </is>
      </c>
      <c r="E649" t="inlineStr">
        <is>
          <t>Energy</t>
        </is>
      </c>
      <c r="F649" t="inlineStr"/>
      <c r="G649" t="inlineStr"/>
      <c r="H649" t="inlineStr">
        <is>
          <t>2.88%</t>
        </is>
      </c>
      <c r="I649" t="inlineStr">
        <is>
          <t>0.00%</t>
        </is>
      </c>
    </row>
    <row r="650">
      <c r="A650" s="2" t="n">
        <v>45982</v>
      </c>
      <c r="B650" t="inlineStr">
        <is>
          <t>TR2B1</t>
        </is>
      </c>
      <c r="C650" t="inlineStr">
        <is>
          <t>GICS_INDUSTRY_NAME</t>
        </is>
      </c>
      <c r="D650" t="inlineStr">
        <is>
          <t>Capital Markets</t>
        </is>
      </c>
      <c r="E650" t="inlineStr">
        <is>
          <t>Financials</t>
        </is>
      </c>
      <c r="F650" t="inlineStr"/>
      <c r="G650" t="inlineStr"/>
      <c r="H650" t="inlineStr">
        <is>
          <t>2.68%</t>
        </is>
      </c>
      <c r="I650" t="inlineStr">
        <is>
          <t>0.00%</t>
        </is>
      </c>
    </row>
    <row r="651">
      <c r="A651" s="2" t="n">
        <v>45982</v>
      </c>
      <c r="B651" t="inlineStr">
        <is>
          <t>TR2B1</t>
        </is>
      </c>
      <c r="C651" t="inlineStr">
        <is>
          <t>GICS_INDUSTRY_NAME</t>
        </is>
      </c>
      <c r="D651" t="inlineStr">
        <is>
          <t>Pharmaceuticals</t>
        </is>
      </c>
      <c r="E651" t="inlineStr">
        <is>
          <t>Health Care</t>
        </is>
      </c>
      <c r="F651" t="inlineStr"/>
      <c r="G651" t="inlineStr"/>
      <c r="H651" t="inlineStr">
        <is>
          <t>2.59%</t>
        </is>
      </c>
      <c r="I651" t="inlineStr">
        <is>
          <t>0.00%</t>
        </is>
      </c>
    </row>
    <row r="652">
      <c r="A652" s="2" t="n">
        <v>45982</v>
      </c>
      <c r="B652" t="inlineStr">
        <is>
          <t>TR2B1</t>
        </is>
      </c>
      <c r="C652" t="inlineStr">
        <is>
          <t>GICS_INDUSTRY_NAME</t>
        </is>
      </c>
      <c r="D652" t="inlineStr">
        <is>
          <t>Health Care Equipment &amp; Supplies</t>
        </is>
      </c>
      <c r="E652" t="inlineStr">
        <is>
          <t>Health Care</t>
        </is>
      </c>
      <c r="F652" t="inlineStr"/>
      <c r="G652" t="inlineStr"/>
      <c r="H652" t="inlineStr">
        <is>
          <t>2.32%</t>
        </is>
      </c>
      <c r="I652" t="inlineStr">
        <is>
          <t>0.00%</t>
        </is>
      </c>
    </row>
    <row r="653">
      <c r="A653" s="2" t="n">
        <v>45982</v>
      </c>
      <c r="B653" t="inlineStr">
        <is>
          <t>TR2B1</t>
        </is>
      </c>
      <c r="C653" t="inlineStr">
        <is>
          <t>GICS_INDUSTRY_GROUP_NAME</t>
        </is>
      </c>
      <c r="D653" t="inlineStr">
        <is>
          <t>Insurance</t>
        </is>
      </c>
      <c r="E653" t="inlineStr">
        <is>
          <t>Financials</t>
        </is>
      </c>
      <c r="F653" t="inlineStr"/>
      <c r="G653" t="inlineStr"/>
      <c r="H653" t="inlineStr">
        <is>
          <t>2.31%</t>
        </is>
      </c>
      <c r="I653" t="inlineStr">
        <is>
          <t>0.00%</t>
        </is>
      </c>
    </row>
    <row r="654">
      <c r="A654" s="2" t="n">
        <v>45982</v>
      </c>
      <c r="B654" t="inlineStr">
        <is>
          <t>TR2B1</t>
        </is>
      </c>
      <c r="C654" t="inlineStr">
        <is>
          <t>GICS_INDUSTRY_NAME</t>
        </is>
      </c>
      <c r="D654" t="inlineStr">
        <is>
          <t>Insurance</t>
        </is>
      </c>
      <c r="E654" t="inlineStr">
        <is>
          <t>Financials</t>
        </is>
      </c>
      <c r="F654" t="inlineStr"/>
      <c r="G654" t="inlineStr"/>
      <c r="H654" t="inlineStr">
        <is>
          <t>2.31%</t>
        </is>
      </c>
      <c r="I654" t="inlineStr">
        <is>
          <t>0.00%</t>
        </is>
      </c>
    </row>
    <row r="655">
      <c r="A655" s="2" t="n">
        <v>45982</v>
      </c>
      <c r="B655" t="inlineStr">
        <is>
          <t>TR2B1</t>
        </is>
      </c>
      <c r="C655" t="inlineStr">
        <is>
          <t>GICS_INDUSTRY_GROUP_NAME</t>
        </is>
      </c>
      <c r="D655" t="inlineStr">
        <is>
          <t>Utilities</t>
        </is>
      </c>
      <c r="E655" t="inlineStr">
        <is>
          <t>Utilities</t>
        </is>
      </c>
      <c r="F655" t="inlineStr"/>
      <c r="G655" t="inlineStr"/>
      <c r="H655" t="inlineStr">
        <is>
          <t>2.30%</t>
        </is>
      </c>
      <c r="I655" t="inlineStr">
        <is>
          <t>0.00%</t>
        </is>
      </c>
    </row>
    <row r="656">
      <c r="A656" s="2" t="n">
        <v>45982</v>
      </c>
      <c r="B656" t="inlineStr">
        <is>
          <t>TR2B1</t>
        </is>
      </c>
      <c r="C656" t="inlineStr">
        <is>
          <t>GICS_INDUSTRY_NAME</t>
        </is>
      </c>
      <c r="D656" t="inlineStr">
        <is>
          <t>Electric Utilities</t>
        </is>
      </c>
      <c r="E656" t="inlineStr">
        <is>
          <t>Utilities</t>
        </is>
      </c>
      <c r="F656" t="inlineStr"/>
      <c r="G656" t="inlineStr"/>
      <c r="H656" t="inlineStr">
        <is>
          <t>2.30%</t>
        </is>
      </c>
      <c r="I656" t="inlineStr">
        <is>
          <t>0.00%</t>
        </is>
      </c>
    </row>
    <row r="657">
      <c r="A657" s="2" t="n">
        <v>45982</v>
      </c>
      <c r="B657" t="inlineStr">
        <is>
          <t>TR2B1</t>
        </is>
      </c>
      <c r="C657" t="inlineStr">
        <is>
          <t>GICS_INDUSTRY_GROUP_NAME</t>
        </is>
      </c>
      <c r="D657" t="inlineStr">
        <is>
          <t>Food, Beverage &amp; Tobacco</t>
        </is>
      </c>
      <c r="E657" t="inlineStr">
        <is>
          <t>Consumer Staples</t>
        </is>
      </c>
      <c r="F657" t="inlineStr"/>
      <c r="G657" t="inlineStr"/>
      <c r="H657" t="inlineStr">
        <is>
          <t>2.29%</t>
        </is>
      </c>
      <c r="I657" t="inlineStr">
        <is>
          <t>0.00%</t>
        </is>
      </c>
    </row>
    <row r="658">
      <c r="A658" s="2" t="n">
        <v>45982</v>
      </c>
      <c r="B658" t="inlineStr">
        <is>
          <t>TR2B1</t>
        </is>
      </c>
      <c r="C658" t="inlineStr">
        <is>
          <t>GICS_INDUSTRY_NAME</t>
        </is>
      </c>
      <c r="D658" t="inlineStr">
        <is>
          <t>Communications Equipment</t>
        </is>
      </c>
      <c r="E658" t="inlineStr">
        <is>
          <t>Information Technology</t>
        </is>
      </c>
      <c r="F658" t="inlineStr"/>
      <c r="G658" t="inlineStr"/>
      <c r="H658" t="inlineStr">
        <is>
          <t>2.19%</t>
        </is>
      </c>
      <c r="I658" t="inlineStr">
        <is>
          <t>0.00%</t>
        </is>
      </c>
    </row>
    <row r="659">
      <c r="A659" s="2" t="n">
        <v>45982</v>
      </c>
      <c r="B659" t="inlineStr">
        <is>
          <t>TR2B1</t>
        </is>
      </c>
      <c r="C659" t="inlineStr">
        <is>
          <t>GICS_INDUSTRY_GROUP_NAME</t>
        </is>
      </c>
      <c r="D659" t="inlineStr">
        <is>
          <t>Automobiles &amp; Components</t>
        </is>
      </c>
      <c r="E659" t="inlineStr">
        <is>
          <t>Consumer Discretionary</t>
        </is>
      </c>
      <c r="F659" t="inlineStr"/>
      <c r="G659" t="inlineStr"/>
      <c r="H659" t="inlineStr">
        <is>
          <t>2.15%</t>
        </is>
      </c>
      <c r="I659" t="inlineStr">
        <is>
          <t>0.00%</t>
        </is>
      </c>
    </row>
    <row r="660">
      <c r="A660" s="2" t="n">
        <v>45982</v>
      </c>
      <c r="B660" t="inlineStr">
        <is>
          <t>TR2B1</t>
        </is>
      </c>
      <c r="C660" t="inlineStr">
        <is>
          <t>GICS_INDUSTRY_NAME</t>
        </is>
      </c>
      <c r="D660" t="inlineStr">
        <is>
          <t>Automobiles</t>
        </is>
      </c>
      <c r="E660" t="inlineStr">
        <is>
          <t>Consumer Discretionary</t>
        </is>
      </c>
      <c r="F660" t="inlineStr"/>
      <c r="G660" t="inlineStr"/>
      <c r="H660" t="inlineStr">
        <is>
          <t>2.15%</t>
        </is>
      </c>
      <c r="I660" t="inlineStr">
        <is>
          <t>0.00%</t>
        </is>
      </c>
    </row>
    <row r="661">
      <c r="A661" s="2" t="n">
        <v>45982</v>
      </c>
      <c r="B661" t="inlineStr">
        <is>
          <t>TR2B1</t>
        </is>
      </c>
      <c r="C661" t="inlineStr">
        <is>
          <t>GICS_INDUSTRY_NAME</t>
        </is>
      </c>
      <c r="D661" t="inlineStr">
        <is>
          <t>Biotechnology</t>
        </is>
      </c>
      <c r="E661" t="inlineStr">
        <is>
          <t>Health Care</t>
        </is>
      </c>
      <c r="F661" t="inlineStr"/>
      <c r="G661" t="inlineStr"/>
      <c r="H661" t="inlineStr">
        <is>
          <t>2.01%</t>
        </is>
      </c>
      <c r="I661" t="inlineStr">
        <is>
          <t>0.00%</t>
        </is>
      </c>
    </row>
    <row r="662">
      <c r="A662" s="2" t="n">
        <v>45982</v>
      </c>
      <c r="B662" t="inlineStr">
        <is>
          <t>TR2B1</t>
        </is>
      </c>
      <c r="C662" t="inlineStr">
        <is>
          <t>GICS_INDUSTRY_NAME</t>
        </is>
      </c>
      <c r="D662" t="inlineStr">
        <is>
          <t>Health Care Providers &amp; Services</t>
        </is>
      </c>
      <c r="E662" t="inlineStr">
        <is>
          <t>Health Care</t>
        </is>
      </c>
      <c r="F662" t="inlineStr"/>
      <c r="G662" t="inlineStr"/>
      <c r="H662" t="inlineStr">
        <is>
          <t>1.96%</t>
        </is>
      </c>
      <c r="I662" t="inlineStr">
        <is>
          <t>0.00%</t>
        </is>
      </c>
    </row>
    <row r="663">
      <c r="A663" s="2" t="n">
        <v>45982</v>
      </c>
      <c r="B663" t="inlineStr">
        <is>
          <t>TR2B1</t>
        </is>
      </c>
      <c r="C663" t="inlineStr">
        <is>
          <t>GICS_INDUSTRY_GROUP_NAME</t>
        </is>
      </c>
      <c r="D663" t="inlineStr">
        <is>
          <t>Consumer Staples Distribution &amp; Retail</t>
        </is>
      </c>
      <c r="E663" t="inlineStr">
        <is>
          <t>Consumer Staples</t>
        </is>
      </c>
      <c r="F663" t="inlineStr"/>
      <c r="G663" t="inlineStr"/>
      <c r="H663" t="inlineStr">
        <is>
          <t>1.79%</t>
        </is>
      </c>
      <c r="I663" t="inlineStr">
        <is>
          <t>0.00%</t>
        </is>
      </c>
    </row>
    <row r="664">
      <c r="A664" s="2" t="n">
        <v>45982</v>
      </c>
      <c r="B664" t="inlineStr">
        <is>
          <t>TR2B1</t>
        </is>
      </c>
      <c r="C664" t="inlineStr">
        <is>
          <t>GICS_INDUSTRY_NAME</t>
        </is>
      </c>
      <c r="D664" t="inlineStr">
        <is>
          <t>Consumer Staples Distribution &amp; Retail</t>
        </is>
      </c>
      <c r="E664" t="inlineStr">
        <is>
          <t>Consumer Staples</t>
        </is>
      </c>
      <c r="F664" t="inlineStr"/>
      <c r="G664" t="inlineStr"/>
      <c r="H664" t="inlineStr">
        <is>
          <t>1.79%</t>
        </is>
      </c>
      <c r="I664" t="inlineStr">
        <is>
          <t>0.00%</t>
        </is>
      </c>
    </row>
    <row r="665">
      <c r="A665" s="2" t="n">
        <v>45982</v>
      </c>
      <c r="B665" t="inlineStr">
        <is>
          <t>TR2B1</t>
        </is>
      </c>
      <c r="C665" t="inlineStr">
        <is>
          <t>GICS_INDUSTRY_GROUP_NAME</t>
        </is>
      </c>
      <c r="D665" t="inlineStr">
        <is>
          <t>Consumer Services</t>
        </is>
      </c>
      <c r="E665" t="inlineStr">
        <is>
          <t>Consumer Discretionary</t>
        </is>
      </c>
      <c r="F665" t="inlineStr"/>
      <c r="G665" t="inlineStr"/>
      <c r="H665" t="inlineStr">
        <is>
          <t>1.72%</t>
        </is>
      </c>
      <c r="I665" t="inlineStr">
        <is>
          <t>0.00%</t>
        </is>
      </c>
    </row>
    <row r="666">
      <c r="A666" s="2" t="n">
        <v>45982</v>
      </c>
      <c r="B666" t="inlineStr">
        <is>
          <t>TR2B1</t>
        </is>
      </c>
      <c r="C666" t="inlineStr">
        <is>
          <t>GICS_INDUSTRY_NAME</t>
        </is>
      </c>
      <c r="D666" t="inlineStr">
        <is>
          <t>Hotels, Restaurants &amp; Leisure</t>
        </is>
      </c>
      <c r="E666" t="inlineStr">
        <is>
          <t>Consumer Discretionary</t>
        </is>
      </c>
      <c r="F666" t="inlineStr"/>
      <c r="G666" t="inlineStr"/>
      <c r="H666" t="inlineStr">
        <is>
          <t>1.72%</t>
        </is>
      </c>
      <c r="I666" t="inlineStr">
        <is>
          <t>0.00%</t>
        </is>
      </c>
    </row>
    <row r="667">
      <c r="A667" s="2" t="n">
        <v>45982</v>
      </c>
      <c r="B667" t="inlineStr">
        <is>
          <t>TR2B1</t>
        </is>
      </c>
      <c r="C667" t="inlineStr">
        <is>
          <t>GICS_INDUSTRY_GROUP_NAME</t>
        </is>
      </c>
      <c r="D667" t="inlineStr">
        <is>
          <t>Materials</t>
        </is>
      </c>
      <c r="E667" t="inlineStr">
        <is>
          <t>Materials</t>
        </is>
      </c>
      <c r="F667" t="inlineStr"/>
      <c r="G667" t="inlineStr"/>
      <c r="H667" t="inlineStr">
        <is>
          <t>1.69%</t>
        </is>
      </c>
      <c r="I667" t="inlineStr">
        <is>
          <t>0.00%</t>
        </is>
      </c>
    </row>
    <row r="668">
      <c r="A668" s="2" t="n">
        <v>45982</v>
      </c>
      <c r="B668" t="inlineStr">
        <is>
          <t>TR2B1</t>
        </is>
      </c>
      <c r="C668" t="inlineStr">
        <is>
          <t>GICS_INDUSTRY_NAME</t>
        </is>
      </c>
      <c r="D668" t="inlineStr">
        <is>
          <t>Chemicals</t>
        </is>
      </c>
      <c r="E668" t="inlineStr">
        <is>
          <t>Materials</t>
        </is>
      </c>
      <c r="F668" t="inlineStr"/>
      <c r="G668" t="inlineStr"/>
      <c r="H668" t="inlineStr">
        <is>
          <t>1.69%</t>
        </is>
      </c>
      <c r="I668" t="inlineStr">
        <is>
          <t>0.00%</t>
        </is>
      </c>
    </row>
    <row r="669">
      <c r="A669" s="2" t="n">
        <v>45982</v>
      </c>
      <c r="B669" t="inlineStr">
        <is>
          <t>TR2B1</t>
        </is>
      </c>
      <c r="C669" t="inlineStr">
        <is>
          <t>GICS_INDUSTRY_NAME</t>
        </is>
      </c>
      <c r="D669" t="inlineStr">
        <is>
          <t>Machinery</t>
        </is>
      </c>
      <c r="E669" t="inlineStr">
        <is>
          <t>Industrials</t>
        </is>
      </c>
      <c r="F669" t="inlineStr"/>
      <c r="G669" t="inlineStr"/>
      <c r="H669" t="inlineStr">
        <is>
          <t>1.52%</t>
        </is>
      </c>
      <c r="I669" t="inlineStr">
        <is>
          <t>0.00%</t>
        </is>
      </c>
    </row>
    <row r="670">
      <c r="A670" s="2" t="n">
        <v>45982</v>
      </c>
      <c r="B670" t="inlineStr">
        <is>
          <t>TR2B1</t>
        </is>
      </c>
      <c r="C670" t="inlineStr">
        <is>
          <t>GICS_INDUSTRY_GROUP_NAME</t>
        </is>
      </c>
      <c r="D670" t="inlineStr">
        <is>
          <t>Equity Real Estate Investment Trusts</t>
        </is>
      </c>
      <c r="E670" t="inlineStr">
        <is>
          <t>Real Estate</t>
        </is>
      </c>
      <c r="F670" t="inlineStr"/>
      <c r="G670" t="inlineStr"/>
      <c r="H670" t="inlineStr">
        <is>
          <t>1.47%</t>
        </is>
      </c>
      <c r="I670" t="inlineStr">
        <is>
          <t>0.00%</t>
        </is>
      </c>
    </row>
    <row r="671">
      <c r="A671" s="2" t="n">
        <v>45982</v>
      </c>
      <c r="B671" t="inlineStr">
        <is>
          <t>TR2B1</t>
        </is>
      </c>
      <c r="C671" t="inlineStr">
        <is>
          <t>GICS_INDUSTRY_NAME</t>
        </is>
      </c>
      <c r="D671" t="inlineStr">
        <is>
          <t>Specialized REITs</t>
        </is>
      </c>
      <c r="E671" t="inlineStr">
        <is>
          <t>Real Estate</t>
        </is>
      </c>
      <c r="F671" t="inlineStr"/>
      <c r="G671" t="inlineStr"/>
      <c r="H671" t="inlineStr">
        <is>
          <t>1.47%</t>
        </is>
      </c>
      <c r="I671" t="inlineStr">
        <is>
          <t>0.00%</t>
        </is>
      </c>
    </row>
    <row r="672">
      <c r="A672" s="2" t="n">
        <v>45982</v>
      </c>
      <c r="B672" t="inlineStr">
        <is>
          <t>TR2B1</t>
        </is>
      </c>
      <c r="C672" t="inlineStr">
        <is>
          <t>GICS_INDUSTRY_GROUP_NAME</t>
        </is>
      </c>
      <c r="D672" t="inlineStr">
        <is>
          <t>Transportation</t>
        </is>
      </c>
      <c r="E672" t="inlineStr">
        <is>
          <t>Industrials</t>
        </is>
      </c>
      <c r="F672" t="inlineStr"/>
      <c r="G672" t="inlineStr"/>
      <c r="H672" t="inlineStr">
        <is>
          <t>1.32%</t>
        </is>
      </c>
      <c r="I672" t="inlineStr">
        <is>
          <t>0.00%</t>
        </is>
      </c>
    </row>
    <row r="673">
      <c r="A673" s="2" t="n">
        <v>45982</v>
      </c>
      <c r="B673" t="inlineStr">
        <is>
          <t>TR2B1</t>
        </is>
      </c>
      <c r="C673" t="inlineStr">
        <is>
          <t>GICS_INDUSTRY_NAME</t>
        </is>
      </c>
      <c r="D673" t="inlineStr">
        <is>
          <t>Specialty Retail</t>
        </is>
      </c>
      <c r="E673" t="inlineStr">
        <is>
          <t>Consumer Discretionary</t>
        </is>
      </c>
      <c r="F673" t="inlineStr"/>
      <c r="G673" t="inlineStr"/>
      <c r="H673" t="inlineStr">
        <is>
          <t>1.27%</t>
        </is>
      </c>
      <c r="I673" t="inlineStr">
        <is>
          <t>0.00%</t>
        </is>
      </c>
    </row>
    <row r="674">
      <c r="A674" s="2" t="n">
        <v>45982</v>
      </c>
      <c r="B674" t="inlineStr">
        <is>
          <t>TR2B1</t>
        </is>
      </c>
      <c r="C674" t="inlineStr">
        <is>
          <t>GICS_INDUSTRY_NAME</t>
        </is>
      </c>
      <c r="D674" t="inlineStr">
        <is>
          <t>Beverages</t>
        </is>
      </c>
      <c r="E674" t="inlineStr">
        <is>
          <t>Consumer Staples</t>
        </is>
      </c>
      <c r="F674" t="inlineStr"/>
      <c r="G674" t="inlineStr"/>
      <c r="H674" t="inlineStr">
        <is>
          <t>1.23%</t>
        </is>
      </c>
      <c r="I674" t="inlineStr">
        <is>
          <t>0.00%</t>
        </is>
      </c>
    </row>
    <row r="675">
      <c r="A675" s="2" t="n">
        <v>45982</v>
      </c>
      <c r="B675" t="inlineStr">
        <is>
          <t>TR2B1</t>
        </is>
      </c>
      <c r="C675" t="inlineStr">
        <is>
          <t>GICS_INDUSTRY_NAME</t>
        </is>
      </c>
      <c r="D675" t="inlineStr">
        <is>
          <t>IT Services</t>
        </is>
      </c>
      <c r="E675" t="inlineStr">
        <is>
          <t>Information Technology</t>
        </is>
      </c>
      <c r="F675" t="inlineStr"/>
      <c r="G675" t="inlineStr"/>
      <c r="H675" t="inlineStr">
        <is>
          <t>1.21%</t>
        </is>
      </c>
      <c r="I675" t="inlineStr">
        <is>
          <t>0.00%</t>
        </is>
      </c>
    </row>
    <row r="676">
      <c r="A676" s="2" t="n">
        <v>45982</v>
      </c>
      <c r="B676" t="inlineStr">
        <is>
          <t>TR2B1</t>
        </is>
      </c>
      <c r="C676" t="inlineStr">
        <is>
          <t>GICS_INDUSTRY_NAME</t>
        </is>
      </c>
      <c r="D676" t="inlineStr">
        <is>
          <t>Entertainment</t>
        </is>
      </c>
      <c r="E676" t="inlineStr">
        <is>
          <t>Communication Services</t>
        </is>
      </c>
      <c r="F676" t="inlineStr"/>
      <c r="G676" t="inlineStr"/>
      <c r="H676" t="inlineStr">
        <is>
          <t>1.18%</t>
        </is>
      </c>
      <c r="I676" t="inlineStr">
        <is>
          <t>0.00%</t>
        </is>
      </c>
    </row>
    <row r="677">
      <c r="A677" s="2" t="n">
        <v>45982</v>
      </c>
      <c r="B677" t="inlineStr">
        <is>
          <t>TR2B1</t>
        </is>
      </c>
      <c r="C677" t="inlineStr">
        <is>
          <t>GICS_INDUSTRY_GROUP_NAME</t>
        </is>
      </c>
      <c r="D677" t="inlineStr">
        <is>
          <t>Commercial &amp; Professional Services</t>
        </is>
      </c>
      <c r="E677" t="inlineStr">
        <is>
          <t>Industrials</t>
        </is>
      </c>
      <c r="F677" t="inlineStr"/>
      <c r="G677" t="inlineStr"/>
      <c r="H677" t="inlineStr">
        <is>
          <t>1.10%</t>
        </is>
      </c>
      <c r="I677" t="inlineStr">
        <is>
          <t>0.00%</t>
        </is>
      </c>
    </row>
    <row r="678">
      <c r="A678" s="2" t="n">
        <v>45982</v>
      </c>
      <c r="B678" t="inlineStr">
        <is>
          <t>TR2B1</t>
        </is>
      </c>
      <c r="C678" t="inlineStr">
        <is>
          <t>GICS_INDUSTRY_NAME</t>
        </is>
      </c>
      <c r="D678" t="inlineStr">
        <is>
          <t>Commercial Services &amp; Supplies</t>
        </is>
      </c>
      <c r="E678" t="inlineStr">
        <is>
          <t>Industrials</t>
        </is>
      </c>
      <c r="F678" t="inlineStr"/>
      <c r="G678" t="inlineStr"/>
      <c r="H678" t="inlineStr">
        <is>
          <t>1.10%</t>
        </is>
      </c>
      <c r="I678" t="inlineStr">
        <is>
          <t>0.00%</t>
        </is>
      </c>
    </row>
    <row r="679">
      <c r="A679" s="2" t="n">
        <v>45982</v>
      </c>
      <c r="B679" t="inlineStr">
        <is>
          <t>TR2B1</t>
        </is>
      </c>
      <c r="C679" t="inlineStr">
        <is>
          <t>GICS_INDUSTRY_GROUP_NAME</t>
        </is>
      </c>
      <c r="D679" t="inlineStr">
        <is>
          <t>Household &amp; Personal Products</t>
        </is>
      </c>
      <c r="E679" t="inlineStr">
        <is>
          <t>Consumer Staples</t>
        </is>
      </c>
      <c r="F679" t="inlineStr"/>
      <c r="G679" t="inlineStr"/>
      <c r="H679" t="inlineStr">
        <is>
          <t>0.98%</t>
        </is>
      </c>
      <c r="I679" t="inlineStr">
        <is>
          <t>0.00%</t>
        </is>
      </c>
    </row>
    <row r="680">
      <c r="A680" s="2" t="n">
        <v>45982</v>
      </c>
      <c r="B680" t="inlineStr">
        <is>
          <t>TR2B1</t>
        </is>
      </c>
      <c r="C680" t="inlineStr">
        <is>
          <t>GICS_INDUSTRY_NAME</t>
        </is>
      </c>
      <c r="D680" t="inlineStr">
        <is>
          <t>Household Products</t>
        </is>
      </c>
      <c r="E680" t="inlineStr">
        <is>
          <t>Consumer Staples</t>
        </is>
      </c>
      <c r="F680" t="inlineStr"/>
      <c r="G680" t="inlineStr"/>
      <c r="H680" t="inlineStr">
        <is>
          <t>0.98%</t>
        </is>
      </c>
      <c r="I680" t="inlineStr">
        <is>
          <t>0.00%</t>
        </is>
      </c>
    </row>
    <row r="681">
      <c r="A681" s="2" t="n">
        <v>45982</v>
      </c>
      <c r="B681" t="inlineStr">
        <is>
          <t>TR2B1</t>
        </is>
      </c>
      <c r="C681" t="inlineStr">
        <is>
          <t>GICS_INDUSTRY_NAME</t>
        </is>
      </c>
      <c r="D681" t="inlineStr">
        <is>
          <t>Life Sciences Tools &amp; Services</t>
        </is>
      </c>
      <c r="E681" t="inlineStr">
        <is>
          <t>Health Care</t>
        </is>
      </c>
      <c r="F681" t="inlineStr"/>
      <c r="G681" t="inlineStr"/>
      <c r="H681" t="inlineStr">
        <is>
          <t>0.97%</t>
        </is>
      </c>
      <c r="I681" t="inlineStr">
        <is>
          <t>0.00%</t>
        </is>
      </c>
    </row>
    <row r="682">
      <c r="A682" s="2" t="n">
        <v>45982</v>
      </c>
      <c r="B682" t="inlineStr">
        <is>
          <t>TR2B1</t>
        </is>
      </c>
      <c r="C682" t="inlineStr">
        <is>
          <t>GICS_INDUSTRY_NAME</t>
        </is>
      </c>
      <c r="D682" t="inlineStr">
        <is>
          <t>Ground Transportation</t>
        </is>
      </c>
      <c r="E682" t="inlineStr">
        <is>
          <t>Industrials</t>
        </is>
      </c>
      <c r="F682" t="inlineStr"/>
      <c r="G682" t="inlineStr"/>
      <c r="H682" t="inlineStr">
        <is>
          <t>0.93%</t>
        </is>
      </c>
      <c r="I682" t="inlineStr">
        <is>
          <t>0.00%</t>
        </is>
      </c>
    </row>
    <row r="683">
      <c r="A683" s="2" t="n">
        <v>45982</v>
      </c>
      <c r="B683" t="inlineStr">
        <is>
          <t>TR2B1</t>
        </is>
      </c>
      <c r="C683" t="inlineStr">
        <is>
          <t>GICS_INDUSTRY_NAME</t>
        </is>
      </c>
      <c r="D683" t="inlineStr">
        <is>
          <t>Tobacco</t>
        </is>
      </c>
      <c r="E683" t="inlineStr">
        <is>
          <t>Consumer Staples</t>
        </is>
      </c>
      <c r="F683" t="inlineStr"/>
      <c r="G683" t="inlineStr"/>
      <c r="H683" t="inlineStr">
        <is>
          <t>0.87%</t>
        </is>
      </c>
      <c r="I683" t="inlineStr">
        <is>
          <t>0.00%</t>
        </is>
      </c>
    </row>
    <row r="684">
      <c r="A684" s="2" t="n">
        <v>45982</v>
      </c>
      <c r="B684" t="inlineStr">
        <is>
          <t>TR2B1</t>
        </is>
      </c>
      <c r="C684" t="inlineStr">
        <is>
          <t>GICS_INDUSTRY_GROUP_NAME</t>
        </is>
      </c>
      <c r="D684" t="inlineStr">
        <is>
          <t>Telecommunication Services</t>
        </is>
      </c>
      <c r="E684" t="inlineStr">
        <is>
          <t>Communication Services</t>
        </is>
      </c>
      <c r="F684" t="inlineStr"/>
      <c r="G684" t="inlineStr"/>
      <c r="H684" t="inlineStr">
        <is>
          <t>0.84%</t>
        </is>
      </c>
      <c r="I684" t="inlineStr">
        <is>
          <t>0.00%</t>
        </is>
      </c>
    </row>
    <row r="685">
      <c r="A685" s="2" t="n">
        <v>45982</v>
      </c>
      <c r="B685" t="inlineStr">
        <is>
          <t>TR2B1</t>
        </is>
      </c>
      <c r="C685" t="inlineStr">
        <is>
          <t>GICS_INDUSTRY_NAME</t>
        </is>
      </c>
      <c r="D685" t="inlineStr">
        <is>
          <t>Diversified Telecommunication Services</t>
        </is>
      </c>
      <c r="E685" t="inlineStr">
        <is>
          <t>Communication Services</t>
        </is>
      </c>
      <c r="F685" t="inlineStr"/>
      <c r="G685" t="inlineStr"/>
      <c r="H685" t="inlineStr">
        <is>
          <t>0.84%</t>
        </is>
      </c>
      <c r="I685" t="inlineStr">
        <is>
          <t>0.00%</t>
        </is>
      </c>
    </row>
    <row r="686">
      <c r="A686" s="2" t="n">
        <v>45982</v>
      </c>
      <c r="B686" t="inlineStr">
        <is>
          <t>TR2B1</t>
        </is>
      </c>
      <c r="C686" t="inlineStr">
        <is>
          <t>GICS_INDUSTRY_NAME</t>
        </is>
      </c>
      <c r="D686" t="inlineStr">
        <is>
          <t>Industrial Conglomerates</t>
        </is>
      </c>
      <c r="E686" t="inlineStr">
        <is>
          <t>Industrials</t>
        </is>
      </c>
      <c r="F686" t="inlineStr"/>
      <c r="G686" t="inlineStr"/>
      <c r="H686" t="inlineStr">
        <is>
          <t>0.84%</t>
        </is>
      </c>
      <c r="I686" t="inlineStr">
        <is>
          <t>0.00%</t>
        </is>
      </c>
    </row>
    <row r="687">
      <c r="A687" s="2" t="n">
        <v>45982</v>
      </c>
      <c r="B687" t="inlineStr">
        <is>
          <t>TR2B1</t>
        </is>
      </c>
      <c r="C687" t="inlineStr">
        <is>
          <t>GICS_INDUSTRY_NAME</t>
        </is>
      </c>
      <c r="D687" t="inlineStr">
        <is>
          <t>Electrical Equipment</t>
        </is>
      </c>
      <c r="E687" t="inlineStr">
        <is>
          <t>Industrials</t>
        </is>
      </c>
      <c r="F687" t="inlineStr"/>
      <c r="G687" t="inlineStr"/>
      <c r="H687" t="inlineStr">
        <is>
          <t>0.79%</t>
        </is>
      </c>
      <c r="I687" t="inlineStr">
        <is>
          <t>0.00%</t>
        </is>
      </c>
    </row>
    <row r="688">
      <c r="A688" s="2" t="n">
        <v>45982</v>
      </c>
      <c r="B688" t="inlineStr">
        <is>
          <t>TR2B1</t>
        </is>
      </c>
      <c r="C688" t="inlineStr">
        <is>
          <t>GICS_INDUSTRY_NAME</t>
        </is>
      </c>
      <c r="D688" t="inlineStr">
        <is>
          <t>Consumer Finance</t>
        </is>
      </c>
      <c r="E688" t="inlineStr">
        <is>
          <t>Financials</t>
        </is>
      </c>
      <c r="F688" t="inlineStr"/>
      <c r="G688" t="inlineStr"/>
      <c r="H688" t="inlineStr">
        <is>
          <t>0.62%</t>
        </is>
      </c>
      <c r="I688" t="inlineStr">
        <is>
          <t>0.00%</t>
        </is>
      </c>
    </row>
    <row r="689">
      <c r="A689" s="2" t="n">
        <v>45982</v>
      </c>
      <c r="B689" t="inlineStr">
        <is>
          <t>TR2B1</t>
        </is>
      </c>
      <c r="C689" t="inlineStr">
        <is>
          <t>GICS_INDUSTRY_GROUP_NAME</t>
        </is>
      </c>
      <c r="D689" t="inlineStr">
        <is>
          <t>Consumer Durables &amp; Apparel</t>
        </is>
      </c>
      <c r="E689" t="inlineStr">
        <is>
          <t>Consumer Discretionary</t>
        </is>
      </c>
      <c r="F689" t="inlineStr"/>
      <c r="G689" t="inlineStr"/>
      <c r="H689" t="inlineStr">
        <is>
          <t>0.53%</t>
        </is>
      </c>
      <c r="I689" t="inlineStr">
        <is>
          <t>0.00%</t>
        </is>
      </c>
    </row>
    <row r="690">
      <c r="A690" s="2" t="n">
        <v>45982</v>
      </c>
      <c r="B690" t="inlineStr">
        <is>
          <t>TR2B1</t>
        </is>
      </c>
      <c r="C690" t="inlineStr">
        <is>
          <t>GICS_INDUSTRY_NAME</t>
        </is>
      </c>
      <c r="D690" t="inlineStr">
        <is>
          <t>Textiles, Apparel &amp; Luxury Goods</t>
        </is>
      </c>
      <c r="E690" t="inlineStr">
        <is>
          <t>Consumer Discretionary</t>
        </is>
      </c>
      <c r="F690" t="inlineStr"/>
      <c r="G690" t="inlineStr"/>
      <c r="H690" t="inlineStr">
        <is>
          <t>0.53%</t>
        </is>
      </c>
      <c r="I690" t="inlineStr">
        <is>
          <t>0.00%</t>
        </is>
      </c>
    </row>
    <row r="691">
      <c r="A691" s="2" t="n">
        <v>45982</v>
      </c>
      <c r="B691" t="inlineStr">
        <is>
          <t>TR2B1</t>
        </is>
      </c>
      <c r="C691" t="inlineStr">
        <is>
          <t>GICS_INDUSTRY_NAME</t>
        </is>
      </c>
      <c r="D691" t="inlineStr">
        <is>
          <t>Air Freight &amp; Logistics</t>
        </is>
      </c>
      <c r="E691" t="inlineStr">
        <is>
          <t>Industrials</t>
        </is>
      </c>
      <c r="F691" t="inlineStr"/>
      <c r="G691" t="inlineStr"/>
      <c r="H691" t="inlineStr">
        <is>
          <t>0.39%</t>
        </is>
      </c>
      <c r="I691" t="inlineStr">
        <is>
          <t>0.00%</t>
        </is>
      </c>
    </row>
    <row r="692">
      <c r="A692" s="2" t="n">
        <v>45982</v>
      </c>
      <c r="B692" t="inlineStr">
        <is>
          <t>TR2B1</t>
        </is>
      </c>
      <c r="C692" t="inlineStr">
        <is>
          <t>GICS_INDUSTRY_NAME</t>
        </is>
      </c>
      <c r="D692" t="inlineStr">
        <is>
          <t>Media</t>
        </is>
      </c>
      <c r="E692" t="inlineStr">
        <is>
          <t>Communication Services</t>
        </is>
      </c>
      <c r="F692" t="inlineStr"/>
      <c r="G692" t="inlineStr"/>
      <c r="H692" t="inlineStr">
        <is>
          <t>0.19%</t>
        </is>
      </c>
      <c r="I692" t="inlineStr">
        <is>
          <t>0.00%</t>
        </is>
      </c>
    </row>
    <row r="693">
      <c r="A693" s="2" t="n">
        <v>45982</v>
      </c>
      <c r="B693" t="inlineStr">
        <is>
          <t>TR2B1</t>
        </is>
      </c>
      <c r="C693" t="inlineStr">
        <is>
          <t>GICS_INDUSTRY_NAME</t>
        </is>
      </c>
      <c r="D693" t="inlineStr">
        <is>
          <t>Food Products</t>
        </is>
      </c>
      <c r="E693" t="inlineStr">
        <is>
          <t>Consumer Staples</t>
        </is>
      </c>
      <c r="F693" t="inlineStr"/>
      <c r="G693" t="inlineStr"/>
      <c r="H693" t="inlineStr">
        <is>
          <t>0.19%</t>
        </is>
      </c>
      <c r="I693" t="inlineStr">
        <is>
          <t>0.00%</t>
        </is>
      </c>
    </row>
    <row r="694">
      <c r="A694" s="2" t="n">
        <v>45982</v>
      </c>
      <c r="B694" t="inlineStr">
        <is>
          <t>TR2B2</t>
        </is>
      </c>
      <c r="C694" t="inlineStr">
        <is>
          <t>GICS_INDUSTRY_GROUP_NAME</t>
        </is>
      </c>
      <c r="D694" t="inlineStr">
        <is>
          <t>Semiconductors &amp; Semiconductor Equipment</t>
        </is>
      </c>
      <c r="E694" t="inlineStr">
        <is>
          <t>Information Technology</t>
        </is>
      </c>
      <c r="F694" t="inlineStr"/>
      <c r="G694" t="inlineStr"/>
      <c r="H694" t="inlineStr">
        <is>
          <t>14.93%</t>
        </is>
      </c>
      <c r="I694" t="inlineStr">
        <is>
          <t>0.00%</t>
        </is>
      </c>
    </row>
    <row r="695">
      <c r="A695" s="2" t="n">
        <v>45982</v>
      </c>
      <c r="B695" t="inlineStr">
        <is>
          <t>TR2B2</t>
        </is>
      </c>
      <c r="C695" t="inlineStr">
        <is>
          <t>GICS_INDUSTRY_NAME</t>
        </is>
      </c>
      <c r="D695" t="inlineStr">
        <is>
          <t>Semiconductors &amp; Semiconductor Equipment</t>
        </is>
      </c>
      <c r="E695" t="inlineStr">
        <is>
          <t>Information Technology</t>
        </is>
      </c>
      <c r="F695" t="inlineStr"/>
      <c r="G695" t="inlineStr"/>
      <c r="H695" t="inlineStr">
        <is>
          <t>14.93%</t>
        </is>
      </c>
      <c r="I695" t="inlineStr">
        <is>
          <t>0.00%</t>
        </is>
      </c>
    </row>
    <row r="696">
      <c r="A696" s="2" t="n">
        <v>45982</v>
      </c>
      <c r="B696" t="inlineStr">
        <is>
          <t>TR2B2</t>
        </is>
      </c>
      <c r="C696" t="inlineStr">
        <is>
          <t>GICS_INDUSTRY_GROUP_NAME</t>
        </is>
      </c>
      <c r="D696" t="inlineStr">
        <is>
          <t>Technology Hardware &amp; Equipment</t>
        </is>
      </c>
      <c r="E696" t="inlineStr">
        <is>
          <t>Information Technology</t>
        </is>
      </c>
      <c r="F696" t="inlineStr"/>
      <c r="G696" t="inlineStr"/>
      <c r="H696" t="inlineStr">
        <is>
          <t>9.80%</t>
        </is>
      </c>
      <c r="I696" t="inlineStr">
        <is>
          <t>0.00%</t>
        </is>
      </c>
    </row>
    <row r="697">
      <c r="A697" s="2" t="n">
        <v>45982</v>
      </c>
      <c r="B697" t="inlineStr">
        <is>
          <t>TR2B2</t>
        </is>
      </c>
      <c r="C697" t="inlineStr">
        <is>
          <t>GICS_INDUSTRY_GROUP_NAME</t>
        </is>
      </c>
      <c r="D697" t="inlineStr">
        <is>
          <t>Software &amp; Services</t>
        </is>
      </c>
      <c r="E697" t="inlineStr">
        <is>
          <t>Information Technology</t>
        </is>
      </c>
      <c r="F697" t="inlineStr"/>
      <c r="G697" t="inlineStr"/>
      <c r="H697" t="inlineStr">
        <is>
          <t>9.74%</t>
        </is>
      </c>
      <c r="I697" t="inlineStr">
        <is>
          <t>0.00%</t>
        </is>
      </c>
    </row>
    <row r="698">
      <c r="A698" s="2" t="n">
        <v>45982</v>
      </c>
      <c r="B698" t="inlineStr">
        <is>
          <t>TR2B2</t>
        </is>
      </c>
      <c r="C698" t="inlineStr">
        <is>
          <t>GICS_INDUSTRY_GROUP_NAME</t>
        </is>
      </c>
      <c r="D698" t="inlineStr">
        <is>
          <t>Media &amp; Entertainment</t>
        </is>
      </c>
      <c r="E698" t="inlineStr">
        <is>
          <t>Communication Services</t>
        </is>
      </c>
      <c r="F698" t="inlineStr"/>
      <c r="G698" t="inlineStr"/>
      <c r="H698" t="inlineStr">
        <is>
          <t>9.70%</t>
        </is>
      </c>
      <c r="I698" t="inlineStr">
        <is>
          <t>0.00%</t>
        </is>
      </c>
    </row>
    <row r="699">
      <c r="A699" s="2" t="n">
        <v>45982</v>
      </c>
      <c r="B699" t="inlineStr">
        <is>
          <t>TR2B2</t>
        </is>
      </c>
      <c r="C699" t="inlineStr">
        <is>
          <t>GICS_INDUSTRY_NAME</t>
        </is>
      </c>
      <c r="D699" t="inlineStr">
        <is>
          <t>Software</t>
        </is>
      </c>
      <c r="E699" t="inlineStr">
        <is>
          <t>Information Technology</t>
        </is>
      </c>
      <c r="F699" t="inlineStr"/>
      <c r="G699" t="inlineStr"/>
      <c r="H699" t="inlineStr">
        <is>
          <t>8.53%</t>
        </is>
      </c>
      <c r="I699" t="inlineStr">
        <is>
          <t>0.00%</t>
        </is>
      </c>
    </row>
    <row r="700">
      <c r="A700" s="2" t="n">
        <v>45982</v>
      </c>
      <c r="B700" t="inlineStr">
        <is>
          <t>TR2B2</t>
        </is>
      </c>
      <c r="C700" t="inlineStr">
        <is>
          <t>GICS_INDUSTRY_NAME</t>
        </is>
      </c>
      <c r="D700" t="inlineStr">
        <is>
          <t>Interactive Media &amp; Services</t>
        </is>
      </c>
      <c r="E700" t="inlineStr">
        <is>
          <t>Communication Services</t>
        </is>
      </c>
      <c r="F700" t="inlineStr"/>
      <c r="G700" t="inlineStr"/>
      <c r="H700" t="inlineStr">
        <is>
          <t>8.32%</t>
        </is>
      </c>
      <c r="I700" t="inlineStr">
        <is>
          <t>0.00%</t>
        </is>
      </c>
    </row>
    <row r="701">
      <c r="A701" s="2" t="n">
        <v>45982</v>
      </c>
      <c r="B701" t="inlineStr">
        <is>
          <t>TR2B2</t>
        </is>
      </c>
      <c r="C701" t="inlineStr">
        <is>
          <t>GICS_INDUSTRY_NAME</t>
        </is>
      </c>
      <c r="D701" t="inlineStr">
        <is>
          <t>Technology Hardware, Storage &amp; Peripherals</t>
        </is>
      </c>
      <c r="E701" t="inlineStr">
        <is>
          <t>Information Technology</t>
        </is>
      </c>
      <c r="F701" t="inlineStr"/>
      <c r="G701" t="inlineStr"/>
      <c r="H701" t="inlineStr">
        <is>
          <t>7.62%</t>
        </is>
      </c>
      <c r="I701" t="inlineStr">
        <is>
          <t>0.00%</t>
        </is>
      </c>
    </row>
    <row r="702">
      <c r="A702" s="2" t="n">
        <v>45982</v>
      </c>
      <c r="B702" t="inlineStr">
        <is>
          <t>TR2B2</t>
        </is>
      </c>
      <c r="C702" t="inlineStr">
        <is>
          <t>GICS_INDUSTRY_GROUP_NAME</t>
        </is>
      </c>
      <c r="D702" t="inlineStr">
        <is>
          <t>Financial Services</t>
        </is>
      </c>
      <c r="E702" t="inlineStr">
        <is>
          <t>Financials</t>
        </is>
      </c>
      <c r="F702" t="inlineStr"/>
      <c r="G702" t="inlineStr"/>
      <c r="H702" t="inlineStr">
        <is>
          <t>6.64%</t>
        </is>
      </c>
      <c r="I702" t="inlineStr">
        <is>
          <t>0.00%</t>
        </is>
      </c>
    </row>
    <row r="703">
      <c r="A703" s="2" t="n">
        <v>45982</v>
      </c>
      <c r="B703" t="inlineStr">
        <is>
          <t>TR2B2</t>
        </is>
      </c>
      <c r="C703" t="inlineStr">
        <is>
          <t>GICS_INDUSTRY_GROUP_NAME</t>
        </is>
      </c>
      <c r="D703" t="inlineStr">
        <is>
          <t>Capital Goods</t>
        </is>
      </c>
      <c r="E703" t="inlineStr">
        <is>
          <t>Industrials</t>
        </is>
      </c>
      <c r="F703" t="inlineStr"/>
      <c r="G703" t="inlineStr"/>
      <c r="H703" t="inlineStr">
        <is>
          <t>6.16%</t>
        </is>
      </c>
      <c r="I703" t="inlineStr">
        <is>
          <t>0.00%</t>
        </is>
      </c>
    </row>
    <row r="704">
      <c r="A704" s="2" t="n">
        <v>45982</v>
      </c>
      <c r="B704" t="inlineStr">
        <is>
          <t>TR2B2</t>
        </is>
      </c>
      <c r="C704" t="inlineStr">
        <is>
          <t>GICS_INDUSTRY_GROUP_NAME</t>
        </is>
      </c>
      <c r="D704" t="inlineStr">
        <is>
          <t>Pharmaceuticals, Biotechnology &amp; Life Sciences</t>
        </is>
      </c>
      <c r="E704" t="inlineStr">
        <is>
          <t>Health Care</t>
        </is>
      </c>
      <c r="F704" t="inlineStr"/>
      <c r="G704" t="inlineStr"/>
      <c r="H704" t="inlineStr">
        <is>
          <t>5.57%</t>
        </is>
      </c>
      <c r="I704" t="inlineStr">
        <is>
          <t>0.00%</t>
        </is>
      </c>
    </row>
    <row r="705">
      <c r="A705" s="2" t="n">
        <v>45982</v>
      </c>
      <c r="B705" t="inlineStr">
        <is>
          <t>TR2B2</t>
        </is>
      </c>
      <c r="C705" t="inlineStr">
        <is>
          <t>GICS_INDUSTRY_GROUP_NAME</t>
        </is>
      </c>
      <c r="D705" t="inlineStr">
        <is>
          <t>Consumer Discretionary Distribution &amp; Retail</t>
        </is>
      </c>
      <c r="E705" t="inlineStr">
        <is>
          <t>Consumer Discretionary</t>
        </is>
      </c>
      <c r="F705" t="inlineStr"/>
      <c r="G705" t="inlineStr"/>
      <c r="H705" t="inlineStr">
        <is>
          <t>5.33%</t>
        </is>
      </c>
      <c r="I705" t="inlineStr">
        <is>
          <t>0.00%</t>
        </is>
      </c>
    </row>
    <row r="706">
      <c r="A706" s="2" t="n">
        <v>45982</v>
      </c>
      <c r="B706" t="inlineStr">
        <is>
          <t>TR2B2</t>
        </is>
      </c>
      <c r="C706" t="inlineStr">
        <is>
          <t>GICS_INDUSTRY_GROUP_NAME</t>
        </is>
      </c>
      <c r="D706" t="inlineStr">
        <is>
          <t>Banks</t>
        </is>
      </c>
      <c r="E706" t="inlineStr">
        <is>
          <t>Financials</t>
        </is>
      </c>
      <c r="F706" t="inlineStr"/>
      <c r="G706" t="inlineStr"/>
      <c r="H706" t="inlineStr">
        <is>
          <t>4.47%</t>
        </is>
      </c>
      <c r="I706" t="inlineStr">
        <is>
          <t>0.00%</t>
        </is>
      </c>
    </row>
    <row r="707">
      <c r="A707" s="2" t="n">
        <v>45982</v>
      </c>
      <c r="B707" t="inlineStr">
        <is>
          <t>TR2B2</t>
        </is>
      </c>
      <c r="C707" t="inlineStr">
        <is>
          <t>GICS_INDUSTRY_NAME</t>
        </is>
      </c>
      <c r="D707" t="inlineStr">
        <is>
          <t>Banks</t>
        </is>
      </c>
      <c r="E707" t="inlineStr">
        <is>
          <t>Financials</t>
        </is>
      </c>
      <c r="F707" t="inlineStr"/>
      <c r="G707" t="inlineStr"/>
      <c r="H707" t="inlineStr">
        <is>
          <t>4.47%</t>
        </is>
      </c>
      <c r="I707" t="inlineStr">
        <is>
          <t>0.00%</t>
        </is>
      </c>
    </row>
    <row r="708">
      <c r="A708" s="2" t="n">
        <v>45982</v>
      </c>
      <c r="B708" t="inlineStr">
        <is>
          <t>TR2B2</t>
        </is>
      </c>
      <c r="C708" t="inlineStr">
        <is>
          <t>GICS_INDUSTRY_GROUP_NAME</t>
        </is>
      </c>
      <c r="D708" t="inlineStr">
        <is>
          <t>Health Care Equipment &amp; Services</t>
        </is>
      </c>
      <c r="E708" t="inlineStr">
        <is>
          <t>Health Care</t>
        </is>
      </c>
      <c r="F708" t="inlineStr"/>
      <c r="G708" t="inlineStr"/>
      <c r="H708" t="inlineStr">
        <is>
          <t>4.28%</t>
        </is>
      </c>
      <c r="I708" t="inlineStr">
        <is>
          <t>0.00%</t>
        </is>
      </c>
    </row>
    <row r="709">
      <c r="A709" s="2" t="n">
        <v>45982</v>
      </c>
      <c r="B709" t="inlineStr">
        <is>
          <t>TR2B2</t>
        </is>
      </c>
      <c r="C709" t="inlineStr">
        <is>
          <t>GICS_INDUSTRY_NAME</t>
        </is>
      </c>
      <c r="D709" t="inlineStr">
        <is>
          <t>Broadline Retail</t>
        </is>
      </c>
      <c r="E709" t="inlineStr">
        <is>
          <t>Consumer Discretionary</t>
        </is>
      </c>
      <c r="F709" t="inlineStr"/>
      <c r="G709" t="inlineStr"/>
      <c r="H709" t="inlineStr">
        <is>
          <t>4.06%</t>
        </is>
      </c>
      <c r="I709" t="inlineStr">
        <is>
          <t>0.00%</t>
        </is>
      </c>
    </row>
    <row r="710">
      <c r="A710" s="2" t="n">
        <v>45982</v>
      </c>
      <c r="B710" t="inlineStr">
        <is>
          <t>TR2B2</t>
        </is>
      </c>
      <c r="C710" t="inlineStr">
        <is>
          <t>GICS_INDUSTRY_NAME</t>
        </is>
      </c>
      <c r="D710" t="inlineStr">
        <is>
          <t>Financial Services</t>
        </is>
      </c>
      <c r="E710" t="inlineStr">
        <is>
          <t>Financials</t>
        </is>
      </c>
      <c r="F710" t="inlineStr"/>
      <c r="G710" t="inlineStr"/>
      <c r="H710" t="inlineStr">
        <is>
          <t>3.34%</t>
        </is>
      </c>
      <c r="I710" t="inlineStr">
        <is>
          <t>0.00%</t>
        </is>
      </c>
    </row>
    <row r="711">
      <c r="A711" s="2" t="n">
        <v>45982</v>
      </c>
      <c r="B711" t="inlineStr">
        <is>
          <t>TR2B2</t>
        </is>
      </c>
      <c r="C711" t="inlineStr">
        <is>
          <t>GICS_INDUSTRY_NAME</t>
        </is>
      </c>
      <c r="D711" t="inlineStr">
        <is>
          <t>Aerospace &amp; Defense</t>
        </is>
      </c>
      <c r="E711" t="inlineStr">
        <is>
          <t>Industrials</t>
        </is>
      </c>
      <c r="F711" t="inlineStr"/>
      <c r="G711" t="inlineStr"/>
      <c r="H711" t="inlineStr">
        <is>
          <t>3.00%</t>
        </is>
      </c>
      <c r="I711" t="inlineStr">
        <is>
          <t>0.00%</t>
        </is>
      </c>
    </row>
    <row r="712">
      <c r="A712" s="2" t="n">
        <v>45982</v>
      </c>
      <c r="B712" t="inlineStr">
        <is>
          <t>TR2B2</t>
        </is>
      </c>
      <c r="C712" t="inlineStr">
        <is>
          <t>GICS_INDUSTRY_GROUP_NAME</t>
        </is>
      </c>
      <c r="D712" t="inlineStr">
        <is>
          <t>Energy</t>
        </is>
      </c>
      <c r="E712" t="inlineStr">
        <is>
          <t>Energy</t>
        </is>
      </c>
      <c r="F712" t="inlineStr"/>
      <c r="G712" t="inlineStr"/>
      <c r="H712" t="inlineStr">
        <is>
          <t>2.88%</t>
        </is>
      </c>
      <c r="I712" t="inlineStr">
        <is>
          <t>0.00%</t>
        </is>
      </c>
    </row>
    <row r="713">
      <c r="A713" s="2" t="n">
        <v>45982</v>
      </c>
      <c r="B713" t="inlineStr">
        <is>
          <t>TR2B2</t>
        </is>
      </c>
      <c r="C713" t="inlineStr">
        <is>
          <t>GICS_INDUSTRY_NAME</t>
        </is>
      </c>
      <c r="D713" t="inlineStr">
        <is>
          <t>Oil, Gas &amp; Consumable Fuels</t>
        </is>
      </c>
      <c r="E713" t="inlineStr">
        <is>
          <t>Energy</t>
        </is>
      </c>
      <c r="F713" t="inlineStr"/>
      <c r="G713" t="inlineStr"/>
      <c r="H713" t="inlineStr">
        <is>
          <t>2.88%</t>
        </is>
      </c>
      <c r="I713" t="inlineStr">
        <is>
          <t>0.00%</t>
        </is>
      </c>
    </row>
    <row r="714">
      <c r="A714" s="2" t="n">
        <v>45982</v>
      </c>
      <c r="B714" t="inlineStr">
        <is>
          <t>TR2B2</t>
        </is>
      </c>
      <c r="C714" t="inlineStr">
        <is>
          <t>GICS_INDUSTRY_NAME</t>
        </is>
      </c>
      <c r="D714" t="inlineStr">
        <is>
          <t>Capital Markets</t>
        </is>
      </c>
      <c r="E714" t="inlineStr">
        <is>
          <t>Financials</t>
        </is>
      </c>
      <c r="F714" t="inlineStr"/>
      <c r="G714" t="inlineStr"/>
      <c r="H714" t="inlineStr">
        <is>
          <t>2.68%</t>
        </is>
      </c>
      <c r="I714" t="inlineStr">
        <is>
          <t>0.00%</t>
        </is>
      </c>
    </row>
    <row r="715">
      <c r="A715" s="2" t="n">
        <v>45982</v>
      </c>
      <c r="B715" t="inlineStr">
        <is>
          <t>TR2B2</t>
        </is>
      </c>
      <c r="C715" t="inlineStr">
        <is>
          <t>GICS_INDUSTRY_NAME</t>
        </is>
      </c>
      <c r="D715" t="inlineStr">
        <is>
          <t>Pharmaceuticals</t>
        </is>
      </c>
      <c r="E715" t="inlineStr">
        <is>
          <t>Health Care</t>
        </is>
      </c>
      <c r="F715" t="inlineStr"/>
      <c r="G715" t="inlineStr"/>
      <c r="H715" t="inlineStr">
        <is>
          <t>2.58%</t>
        </is>
      </c>
      <c r="I715" t="inlineStr">
        <is>
          <t>0.00%</t>
        </is>
      </c>
    </row>
    <row r="716">
      <c r="A716" s="2" t="n">
        <v>45982</v>
      </c>
      <c r="B716" t="inlineStr">
        <is>
          <t>TR2B2</t>
        </is>
      </c>
      <c r="C716" t="inlineStr">
        <is>
          <t>GICS_INDUSTRY_NAME</t>
        </is>
      </c>
      <c r="D716" t="inlineStr">
        <is>
          <t>Health Care Equipment &amp; Supplies</t>
        </is>
      </c>
      <c r="E716" t="inlineStr">
        <is>
          <t>Health Care</t>
        </is>
      </c>
      <c r="F716" t="inlineStr"/>
      <c r="G716" t="inlineStr"/>
      <c r="H716" t="inlineStr">
        <is>
          <t>2.32%</t>
        </is>
      </c>
      <c r="I716" t="inlineStr">
        <is>
          <t>0.00%</t>
        </is>
      </c>
    </row>
    <row r="717">
      <c r="A717" s="2" t="n">
        <v>45982</v>
      </c>
      <c r="B717" t="inlineStr">
        <is>
          <t>TR2B2</t>
        </is>
      </c>
      <c r="C717" t="inlineStr">
        <is>
          <t>GICS_INDUSTRY_GROUP_NAME</t>
        </is>
      </c>
      <c r="D717" t="inlineStr">
        <is>
          <t>Insurance</t>
        </is>
      </c>
      <c r="E717" t="inlineStr">
        <is>
          <t>Financials</t>
        </is>
      </c>
      <c r="F717" t="inlineStr"/>
      <c r="G717" t="inlineStr"/>
      <c r="H717" t="inlineStr">
        <is>
          <t>2.31%</t>
        </is>
      </c>
      <c r="I717" t="inlineStr">
        <is>
          <t>0.00%</t>
        </is>
      </c>
    </row>
    <row r="718">
      <c r="A718" s="2" t="n">
        <v>45982</v>
      </c>
      <c r="B718" t="inlineStr">
        <is>
          <t>TR2B2</t>
        </is>
      </c>
      <c r="C718" t="inlineStr">
        <is>
          <t>GICS_INDUSTRY_NAME</t>
        </is>
      </c>
      <c r="D718" t="inlineStr">
        <is>
          <t>Insurance</t>
        </is>
      </c>
      <c r="E718" t="inlineStr">
        <is>
          <t>Financials</t>
        </is>
      </c>
      <c r="F718" t="inlineStr"/>
      <c r="G718" t="inlineStr"/>
      <c r="H718" t="inlineStr">
        <is>
          <t>2.31%</t>
        </is>
      </c>
      <c r="I718" t="inlineStr">
        <is>
          <t>0.00%</t>
        </is>
      </c>
    </row>
    <row r="719">
      <c r="A719" s="2" t="n">
        <v>45982</v>
      </c>
      <c r="B719" t="inlineStr">
        <is>
          <t>TR2B2</t>
        </is>
      </c>
      <c r="C719" t="inlineStr">
        <is>
          <t>GICS_INDUSTRY_GROUP_NAME</t>
        </is>
      </c>
      <c r="D719" t="inlineStr">
        <is>
          <t>Utilities</t>
        </is>
      </c>
      <c r="E719" t="inlineStr">
        <is>
          <t>Utilities</t>
        </is>
      </c>
      <c r="F719" t="inlineStr"/>
      <c r="G719" t="inlineStr"/>
      <c r="H719" t="inlineStr">
        <is>
          <t>2.30%</t>
        </is>
      </c>
      <c r="I719" t="inlineStr">
        <is>
          <t>0.00%</t>
        </is>
      </c>
    </row>
    <row r="720">
      <c r="A720" s="2" t="n">
        <v>45982</v>
      </c>
      <c r="B720" t="inlineStr">
        <is>
          <t>TR2B2</t>
        </is>
      </c>
      <c r="C720" t="inlineStr">
        <is>
          <t>GICS_INDUSTRY_NAME</t>
        </is>
      </c>
      <c r="D720" t="inlineStr">
        <is>
          <t>Electric Utilities</t>
        </is>
      </c>
      <c r="E720" t="inlineStr">
        <is>
          <t>Utilities</t>
        </is>
      </c>
      <c r="F720" t="inlineStr"/>
      <c r="G720" t="inlineStr"/>
      <c r="H720" t="inlineStr">
        <is>
          <t>2.30%</t>
        </is>
      </c>
      <c r="I720" t="inlineStr">
        <is>
          <t>0.00%</t>
        </is>
      </c>
    </row>
    <row r="721">
      <c r="A721" s="2" t="n">
        <v>45982</v>
      </c>
      <c r="B721" t="inlineStr">
        <is>
          <t>TR2B2</t>
        </is>
      </c>
      <c r="C721" t="inlineStr">
        <is>
          <t>GICS_INDUSTRY_GROUP_NAME</t>
        </is>
      </c>
      <c r="D721" t="inlineStr">
        <is>
          <t>Food, Beverage &amp; Tobacco</t>
        </is>
      </c>
      <c r="E721" t="inlineStr">
        <is>
          <t>Consumer Staples</t>
        </is>
      </c>
      <c r="F721" t="inlineStr"/>
      <c r="G721" t="inlineStr"/>
      <c r="H721" t="inlineStr">
        <is>
          <t>2.29%</t>
        </is>
      </c>
      <c r="I721" t="inlineStr">
        <is>
          <t>0.00%</t>
        </is>
      </c>
    </row>
    <row r="722">
      <c r="A722" s="2" t="n">
        <v>45982</v>
      </c>
      <c r="B722" t="inlineStr">
        <is>
          <t>TR2B2</t>
        </is>
      </c>
      <c r="C722" t="inlineStr">
        <is>
          <t>GICS_INDUSTRY_NAME</t>
        </is>
      </c>
      <c r="D722" t="inlineStr">
        <is>
          <t>Communications Equipment</t>
        </is>
      </c>
      <c r="E722" t="inlineStr">
        <is>
          <t>Information Technology</t>
        </is>
      </c>
      <c r="F722" t="inlineStr"/>
      <c r="G722" t="inlineStr"/>
      <c r="H722" t="inlineStr">
        <is>
          <t>2.19%</t>
        </is>
      </c>
      <c r="I722" t="inlineStr">
        <is>
          <t>0.00%</t>
        </is>
      </c>
    </row>
    <row r="723">
      <c r="A723" s="2" t="n">
        <v>45982</v>
      </c>
      <c r="B723" t="inlineStr">
        <is>
          <t>TR2B2</t>
        </is>
      </c>
      <c r="C723" t="inlineStr">
        <is>
          <t>GICS_INDUSTRY_GROUP_NAME</t>
        </is>
      </c>
      <c r="D723" t="inlineStr">
        <is>
          <t>Automobiles &amp; Components</t>
        </is>
      </c>
      <c r="E723" t="inlineStr">
        <is>
          <t>Consumer Discretionary</t>
        </is>
      </c>
      <c r="F723" t="inlineStr"/>
      <c r="G723" t="inlineStr"/>
      <c r="H723" t="inlineStr">
        <is>
          <t>2.15%</t>
        </is>
      </c>
      <c r="I723" t="inlineStr">
        <is>
          <t>0.00%</t>
        </is>
      </c>
    </row>
    <row r="724">
      <c r="A724" s="2" t="n">
        <v>45982</v>
      </c>
      <c r="B724" t="inlineStr">
        <is>
          <t>TR2B2</t>
        </is>
      </c>
      <c r="C724" t="inlineStr">
        <is>
          <t>GICS_INDUSTRY_NAME</t>
        </is>
      </c>
      <c r="D724" t="inlineStr">
        <is>
          <t>Automobiles</t>
        </is>
      </c>
      <c r="E724" t="inlineStr">
        <is>
          <t>Consumer Discretionary</t>
        </is>
      </c>
      <c r="F724" t="inlineStr"/>
      <c r="G724" t="inlineStr"/>
      <c r="H724" t="inlineStr">
        <is>
          <t>2.15%</t>
        </is>
      </c>
      <c r="I724" t="inlineStr">
        <is>
          <t>0.00%</t>
        </is>
      </c>
    </row>
    <row r="725">
      <c r="A725" s="2" t="n">
        <v>45982</v>
      </c>
      <c r="B725" t="inlineStr">
        <is>
          <t>TR2B2</t>
        </is>
      </c>
      <c r="C725" t="inlineStr">
        <is>
          <t>GICS_INDUSTRY_NAME</t>
        </is>
      </c>
      <c r="D725" t="inlineStr">
        <is>
          <t>Biotechnology</t>
        </is>
      </c>
      <c r="E725" t="inlineStr">
        <is>
          <t>Health Care</t>
        </is>
      </c>
      <c r="F725" t="inlineStr"/>
      <c r="G725" t="inlineStr"/>
      <c r="H725" t="inlineStr">
        <is>
          <t>2.01%</t>
        </is>
      </c>
      <c r="I725" t="inlineStr">
        <is>
          <t>0.00%</t>
        </is>
      </c>
    </row>
    <row r="726">
      <c r="A726" s="2" t="n">
        <v>45982</v>
      </c>
      <c r="B726" t="inlineStr">
        <is>
          <t>TR2B2</t>
        </is>
      </c>
      <c r="C726" t="inlineStr">
        <is>
          <t>GICS_INDUSTRY_NAME</t>
        </is>
      </c>
      <c r="D726" t="inlineStr">
        <is>
          <t>Health Care Providers &amp; Services</t>
        </is>
      </c>
      <c r="E726" t="inlineStr">
        <is>
          <t>Health Care</t>
        </is>
      </c>
      <c r="F726" t="inlineStr"/>
      <c r="G726" t="inlineStr"/>
      <c r="H726" t="inlineStr">
        <is>
          <t>1.96%</t>
        </is>
      </c>
      <c r="I726" t="inlineStr">
        <is>
          <t>0.00%</t>
        </is>
      </c>
    </row>
    <row r="727">
      <c r="A727" s="2" t="n">
        <v>45982</v>
      </c>
      <c r="B727" t="inlineStr">
        <is>
          <t>TR2B2</t>
        </is>
      </c>
      <c r="C727" t="inlineStr">
        <is>
          <t>GICS_INDUSTRY_GROUP_NAME</t>
        </is>
      </c>
      <c r="D727" t="inlineStr">
        <is>
          <t>Consumer Staples Distribution &amp; Retail</t>
        </is>
      </c>
      <c r="E727" t="inlineStr">
        <is>
          <t>Consumer Staples</t>
        </is>
      </c>
      <c r="F727" t="inlineStr"/>
      <c r="G727" t="inlineStr"/>
      <c r="H727" t="inlineStr">
        <is>
          <t>1.79%</t>
        </is>
      </c>
      <c r="I727" t="inlineStr">
        <is>
          <t>0.00%</t>
        </is>
      </c>
    </row>
    <row r="728">
      <c r="A728" s="2" t="n">
        <v>45982</v>
      </c>
      <c r="B728" t="inlineStr">
        <is>
          <t>TR2B2</t>
        </is>
      </c>
      <c r="C728" t="inlineStr">
        <is>
          <t>GICS_INDUSTRY_NAME</t>
        </is>
      </c>
      <c r="D728" t="inlineStr">
        <is>
          <t>Consumer Staples Distribution &amp; Retail</t>
        </is>
      </c>
      <c r="E728" t="inlineStr">
        <is>
          <t>Consumer Staples</t>
        </is>
      </c>
      <c r="F728" t="inlineStr"/>
      <c r="G728" t="inlineStr"/>
      <c r="H728" t="inlineStr">
        <is>
          <t>1.79%</t>
        </is>
      </c>
      <c r="I728" t="inlineStr">
        <is>
          <t>0.00%</t>
        </is>
      </c>
    </row>
    <row r="729">
      <c r="A729" s="2" t="n">
        <v>45982</v>
      </c>
      <c r="B729" t="inlineStr">
        <is>
          <t>TR2B2</t>
        </is>
      </c>
      <c r="C729" t="inlineStr">
        <is>
          <t>GICS_INDUSTRY_GROUP_NAME</t>
        </is>
      </c>
      <c r="D729" t="inlineStr">
        <is>
          <t>Consumer Services</t>
        </is>
      </c>
      <c r="E729" t="inlineStr">
        <is>
          <t>Consumer Discretionary</t>
        </is>
      </c>
      <c r="F729" t="inlineStr"/>
      <c r="G729" t="inlineStr"/>
      <c r="H729" t="inlineStr">
        <is>
          <t>1.72%</t>
        </is>
      </c>
      <c r="I729" t="inlineStr">
        <is>
          <t>0.00%</t>
        </is>
      </c>
    </row>
    <row r="730">
      <c r="A730" s="2" t="n">
        <v>45982</v>
      </c>
      <c r="B730" t="inlineStr">
        <is>
          <t>TR2B2</t>
        </is>
      </c>
      <c r="C730" t="inlineStr">
        <is>
          <t>GICS_INDUSTRY_NAME</t>
        </is>
      </c>
      <c r="D730" t="inlineStr">
        <is>
          <t>Hotels, Restaurants &amp; Leisure</t>
        </is>
      </c>
      <c r="E730" t="inlineStr">
        <is>
          <t>Consumer Discretionary</t>
        </is>
      </c>
      <c r="F730" t="inlineStr"/>
      <c r="G730" t="inlineStr"/>
      <c r="H730" t="inlineStr">
        <is>
          <t>1.72%</t>
        </is>
      </c>
      <c r="I730" t="inlineStr">
        <is>
          <t>0.00%</t>
        </is>
      </c>
    </row>
    <row r="731">
      <c r="A731" s="2" t="n">
        <v>45982</v>
      </c>
      <c r="B731" t="inlineStr">
        <is>
          <t>TR2B2</t>
        </is>
      </c>
      <c r="C731" t="inlineStr">
        <is>
          <t>GICS_INDUSTRY_GROUP_NAME</t>
        </is>
      </c>
      <c r="D731" t="inlineStr">
        <is>
          <t>Materials</t>
        </is>
      </c>
      <c r="E731" t="inlineStr">
        <is>
          <t>Materials</t>
        </is>
      </c>
      <c r="F731" t="inlineStr"/>
      <c r="G731" t="inlineStr"/>
      <c r="H731" t="inlineStr">
        <is>
          <t>1.69%</t>
        </is>
      </c>
      <c r="I731" t="inlineStr">
        <is>
          <t>0.00%</t>
        </is>
      </c>
    </row>
    <row r="732">
      <c r="A732" s="2" t="n">
        <v>45982</v>
      </c>
      <c r="B732" t="inlineStr">
        <is>
          <t>TR2B2</t>
        </is>
      </c>
      <c r="C732" t="inlineStr">
        <is>
          <t>GICS_INDUSTRY_NAME</t>
        </is>
      </c>
      <c r="D732" t="inlineStr">
        <is>
          <t>Chemicals</t>
        </is>
      </c>
      <c r="E732" t="inlineStr">
        <is>
          <t>Materials</t>
        </is>
      </c>
      <c r="F732" t="inlineStr"/>
      <c r="G732" t="inlineStr"/>
      <c r="H732" t="inlineStr">
        <is>
          <t>1.69%</t>
        </is>
      </c>
      <c r="I732" t="inlineStr">
        <is>
          <t>0.00%</t>
        </is>
      </c>
    </row>
    <row r="733">
      <c r="A733" s="2" t="n">
        <v>45982</v>
      </c>
      <c r="B733" t="inlineStr">
        <is>
          <t>TR2B2</t>
        </is>
      </c>
      <c r="C733" t="inlineStr">
        <is>
          <t>GICS_INDUSTRY_NAME</t>
        </is>
      </c>
      <c r="D733" t="inlineStr">
        <is>
          <t>Machinery</t>
        </is>
      </c>
      <c r="E733" t="inlineStr">
        <is>
          <t>Industrials</t>
        </is>
      </c>
      <c r="F733" t="inlineStr"/>
      <c r="G733" t="inlineStr"/>
      <c r="H733" t="inlineStr">
        <is>
          <t>1.52%</t>
        </is>
      </c>
      <c r="I733" t="inlineStr">
        <is>
          <t>0.00%</t>
        </is>
      </c>
    </row>
    <row r="734">
      <c r="A734" s="2" t="n">
        <v>45982</v>
      </c>
      <c r="B734" t="inlineStr">
        <is>
          <t>TR2B2</t>
        </is>
      </c>
      <c r="C734" t="inlineStr">
        <is>
          <t>GICS_INDUSTRY_GROUP_NAME</t>
        </is>
      </c>
      <c r="D734" t="inlineStr">
        <is>
          <t>Equity Real Estate Investment Trusts</t>
        </is>
      </c>
      <c r="E734" t="inlineStr">
        <is>
          <t>Real Estate</t>
        </is>
      </c>
      <c r="F734" t="inlineStr"/>
      <c r="G734" t="inlineStr"/>
      <c r="H734" t="inlineStr">
        <is>
          <t>1.47%</t>
        </is>
      </c>
      <c r="I734" t="inlineStr">
        <is>
          <t>0.00%</t>
        </is>
      </c>
    </row>
    <row r="735">
      <c r="A735" s="2" t="n">
        <v>45982</v>
      </c>
      <c r="B735" t="inlineStr">
        <is>
          <t>TR2B2</t>
        </is>
      </c>
      <c r="C735" t="inlineStr">
        <is>
          <t>GICS_INDUSTRY_NAME</t>
        </is>
      </c>
      <c r="D735" t="inlineStr">
        <is>
          <t>Specialized REITs</t>
        </is>
      </c>
      <c r="E735" t="inlineStr">
        <is>
          <t>Real Estate</t>
        </is>
      </c>
      <c r="F735" t="inlineStr"/>
      <c r="G735" t="inlineStr"/>
      <c r="H735" t="inlineStr">
        <is>
          <t>1.47%</t>
        </is>
      </c>
      <c r="I735" t="inlineStr">
        <is>
          <t>0.00%</t>
        </is>
      </c>
    </row>
    <row r="736">
      <c r="A736" s="2" t="n">
        <v>45982</v>
      </c>
      <c r="B736" t="inlineStr">
        <is>
          <t>TR2B2</t>
        </is>
      </c>
      <c r="C736" t="inlineStr">
        <is>
          <t>GICS_INDUSTRY_GROUP_NAME</t>
        </is>
      </c>
      <c r="D736" t="inlineStr">
        <is>
          <t>Transportation</t>
        </is>
      </c>
      <c r="E736" t="inlineStr">
        <is>
          <t>Industrials</t>
        </is>
      </c>
      <c r="F736" t="inlineStr"/>
      <c r="G736" t="inlineStr"/>
      <c r="H736" t="inlineStr">
        <is>
          <t>1.32%</t>
        </is>
      </c>
      <c r="I736" t="inlineStr">
        <is>
          <t>0.00%</t>
        </is>
      </c>
    </row>
    <row r="737">
      <c r="A737" s="2" t="n">
        <v>45982</v>
      </c>
      <c r="B737" t="inlineStr">
        <is>
          <t>TR2B2</t>
        </is>
      </c>
      <c r="C737" t="inlineStr">
        <is>
          <t>GICS_INDUSTRY_NAME</t>
        </is>
      </c>
      <c r="D737" t="inlineStr">
        <is>
          <t>Specialty Retail</t>
        </is>
      </c>
      <c r="E737" t="inlineStr">
        <is>
          <t>Consumer Discretionary</t>
        </is>
      </c>
      <c r="F737" t="inlineStr"/>
      <c r="G737" t="inlineStr"/>
      <c r="H737" t="inlineStr">
        <is>
          <t>1.27%</t>
        </is>
      </c>
      <c r="I737" t="inlineStr">
        <is>
          <t>0.00%</t>
        </is>
      </c>
    </row>
    <row r="738">
      <c r="A738" s="2" t="n">
        <v>45982</v>
      </c>
      <c r="B738" t="inlineStr">
        <is>
          <t>TR2B2</t>
        </is>
      </c>
      <c r="C738" t="inlineStr">
        <is>
          <t>GICS_INDUSTRY_NAME</t>
        </is>
      </c>
      <c r="D738" t="inlineStr">
        <is>
          <t>Beverages</t>
        </is>
      </c>
      <c r="E738" t="inlineStr">
        <is>
          <t>Consumer Staples</t>
        </is>
      </c>
      <c r="F738" t="inlineStr"/>
      <c r="G738" t="inlineStr"/>
      <c r="H738" t="inlineStr">
        <is>
          <t>1.23%</t>
        </is>
      </c>
      <c r="I738" t="inlineStr">
        <is>
          <t>0.00%</t>
        </is>
      </c>
    </row>
    <row r="739">
      <c r="A739" s="2" t="n">
        <v>45982</v>
      </c>
      <c r="B739" t="inlineStr">
        <is>
          <t>TR2B2</t>
        </is>
      </c>
      <c r="C739" t="inlineStr">
        <is>
          <t>GICS_INDUSTRY_NAME</t>
        </is>
      </c>
      <c r="D739" t="inlineStr">
        <is>
          <t>IT Services</t>
        </is>
      </c>
      <c r="E739" t="inlineStr">
        <is>
          <t>Information Technology</t>
        </is>
      </c>
      <c r="F739" t="inlineStr"/>
      <c r="G739" t="inlineStr"/>
      <c r="H739" t="inlineStr">
        <is>
          <t>1.21%</t>
        </is>
      </c>
      <c r="I739" t="inlineStr">
        <is>
          <t>0.00%</t>
        </is>
      </c>
    </row>
    <row r="740">
      <c r="A740" s="2" t="n">
        <v>45982</v>
      </c>
      <c r="B740" t="inlineStr">
        <is>
          <t>TR2B2</t>
        </is>
      </c>
      <c r="C740" t="inlineStr">
        <is>
          <t>GICS_INDUSTRY_NAME</t>
        </is>
      </c>
      <c r="D740" t="inlineStr">
        <is>
          <t>Entertainment</t>
        </is>
      </c>
      <c r="E740" t="inlineStr">
        <is>
          <t>Communication Services</t>
        </is>
      </c>
      <c r="F740" t="inlineStr"/>
      <c r="G740" t="inlineStr"/>
      <c r="H740" t="inlineStr">
        <is>
          <t>1.18%</t>
        </is>
      </c>
      <c r="I740" t="inlineStr">
        <is>
          <t>0.00%</t>
        </is>
      </c>
    </row>
    <row r="741">
      <c r="A741" s="2" t="n">
        <v>45982</v>
      </c>
      <c r="B741" t="inlineStr">
        <is>
          <t>TR2B2</t>
        </is>
      </c>
      <c r="C741" t="inlineStr">
        <is>
          <t>GICS_INDUSTRY_GROUP_NAME</t>
        </is>
      </c>
      <c r="D741" t="inlineStr">
        <is>
          <t>Commercial &amp; Professional Services</t>
        </is>
      </c>
      <c r="E741" t="inlineStr">
        <is>
          <t>Industrials</t>
        </is>
      </c>
      <c r="F741" t="inlineStr"/>
      <c r="G741" t="inlineStr"/>
      <c r="H741" t="inlineStr">
        <is>
          <t>1.10%</t>
        </is>
      </c>
      <c r="I741" t="inlineStr">
        <is>
          <t>0.00%</t>
        </is>
      </c>
    </row>
    <row r="742">
      <c r="A742" s="2" t="n">
        <v>45982</v>
      </c>
      <c r="B742" t="inlineStr">
        <is>
          <t>TR2B2</t>
        </is>
      </c>
      <c r="C742" t="inlineStr">
        <is>
          <t>GICS_INDUSTRY_NAME</t>
        </is>
      </c>
      <c r="D742" t="inlineStr">
        <is>
          <t>Commercial Services &amp; Supplies</t>
        </is>
      </c>
      <c r="E742" t="inlineStr">
        <is>
          <t>Industrials</t>
        </is>
      </c>
      <c r="F742" t="inlineStr"/>
      <c r="G742" t="inlineStr"/>
      <c r="H742" t="inlineStr">
        <is>
          <t>1.10%</t>
        </is>
      </c>
      <c r="I742" t="inlineStr">
        <is>
          <t>0.00%</t>
        </is>
      </c>
    </row>
    <row r="743">
      <c r="A743" s="2" t="n">
        <v>45982</v>
      </c>
      <c r="B743" t="inlineStr">
        <is>
          <t>TR2B2</t>
        </is>
      </c>
      <c r="C743" t="inlineStr">
        <is>
          <t>GICS_INDUSTRY_GROUP_NAME</t>
        </is>
      </c>
      <c r="D743" t="inlineStr">
        <is>
          <t>Household &amp; Personal Products</t>
        </is>
      </c>
      <c r="E743" t="inlineStr">
        <is>
          <t>Consumer Staples</t>
        </is>
      </c>
      <c r="F743" t="inlineStr"/>
      <c r="G743" t="inlineStr"/>
      <c r="H743" t="inlineStr">
        <is>
          <t>0.98%</t>
        </is>
      </c>
      <c r="I743" t="inlineStr">
        <is>
          <t>0.00%</t>
        </is>
      </c>
    </row>
    <row r="744">
      <c r="A744" s="2" t="n">
        <v>45982</v>
      </c>
      <c r="B744" t="inlineStr">
        <is>
          <t>TR2B2</t>
        </is>
      </c>
      <c r="C744" t="inlineStr">
        <is>
          <t>GICS_INDUSTRY_NAME</t>
        </is>
      </c>
      <c r="D744" t="inlineStr">
        <is>
          <t>Household Products</t>
        </is>
      </c>
      <c r="E744" t="inlineStr">
        <is>
          <t>Consumer Staples</t>
        </is>
      </c>
      <c r="F744" t="inlineStr"/>
      <c r="G744" t="inlineStr"/>
      <c r="H744" t="inlineStr">
        <is>
          <t>0.98%</t>
        </is>
      </c>
      <c r="I744" t="inlineStr">
        <is>
          <t>0.00%</t>
        </is>
      </c>
    </row>
    <row r="745">
      <c r="A745" s="2" t="n">
        <v>45982</v>
      </c>
      <c r="B745" t="inlineStr">
        <is>
          <t>TR2B2</t>
        </is>
      </c>
      <c r="C745" t="inlineStr">
        <is>
          <t>GICS_INDUSTRY_NAME</t>
        </is>
      </c>
      <c r="D745" t="inlineStr">
        <is>
          <t>Life Sciences Tools &amp; Services</t>
        </is>
      </c>
      <c r="E745" t="inlineStr">
        <is>
          <t>Health Care</t>
        </is>
      </c>
      <c r="F745" t="inlineStr"/>
      <c r="G745" t="inlineStr"/>
      <c r="H745" t="inlineStr">
        <is>
          <t>0.97%</t>
        </is>
      </c>
      <c r="I745" t="inlineStr">
        <is>
          <t>0.00%</t>
        </is>
      </c>
    </row>
    <row r="746">
      <c r="A746" s="2" t="n">
        <v>45982</v>
      </c>
      <c r="B746" t="inlineStr">
        <is>
          <t>TR2B2</t>
        </is>
      </c>
      <c r="C746" t="inlineStr">
        <is>
          <t>GICS_INDUSTRY_NAME</t>
        </is>
      </c>
      <c r="D746" t="inlineStr">
        <is>
          <t>Ground Transportation</t>
        </is>
      </c>
      <c r="E746" t="inlineStr">
        <is>
          <t>Industrials</t>
        </is>
      </c>
      <c r="F746" t="inlineStr"/>
      <c r="G746" t="inlineStr"/>
      <c r="H746" t="inlineStr">
        <is>
          <t>0.93%</t>
        </is>
      </c>
      <c r="I746" t="inlineStr">
        <is>
          <t>0.00%</t>
        </is>
      </c>
    </row>
    <row r="747">
      <c r="A747" s="2" t="n">
        <v>45982</v>
      </c>
      <c r="B747" t="inlineStr">
        <is>
          <t>TR2B2</t>
        </is>
      </c>
      <c r="C747" t="inlineStr">
        <is>
          <t>GICS_INDUSTRY_NAME</t>
        </is>
      </c>
      <c r="D747" t="inlineStr">
        <is>
          <t>Tobacco</t>
        </is>
      </c>
      <c r="E747" t="inlineStr">
        <is>
          <t>Consumer Staples</t>
        </is>
      </c>
      <c r="F747" t="inlineStr"/>
      <c r="G747" t="inlineStr"/>
      <c r="H747" t="inlineStr">
        <is>
          <t>0.87%</t>
        </is>
      </c>
      <c r="I747" t="inlineStr">
        <is>
          <t>0.00%</t>
        </is>
      </c>
    </row>
    <row r="748">
      <c r="A748" s="2" t="n">
        <v>45982</v>
      </c>
      <c r="B748" t="inlineStr">
        <is>
          <t>TR2B2</t>
        </is>
      </c>
      <c r="C748" t="inlineStr">
        <is>
          <t>GICS_INDUSTRY_GROUP_NAME</t>
        </is>
      </c>
      <c r="D748" t="inlineStr">
        <is>
          <t>Telecommunication Services</t>
        </is>
      </c>
      <c r="E748" t="inlineStr">
        <is>
          <t>Communication Services</t>
        </is>
      </c>
      <c r="F748" t="inlineStr"/>
      <c r="G748" t="inlineStr"/>
      <c r="H748" t="inlineStr">
        <is>
          <t>0.84%</t>
        </is>
      </c>
      <c r="I748" t="inlineStr">
        <is>
          <t>0.00%</t>
        </is>
      </c>
    </row>
    <row r="749">
      <c r="A749" s="2" t="n">
        <v>45982</v>
      </c>
      <c r="B749" t="inlineStr">
        <is>
          <t>TR2B2</t>
        </is>
      </c>
      <c r="C749" t="inlineStr">
        <is>
          <t>GICS_INDUSTRY_NAME</t>
        </is>
      </c>
      <c r="D749" t="inlineStr">
        <is>
          <t>Diversified Telecommunication Services</t>
        </is>
      </c>
      <c r="E749" t="inlineStr">
        <is>
          <t>Communication Services</t>
        </is>
      </c>
      <c r="F749" t="inlineStr"/>
      <c r="G749" t="inlineStr"/>
      <c r="H749" t="inlineStr">
        <is>
          <t>0.84%</t>
        </is>
      </c>
      <c r="I749" t="inlineStr">
        <is>
          <t>0.00%</t>
        </is>
      </c>
    </row>
    <row r="750">
      <c r="A750" s="2" t="n">
        <v>45982</v>
      </c>
      <c r="B750" t="inlineStr">
        <is>
          <t>TR2B2</t>
        </is>
      </c>
      <c r="C750" t="inlineStr">
        <is>
          <t>GICS_INDUSTRY_NAME</t>
        </is>
      </c>
      <c r="D750" t="inlineStr">
        <is>
          <t>Industrial Conglomerates</t>
        </is>
      </c>
      <c r="E750" t="inlineStr">
        <is>
          <t>Industrials</t>
        </is>
      </c>
      <c r="F750" t="inlineStr"/>
      <c r="G750" t="inlineStr"/>
      <c r="H750" t="inlineStr">
        <is>
          <t>0.84%</t>
        </is>
      </c>
      <c r="I750" t="inlineStr">
        <is>
          <t>0.00%</t>
        </is>
      </c>
    </row>
    <row r="751">
      <c r="A751" s="2" t="n">
        <v>45982</v>
      </c>
      <c r="B751" t="inlineStr">
        <is>
          <t>TR2B2</t>
        </is>
      </c>
      <c r="C751" t="inlineStr">
        <is>
          <t>GICS_INDUSTRY_NAME</t>
        </is>
      </c>
      <c r="D751" t="inlineStr">
        <is>
          <t>Electrical Equipment</t>
        </is>
      </c>
      <c r="E751" t="inlineStr">
        <is>
          <t>Industrials</t>
        </is>
      </c>
      <c r="F751" t="inlineStr"/>
      <c r="G751" t="inlineStr"/>
      <c r="H751" t="inlineStr">
        <is>
          <t>0.79%</t>
        </is>
      </c>
      <c r="I751" t="inlineStr">
        <is>
          <t>0.00%</t>
        </is>
      </c>
    </row>
    <row r="752">
      <c r="A752" s="2" t="n">
        <v>45982</v>
      </c>
      <c r="B752" t="inlineStr">
        <is>
          <t>TR2B2</t>
        </is>
      </c>
      <c r="C752" t="inlineStr">
        <is>
          <t>GICS_INDUSTRY_NAME</t>
        </is>
      </c>
      <c r="D752" t="inlineStr">
        <is>
          <t>Consumer Finance</t>
        </is>
      </c>
      <c r="E752" t="inlineStr">
        <is>
          <t>Financials</t>
        </is>
      </c>
      <c r="F752" t="inlineStr"/>
      <c r="G752" t="inlineStr"/>
      <c r="H752" t="inlineStr">
        <is>
          <t>0.62%</t>
        </is>
      </c>
      <c r="I752" t="inlineStr">
        <is>
          <t>0.00%</t>
        </is>
      </c>
    </row>
    <row r="753">
      <c r="A753" s="2" t="n">
        <v>45982</v>
      </c>
      <c r="B753" t="inlineStr">
        <is>
          <t>TR2B2</t>
        </is>
      </c>
      <c r="C753" t="inlineStr">
        <is>
          <t>GICS_INDUSTRY_GROUP_NAME</t>
        </is>
      </c>
      <c r="D753" t="inlineStr">
        <is>
          <t>Consumer Durables &amp; Apparel</t>
        </is>
      </c>
      <c r="E753" t="inlineStr">
        <is>
          <t>Consumer Discretionary</t>
        </is>
      </c>
      <c r="F753" t="inlineStr"/>
      <c r="G753" t="inlineStr"/>
      <c r="H753" t="inlineStr">
        <is>
          <t>0.53%</t>
        </is>
      </c>
      <c r="I753" t="inlineStr">
        <is>
          <t>0.00%</t>
        </is>
      </c>
    </row>
    <row r="754">
      <c r="A754" s="2" t="n">
        <v>45982</v>
      </c>
      <c r="B754" t="inlineStr">
        <is>
          <t>TR2B2</t>
        </is>
      </c>
      <c r="C754" t="inlineStr">
        <is>
          <t>GICS_INDUSTRY_NAME</t>
        </is>
      </c>
      <c r="D754" t="inlineStr">
        <is>
          <t>Textiles, Apparel &amp; Luxury Goods</t>
        </is>
      </c>
      <c r="E754" t="inlineStr">
        <is>
          <t>Consumer Discretionary</t>
        </is>
      </c>
      <c r="F754" t="inlineStr"/>
      <c r="G754" t="inlineStr"/>
      <c r="H754" t="inlineStr">
        <is>
          <t>0.53%</t>
        </is>
      </c>
      <c r="I754" t="inlineStr">
        <is>
          <t>0.00%</t>
        </is>
      </c>
    </row>
    <row r="755">
      <c r="A755" s="2" t="n">
        <v>45982</v>
      </c>
      <c r="B755" t="inlineStr">
        <is>
          <t>TR2B2</t>
        </is>
      </c>
      <c r="C755" t="inlineStr">
        <is>
          <t>GICS_INDUSTRY_NAME</t>
        </is>
      </c>
      <c r="D755" t="inlineStr">
        <is>
          <t>Air Freight &amp; Logistics</t>
        </is>
      </c>
      <c r="E755" t="inlineStr">
        <is>
          <t>Industrials</t>
        </is>
      </c>
      <c r="F755" t="inlineStr"/>
      <c r="G755" t="inlineStr"/>
      <c r="H755" t="inlineStr">
        <is>
          <t>0.39%</t>
        </is>
      </c>
      <c r="I755" t="inlineStr">
        <is>
          <t>0.00%</t>
        </is>
      </c>
    </row>
    <row r="756">
      <c r="A756" s="2" t="n">
        <v>45982</v>
      </c>
      <c r="B756" t="inlineStr">
        <is>
          <t>TR2B2</t>
        </is>
      </c>
      <c r="C756" t="inlineStr">
        <is>
          <t>GICS_INDUSTRY_NAME</t>
        </is>
      </c>
      <c r="D756" t="inlineStr">
        <is>
          <t>Media</t>
        </is>
      </c>
      <c r="E756" t="inlineStr">
        <is>
          <t>Communication Services</t>
        </is>
      </c>
      <c r="F756" t="inlineStr"/>
      <c r="G756" t="inlineStr"/>
      <c r="H756" t="inlineStr">
        <is>
          <t>0.19%</t>
        </is>
      </c>
      <c r="I756" t="inlineStr">
        <is>
          <t>0.00%</t>
        </is>
      </c>
    </row>
    <row r="757">
      <c r="A757" s="2" t="n">
        <v>45982</v>
      </c>
      <c r="B757" t="inlineStr">
        <is>
          <t>TR2B2</t>
        </is>
      </c>
      <c r="C757" t="inlineStr">
        <is>
          <t>GICS_INDUSTRY_NAME</t>
        </is>
      </c>
      <c r="D757" t="inlineStr">
        <is>
          <t>Food Products</t>
        </is>
      </c>
      <c r="E757" t="inlineStr">
        <is>
          <t>Consumer Staples</t>
        </is>
      </c>
      <c r="F757" t="inlineStr"/>
      <c r="G757" t="inlineStr"/>
      <c r="H757" t="inlineStr">
        <is>
          <t>0.19%</t>
        </is>
      </c>
      <c r="I757" t="inlineStr">
        <is>
          <t>0.00%</t>
        </is>
      </c>
    </row>
    <row r="758">
      <c r="A758" s="2" t="n">
        <v>45982</v>
      </c>
      <c r="B758" t="inlineStr">
        <is>
          <t>TR2B3</t>
        </is>
      </c>
      <c r="C758" t="inlineStr">
        <is>
          <t>GICS_INDUSTRY_GROUP_NAME</t>
        </is>
      </c>
      <c r="D758" t="inlineStr">
        <is>
          <t>Semiconductors &amp; Semiconductor Equipment</t>
        </is>
      </c>
      <c r="E758" t="inlineStr">
        <is>
          <t>Information Technology</t>
        </is>
      </c>
      <c r="F758" t="inlineStr"/>
      <c r="G758" t="inlineStr"/>
      <c r="H758" t="inlineStr">
        <is>
          <t>14.15%</t>
        </is>
      </c>
      <c r="I758" t="inlineStr">
        <is>
          <t>0.00%</t>
        </is>
      </c>
    </row>
    <row r="759">
      <c r="A759" s="2" t="n">
        <v>45982</v>
      </c>
      <c r="B759" t="inlineStr">
        <is>
          <t>TR2B3</t>
        </is>
      </c>
      <c r="C759" t="inlineStr">
        <is>
          <t>GICS_INDUSTRY_NAME</t>
        </is>
      </c>
      <c r="D759" t="inlineStr">
        <is>
          <t>Semiconductors &amp; Semiconductor Equipment</t>
        </is>
      </c>
      <c r="E759" t="inlineStr">
        <is>
          <t>Information Technology</t>
        </is>
      </c>
      <c r="F759" t="inlineStr"/>
      <c r="G759" t="inlineStr"/>
      <c r="H759" t="inlineStr">
        <is>
          <t>14.15%</t>
        </is>
      </c>
      <c r="I759" t="inlineStr">
        <is>
          <t>0.00%</t>
        </is>
      </c>
    </row>
    <row r="760">
      <c r="A760" s="2" t="n">
        <v>45982</v>
      </c>
      <c r="B760" t="inlineStr">
        <is>
          <t>TR2B3</t>
        </is>
      </c>
      <c r="C760" t="inlineStr">
        <is>
          <t>GICS_INDUSTRY_GROUP_NAME</t>
        </is>
      </c>
      <c r="D760" t="inlineStr">
        <is>
          <t>Software &amp; Services</t>
        </is>
      </c>
      <c r="E760" t="inlineStr">
        <is>
          <t>Information Technology</t>
        </is>
      </c>
      <c r="F760" t="inlineStr"/>
      <c r="G760" t="inlineStr"/>
      <c r="H760" t="inlineStr">
        <is>
          <t>10.92%</t>
        </is>
      </c>
      <c r="I760" t="inlineStr">
        <is>
          <t>0.00%</t>
        </is>
      </c>
    </row>
    <row r="761">
      <c r="A761" s="2" t="n">
        <v>45982</v>
      </c>
      <c r="B761" t="inlineStr">
        <is>
          <t>TR2B3</t>
        </is>
      </c>
      <c r="C761" t="inlineStr">
        <is>
          <t>GICS_INDUSTRY_NAME</t>
        </is>
      </c>
      <c r="D761" t="inlineStr">
        <is>
          <t>Software</t>
        </is>
      </c>
      <c r="E761" t="inlineStr">
        <is>
          <t>Information Technology</t>
        </is>
      </c>
      <c r="F761" t="inlineStr"/>
      <c r="G761" t="inlineStr"/>
      <c r="H761" t="inlineStr">
        <is>
          <t>9.78%</t>
        </is>
      </c>
      <c r="I761" t="inlineStr">
        <is>
          <t>0.00%</t>
        </is>
      </c>
    </row>
    <row r="762">
      <c r="A762" s="2" t="n">
        <v>45982</v>
      </c>
      <c r="B762" t="inlineStr">
        <is>
          <t>TR2B3</t>
        </is>
      </c>
      <c r="C762" t="inlineStr">
        <is>
          <t>GICS_INDUSTRY_GROUP_NAME</t>
        </is>
      </c>
      <c r="D762" t="inlineStr">
        <is>
          <t>Media &amp; Entertainment</t>
        </is>
      </c>
      <c r="E762" t="inlineStr">
        <is>
          <t>Communication Services</t>
        </is>
      </c>
      <c r="F762" t="inlineStr"/>
      <c r="G762" t="inlineStr"/>
      <c r="H762" t="inlineStr">
        <is>
          <t>9.70%</t>
        </is>
      </c>
      <c r="I762" t="inlineStr">
        <is>
          <t>0.00%</t>
        </is>
      </c>
    </row>
    <row r="763">
      <c r="A763" s="2" t="n">
        <v>45982</v>
      </c>
      <c r="B763" t="inlineStr">
        <is>
          <t>TR2B3</t>
        </is>
      </c>
      <c r="C763" t="inlineStr">
        <is>
          <t>GICS_INDUSTRY_GROUP_NAME</t>
        </is>
      </c>
      <c r="D763" t="inlineStr">
        <is>
          <t>Technology Hardware &amp; Equipment</t>
        </is>
      </c>
      <c r="E763" t="inlineStr">
        <is>
          <t>Information Technology</t>
        </is>
      </c>
      <c r="F763" t="inlineStr"/>
      <c r="G763" t="inlineStr"/>
      <c r="H763" t="inlineStr">
        <is>
          <t>9.40%</t>
        </is>
      </c>
      <c r="I763" t="inlineStr">
        <is>
          <t>0.00%</t>
        </is>
      </c>
    </row>
    <row r="764">
      <c r="A764" s="2" t="n">
        <v>45982</v>
      </c>
      <c r="B764" t="inlineStr">
        <is>
          <t>TR2B3</t>
        </is>
      </c>
      <c r="C764" t="inlineStr">
        <is>
          <t>GICS_INDUSTRY_NAME</t>
        </is>
      </c>
      <c r="D764" t="inlineStr">
        <is>
          <t>Interactive Media &amp; Services</t>
        </is>
      </c>
      <c r="E764" t="inlineStr">
        <is>
          <t>Communication Services</t>
        </is>
      </c>
      <c r="F764" t="inlineStr"/>
      <c r="G764" t="inlineStr"/>
      <c r="H764" t="inlineStr">
        <is>
          <t>8.32%</t>
        </is>
      </c>
      <c r="I764" t="inlineStr">
        <is>
          <t>0.00%</t>
        </is>
      </c>
    </row>
    <row r="765">
      <c r="A765" s="2" t="n">
        <v>45982</v>
      </c>
      <c r="B765" t="inlineStr">
        <is>
          <t>TR2B3</t>
        </is>
      </c>
      <c r="C765" t="inlineStr">
        <is>
          <t>GICS_INDUSTRY_GROUP_NAME</t>
        </is>
      </c>
      <c r="D765" t="inlineStr">
        <is>
          <t>Financial Services</t>
        </is>
      </c>
      <c r="E765" t="inlineStr">
        <is>
          <t>Financials</t>
        </is>
      </c>
      <c r="F765" t="inlineStr"/>
      <c r="G765" t="inlineStr"/>
      <c r="H765" t="inlineStr">
        <is>
          <t>7.89%</t>
        </is>
      </c>
      <c r="I765" t="inlineStr">
        <is>
          <t>0.00%</t>
        </is>
      </c>
    </row>
    <row r="766">
      <c r="A766" s="2" t="n">
        <v>45982</v>
      </c>
      <c r="B766" t="inlineStr">
        <is>
          <t>TR2B3</t>
        </is>
      </c>
      <c r="C766" t="inlineStr">
        <is>
          <t>GICS_INDUSTRY_NAME</t>
        </is>
      </c>
      <c r="D766" t="inlineStr">
        <is>
          <t>Technology Hardware, Storage &amp; Peripherals</t>
        </is>
      </c>
      <c r="E766" t="inlineStr">
        <is>
          <t>Information Technology</t>
        </is>
      </c>
      <c r="F766" t="inlineStr"/>
      <c r="G766" t="inlineStr"/>
      <c r="H766" t="inlineStr">
        <is>
          <t>7.22%</t>
        </is>
      </c>
      <c r="I766" t="inlineStr">
        <is>
          <t>0.00%</t>
        </is>
      </c>
    </row>
    <row r="767">
      <c r="A767" s="2" t="n">
        <v>45982</v>
      </c>
      <c r="B767" t="inlineStr">
        <is>
          <t>TR2B3</t>
        </is>
      </c>
      <c r="C767" t="inlineStr">
        <is>
          <t>GICS_INDUSTRY_GROUP_NAME</t>
        </is>
      </c>
      <c r="D767" t="inlineStr">
        <is>
          <t>Pharmaceuticals, Biotechnology &amp; Life Sciences</t>
        </is>
      </c>
      <c r="E767" t="inlineStr">
        <is>
          <t>Health Care</t>
        </is>
      </c>
      <c r="F767" t="inlineStr"/>
      <c r="G767" t="inlineStr"/>
      <c r="H767" t="inlineStr">
        <is>
          <t>6.35%</t>
        </is>
      </c>
      <c r="I767" t="inlineStr">
        <is>
          <t>0.00%</t>
        </is>
      </c>
    </row>
    <row r="768">
      <c r="A768" s="2" t="n">
        <v>45982</v>
      </c>
      <c r="B768" t="inlineStr">
        <is>
          <t>TR2B3</t>
        </is>
      </c>
      <c r="C768" t="inlineStr">
        <is>
          <t>GICS_INDUSTRY_GROUP_NAME</t>
        </is>
      </c>
      <c r="D768" t="inlineStr">
        <is>
          <t>Capital Goods</t>
        </is>
      </c>
      <c r="E768" t="inlineStr">
        <is>
          <t>Industrials</t>
        </is>
      </c>
      <c r="F768" t="inlineStr"/>
      <c r="G768" t="inlineStr"/>
      <c r="H768" t="inlineStr">
        <is>
          <t>6.16%</t>
        </is>
      </c>
      <c r="I768" t="inlineStr">
        <is>
          <t>0.00%</t>
        </is>
      </c>
    </row>
    <row r="769">
      <c r="A769" s="2" t="n">
        <v>45982</v>
      </c>
      <c r="B769" t="inlineStr">
        <is>
          <t>TR2B3</t>
        </is>
      </c>
      <c r="C769" t="inlineStr">
        <is>
          <t>GICS_INDUSTRY_GROUP_NAME</t>
        </is>
      </c>
      <c r="D769" t="inlineStr">
        <is>
          <t>Consumer Discretionary Distribution &amp; Retail</t>
        </is>
      </c>
      <c r="E769" t="inlineStr">
        <is>
          <t>Consumer Discretionary</t>
        </is>
      </c>
      <c r="F769" t="inlineStr"/>
      <c r="G769" t="inlineStr"/>
      <c r="H769" t="inlineStr">
        <is>
          <t>5.33%</t>
        </is>
      </c>
      <c r="I769" t="inlineStr">
        <is>
          <t>0.00%</t>
        </is>
      </c>
    </row>
    <row r="770">
      <c r="A770" s="2" t="n">
        <v>45982</v>
      </c>
      <c r="B770" t="inlineStr">
        <is>
          <t>TR2B3</t>
        </is>
      </c>
      <c r="C770" t="inlineStr">
        <is>
          <t>GICS_INDUSTRY_NAME</t>
        </is>
      </c>
      <c r="D770" t="inlineStr">
        <is>
          <t>Financial Services</t>
        </is>
      </c>
      <c r="E770" t="inlineStr">
        <is>
          <t>Financials</t>
        </is>
      </c>
      <c r="F770" t="inlineStr"/>
      <c r="G770" t="inlineStr"/>
      <c r="H770" t="inlineStr">
        <is>
          <t>5.13%</t>
        </is>
      </c>
      <c r="I770" t="inlineStr">
        <is>
          <t>0.00%</t>
        </is>
      </c>
    </row>
    <row r="771">
      <c r="A771" s="2" t="n">
        <v>45982</v>
      </c>
      <c r="B771" t="inlineStr">
        <is>
          <t>TR2B3</t>
        </is>
      </c>
      <c r="C771" t="inlineStr">
        <is>
          <t>GICS_INDUSTRY_NAME</t>
        </is>
      </c>
      <c r="D771" t="inlineStr">
        <is>
          <t>Broadline Retail</t>
        </is>
      </c>
      <c r="E771" t="inlineStr">
        <is>
          <t>Consumer Discretionary</t>
        </is>
      </c>
      <c r="F771" t="inlineStr"/>
      <c r="G771" t="inlineStr"/>
      <c r="H771" t="inlineStr">
        <is>
          <t>4.06%</t>
        </is>
      </c>
      <c r="I771" t="inlineStr">
        <is>
          <t>0.00%</t>
        </is>
      </c>
    </row>
    <row r="772">
      <c r="A772" s="2" t="n">
        <v>45982</v>
      </c>
      <c r="B772" t="inlineStr">
        <is>
          <t>TR2B3</t>
        </is>
      </c>
      <c r="C772" t="inlineStr">
        <is>
          <t>GICS_INDUSTRY_NAME</t>
        </is>
      </c>
      <c r="D772" t="inlineStr">
        <is>
          <t>Pharmaceuticals</t>
        </is>
      </c>
      <c r="E772" t="inlineStr">
        <is>
          <t>Health Care</t>
        </is>
      </c>
      <c r="F772" t="inlineStr"/>
      <c r="G772" t="inlineStr"/>
      <c r="H772" t="inlineStr">
        <is>
          <t>3.91%</t>
        </is>
      </c>
      <c r="I772" t="inlineStr">
        <is>
          <t>0.00%</t>
        </is>
      </c>
    </row>
    <row r="773">
      <c r="A773" s="2" t="n">
        <v>45982</v>
      </c>
      <c r="B773" t="inlineStr">
        <is>
          <t>TR2B3</t>
        </is>
      </c>
      <c r="C773" t="inlineStr">
        <is>
          <t>GICS_INDUSTRY_GROUP_NAME</t>
        </is>
      </c>
      <c r="D773" t="inlineStr">
        <is>
          <t>Banks</t>
        </is>
      </c>
      <c r="E773" t="inlineStr">
        <is>
          <t>Financials</t>
        </is>
      </c>
      <c r="F773" t="inlineStr"/>
      <c r="G773" t="inlineStr"/>
      <c r="H773" t="inlineStr">
        <is>
          <t>3.64%</t>
        </is>
      </c>
      <c r="I773" t="inlineStr">
        <is>
          <t>0.00%</t>
        </is>
      </c>
    </row>
    <row r="774">
      <c r="A774" s="2" t="n">
        <v>45982</v>
      </c>
      <c r="B774" t="inlineStr">
        <is>
          <t>TR2B3</t>
        </is>
      </c>
      <c r="C774" t="inlineStr">
        <is>
          <t>GICS_INDUSTRY_NAME</t>
        </is>
      </c>
      <c r="D774" t="inlineStr">
        <is>
          <t>Banks</t>
        </is>
      </c>
      <c r="E774" t="inlineStr">
        <is>
          <t>Financials</t>
        </is>
      </c>
      <c r="F774" t="inlineStr"/>
      <c r="G774" t="inlineStr"/>
      <c r="H774" t="inlineStr">
        <is>
          <t>3.64%</t>
        </is>
      </c>
      <c r="I774" t="inlineStr">
        <is>
          <t>0.00%</t>
        </is>
      </c>
    </row>
    <row r="775">
      <c r="A775" s="2" t="n">
        <v>45982</v>
      </c>
      <c r="B775" t="inlineStr">
        <is>
          <t>TR2B3</t>
        </is>
      </c>
      <c r="C775" t="inlineStr">
        <is>
          <t>GICS_INDUSTRY_GROUP_NAME</t>
        </is>
      </c>
      <c r="D775" t="inlineStr">
        <is>
          <t>Health Care Equipment &amp; Services</t>
        </is>
      </c>
      <c r="E775" t="inlineStr">
        <is>
          <t>Health Care</t>
        </is>
      </c>
      <c r="F775" t="inlineStr"/>
      <c r="G775" t="inlineStr"/>
      <c r="H775" t="inlineStr">
        <is>
          <t>3.50%</t>
        </is>
      </c>
      <c r="I775" t="inlineStr">
        <is>
          <t>0.00%</t>
        </is>
      </c>
    </row>
    <row r="776">
      <c r="A776" s="2" t="n">
        <v>45982</v>
      </c>
      <c r="B776" t="inlineStr">
        <is>
          <t>TR2B3</t>
        </is>
      </c>
      <c r="C776" t="inlineStr">
        <is>
          <t>GICS_INDUSTRY_NAME</t>
        </is>
      </c>
      <c r="D776" t="inlineStr">
        <is>
          <t>Aerospace &amp; Defense</t>
        </is>
      </c>
      <c r="E776" t="inlineStr">
        <is>
          <t>Industrials</t>
        </is>
      </c>
      <c r="F776" t="inlineStr"/>
      <c r="G776" t="inlineStr"/>
      <c r="H776" t="inlineStr">
        <is>
          <t>3.00%</t>
        </is>
      </c>
      <c r="I776" t="inlineStr">
        <is>
          <t>0.00%</t>
        </is>
      </c>
    </row>
    <row r="777">
      <c r="A777" s="2" t="n">
        <v>45982</v>
      </c>
      <c r="B777" t="inlineStr">
        <is>
          <t>TR2B3</t>
        </is>
      </c>
      <c r="C777" t="inlineStr">
        <is>
          <t>GICS_INDUSTRY_GROUP_NAME</t>
        </is>
      </c>
      <c r="D777" t="inlineStr">
        <is>
          <t>Energy</t>
        </is>
      </c>
      <c r="E777" t="inlineStr">
        <is>
          <t>Energy</t>
        </is>
      </c>
      <c r="F777" t="inlineStr"/>
      <c r="G777" t="inlineStr"/>
      <c r="H777" t="inlineStr">
        <is>
          <t>2.88%</t>
        </is>
      </c>
      <c r="I777" t="inlineStr">
        <is>
          <t>0.00%</t>
        </is>
      </c>
    </row>
    <row r="778">
      <c r="A778" s="2" t="n">
        <v>45982</v>
      </c>
      <c r="B778" t="inlineStr">
        <is>
          <t>TR2B3</t>
        </is>
      </c>
      <c r="C778" t="inlineStr">
        <is>
          <t>GICS_INDUSTRY_NAME</t>
        </is>
      </c>
      <c r="D778" t="inlineStr">
        <is>
          <t>Oil, Gas &amp; Consumable Fuels</t>
        </is>
      </c>
      <c r="E778" t="inlineStr">
        <is>
          <t>Energy</t>
        </is>
      </c>
      <c r="F778" t="inlineStr"/>
      <c r="G778" t="inlineStr"/>
      <c r="H778" t="inlineStr">
        <is>
          <t>2.88%</t>
        </is>
      </c>
      <c r="I778" t="inlineStr">
        <is>
          <t>0.00%</t>
        </is>
      </c>
    </row>
    <row r="779">
      <c r="A779" s="2" t="n">
        <v>45982</v>
      </c>
      <c r="B779" t="inlineStr">
        <is>
          <t>TR2B3</t>
        </is>
      </c>
      <c r="C779" t="inlineStr">
        <is>
          <t>GICS_INDUSTRY_GROUP_NAME</t>
        </is>
      </c>
      <c r="D779" t="inlineStr">
        <is>
          <t>Utilities</t>
        </is>
      </c>
      <c r="E779" t="inlineStr">
        <is>
          <t>Utilities</t>
        </is>
      </c>
      <c r="F779" t="inlineStr"/>
      <c r="G779" t="inlineStr"/>
      <c r="H779" t="inlineStr">
        <is>
          <t>2.30%</t>
        </is>
      </c>
      <c r="I779" t="inlineStr">
        <is>
          <t>0.00%</t>
        </is>
      </c>
    </row>
    <row r="780">
      <c r="A780" s="2" t="n">
        <v>45982</v>
      </c>
      <c r="B780" t="inlineStr">
        <is>
          <t>TR2B3</t>
        </is>
      </c>
      <c r="C780" t="inlineStr">
        <is>
          <t>GICS_INDUSTRY_NAME</t>
        </is>
      </c>
      <c r="D780" t="inlineStr">
        <is>
          <t>Electric Utilities</t>
        </is>
      </c>
      <c r="E780" t="inlineStr">
        <is>
          <t>Utilities</t>
        </is>
      </c>
      <c r="F780" t="inlineStr"/>
      <c r="G780" t="inlineStr"/>
      <c r="H780" t="inlineStr">
        <is>
          <t>2.30%</t>
        </is>
      </c>
      <c r="I780" t="inlineStr">
        <is>
          <t>0.00%</t>
        </is>
      </c>
    </row>
    <row r="781">
      <c r="A781" s="2" t="n">
        <v>45982</v>
      </c>
      <c r="B781" t="inlineStr">
        <is>
          <t>TR2B3</t>
        </is>
      </c>
      <c r="C781" t="inlineStr">
        <is>
          <t>GICS_INDUSTRY_GROUP_NAME</t>
        </is>
      </c>
      <c r="D781" t="inlineStr">
        <is>
          <t>Food, Beverage &amp; Tobacco</t>
        </is>
      </c>
      <c r="E781" t="inlineStr">
        <is>
          <t>Consumer Staples</t>
        </is>
      </c>
      <c r="F781" t="inlineStr"/>
      <c r="G781" t="inlineStr"/>
      <c r="H781" t="inlineStr">
        <is>
          <t>2.29%</t>
        </is>
      </c>
      <c r="I781" t="inlineStr">
        <is>
          <t>0.00%</t>
        </is>
      </c>
    </row>
    <row r="782">
      <c r="A782" s="2" t="n">
        <v>45982</v>
      </c>
      <c r="B782" t="inlineStr">
        <is>
          <t>TR2B3</t>
        </is>
      </c>
      <c r="C782" t="inlineStr">
        <is>
          <t>GICS_INDUSTRY_NAME</t>
        </is>
      </c>
      <c r="D782" t="inlineStr">
        <is>
          <t>Capital Markets</t>
        </is>
      </c>
      <c r="E782" t="inlineStr">
        <is>
          <t>Financials</t>
        </is>
      </c>
      <c r="F782" t="inlineStr"/>
      <c r="G782" t="inlineStr"/>
      <c r="H782" t="inlineStr">
        <is>
          <t>2.26%</t>
        </is>
      </c>
      <c r="I782" t="inlineStr">
        <is>
          <t>0.00%</t>
        </is>
      </c>
    </row>
    <row r="783">
      <c r="A783" s="2" t="n">
        <v>45982</v>
      </c>
      <c r="B783" t="inlineStr">
        <is>
          <t>TR2B3</t>
        </is>
      </c>
      <c r="C783" t="inlineStr">
        <is>
          <t>GICS_INDUSTRY_NAME</t>
        </is>
      </c>
      <c r="D783" t="inlineStr">
        <is>
          <t>Communications Equipment</t>
        </is>
      </c>
      <c r="E783" t="inlineStr">
        <is>
          <t>Information Technology</t>
        </is>
      </c>
      <c r="F783" t="inlineStr"/>
      <c r="G783" t="inlineStr"/>
      <c r="H783" t="inlineStr">
        <is>
          <t>2.19%</t>
        </is>
      </c>
      <c r="I783" t="inlineStr">
        <is>
          <t>0.00%</t>
        </is>
      </c>
    </row>
    <row r="784">
      <c r="A784" s="2" t="n">
        <v>45982</v>
      </c>
      <c r="B784" t="inlineStr">
        <is>
          <t>TR2B3</t>
        </is>
      </c>
      <c r="C784" t="inlineStr">
        <is>
          <t>GICS_INDUSTRY_GROUP_NAME</t>
        </is>
      </c>
      <c r="D784" t="inlineStr">
        <is>
          <t>Automobiles &amp; Components</t>
        </is>
      </c>
      <c r="E784" t="inlineStr">
        <is>
          <t>Consumer Discretionary</t>
        </is>
      </c>
      <c r="F784" t="inlineStr"/>
      <c r="G784" t="inlineStr"/>
      <c r="H784" t="inlineStr">
        <is>
          <t>2.15%</t>
        </is>
      </c>
      <c r="I784" t="inlineStr">
        <is>
          <t>0.00%</t>
        </is>
      </c>
    </row>
    <row r="785">
      <c r="A785" s="2" t="n">
        <v>45982</v>
      </c>
      <c r="B785" t="inlineStr">
        <is>
          <t>TR2B3</t>
        </is>
      </c>
      <c r="C785" t="inlineStr">
        <is>
          <t>GICS_INDUSTRY_NAME</t>
        </is>
      </c>
      <c r="D785" t="inlineStr">
        <is>
          <t>Automobiles</t>
        </is>
      </c>
      <c r="E785" t="inlineStr">
        <is>
          <t>Consumer Discretionary</t>
        </is>
      </c>
      <c r="F785" t="inlineStr"/>
      <c r="G785" t="inlineStr"/>
      <c r="H785" t="inlineStr">
        <is>
          <t>2.15%</t>
        </is>
      </c>
      <c r="I785" t="inlineStr">
        <is>
          <t>0.00%</t>
        </is>
      </c>
    </row>
    <row r="786">
      <c r="A786" s="2" t="n">
        <v>45982</v>
      </c>
      <c r="B786" t="inlineStr">
        <is>
          <t>TR2B3</t>
        </is>
      </c>
      <c r="C786" t="inlineStr">
        <is>
          <t>GICS_INDUSTRY_NAME</t>
        </is>
      </c>
      <c r="D786" t="inlineStr">
        <is>
          <t>Health Care Equipment &amp; Supplies</t>
        </is>
      </c>
      <c r="E786" t="inlineStr">
        <is>
          <t>Health Care</t>
        </is>
      </c>
      <c r="F786" t="inlineStr"/>
      <c r="G786" t="inlineStr"/>
      <c r="H786" t="inlineStr">
        <is>
          <t>1.90%</t>
        </is>
      </c>
      <c r="I786" t="inlineStr">
        <is>
          <t>0.00%</t>
        </is>
      </c>
    </row>
    <row r="787">
      <c r="A787" s="2" t="n">
        <v>45982</v>
      </c>
      <c r="B787" t="inlineStr">
        <is>
          <t>TR2B3</t>
        </is>
      </c>
      <c r="C787" t="inlineStr">
        <is>
          <t>GICS_INDUSTRY_GROUP_NAME</t>
        </is>
      </c>
      <c r="D787" t="inlineStr">
        <is>
          <t>Insurance</t>
        </is>
      </c>
      <c r="E787" t="inlineStr">
        <is>
          <t>Financials</t>
        </is>
      </c>
      <c r="F787" t="inlineStr"/>
      <c r="G787" t="inlineStr"/>
      <c r="H787" t="inlineStr">
        <is>
          <t>1.88%</t>
        </is>
      </c>
      <c r="I787" t="inlineStr">
        <is>
          <t>0.00%</t>
        </is>
      </c>
    </row>
    <row r="788">
      <c r="A788" s="2" t="n">
        <v>45982</v>
      </c>
      <c r="B788" t="inlineStr">
        <is>
          <t>TR2B3</t>
        </is>
      </c>
      <c r="C788" t="inlineStr">
        <is>
          <t>GICS_INDUSTRY_NAME</t>
        </is>
      </c>
      <c r="D788" t="inlineStr">
        <is>
          <t>Insurance</t>
        </is>
      </c>
      <c r="E788" t="inlineStr">
        <is>
          <t>Financials</t>
        </is>
      </c>
      <c r="F788" t="inlineStr"/>
      <c r="G788" t="inlineStr"/>
      <c r="H788" t="inlineStr">
        <is>
          <t>1.88%</t>
        </is>
      </c>
      <c r="I788" t="inlineStr">
        <is>
          <t>0.00%</t>
        </is>
      </c>
    </row>
    <row r="789">
      <c r="A789" s="2" t="n">
        <v>45982</v>
      </c>
      <c r="B789" t="inlineStr">
        <is>
          <t>TR2B3</t>
        </is>
      </c>
      <c r="C789" t="inlineStr">
        <is>
          <t>GICS_INDUSTRY_GROUP_NAME</t>
        </is>
      </c>
      <c r="D789" t="inlineStr">
        <is>
          <t>Consumer Staples Distribution &amp; Retail</t>
        </is>
      </c>
      <c r="E789" t="inlineStr">
        <is>
          <t>Consumer Staples</t>
        </is>
      </c>
      <c r="F789" t="inlineStr"/>
      <c r="G789" t="inlineStr"/>
      <c r="H789" t="inlineStr">
        <is>
          <t>1.79%</t>
        </is>
      </c>
      <c r="I789" t="inlineStr">
        <is>
          <t>0.00%</t>
        </is>
      </c>
    </row>
    <row r="790">
      <c r="A790" s="2" t="n">
        <v>45982</v>
      </c>
      <c r="B790" t="inlineStr">
        <is>
          <t>TR2B3</t>
        </is>
      </c>
      <c r="C790" t="inlineStr">
        <is>
          <t>GICS_INDUSTRY_NAME</t>
        </is>
      </c>
      <c r="D790" t="inlineStr">
        <is>
          <t>Consumer Staples Distribution &amp; Retail</t>
        </is>
      </c>
      <c r="E790" t="inlineStr">
        <is>
          <t>Consumer Staples</t>
        </is>
      </c>
      <c r="F790" t="inlineStr"/>
      <c r="G790" t="inlineStr"/>
      <c r="H790" t="inlineStr">
        <is>
          <t>1.79%</t>
        </is>
      </c>
      <c r="I790" t="inlineStr">
        <is>
          <t>0.00%</t>
        </is>
      </c>
    </row>
    <row r="791">
      <c r="A791" s="2" t="n">
        <v>45982</v>
      </c>
      <c r="B791" t="inlineStr">
        <is>
          <t>TR2B3</t>
        </is>
      </c>
      <c r="C791" t="inlineStr">
        <is>
          <t>GICS_INDUSTRY_GROUP_NAME</t>
        </is>
      </c>
      <c r="D791" t="inlineStr">
        <is>
          <t>Consumer Services</t>
        </is>
      </c>
      <c r="E791" t="inlineStr">
        <is>
          <t>Consumer Discretionary</t>
        </is>
      </c>
      <c r="F791" t="inlineStr"/>
      <c r="G791" t="inlineStr"/>
      <c r="H791" t="inlineStr">
        <is>
          <t>1.72%</t>
        </is>
      </c>
      <c r="I791" t="inlineStr">
        <is>
          <t>0.00%</t>
        </is>
      </c>
    </row>
    <row r="792">
      <c r="A792" s="2" t="n">
        <v>45982</v>
      </c>
      <c r="B792" t="inlineStr">
        <is>
          <t>TR2B3</t>
        </is>
      </c>
      <c r="C792" t="inlineStr">
        <is>
          <t>GICS_INDUSTRY_NAME</t>
        </is>
      </c>
      <c r="D792" t="inlineStr">
        <is>
          <t>Hotels, Restaurants &amp; Leisure</t>
        </is>
      </c>
      <c r="E792" t="inlineStr">
        <is>
          <t>Consumer Discretionary</t>
        </is>
      </c>
      <c r="F792" t="inlineStr"/>
      <c r="G792" t="inlineStr"/>
      <c r="H792" t="inlineStr">
        <is>
          <t>1.72%</t>
        </is>
      </c>
      <c r="I792" t="inlineStr">
        <is>
          <t>0.00%</t>
        </is>
      </c>
    </row>
    <row r="793">
      <c r="A793" s="2" t="n">
        <v>45982</v>
      </c>
      <c r="B793" t="inlineStr">
        <is>
          <t>TR2B3</t>
        </is>
      </c>
      <c r="C793" t="inlineStr">
        <is>
          <t>GICS_INDUSTRY_GROUP_NAME</t>
        </is>
      </c>
      <c r="D793" t="inlineStr">
        <is>
          <t>Materials</t>
        </is>
      </c>
      <c r="E793" t="inlineStr">
        <is>
          <t>Materials</t>
        </is>
      </c>
      <c r="F793" t="inlineStr"/>
      <c r="G793" t="inlineStr"/>
      <c r="H793" t="inlineStr">
        <is>
          <t>1.69%</t>
        </is>
      </c>
      <c r="I793" t="inlineStr">
        <is>
          <t>0.00%</t>
        </is>
      </c>
    </row>
    <row r="794">
      <c r="A794" s="2" t="n">
        <v>45982</v>
      </c>
      <c r="B794" t="inlineStr">
        <is>
          <t>TR2B3</t>
        </is>
      </c>
      <c r="C794" t="inlineStr">
        <is>
          <t>GICS_INDUSTRY_NAME</t>
        </is>
      </c>
      <c r="D794" t="inlineStr">
        <is>
          <t>Chemicals</t>
        </is>
      </c>
      <c r="E794" t="inlineStr">
        <is>
          <t>Materials</t>
        </is>
      </c>
      <c r="F794" t="inlineStr"/>
      <c r="G794" t="inlineStr"/>
      <c r="H794" t="inlineStr">
        <is>
          <t>1.69%</t>
        </is>
      </c>
      <c r="I794" t="inlineStr">
        <is>
          <t>0.00%</t>
        </is>
      </c>
    </row>
    <row r="795">
      <c r="A795" s="2" t="n">
        <v>45982</v>
      </c>
      <c r="B795" t="inlineStr">
        <is>
          <t>TR2B3</t>
        </is>
      </c>
      <c r="C795" t="inlineStr">
        <is>
          <t>GICS_INDUSTRY_NAME</t>
        </is>
      </c>
      <c r="D795" t="inlineStr">
        <is>
          <t>Biotechnology</t>
        </is>
      </c>
      <c r="E795" t="inlineStr">
        <is>
          <t>Health Care</t>
        </is>
      </c>
      <c r="F795" t="inlineStr"/>
      <c r="G795" t="inlineStr"/>
      <c r="H795" t="inlineStr">
        <is>
          <t>1.64%</t>
        </is>
      </c>
      <c r="I795" t="inlineStr">
        <is>
          <t>0.00%</t>
        </is>
      </c>
    </row>
    <row r="796">
      <c r="A796" s="2" t="n">
        <v>45982</v>
      </c>
      <c r="B796" t="inlineStr">
        <is>
          <t>TR2B3</t>
        </is>
      </c>
      <c r="C796" t="inlineStr">
        <is>
          <t>GICS_INDUSTRY_NAME</t>
        </is>
      </c>
      <c r="D796" t="inlineStr">
        <is>
          <t>Health Care Providers &amp; Services</t>
        </is>
      </c>
      <c r="E796" t="inlineStr">
        <is>
          <t>Health Care</t>
        </is>
      </c>
      <c r="F796" t="inlineStr"/>
      <c r="G796" t="inlineStr"/>
      <c r="H796" t="inlineStr">
        <is>
          <t>1.60%</t>
        </is>
      </c>
      <c r="I796" t="inlineStr">
        <is>
          <t>0.00%</t>
        </is>
      </c>
    </row>
    <row r="797">
      <c r="A797" s="2" t="n">
        <v>45982</v>
      </c>
      <c r="B797" t="inlineStr">
        <is>
          <t>TR2B3</t>
        </is>
      </c>
      <c r="C797" t="inlineStr">
        <is>
          <t>GICS_INDUSTRY_NAME</t>
        </is>
      </c>
      <c r="D797" t="inlineStr">
        <is>
          <t>Machinery</t>
        </is>
      </c>
      <c r="E797" t="inlineStr">
        <is>
          <t>Industrials</t>
        </is>
      </c>
      <c r="F797" t="inlineStr"/>
      <c r="G797" t="inlineStr"/>
      <c r="H797" t="inlineStr">
        <is>
          <t>1.52%</t>
        </is>
      </c>
      <c r="I797" t="inlineStr">
        <is>
          <t>0.00%</t>
        </is>
      </c>
    </row>
    <row r="798">
      <c r="A798" s="2" t="n">
        <v>45982</v>
      </c>
      <c r="B798" t="inlineStr">
        <is>
          <t>TR2B3</t>
        </is>
      </c>
      <c r="C798" t="inlineStr">
        <is>
          <t>GICS_INDUSTRY_GROUP_NAME</t>
        </is>
      </c>
      <c r="D798" t="inlineStr">
        <is>
          <t>Equity Real Estate Investment Trusts</t>
        </is>
      </c>
      <c r="E798" t="inlineStr">
        <is>
          <t>Real Estate</t>
        </is>
      </c>
      <c r="F798" t="inlineStr"/>
      <c r="G798" t="inlineStr"/>
      <c r="H798" t="inlineStr">
        <is>
          <t>1.47%</t>
        </is>
      </c>
      <c r="I798" t="inlineStr">
        <is>
          <t>0.00%</t>
        </is>
      </c>
    </row>
    <row r="799">
      <c r="A799" s="2" t="n">
        <v>45982</v>
      </c>
      <c r="B799" t="inlineStr">
        <is>
          <t>TR2B3</t>
        </is>
      </c>
      <c r="C799" t="inlineStr">
        <is>
          <t>GICS_INDUSTRY_NAME</t>
        </is>
      </c>
      <c r="D799" t="inlineStr">
        <is>
          <t>Specialized REITs</t>
        </is>
      </c>
      <c r="E799" t="inlineStr">
        <is>
          <t>Real Estate</t>
        </is>
      </c>
      <c r="F799" t="inlineStr"/>
      <c r="G799" t="inlineStr"/>
      <c r="H799" t="inlineStr">
        <is>
          <t>1.47%</t>
        </is>
      </c>
      <c r="I799" t="inlineStr">
        <is>
          <t>0.00%</t>
        </is>
      </c>
    </row>
    <row r="800">
      <c r="A800" s="2" t="n">
        <v>45982</v>
      </c>
      <c r="B800" t="inlineStr">
        <is>
          <t>TR2B3</t>
        </is>
      </c>
      <c r="C800" t="inlineStr">
        <is>
          <t>GICS_INDUSTRY_GROUP_NAME</t>
        </is>
      </c>
      <c r="D800" t="inlineStr">
        <is>
          <t>Transportation</t>
        </is>
      </c>
      <c r="E800" t="inlineStr">
        <is>
          <t>Industrials</t>
        </is>
      </c>
      <c r="F800" t="inlineStr"/>
      <c r="G800" t="inlineStr"/>
      <c r="H800" t="inlineStr">
        <is>
          <t>1.32%</t>
        </is>
      </c>
      <c r="I800" t="inlineStr">
        <is>
          <t>0.00%</t>
        </is>
      </c>
    </row>
    <row r="801">
      <c r="A801" s="2" t="n">
        <v>45982</v>
      </c>
      <c r="B801" t="inlineStr">
        <is>
          <t>TR2B3</t>
        </is>
      </c>
      <c r="C801" t="inlineStr">
        <is>
          <t>GICS_INDUSTRY_NAME</t>
        </is>
      </c>
      <c r="D801" t="inlineStr">
        <is>
          <t>Specialty Retail</t>
        </is>
      </c>
      <c r="E801" t="inlineStr">
        <is>
          <t>Consumer Discretionary</t>
        </is>
      </c>
      <c r="F801" t="inlineStr"/>
      <c r="G801" t="inlineStr"/>
      <c r="H801" t="inlineStr">
        <is>
          <t>1.27%</t>
        </is>
      </c>
      <c r="I801" t="inlineStr">
        <is>
          <t>0.00%</t>
        </is>
      </c>
    </row>
    <row r="802">
      <c r="A802" s="2" t="n">
        <v>45982</v>
      </c>
      <c r="B802" t="inlineStr">
        <is>
          <t>TR2B3</t>
        </is>
      </c>
      <c r="C802" t="inlineStr">
        <is>
          <t>GICS_INDUSTRY_NAME</t>
        </is>
      </c>
      <c r="D802" t="inlineStr">
        <is>
          <t>Beverages</t>
        </is>
      </c>
      <c r="E802" t="inlineStr">
        <is>
          <t>Consumer Staples</t>
        </is>
      </c>
      <c r="F802" t="inlineStr"/>
      <c r="G802" t="inlineStr"/>
      <c r="H802" t="inlineStr">
        <is>
          <t>1.23%</t>
        </is>
      </c>
      <c r="I802" t="inlineStr">
        <is>
          <t>0.00%</t>
        </is>
      </c>
    </row>
    <row r="803">
      <c r="A803" s="2" t="n">
        <v>45982</v>
      </c>
      <c r="B803" t="inlineStr">
        <is>
          <t>TR2B3</t>
        </is>
      </c>
      <c r="C803" t="inlineStr">
        <is>
          <t>GICS_INDUSTRY_NAME</t>
        </is>
      </c>
      <c r="D803" t="inlineStr">
        <is>
          <t>Entertainment</t>
        </is>
      </c>
      <c r="E803" t="inlineStr">
        <is>
          <t>Communication Services</t>
        </is>
      </c>
      <c r="F803" t="inlineStr"/>
      <c r="G803" t="inlineStr"/>
      <c r="H803" t="inlineStr">
        <is>
          <t>1.18%</t>
        </is>
      </c>
      <c r="I803" t="inlineStr">
        <is>
          <t>0.00%</t>
        </is>
      </c>
    </row>
    <row r="804">
      <c r="A804" s="2" t="n">
        <v>45982</v>
      </c>
      <c r="B804" t="inlineStr">
        <is>
          <t>TR2B3</t>
        </is>
      </c>
      <c r="C804" t="inlineStr">
        <is>
          <t>GICS_INDUSTRY_NAME</t>
        </is>
      </c>
      <c r="D804" t="inlineStr">
        <is>
          <t>IT Services</t>
        </is>
      </c>
      <c r="E804" t="inlineStr">
        <is>
          <t>Information Technology</t>
        </is>
      </c>
      <c r="F804" t="inlineStr"/>
      <c r="G804" t="inlineStr"/>
      <c r="H804" t="inlineStr">
        <is>
          <t>1.15%</t>
        </is>
      </c>
      <c r="I804" t="inlineStr">
        <is>
          <t>0.00%</t>
        </is>
      </c>
    </row>
    <row r="805">
      <c r="A805" s="2" t="n">
        <v>45982</v>
      </c>
      <c r="B805" t="inlineStr">
        <is>
          <t>TR2B3</t>
        </is>
      </c>
      <c r="C805" t="inlineStr">
        <is>
          <t>GICS_INDUSTRY_GROUP_NAME</t>
        </is>
      </c>
      <c r="D805" t="inlineStr">
        <is>
          <t>Commercial &amp; Professional Services</t>
        </is>
      </c>
      <c r="E805" t="inlineStr">
        <is>
          <t>Industrials</t>
        </is>
      </c>
      <c r="F805" t="inlineStr"/>
      <c r="G805" t="inlineStr"/>
      <c r="H805" t="inlineStr">
        <is>
          <t>1.10%</t>
        </is>
      </c>
      <c r="I805" t="inlineStr">
        <is>
          <t>0.00%</t>
        </is>
      </c>
    </row>
    <row r="806">
      <c r="A806" s="2" t="n">
        <v>45982</v>
      </c>
      <c r="B806" t="inlineStr">
        <is>
          <t>TR2B3</t>
        </is>
      </c>
      <c r="C806" t="inlineStr">
        <is>
          <t>GICS_INDUSTRY_NAME</t>
        </is>
      </c>
      <c r="D806" t="inlineStr">
        <is>
          <t>Commercial Services &amp; Supplies</t>
        </is>
      </c>
      <c r="E806" t="inlineStr">
        <is>
          <t>Industrials</t>
        </is>
      </c>
      <c r="F806" t="inlineStr"/>
      <c r="G806" t="inlineStr"/>
      <c r="H806" t="inlineStr">
        <is>
          <t>1.10%</t>
        </is>
      </c>
      <c r="I806" t="inlineStr">
        <is>
          <t>0.00%</t>
        </is>
      </c>
    </row>
    <row r="807">
      <c r="A807" s="2" t="n">
        <v>45982</v>
      </c>
      <c r="B807" t="inlineStr">
        <is>
          <t>TR2B3</t>
        </is>
      </c>
      <c r="C807" t="inlineStr">
        <is>
          <t>GICS_INDUSTRY_GROUP_NAME</t>
        </is>
      </c>
      <c r="D807" t="inlineStr">
        <is>
          <t>Household &amp; Personal Products</t>
        </is>
      </c>
      <c r="E807" t="inlineStr">
        <is>
          <t>Consumer Staples</t>
        </is>
      </c>
      <c r="F807" t="inlineStr"/>
      <c r="G807" t="inlineStr"/>
      <c r="H807" t="inlineStr">
        <is>
          <t>0.98%</t>
        </is>
      </c>
      <c r="I807" t="inlineStr">
        <is>
          <t>0.00%</t>
        </is>
      </c>
    </row>
    <row r="808">
      <c r="A808" s="2" t="n">
        <v>45982</v>
      </c>
      <c r="B808" t="inlineStr">
        <is>
          <t>TR2B3</t>
        </is>
      </c>
      <c r="C808" t="inlineStr">
        <is>
          <t>GICS_INDUSTRY_NAME</t>
        </is>
      </c>
      <c r="D808" t="inlineStr">
        <is>
          <t>Household Products</t>
        </is>
      </c>
      <c r="E808" t="inlineStr">
        <is>
          <t>Consumer Staples</t>
        </is>
      </c>
      <c r="F808" t="inlineStr"/>
      <c r="G808" t="inlineStr"/>
      <c r="H808" t="inlineStr">
        <is>
          <t>0.98%</t>
        </is>
      </c>
      <c r="I808" t="inlineStr">
        <is>
          <t>0.00%</t>
        </is>
      </c>
    </row>
    <row r="809">
      <c r="A809" s="2" t="n">
        <v>45982</v>
      </c>
      <c r="B809" t="inlineStr">
        <is>
          <t>TR2B3</t>
        </is>
      </c>
      <c r="C809" t="inlineStr">
        <is>
          <t>GICS_INDUSTRY_NAME</t>
        </is>
      </c>
      <c r="D809" t="inlineStr">
        <is>
          <t>Ground Transportation</t>
        </is>
      </c>
      <c r="E809" t="inlineStr">
        <is>
          <t>Industrials</t>
        </is>
      </c>
      <c r="F809" t="inlineStr"/>
      <c r="G809" t="inlineStr"/>
      <c r="H809" t="inlineStr">
        <is>
          <t>0.93%</t>
        </is>
      </c>
      <c r="I809" t="inlineStr">
        <is>
          <t>0.00%</t>
        </is>
      </c>
    </row>
    <row r="810">
      <c r="A810" s="2" t="n">
        <v>45982</v>
      </c>
      <c r="B810" t="inlineStr">
        <is>
          <t>TR2B3</t>
        </is>
      </c>
      <c r="C810" t="inlineStr">
        <is>
          <t>GICS_INDUSTRY_NAME</t>
        </is>
      </c>
      <c r="D810" t="inlineStr">
        <is>
          <t>Tobacco</t>
        </is>
      </c>
      <c r="E810" t="inlineStr">
        <is>
          <t>Consumer Staples</t>
        </is>
      </c>
      <c r="F810" t="inlineStr"/>
      <c r="G810" t="inlineStr"/>
      <c r="H810" t="inlineStr">
        <is>
          <t>0.87%</t>
        </is>
      </c>
      <c r="I810" t="inlineStr">
        <is>
          <t>0.00%</t>
        </is>
      </c>
    </row>
    <row r="811">
      <c r="A811" s="2" t="n">
        <v>45982</v>
      </c>
      <c r="B811" t="inlineStr">
        <is>
          <t>TR2B3</t>
        </is>
      </c>
      <c r="C811" t="inlineStr">
        <is>
          <t>GICS_INDUSTRY_GROUP_NAME</t>
        </is>
      </c>
      <c r="D811" t="inlineStr">
        <is>
          <t>Telecommunication Services</t>
        </is>
      </c>
      <c r="E811" t="inlineStr">
        <is>
          <t>Communication Services</t>
        </is>
      </c>
      <c r="F811" t="inlineStr"/>
      <c r="G811" t="inlineStr"/>
      <c r="H811" t="inlineStr">
        <is>
          <t>0.84%</t>
        </is>
      </c>
      <c r="I811" t="inlineStr">
        <is>
          <t>0.00%</t>
        </is>
      </c>
    </row>
    <row r="812">
      <c r="A812" s="2" t="n">
        <v>45982</v>
      </c>
      <c r="B812" t="inlineStr">
        <is>
          <t>TR2B3</t>
        </is>
      </c>
      <c r="C812" t="inlineStr">
        <is>
          <t>GICS_INDUSTRY_NAME</t>
        </is>
      </c>
      <c r="D812" t="inlineStr">
        <is>
          <t>Diversified Telecommunication Services</t>
        </is>
      </c>
      <c r="E812" t="inlineStr">
        <is>
          <t>Communication Services</t>
        </is>
      </c>
      <c r="F812" t="inlineStr"/>
      <c r="G812" t="inlineStr"/>
      <c r="H812" t="inlineStr">
        <is>
          <t>0.84%</t>
        </is>
      </c>
      <c r="I812" t="inlineStr">
        <is>
          <t>0.00%</t>
        </is>
      </c>
    </row>
    <row r="813">
      <c r="A813" s="2" t="n">
        <v>45982</v>
      </c>
      <c r="B813" t="inlineStr">
        <is>
          <t>TR2B3</t>
        </is>
      </c>
      <c r="C813" t="inlineStr">
        <is>
          <t>GICS_INDUSTRY_NAME</t>
        </is>
      </c>
      <c r="D813" t="inlineStr">
        <is>
          <t>Industrial Conglomerates</t>
        </is>
      </c>
      <c r="E813" t="inlineStr">
        <is>
          <t>Industrials</t>
        </is>
      </c>
      <c r="F813" t="inlineStr"/>
      <c r="G813" t="inlineStr"/>
      <c r="H813" t="inlineStr">
        <is>
          <t>0.84%</t>
        </is>
      </c>
      <c r="I813" t="inlineStr">
        <is>
          <t>0.00%</t>
        </is>
      </c>
    </row>
    <row r="814">
      <c r="A814" s="2" t="n">
        <v>45982</v>
      </c>
      <c r="B814" t="inlineStr">
        <is>
          <t>TR2B3</t>
        </is>
      </c>
      <c r="C814" t="inlineStr">
        <is>
          <t>GICS_INDUSTRY_NAME</t>
        </is>
      </c>
      <c r="D814" t="inlineStr">
        <is>
          <t>Life Sciences Tools &amp; Services</t>
        </is>
      </c>
      <c r="E814" t="inlineStr">
        <is>
          <t>Health Care</t>
        </is>
      </c>
      <c r="F814" t="inlineStr"/>
      <c r="G814" t="inlineStr"/>
      <c r="H814" t="inlineStr">
        <is>
          <t>0.80%</t>
        </is>
      </c>
      <c r="I814" t="inlineStr">
        <is>
          <t>0.00%</t>
        </is>
      </c>
    </row>
    <row r="815">
      <c r="A815" s="2" t="n">
        <v>45982</v>
      </c>
      <c r="B815" t="inlineStr">
        <is>
          <t>TR2B3</t>
        </is>
      </c>
      <c r="C815" t="inlineStr">
        <is>
          <t>GICS_INDUSTRY_NAME</t>
        </is>
      </c>
      <c r="D815" t="inlineStr">
        <is>
          <t>Electrical Equipment</t>
        </is>
      </c>
      <c r="E815" t="inlineStr">
        <is>
          <t>Industrials</t>
        </is>
      </c>
      <c r="F815" t="inlineStr"/>
      <c r="G815" t="inlineStr"/>
      <c r="H815" t="inlineStr">
        <is>
          <t>0.79%</t>
        </is>
      </c>
      <c r="I815" t="inlineStr">
        <is>
          <t>0.00%</t>
        </is>
      </c>
    </row>
    <row r="816">
      <c r="A816" s="2" t="n">
        <v>45982</v>
      </c>
      <c r="B816" t="inlineStr">
        <is>
          <t>TR2B3</t>
        </is>
      </c>
      <c r="C816" t="inlineStr">
        <is>
          <t>GICS_INDUSTRY_GROUP_NAME</t>
        </is>
      </c>
      <c r="D816" t="inlineStr">
        <is>
          <t>Consumer Durables &amp; Apparel</t>
        </is>
      </c>
      <c r="E816" t="inlineStr">
        <is>
          <t>Consumer Discretionary</t>
        </is>
      </c>
      <c r="F816" t="inlineStr"/>
      <c r="G816" t="inlineStr"/>
      <c r="H816" t="inlineStr">
        <is>
          <t>0.53%</t>
        </is>
      </c>
      <c r="I816" t="inlineStr">
        <is>
          <t>0.00%</t>
        </is>
      </c>
    </row>
    <row r="817">
      <c r="A817" s="2" t="n">
        <v>45982</v>
      </c>
      <c r="B817" t="inlineStr">
        <is>
          <t>TR2B3</t>
        </is>
      </c>
      <c r="C817" t="inlineStr">
        <is>
          <t>GICS_INDUSTRY_NAME</t>
        </is>
      </c>
      <c r="D817" t="inlineStr">
        <is>
          <t>Textiles, Apparel &amp; Luxury Goods</t>
        </is>
      </c>
      <c r="E817" t="inlineStr">
        <is>
          <t>Consumer Discretionary</t>
        </is>
      </c>
      <c r="F817" t="inlineStr"/>
      <c r="G817" t="inlineStr"/>
      <c r="H817" t="inlineStr">
        <is>
          <t>0.53%</t>
        </is>
      </c>
      <c r="I817" t="inlineStr">
        <is>
          <t>0.00%</t>
        </is>
      </c>
    </row>
    <row r="818">
      <c r="A818" s="2" t="n">
        <v>45982</v>
      </c>
      <c r="B818" t="inlineStr">
        <is>
          <t>TR2B3</t>
        </is>
      </c>
      <c r="C818" t="inlineStr">
        <is>
          <t>GICS_INDUSTRY_NAME</t>
        </is>
      </c>
      <c r="D818" t="inlineStr">
        <is>
          <t>Consumer Finance</t>
        </is>
      </c>
      <c r="E818" t="inlineStr">
        <is>
          <t>Financials</t>
        </is>
      </c>
      <c r="F818" t="inlineStr"/>
      <c r="G818" t="inlineStr"/>
      <c r="H818" t="inlineStr">
        <is>
          <t>0.51%</t>
        </is>
      </c>
      <c r="I818" t="inlineStr">
        <is>
          <t>0.00%</t>
        </is>
      </c>
    </row>
    <row r="819">
      <c r="A819" s="2" t="n">
        <v>45982</v>
      </c>
      <c r="B819" t="inlineStr">
        <is>
          <t>TR2B3</t>
        </is>
      </c>
      <c r="C819" t="inlineStr">
        <is>
          <t>GICS_INDUSTRY_NAME</t>
        </is>
      </c>
      <c r="D819" t="inlineStr">
        <is>
          <t>Air Freight &amp; Logistics</t>
        </is>
      </c>
      <c r="E819" t="inlineStr">
        <is>
          <t>Industrials</t>
        </is>
      </c>
      <c r="F819" t="inlineStr"/>
      <c r="G819" t="inlineStr"/>
      <c r="H819" t="inlineStr">
        <is>
          <t>0.39%</t>
        </is>
      </c>
      <c r="I819" t="inlineStr">
        <is>
          <t>0.00%</t>
        </is>
      </c>
    </row>
    <row r="820">
      <c r="A820" s="2" t="n">
        <v>45982</v>
      </c>
      <c r="B820" t="inlineStr">
        <is>
          <t>TR2B3</t>
        </is>
      </c>
      <c r="C820" t="inlineStr">
        <is>
          <t>GICS_INDUSTRY_NAME</t>
        </is>
      </c>
      <c r="D820" t="inlineStr">
        <is>
          <t>Media</t>
        </is>
      </c>
      <c r="E820" t="inlineStr">
        <is>
          <t>Communication Services</t>
        </is>
      </c>
      <c r="F820" t="inlineStr"/>
      <c r="G820" t="inlineStr"/>
      <c r="H820" t="inlineStr">
        <is>
          <t>0.19%</t>
        </is>
      </c>
      <c r="I820" t="inlineStr">
        <is>
          <t>0.00%</t>
        </is>
      </c>
    </row>
    <row r="821">
      <c r="A821" s="2" t="n">
        <v>45982</v>
      </c>
      <c r="B821" t="inlineStr">
        <is>
          <t>TR2B3</t>
        </is>
      </c>
      <c r="C821" t="inlineStr">
        <is>
          <t>GICS_INDUSTRY_NAME</t>
        </is>
      </c>
      <c r="D821" t="inlineStr">
        <is>
          <t>Food Products</t>
        </is>
      </c>
      <c r="E821" t="inlineStr">
        <is>
          <t>Consumer Staples</t>
        </is>
      </c>
      <c r="F821" t="inlineStr"/>
      <c r="G821" t="inlineStr"/>
      <c r="H821" t="inlineStr">
        <is>
          <t>0.19%</t>
        </is>
      </c>
      <c r="I821" t="inlineStr">
        <is>
          <t>0.00%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50" customWidth="1" min="1" max="1"/>
    <col width="8" customWidth="1" min="2" max="2"/>
    <col width="33" customWidth="1" min="3" max="3"/>
    <col width="27" customWidth="1" min="4" max="4"/>
    <col width="41" customWidth="1" min="5" max="5"/>
    <col width="27" customWidth="1" min="6" max="6"/>
    <col width="20" customWidth="1" min="7" max="7"/>
    <col width="20" customWidth="1" min="8" max="8"/>
    <col width="20" customWidth="1" min="9" max="9"/>
    <col width="20" customWidth="1" min="10" max="10"/>
    <col width="20" customWidth="1" min="11" max="11"/>
    <col width="10" customWidth="1" min="12" max="12"/>
    <col width="28" customWidth="1" min="13" max="13"/>
    <col width="26" customWidth="1" min="14" max="14"/>
    <col width="14" customWidth="1" min="15" max="15"/>
    <col width="27" customWidth="1" min="16" max="16"/>
  </cols>
  <sheetData>
    <row r="1">
      <c r="A1" s="1" t="inlineStr">
        <is>
          <t>Date</t>
        </is>
      </c>
      <c r="B1" s="1" t="inlineStr">
        <is>
          <t>Fund</t>
        </is>
      </c>
      <c r="C1" s="1" t="inlineStr">
        <is>
          <t>Prospectus 80% Compliance</t>
        </is>
      </c>
      <c r="D1" s="1" t="inlineStr">
        <is>
          <t>Total Equity Market Value</t>
        </is>
      </c>
      <c r="E1" s="1" t="inlineStr">
        <is>
          <t>Total Option Delta Notional Value (DAN)</t>
        </is>
      </c>
      <c r="F1" s="1" t="inlineStr">
        <is>
          <t>Total Option Market Value</t>
        </is>
      </c>
      <c r="G1" s="1" t="inlineStr">
        <is>
          <t>Total T-Bill Value</t>
        </is>
      </c>
      <c r="H1" s="1" t="inlineStr">
        <is>
          <t>Total Cash Value</t>
        </is>
      </c>
      <c r="I1" s="1" t="inlineStr">
        <is>
          <t>Max(CCET - DAN, 0)</t>
        </is>
      </c>
      <c r="J1" s="1" t="inlineStr">
        <is>
          <t>Denominator</t>
        </is>
      </c>
      <c r="K1" s="1" t="inlineStr">
        <is>
          <t>Numerator</t>
        </is>
      </c>
      <c r="L1" s="1" t="inlineStr">
        <is>
          <t>Formula</t>
        </is>
      </c>
      <c r="M1" s="1" t="inlineStr">
        <is>
          <t>Denominator (Market Value)</t>
        </is>
      </c>
      <c r="N1" s="1" t="inlineStr">
        <is>
          <t>Numerator (Market Value)</t>
        </is>
      </c>
      <c r="O1" s="1" t="inlineStr">
        <is>
          <t>Formula (MV)</t>
        </is>
      </c>
      <c r="P1" s="1" t="inlineStr">
        <is>
          <t>Options in Scope for 80%?</t>
        </is>
      </c>
    </row>
    <row r="2">
      <c r="A2" s="2" t="n">
        <v>45982</v>
      </c>
      <c r="B2" t="inlineStr">
        <is>
          <t>HE3B1</t>
        </is>
      </c>
      <c r="C2" s="3">
        <f>IF(K2/J2&gt;=0.8,"PASS","FAIL")</f>
        <v/>
      </c>
      <c r="D2" s="3" t="n">
        <v>37688225.19000001</v>
      </c>
      <c r="E2" s="3" t="n">
        <v>3807566.75883922</v>
      </c>
      <c r="F2" s="3" t="n">
        <v>-119731</v>
      </c>
      <c r="G2" s="3" t="n">
        <v>0</v>
      </c>
      <c r="H2" s="3" t="n">
        <v>16128.849609375</v>
      </c>
      <c r="I2" s="3" t="n">
        <v>0</v>
      </c>
      <c r="J2" s="3" t="n">
        <v>41511920.7984486</v>
      </c>
      <c r="K2" s="3" t="n">
        <v>37688225.19000001</v>
      </c>
      <c r="L2" s="4">
        <f>K2/J2</f>
        <v/>
      </c>
      <c r="M2" s="3" t="n">
        <v>37584623.03960938</v>
      </c>
      <c r="N2" s="3" t="n">
        <v>37688225.19000001</v>
      </c>
      <c r="O2" s="4">
        <f>N2/M2</f>
        <v/>
      </c>
      <c r="P2" t="inlineStr">
        <is>
          <t>No</t>
        </is>
      </c>
    </row>
    <row r="3">
      <c r="A3" s="2" t="n">
        <v>45982</v>
      </c>
      <c r="B3" t="inlineStr">
        <is>
          <t>P20127</t>
        </is>
      </c>
      <c r="C3" s="3">
        <f>IF(K3/J3&gt;=0.8,"PASS","FAIL")</f>
        <v/>
      </c>
      <c r="D3" s="3" t="n">
        <v>90885267.32999998</v>
      </c>
      <c r="E3" s="3" t="n">
        <v>11214504.19962986</v>
      </c>
      <c r="F3" s="3" t="n">
        <v>-350827</v>
      </c>
      <c r="G3" s="3" t="n">
        <v>0</v>
      </c>
      <c r="H3" s="3" t="n">
        <v>152217.4853515625</v>
      </c>
      <c r="I3" s="3" t="n">
        <v>0</v>
      </c>
      <c r="J3" s="3" t="n">
        <v>102251989.0149814</v>
      </c>
      <c r="K3" s="3" t="n">
        <v>90885267.32999998</v>
      </c>
      <c r="L3" s="4">
        <f>K3/J3</f>
        <v/>
      </c>
      <c r="M3" s="3" t="n">
        <v>90686657.81535155</v>
      </c>
      <c r="N3" s="3" t="n">
        <v>90885267.32999998</v>
      </c>
      <c r="O3" s="4">
        <f>N3/M3</f>
        <v/>
      </c>
      <c r="P3" t="inlineStr">
        <is>
          <t>No</t>
        </is>
      </c>
    </row>
    <row r="4">
      <c r="A4" s="2" t="n">
        <v>45982</v>
      </c>
      <c r="B4" t="inlineStr">
        <is>
          <t>HE3B3</t>
        </is>
      </c>
      <c r="C4" s="3">
        <f>IF(K4/J4&gt;=0.8,"PASS","FAIL")</f>
        <v/>
      </c>
      <c r="D4" s="3" t="n">
        <v>14469529.09</v>
      </c>
      <c r="E4" s="3" t="n">
        <v>1458206.56695132</v>
      </c>
      <c r="F4" s="3" t="n">
        <v>-46997</v>
      </c>
      <c r="G4" s="3" t="n">
        <v>0</v>
      </c>
      <c r="H4" s="3" t="n">
        <v>24443.34024047852</v>
      </c>
      <c r="I4" s="3" t="n">
        <v>0</v>
      </c>
      <c r="J4" s="3" t="n">
        <v>15952178.9971918</v>
      </c>
      <c r="K4" s="3" t="n">
        <v>14469529.09</v>
      </c>
      <c r="L4" s="4">
        <f>K4/J4</f>
        <v/>
      </c>
      <c r="M4" s="3" t="n">
        <v>14446975.43024048</v>
      </c>
      <c r="N4" s="3" t="n">
        <v>14469529.09</v>
      </c>
      <c r="O4" s="4">
        <f>N4/M4</f>
        <v/>
      </c>
      <c r="P4" t="inlineStr">
        <is>
          <t>No</t>
        </is>
      </c>
    </row>
    <row r="5">
      <c r="A5" s="2" t="n">
        <v>45982</v>
      </c>
      <c r="B5" t="inlineStr">
        <is>
          <t>P31027</t>
        </is>
      </c>
      <c r="C5" s="3">
        <f>IF(K5/J5&gt;=0.8,"PASS","FAIL")</f>
        <v/>
      </c>
      <c r="D5" s="3" t="n">
        <v>13626823.33</v>
      </c>
      <c r="E5" s="3" t="n">
        <v>1442929.43121732</v>
      </c>
      <c r="F5" s="3" t="n">
        <v>-45305</v>
      </c>
      <c r="G5" s="3" t="n">
        <v>0</v>
      </c>
      <c r="H5" s="3" t="n">
        <v>24651.04956054688</v>
      </c>
      <c r="I5" s="3" t="n">
        <v>0</v>
      </c>
      <c r="J5" s="3" t="n">
        <v>15094403.81077787</v>
      </c>
      <c r="K5" s="3" t="n">
        <v>13626823.33</v>
      </c>
      <c r="L5" s="4">
        <f>K5/J5</f>
        <v/>
      </c>
      <c r="M5" s="3" t="n">
        <v>13606169.37956055</v>
      </c>
      <c r="N5" s="3" t="n">
        <v>13626823.33</v>
      </c>
      <c r="O5" s="4">
        <f>N5/M5</f>
        <v/>
      </c>
      <c r="P5" t="inlineStr">
        <is>
          <t>No</t>
        </is>
      </c>
    </row>
    <row r="6">
      <c r="A6" s="2" t="n">
        <v>45982</v>
      </c>
      <c r="B6" t="inlineStr">
        <is>
          <t>P3727</t>
        </is>
      </c>
      <c r="C6" s="3">
        <f>IF(K6/J6&gt;=0.8,"PASS","FAIL")</f>
        <v/>
      </c>
      <c r="D6" s="3" t="n">
        <v>70998752.15000001</v>
      </c>
      <c r="E6" s="3" t="n">
        <v>7023581.689083431</v>
      </c>
      <c r="F6" s="3" t="n">
        <v>-219641</v>
      </c>
      <c r="G6" s="3" t="n">
        <v>0</v>
      </c>
      <c r="H6" s="3" t="n">
        <v>74127.681640625</v>
      </c>
      <c r="I6" s="3" t="n">
        <v>0</v>
      </c>
      <c r="J6" s="3" t="n">
        <v>78096461.52072406</v>
      </c>
      <c r="K6" s="3" t="n">
        <v>70998752.15000001</v>
      </c>
      <c r="L6" s="4">
        <f>K6/J6</f>
        <v/>
      </c>
      <c r="M6" s="3" t="n">
        <v>70853238.83164063</v>
      </c>
      <c r="N6" s="3" t="n">
        <v>70998752.15000001</v>
      </c>
      <c r="O6" s="4">
        <f>N6/M6</f>
        <v/>
      </c>
      <c r="P6" t="inlineStr">
        <is>
          <t>No</t>
        </is>
      </c>
    </row>
    <row r="7">
      <c r="A7" s="2" t="n">
        <v>45982</v>
      </c>
      <c r="B7" t="inlineStr">
        <is>
          <t>P2726</t>
        </is>
      </c>
      <c r="C7" s="3">
        <f>IF(K7/J7&gt;=0.8,"PASS","FAIL")</f>
        <v/>
      </c>
      <c r="D7" s="3" t="n">
        <v>32387560.92</v>
      </c>
      <c r="E7" s="3" t="n">
        <v>4040290.64554105</v>
      </c>
      <c r="F7" s="3" t="n">
        <v>-126569</v>
      </c>
      <c r="G7" s="3" t="n">
        <v>0</v>
      </c>
      <c r="H7" s="3" t="n">
        <v>11346.5400390625</v>
      </c>
      <c r="I7" s="3" t="n">
        <v>0</v>
      </c>
      <c r="J7" s="3" t="n">
        <v>36439198.10558011</v>
      </c>
      <c r="K7" s="3" t="n">
        <v>32387560.92</v>
      </c>
      <c r="L7" s="4">
        <f>K7/J7</f>
        <v/>
      </c>
      <c r="M7" s="3" t="n">
        <v>32272338.46003906</v>
      </c>
      <c r="N7" s="3" t="n">
        <v>32387560.92</v>
      </c>
      <c r="O7" s="4">
        <f>N7/M7</f>
        <v/>
      </c>
      <c r="P7" t="inlineStr">
        <is>
          <t>No</t>
        </is>
      </c>
    </row>
    <row r="8">
      <c r="A8" s="2" t="n">
        <v>45982</v>
      </c>
      <c r="B8" t="inlineStr">
        <is>
          <t>P21026</t>
        </is>
      </c>
      <c r="C8" s="3">
        <f>IF(K8/J8&gt;=0.8,"PASS","FAIL")</f>
        <v/>
      </c>
      <c r="D8" s="3" t="n">
        <v>21278266.73</v>
      </c>
      <c r="E8" s="3" t="n">
        <v>2645806.15352089</v>
      </c>
      <c r="F8" s="3" t="n">
        <v>-83240</v>
      </c>
      <c r="G8" s="3" t="n">
        <v>0</v>
      </c>
      <c r="H8" s="3" t="n">
        <v>8206.440185546875</v>
      </c>
      <c r="I8" s="3" t="n">
        <v>0</v>
      </c>
      <c r="J8" s="3" t="n">
        <v>23932279.32370644</v>
      </c>
      <c r="K8" s="3" t="n">
        <v>21278266.73</v>
      </c>
      <c r="L8" s="4">
        <f>K8/J8</f>
        <v/>
      </c>
      <c r="M8" s="3" t="n">
        <v>21203233.17018555</v>
      </c>
      <c r="N8" s="3" t="n">
        <v>21278266.73</v>
      </c>
      <c r="O8" s="4">
        <f>N8/M8</f>
        <v/>
      </c>
      <c r="P8" t="inlineStr">
        <is>
          <t>No</t>
        </is>
      </c>
    </row>
    <row r="9">
      <c r="A9" s="2" t="n">
        <v>45982</v>
      </c>
      <c r="B9" t="inlineStr">
        <is>
          <t>R21126</t>
        </is>
      </c>
      <c r="C9" s="3">
        <f>IF(K9/J9&gt;=0.8,"PASS","FAIL")</f>
        <v/>
      </c>
      <c r="D9" s="3" t="n">
        <v>48822987.49999999</v>
      </c>
      <c r="E9" s="3" t="n">
        <v>512.83423728</v>
      </c>
      <c r="F9" s="3" t="n">
        <v>0</v>
      </c>
      <c r="G9" s="3" t="n">
        <v>0</v>
      </c>
      <c r="H9" s="3" t="n">
        <v>103663.44921875</v>
      </c>
      <c r="I9" s="3" t="n">
        <v>103150.61498147</v>
      </c>
      <c r="J9" s="3" t="n">
        <v>48927163.78345602</v>
      </c>
      <c r="K9" s="3" t="n">
        <v>48822987.49999999</v>
      </c>
      <c r="L9" s="4">
        <f>K9/J9</f>
        <v/>
      </c>
      <c r="M9" s="3" t="n">
        <v>48926650.94921874</v>
      </c>
      <c r="N9" s="3" t="n">
        <v>48822987.49999999</v>
      </c>
      <c r="O9" s="4">
        <f>N9/M9</f>
        <v/>
      </c>
      <c r="P9" t="inlineStr">
        <is>
          <t>No</t>
        </is>
      </c>
    </row>
    <row r="10">
      <c r="A10" s="2" t="n">
        <v>45982</v>
      </c>
      <c r="B10" t="inlineStr">
        <is>
          <t>P30128</t>
        </is>
      </c>
      <c r="C10" s="3">
        <f>IF(K10/J10&gt;=0.8,"PASS","FAIL")</f>
        <v/>
      </c>
      <c r="D10" s="3" t="n">
        <v>34704959.71</v>
      </c>
      <c r="E10" s="3" t="n">
        <v>3530389.09411996</v>
      </c>
      <c r="F10" s="3" t="n">
        <v>-110478</v>
      </c>
      <c r="G10" s="3" t="n">
        <v>0</v>
      </c>
      <c r="H10" s="3" t="n">
        <v>14653.4697265625</v>
      </c>
      <c r="I10" s="3" t="n">
        <v>0</v>
      </c>
      <c r="J10" s="3" t="n">
        <v>38250002.27384652</v>
      </c>
      <c r="K10" s="3" t="n">
        <v>34704959.71</v>
      </c>
      <c r="L10" s="4">
        <f>K10/J10</f>
        <v/>
      </c>
      <c r="M10" s="3" t="n">
        <v>34609135.17972656</v>
      </c>
      <c r="N10" s="3" t="n">
        <v>34704959.71</v>
      </c>
      <c r="O10" s="4">
        <f>N10/M10</f>
        <v/>
      </c>
      <c r="P10" t="inlineStr">
        <is>
          <t>No</t>
        </is>
      </c>
    </row>
    <row r="11">
      <c r="A11" s="2" t="n">
        <v>45982</v>
      </c>
      <c r="B11" t="inlineStr">
        <is>
          <t>HE3B2</t>
        </is>
      </c>
      <c r="C11" s="3">
        <f>IF(K11/J11&gt;=0.8,"PASS","FAIL")</f>
        <v/>
      </c>
      <c r="D11" s="3" t="n">
        <v>20531520.84</v>
      </c>
      <c r="E11" s="3" t="n">
        <v>2080648.20256421</v>
      </c>
      <c r="F11" s="3" t="n">
        <v>-65189</v>
      </c>
      <c r="G11" s="3" t="n">
        <v>0</v>
      </c>
      <c r="H11" s="3" t="n">
        <v>45873.9990234375</v>
      </c>
      <c r="I11" s="3" t="n">
        <v>0</v>
      </c>
      <c r="J11" s="3" t="n">
        <v>22658043.04158765</v>
      </c>
      <c r="K11" s="3" t="n">
        <v>20531520.84</v>
      </c>
      <c r="L11" s="4">
        <f>K11/J11</f>
        <v/>
      </c>
      <c r="M11" s="3" t="n">
        <v>20512205.83902344</v>
      </c>
      <c r="N11" s="3" t="n">
        <v>20531520.84</v>
      </c>
      <c r="O11" s="4">
        <f>N11/M11</f>
        <v/>
      </c>
      <c r="P11" t="inlineStr">
        <is>
          <t>No</t>
        </is>
      </c>
    </row>
    <row r="12">
      <c r="A12" t="inlineStr">
        <is>
          <t>* Note: Some funds' 80% policies include the options positions while others only include equity exposure.</t>
        </is>
      </c>
      <c r="B12" t="inlineStr"/>
      <c r="C12" t="inlineStr"/>
      <c r="D12" t="inlineStr"/>
      <c r="E12" t="inlineStr"/>
      <c r="F12" t="inlineStr"/>
      <c r="G12" t="inlineStr"/>
      <c r="H12" t="inlineStr"/>
      <c r="I12" t="inlineStr"/>
      <c r="J12" t="inlineStr"/>
      <c r="K12" t="inlineStr"/>
      <c r="L12" t="inlineStr"/>
      <c r="M12" t="inlineStr"/>
      <c r="N12" t="inlineStr"/>
      <c r="O12" t="inlineStr"/>
      <c r="P12" t="inlineStr"/>
    </row>
    <row r="13">
      <c r="A13" t="inlineStr">
        <is>
          <t>* CCET = Cash, Cash Equivalents, and T-bills (less than 1-year maturity).</t>
        </is>
      </c>
      <c r="B13" t="inlineStr"/>
      <c r="C13" t="inlineStr"/>
      <c r="D13" t="inlineStr"/>
      <c r="E13" t="inlineStr"/>
      <c r="F13" t="inlineStr"/>
      <c r="G13" t="inlineStr"/>
      <c r="H13" t="inlineStr"/>
      <c r="I13" t="inlineStr"/>
      <c r="J13" t="inlineStr"/>
      <c r="K13" t="inlineStr"/>
      <c r="L13" t="inlineStr"/>
      <c r="M13" t="inlineStr"/>
      <c r="N13" t="inlineStr"/>
      <c r="O13" t="inlineStr"/>
      <c r="P13"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4"/>
  <sheetViews>
    <sheetView workbookViewId="0">
      <selection activeCell="A1" sqref="A1"/>
    </sheetView>
  </sheetViews>
  <sheetFormatPr baseColWidth="8" defaultRowHeight="15"/>
  <cols>
    <col width="50" customWidth="1" min="1" max="1"/>
    <col width="8" customWidth="1" min="2" max="2"/>
    <col width="19" customWidth="1" min="3" max="3"/>
    <col width="19" customWidth="1" min="4" max="4"/>
    <col width="28" customWidth="1" min="5" max="5"/>
    <col width="34" customWidth="1" min="6" max="6"/>
    <col width="31" customWidth="1" min="7" max="7"/>
    <col width="43" customWidth="1" min="8" max="8"/>
    <col width="50" customWidth="1" min="9" max="9"/>
    <col width="14" customWidth="1" min="10" max="10"/>
    <col width="30" customWidth="1" min="11" max="11"/>
    <col width="14" customWidth="1" min="12" max="12"/>
    <col width="10" customWidth="1" min="13" max="13"/>
    <col width="42" customWidth="1" min="14" max="14"/>
    <col width="50" customWidth="1" min="15" max="15"/>
    <col width="50" customWidth="1" min="16" max="16"/>
    <col width="42" customWidth="1" min="17" max="17"/>
    <col width="43" customWidth="1" min="18" max="18"/>
    <col width="50" customWidth="1" min="19" max="19"/>
    <col width="40" customWidth="1" min="20" max="20"/>
    <col width="18" customWidth="1" min="21" max="21"/>
    <col width="23" customWidth="1" min="22" max="22"/>
    <col width="7" customWidth="1" min="23" max="23"/>
  </cols>
  <sheetData>
    <row r="1">
      <c r="A1" s="1" t="inlineStr">
        <is>
          <t>Date</t>
        </is>
      </c>
      <c r="B1" s="1" t="inlineStr">
        <is>
          <t>Fund</t>
        </is>
      </c>
      <c r="C1" s="1" t="inlineStr">
        <is>
          <t>Fund Registration</t>
        </is>
      </c>
      <c r="D1" s="1" t="inlineStr">
        <is>
          <t>Fund Status Today</t>
        </is>
      </c>
      <c r="E1" s="1" t="inlineStr">
        <is>
          <t>Registration Match</t>
        </is>
      </c>
      <c r="F1" s="1" t="inlineStr">
        <is>
          <t>Condition 40 Act 1</t>
        </is>
      </c>
      <c r="G1" s="1" t="inlineStr">
        <is>
          <t>Condition 40 Act 2a</t>
        </is>
      </c>
      <c r="H1" s="1" t="inlineStr">
        <is>
          <t>Condition 40 Act 2b</t>
        </is>
      </c>
      <c r="I1" s="1" t="inlineStr">
        <is>
          <t>Condition 2a OCC</t>
        </is>
      </c>
      <c r="J1" s="1" t="inlineStr">
        <is>
          <t>Total Assets</t>
        </is>
      </c>
      <c r="K1" s="1" t="inlineStr">
        <is>
          <t>Non-Qualifying Assets Weight</t>
        </is>
      </c>
      <c r="L1" s="1" t="inlineStr">
        <is>
          <t>Net Assets</t>
        </is>
      </c>
      <c r="M1" s="1" t="inlineStr">
        <is>
          <t>Expenses</t>
        </is>
      </c>
      <c r="N1" s="1" t="inlineStr">
        <is>
          <t>Issuer Limited Assets (Condition 2a) Sum</t>
        </is>
      </c>
      <c r="O1" s="1" t="inlineStr">
        <is>
          <t>Issuer Limited Assets (Condition 2a) (Ticker, IIV Shares, Mkt Value)</t>
        </is>
      </c>
      <c r="P1" s="1" t="inlineStr">
        <is>
          <t>Excluded Securities (25% Bucket)</t>
        </is>
      </c>
      <c r="Q1" s="1" t="inlineStr">
        <is>
          <t>Cumulative Weight of Excluded Securities</t>
        </is>
      </c>
      <c r="R1" s="1" t="inlineStr">
        <is>
          <t>Cumulative Weight of Remaining Securities</t>
        </is>
      </c>
      <c r="S1" s="1" t="inlineStr">
        <is>
          <t>Remaining Securities (Ticker, IIV Shares, Vest Weight, Vest Ownership of Float)</t>
        </is>
      </c>
      <c r="T1" s="1" t="inlineStr">
        <is>
          <t>Max Ownership % of Float in 75% bucket</t>
        </is>
      </c>
      <c r="U1" s="1" t="inlineStr">
        <is>
          <t>OCC Market Value</t>
        </is>
      </c>
      <c r="V1" s="1" t="inlineStr">
        <is>
          <t>OCC Weight</t>
        </is>
      </c>
      <c r="W1" s="1" t="inlineStr">
        <is>
          <t>Notes</t>
        </is>
      </c>
    </row>
    <row r="2">
      <c r="A2" s="2" t="n">
        <v>45982</v>
      </c>
      <c r="B2" t="inlineStr">
        <is>
          <t>HE3B1</t>
        </is>
      </c>
      <c r="C2" t="inlineStr">
        <is>
          <t>diversified</t>
        </is>
      </c>
      <c r="D2" t="inlineStr">
        <is>
          <t>diversified</t>
        </is>
      </c>
      <c r="E2" s="3">
        <f>IF(C2=D2,"PASS","FAIL")</f>
        <v/>
      </c>
      <c r="F2" s="3">
        <f>IF(L2/J2&gt;=0.75,"PASS","FAIL")</f>
        <v/>
      </c>
      <c r="G2" s="3">
        <f>IF(O2="None","PASS","FAIL")</f>
        <v/>
      </c>
      <c r="H2" s="3">
        <f>IF(T2="","",IF(T2&lt;=0.1,"PASS","FAIL"))</f>
        <v/>
      </c>
      <c r="I2" s="3">
        <f>IF(U2=0,"PASS",IF(U2&lt;=0.05*L2,"PASS","FAIL"))</f>
        <v/>
      </c>
      <c r="J2" s="3" t="n">
        <v>42720997.47</v>
      </c>
      <c r="K2" s="4" t="n">
        <v>0</v>
      </c>
      <c r="L2" s="3" t="n">
        <v>36907700.02</v>
      </c>
      <c r="M2" s="3" t="n">
        <v>7995.63</v>
      </c>
      <c r="N2" s="3" t="n">
        <v>0</v>
      </c>
      <c r="O2" t="inlineStr">
        <is>
          <t>None</t>
        </is>
      </c>
      <c r="P2" t="inlineStr">
        <is>
          <t>NVDA, AAPL, MSFT, AMZN</t>
        </is>
      </c>
      <c r="Q2" s="4" t="n">
        <v>0.2595271478528723</v>
      </c>
      <c r="R2" s="4" t="n">
        <v>0.7404728521471277</v>
      </c>
      <c r="S2" t="inlineStr">
        <is>
          <t>(AVGO, 4,330, 3.47%, 0.0000917%), (META, 1,652, 2.29%, 0.0000759%), (JPM, 3,193, 2.22%, 0.0001173%), (CSCO, 10,746, 1.92%, 0.0002720%), (TSLA, 2,036, 1.89%, 0.0000612%), (XOM, 5,425, 1.49%, 0.0001286%), (MA, 1,128, 1.43%, 0.0001266%), (JNJ, 2,732, 1.31%, 0.0001134%), (GE, 1,838, 1.24%, 0.0001742%), (ABBV, 2,005, 1.11%, 0.0001134%), (CAT, 820, 1.05%, 0.0001752%), (NEE, 4,898, 0.95%, 0.0002352%), (ABT, 3,134, 0.94%, 0.0001802%), (BAC, 7,572, 0.91%, 0.0001037%), (RTX, 2,260, 0.90%, 0.0001686%), (ISRG, 644, 0.85%, 0.0001817%), (WMT, 3,250, 0.81%, 0.0000408%), (GS, 432, 0.79%, 0.0001440%), (PLTR, 2,059, 0.75%, 0.0000901%), (ORCL, 1,615, 0.75%, 0.0000567%), (WFC, 3,776, 0.73%, 0.0001203%), (CVX, 2,063, 0.73%, 0.0001025%), (PG, 2,054, 0.72%, 0.0000879%), (AMD, 1,505, 0.72%, 0.0000924%), (MCD, 971, 0.70%, 0.0001363%), (COST, 332, 0.70%, 0.0000749%), (MRK, 2,870, 0.66%, 0.0001156%), (IBM, 929, 0.65%, 0.0000994%), (MS, 1,707, 0.63%, 0.0001074%), (KO, 3,714, 0.63%, 0.0000863%), (AXP, 766, 0.63%, 0.0001112%), (TMO, 434, 0.59%, 0.0001155%), (HD, 734, 0.59%, 0.0000737%), (MDT, 2,317, 0.55%, 0.0001806%), (SO, 2,610, 0.55%, 0.0002372%), (PM, 1,489, 0.54%, 0.0000957%), (BA, 1,269, 0.53%, 0.0001670%), (ETN, 671, 0.52%, 0.0001728%), (CRM, 960, 0.51%, 0.0001008%), (C, 2,145, 0.50%, 0.0001199%), (DE, 432, 0.49%, 0.0001598%), (HON, 1,104, 0.49%, 0.0001739%), (AMGN, 610, 0.49%, 0.0001133%), (NKE, 3,173, 0.47%, 0.0002668%), (UBER, 2,361, 0.46%, 0.0001136%), (PEP, 1,314, 0.45%, 0.0000961%), (INTU, 282, 0.44%, 0.0001013%), (SCHW, 2,057, 0.44%, 0.0001158%), (GILD, 1,414, 0.42%, 0.0001140%), (UNP, 787, 0.42%, 0.0001327%), (T, 6,866, 0.42%, 0.0004435%), (CVS, 2,274, 0.41%, 0.0001791%), (AMAT, 764, 0.40%, 0.0000959%), (QCOM, 1,030, 0.39%, 0.0000962%), (VZ, 4,028, 0.39%, 0.0000955%), (LMT, 358, 0.39%, 0.0001547%), (DHR, 729, 0.39%, 0.0001032%), (PFE, 6,430, 0.38%, 0.0001131%), (ACN, 628, 0.37%, 0.0001008%), (MMM, 925, 0.36%, 0.0001741%), (SPGI, 307, 0.36%, 0.0000990%), (ADBE, 442, 0.34%, 0.0001056%), (DIS, 1,372, 0.34%, 0.0000769%), (INTC, 3,999, 0.32%, 0.0000838%), (SBUX, 1,535, 0.31%, 0.0001350%), (TJX, 834, 0.30%, 0.0000749%), (EMR, 968, 0.29%, 0.0001723%), (BMY, 2,301, 0.25%, 0.0001130%), (LOW, 419, 0.23%, 0.0000747%), (MO, 1,623, 0.22%, 0.0000967%), (UPS, 950, 0.21%, 0.0001286%), (USB, 1,769, 0.20%, 0.0001138%), (CMCSA, 2,892, 0.19%, 0.0000796%), (FDX, 292, 0.18%, 0.0001238%), (MDLZ, 1,281, 0.17%, 0.0000993%), (PYPL, 968, 0.14%, 0.0001035%), (CL, 713, 0.13%, 0.0000885%), (TGT, 345, 0.07%, 0.0000762%), (AMT, 3,085, nan%, 0.0006590%), (BKNG, 45, nan%, 0.0001396%), (BLK, 200, nan%, 0.0001289%), (BRK/B, 0, nan%, 0.0000000%), (CB, 2,426, nan%, 0.0006164%), (COP, 1,597, nan%, 0.0001292%), (DUK, 1,840, nan%, 0.0002365%), (ELV, 419, nan%, 0.0001885%), (GOOGLE, 8,033, nan%, 0.0000716%), (LIN, 1,520, nan%, 0.0003255%), (LLY, 0, nan%, 0.0000000%), (MET, 3,763, nan%, 0.0005711%), (NFLX, 0, nan%, 0.0000000%), (NOW, 207, nan%, 0.0000998%), (SOLS, 238, nan%, 0.0001499%), (TXN, 0, nan%, 0.0000000%), (UNH, 0, nan%, 0.0000000%), (V, 0, nan%, 0.0000000%), (WM, 0, nan%, 0.0000000%), (nan, 0, nan%, 0.0000000%), (nan, 0, nan%, 0.0000000%)</t>
        </is>
      </c>
      <c r="T2" s="4" t="n">
        <v>6.589816096069052e-06</v>
      </c>
      <c r="U2" s="3" t="n">
        <v>119731</v>
      </c>
      <c r="V2" s="4" t="n">
        <v>0.00280262650899195</v>
      </c>
      <c r="W2" t="inlineStr"/>
    </row>
    <row r="3">
      <c r="A3" s="2" t="n">
        <v>45982</v>
      </c>
      <c r="B3" t="inlineStr">
        <is>
          <t>P20127</t>
        </is>
      </c>
      <c r="C3" t="inlineStr">
        <is>
          <t>diversified</t>
        </is>
      </c>
      <c r="D3" t="inlineStr">
        <is>
          <t>diversified</t>
        </is>
      </c>
      <c r="E3" s="3">
        <f>IF(C3=D3,"PASS","FAIL")</f>
        <v/>
      </c>
      <c r="F3" s="3">
        <f>IF(L3/J3&gt;=0.75,"PASS","FAIL")</f>
        <v/>
      </c>
      <c r="G3" s="3">
        <f>IF(O3="None","PASS","FAIL")</f>
        <v/>
      </c>
      <c r="H3" s="3">
        <f>IF(T3="","",IF(T3&lt;=0.1,"PASS","FAIL"))</f>
        <v/>
      </c>
      <c r="I3" s="3">
        <f>IF(U3=0,"PASS",IF(U3&lt;=0.05*L3,"PASS","FAIL"))</f>
        <v/>
      </c>
      <c r="J3" s="3" t="n">
        <v>99054093.83</v>
      </c>
      <c r="K3" s="4" t="n">
        <v>0</v>
      </c>
      <c r="L3" s="3" t="n">
        <v>91649106.63</v>
      </c>
      <c r="M3" s="3" t="n">
        <v>19871.88</v>
      </c>
      <c r="N3" s="3" t="n">
        <v>0</v>
      </c>
      <c r="O3" t="inlineStr">
        <is>
          <t>None</t>
        </is>
      </c>
      <c r="P3" t="inlineStr">
        <is>
          <t>NVDA, AAPL, MSFT, AVGO</t>
        </is>
      </c>
      <c r="Q3" s="4" t="n">
        <v>0.2616590378432585</v>
      </c>
      <c r="R3" s="4" t="n">
        <v>0.7383409621567415</v>
      </c>
      <c r="S3" t="inlineStr">
        <is>
          <t>(AMZN, 16,686, 3.70%, 0.0001561%), (META, 3,669, 2.19%, 0.0001685%), (CSCO, 25,917, 2.00%, 0.0006559%), (JPM, 6,629, 1.99%, 0.0002435%), (TSLA, 4,909, 1.96%, 0.0001476%), (V, 4,935, 1.64%, 0.0002924%), (XOM, 13,083, 1.54%, 0.0003102%), (WMT, 14,092, 1.51%, 0.0001767%), (MA, 2,341, 1.27%, 0.0002627%), (JNJ, 5,762, 1.19%, 0.0002392%), (UNH, 3,507, 1.13%, 0.0003872%), (GE, 3,828, 1.11%, 0.0003629%), (ABBV, 4,229, 1.01%, 0.0002393%), (NEE, 11,813, 0.99%, 0.0005672%), (CAT, 1,708, 0.95%, 0.0003650%), (ABT, 6,609, 0.86%, 0.0003801%), (BAC, 15,718, 0.82%, 0.0002152%), (RTX, 4,708, 0.81%, 0.0003511%), (AMD, 3,787, 0.78%, 0.0002326%), (ISRG, 1,357, 0.77%, 0.0003828%), (NFLX, 7,194, 0.76%, 0.0001698%), (CVX, 4,975, 0.75%, 0.0002471%), (PG, 4,953, 0.75%, 0.0002120%), (MCD, 2,341, 0.73%, 0.0003287%), (GS, 897, 0.70%, 0.0002991%), (IBM, 2,338, 0.70%, 0.0002501%), (KO, 8,957, 0.66%, 0.0002082%), (WFC, 7,839, 0.65%, 0.0002497%), (HD, 1,771, 0.61%, 0.0001779%), (MRK, 6,053, 0.60%, 0.0002439%), (SO, 6,294, 0.57%, 0.0005721%), (MS, 3,543, 0.57%, 0.0002229%), (AXP, 1,589, 0.57%, 0.0002307%), (PM, 3,592, 0.56%, 0.0002308%), (CRM, 2,417, 0.55%, 0.0002539%), (TMO, 915, 0.54%, 0.0002435%), (MDT, 4,887, 0.50%, 0.0003810%), (NKE, 7,652, 0.49%, 0.0006434%), (INTU, 709, 0.48%, 0.0002547%), (BA, 2,644, 0.48%, 0.0003479%), (UBER, 5,695, 0.48%, 0.0002741%), (PEP, 3,170, 0.47%, 0.0002318%), (ETN, 1,398, 0.46%, 0.0003599%), (DE, 900, 0.44%, 0.0003329%), (C, 4,453, 0.44%, 0.0002489%), (AMGN, 1,286, 0.44%, 0.0002388%), (HON, 2,300, 0.44%, 0.0003623%), (AMAT, 1,924, 0.44%, 0.0002415%), (QCOM, 2,592, 0.43%, 0.0002420%), (NOW, 521, 0.43%, 0.0002511%), (BLK, 416, 0.42%, 0.0002681%), (ACN, 1,580, 0.40%, 0.0002537%), (T, 15,252, 0.40%, 0.0009853%), (SCHW, 4,270, 0.39%, 0.0002403%), (GILD, 2,982, 0.38%, 0.0002404%), (CVS, 4,795, 0.38%, 0.0003777%), (UNP, 1,640, 0.37%, 0.0002765%), (VZ, 8,948, 0.37%, 0.0002122%), (SPGI, 739, 0.37%, 0.0002384%), (ADBE, 1,113, 0.36%, 0.0002659%), (DHR, 1,538, 0.35%, 0.0002177%), (INTC, 10,064, 0.35%, 0.0002110%), (LMT, 746, 0.35%, 0.0003224%), (TXN, 2,129, 0.34%, 0.0002343%), (PFE, 13,561, 0.34%, 0.0002385%), (MMM, 1,926, 0.33%, 0.0003626%), (DIS, 3,048, 0.32%, 0.0001707%), (SBUX, 3,702, 0.32%, 0.0003256%), (TJX, 2,011, 0.31%, 0.0001807%), (EMR, 2,017, 0.26%, 0.0003590%), (LOW, 1,011, 0.24%, 0.0001802%), (MO, 3,915, 0.23%, 0.0002332%), (BMY, 4,853, 0.23%, 0.0002384%), (UPS, 1,978, 0.19%, 0.0002677%), (USB, 3,673, 0.18%, 0.0002363%), (CMCSA, 6,424, 0.18%, 0.0001768%), (MDLZ, 3,089, 0.18%, 0.0002394%), (FDX, 608, 0.17%, 0.0002577%), (PYPL, 2,335, 0.14%, 0.0002496%), (CL, 1,718, 0.14%, 0.0002131%), (TGT, 1,496, 0.13%, 0.0003304%), (AMT, 7,439, nan%, 0.0015890%), (BKNG, 108, nan%, 0.0003351%), (BRK/B, 0, nan%, 0.0000000%), (CB, 5,035, nan%, 0.0012794%), (COP, 3,850, nan%, 0.0003116%), (COST, 0, nan%, 0.0000000%), (DUK, 4,437, nan%, 0.0005703%), (ELV, 884, nan%, 0.0003978%), (GOOGLE, 17,842, nan%, 0.0001589%), (LIN, 3,667, nan%, 0.0007853%), (LLY, 0, nan%, 0.0000000%), (MET, 7,812, nan%, 0.0011856%), (ORCL, 0, nan%, 0.0000000%), (PLTR, 0, nan%, 0.0000000%), (SOLS, 575, nan%, 0.0003623%), (WM, 4,598, nan%, 0.0011413%), (nan, 0, nan%, 0.0000000%), (nan, 0, nan%, 0.0000000%)</t>
        </is>
      </c>
      <c r="T3" s="4" t="n">
        <v>1.589032153603166e-05</v>
      </c>
      <c r="U3" s="3" t="n">
        <v>350827</v>
      </c>
      <c r="V3" s="4" t="n">
        <v>0.00354177183834624</v>
      </c>
      <c r="W3" t="inlineStr"/>
    </row>
    <row r="4">
      <c r="A4" s="2" t="n">
        <v>45982</v>
      </c>
      <c r="B4" t="inlineStr">
        <is>
          <t>HE3B3</t>
        </is>
      </c>
      <c r="C4" t="inlineStr">
        <is>
          <t>diversified</t>
        </is>
      </c>
      <c r="D4" t="inlineStr">
        <is>
          <t>diversified</t>
        </is>
      </c>
      <c r="E4" s="3">
        <f>IF(C4=D4,"PASS","FAIL")</f>
        <v/>
      </c>
      <c r="F4" s="3">
        <f>IF(L4/J4&gt;=0.75,"PASS","FAIL")</f>
        <v/>
      </c>
      <c r="G4" s="3">
        <f>IF(O4="None","PASS","FAIL")</f>
        <v/>
      </c>
      <c r="H4" s="3">
        <f>IF(T4="","",IF(T4&lt;=0.1,"PASS","FAIL"))</f>
        <v/>
      </c>
      <c r="I4" s="3">
        <f>IF(U4=0,"PASS",IF(U4&lt;=0.05*L4,"PASS","FAIL"))</f>
        <v/>
      </c>
      <c r="J4" s="3" t="n">
        <v>18076250.98</v>
      </c>
      <c r="K4" s="4" t="n">
        <v>0</v>
      </c>
      <c r="L4" s="3" t="n">
        <v>14635145.36</v>
      </c>
      <c r="M4" s="3" t="n">
        <v>3175.32</v>
      </c>
      <c r="N4" s="3" t="n">
        <v>0</v>
      </c>
      <c r="O4" t="inlineStr">
        <is>
          <t>None</t>
        </is>
      </c>
      <c r="P4" t="inlineStr">
        <is>
          <t>NVDA, AAPL, MSFT, GOOGLE, AMZN</t>
        </is>
      </c>
      <c r="Q4" s="4" t="n">
        <v>0.30846782515319</v>
      </c>
      <c r="R4" s="4" t="n">
        <v>0.69153217484681</v>
      </c>
      <c r="S4" t="inlineStr">
        <is>
          <t>(AVGO, 1,644, 3.13%, 0.0000348%), (META, 584, 1.92%, 0.0000268%), (BRK/B, 680, 1.90%, 0.0000493%), (CSCO, 4,126, 1.75%, 0.0001044%), (TSLA, 782, 1.72%, 0.0000235%), (LLY, 245, 1.44%, 0.0000259%), (JPM, 861, 1.42%, 0.0000316%), (XOM, 2,083, 1.35%, 0.0000494%), (LIN, 584, 1.33%, 0.0001251%), (AMT, 1,184, 1.18%, 0.0002529%), (V, 641, 1.17%, 0.0000380%), (CB, 654, 1.08%, 0.0001662%), (GE, 609, 0.97%, 0.0000577%), (MA, 304, 0.91%, 0.0000341%), (WM, 732, 0.88%, 0.0001817%), (NEE, 1,881, 0.86%, 0.0000903%), (JNJ, 750, 0.85%, 0.0000311%), (CAT, 272, 0.83%, 0.0000581%), (UNH, 456, 0.81%, 0.0000503%), (WMT, 1,248, 0.73%, 0.0000157%), (ABBV, 550, 0.72%, 0.0000311%), (RTX, 750, 0.71%, 0.0000559%), (PLTR, 782, 0.68%, 0.0000342%), (ORCL, 613, 0.67%, 0.0000215%), (NFLX, 1,145, 0.67%, 0.0000270%), (CVX, 792, 0.66%, 0.0000393%), (PG, 789, 0.66%, 0.0000338%), (AMD, 571, 0.65%, 0.0000351%), (MCD, 373, 0.64%, 0.0000524%), (COST, 127, 0.64%, 0.0000287%), (ABT, 860, 0.61%, 0.0000495%), (IBM, 353, 0.58%, 0.0000378%), (BAC, 2,040, 0.58%, 0.0000279%), (KO, 1,426, 0.58%, 0.0000332%), (ISRG, 177, 0.55%, 0.0000499%), (HD, 282, 0.54%, 0.0000283%), (GS, 116, 0.50%, 0.0000387%), (SO, 1,002, 0.50%, 0.0000911%), (PM, 572, 0.49%, 0.0000367%), (DUK, 707, 0.48%, 0.0000909%), (WFC, 1,018, 0.47%, 0.0000324%), (CRM, 365, 0.46%, 0.0000383%), (BKNG, 17, 0.45%, 0.0000527%), (MRK, 788, 0.43%, 0.0000317%), (NKE, 1,218, 0.43%, 0.0001024%), (MET, 1,014, 0.42%, 0.0001539%), (BA, 421, 0.42%, 0.0000554%), (UBER, 907, 0.42%, 0.0000437%), (PEP, 505, 0.41%, 0.0000369%), (ETN, 223, 0.41%, 0.0000574%), (MS, 460, 0.41%, 0.0000289%), (AXP, 206, 0.40%, 0.0000299%), (INTU, 107, 0.40%, 0.0000384%), (DE, 143, 0.39%, 0.0000529%), (TMO, 119, 0.39%, 0.0000317%), (HON, 366, 0.39%, 0.0000576%), (AMAT, 290, 0.36%, 0.0000364%), (MDT, 636, 0.36%, 0.0000496%), (NOW, 79, 0.36%, 0.0000381%), (QCOM, 391, 0.36%, 0.0000365%), (T, 2,428, 0.35%, 0.0001568%), (ACN, 238, 0.33%, 0.0000382%), (UNP, 261, 0.33%, 0.0000440%), (VZ, 1,425, 0.33%, 0.0000338%), (SPGI, 118, 0.32%, 0.0000381%), (C, 578, 0.32%, 0.0000323%), (AMGN, 167, 0.32%, 0.0000310%), (LMT, 119, 0.31%, 0.0000514%), (ADBE, 168, 0.30%, 0.0000401%), (BLK, 54, 0.30%, 0.0000348%), (COP, 613, 0.30%, 0.0000496%), (INTC, 1,518, 0.29%, 0.0000318%), (MMM, 307, 0.29%, 0.0000578%), (TXN, 321, 0.29%, 0.0000353%), (DIS, 485, 0.28%, 0.0000272%), (SBUX, 589, 0.28%, 0.0000518%), (SCHW, 554, 0.28%, 0.0000312%), (GILD, 388, 0.27%, 0.0000313%), (TJX, 320, 0.27%, 0.0000288%), (CVS, 624, 0.27%, 0.0000492%), (DHR, 200, 0.25%, 0.0000283%), (PFE, 1,764, 0.25%, 0.0000310%), (EMR, 321, 0.23%, 0.0000571%), (LOW, 161, 0.21%, 0.0000287%), (ELV, 115, 0.20%, 0.0000517%), (MO, 623, 0.20%, 0.0000371%), (UPS, 315, 0.17%, 0.0000426%), (BMY, 631, 0.16%, 0.0000310%), (CMCSA, 1,023, 0.16%, 0.0000281%), (MDLZ, 492, 0.15%, 0.0000381%), (FDX, 97, 0.15%, 0.0000411%), (USB, 477, 0.13%, 0.0000307%), (PYPL, 372, 0.12%, 0.0000398%), (CL, 274, 0.12%, 0.0000340%), (TGT, 132, 0.06%, 0.0000292%), (SOLS, 92, 0.02%, 0.0000580%)</t>
        </is>
      </c>
      <c r="T4" s="4" t="n">
        <v>2.529122287761996e-06</v>
      </c>
      <c r="U4" s="3" t="n">
        <v>46997</v>
      </c>
      <c r="V4" s="4" t="n">
        <v>0.002599930707534356</v>
      </c>
      <c r="W4" t="inlineStr"/>
    </row>
    <row r="5">
      <c r="A5" s="2" t="n">
        <v>45982</v>
      </c>
      <c r="B5" t="inlineStr">
        <is>
          <t>P31027</t>
        </is>
      </c>
      <c r="C5" t="inlineStr">
        <is>
          <t>diversified</t>
        </is>
      </c>
      <c r="D5" t="inlineStr">
        <is>
          <t>diversified</t>
        </is>
      </c>
      <c r="E5" s="3">
        <f>IF(C5=D5,"PASS","FAIL")</f>
        <v/>
      </c>
      <c r="F5" s="3">
        <f>IF(L5/J5&gt;=0.75,"PASS","FAIL")</f>
        <v/>
      </c>
      <c r="G5" s="3">
        <f>IF(O5="None","PASS","FAIL")</f>
        <v/>
      </c>
      <c r="H5" s="3">
        <f>IF(T5="","",IF(T5&lt;=0.1,"PASS","FAIL"))</f>
        <v/>
      </c>
      <c r="I5" s="3">
        <f>IF(U5=0,"PASS",IF(U5&lt;=0.05*L5,"PASS","FAIL"))</f>
        <v/>
      </c>
      <c r="J5" s="3" t="n">
        <v>15178148.85</v>
      </c>
      <c r="K5" s="4" t="n">
        <v>0</v>
      </c>
      <c r="L5" s="3" t="n">
        <v>13688837.05</v>
      </c>
      <c r="M5" s="3" t="n">
        <v>2966.19</v>
      </c>
      <c r="N5" s="3" t="n">
        <v>0</v>
      </c>
      <c r="O5" t="inlineStr">
        <is>
          <t>None</t>
        </is>
      </c>
      <c r="P5" t="inlineStr">
        <is>
          <t>NVDA, AAPL, MSFT, AVGO</t>
        </is>
      </c>
      <c r="Q5" s="4" t="n">
        <v>0.2628408495811556</v>
      </c>
      <c r="R5" s="4" t="n">
        <v>0.7371591504188444</v>
      </c>
      <c r="S5" t="inlineStr">
        <is>
          <t>(AMZN, 2,502, 3.62%, 0.0000234%), (META, 550, 2.15%, 0.0000253%), (CSCO, 3,886, 1.96%, 0.0000984%), (JPM, 994, 1.95%, 0.0000365%), (TSLA, 736, 1.92%, 0.0000221%), (V, 740, 1.60%, 0.0000438%), (XOM, 1,962, 1.51%, 0.0000465%), (WMT, 2,113, 1.48%, 0.0000265%), (MA, 351, 1.25%, 0.0000394%), (JNJ, 864, 1.17%, 0.0000359%), (UNH, 526, 1.11%, 0.0000581%), (GE, 574, 1.09%, 0.0000544%), (ABBV, 634, 0.99%, 0.0000359%), (NEE, 1,771, 0.97%, 0.0000850%), (CAT, 256, 0.92%, 0.0000547%), (ABT, 991, 0.84%, 0.0000570%), (BAC, 2,357, 0.80%, 0.0000323%), (RTX, 706, 0.79%, 0.0000527%), (AMD, 568, 0.77%, 0.0000349%), (NFLX, 1,079, 0.74%, 0.0000255%), (CVX, 746, 0.74%, 0.0000370%), (PG, 743, 0.74%, 0.0000318%), (MCD, 351, 0.72%, 0.0000493%), (IBM, 351, 0.69%, 0.0000376%), (KO, 1,343, 0.65%, 0.0000312%), (WFC, 1,176, 0.64%, 0.0000375%), (HD, 266, 0.60%, 0.0000267%), (MRK, 908, 0.59%, 0.0000366%), (SO, 944, 0.56%, 0.0000858%), (MS, 531, 0.56%, 0.0000334%), (AXP, 238, 0.55%, 0.0000346%), (PM, 539, 0.55%, 0.0000346%), (CRM, 362, 0.54%, 0.0000380%), (MDT, 733, 0.49%, 0.0000571%), (NKE, 1,147, 0.48%, 0.0000964%), (BA, 396, 0.47%, 0.0000521%), (UBER, 854, 0.47%, 0.0000411%), (PEP, 475, 0.46%, 0.0000347%), (C, 668, 0.43%, 0.0000373%), (HON, 345, 0.43%, 0.0000543%), (AMAT, 288, 0.43%, 0.0000362%), (QCOM, 389, 0.42%, 0.0000363%), (ACN, 237, 0.39%, 0.0000381%), (T, 2,287, 0.39%, 0.0001477%), (SCHW, 640, 0.38%, 0.0000360%), (GILD, 447, 0.38%, 0.0000360%), (CVS, 719, 0.37%, 0.0000566%), (UNP, 246, 0.37%, 0.0000415%), (VZ, 1,342, 0.37%, 0.0000318%), (DHR, 231, 0.34%, 0.0000327%), (INTC, 1,509, 0.34%, 0.0000316%), (PFE, 2,033, 0.34%, 0.0000358%), (TXN, 319, 0.34%, 0.0000351%), (MMM, 289, 0.32%, 0.0000544%), (DIS, 457, 0.31%, 0.0000256%), (SBUX, 555, 0.31%, 0.0000488%), (TJX, 302, 0.30%, 0.0000271%), (EMR, 302, 0.25%, 0.0000538%), (MO, 587, 0.23%, 0.0000350%), (BMY, 728, 0.22%, 0.0000358%), (UPS, 297, 0.19%, 0.0000402%), (USB, 551, 0.17%, 0.0000354%), (CMCSA, 963, 0.17%, 0.0000265%), (MDLZ, 463, 0.17%, 0.0000359%), (PYPL, 350, 0.14%, 0.0000374%), (CL, 258, 0.14%, 0.0000320%), (TGT, 224, 0.13%, 0.0000495%), (ADBE, 167, nan%, 0.0000399%), (AMGN, 193, nan%, 0.0000358%), (AMT, 1,115, nan%, 0.0002382%), (BKNG, 16, nan%, 0.0000496%), (BLK, 62, nan%, 0.0000400%), (BRK/B, 0, nan%, 0.0000000%), (CB, 755, nan%, 0.0001918%), (COP, 577, nan%, 0.0000467%), (COST, 0, nan%, 0.0000000%), (DE, 135, nan%, 0.0000499%), (DUK, 665, nan%, 0.0000855%), (ELV, 133, nan%, 0.0000598%), (ETN, 210, nan%, 0.0000541%), (FDX, 91, nan%, 0.0000386%), (GOOGLE, 2,675, nan%, 0.0000238%), (GS, 134, nan%, 0.0000447%), (INTU, 106, nan%, 0.0000381%), (ISRG, 204, nan%, 0.0000575%), (LIN, 550, nan%, 0.0001178%), (LLY, 0, nan%, 0.0000000%), (LMT, 112, nan%, 0.0000484%), (LOW, 152, nan%, 0.0000271%), (MET, 1,171, nan%, 0.0001777%), (NOW, 78, nan%, 0.0000376%), (ORCL, 0, nan%, 0.0000000%), (PLTR, 0, nan%, 0.0000000%), (SOLS, 86, nan%, 0.0000542%), (SPGI, 111, nan%, 0.0000358%), (TMO, 137, nan%, 0.0000365%), (WM, 690, nan%, 0.0001713%), (nan, 0, nan%, 0.0000000%), (nan, 0, nan%, 0.0000000%)</t>
        </is>
      </c>
      <c r="T5" s="4" t="n">
        <v>2.381732559843434e-06</v>
      </c>
      <c r="U5" s="3" t="n">
        <v>45305</v>
      </c>
      <c r="V5" s="4" t="n">
        <v>0.00298488310055017</v>
      </c>
      <c r="W5" t="inlineStr"/>
    </row>
    <row r="6">
      <c r="A6" s="2" t="n">
        <v>45982</v>
      </c>
      <c r="B6" t="inlineStr">
        <is>
          <t>P3727</t>
        </is>
      </c>
      <c r="C6" t="inlineStr">
        <is>
          <t>diversified</t>
        </is>
      </c>
      <c r="D6" t="inlineStr">
        <is>
          <t>diversified</t>
        </is>
      </c>
      <c r="E6" s="3">
        <f>IF(C6=D6,"PASS","FAIL")</f>
        <v/>
      </c>
      <c r="F6" s="3">
        <f>IF(L6/J6&gt;=0.75,"PASS","FAIL")</f>
        <v/>
      </c>
      <c r="G6" s="3">
        <f>IF(O6="None","PASS","FAIL")</f>
        <v/>
      </c>
      <c r="H6" s="3">
        <f>IF(T6="","",IF(T6&lt;=0.1,"PASS","FAIL"))</f>
        <v/>
      </c>
      <c r="I6" s="3">
        <f>IF(U6=0,"PASS",IF(U6&lt;=0.05*L6,"PASS","FAIL"))</f>
        <v/>
      </c>
      <c r="J6" s="3" t="n">
        <v>77698305.34</v>
      </c>
      <c r="K6" s="4" t="n">
        <v>0</v>
      </c>
      <c r="L6" s="3" t="n">
        <v>70722395.81</v>
      </c>
      <c r="M6" s="3" t="n">
        <v>15319.74</v>
      </c>
      <c r="N6" s="3" t="n">
        <v>0</v>
      </c>
      <c r="O6" t="inlineStr">
        <is>
          <t>None</t>
        </is>
      </c>
      <c r="P6" t="inlineStr">
        <is>
          <t>NVDA, AAPL, MSFT, AVGO</t>
        </is>
      </c>
      <c r="Q6" s="4" t="n">
        <v>0.2651591469041891</v>
      </c>
      <c r="R6" s="4" t="n">
        <v>0.7348408530958108</v>
      </c>
      <c r="S6" t="inlineStr">
        <is>
          <t>(AMZN, 13,035, 3.69%, 0.0001219%), (META, 2,866, 2.19%, 0.0001316%), (CSCO, 20,246, 1.99%, 0.0005124%), (JPM, 5,179, 1.98%, 0.0001902%), (TSLA, 3,835, 1.95%, 0.0001153%), (V, 3,856, 1.63%, 0.0002285%), (XOM, 10,220, 1.54%, 0.0002423%), (WMT, 11,009, 1.50%, 0.0001381%), (MA, 1,829, 1.27%, 0.0002052%), (JNJ, 4,501, 1.19%, 0.0001868%), (UNH, 2,740, 1.13%, 0.0003025%), (GE, 2,990, 1.11%, 0.0002835%), (ABBV, 3,304, 1.01%, 0.0001869%), (NEE, 9,228, 0.98%, 0.0004431%), (CAT, 1,334, 0.94%, 0.0002851%), (ABT, 5,163, 0.85%, 0.0002969%), (BAC, 12,279, 0.81%, 0.0001681%), (RTX, 3,678, 0.80%, 0.0002743%), (AMD, 2,958, 0.78%, 0.0001817%), (ISRG, 1,060, 0.77%, 0.0002990%), (NFLX, 5,620, 0.76%, 0.0001326%), (CVX, 3,886, 0.75%, 0.0001930%), (PG, 3,870, 0.75%, 0.0001656%), (MCD, 1,829, 0.73%, 0.0002568%), (GS, 700, 0.70%, 0.0002334%), (IBM, 1,826, 0.70%, 0.0001953%), (KO, 6,997, 0.66%, 0.0001627%), (WFC, 6,124, 0.65%, 0.0001951%), (HD, 1,384, 0.61%, 0.0001390%), (MRK, 4,729, 0.60%, 0.0001905%), (SO, 4,917, 0.57%, 0.0004469%), (MS, 2,768, 0.57%, 0.0001742%), (AXP, 1,242, 0.57%, 0.0001803%), (PM, 2,806, 0.56%, 0.0001803%), (CRM, 1,888, 0.55%, 0.0001983%), (TMO, 715, 0.54%, 0.0001903%), (MDT, 3,818, 0.50%, 0.0002977%), (NKE, 5,978, 0.48%, 0.0005026%), (INTU, 554, 0.48%, 0.0001990%), (BA, 2,066, 0.48%, 0.0002718%), (UBER, 4,449, 0.47%, 0.0002141%), (PEP, 2,476, 0.47%, 0.0001811%), (ETN, 1,092, 0.46%, 0.0002812%), (DE, 703, 0.44%, 0.0002601%), (C, 3,479, 0.44%, 0.0001944%), (AMGN, 1,005, 0.44%, 0.0001866%), (HON, 1,797, 0.44%, 0.0002830%), (AMAT, 1,503, 0.44%, 0.0001887%), (QCOM, 2,025, 0.43%, 0.0001891%), (NOW, 407, 0.43%, 0.0001962%), (BLK, 325, 0.42%, 0.0002095%), (ACN, 1,234, 0.40%, 0.0001981%), (T, 11,915, 0.40%, 0.0007697%), (SCHW, 3,335, 0.39%, 0.0001877%), (GILD, 2,330, 0.38%, 0.0001878%), (CVS, 3,746, 0.38%, 0.0002951%), (UNP, 1,281, 0.37%, 0.0002160%), (VZ, 6,990, 0.37%, 0.0001658%), (SPGI, 578, 0.37%, 0.0001865%), (ADBE, 869, 0.36%, 0.0002076%), (DHR, 1,202, 0.35%, 0.0001702%), (INTC, 7,862, 0.35%, 0.0001648%), (LMT, 583, 0.35%, 0.0002519%), (TXN, 1,663, 0.34%, 0.0001830%), (PFE, 10,594, 0.34%, 0.0001863%), (MMM, 1,505, 0.33%, 0.0002833%), (DIS, 2,381, 0.32%, 0.0001334%), (SBUX, 2,892, 0.32%, 0.0002543%), (TJX, 1,571, 0.31%, 0.0001412%), (EMR, 1,575, 0.26%, 0.0002803%), (LOW, 790, 0.24%, 0.0001408%), (MO, 3,059, 0.23%, 0.0001822%), (BMY, 3,792, 0.23%, 0.0001863%), (UPS, 1,545, 0.19%, 0.0002091%), (USB, 2,870, 0.18%, 0.0001846%), (CMCSA, 5,018, 0.18%, 0.0001381%), (MDLZ, 2,413, 0.18%, 0.0001870%), (FDX, 475, 0.16%, 0.0002013%), (PYPL, 1,824, 0.14%, 0.0001949%), (CL, 1,342, 0.14%, 0.0001665%), (TGT, 1,168, 0.13%, 0.0002580%), (AMT, 5,811, nan%, 0.0012413%), (BKNG, 84, nan%, 0.0002606%), (BRK/B, 0, nan%, 0.0000000%), (CB, 3,934, nan%, 0.0009996%), (COP, 3,008, nan%, 0.0002434%), (COST, 0, nan%, 0.0000000%), (DUK, 3,467, nan%, 0.0004456%), (ELV, 690, nan%, 0.0003105%), (GOOGLE, 13,939, nan%, 0.0001242%), (LIN, 2,864, nan%, 0.0006133%), (LLY, 0, nan%, 0.0000000%), (MET, 6,103, nan%, 0.0009263%), (ORCL, 0, nan%, 0.0000000%), (PLTR, 0, nan%, 0.0000000%), (SOLS, 449, nan%, 0.0002829%), (WM, 3,592, nan%, 0.0008916%), (nan, 0, nan%, 0.0000000%), (nan, 0, nan%, 0.0000000%)</t>
        </is>
      </c>
      <c r="T6" s="4" t="n">
        <v>1.241277839035892e-05</v>
      </c>
      <c r="U6" s="3" t="n">
        <v>219641</v>
      </c>
      <c r="V6" s="4" t="n">
        <v>0.002826844151090207</v>
      </c>
      <c r="W6" t="inlineStr"/>
    </row>
    <row r="7">
      <c r="A7" s="2" t="n">
        <v>45982</v>
      </c>
      <c r="B7" t="inlineStr">
        <is>
          <t>P2726</t>
        </is>
      </c>
      <c r="C7" t="inlineStr">
        <is>
          <t>diversified</t>
        </is>
      </c>
      <c r="D7" t="inlineStr">
        <is>
          <t>diversified</t>
        </is>
      </c>
      <c r="E7" s="3">
        <f>IF(C7=D7,"PASS","FAIL")</f>
        <v/>
      </c>
      <c r="F7" s="3">
        <f>IF(L7/J7&gt;=0.75,"PASS","FAIL")</f>
        <v/>
      </c>
      <c r="G7" s="3">
        <f>IF(O7="None","PASS","FAIL")</f>
        <v/>
      </c>
      <c r="H7" s="3">
        <f>IF(T7="","",IF(T7&lt;=0.1,"PASS","FAIL"))</f>
        <v/>
      </c>
      <c r="I7" s="3">
        <f>IF(U7=0,"PASS",IF(U7&lt;=0.05*L7,"PASS","FAIL"))</f>
        <v/>
      </c>
      <c r="J7" s="3" t="n">
        <v>33639249.58</v>
      </c>
      <c r="K7" s="4" t="n">
        <v>0</v>
      </c>
      <c r="L7" s="3" t="n">
        <v>32062600.65</v>
      </c>
      <c r="M7" s="3" t="n">
        <v>6945.6</v>
      </c>
      <c r="N7" s="3" t="n">
        <v>0</v>
      </c>
      <c r="O7" t="inlineStr">
        <is>
          <t>None</t>
        </is>
      </c>
      <c r="P7" t="inlineStr">
        <is>
          <t>NVDA, AAPL, MSFT</t>
        </is>
      </c>
      <c r="Q7" s="4" t="n">
        <v>0.2251035905909897</v>
      </c>
      <c r="R7" s="4" t="n">
        <v>0.7748964094090103</v>
      </c>
      <c r="S7" t="inlineStr">
        <is>
          <t>(AVGO, 3,883, 3.94%, 0.0000822%), (AMZN, 5,946, 3.88%, 0.0000556%), (META, 1,307, 2.30%, 0.0000600%), (CSCO, 9,235, 2.10%, 0.0002337%), (JPM, 2,362, 2.09%, 0.0000868%), (TSLA, 1,749, 2.05%, 0.0000526%), (V, 1,759, 1.72%, 0.0001042%), (XOM, 4,662, 1.62%, 0.0001105%), (WMT, 5,022, 1.58%, 0.0000630%), (MA, 834, 1.34%, 0.0000936%), (JNJ, 2,053, 1.25%, 0.0000852%), (UNH, 1,250, 1.19%, 0.0001380%), (GE, 1,364, 1.16%, 0.0001293%), (ABBV, 1,507, 1.06%, 0.0000853%), (NEE, 4,209, 1.03%, 0.0002021%), (CAT, 608, 0.99%, 0.0001299%), (ABT, 2,355, 0.90%, 0.0001354%), (BAC, 5,601, 0.86%, 0.0000767%), (RTX, 1,678, 0.85%, 0.0001252%), (AMD, 1,349, 0.82%, 0.0000829%), (ISRG, 484, 0.81%, 0.0001365%), (NFLX, 2,563, 0.80%, 0.0000605%), (CVX, 1,773, 0.79%, 0.0000881%), (PG, 1,765, 0.79%, 0.0000755%), (MCD, 834, 0.77%, 0.0001171%), (IBM, 833, 0.74%, 0.0000891%), (GS, 319, 0.74%, 0.0001064%), (KO, 3,192, 0.69%, 0.0000742%), (WFC, 2,794, 0.69%, 0.0000890%), (HD, 631, 0.64%, 0.0000634%), (MRK, 2,157, 0.63%, 0.0000869%), (SO, 2,243, 0.60%, 0.0002039%), (MS, 1,262, 0.60%, 0.0000794%), (AXP, 566, 0.60%, 0.0000822%), (PM, 1,280, 0.59%, 0.0000822%), (CRM, 861, 0.58%, 0.0000904%), (TMO, 326, 0.57%, 0.0000868%), (MDT, 1,741, 0.53%, 0.0001357%), (NKE, 2,727, 0.51%, 0.0002293%), (BA, 942, 0.50%, 0.0001239%), (INTU, 253, 0.50%, 0.0000909%), (UBER, 2,029, 0.50%, 0.0000976%), (PEP, 1,129, 0.49%, 0.0000826%), (ETN, 498, 0.49%, 0.0001282%), (C, 1,587, 0.47%, 0.0000887%), (DE, 321, 0.46%, 0.0001187%), (AMGN, 458, 0.46%, 0.0000851%), (HON, 820, 0.46%, 0.0001292%), (AMAT, 685, 0.46%, 0.0000860%), (QCOM, 924, 0.45%, 0.0000863%), (ACN, 563, 0.42%, 0.0000904%), (T, 5,435, 0.42%, 0.0003511%), (SCHW, 1,521, 0.41%, 0.0000856%), (GILD, 1,063, 0.40%, 0.0000857%), (CVS, 1,709, 0.40%, 0.0001346%), (VZ, 3,189, 0.39%, 0.0000756%), (UNP, 584, 0.39%, 0.0000985%), (SPGI, 263, 0.39%, 0.0000848%), (ADBE, 397, 0.38%, 0.0000948%), (DHR, 548, 0.37%, 0.0000776%), (INTC, 3,586, 0.37%, 0.0000752%), (LMT, 266, 0.37%, 0.0001150%), (PFE, 4,833, 0.36%, 0.0000850%), (TXN, 758, 0.36%, 0.0000834%), (MMM, 686, 0.34%, 0.0001291%), (DIS, 1,086, 0.34%, 0.0000608%), (SBUX, 1,319, 0.34%, 0.0001160%), (TJX, 717, 0.32%, 0.0000644%), (EMR, 719, 0.27%, 0.0001280%), (LOW, 360, 0.25%, 0.0000642%), (MO, 1,395, 0.24%, 0.0000831%), (BMY, 1,730, 0.24%, 0.0000850%), (UPS, 705, 0.20%, 0.0000954%), (USB, 1,309, 0.19%, 0.0000842%), (CMCSA, 2,289, 0.19%, 0.0000630%), (MDLZ, 1,101, 0.19%, 0.0000853%), (FDX, 217, 0.17%, 0.0000920%), (PYPL, 832, 0.15%, 0.0000889%), (CL, 612, 0.15%, 0.0000759%), (TGT, 533, 0.14%, 0.0001177%), (AMT, 2,651, nan%, 0.0005663%), (BKNG, 39, nan%, 0.0001210%), (BLK, 148, nan%, 0.0000954%), (BRK/B, 0, nan%, 0.0000000%), (CB, 1,794, nan%, 0.0004558%), (COP, 1,372, nan%, 0.0001110%), (COST, 0, nan%, 0.0000000%), (DUK, 1,581, nan%, 0.0002032%), (ELV, 315, nan%, 0.0001417%), (GOOGLE, 6,358, nan%, 0.0000566%), (LIN, 1,307, nan%, 0.0002799%), (LLY, 0, nan%, 0.0000000%), (MET, 2,784, nan%, 0.0004225%), (NOW, 186, nan%, 0.0000896%), (ORCL, 0, nan%, 0.0000000%), (PLTR, 0, nan%, 0.0000000%), (SOLS, 207, nan%, 0.0001304%), (WM, 1,639, nan%, 0.0004068%), (nan, 0, nan%, 0.0000000%), (nan, 0, nan%, 0.0000000%)</t>
        </is>
      </c>
      <c r="T7" s="4" t="n">
        <v>5.662756068291428e-06</v>
      </c>
      <c r="U7" s="3" t="n">
        <v>126569</v>
      </c>
      <c r="V7" s="4" t="n">
        <v>0.003762539342591364</v>
      </c>
      <c r="W7" t="inlineStr"/>
    </row>
    <row r="8">
      <c r="A8" s="2" t="n">
        <v>45982</v>
      </c>
      <c r="B8" t="inlineStr">
        <is>
          <t>P21026</t>
        </is>
      </c>
      <c r="C8" t="inlineStr">
        <is>
          <t>diversified</t>
        </is>
      </c>
      <c r="D8" t="inlineStr">
        <is>
          <t>diversified</t>
        </is>
      </c>
      <c r="E8" s="3">
        <f>IF(C8=D8,"PASS","FAIL")</f>
        <v/>
      </c>
      <c r="F8" s="3">
        <f>IF(L8/J8&gt;=0.75,"PASS","FAIL")</f>
        <v/>
      </c>
      <c r="G8" s="3">
        <f>IF(O8="None","PASS","FAIL")</f>
        <v/>
      </c>
      <c r="H8" s="3">
        <f>IF(T8="","",IF(T8&lt;=0.1,"PASS","FAIL"))</f>
        <v/>
      </c>
      <c r="I8" s="3">
        <f>IF(U8=0,"PASS",IF(U8&lt;=0.05*L8,"PASS","FAIL"))</f>
        <v/>
      </c>
      <c r="J8" s="3" t="n">
        <v>22816338.11</v>
      </c>
      <c r="K8" s="4" t="n">
        <v>0</v>
      </c>
      <c r="L8" s="3" t="n">
        <v>21244018.21</v>
      </c>
      <c r="M8" s="3" t="n">
        <v>4606.17</v>
      </c>
      <c r="N8" s="3" t="n">
        <v>0</v>
      </c>
      <c r="O8" t="inlineStr">
        <is>
          <t>None</t>
        </is>
      </c>
      <c r="P8" t="inlineStr">
        <is>
          <t>NVDA, AAPL, MSFT, AVGO</t>
        </is>
      </c>
      <c r="Q8" s="4" t="n">
        <v>0.264240756363012</v>
      </c>
      <c r="R8" s="4" t="n">
        <v>0.735759243636988</v>
      </c>
      <c r="S8" t="inlineStr">
        <is>
          <t>(AMZN, 3,907, 3.76%, 0.0000365%), (META, 859, 2.23%, 0.0000394%), (CSCO, 6,068, 2.03%, 0.0001536%), (JPM, 1,552, 2.02%, 0.0000570%), (TSLA, 1,149, 1.99%, 0.0000345%), (V, 1,156, 1.67%, 0.0000685%), (XOM, 3,063, 1.57%, 0.0000726%), (WMT, 3,300, 1.53%, 0.0000414%), (MA, 548, 1.30%, 0.0000615%), (JNJ, 1,349, 1.21%, 0.0000560%), (UNH, 821, 1.15%, 0.0000906%), (GE, 896, 1.13%, 0.0000849%), (ABBV, 990, 1.03%, 0.0000560%), (NEE, 2,766, 1.00%, 0.0001328%), (CAT, 400, 0.96%, 0.0000855%), (ABT, 1,548, 0.87%, 0.0000890%), (BAC, 3,680, 0.83%, 0.0000504%), (RTX, 1,102, 0.82%, 0.0000822%), (AMD, 887, 0.79%, 0.0000545%), (ISRG, 318, 0.78%, 0.0000897%), (NFLX, 1,684, 0.77%, 0.0000397%), (CVX, 1,165, 0.77%, 0.0000579%), (PG, 1,160, 0.76%, 0.0000496%), (MCD, 548, 0.74%, 0.0000769%), (IBM, 547, 0.71%, 0.0000585%), (GS, 210, 0.71%, 0.0000700%), (KO, 2,097, 0.67%, 0.0000487%), (WFC, 1,836, 0.67%, 0.0000585%), (HD, 415, 0.62%, 0.0000417%), (MRK, 1,417, 0.61%, 0.0000571%), (SO, 1,474, 0.58%, 0.0001340%), (MS, 830, 0.58%, 0.0000522%), (AXP, 372, 0.58%, 0.0000540%), (PM, 841, 0.57%, 0.0000540%), (CRM, 566, 0.56%, 0.0000595%), (TMO, 214, 0.55%, 0.0000570%), (MDT, 1,144, 0.51%, 0.0000892%), (NKE, 1,792, 0.49%, 0.0001507%), (BA, 619, 0.49%, 0.0000814%), (UBER, 1,333, 0.48%, 0.0000642%), (PEP, 742, 0.48%, 0.0000543%), (ETN, 327, 0.47%, 0.0000842%), (C, 1,043, 0.45%, 0.0000583%), (AMGN, 301, 0.45%, 0.0000559%), (DE, 211, 0.45%, 0.0000781%), (HON, 538, 0.45%, 0.0000847%), (AMAT, 450, 0.44%, 0.0000565%), (QCOM, 607, 0.43%, 0.0000567%), (ACN, 370, 0.41%, 0.0000594%), (T, 3,571, 0.41%, 0.0002307%), (SCHW, 1,000, 0.40%, 0.0000563%), (GILD, 698, 0.39%, 0.0000563%), (CVS, 1,123, 0.38%, 0.0000885%), (UNP, 384, 0.38%, 0.0000647%), (VZ, 2,095, 0.38%, 0.0000497%), (ADBE, 261, 0.37%, 0.0000624%), (DHR, 360, 0.36%, 0.0000510%), (INTC, 2,356, 0.36%, 0.0000494%), (TXN, 498, 0.35%, 0.0000548%), (PFE, 3,175, 0.35%, 0.0000558%), (MMM, 451, 0.33%, 0.0000849%), (DIS, 714, 0.33%, 0.0000400%), (SBUX, 867, 0.33%, 0.0000762%), (TJX, 471, 0.31%, 0.0000423%), (EMR, 472, 0.26%, 0.0000840%), (LOW, 237, 0.24%, 0.0000422%), (MO, 917, 0.23%, 0.0000546%), (BMY, 1,136, 0.23%, 0.0000558%), (UPS, 463, 0.19%, 0.0000627%), (USB, 860, 0.18%, 0.0000553%), (CMCSA, 1,504, 0.18%, 0.0000414%), (MDLZ, 723, 0.18%, 0.0000560%), (PYPL, 547, 0.15%, 0.0000585%), (CL, 402, 0.14%, 0.0000499%), (TGT, 350, 0.14%, 0.0000773%), (AMT, 1,742, nan%, 0.0003721%), (BKNG, 25, nan%, 0.0000776%), (BLK, 97, nan%, 0.0000625%), (BRK/B, 0, nan%, 0.0000000%), (CB, 1,179, nan%, 0.0002996%), (COP, 902, nan%, 0.0000730%), (COST, 0, nan%, 0.0000000%), (DUK, 1,039, nan%, 0.0001335%), (ELV, 207, nan%, 0.0000931%), (FDX, 142, nan%, 0.0000602%), (GOOGLE, 4,177, nan%, 0.0000372%), (INTU, 166, nan%, 0.0000596%), (LIN, 859, nan%, 0.0001840%), (LLY, 0, nan%, 0.0000000%), (LMT, 175, nan%, 0.0000756%), (MET, 1,829, nan%, 0.0002776%), (NOW, 122, nan%, 0.0000588%), (ORCL, 0, nan%, 0.0000000%), (PLTR, 0, nan%, 0.0000000%), (SOLS, 135, nan%, 0.0000851%), (SPGI, 173, nan%, 0.0000558%), (WM, 1,077, nan%, 0.0002673%), (nan, 0, nan%, 0.0000000%), (nan, 0, nan%, 0.0000000%)</t>
        </is>
      </c>
      <c r="T8" s="4" t="n">
        <v>3.721056609190369e-06</v>
      </c>
      <c r="U8" s="3" t="n">
        <v>83240</v>
      </c>
      <c r="V8" s="4" t="n">
        <v>0.003648262906987576</v>
      </c>
      <c r="W8" t="inlineStr"/>
    </row>
    <row r="9">
      <c r="A9" s="2" t="n">
        <v>45982</v>
      </c>
      <c r="B9" t="inlineStr">
        <is>
          <t>R21126</t>
        </is>
      </c>
      <c r="C9" t="inlineStr">
        <is>
          <t>diversified</t>
        </is>
      </c>
      <c r="D9" t="inlineStr">
        <is>
          <t>diversified</t>
        </is>
      </c>
      <c r="E9" s="3">
        <f>IF(C9=D9,"PASS","FAIL")</f>
        <v/>
      </c>
      <c r="F9" s="3">
        <f>IF(L9/J9&gt;=0.75,"PASS","FAIL")</f>
        <v/>
      </c>
      <c r="G9" s="3">
        <f>IF(O9="None","PASS","FAIL")</f>
        <v/>
      </c>
      <c r="H9" s="3">
        <f>IF(T9="","",IF(T9&lt;=0.1,"PASS","FAIL"))</f>
        <v/>
      </c>
      <c r="I9" s="3">
        <f>IF(U9=0,"PASS",IF(U9&lt;=0.05*L9,"PASS","FAIL"))</f>
        <v/>
      </c>
      <c r="J9" s="3" t="n">
        <v>52846233.31</v>
      </c>
      <c r="K9" s="4" t="n">
        <v>0</v>
      </c>
      <c r="L9" s="3" t="n">
        <v>49252287.25</v>
      </c>
      <c r="M9" s="3" t="n">
        <v>10576.62</v>
      </c>
      <c r="N9" s="3" t="n">
        <v>0</v>
      </c>
      <c r="O9" t="inlineStr">
        <is>
          <t>None</t>
        </is>
      </c>
      <c r="P9" t="inlineStr">
        <is>
          <t>GOOGLE, KLAC, AMAT, MLI, NVDA, LRCX, ROST, BK, BKR, AXP, EBAY</t>
        </is>
      </c>
      <c r="Q9" s="4" t="n">
        <v>0.2659866179108261</v>
      </c>
      <c r="R9" s="4" t="n">
        <v>0.7340133820891739</v>
      </c>
      <c r="S9" t="inlineStr">
        <is>
          <t>(JPM, 3,424, 1.93%, 0.0001258%), (HIG, 7,327, 1.90%, 0.0026295%), (TRV, 3,442, 1.90%, 0.0015431%), (MSFT, 2,075, 1.87%, 0.0000279%), (EWBC, 9,234, 1.84%, 0.0067115%), (PHM, 7,985, 1.83%, 0.0040966%), (CB, 3,222, 1.83%, 0.0008187%), (EA, 4,683, 1.78%, 0.0018724%), (WSM, 5,165, 1.76%, 0.0042899%), (SNA, 2,725, 1.74%, 0.0052396%), (PCAR, 8,869, 1.73%, 0.0016887%), (UNM, 11,949, 1.73%, 0.0071409%), (CTSH, 11,687, 1.69%, 0.0024214%), (RJF, 5,764, 1.67%, 0.0028909%), (V, 2,655, 1.66%, 0.0001573%), (MPWR, 991, 1.64%, 0.0020686%), (META, 1,412, 1.59%, 0.0000648%), (BKNG, 173, 1.57%, 0.0005367%), (GE, 2,863, 1.56%, 0.0002714%), (AAPL, 2,969, 1.53%, 0.0000201%), (SYF, 10,369, 1.47%, 0.0028789%), (STT, 6,662, 1.45%, 0.0023851%), (ADP, 2,951, 1.42%, 0.0007296%), (ACN, 2,921, 1.40%, 0.0004690%), (CRM, 3,242, 1.40%, 0.0003405%), (QCOM, 4,405, 1.37%, 0.0004113%), (BLK, 681, 1.30%, 0.0004389%), (PNC, 3,608, 1.28%, 0.0009200%), (ABT, 5,109, 1.24%, 0.0002938%), (LEN, 5,273, 1.24%, 0.0023561%), (ELV, 1,708, 1.04%, 0.0007685%), (ALL, 2,247, 0.91%, 0.0008587%), (GEV, 862, 0.91%, 0.0003177%), (DHI, 3,152, 0.88%, 0.0010792%), (MA, 851, 0.87%, 0.0000955%), (AFL, 4,098, 0.87%, 0.0007819%), (COST, 474, 0.81%, 0.0001070%), (ACM, 3,953, 0.78%, 0.0029985%), (PGR, 1,760, 0.76%, 0.0003001%), (AMP, 884, 0.75%, 0.0009515%), (ODFL, 2,634, 0.68%, 0.0012597%), (COKE, 2,093, 0.65%, 0.0027758%), (PAYC, 2,029, 0.62%, 0.0036059%), (CSCO, 3,946, 0.57%, 0.0000999%), (JNJ, 1,407, 0.55%, 0.0000584%), (FOXA, 4,110, 0.51%, 0.0019725%), (NTRS, 2,102, 0.51%, 0.0011115%), (MCK, 304, 0.50%, 0.0002463%), (BAC, 4,836, 0.47%, 0.0000662%), (CINF, 1,462, 0.46%, 0.0009371%), (XOM, 1,981, 0.44%, 0.0000470%), (LNC, 5,748, 0.44%, 0.0030262%), (VLTO, 2,311, 0.43%, 0.0009307%), (MET, 3,016, 0.43%, 0.0004577%), (DOV, 1,229, 0.43%, 0.0008961%), (RMD, 894, 0.43%, 0.0006125%), (WTFC, 1,693, 0.42%, 0.0025280%), (MTB, 1,169, 0.42%, 0.0007606%), (CF, 2,606, 0.39%, 0.0016708%), (EG, 603, 0.36%, 0.0014365%), (EOG, 1,753, 0.36%, 0.0003231%), (EQH, 4,075, 0.35%, 0.0014222%), (CSL, 512, 0.30%, 0.0012253%)</t>
        </is>
      </c>
      <c r="T9" s="4" t="n">
        <v>7.140923425563538e-05</v>
      </c>
      <c r="U9" s="3" t="n">
        <v>0</v>
      </c>
      <c r="V9" s="4" t="n">
        <v>0</v>
      </c>
      <c r="W9" t="inlineStr"/>
    </row>
    <row r="10">
      <c r="A10" s="2" t="n">
        <v>45982</v>
      </c>
      <c r="B10" t="inlineStr">
        <is>
          <t>TR2B2</t>
        </is>
      </c>
      <c r="C10" t="inlineStr">
        <is>
          <t>diversified</t>
        </is>
      </c>
      <c r="D10" t="inlineStr">
        <is>
          <t>diversified</t>
        </is>
      </c>
      <c r="E10" s="3">
        <f>IF(C10=D10,"PASS","FAIL")</f>
        <v/>
      </c>
      <c r="F10" s="3">
        <f>IF(L10/J10&gt;=0.75,"PASS","FAIL")</f>
        <v/>
      </c>
      <c r="G10" s="3">
        <f>IF(O10="None","PASS","FAIL")</f>
        <v/>
      </c>
      <c r="H10" s="3">
        <f>IF(T10="","",IF(T10&lt;=0.1,"PASS","FAIL"))</f>
        <v/>
      </c>
      <c r="I10" s="3">
        <f>IF(U10=0,"PASS",IF(U10&lt;=0.05*L10,"PASS","FAIL"))</f>
        <v/>
      </c>
      <c r="J10" s="3" t="n">
        <v>162512875.96</v>
      </c>
      <c r="K10" s="4" t="n">
        <v>0</v>
      </c>
      <c r="L10" s="3" t="n">
        <v>141932588.91</v>
      </c>
      <c r="M10" s="3" t="n">
        <v>30767.85</v>
      </c>
      <c r="N10" s="3" t="n">
        <v>0</v>
      </c>
      <c r="O10" t="inlineStr">
        <is>
          <t>None</t>
        </is>
      </c>
      <c r="P10" t="inlineStr">
        <is>
          <t>NVDA, AAPL, MSFT, AVGO</t>
        </is>
      </c>
      <c r="Q10" s="4" t="n">
        <v>0.2623524252320355</v>
      </c>
      <c r="R10" s="4" t="n">
        <v>0.7376475747679645</v>
      </c>
      <c r="S10" t="inlineStr">
        <is>
          <t>(AMZN, 25,911, 3.50%, 0.0002424%), (META, 5,697, 2.08%, 0.0002616%), (CSCO, 40,245, 1.89%, 0.0010186%), (JPM, 10,294, 1.88%, 0.0003781%), (TSLA, 7,624, 1.85%, 0.0002292%), (V, 7,664, 1.55%, 0.0004541%), (XOM, 20,315, 1.46%, 0.0004817%), (WMT, 21,883, 1.43%, 0.0002745%), (MA, 3,635, 1.21%, 0.0004079%), (JNJ, 8,947, 1.13%, 0.0003714%), (UNH, 5,446, 1.07%, 0.0006012%), (GE, 5,944, 1.05%, 0.0005635%), (ABBV, 6,567, 0.96%, 0.0003716%), (NEE, 18,344, 0.93%, 0.0008808%), (CAT, 2,652, 0.89%, 0.0005667%), (ABT, 10,263, 0.81%, 0.0005902%), (BAC, 24,407, 0.77%, 0.0003342%), (RTX, 7,310, 0.76%, 0.0005452%), (AMD, 5,880, 0.74%, 0.0003612%), (ISRG, 2,108, 0.73%, 0.0005946%), (NFLX, 11,171, 0.72%, 0.0002636%), (CVX, 7,725, 0.71%, 0.0003837%), (PG, 7,692, 0.71%, 0.0003292%), (MCD, 3,635, 0.69%, 0.0005104%), (IBM, 3,630, 0.67%, 0.0003883%), (GS, 1,392, 0.66%, 0.0004641%), (KO, 13,908, 0.62%, 0.0003233%), (WFC, 12,174, 0.62%, 0.0003878%), (HD, 2,750, 0.58%, 0.0002763%), (MRK, 9,400, 0.57%, 0.0003787%), (SO, 9,774, 0.54%, 0.0008884%), (MS, 5,502, 0.54%, 0.0003462%), (AXP, 2,468, 0.54%, 0.0003583%), (PM, 5,578, 0.53%, 0.0003583%), (CRM, 3,753, 0.52%, 0.0003942%), (TMO, 1,421, 0.51%, 0.0003782%), (MDT, 7,589, 0.47%, 0.0005916%), (NKE, 11,882, 0.46%, 0.0009991%), (BA, 4,106, 0.45%, 0.0005402%), (INTU, 1,100, 0.45%, 0.0003951%), (UBER, 8,843, 0.45%, 0.0004256%), (PEP, 4,922, 0.44%, 0.0003600%), (ETN, 2,171, 0.44%, 0.0005590%), (C, 6,915, 0.42%, 0.0003865%), (AMGN, 1,998, 0.42%, 0.0003710%), (DE, 1,397, 0.42%, 0.0005168%), (HON, 3,571, 0.42%, 0.0005625%), (AMAT, 2,987, 0.41%, 0.0003749%), (QCOM, 4,026, 0.41%, 0.0003759%), (NOW, 809, 0.40%, 0.0003899%), (BLK, 646, 0.40%, 0.0004164%), (ACN, 2,453, 0.38%, 0.0003938%), (T, 23,684, 0.38%, 0.0015300%), (SCHW, 6,630, 0.37%, 0.0003731%), (GILD, 4,631, 0.36%, 0.0003733%), (CVS, 7,447, 0.36%, 0.0005866%), (UNP, 2,546, 0.35%, 0.0004292%), (VZ, 13,895, 0.35%, 0.0003295%), (SPGI, 1,148, 0.35%, 0.0003703%), (ADBE, 1,728, 0.34%, 0.0004128%), (DHR, 2,389, 0.33%, 0.0003382%), (INTC, 15,628, 0.33%, 0.0003276%), (LMT, 1,159, 0.33%, 0.0005009%), (PFE, 21,059, 0.32%, 0.0003704%), (TXN, 3,305, 0.32%, 0.0003637%), (MMM, 2,991, 0.31%, 0.0005630%), (DIS, 4,733, 0.30%, 0.0002651%), (SBUX, 5,749, 0.30%, 0.0005056%), (TJX, 3,123, 0.29%, 0.0002806%), (EMR, 3,132, 0.25%, 0.0005575%), (LOW, 1,571, 0.23%, 0.0002800%), (MO, 6,080, 0.22%, 0.0003622%), (BMY, 7,537, 0.21%, 0.0003702%), (UPS, 3,072, 0.18%, 0.0004157%), (USB, 5,704, 0.17%, 0.0003670%), (CMCSA, 9,975, 0.17%, 0.0002745%), (MDLZ, 4,797, 0.17%, 0.0003718%), (FDX, 944, 0.16%, 0.0004001%), (PYPL, 3,625, 0.13%, 0.0003874%), (CL, 2,668, 0.13%, 0.0003310%), (TGT, 2,322, 0.13%, 0.0005128%), (AMT, 11,551, nan%, 0.0024674%), (BKNG, 168, nan%, 0.0005212%), (BRK/B, 0, nan%, 0.0000000%), (CB, 7,819, nan%, 0.0019868%), (COP, 5,979, nan%, 0.0004838%), (COST, 0, nan%, 0.0000000%), (DUK, 6,891, nan%, 0.0008857%), (ELV, 1,372, nan%, 0.0006174%), (GOOGLE, 27,708, nan%, 0.0002468%), (LIN, 5,694, nan%, 0.0012194%), (LLY, 0, nan%, 0.0000000%), (MET, 12,131, nan%, 0.0018411%), (ORCL, 0, nan%, 0.0000000%), (PLTR, 0, nan%, 0.0000000%), (SOLS, 893, nan%, 0.0005626%), (WM, 7,141, nan%, 0.0017725%), (nan, 0, nan%, 0.0000000%), (nan, 0, nan%, 0.0000000%)</t>
        </is>
      </c>
      <c r="T10" s="4" t="n">
        <v>2.467389488677265e-05</v>
      </c>
      <c r="U10" s="3" t="n">
        <v>553064</v>
      </c>
      <c r="V10" s="4" t="n">
        <v>0.003403201110883842</v>
      </c>
      <c r="W10" t="inlineStr"/>
    </row>
    <row r="11">
      <c r="A11" s="2" t="n">
        <v>45982</v>
      </c>
      <c r="B11" t="inlineStr">
        <is>
          <t>TR2B3</t>
        </is>
      </c>
      <c r="C11" t="inlineStr">
        <is>
          <t>diversified</t>
        </is>
      </c>
      <c r="D11" t="inlineStr">
        <is>
          <t>diversified</t>
        </is>
      </c>
      <c r="E11" s="3">
        <f>IF(C11=D11,"PASS","FAIL")</f>
        <v/>
      </c>
      <c r="F11" s="3">
        <f>IF(L11/J11&gt;=0.75,"PASS","FAIL")</f>
        <v/>
      </c>
      <c r="G11" s="3">
        <f>IF(O11="None","PASS","FAIL")</f>
        <v/>
      </c>
      <c r="H11" s="3">
        <f>IF(T11="","",IF(T11&lt;=0.1,"PASS","FAIL"))</f>
        <v/>
      </c>
      <c r="I11" s="3">
        <f>IF(U11=0,"PASS",IF(U11&lt;=0.05*L11,"PASS","FAIL"))</f>
        <v/>
      </c>
      <c r="J11" s="3" t="n">
        <v>134574160.76</v>
      </c>
      <c r="K11" s="4" t="n">
        <v>0</v>
      </c>
      <c r="L11" s="3" t="n">
        <v>117909173.16</v>
      </c>
      <c r="M11" s="3" t="n">
        <v>25585.56</v>
      </c>
      <c r="N11" s="3" t="n">
        <v>0</v>
      </c>
      <c r="O11" t="inlineStr">
        <is>
          <t>None</t>
        </is>
      </c>
      <c r="P11" t="inlineStr">
        <is>
          <t>NVDA, AAPL, MSFT, AMZN</t>
        </is>
      </c>
      <c r="Q11" s="4" t="n">
        <v>0.2488378291838749</v>
      </c>
      <c r="R11" s="4" t="n">
        <v>0.7511621708161251</v>
      </c>
      <c r="S11" t="inlineStr">
        <is>
          <t>(AVGO, 13,253, 3.36%, 0.0002806%), (META, 4,708, 2.07%, 0.0002162%), (BRK/B, 5,477, 2.05%, 0.0003973%), (CSCO, 33,257, 1.89%, 0.0008417%), (TSLA, 6,300, 1.85%, 0.0001894%), (LLY, 1,977, 1.56%, 0.0002091%), (JPM, 6,936, 1.53%, 0.0002548%), (XOM, 16,788, 1.46%, 0.0003981%), (V, 5,164, 1.26%, 0.0003060%), (GE, 4,912, 1.05%, 0.0004657%), (MA, 2,449, 0.98%, 0.0002748%), (NEE, 15,159, 0.93%, 0.0007279%), (JNJ, 6,041, 0.92%, 0.0002507%), (CAT, 2,191, 0.89%, 0.0004682%), (UNH, 3,677, 0.87%, 0.0004059%), (WMT, 10,056, 0.79%, 0.0001261%), (ABBV, 4,434, 0.78%, 0.0002509%), (RTX, 6,041, 0.76%, 0.0004506%), (PLTR, 6,302, 0.73%, 0.0002759%), (ORCL, 4,941, 0.72%, 0.0001733%), (NFLX, 9,231, 0.72%, 0.0002178%), (CVX, 6,384, 0.71%, 0.0003171%), (PG, 6,356, 0.71%, 0.0002720%), (AMD, 4,605, 0.70%, 0.0002829%), (MCD, 3,004, 0.69%, 0.0004218%), (COST, 1,027, 0.69%, 0.0002317%), (ABT, 6,930, 0.66%, 0.0003985%), (IBM, 2,843, 0.63%, 0.0003042%), (BAC, 16,445, 0.63%, 0.0002252%), (KO, 11,493, 0.62%, 0.0002672%), (ISRG, 1,423, 0.59%, 0.0004014%), (HD, 2,273, 0.58%, 0.0002284%), (GS, 938, 0.54%, 0.0003127%), (SO, 8,077, 0.54%, 0.0007341%), (PM, 4,609, 0.53%, 0.0002961%), (WFC, 8,202, 0.50%, 0.0002613%), (CRM, 2,939, 0.49%, 0.0003087%), (MRK, 6,347, 0.46%, 0.0002557%), (NKE, 9,819, 0.46%, 0.0008256%), (BA, 3,393, 0.45%, 0.0004464%), (UBER, 7,308, 0.45%, 0.0003517%), (PEP, 4,067, 0.44%, 0.0002974%), (ETN, 1,794, 0.44%, 0.0004619%), (MS, 3,707, 0.44%, 0.0002332%), (AXP, 1,663, 0.44%, 0.0002414%), (INTU, 862, 0.43%, 0.0003096%), (DE, 1,155, 0.42%, 0.0004273%), (TMO, 960, 0.42%, 0.0002555%), (HON, 2,951, 0.42%, 0.0004648%), (AMAT, 2,339, 0.39%, 0.0002936%), (MDT, 5,124, 0.39%, 0.0003995%), (QCOM, 3,153, 0.38%, 0.0002944%), (NOW, 633, 0.38%, 0.0003051%), (T, 19,571, 0.38%, 0.0012643%), (ACN, 1,921, 0.36%, 0.0003084%), (UNP, 2,104, 0.35%, 0.0003547%), (VZ, 11,482, 0.35%, 0.0002723%), (SPGI, 949, 0.35%, 0.0003061%), (AMGN, 1,349, 0.34%, 0.0002505%), (C, 4,659, 0.34%, 0.0002604%), (LMT, 957, 0.33%, 0.0004136%), (ADBE, 1,353, 0.33%, 0.0003232%), (BLK, 435, 0.33%, 0.0002804%), (INTC, 12,238, 0.31%, 0.0002566%), (MMM, 2,472, 0.31%, 0.0004653%), (TXN, 2,588, 0.31%, 0.0002848%), (DIS, 3,911, 0.30%, 0.0002191%), (SBUX, 4,751, 0.30%, 0.0004178%), (SCHW, 4,467, 0.30%, 0.0002514%), (GILD, 3,127, 0.30%, 0.0002520%), (TJX, 2,581, 0.29%, 0.0002319%), (CVS, 5,028, 0.29%, 0.0003961%), (DHR, 1,613, 0.27%, 0.0002284%), (PFE, 14,219, 0.26%, 0.0002501%), (EMR, 2,588, 0.25%, 0.0004607%), (LOW, 1,298, 0.23%, 0.0002314%), (MO, 5,024, 0.22%, 0.0002993%), (UPS, 2,538, 0.18%, 0.0003434%), (BMY, 5,089, 0.17%, 0.0002500%), (CMCSA, 8,243, 0.17%, 0.0002268%), (MDLZ, 3,964, 0.17%, 0.0003072%), (FDX, 780, 0.16%, 0.0003306%), (USB, 3,843, 0.14%, 0.0002472%), (PYPL, 2,996, 0.13%, 0.0003202%), (CL, 2,205, 0.13%, 0.0002736%), (TGT, 1,067, 0.07%, 0.0002356%), (AMT, 9,546, nan%, 0.0020391%), (BKNG, 139, nan%, 0.0004312%), (CB, 5,268, nan%, 0.0013386%), (COP, 4,941, nan%, 0.0003998%), (DUK, 5,694, nan%, 0.0007319%), (ELV, 927, nan%, 0.0004171%), (GOOGLE, 22,896, nan%, 0.0002040%), (LIN, 4,705, nan%, 0.0010076%), (MET, 8,174, nan%, 0.0012406%), (SOLS, 738, nan%, 0.0004649%), (WM, 5,901, nan%, 0.0014648%), (nan, 0, nan%, 0.0000000%), (nan, 0, nan%, 0.0000000%)</t>
        </is>
      </c>
      <c r="T11" s="4" t="n">
        <v>2.039104844508109e-05</v>
      </c>
      <c r="U11" s="3" t="n">
        <v>460993</v>
      </c>
      <c r="V11" s="4" t="n">
        <v>0.003425568455315404</v>
      </c>
      <c r="W11" t="inlineStr"/>
    </row>
    <row r="12">
      <c r="A12" s="2" t="n">
        <v>45982</v>
      </c>
      <c r="B12" t="inlineStr">
        <is>
          <t>P30128</t>
        </is>
      </c>
      <c r="C12" t="inlineStr">
        <is>
          <t>diversified</t>
        </is>
      </c>
      <c r="D12" t="inlineStr">
        <is>
          <t>diversified</t>
        </is>
      </c>
      <c r="E12" s="3">
        <f>IF(C12=D12,"PASS","FAIL")</f>
        <v/>
      </c>
      <c r="F12" s="3">
        <f>IF(L12/J12&gt;=0.75,"PASS","FAIL")</f>
        <v/>
      </c>
      <c r="G12" s="3">
        <f>IF(O12="None","PASS","FAIL")</f>
        <v/>
      </c>
      <c r="H12" s="3">
        <f>IF(T12="","",IF(T12&lt;=0.1,"PASS","FAIL"))</f>
        <v/>
      </c>
      <c r="I12" s="3">
        <f>IF(U12=0,"PASS",IF(U12&lt;=0.05*L12,"PASS","FAIL"))</f>
        <v/>
      </c>
      <c r="J12" s="3" t="n">
        <v>39911967.6</v>
      </c>
      <c r="K12" s="4" t="n">
        <v>0</v>
      </c>
      <c r="L12" s="3" t="n">
        <v>35066055.36</v>
      </c>
      <c r="M12" s="3" t="n">
        <v>7601.1</v>
      </c>
      <c r="N12" s="3" t="n">
        <v>0</v>
      </c>
      <c r="O12" t="inlineStr">
        <is>
          <t>None</t>
        </is>
      </c>
      <c r="P12" t="inlineStr">
        <is>
          <t>NVDA, AAPL, MSFT, AVGO</t>
        </is>
      </c>
      <c r="Q12" s="4" t="n">
        <v>0.2613762359610899</v>
      </c>
      <c r="R12" s="4" t="n">
        <v>0.7386237640389102</v>
      </c>
      <c r="S12" t="inlineStr">
        <is>
          <t>(AMZN, 6,372, 3.51%, 0.0000596%), (META, 1,401, 2.08%, 0.0000643%), (CSCO, 9,897, 1.90%, 0.0002505%), (JPM, 2,531, 1.89%, 0.0000930%), (TSLA, 1,875, 1.86%, 0.0000564%), (V, 1,885, 1.55%, 0.0001117%), (XOM, 4,996, 1.46%, 0.0001185%), (WMT, 5,381, 1.43%, 0.0000675%), (MA, 894, 1.21%, 0.0001003%), (JNJ, 2,200, 1.13%, 0.0000913%), (UNH, 1,339, 1.07%, 0.0001478%), (GE, 1,462, 1.05%, 0.0001386%), (ABBV, 1,615, 0.96%, 0.0000914%), (NEE, 4,511, 0.93%, 0.0002166%), (CAT, 652, 0.90%, 0.0001393%), (ABT, 2,524, 0.81%, 0.0001452%), (BAC, 6,002, 0.77%, 0.0000822%), (RTX, 1,798, 0.77%, 0.0001341%), (AMD, 1,446, 0.74%, 0.0000888%), (ISRG, 518, 0.73%, 0.0001461%), (NFLX, 2,747, 0.72%, 0.0000648%), (CVX, 1,900, 0.72%, 0.0000944%), (PG, 1,892, 0.71%, 0.0000810%), (MCD, 894, 0.69%, 0.0001255%), (IBM, 893, 0.67%, 0.0000955%), (GS, 342, 0.66%, 0.0001140%), (KO, 3,420, 0.62%, 0.0000795%), (WFC, 2,994, 0.62%, 0.0000954%), (HD, 676, 0.58%, 0.0000679%), (MRK, 2,312, 0.57%, 0.0000931%), (SO, 2,403, 0.54%, 0.0002184%), (MS, 1,353, 0.54%, 0.0000851%), (AXP, 607, 0.54%, 0.0000881%), (PM, 1,372, 0.53%, 0.0000881%), (CRM, 923, 0.52%, 0.0000970%), (TMO, 350, 0.51%, 0.0000932%), (MDT, 1,866, 0.48%, 0.0001455%), (NKE, 2,922, 0.46%, 0.0002457%), (BA, 1,010, 0.46%, 0.0001329%), (INTU, 271, 0.45%, 0.0000973%), (UBER, 2,175, 0.45%, 0.0001047%), (PEP, 1,210, 0.44%, 0.0000885%), (ETN, 534, 0.44%, 0.0001375%), (C, 1,700, 0.42%, 0.0000950%), (DE, 344, 0.42%, 0.0001273%), (AMGN, 491, 0.42%, 0.0000912%), (HON, 878, 0.42%, 0.0001383%), (AMAT, 735, 0.41%, 0.0000923%), (QCOM, 990, 0.41%, 0.0000924%), (ACN, 603, 0.38%, 0.0000968%), (T, 5,824, 0.38%, 0.0003762%), (SCHW, 1,630, 0.37%, 0.0000917%), (GILD, 1,139, 0.36%, 0.0000918%), (CVS, 1,831, 0.36%, 0.0001442%), (UNP, 626, 0.35%, 0.0001055%), (VZ, 3,417, 0.35%, 0.0000810%), (SPGI, 282, 0.35%, 0.0000910%), (ADBE, 425, 0.35%, 0.0001015%), (DHR, 587, 0.33%, 0.0000831%), (INTC, 3,843, 0.33%, 0.0000806%), (LMT, 285, 0.33%, 0.0001232%), (PFE, 5,179, 0.33%, 0.0000911%), (TXN, 813, 0.33%, 0.0000895%), (MMM, 735, 0.31%, 0.0001384%), (DIS, 1,164, 0.30%, 0.0000652%), (SBUX, 1,414, 0.30%, 0.0001244%), (TJX, 768, 0.29%, 0.0000690%), (EMR, 770, 0.25%, 0.0001371%), (LOW, 386, 0.23%, 0.0000688%), (MO, 1,495, 0.22%, 0.0000891%), (BMY, 1,853, 0.21%, 0.0000910%), (UPS, 755, 0.18%, 0.0001022%), (USB, 1,403, 0.17%, 0.0000903%), (CMCSA, 2,453, 0.17%, 0.0000675%), (MDLZ, 1,180, 0.17%, 0.0000914%), (PYPL, 891, 0.14%, 0.0000952%), (CL, 656, 0.13%, 0.0000814%), (TGT, 571, 0.13%, 0.0001261%), (AMT, 2,841, nan%, 0.0006069%), (BKNG, 41, nan%, 0.0001272%), (BLK, 159, nan%, 0.0001025%), (BRK/B, 0, nan%, 0.0000000%), (CB, 1,923, nan%, 0.0004886%), (COP, 1,470, nan%, 0.0001190%), (COST, 0, nan%, 0.0000000%), (DUK, 1,694, nan%, 0.0002177%), (ELV, 337, nan%, 0.0001516%), (FDX, 232, nan%, 0.0000983%), (GOOGLE, 6,813, nan%, 0.0000607%), (LIN, 1,400, nan%, 0.0002998%), (LLY, 0, nan%, 0.0000000%), (MET, 2,983, nan%, 0.0004527%), (NOW, 199, nan%, 0.0000959%), (ORCL, 0, nan%, 0.0000000%), (PLTR, 0, nan%, 0.0000000%), (SOLS, 220, nan%, 0.0001386%), (WM, 1,756, nan%, 0.0004359%), (nan, 0, nan%, 0.0000000%), (nan, 0, nan%, 0.0000000%)</t>
        </is>
      </c>
      <c r="T12" s="4" t="n">
        <v>6.068611840820802e-06</v>
      </c>
      <c r="U12" s="3" t="n">
        <v>110478</v>
      </c>
      <c r="V12" s="4" t="n">
        <v>0.00276804193436958</v>
      </c>
      <c r="W12" t="inlineStr"/>
    </row>
    <row r="13">
      <c r="A13" s="2" t="n">
        <v>45982</v>
      </c>
      <c r="B13" t="inlineStr">
        <is>
          <t>TR2B1</t>
        </is>
      </c>
      <c r="C13" t="inlineStr">
        <is>
          <t>diversified</t>
        </is>
      </c>
      <c r="D13" t="inlineStr">
        <is>
          <t>diversified</t>
        </is>
      </c>
      <c r="E13" s="3">
        <f>IF(C13=D13,"PASS","FAIL")</f>
        <v/>
      </c>
      <c r="F13" s="3">
        <f>IF(L13/J13&gt;=0.75,"PASS","FAIL")</f>
        <v/>
      </c>
      <c r="G13" s="3">
        <f>IF(O13="None","PASS","FAIL")</f>
        <v/>
      </c>
      <c r="H13" s="3">
        <f>IF(T13="","",IF(T13&lt;=0.1,"PASS","FAIL"))</f>
        <v/>
      </c>
      <c r="I13" s="3">
        <f>IF(U13=0,"PASS",IF(U13&lt;=0.05*L13,"PASS","FAIL"))</f>
        <v/>
      </c>
      <c r="J13" s="3" t="n">
        <v>132583782.24</v>
      </c>
      <c r="K13" s="4" t="n">
        <v>0</v>
      </c>
      <c r="L13" s="3" t="n">
        <v>119391427</v>
      </c>
      <c r="M13" s="3" t="n">
        <v>25859.28</v>
      </c>
      <c r="N13" s="3" t="n">
        <v>0</v>
      </c>
      <c r="O13" t="inlineStr">
        <is>
          <t>None</t>
        </is>
      </c>
      <c r="P13" t="inlineStr">
        <is>
          <t>NVDA, AAPL, MSFT, AVGO</t>
        </is>
      </c>
      <c r="Q13" s="4" t="n">
        <v>0.2700426415038996</v>
      </c>
      <c r="R13" s="4" t="n">
        <v>0.7299573584961003</v>
      </c>
      <c r="S13" t="inlineStr">
        <is>
          <t>(AMZN, 22,436, 3.72%, 0.0002099%), (META, 4,933, 2.20%, 0.0002265%), (CSCO, 34,847, 2.01%, 0.0008820%), (JPM, 8,913, 2.00%, 0.0003274%), (TSLA, 6,601, 1.97%, 0.0001985%), (V, 6,636, 1.64%, 0.0003932%), (XOM, 17,591, 1.55%, 0.0004171%), (WMT, 18,948, 1.51%, 0.0002377%), (MA, 3,148, 1.28%, 0.0003532%), (JNJ, 7,747, 1.20%, 0.0003215%), (UNH, 4,715, 1.13%, 0.0005205%), (GE, 5,147, 1.11%, 0.0004880%), (ABBV, 5,686, 1.02%, 0.0003217%), (NEE, 15,883, 0.99%, 0.0007626%), (CAT, 2,296, 0.95%, 0.0004906%), (ABT, 8,887, 0.86%, 0.0005111%), (BAC, 21,134, 0.82%, 0.0002894%), (RTX, 6,330, 0.81%, 0.0004721%), (AMD, 5,091, 0.78%, 0.0003127%), (ISRG, 1,825, 0.77%, 0.0005148%), (NFLX, 9,673, 0.76%, 0.0002283%), (CVX, 6,689, 0.76%, 0.0003322%), (PG, 6,660, 0.76%, 0.0002850%), (MCD, 3,147, 0.73%, 0.0004419%), (IBM, 3,143, 0.71%, 0.0003362%), (GS, 1,205, 0.71%, 0.0004018%), (KO, 12,043, 0.66%, 0.0002800%), (WFC, 10,541, 0.66%, 0.0003358%), (HD, 2,381, 0.62%, 0.0002392%), (MRK, 8,139, 0.60%, 0.0003279%), (SO, 8,463, 0.57%, 0.0007692%), (MS, 4,764, 0.57%, 0.0002998%), (AXP, 2,137, 0.57%, 0.0003102%), (PM, 4,830, 0.56%, 0.0003103%), (CRM, 3,250, 0.56%, 0.0003414%), (TMO, 1,231, 0.54%, 0.0003276%), (MDT, 6,571, 0.50%, 0.0005123%), (NKE, 10,288, 0.49%, 0.0008650%), (BA, 3,555, 0.48%, 0.0004677%), (INTU, 953, 0.48%, 0.0003423%), (UBER, 7,657, 0.48%, 0.0003685%), (PEP, 4,262, 0.47%, 0.0003117%), (ETN, 1,879, 0.47%, 0.0004838%), (C, 5,988, 0.45%, 0.0003347%), (DE, 1,210, 0.45%, 0.0004476%), (AMGN, 1,730, 0.44%, 0.0003213%), (HON, 3,092, 0.44%, 0.0004870%), (AMAT, 2,586, 0.44%, 0.0003246%), (QCOM, 3,486, 0.43%, 0.0003255%), (NOW, 700, 0.43%, 0.0003374%), (BLK, 559, 0.42%, 0.0003603%), (ACN, 2,124, 0.40%, 0.0003410%), (T, 20,507, 0.40%, 0.0013247%), (SCHW, 5,741, 0.39%, 0.0003231%), (GILD, 4,010, 0.39%, 0.0003232%), (CVS, 6,448, 0.38%, 0.0005079%), (UNP, 2,205, 0.38%, 0.0003717%), (VZ, 12,031, 0.38%, 0.0002853%), (SPGI, 994, 0.37%, 0.0003206%), (ADBE, 1,496, 0.37%, 0.0003574%), (DHR, 2,068, 0.35%, 0.0002928%), (INTC, 13,532, 0.35%, 0.0002837%), (LMT, 1,003, 0.35%, 0.0004335%), (PFE, 18,234, 0.34%, 0.0003207%), (TXN, 2,862, 0.34%, 0.0003150%), (MMM, 2,590, 0.33%, 0.0004876%), (DIS, 4,098, 0.32%, 0.0002295%), (SBUX, 4,978, 0.32%, 0.0004378%), (TJX, 2,704, 0.31%, 0.0002430%), (EMR, 2,712, 0.26%, 0.0004827%), (LOW, 1,360, 0.24%, 0.0002424%), (MO, 5,264, 0.23%, 0.0003136%), (BMY, 6,526, 0.23%, 0.0003206%), (UPS, 2,660, 0.19%, 0.0003600%), (USB, 4,939, 0.18%, 0.0003177%), (CMCSA, 8,637, 0.18%, 0.0002376%), (MDLZ, 4,154, 0.18%, 0.0003219%), (FDX, 817, 0.17%, 0.0003463%), (PYPL, 3,139, 0.14%, 0.0003355%), (CL, 2,311, 0.14%, 0.0002867%), (TGT, 2,011, 0.13%, 0.0004441%), (AMT, 10,002, nan%, 0.0021365%), (BKNG, 145, nan%, 0.0004498%), (BRK/B, 0, nan%, 0.0000000%), (CB, 6,770, nan%, 0.0017202%), (COP, 5,177, nan%, 0.0004189%), (COST, 0, nan%, 0.0000000%), (DUK, 5,967, nan%, 0.0007670%), (ELV, 1,188, nan%, 0.0005346%), (GOOGLE, 23,991, nan%, 0.0002137%), (LIN, 4,930, nan%, 0.0010558%), (LLY, 0, nan%, 0.0000000%), (MET, 10,504, nan%, 0.0015942%), (ORCL, 0, nan%, 0.0000000%), (PLTR, 0, nan%, 0.0000000%), (SOLS, 773, nan%, 0.0004870%), (WM, 6,183, nan%, 0.0015347%), (nan, 0, nan%, 0.0000000%), (nan, 0, nan%, 0.0000000%)</t>
        </is>
      </c>
      <c r="T13" s="4" t="n">
        <v>2.136510229915159e-05</v>
      </c>
      <c r="U13" s="3" t="n">
        <v>479446</v>
      </c>
      <c r="V13" s="4" t="n">
        <v>0.003616173802706264</v>
      </c>
      <c r="W13" t="inlineStr"/>
    </row>
    <row r="14">
      <c r="A14" s="2" t="n">
        <v>45982</v>
      </c>
      <c r="B14" t="inlineStr">
        <is>
          <t>HE3B2</t>
        </is>
      </c>
      <c r="C14" t="inlineStr">
        <is>
          <t>diversified</t>
        </is>
      </c>
      <c r="D14" t="inlineStr">
        <is>
          <t>diversified</t>
        </is>
      </c>
      <c r="E14" s="3">
        <f>IF(C14=D14,"PASS","FAIL")</f>
        <v/>
      </c>
      <c r="F14" s="3">
        <f>IF(L14/J14&gt;=0.75,"PASS","FAIL")</f>
        <v/>
      </c>
      <c r="G14" s="3">
        <f>IF(O14="None","PASS","FAIL")</f>
        <v/>
      </c>
      <c r="H14" s="3">
        <f>IF(T14="","",IF(T14&lt;=0.1,"PASS","FAIL"))</f>
        <v/>
      </c>
      <c r="I14" s="3">
        <f>IF(U14=0,"PASS",IF(U14&lt;=0.05*L14,"PASS","FAIL"))</f>
        <v/>
      </c>
      <c r="J14" s="3" t="n">
        <v>24293147.02</v>
      </c>
      <c r="K14" s="4" t="n">
        <v>0</v>
      </c>
      <c r="L14" s="3" t="n">
        <v>20717665.35</v>
      </c>
      <c r="M14" s="3" t="n">
        <v>4491.06</v>
      </c>
      <c r="N14" s="3" t="n">
        <v>0</v>
      </c>
      <c r="O14" t="inlineStr">
        <is>
          <t>None</t>
        </is>
      </c>
      <c r="P14" t="inlineStr">
        <is>
          <t>NVDA, AAPL, MSFT, AVGO</t>
        </is>
      </c>
      <c r="Q14" s="4" t="n">
        <v>0.2616910394297878</v>
      </c>
      <c r="R14" s="4" t="n">
        <v>0.7383089605702122</v>
      </c>
      <c r="S14" t="inlineStr">
        <is>
          <t>(AMZN, 3,770, 3.41%, 0.0000353%), (META, 829, 2.02%, 0.0000381%), (CSCO, 5,855, 1.84%, 0.0001482%), (JPM, 1,498, 1.84%, 0.0000550%), (TSLA, 1,109, 1.81%, 0.0000333%), (V, 1,115, 1.51%, 0.0000661%), (XOM, 2,956, 1.42%, 0.0000701%), (WMT, 3,184, 1.39%, 0.0000399%), (MA, 529, 1.18%, 0.0000594%), (JNJ, 1,302, 1.10%, 0.0000540%), (UNH, 792, 1.04%, 0.0000874%), (GE, 865, 1.02%, 0.0000820%), (ABBV, 955, 0.93%, 0.0000540%), (NEE, 2,669, 0.91%, 0.0001282%), (CAT, 386, 0.87%, 0.0000825%), (ABT, 1,493, 0.79%, 0.0000859%), (BAC, 3,551, 0.75%, 0.0000486%), (RTX, 1,063, 0.74%, 0.0000793%), (AMD, 855, 0.72%, 0.0000525%), (ISRG, 307, 0.71%, 0.0000866%), (NFLX, 1,625, 0.70%, 0.0000383%), (CVX, 1,124, 0.69%, 0.0000558%), (PG, 1,119, 0.69%, 0.0000479%), (MCD, 529, 0.67%, 0.0000743%), (IBM, 528, 0.65%, 0.0000565%), (KO, 2,023, 0.61%, 0.0000470%), (WFC, 1,771, 0.60%, 0.0000564%), (HD, 400, 0.57%, 0.0000402%), (MRK, 1,368, 0.55%, 0.0000551%), (SO, 1,422, 0.52%, 0.0001292%), (MS, 800, 0.52%, 0.0000503%), (AXP, 359, 0.52%, 0.0000521%), (PM, 811, 0.52%, 0.0000521%), (CRM, 546, 0.51%, 0.0000574%), (MDT, 1,104, 0.46%, 0.0000861%), (NKE, 1,729, 0.45%, 0.0001454%), (BA, 597, 0.44%, 0.0000785%), (UBER, 1,287, 0.44%, 0.0000619%), (PEP, 716, 0.43%, 0.0000524%), (ETN, 316, 0.43%, 0.0000814%), (C, 1,006, 0.41%, 0.0000562%), (AMGN, 291, 0.41%, 0.0000540%), (HON, 520, 0.41%, 0.0000819%), (AMAT, 435, 0.40%, 0.0000546%), (QCOM, 586, 0.40%, 0.0000547%), (ACN, 357, 0.37%, 0.0000573%), (T, 3,445, 0.37%, 0.0002225%), (SCHW, 965, 0.36%, 0.0000543%), (GILD, 674, 0.35%, 0.0000543%), (CVS, 1,083, 0.35%, 0.0000853%), (VZ, 2,021, 0.34%, 0.0000479%), (UNP, 370, 0.34%, 0.0000624%), (ADBE, 251, 0.33%, 0.0000600%), (DHR, 348, 0.32%, 0.0000493%), (INTC, 2,274, 0.32%, 0.0000477%), (TXN, 481, 0.32%, 0.0000529%), (PFE, 3,064, 0.32%, 0.0000539%), (MMM, 435, 0.30%, 0.0000819%), (DIS, 689, 0.30%, 0.0000386%), (SBUX, 836, 0.29%, 0.0000735%), (TJX, 454, 0.28%, 0.0000408%), (EMR, 456, 0.24%, 0.0000812%), (LOW, 229, 0.22%, 0.0000408%), (MO, 885, 0.21%, 0.0000527%), (BMY, 1,096, 0.21%, 0.0000538%), (UPS, 447, 0.17%, 0.0000605%), (USB, 830, 0.16%, 0.0000534%), (CMCSA, 1,451, 0.16%, 0.0000399%), (MDLZ, 698, 0.16%, 0.0000541%), (PYPL, 527, 0.13%, 0.0000563%), (CL, 388, 0.13%, 0.0000481%), (TGT, 338, 0.12%, 0.0000746%), (AMT, 1,681, nan%, 0.0003591%), (BKNG, 24, nan%, 0.0000745%), (BLK, 94, nan%, 0.0000606%), (BRK/B, 0, nan%, 0.0000000%), (CB, 1,138, nan%, 0.0002892%), (COP, 870, nan%, 0.0000704%), (COST, 0, nan%, 0.0000000%), (DE, 203, nan%, 0.0000751%), (DUK, 1,002, nan%, 0.0001288%), (ELV, 200, nan%, 0.0000900%), (FDX, 137, nan%, 0.0000581%), (GOOGLE, 4,030, nan%, 0.0000359%), (GS, 203, nan%, 0.0000677%), (INTU, 160, nan%, 0.0000575%), (LIN, 828, nan%, 0.0001773%), (LLY, 0, nan%, 0.0000000%), (LMT, 169, nan%, 0.0000730%), (MET, 1,765, nan%, 0.0002679%), (NOW, 118, nan%, 0.0000569%), (ORCL, 0, nan%, 0.0000000%), (PLTR, 0, nan%, 0.0000000%), (SOLS, 130, nan%, 0.0000819%), (SPGI, 167, nan%, 0.0000539%), (TMO, 207, nan%, 0.0000551%), (WM, 1,039, nan%, 0.0002579%), (nan, 0, nan%, 0.0000000%), (nan, 0, nan%, 0.0000000%)</t>
        </is>
      </c>
      <c r="T14" s="4" t="n">
        <v>3.590755545378307e-06</v>
      </c>
      <c r="U14" s="3" t="n">
        <v>65189</v>
      </c>
      <c r="V14" s="4" t="n">
        <v>0.002683431666812512</v>
      </c>
      <c r="W14" t="inlineStr"/>
    </row>
    <row r="15">
      <c r="A15" t="inlineStr">
        <is>
          <t>* To be classified as a diversified company under the 1940 Act, at least 75% of the value of the fund's total assets must be invested in:</t>
        </is>
      </c>
      <c r="B15" t="inlineStr"/>
      <c r="C15" t="inlineStr"/>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c r="W15" t="inlineStr"/>
    </row>
    <row r="16">
      <c r="A16" t="inlineStr">
        <is>
          <t>* 1) cash and cash items (including receivables),</t>
        </is>
      </c>
      <c r="B16" t="inlineStr"/>
      <c r="C16" t="inlineStr"/>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c r="W16" t="inlineStr"/>
    </row>
    <row r="17">
      <c r="A17" t="inlineStr">
        <is>
          <t>* 2) government securities,</t>
        </is>
      </c>
      <c r="B17" t="inlineStr"/>
      <c r="C17" t="inlineStr"/>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c r="V17" t="inlineStr"/>
      <c r="W17" t="inlineStr"/>
    </row>
    <row r="18">
      <c r="A18" t="inlineStr">
        <is>
          <t>* 3) securities of other investment companies, and</t>
        </is>
      </c>
      <c r="B18" t="inlineStr"/>
      <c r="C18" t="inlineStr"/>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c r="V18" t="inlineStr"/>
      <c r="W18" t="inlineStr"/>
    </row>
    <row r="19">
      <c r="A19" t="inlineStr">
        <is>
          <t>* 4) other securities</t>
        </is>
      </c>
      <c r="B19" t="inlineStr"/>
      <c r="C19" t="inlineStr"/>
      <c r="D19" t="inlineStr"/>
      <c r="E19" t="inlineStr"/>
      <c r="F19" t="inlineStr"/>
      <c r="G19" t="inlineStr"/>
      <c r="H19" t="inlineStr"/>
      <c r="I19" t="inlineStr"/>
      <c r="J19" t="inlineStr"/>
      <c r="K19" t="inlineStr"/>
      <c r="L19" t="inlineStr"/>
      <c r="M19" t="inlineStr"/>
      <c r="N19" t="inlineStr"/>
      <c r="O19" t="inlineStr"/>
      <c r="P19" t="inlineStr"/>
      <c r="Q19" t="inlineStr"/>
      <c r="R19" t="inlineStr"/>
      <c r="S19" t="inlineStr"/>
      <c r="T19" t="inlineStr"/>
      <c r="U19" t="inlineStr"/>
      <c r="V19" t="inlineStr"/>
      <c r="W19" t="inlineStr"/>
    </row>
    <row r="20">
      <c r="A20" t="inlineStr">
        <is>
          <t xml:space="preserve">* </t>
        </is>
      </c>
      <c r="B20" t="inlineStr"/>
      <c r="C20" t="inlineStr"/>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c r="V20" t="inlineStr"/>
      <c r="W20" t="inlineStr"/>
    </row>
    <row r="21">
      <c r="A21" t="inlineStr">
        <is>
          <t>* Compliance Conditions:</t>
        </is>
      </c>
      <c r="B21" t="inlineStr"/>
      <c r="C21" t="inlineStr"/>
      <c r="D21" t="inlineStr"/>
      <c r="E21" t="inlineStr"/>
      <c r="F21" t="inlineStr"/>
      <c r="G21" t="inlineStr"/>
      <c r="H21" t="inlineStr"/>
      <c r="I21" t="inlineStr"/>
      <c r="J21" t="inlineStr"/>
      <c r="K21" t="inlineStr"/>
      <c r="L21" t="inlineStr"/>
      <c r="M21" t="inlineStr"/>
      <c r="N21" t="inlineStr"/>
      <c r="O21" t="inlineStr"/>
      <c r="P21" t="inlineStr"/>
      <c r="Q21" t="inlineStr"/>
      <c r="R21" t="inlineStr"/>
      <c r="S21" t="inlineStr"/>
      <c r="T21" t="inlineStr"/>
      <c r="U21" t="inlineStr"/>
      <c r="V21" t="inlineStr"/>
      <c r="W21" t="inlineStr"/>
    </row>
    <row r="22">
      <c r="A22" t="inlineStr">
        <is>
          <t>* Condition 40 Act 1: 75% of the fund must be invested in diversified assets.</t>
        </is>
      </c>
      <c r="B22" t="inlineStr"/>
      <c r="C22" t="inlineStr"/>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c r="V22" t="inlineStr"/>
      <c r="W22" t="inlineStr"/>
    </row>
    <row r="23">
      <c r="A23" t="inlineStr">
        <is>
          <t>* Condition 40 Act 2a: No single issuer in the 75% can exceed 5% of total assets.</t>
        </is>
      </c>
      <c r="B23" t="inlineStr"/>
      <c r="C23" t="inlineStr"/>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c r="V23" t="inlineStr"/>
      <c r="W23" t="inlineStr"/>
    </row>
    <row r="24">
      <c r="A24" t="inlineStr">
        <is>
          <t>* Condition 40 Act 2b: No single issuer in the 75% can exceed 10% of the issuer's voting securities.</t>
        </is>
      </c>
      <c r="B24" t="inlineStr"/>
      <c r="C24" t="inlineStr"/>
      <c r="D24" t="inlineStr"/>
      <c r="E24" t="inlineStr"/>
      <c r="F24" t="inlineStr"/>
      <c r="G24" t="inlineStr"/>
      <c r="H24" t="inlineStr"/>
      <c r="I24" t="inlineStr"/>
      <c r="J24" t="inlineStr"/>
      <c r="K24" t="inlineStr"/>
      <c r="L24" t="inlineStr"/>
      <c r="M24" t="inlineStr"/>
      <c r="N24" t="inlineStr"/>
      <c r="O24" t="inlineStr"/>
      <c r="P24" t="inlineStr"/>
      <c r="Q24" t="inlineStr"/>
      <c r="R24" t="inlineStr"/>
      <c r="S24" t="inlineStr"/>
      <c r="T24" t="inlineStr"/>
      <c r="U24" t="inlineStr"/>
      <c r="V24" t="inlineStr"/>
      <c r="W2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9"/>
  <sheetViews>
    <sheetView workbookViewId="0">
      <selection activeCell="A1" sqref="A1"/>
    </sheetView>
  </sheetViews>
  <sheetFormatPr baseColWidth="8" defaultRowHeight="15"/>
  <cols>
    <col width="50" customWidth="1" min="1" max="1"/>
    <col width="8" customWidth="1" min="2" max="2"/>
    <col width="17" customWidth="1" min="3" max="3"/>
    <col width="33" customWidth="1" min="4" max="4"/>
    <col width="29" customWidth="1" min="5" max="5"/>
    <col width="22" customWidth="1" min="6" max="6"/>
    <col width="19" customWidth="1" min="7" max="7"/>
    <col width="14" customWidth="1" min="8" max="8"/>
    <col width="25" customWidth="1" min="9" max="9"/>
    <col width="10" customWidth="1" min="10" max="10"/>
    <col width="23" customWidth="1" min="11" max="11"/>
    <col width="30" customWidth="1" min="12" max="12"/>
    <col width="24" customWidth="1" min="13" max="13"/>
    <col width="44" customWidth="1" min="14" max="14"/>
    <col width="16" customWidth="1" min="15" max="15"/>
    <col width="22" customWidth="1" min="16" max="16"/>
    <col width="27" customWidth="1" min="17" max="17"/>
    <col width="34" customWidth="1" min="18" max="18"/>
  </cols>
  <sheetData>
    <row r="1">
      <c r="A1" s="1" t="inlineStr">
        <is>
          <t>Date</t>
        </is>
      </c>
      <c r="B1" s="1" t="inlineStr">
        <is>
          <t>Fund</t>
        </is>
      </c>
      <c r="C1" s="1" t="inlineStr">
        <is>
          <t>condition_IRS_1</t>
        </is>
      </c>
      <c r="D1" s="1" t="inlineStr">
        <is>
          <t>condition_IRS_2_a_50</t>
        </is>
      </c>
      <c r="E1" s="1" t="inlineStr">
        <is>
          <t>condition_IRS_2_a_5</t>
        </is>
      </c>
      <c r="F1" s="1" t="inlineStr">
        <is>
          <t>condition_IRS_2_a_10</t>
        </is>
      </c>
      <c r="G1" s="1" t="inlineStr">
        <is>
          <t>condition_IRS_2_b</t>
        </is>
      </c>
      <c r="H1" s="1" t="inlineStr">
        <is>
          <t>total_assets</t>
        </is>
      </c>
      <c r="I1" s="1" t="inlineStr">
        <is>
          <t>qualifying_assets_value</t>
        </is>
      </c>
      <c r="J1" s="1" t="inlineStr">
        <is>
          <t>expenses</t>
        </is>
      </c>
      <c r="K1" s="1" t="inlineStr">
        <is>
          <t>five_pct_gross_assets</t>
        </is>
      </c>
      <c r="L1" s="1" t="inlineStr">
        <is>
          <t>sum_large_securities_weights</t>
        </is>
      </c>
      <c r="M1" s="1" t="inlineStr">
        <is>
          <t>large_securities_count</t>
        </is>
      </c>
      <c r="N1" s="1" t="inlineStr">
        <is>
          <t>large_securities</t>
        </is>
      </c>
      <c r="O1" s="1" t="inlineStr">
        <is>
          <t>overlap_weight</t>
        </is>
      </c>
      <c r="P1" s="1" t="inlineStr">
        <is>
          <t>overlap_constituents</t>
        </is>
      </c>
      <c r="Q1" s="1" t="inlineStr">
        <is>
          <t>bottom_50_largest_holding</t>
        </is>
      </c>
      <c r="R1" s="1" t="inlineStr">
        <is>
          <t>bottom_50_second_largest_holding</t>
        </is>
      </c>
    </row>
    <row r="2">
      <c r="A2" s="2" t="n">
        <v>45982</v>
      </c>
      <c r="B2" t="inlineStr">
        <is>
          <t>HE3B1</t>
        </is>
      </c>
      <c r="C2" t="inlineStr">
        <is>
          <t>PASS</t>
        </is>
      </c>
      <c r="D2" s="3">
        <f>IF(I2/H2&gt;=0.5,"PASS","FAIL")</f>
        <v/>
      </c>
      <c r="E2" s="3">
        <f>IF(L2&lt;=0.5,"PASS","FAIL")</f>
        <v/>
      </c>
      <c r="F2" t="inlineStr">
        <is>
          <t>PASS</t>
        </is>
      </c>
      <c r="G2" t="inlineStr">
        <is>
          <t>PASS</t>
        </is>
      </c>
      <c r="H2" s="3" t="n">
        <v>42720997.47</v>
      </c>
      <c r="I2" s="3" t="n">
        <v>37577509.19</v>
      </c>
      <c r="J2" s="3" t="n">
        <v>7995.63</v>
      </c>
      <c r="K2" s="4" t="n">
        <v>2136049.8735</v>
      </c>
      <c r="L2" s="4" t="n">
        <v>0.2838974342568638</v>
      </c>
      <c r="M2" s="3" t="n">
        <v>4</v>
      </c>
      <c r="N2" t="inlineStr">
        <is>
          <t>(, 8.02%), (, 7.43%), (, 6.56%), (, 6.38%)</t>
        </is>
      </c>
      <c r="O2" s="4" t="n">
        <v>0</v>
      </c>
      <c r="P2" t="inlineStr">
        <is>
          <t>None</t>
        </is>
      </c>
      <c r="Q2" t="inlineStr">
        <is>
          <t>LIN (1.70%)</t>
        </is>
      </c>
      <c r="R2" t="inlineStr">
        <is>
          <t>MA (1.65%)</t>
        </is>
      </c>
    </row>
    <row r="3">
      <c r="A3" s="2" t="n">
        <v>45982</v>
      </c>
      <c r="B3" t="inlineStr">
        <is>
          <t>P20127</t>
        </is>
      </c>
      <c r="C3" t="inlineStr">
        <is>
          <t>PASS</t>
        </is>
      </c>
      <c r="D3" s="3">
        <f>IF(I3/H3&gt;=0.5,"PASS","FAIL")</f>
        <v/>
      </c>
      <c r="E3" s="3">
        <f>IF(L3&lt;=0.5,"PASS","FAIL")</f>
        <v/>
      </c>
      <c r="F3" t="inlineStr">
        <is>
          <t>PASS</t>
        </is>
      </c>
      <c r="G3" t="inlineStr">
        <is>
          <t>PASS</t>
        </is>
      </c>
      <c r="H3" s="3" t="n">
        <v>99054093.83</v>
      </c>
      <c r="I3" s="3" t="n">
        <v>90559375.33</v>
      </c>
      <c r="J3" s="3" t="n">
        <v>19871.88</v>
      </c>
      <c r="K3" s="4" t="n">
        <v>4952704.6915</v>
      </c>
      <c r="L3" s="4" t="n">
        <v>0.2797200886365039</v>
      </c>
      <c r="M3" s="3" t="n">
        <v>4</v>
      </c>
      <c r="N3" t="inlineStr">
        <is>
          <t>(, 8.12%), (, 7.53%), (, 6.46%), (, 5.87%)</t>
        </is>
      </c>
      <c r="O3" s="4" t="n">
        <v>0</v>
      </c>
      <c r="P3" t="inlineStr">
        <is>
          <t>None</t>
        </is>
      </c>
      <c r="Q3" t="inlineStr">
        <is>
          <t>CB (1.65%)</t>
        </is>
      </c>
      <c r="R3" t="inlineStr">
        <is>
          <t>WMT (1.63%)</t>
        </is>
      </c>
    </row>
    <row r="4">
      <c r="A4" s="2" t="n">
        <v>45982</v>
      </c>
      <c r="B4" t="inlineStr">
        <is>
          <t>HE3B3</t>
        </is>
      </c>
      <c r="C4" t="inlineStr">
        <is>
          <t>PASS</t>
        </is>
      </c>
      <c r="D4" s="3">
        <f>IF(I4/H4&gt;=0.5,"PASS","FAIL")</f>
        <v/>
      </c>
      <c r="E4" s="3">
        <f>IF(L4&lt;=0.5,"PASS","FAIL")</f>
        <v/>
      </c>
      <c r="F4" t="inlineStr">
        <is>
          <t>PASS</t>
        </is>
      </c>
      <c r="G4" t="inlineStr">
        <is>
          <t>PASS</t>
        </is>
      </c>
      <c r="H4" s="3" t="n">
        <v>18076250.98</v>
      </c>
      <c r="I4" s="3" t="n">
        <v>14425712.09</v>
      </c>
      <c r="J4" s="3" t="n">
        <v>3175.32</v>
      </c>
      <c r="K4" s="4" t="n">
        <v>903812.5490000001</v>
      </c>
      <c r="L4" s="4" t="n">
        <v>0.1479406809253584</v>
      </c>
      <c r="M4" s="3" t="n">
        <v>2</v>
      </c>
      <c r="N4" t="inlineStr">
        <is>
          <t>(, 7.68%), (, 7.12%)</t>
        </is>
      </c>
      <c r="O4" s="4" t="n">
        <v>0</v>
      </c>
      <c r="P4" t="inlineStr">
        <is>
          <t>None</t>
        </is>
      </c>
      <c r="Q4" t="inlineStr">
        <is>
          <t>LIN (1.65%)</t>
        </is>
      </c>
      <c r="R4" t="inlineStr">
        <is>
          <t>AMT (1.46%)</t>
        </is>
      </c>
    </row>
    <row r="5">
      <c r="A5" s="2" t="n">
        <v>45982</v>
      </c>
      <c r="B5" t="inlineStr">
        <is>
          <t>P31027</t>
        </is>
      </c>
      <c r="C5" t="inlineStr">
        <is>
          <t>PASS</t>
        </is>
      </c>
      <c r="D5" s="3">
        <f>IF(I5/H5&gt;=0.5,"PASS","FAIL")</f>
        <v/>
      </c>
      <c r="E5" s="3">
        <f>IF(L5&lt;=0.5,"PASS","FAIL")</f>
        <v/>
      </c>
      <c r="F5" t="inlineStr">
        <is>
          <t>PASS</t>
        </is>
      </c>
      <c r="G5" t="inlineStr">
        <is>
          <t>PASS</t>
        </is>
      </c>
      <c r="H5" s="3" t="n">
        <v>15178148.85</v>
      </c>
      <c r="I5" s="3" t="n">
        <v>13584698.33</v>
      </c>
      <c r="J5" s="3" t="n">
        <v>2966.19</v>
      </c>
      <c r="K5" s="4" t="n">
        <v>758907.4425</v>
      </c>
      <c r="L5" s="4" t="n">
        <v>0.2809547900929977</v>
      </c>
      <c r="M5" s="3" t="n">
        <v>4</v>
      </c>
      <c r="N5" t="inlineStr">
        <is>
          <t>(, 8.16%), (, 7.56%), (, 6.49%), (, 5.89%)</t>
        </is>
      </c>
      <c r="O5" s="4" t="n">
        <v>0</v>
      </c>
      <c r="P5" t="inlineStr">
        <is>
          <t>None</t>
        </is>
      </c>
      <c r="Q5" t="inlineStr">
        <is>
          <t>LIN (1.66%)</t>
        </is>
      </c>
      <c r="R5" t="inlineStr">
        <is>
          <t>CB (1.65%)</t>
        </is>
      </c>
    </row>
    <row r="6">
      <c r="A6" s="2" t="n">
        <v>45982</v>
      </c>
      <c r="B6" t="inlineStr">
        <is>
          <t>P3727</t>
        </is>
      </c>
      <c r="C6" t="inlineStr">
        <is>
          <t>PASS</t>
        </is>
      </c>
      <c r="D6" s="3">
        <f>IF(I6/H6&gt;=0.5,"PASS","FAIL")</f>
        <v/>
      </c>
      <c r="E6" s="3">
        <f>IF(L6&lt;=0.5,"PASS","FAIL")</f>
        <v/>
      </c>
      <c r="F6" t="inlineStr">
        <is>
          <t>PASS</t>
        </is>
      </c>
      <c r="G6" t="inlineStr">
        <is>
          <t>PASS</t>
        </is>
      </c>
      <c r="H6" s="3" t="n">
        <v>77698305.34</v>
      </c>
      <c r="I6" s="3" t="n">
        <v>70794496.15000001</v>
      </c>
      <c r="J6" s="3" t="n">
        <v>15319.74</v>
      </c>
      <c r="K6" s="4" t="n">
        <v>3884915.267</v>
      </c>
      <c r="L6" s="4" t="n">
        <v>0.2833947177616125</v>
      </c>
      <c r="M6" s="3" t="n">
        <v>4</v>
      </c>
      <c r="N6" t="inlineStr">
        <is>
          <t>(, 8.23%), (, 7.63%), (, 6.54%), (, 5.94%)</t>
        </is>
      </c>
      <c r="O6" s="4" t="n">
        <v>0</v>
      </c>
      <c r="P6" t="inlineStr">
        <is>
          <t>None</t>
        </is>
      </c>
      <c r="Q6" t="inlineStr">
        <is>
          <t>LIN (1.67%)</t>
        </is>
      </c>
      <c r="R6" t="inlineStr">
        <is>
          <t>CB (1.67%)</t>
        </is>
      </c>
    </row>
    <row r="7">
      <c r="A7" s="2" t="n">
        <v>45982</v>
      </c>
      <c r="B7" t="inlineStr">
        <is>
          <t>P2726</t>
        </is>
      </c>
      <c r="C7" t="inlineStr">
        <is>
          <t>PASS</t>
        </is>
      </c>
      <c r="D7" s="3">
        <f>IF(I7/H7&gt;=0.5,"PASS","FAIL")</f>
        <v/>
      </c>
      <c r="E7" s="3">
        <f>IF(L7&lt;=0.5,"PASS","FAIL")</f>
        <v/>
      </c>
      <c r="F7" t="inlineStr">
        <is>
          <t>PASS</t>
        </is>
      </c>
      <c r="G7" t="inlineStr">
        <is>
          <t>PASS</t>
        </is>
      </c>
      <c r="H7" s="3" t="n">
        <v>33639249.58</v>
      </c>
      <c r="I7" s="3" t="n">
        <v>32270006.92</v>
      </c>
      <c r="J7" s="3" t="n">
        <v>6945.6</v>
      </c>
      <c r="K7" s="4" t="n">
        <v>1681962.479</v>
      </c>
      <c r="L7" s="4" t="n">
        <v>0.2848836671020322</v>
      </c>
      <c r="M7" s="3" t="n">
        <v>4</v>
      </c>
      <c r="N7" t="inlineStr">
        <is>
          <t>(, 8.27%), (, 7.67%), (, 6.58%), (, 5.98%)</t>
        </is>
      </c>
      <c r="O7" s="4" t="n">
        <v>0</v>
      </c>
      <c r="P7" t="inlineStr">
        <is>
          <t>None</t>
        </is>
      </c>
      <c r="Q7" t="inlineStr">
        <is>
          <t>LIN (1.68%)</t>
        </is>
      </c>
      <c r="R7" t="inlineStr">
        <is>
          <t>CB (1.68%)</t>
        </is>
      </c>
    </row>
    <row r="8">
      <c r="A8" s="2" t="n">
        <v>45982</v>
      </c>
      <c r="B8" t="inlineStr">
        <is>
          <t>P21026</t>
        </is>
      </c>
      <c r="C8" t="inlineStr">
        <is>
          <t>PASS</t>
        </is>
      </c>
      <c r="D8" s="3">
        <f>IF(I8/H8&gt;=0.5,"PASS","FAIL")</f>
        <v/>
      </c>
      <c r="E8" s="3">
        <f>IF(L8&lt;=0.5,"PASS","FAIL")</f>
        <v/>
      </c>
      <c r="F8" t="inlineStr">
        <is>
          <t>PASS</t>
        </is>
      </c>
      <c r="G8" t="inlineStr">
        <is>
          <t>PASS</t>
        </is>
      </c>
      <c r="H8" s="3" t="n">
        <v>22816338.11</v>
      </c>
      <c r="I8" s="3" t="n">
        <v>21200861.73</v>
      </c>
      <c r="J8" s="3" t="n">
        <v>4606.17</v>
      </c>
      <c r="K8" s="4" t="n">
        <v>1140816.9055</v>
      </c>
      <c r="L8" s="4" t="n">
        <v>0.2824903594356314</v>
      </c>
      <c r="M8" s="3" t="n">
        <v>4</v>
      </c>
      <c r="N8" t="inlineStr">
        <is>
          <t>(, 8.20%), (, 7.60%), (, 6.52%), (, 5.93%)</t>
        </is>
      </c>
      <c r="O8" s="4" t="n">
        <v>0</v>
      </c>
      <c r="P8" t="inlineStr">
        <is>
          <t>None</t>
        </is>
      </c>
      <c r="Q8" t="inlineStr">
        <is>
          <t>LIN (1.67%)</t>
        </is>
      </c>
      <c r="R8" t="inlineStr">
        <is>
          <t>CB (1.66%)</t>
        </is>
      </c>
    </row>
    <row r="9">
      <c r="A9" s="2" t="n">
        <v>45982</v>
      </c>
      <c r="B9" t="inlineStr">
        <is>
          <t>R21126</t>
        </is>
      </c>
      <c r="C9" t="inlineStr">
        <is>
          <t>PASS</t>
        </is>
      </c>
      <c r="D9" s="3">
        <f>IF(I9/H9&gt;=0.5,"PASS","FAIL")</f>
        <v/>
      </c>
      <c r="E9" s="3">
        <f>IF(L9&lt;=0.5,"PASS","FAIL")</f>
        <v/>
      </c>
      <c r="F9" t="inlineStr">
        <is>
          <t>PASS</t>
        </is>
      </c>
      <c r="G9" t="inlineStr">
        <is>
          <t>PASS</t>
        </is>
      </c>
      <c r="H9" s="3" t="n">
        <v>52846233.31</v>
      </c>
      <c r="I9" s="3" t="n">
        <v>48822987.5</v>
      </c>
      <c r="J9" s="3" t="n">
        <v>10576.62</v>
      </c>
      <c r="K9" s="4" t="n">
        <v>2642311.6655</v>
      </c>
      <c r="L9" s="4" t="n">
        <v>0</v>
      </c>
      <c r="M9" s="3" t="n">
        <v>0</v>
      </c>
      <c r="N9" t="inlineStr">
        <is>
          <t>None</t>
        </is>
      </c>
      <c r="O9" s="4" t="n">
        <v>0</v>
      </c>
      <c r="P9" t="inlineStr">
        <is>
          <t>None</t>
        </is>
      </c>
      <c r="Q9" t="inlineStr">
        <is>
          <t>UNM (1.85%)</t>
        </is>
      </c>
      <c r="R9" t="inlineStr">
        <is>
          <t>CTSH (1.81%)</t>
        </is>
      </c>
    </row>
    <row r="10">
      <c r="A10" s="2" t="n">
        <v>45982</v>
      </c>
      <c r="B10" t="inlineStr">
        <is>
          <t>TR2B2</t>
        </is>
      </c>
      <c r="C10" t="inlineStr">
        <is>
          <t>PASS</t>
        </is>
      </c>
      <c r="D10" s="3">
        <f>IF(I10/H10&gt;=0.5,"PASS","FAIL")</f>
        <v/>
      </c>
      <c r="E10" s="3">
        <f>IF(L10&lt;=0.5,"PASS","FAIL")</f>
        <v/>
      </c>
      <c r="F10" t="inlineStr">
        <is>
          <t>PASS</t>
        </is>
      </c>
      <c r="G10" t="inlineStr">
        <is>
          <t>PASS</t>
        </is>
      </c>
      <c r="H10" s="3" t="n">
        <v>162512875.96</v>
      </c>
      <c r="I10" s="3" t="n">
        <v>140618854.15</v>
      </c>
      <c r="J10" s="3" t="n">
        <v>30767.85</v>
      </c>
      <c r="K10" s="4" t="n">
        <v>8125643.798</v>
      </c>
      <c r="L10" s="4" t="n">
        <v>0.2804700242961277</v>
      </c>
      <c r="M10" s="3" t="n">
        <v>4</v>
      </c>
      <c r="N10" t="inlineStr">
        <is>
          <t>(, 8.14%), (, 7.55%), (, 6.47%), (, 5.89%)</t>
        </is>
      </c>
      <c r="O10" s="4" t="n">
        <v>0</v>
      </c>
      <c r="P10" t="inlineStr">
        <is>
          <t>None</t>
        </is>
      </c>
      <c r="Q10" t="inlineStr">
        <is>
          <t>LIN (1.66%)</t>
        </is>
      </c>
      <c r="R10" t="inlineStr">
        <is>
          <t>CB (1.65%)</t>
        </is>
      </c>
    </row>
    <row r="11">
      <c r="A11" s="2" t="n">
        <v>45982</v>
      </c>
      <c r="B11" t="inlineStr">
        <is>
          <t>TR2B3</t>
        </is>
      </c>
      <c r="C11" t="inlineStr">
        <is>
          <t>PASS</t>
        </is>
      </c>
      <c r="D11" s="3">
        <f>IF(I11/H11&gt;=0.5,"PASS","FAIL")</f>
        <v/>
      </c>
      <c r="E11" s="3">
        <f>IF(L11&lt;=0.5,"PASS","FAIL")</f>
        <v/>
      </c>
      <c r="F11" t="inlineStr">
        <is>
          <t>PASS</t>
        </is>
      </c>
      <c r="G11" t="inlineStr">
        <is>
          <t>PASS</t>
        </is>
      </c>
      <c r="H11" s="3" t="n">
        <v>134574160.76</v>
      </c>
      <c r="I11" s="3" t="n">
        <v>116198543.97</v>
      </c>
      <c r="J11" s="3" t="n">
        <v>25585.56</v>
      </c>
      <c r="K11" s="4" t="n">
        <v>6728708.038</v>
      </c>
      <c r="L11" s="4" t="n">
        <v>0.2674619073717538</v>
      </c>
      <c r="M11" s="3" t="n">
        <v>4</v>
      </c>
      <c r="N11" t="inlineStr">
        <is>
          <t>(, 7.67%), (, 7.12%), (, 6.10%), (, 5.85%)</t>
        </is>
      </c>
      <c r="O11" s="4" t="n">
        <v>0</v>
      </c>
      <c r="P11" t="inlineStr">
        <is>
          <t>None</t>
        </is>
      </c>
      <c r="Q11" t="inlineStr">
        <is>
          <t>LIN (1.65%)</t>
        </is>
      </c>
      <c r="R11" t="inlineStr">
        <is>
          <t>AMT (1.46%)</t>
        </is>
      </c>
    </row>
    <row r="12">
      <c r="A12" s="2" t="n">
        <v>45982</v>
      </c>
      <c r="B12" t="inlineStr">
        <is>
          <t>P30128</t>
        </is>
      </c>
      <c r="C12" t="inlineStr">
        <is>
          <t>PASS</t>
        </is>
      </c>
      <c r="D12" s="3">
        <f>IF(I12/H12&gt;=0.5,"PASS","FAIL")</f>
        <v/>
      </c>
      <c r="E12" s="3">
        <f>IF(L12&lt;=0.5,"PASS","FAIL")</f>
        <v/>
      </c>
      <c r="F12" t="inlineStr">
        <is>
          <t>PASS</t>
        </is>
      </c>
      <c r="G12" t="inlineStr">
        <is>
          <t>PASS</t>
        </is>
      </c>
      <c r="H12" s="3" t="n">
        <v>39911967.6</v>
      </c>
      <c r="I12" s="3" t="n">
        <v>34602436.71</v>
      </c>
      <c r="J12" s="3" t="n">
        <v>7601.1</v>
      </c>
      <c r="K12" s="4" t="n">
        <v>1995598.38</v>
      </c>
      <c r="L12" s="4" t="n">
        <v>0.2793518132973141</v>
      </c>
      <c r="M12" s="3" t="n">
        <v>4</v>
      </c>
      <c r="N12" t="inlineStr">
        <is>
          <t>(, 8.11%), (, 7.52%), (, 6.45%), (, 5.86%)</t>
        </is>
      </c>
      <c r="O12" s="4" t="n">
        <v>0</v>
      </c>
      <c r="P12" t="inlineStr">
        <is>
          <t>None</t>
        </is>
      </c>
      <c r="Q12" t="inlineStr">
        <is>
          <t>CB (1.64%)</t>
        </is>
      </c>
      <c r="R12" t="inlineStr">
        <is>
          <t>WMT (1.63%)</t>
        </is>
      </c>
    </row>
    <row r="13">
      <c r="A13" s="2" t="n">
        <v>45982</v>
      </c>
      <c r="B13" t="inlineStr">
        <is>
          <t>TR2B1</t>
        </is>
      </c>
      <c r="C13" t="inlineStr">
        <is>
          <t>PASS</t>
        </is>
      </c>
      <c r="D13" s="3">
        <f>IF(I13/H13&gt;=0.5,"PASS","FAIL")</f>
        <v/>
      </c>
      <c r="E13" s="3">
        <f>IF(L13&lt;=0.5,"PASS","FAIL")</f>
        <v/>
      </c>
      <c r="F13" t="inlineStr">
        <is>
          <t>PASS</t>
        </is>
      </c>
      <c r="G13" t="inlineStr">
        <is>
          <t>PASS</t>
        </is>
      </c>
      <c r="H13" s="3" t="n">
        <v>132583782.24</v>
      </c>
      <c r="I13" s="3" t="n">
        <v>121753591.01</v>
      </c>
      <c r="J13" s="3" t="n">
        <v>25859.28</v>
      </c>
      <c r="K13" s="4" t="n">
        <v>6629189.112</v>
      </c>
      <c r="L13" s="4" t="n">
        <v>0.2886978169713978</v>
      </c>
      <c r="M13" s="3" t="n">
        <v>4</v>
      </c>
      <c r="N13" t="inlineStr">
        <is>
          <t>(, 8.38%), (, 7.77%), (, 6.66%), (, 6.06%)</t>
        </is>
      </c>
      <c r="O13" s="4" t="n">
        <v>0</v>
      </c>
      <c r="P13" t="inlineStr">
        <is>
          <t>None</t>
        </is>
      </c>
      <c r="Q13" t="inlineStr">
        <is>
          <t>LIN (1.71%)</t>
        </is>
      </c>
      <c r="R13" t="inlineStr">
        <is>
          <t>CB (1.70%)</t>
        </is>
      </c>
    </row>
    <row r="14">
      <c r="A14" s="2" t="n">
        <v>45982</v>
      </c>
      <c r="B14" t="inlineStr">
        <is>
          <t>HE3B2</t>
        </is>
      </c>
      <c r="C14" t="inlineStr">
        <is>
          <t>PASS</t>
        </is>
      </c>
      <c r="D14" s="3">
        <f>IF(I14/H14&gt;=0.5,"PASS","FAIL")</f>
        <v/>
      </c>
      <c r="E14" s="3">
        <f>IF(L14&lt;=0.5,"PASS","FAIL")</f>
        <v/>
      </c>
      <c r="F14" t="inlineStr">
        <is>
          <t>PASS</t>
        </is>
      </c>
      <c r="G14" t="inlineStr">
        <is>
          <t>PASS</t>
        </is>
      </c>
      <c r="H14" s="3" t="n">
        <v>24293147.02</v>
      </c>
      <c r="I14" s="3" t="n">
        <v>20471106.84</v>
      </c>
      <c r="J14" s="3" t="n">
        <v>4491.06</v>
      </c>
      <c r="K14" s="4" t="n">
        <v>1214657.351</v>
      </c>
      <c r="L14" s="4" t="n">
        <v>0.2796718188133104</v>
      </c>
      <c r="M14" s="3" t="n">
        <v>4</v>
      </c>
      <c r="N14" t="inlineStr">
        <is>
          <t>(, 8.12%), (, 7.53%), (, 6.46%), (, 5.86%)</t>
        </is>
      </c>
      <c r="O14" s="4" t="n">
        <v>0</v>
      </c>
      <c r="P14" t="inlineStr">
        <is>
          <t>None</t>
        </is>
      </c>
      <c r="Q14" t="inlineStr">
        <is>
          <t>CB (1.65%)</t>
        </is>
      </c>
      <c r="R14" t="inlineStr">
        <is>
          <t>WMT (1.63%)</t>
        </is>
      </c>
    </row>
    <row r="15">
      <c r="A15" t="inlineStr">
        <is>
          <t>* IRS Condition 1: 90% of income must come from qualifying sources.</t>
        </is>
      </c>
      <c r="B15" t="inlineStr"/>
      <c r="C15" t="inlineStr"/>
      <c r="D15" t="inlineStr"/>
      <c r="E15" t="inlineStr"/>
      <c r="F15" t="inlineStr"/>
      <c r="G15" t="inlineStr"/>
      <c r="H15" t="inlineStr"/>
      <c r="I15" t="inlineStr"/>
      <c r="J15" t="inlineStr"/>
      <c r="K15" t="inlineStr"/>
      <c r="L15" t="inlineStr"/>
      <c r="M15" t="inlineStr"/>
      <c r="N15" t="inlineStr"/>
      <c r="O15" t="inlineStr"/>
      <c r="P15" t="inlineStr"/>
      <c r="Q15" t="inlineStr"/>
      <c r="R15" t="inlineStr"/>
    </row>
    <row r="16">
      <c r="A16" t="inlineStr">
        <is>
          <t>* IRS Condition 2a: At least 50% of assets must be allocated to qualifying securities.</t>
        </is>
      </c>
      <c r="B16" t="inlineStr"/>
      <c r="C16" t="inlineStr"/>
      <c r="D16" t="inlineStr"/>
      <c r="E16" t="inlineStr"/>
      <c r="F16" t="inlineStr"/>
      <c r="G16" t="inlineStr"/>
      <c r="H16" t="inlineStr"/>
      <c r="I16" t="inlineStr"/>
      <c r="J16" t="inlineStr"/>
      <c r="K16" t="inlineStr"/>
      <c r="L16" t="inlineStr"/>
      <c r="M16" t="inlineStr"/>
      <c r="N16" t="inlineStr"/>
      <c r="O16" t="inlineStr"/>
      <c r="P16" t="inlineStr"/>
      <c r="Q16" t="inlineStr"/>
      <c r="R16" t="inlineStr"/>
    </row>
    <row r="17">
      <c r="A17" t="inlineStr">
        <is>
          <t>* IRS Condition 2a5: for 50% of portfolio, no issuer is more than 5% of fund assets.</t>
        </is>
      </c>
      <c r="B17" t="inlineStr"/>
      <c r="C17" t="inlineStr"/>
      <c r="D17" t="inlineStr"/>
      <c r="E17" t="inlineStr"/>
      <c r="F17" t="inlineStr"/>
      <c r="G17" t="inlineStr"/>
      <c r="H17" t="inlineStr"/>
      <c r="I17" t="inlineStr"/>
      <c r="J17" t="inlineStr"/>
      <c r="K17" t="inlineStr"/>
      <c r="L17" t="inlineStr"/>
      <c r="M17" t="inlineStr"/>
      <c r="N17" t="inlineStr"/>
      <c r="O17" t="inlineStr"/>
      <c r="P17" t="inlineStr"/>
      <c r="Q17" t="inlineStr"/>
      <c r="R17" t="inlineStr"/>
    </row>
    <row r="18">
      <c r="A18" t="inlineStr">
        <is>
          <t>* IRS Condition 2a10: for 50% of portfolio, fund doesn't hold more than 10% of any issuer's outstanding float.</t>
        </is>
      </c>
      <c r="B18" t="inlineStr"/>
      <c r="C18" t="inlineStr"/>
      <c r="D18" t="inlineStr"/>
      <c r="E18" t="inlineStr"/>
      <c r="F18" t="inlineStr"/>
      <c r="G18" t="inlineStr"/>
      <c r="H18" t="inlineStr"/>
      <c r="I18" t="inlineStr"/>
      <c r="J18" t="inlineStr"/>
      <c r="K18" t="inlineStr"/>
      <c r="L18" t="inlineStr"/>
      <c r="M18" t="inlineStr"/>
      <c r="N18" t="inlineStr"/>
      <c r="O18" t="inlineStr"/>
      <c r="P18" t="inlineStr"/>
      <c r="Q18" t="inlineStr"/>
      <c r="R18" t="inlineStr"/>
    </row>
    <row r="19">
      <c r="A19" t="inlineStr">
        <is>
          <t>* IRS Condition 2b: No single issuer may constitute more than 25% of assets.</t>
        </is>
      </c>
      <c r="B19" t="inlineStr"/>
      <c r="C19" t="inlineStr"/>
      <c r="D19" t="inlineStr"/>
      <c r="E19" t="inlineStr"/>
      <c r="F19" t="inlineStr"/>
      <c r="G19" t="inlineStr"/>
      <c r="H19" t="inlineStr"/>
      <c r="I19" t="inlineStr"/>
      <c r="J19" t="inlineStr"/>
      <c r="K19" t="inlineStr"/>
      <c r="L19" t="inlineStr"/>
      <c r="M19" t="inlineStr"/>
      <c r="N19" t="inlineStr"/>
      <c r="O19" t="inlineStr"/>
      <c r="P19" t="inlineStr"/>
      <c r="Q19" t="inlineStr"/>
      <c r="R19"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50" customWidth="1" min="1" max="1"/>
    <col width="8" customWidth="1" min="2" max="2"/>
    <col width="22" customWidth="1" min="3" max="3"/>
    <col width="20" customWidth="1" min="4" max="4"/>
  </cols>
  <sheetData>
    <row r="1">
      <c r="A1" s="1" t="inlineStr">
        <is>
          <t>Date</t>
        </is>
      </c>
      <c r="B1" s="1" t="inlineStr">
        <is>
          <t>Fund</t>
        </is>
      </c>
      <c r="C1" s="1" t="inlineStr">
        <is>
          <t>Real Estate Exposure</t>
        </is>
      </c>
      <c r="D1" s="1" t="inlineStr">
        <is>
          <t>Total Exposure</t>
        </is>
      </c>
    </row>
    <row r="2">
      <c r="A2" s="2" t="n">
        <v>45982</v>
      </c>
      <c r="B2" t="inlineStr">
        <is>
          <t>HE3B1</t>
        </is>
      </c>
      <c r="C2" s="3" t="n">
        <v>0</v>
      </c>
      <c r="D2" s="3" t="n">
        <v>37688225.19000001</v>
      </c>
    </row>
    <row r="3">
      <c r="A3" s="2" t="n">
        <v>45982</v>
      </c>
      <c r="B3" t="inlineStr">
        <is>
          <t>P20127</t>
        </is>
      </c>
      <c r="C3" s="3" t="n">
        <v>0</v>
      </c>
      <c r="D3" s="3" t="n">
        <v>90885267.32999998</v>
      </c>
    </row>
    <row r="4">
      <c r="A4" s="2" t="n">
        <v>45982</v>
      </c>
      <c r="B4" t="inlineStr">
        <is>
          <t>HE3B3</t>
        </is>
      </c>
      <c r="C4" s="3" t="n">
        <v>0</v>
      </c>
      <c r="D4" s="3" t="n">
        <v>14469529.09</v>
      </c>
    </row>
    <row r="5">
      <c r="A5" s="2" t="n">
        <v>45982</v>
      </c>
      <c r="B5" t="inlineStr">
        <is>
          <t>P31027</t>
        </is>
      </c>
      <c r="C5" s="3" t="n">
        <v>0</v>
      </c>
      <c r="D5" s="3" t="n">
        <v>13626823.33</v>
      </c>
    </row>
    <row r="6">
      <c r="A6" s="2" t="n">
        <v>45982</v>
      </c>
      <c r="B6" t="inlineStr">
        <is>
          <t>P3727</t>
        </is>
      </c>
      <c r="C6" s="3" t="n">
        <v>0</v>
      </c>
      <c r="D6" s="3" t="n">
        <v>70998752.15000001</v>
      </c>
    </row>
    <row r="7">
      <c r="A7" s="2" t="n">
        <v>45982</v>
      </c>
      <c r="B7" t="inlineStr">
        <is>
          <t>P2726</t>
        </is>
      </c>
      <c r="C7" s="3" t="n">
        <v>0</v>
      </c>
      <c r="D7" s="3" t="n">
        <v>32387560.92</v>
      </c>
    </row>
    <row r="8">
      <c r="A8" s="2" t="n">
        <v>45982</v>
      </c>
      <c r="B8" t="inlineStr">
        <is>
          <t>P21026</t>
        </is>
      </c>
      <c r="C8" s="3" t="n">
        <v>0</v>
      </c>
      <c r="D8" s="3" t="n">
        <v>21278266.73</v>
      </c>
    </row>
    <row r="9">
      <c r="A9" s="2" t="n">
        <v>45982</v>
      </c>
      <c r="B9" t="inlineStr">
        <is>
          <t>R21126</t>
        </is>
      </c>
      <c r="C9" s="3" t="n">
        <v>0</v>
      </c>
      <c r="D9" s="3" t="n">
        <v>48822987.49999999</v>
      </c>
    </row>
    <row r="10">
      <c r="A10" s="2" t="n">
        <v>45982</v>
      </c>
      <c r="B10" t="inlineStr">
        <is>
          <t>TR2B2</t>
        </is>
      </c>
      <c r="C10" s="3" t="n">
        <v>0</v>
      </c>
      <c r="D10" s="3" t="n">
        <v>141133193.15</v>
      </c>
    </row>
    <row r="11">
      <c r="A11" s="2" t="n">
        <v>45982</v>
      </c>
      <c r="B11" t="inlineStr">
        <is>
          <t>TR2B3</t>
        </is>
      </c>
      <c r="C11" s="3" t="n">
        <v>0</v>
      </c>
      <c r="D11" s="3" t="n">
        <v>116627706.97</v>
      </c>
    </row>
    <row r="12">
      <c r="A12" s="2" t="n">
        <v>45982</v>
      </c>
      <c r="B12" t="inlineStr">
        <is>
          <t>P30128</t>
        </is>
      </c>
      <c r="C12" s="3" t="n">
        <v>0</v>
      </c>
      <c r="D12" s="3" t="n">
        <v>34704959.71</v>
      </c>
    </row>
    <row r="13">
      <c r="A13" s="2" t="n">
        <v>45982</v>
      </c>
      <c r="B13" t="inlineStr">
        <is>
          <t>TR2B1</t>
        </is>
      </c>
      <c r="C13" s="3" t="n">
        <v>0</v>
      </c>
      <c r="D13" s="3" t="n">
        <v>122199612.01</v>
      </c>
    </row>
    <row r="14">
      <c r="A14" s="2" t="n">
        <v>45982</v>
      </c>
      <c r="B14" t="inlineStr">
        <is>
          <t>HE3B2</t>
        </is>
      </c>
      <c r="C14" s="3" t="n">
        <v>0</v>
      </c>
      <c r="D14" s="3" t="n">
        <v>20531520.84</v>
      </c>
    </row>
    <row r="15">
      <c r="A15" t="inlineStr">
        <is>
          <t>* We search for tags in Bloomberg for any fund holdings categorized as real estate.</t>
        </is>
      </c>
      <c r="B15" t="inlineStr"/>
      <c r="C15" t="inlineStr"/>
      <c r="D15" t="inlineStr"/>
    </row>
    <row r="16">
      <c r="A16" t="inlineStr">
        <is>
          <t>* If none, it reports 'None'.</t>
        </is>
      </c>
      <c r="B16" t="inlineStr"/>
      <c r="C16" t="inlineStr"/>
      <c r="D16"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50" customWidth="1" min="1" max="1"/>
    <col width="8" customWidth="1" min="2" max="2"/>
    <col width="22" customWidth="1" min="3" max="3"/>
  </cols>
  <sheetData>
    <row r="1">
      <c r="A1" s="1" t="inlineStr">
        <is>
          <t>Date</t>
        </is>
      </c>
      <c r="B1" s="1" t="inlineStr">
        <is>
          <t>Fund</t>
        </is>
      </c>
      <c r="C1" s="1" t="inlineStr">
        <is>
          <t>Commodities Exposure</t>
        </is>
      </c>
    </row>
    <row r="2">
      <c r="A2" s="2" t="n">
        <v>45982</v>
      </c>
      <c r="B2" t="inlineStr">
        <is>
          <t>HE3B1</t>
        </is>
      </c>
      <c r="C2" s="3" t="n">
        <v>0</v>
      </c>
    </row>
    <row r="3">
      <c r="A3" s="2" t="n">
        <v>45982</v>
      </c>
      <c r="B3" t="inlineStr">
        <is>
          <t>P20127</t>
        </is>
      </c>
      <c r="C3" s="3" t="n">
        <v>0</v>
      </c>
    </row>
    <row r="4">
      <c r="A4" s="2" t="n">
        <v>45982</v>
      </c>
      <c r="B4" t="inlineStr">
        <is>
          <t>HE3B3</t>
        </is>
      </c>
      <c r="C4" s="3" t="n">
        <v>0</v>
      </c>
    </row>
    <row r="5">
      <c r="A5" s="2" t="n">
        <v>45982</v>
      </c>
      <c r="B5" t="inlineStr">
        <is>
          <t>P31027</t>
        </is>
      </c>
      <c r="C5" s="3" t="n">
        <v>0</v>
      </c>
    </row>
    <row r="6">
      <c r="A6" s="2" t="n">
        <v>45982</v>
      </c>
      <c r="B6" t="inlineStr">
        <is>
          <t>P3727</t>
        </is>
      </c>
      <c r="C6" s="3" t="n">
        <v>0</v>
      </c>
    </row>
    <row r="7">
      <c r="A7" s="2" t="n">
        <v>45982</v>
      </c>
      <c r="B7" t="inlineStr">
        <is>
          <t>P2726</t>
        </is>
      </c>
      <c r="C7" s="3" t="n">
        <v>0</v>
      </c>
    </row>
    <row r="8">
      <c r="A8" s="2" t="n">
        <v>45982</v>
      </c>
      <c r="B8" t="inlineStr">
        <is>
          <t>P21026</t>
        </is>
      </c>
      <c r="C8" s="3" t="n">
        <v>0</v>
      </c>
    </row>
    <row r="9">
      <c r="A9" s="2" t="n">
        <v>45982</v>
      </c>
      <c r="B9" t="inlineStr">
        <is>
          <t>R21126</t>
        </is>
      </c>
      <c r="C9" s="3" t="n">
        <v>0</v>
      </c>
    </row>
    <row r="10">
      <c r="A10" s="2" t="n">
        <v>45982</v>
      </c>
      <c r="B10" t="inlineStr">
        <is>
          <t>TR2B2</t>
        </is>
      </c>
      <c r="C10" s="3" t="n">
        <v>0</v>
      </c>
    </row>
    <row r="11">
      <c r="A11" s="2" t="n">
        <v>45982</v>
      </c>
      <c r="B11" t="inlineStr">
        <is>
          <t>TR2B3</t>
        </is>
      </c>
      <c r="C11" s="3" t="n">
        <v>0</v>
      </c>
    </row>
    <row r="12">
      <c r="A12" s="2" t="n">
        <v>45982</v>
      </c>
      <c r="B12" t="inlineStr">
        <is>
          <t>P30128</t>
        </is>
      </c>
      <c r="C12" s="3" t="n">
        <v>0</v>
      </c>
    </row>
    <row r="13">
      <c r="A13" s="2" t="n">
        <v>45982</v>
      </c>
      <c r="B13" t="inlineStr">
        <is>
          <t>TR2B1</t>
        </is>
      </c>
      <c r="C13" s="3" t="n">
        <v>0</v>
      </c>
    </row>
    <row r="14">
      <c r="A14" s="2" t="n">
        <v>45982</v>
      </c>
      <c r="B14" t="inlineStr">
        <is>
          <t>HE3B2</t>
        </is>
      </c>
      <c r="C14" s="3" t="n">
        <v>0</v>
      </c>
    </row>
    <row r="15">
      <c r="A15" t="inlineStr">
        <is>
          <t>* We search for tags in Bloomberg for any fund holdings categorized as commodities.</t>
        </is>
      </c>
      <c r="B15" t="inlineStr"/>
      <c r="C15" t="inlineStr"/>
    </row>
    <row r="16">
      <c r="A16" t="inlineStr">
        <is>
          <t>* If none, it reports 'None'.</t>
        </is>
      </c>
      <c r="B16" t="inlineStr"/>
      <c r="C16"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50" customWidth="1" min="1" max="1"/>
    <col width="8" customWidth="1" min="2" max="2"/>
    <col width="14" customWidth="1" min="3" max="3"/>
    <col width="22" customWidth="1" min="4" max="4"/>
    <col width="17" customWidth="1" min="5" max="5"/>
    <col width="25" customWidth="1" min="6" max="6"/>
    <col width="30" customWidth="1" min="7" max="7"/>
    <col width="34" customWidth="1" min="8" max="8"/>
    <col width="34" customWidth="1" min="9" max="9"/>
    <col width="50" customWidth="1" min="10" max="10"/>
  </cols>
  <sheetData>
    <row r="1">
      <c r="A1" s="1" t="inlineStr">
        <is>
          <t>Date</t>
        </is>
      </c>
      <c r="B1" s="1" t="inlineStr">
        <is>
          <t>Fund</t>
        </is>
      </c>
      <c r="C1" s="1" t="inlineStr">
        <is>
          <t>Total Assets</t>
        </is>
      </c>
      <c r="D1" s="1" t="inlineStr">
        <is>
          <t>Investment Companies</t>
        </is>
      </c>
      <c r="E1" s="1" t="inlineStr">
        <is>
          <t>Ownership % Max</t>
        </is>
      </c>
      <c r="F1" s="1" t="inlineStr">
        <is>
          <t>Equity Market Value Sum</t>
        </is>
      </c>
      <c r="G1" s="1" t="inlineStr">
        <is>
          <t>Test 1 (&lt;=3% Ownership)</t>
        </is>
      </c>
      <c r="H1" s="1" t="inlineStr">
        <is>
          <t>Test 2 (&lt;=5% Total Assets)</t>
        </is>
      </c>
      <c r="I1" s="1" t="inlineStr">
        <is>
          <t>Test 3 (&lt;=10% Total Assets)</t>
        </is>
      </c>
      <c r="J1" s="1" t="inlineStr">
        <is>
          <t>12d1(a) Compliant</t>
        </is>
      </c>
    </row>
    <row r="2">
      <c r="A2" s="2" t="n">
        <v>45982</v>
      </c>
      <c r="B2" t="inlineStr">
        <is>
          <t>HE3B1</t>
        </is>
      </c>
      <c r="C2" s="3" t="n">
        <v>42720997.47</v>
      </c>
      <c r="D2" t="inlineStr">
        <is>
          <t>None</t>
        </is>
      </c>
      <c r="E2" s="4" t="n">
        <v>0</v>
      </c>
      <c r="F2" s="3" t="n">
        <v>0</v>
      </c>
      <c r="G2" s="4">
        <f>IF(E2&lt;=0.03,"PASS","FAIL")</f>
        <v/>
      </c>
      <c r="H2" s="3">
        <f>IF(F2/C2&lt;=0.05,"PASS","FAIL")</f>
        <v/>
      </c>
      <c r="I2" s="3">
        <f>IF(F2/C2&lt;=0.10,"PASS","FAIL")</f>
        <v/>
      </c>
      <c r="J2" s="3">
        <f>IF(AND(G2="PASS",H2="PASS",I2="PASS"),"PASS","FAIL")</f>
        <v/>
      </c>
    </row>
    <row r="3">
      <c r="A3" s="2" t="n">
        <v>45982</v>
      </c>
      <c r="B3" t="inlineStr">
        <is>
          <t>P20127</t>
        </is>
      </c>
      <c r="C3" s="3" t="n">
        <v>99054093.83</v>
      </c>
      <c r="D3" t="inlineStr">
        <is>
          <t>None</t>
        </is>
      </c>
      <c r="E3" s="4" t="n">
        <v>0</v>
      </c>
      <c r="F3" s="3" t="n">
        <v>0</v>
      </c>
      <c r="G3" s="4">
        <f>IF(E3&lt;=0.03,"PASS","FAIL")</f>
        <v/>
      </c>
      <c r="H3" s="3">
        <f>IF(F3/C3&lt;=0.05,"PASS","FAIL")</f>
        <v/>
      </c>
      <c r="I3" s="3">
        <f>IF(F3/C3&lt;=0.10,"PASS","FAIL")</f>
        <v/>
      </c>
      <c r="J3" s="3">
        <f>IF(AND(G3="PASS",H3="PASS",I3="PASS"),"PASS","FAIL")</f>
        <v/>
      </c>
    </row>
    <row r="4">
      <c r="A4" s="2" t="n">
        <v>45982</v>
      </c>
      <c r="B4" t="inlineStr">
        <is>
          <t>HE3B3</t>
        </is>
      </c>
      <c r="C4" s="3" t="n">
        <v>18076250.98</v>
      </c>
      <c r="D4" t="inlineStr">
        <is>
          <t>None</t>
        </is>
      </c>
      <c r="E4" s="4" t="n">
        <v>0</v>
      </c>
      <c r="F4" s="3" t="n">
        <v>0</v>
      </c>
      <c r="G4" s="4">
        <f>IF(E4&lt;=0.03,"PASS","FAIL")</f>
        <v/>
      </c>
      <c r="H4" s="3">
        <f>IF(F4/C4&lt;=0.05,"PASS","FAIL")</f>
        <v/>
      </c>
      <c r="I4" s="3">
        <f>IF(F4/C4&lt;=0.10,"PASS","FAIL")</f>
        <v/>
      </c>
      <c r="J4" s="3">
        <f>IF(AND(G4="PASS",H4="PASS",I4="PASS"),"PASS","FAIL")</f>
        <v/>
      </c>
    </row>
    <row r="5">
      <c r="A5" s="2" t="n">
        <v>45982</v>
      </c>
      <c r="B5" t="inlineStr">
        <is>
          <t>P31027</t>
        </is>
      </c>
      <c r="C5" s="3" t="n">
        <v>15178148.85</v>
      </c>
      <c r="D5" t="inlineStr">
        <is>
          <t>None</t>
        </is>
      </c>
      <c r="E5" s="4" t="n">
        <v>0</v>
      </c>
      <c r="F5" s="3" t="n">
        <v>0</v>
      </c>
      <c r="G5" s="4">
        <f>IF(E5&lt;=0.03,"PASS","FAIL")</f>
        <v/>
      </c>
      <c r="H5" s="3">
        <f>IF(F5/C5&lt;=0.05,"PASS","FAIL")</f>
        <v/>
      </c>
      <c r="I5" s="3">
        <f>IF(F5/C5&lt;=0.10,"PASS","FAIL")</f>
        <v/>
      </c>
      <c r="J5" s="3">
        <f>IF(AND(G5="PASS",H5="PASS",I5="PASS"),"PASS","FAIL")</f>
        <v/>
      </c>
    </row>
    <row r="6">
      <c r="A6" s="2" t="n">
        <v>45982</v>
      </c>
      <c r="B6" t="inlineStr">
        <is>
          <t>P3727</t>
        </is>
      </c>
      <c r="C6" s="3" t="n">
        <v>77698305.34</v>
      </c>
      <c r="D6" t="inlineStr">
        <is>
          <t>None</t>
        </is>
      </c>
      <c r="E6" s="4" t="n">
        <v>0</v>
      </c>
      <c r="F6" s="3" t="n">
        <v>0</v>
      </c>
      <c r="G6" s="4">
        <f>IF(E6&lt;=0.03,"PASS","FAIL")</f>
        <v/>
      </c>
      <c r="H6" s="3">
        <f>IF(F6/C6&lt;=0.05,"PASS","FAIL")</f>
        <v/>
      </c>
      <c r="I6" s="3">
        <f>IF(F6/C6&lt;=0.10,"PASS","FAIL")</f>
        <v/>
      </c>
      <c r="J6" s="3">
        <f>IF(AND(G6="PASS",H6="PASS",I6="PASS"),"PASS","FAIL")</f>
        <v/>
      </c>
    </row>
    <row r="7">
      <c r="A7" s="2" t="n">
        <v>45982</v>
      </c>
      <c r="B7" t="inlineStr">
        <is>
          <t>P2726</t>
        </is>
      </c>
      <c r="C7" s="3" t="n">
        <v>33639249.58</v>
      </c>
      <c r="D7" t="inlineStr">
        <is>
          <t>None</t>
        </is>
      </c>
      <c r="E7" s="4" t="n">
        <v>0</v>
      </c>
      <c r="F7" s="3" t="n">
        <v>0</v>
      </c>
      <c r="G7" s="4">
        <f>IF(E7&lt;=0.03,"PASS","FAIL")</f>
        <v/>
      </c>
      <c r="H7" s="3">
        <f>IF(F7/C7&lt;=0.05,"PASS","FAIL")</f>
        <v/>
      </c>
      <c r="I7" s="3">
        <f>IF(F7/C7&lt;=0.10,"PASS","FAIL")</f>
        <v/>
      </c>
      <c r="J7" s="3">
        <f>IF(AND(G7="PASS",H7="PASS",I7="PASS"),"PASS","FAIL")</f>
        <v/>
      </c>
    </row>
    <row r="8">
      <c r="A8" s="2" t="n">
        <v>45982</v>
      </c>
      <c r="B8" t="inlineStr">
        <is>
          <t>P21026</t>
        </is>
      </c>
      <c r="C8" s="3" t="n">
        <v>22816338.11</v>
      </c>
      <c r="D8" t="inlineStr">
        <is>
          <t>None</t>
        </is>
      </c>
      <c r="E8" s="4" t="n">
        <v>0</v>
      </c>
      <c r="F8" s="3" t="n">
        <v>0</v>
      </c>
      <c r="G8" s="4">
        <f>IF(E8&lt;=0.03,"PASS","FAIL")</f>
        <v/>
      </c>
      <c r="H8" s="3">
        <f>IF(F8/C8&lt;=0.05,"PASS","FAIL")</f>
        <v/>
      </c>
      <c r="I8" s="3">
        <f>IF(F8/C8&lt;=0.10,"PASS","FAIL")</f>
        <v/>
      </c>
      <c r="J8" s="3">
        <f>IF(AND(G8="PASS",H8="PASS",I8="PASS"),"PASS","FAIL")</f>
        <v/>
      </c>
    </row>
    <row r="9">
      <c r="A9" s="2" t="n">
        <v>45982</v>
      </c>
      <c r="B9" t="inlineStr">
        <is>
          <t>R21126</t>
        </is>
      </c>
      <c r="C9" s="3" t="n">
        <v>52846233.31</v>
      </c>
      <c r="D9" t="inlineStr">
        <is>
          <t>None</t>
        </is>
      </c>
      <c r="E9" s="4" t="n">
        <v>0</v>
      </c>
      <c r="F9" s="3" t="n">
        <v>0</v>
      </c>
      <c r="G9" s="4">
        <f>IF(E9&lt;=0.03,"PASS","FAIL")</f>
        <v/>
      </c>
      <c r="H9" s="3">
        <f>IF(F9/C9&lt;=0.05,"PASS","FAIL")</f>
        <v/>
      </c>
      <c r="I9" s="3">
        <f>IF(F9/C9&lt;=0.10,"PASS","FAIL")</f>
        <v/>
      </c>
      <c r="J9" s="3">
        <f>IF(AND(G9="PASS",H9="PASS",I9="PASS"),"PASS","FAIL")</f>
        <v/>
      </c>
    </row>
    <row r="10">
      <c r="A10" s="2" t="n">
        <v>45982</v>
      </c>
      <c r="B10" t="inlineStr">
        <is>
          <t>TR2B2</t>
        </is>
      </c>
      <c r="C10" s="3" t="n">
        <v>162512875.96</v>
      </c>
      <c r="D10" t="inlineStr">
        <is>
          <t>None</t>
        </is>
      </c>
      <c r="E10" s="4" t="n">
        <v>0</v>
      </c>
      <c r="F10" s="3" t="n">
        <v>0</v>
      </c>
      <c r="G10" s="4">
        <f>IF(E10&lt;=0.03,"PASS","FAIL")</f>
        <v/>
      </c>
      <c r="H10" s="3">
        <f>IF(F10/C10&lt;=0.05,"PASS","FAIL")</f>
        <v/>
      </c>
      <c r="I10" s="3">
        <f>IF(F10/C10&lt;=0.10,"PASS","FAIL")</f>
        <v/>
      </c>
      <c r="J10" s="3">
        <f>IF(AND(G10="PASS",H10="PASS",I10="PASS"),"PASS","FAIL")</f>
        <v/>
      </c>
    </row>
    <row r="11">
      <c r="A11" s="2" t="n">
        <v>45982</v>
      </c>
      <c r="B11" t="inlineStr">
        <is>
          <t>TR2B3</t>
        </is>
      </c>
      <c r="C11" s="3" t="n">
        <v>134574160.76</v>
      </c>
      <c r="D11" t="inlineStr">
        <is>
          <t>None</t>
        </is>
      </c>
      <c r="E11" s="4" t="n">
        <v>0</v>
      </c>
      <c r="F11" s="3" t="n">
        <v>0</v>
      </c>
      <c r="G11" s="4">
        <f>IF(E11&lt;=0.03,"PASS","FAIL")</f>
        <v/>
      </c>
      <c r="H11" s="3">
        <f>IF(F11/C11&lt;=0.05,"PASS","FAIL")</f>
        <v/>
      </c>
      <c r="I11" s="3">
        <f>IF(F11/C11&lt;=0.10,"PASS","FAIL")</f>
        <v/>
      </c>
      <c r="J11" s="3">
        <f>IF(AND(G11="PASS",H11="PASS",I11="PASS"),"PASS","FAIL")</f>
        <v/>
      </c>
    </row>
    <row r="12">
      <c r="A12" s="2" t="n">
        <v>45982</v>
      </c>
      <c r="B12" t="inlineStr">
        <is>
          <t>P30128</t>
        </is>
      </c>
      <c r="C12" s="3" t="n">
        <v>39911967.6</v>
      </c>
      <c r="D12" t="inlineStr">
        <is>
          <t>None</t>
        </is>
      </c>
      <c r="E12" s="4" t="n">
        <v>0</v>
      </c>
      <c r="F12" s="3" t="n">
        <v>0</v>
      </c>
      <c r="G12" s="4">
        <f>IF(E12&lt;=0.03,"PASS","FAIL")</f>
        <v/>
      </c>
      <c r="H12" s="3">
        <f>IF(F12/C12&lt;=0.05,"PASS","FAIL")</f>
        <v/>
      </c>
      <c r="I12" s="3">
        <f>IF(F12/C12&lt;=0.10,"PASS","FAIL")</f>
        <v/>
      </c>
      <c r="J12" s="3">
        <f>IF(AND(G12="PASS",H12="PASS",I12="PASS"),"PASS","FAIL")</f>
        <v/>
      </c>
    </row>
    <row r="13">
      <c r="A13" s="2" t="n">
        <v>45982</v>
      </c>
      <c r="B13" t="inlineStr">
        <is>
          <t>TR2B1</t>
        </is>
      </c>
      <c r="C13" s="3" t="n">
        <v>132583782.24</v>
      </c>
      <c r="D13" t="inlineStr">
        <is>
          <t>None</t>
        </is>
      </c>
      <c r="E13" s="4" t="n">
        <v>0</v>
      </c>
      <c r="F13" s="3" t="n">
        <v>0</v>
      </c>
      <c r="G13" s="4">
        <f>IF(E13&lt;=0.03,"PASS","FAIL")</f>
        <v/>
      </c>
      <c r="H13" s="3">
        <f>IF(F13/C13&lt;=0.05,"PASS","FAIL")</f>
        <v/>
      </c>
      <c r="I13" s="3">
        <f>IF(F13/C13&lt;=0.10,"PASS","FAIL")</f>
        <v/>
      </c>
      <c r="J13" s="3">
        <f>IF(AND(G13="PASS",H13="PASS",I13="PASS"),"PASS","FAIL")</f>
        <v/>
      </c>
    </row>
    <row r="14">
      <c r="A14" s="2" t="n">
        <v>45982</v>
      </c>
      <c r="B14" t="inlineStr">
        <is>
          <t>HE3B2</t>
        </is>
      </c>
      <c r="C14" s="3" t="n">
        <v>24293147.02</v>
      </c>
      <c r="D14" t="inlineStr">
        <is>
          <t>None</t>
        </is>
      </c>
      <c r="E14" s="4" t="n">
        <v>0</v>
      </c>
      <c r="F14" s="3" t="n">
        <v>0</v>
      </c>
      <c r="G14" s="4">
        <f>IF(E14&lt;=0.03,"PASS","FAIL")</f>
        <v/>
      </c>
      <c r="H14" s="3">
        <f>IF(F14/C14&lt;=0.05,"PASS","FAIL")</f>
        <v/>
      </c>
      <c r="I14" s="3">
        <f>IF(F14/C14&lt;=0.10,"PASS","FAIL")</f>
        <v/>
      </c>
      <c r="J14" s="3">
        <f>IF(AND(G14="PASS",H14="PASS",I14="PASS"),"PASS","FAIL")</f>
        <v/>
      </c>
    </row>
    <row r="15">
      <c r="A15" t="inlineStr">
        <is>
          <t>* The Fund will not purchase or otherwise acquire: (i) more than 3% of the total outstanding voting stock of the acquired company; (ii) securities issued by the acquired company having an aggregate value in excess of 5% of the value of the total assets of the acquiring company; or (iii) securities issued by the acquired company and all other investment companies (other than treasury stock of the acquiring company) having an aggregate value in excess of 10% of the value of the total assets of the acquiring company.</t>
        </is>
      </c>
      <c r="B15" t="inlineStr"/>
      <c r="C15" t="inlineStr"/>
      <c r="D15" t="inlineStr"/>
      <c r="E15" t="inlineStr"/>
      <c r="F15" t="inlineStr"/>
      <c r="G15" t="inlineStr"/>
      <c r="H15" t="inlineStr"/>
      <c r="I15" t="inlineStr"/>
      <c r="J1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50" customWidth="1" min="1" max="1"/>
    <col width="8" customWidth="1" min="2" max="2"/>
    <col width="11" customWidth="1" min="3" max="3"/>
    <col width="14" customWidth="1" min="4" max="4"/>
    <col width="50" customWidth="1" min="5" max="5"/>
  </cols>
  <sheetData>
    <row r="1">
      <c r="A1" s="1" t="inlineStr">
        <is>
          <t>Date</t>
        </is>
      </c>
      <c r="B1" s="1" t="inlineStr">
        <is>
          <t>Fund</t>
        </is>
      </c>
      <c r="C1" s="1" t="inlineStr">
        <is>
          <t>Compliant</t>
        </is>
      </c>
      <c r="D1" s="1" t="inlineStr">
        <is>
          <t>Total Assets</t>
        </is>
      </c>
      <c r="E1" s="1" t="inlineStr">
        <is>
          <t>Insurance Holdings</t>
        </is>
      </c>
    </row>
    <row r="2">
      <c r="A2" s="2" t="n">
        <v>45982</v>
      </c>
      <c r="B2" t="inlineStr">
        <is>
          <t>HE3B1</t>
        </is>
      </c>
      <c r="C2" t="inlineStr">
        <is>
          <t>PASS</t>
        </is>
      </c>
      <c r="D2" s="3" t="n">
        <v>42720997.47</v>
      </c>
      <c r="E2" t="inlineStr">
        <is>
          <t>CB (0.00000%), MET (0.00000%)</t>
        </is>
      </c>
    </row>
    <row r="3">
      <c r="A3" s="2" t="n">
        <v>45982</v>
      </c>
      <c r="B3" t="inlineStr">
        <is>
          <t>P20127</t>
        </is>
      </c>
      <c r="C3" t="inlineStr">
        <is>
          <t>PASS</t>
        </is>
      </c>
      <c r="D3" s="3" t="n">
        <v>99054093.83</v>
      </c>
      <c r="E3" t="inlineStr">
        <is>
          <t>CB (0.00000%), MET (0.00000%)</t>
        </is>
      </c>
    </row>
    <row r="4">
      <c r="A4" s="2" t="n">
        <v>45982</v>
      </c>
      <c r="B4" t="inlineStr">
        <is>
          <t>HE3B3</t>
        </is>
      </c>
      <c r="C4" t="inlineStr">
        <is>
          <t>PASS</t>
        </is>
      </c>
      <c r="D4" s="3" t="n">
        <v>18076250.98</v>
      </c>
      <c r="E4" t="inlineStr">
        <is>
          <t>CB (0.00000%), MET (0.00000%)</t>
        </is>
      </c>
    </row>
    <row r="5">
      <c r="A5" s="2" t="n">
        <v>45982</v>
      </c>
      <c r="B5" t="inlineStr">
        <is>
          <t>P31027</t>
        </is>
      </c>
      <c r="C5" t="inlineStr">
        <is>
          <t>PASS</t>
        </is>
      </c>
      <c r="D5" s="3" t="n">
        <v>15178148.85</v>
      </c>
      <c r="E5" t="inlineStr">
        <is>
          <t>CB (0.00000%), MET (0.00000%)</t>
        </is>
      </c>
    </row>
    <row r="6">
      <c r="A6" s="2" t="n">
        <v>45982</v>
      </c>
      <c r="B6" t="inlineStr">
        <is>
          <t>P3727</t>
        </is>
      </c>
      <c r="C6" t="inlineStr">
        <is>
          <t>PASS</t>
        </is>
      </c>
      <c r="D6" s="3" t="n">
        <v>77698305.34</v>
      </c>
      <c r="E6" t="inlineStr">
        <is>
          <t>CB (0.00000%), MET (0.00000%)</t>
        </is>
      </c>
    </row>
    <row r="7">
      <c r="A7" s="2" t="n">
        <v>45982</v>
      </c>
      <c r="B7" t="inlineStr">
        <is>
          <t>P2726</t>
        </is>
      </c>
      <c r="C7" t="inlineStr">
        <is>
          <t>PASS</t>
        </is>
      </c>
      <c r="D7" s="3" t="n">
        <v>33639249.58</v>
      </c>
      <c r="E7" t="inlineStr">
        <is>
          <t>CB (0.00000%), MET (0.00000%)</t>
        </is>
      </c>
    </row>
    <row r="8">
      <c r="A8" s="2" t="n">
        <v>45982</v>
      </c>
      <c r="B8" t="inlineStr">
        <is>
          <t>P21026</t>
        </is>
      </c>
      <c r="C8" t="inlineStr">
        <is>
          <t>PASS</t>
        </is>
      </c>
      <c r="D8" s="3" t="n">
        <v>22816338.11</v>
      </c>
      <c r="E8" t="inlineStr">
        <is>
          <t>CB (0.00000%), MET (0.00000%)</t>
        </is>
      </c>
    </row>
    <row r="9">
      <c r="A9" s="2" t="n">
        <v>45982</v>
      </c>
      <c r="B9" t="inlineStr">
        <is>
          <t>R21126</t>
        </is>
      </c>
      <c r="C9" t="inlineStr">
        <is>
          <t>PASS</t>
        </is>
      </c>
      <c r="D9" s="3" t="n">
        <v>52846233.31</v>
      </c>
      <c r="E9" t="inlineStr">
        <is>
          <t>AFL (0.00000%), ALL (0.00000%), CB (0.00000%), CINF (0.00000%), EG (0.00000%), HIG (0.00000%), LNC (0.00000%), MET (0.00000%), PGR (0.00000%), TRV (0.00000%), UNM (0.00000%)</t>
        </is>
      </c>
    </row>
    <row r="10">
      <c r="A10" s="2" t="n">
        <v>45982</v>
      </c>
      <c r="B10" t="inlineStr">
        <is>
          <t>TR2B2</t>
        </is>
      </c>
      <c r="C10" t="inlineStr">
        <is>
          <t>PASS</t>
        </is>
      </c>
      <c r="D10" s="3" t="n">
        <v>162512875.96</v>
      </c>
      <c r="E10" t="inlineStr">
        <is>
          <t>CB (0.00000%), MET (0.00000%)</t>
        </is>
      </c>
    </row>
    <row r="11">
      <c r="A11" s="2" t="n">
        <v>45982</v>
      </c>
      <c r="B11" t="inlineStr">
        <is>
          <t>TR2B3</t>
        </is>
      </c>
      <c r="C11" t="inlineStr">
        <is>
          <t>PASS</t>
        </is>
      </c>
      <c r="D11" s="3" t="n">
        <v>134574160.76</v>
      </c>
      <c r="E11" t="inlineStr">
        <is>
          <t>CB (0.00000%), MET (0.00000%)</t>
        </is>
      </c>
    </row>
    <row r="12">
      <c r="A12" s="2" t="n">
        <v>45982</v>
      </c>
      <c r="B12" t="inlineStr">
        <is>
          <t>P30128</t>
        </is>
      </c>
      <c r="C12" t="inlineStr">
        <is>
          <t>PASS</t>
        </is>
      </c>
      <c r="D12" s="3" t="n">
        <v>39911967.6</v>
      </c>
      <c r="E12" t="inlineStr">
        <is>
          <t>CB (0.00000%), MET (0.00000%)</t>
        </is>
      </c>
    </row>
    <row r="13">
      <c r="A13" s="2" t="n">
        <v>45982</v>
      </c>
      <c r="B13" t="inlineStr">
        <is>
          <t>TR2B1</t>
        </is>
      </c>
      <c r="C13" t="inlineStr">
        <is>
          <t>PASS</t>
        </is>
      </c>
      <c r="D13" s="3" t="n">
        <v>132583782.24</v>
      </c>
      <c r="E13" t="inlineStr">
        <is>
          <t>CB (0.00000%), MET (0.00000%)</t>
        </is>
      </c>
    </row>
    <row r="14">
      <c r="A14" s="2" t="n">
        <v>45982</v>
      </c>
      <c r="B14" t="inlineStr">
        <is>
          <t>HE3B2</t>
        </is>
      </c>
      <c r="C14" t="inlineStr">
        <is>
          <t>PASS</t>
        </is>
      </c>
      <c r="D14" s="3" t="n">
        <v>24293147.02</v>
      </c>
      <c r="E14" t="inlineStr">
        <is>
          <t>CB (0.00000%), MET (0.00000%)</t>
        </is>
      </c>
    </row>
    <row r="15">
      <c r="A15" t="inlineStr">
        <is>
          <t>* The Fund may not own more than 10% of the total outstanding voting stock of an insurance company.</t>
        </is>
      </c>
      <c r="B15" t="inlineStr"/>
      <c r="C15" t="inlineStr"/>
      <c r="D15" t="inlineStr"/>
      <c r="E15"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5"/>
  <sheetViews>
    <sheetView workbookViewId="0">
      <selection activeCell="A1" sqref="A1"/>
    </sheetView>
  </sheetViews>
  <sheetFormatPr baseColWidth="8" defaultRowHeight="15"/>
  <cols>
    <col width="50" customWidth="1" min="1" max="1"/>
    <col width="8" customWidth="1" min="2" max="2"/>
    <col width="30" customWidth="1" min="3" max="3"/>
    <col width="21" customWidth="1" min="4" max="4"/>
    <col width="30" customWidth="1" min="5" max="5"/>
    <col width="50" customWidth="1" min="6" max="6"/>
    <col width="50" customWidth="1" min="7" max="7"/>
    <col width="50" customWidth="1" min="8" max="8"/>
    <col width="14" customWidth="1" min="9" max="9"/>
    <col width="17" customWidth="1" min="10" max="10"/>
    <col width="22" customWidth="1" min="11" max="11"/>
  </cols>
  <sheetData>
    <row r="1">
      <c r="A1" s="1" t="inlineStr">
        <is>
          <t>Date</t>
        </is>
      </c>
      <c r="B1" s="1" t="inlineStr">
        <is>
          <t>Fund</t>
        </is>
      </c>
      <c r="C1" s="1" t="inlineStr">
        <is>
          <t>Rule 1 (&lt;=5% equities)</t>
        </is>
      </c>
      <c r="D1" s="1" t="inlineStr">
        <is>
          <t>Rule 2 (&lt;=10% debt)</t>
        </is>
      </c>
      <c r="E1" s="1" t="inlineStr">
        <is>
          <t>Rule 3 (&lt;=5% total assets)</t>
        </is>
      </c>
      <c r="F1" s="1" t="inlineStr">
        <is>
          <t>12d3 Sec Biz Compliant</t>
        </is>
      </c>
      <c r="G1" s="1" t="inlineStr">
        <is>
          <t>SEC-Related Businesses (Shs Out %)</t>
        </is>
      </c>
      <c r="H1" s="1" t="inlineStr">
        <is>
          <t>Combined Holdings (Portfolio %)</t>
        </is>
      </c>
      <c r="I1" s="1" t="inlineStr">
        <is>
          <t>Total Assets</t>
        </is>
      </c>
      <c r="J1" s="1" t="inlineStr">
        <is>
          <t>Max Ownership %</t>
        </is>
      </c>
      <c r="K1" s="1" t="inlineStr">
        <is>
          <t>Max Weight</t>
        </is>
      </c>
    </row>
    <row r="2">
      <c r="A2" s="2" t="n">
        <v>45982</v>
      </c>
      <c r="B2" t="inlineStr">
        <is>
          <t>HE3B1</t>
        </is>
      </c>
      <c r="C2" s="3">
        <f>IF(K2&lt;=0.05,"PASS","FAIL")</f>
        <v/>
      </c>
      <c r="D2" t="inlineStr">
        <is>
          <t>PASS</t>
        </is>
      </c>
      <c r="E2" s="3">
        <f>IF(L2&lt;=0.05,"PASS","FAIL")</f>
        <v/>
      </c>
      <c r="F2" s="3">
        <f>IF(AND(C2="PASS",D2="PASS",E2="PASS"),"PASS","FAIL")</f>
        <v/>
      </c>
      <c r="G2" t="inlineStr">
        <is>
          <t>None (0.00000%), None (0.00000%), None (0.00000%), None (0.00000%), None (0.00000%), None (0.00000%), None (0.00000%), None (0.00000%), None (0.00000%), None (0.00000%)</t>
        </is>
      </c>
      <c r="H2" t="inlineStr">
        <is>
          <t>None (0.91%), None (0.47%), None (0.50%), None (0.79%), None (2.22%), None (0.63%), None (0.44%), None (0.36%), None (0.20%), None (0.73%)</t>
        </is>
      </c>
      <c r="I2" s="3" t="n">
        <v>42720997.47</v>
      </c>
      <c r="J2" s="4" t="n">
        <v>0</v>
      </c>
      <c r="K2" s="4" t="n">
        <v>0.02223770619277163</v>
      </c>
    </row>
    <row r="3">
      <c r="A3" s="2" t="n">
        <v>45982</v>
      </c>
      <c r="B3" t="inlineStr">
        <is>
          <t>P20127</t>
        </is>
      </c>
      <c r="C3" s="3">
        <f>IF(K3&lt;=0.05,"PASS","FAIL")</f>
        <v/>
      </c>
      <c r="D3" t="inlineStr">
        <is>
          <t>PASS</t>
        </is>
      </c>
      <c r="E3" s="3">
        <f>IF(L3&lt;=0.05,"PASS","FAIL")</f>
        <v/>
      </c>
      <c r="F3" s="3">
        <f>IF(AND(C3="PASS",D3="PASS",E3="PASS"),"PASS","FAIL")</f>
        <v/>
      </c>
      <c r="G3" t="inlineStr">
        <is>
          <t>None (0.00000%), None (0.00000%), None (0.00000%), None (0.00000%), None (0.00000%), None (0.00000%), None (0.00000%), None (0.00000%), None (0.00000%), None (0.00000%)</t>
        </is>
      </c>
      <c r="H3" t="inlineStr">
        <is>
          <t>None (0.82%), None (0.42%), None (0.44%), None (0.70%), None (1.99%), None (0.57%), None (0.39%), None (0.37%), None (0.18%), None (0.65%)</t>
        </is>
      </c>
      <c r="I3" s="3" t="n">
        <v>99054093.83</v>
      </c>
      <c r="J3" s="4" t="n">
        <v>0</v>
      </c>
      <c r="K3" s="4" t="n">
        <v>0.01990147397020511</v>
      </c>
    </row>
    <row r="4">
      <c r="A4" s="2" t="n">
        <v>45982</v>
      </c>
      <c r="B4" t="inlineStr">
        <is>
          <t>HE3B3</t>
        </is>
      </c>
      <c r="C4" s="3">
        <f>IF(K4&lt;=0.05,"PASS","FAIL")</f>
        <v/>
      </c>
      <c r="D4" t="inlineStr">
        <is>
          <t>PASS</t>
        </is>
      </c>
      <c r="E4" s="3">
        <f>IF(L4&lt;=0.05,"PASS","FAIL")</f>
        <v/>
      </c>
      <c r="F4" s="3">
        <f>IF(AND(C4="PASS",D4="PASS",E4="PASS"),"PASS","FAIL")</f>
        <v/>
      </c>
      <c r="G4" t="inlineStr">
        <is>
          <t>None (0.00000%), None (0.00000%), None (0.00000%), None (0.00000%), None (0.00000%), None (0.00000%), None (0.00000%), None (0.00000%), None (0.00000%), None (0.00000%)</t>
        </is>
      </c>
      <c r="H4" t="inlineStr">
        <is>
          <t>None (0.58%), None (0.30%), None (0.32%), None (0.50%), None (1.42%), None (0.40%), None (0.28%), None (0.32%), None (0.13%), None (0.47%)</t>
        </is>
      </c>
      <c r="I4" s="3" t="n">
        <v>18076250.98</v>
      </c>
      <c r="J4" s="4" t="n">
        <v>0</v>
      </c>
      <c r="K4" s="4" t="n">
        <v>0.01416932251512697</v>
      </c>
    </row>
    <row r="5">
      <c r="A5" s="2" t="n">
        <v>45982</v>
      </c>
      <c r="B5" t="inlineStr">
        <is>
          <t>P31027</t>
        </is>
      </c>
      <c r="C5" s="3">
        <f>IF(K5&lt;=0.05,"PASS","FAIL")</f>
        <v/>
      </c>
      <c r="D5" t="inlineStr">
        <is>
          <t>PASS</t>
        </is>
      </c>
      <c r="E5" s="3">
        <f>IF(L5&lt;=0.05,"PASS","FAIL")</f>
        <v/>
      </c>
      <c r="F5" s="3">
        <f>IF(AND(C5="PASS",D5="PASS",E5="PASS"),"PASS","FAIL")</f>
        <v/>
      </c>
      <c r="G5" t="inlineStr">
        <is>
          <t>None (0.00000%), None (0.00000%), None (0.00000%), None (0.00000%), None (0.00000%), None (0.00000%), None (0.00000%), None (0.00000%), None (0.00000%), None (0.00000%)</t>
        </is>
      </c>
      <c r="H5" t="inlineStr">
        <is>
          <t>None (0.80%), None (0.41%), None (0.43%), None (0.69%), None (1.95%), None (0.56%), None (0.38%), None (0.36%), None (0.17%), None (0.64%)</t>
        </is>
      </c>
      <c r="I5" s="3" t="n">
        <v>15178148.85</v>
      </c>
      <c r="J5" s="4" t="n">
        <v>0</v>
      </c>
      <c r="K5" s="4" t="n">
        <v>0.01948982204111142</v>
      </c>
    </row>
    <row r="6">
      <c r="A6" s="2" t="n">
        <v>45982</v>
      </c>
      <c r="B6" t="inlineStr">
        <is>
          <t>P3727</t>
        </is>
      </c>
      <c r="C6" s="3">
        <f>IF(K6&lt;=0.05,"PASS","FAIL")</f>
        <v/>
      </c>
      <c r="D6" t="inlineStr">
        <is>
          <t>PASS</t>
        </is>
      </c>
      <c r="E6" s="3">
        <f>IF(L6&lt;=0.05,"PASS","FAIL")</f>
        <v/>
      </c>
      <c r="F6" s="3">
        <f>IF(AND(C6="PASS",D6="PASS",E6="PASS"),"PASS","FAIL")</f>
        <v/>
      </c>
      <c r="G6" t="inlineStr">
        <is>
          <t>None (0.00000%), None (0.00000%), None (0.00000%), None (0.00000%), None (0.00000%), None (0.00000%), None (0.00000%), None (0.00000%), None (0.00000%), None (0.00000%)</t>
        </is>
      </c>
      <c r="H6" t="inlineStr">
        <is>
          <t>None (0.81%), None (0.42%), None (0.44%), None (0.70%), None (1.98%), None (0.57%), None (0.39%), None (0.37%), None (0.18%), None (0.65%)</t>
        </is>
      </c>
      <c r="I6" s="3" t="n">
        <v>77698305.34</v>
      </c>
      <c r="J6" s="4" t="n">
        <v>0</v>
      </c>
      <c r="K6" s="4" t="n">
        <v>0.01983388136017228</v>
      </c>
    </row>
    <row r="7">
      <c r="A7" s="2" t="n">
        <v>45982</v>
      </c>
      <c r="B7" t="inlineStr">
        <is>
          <t>P2726</t>
        </is>
      </c>
      <c r="C7" s="3">
        <f>IF(K7&lt;=0.05,"PASS","FAIL")</f>
        <v/>
      </c>
      <c r="D7" t="inlineStr">
        <is>
          <t>PASS</t>
        </is>
      </c>
      <c r="E7" s="3">
        <f>IF(L7&lt;=0.05,"PASS","FAIL")</f>
        <v/>
      </c>
      <c r="F7" s="3">
        <f>IF(AND(C7="PASS",D7="PASS",E7="PASS"),"PASS","FAIL")</f>
        <v/>
      </c>
      <c r="G7" t="inlineStr">
        <is>
          <t>None (0.00000%), None (0.00000%), None (0.00000%), None (0.00000%), None (0.00000%), None (0.00000%), None (0.00000%), None (0.00000%), None (0.00000%), None (0.00000%)</t>
        </is>
      </c>
      <c r="H7" t="inlineStr">
        <is>
          <t>None (0.86%), None (0.44%), None (0.47%), None (0.74%), None (2.09%), None (0.60%), None (0.41%), None (0.39%), None (0.19%), None (0.69%)</t>
        </is>
      </c>
      <c r="I7" s="3" t="n">
        <v>33639249.58</v>
      </c>
      <c r="J7" s="4" t="n">
        <v>0</v>
      </c>
      <c r="K7" s="4" t="n">
        <v>0.02088131182384123</v>
      </c>
    </row>
    <row r="8">
      <c r="A8" s="2" t="n">
        <v>45982</v>
      </c>
      <c r="B8" t="inlineStr">
        <is>
          <t>P21026</t>
        </is>
      </c>
      <c r="C8" s="3">
        <f>IF(K8&lt;=0.05,"PASS","FAIL")</f>
        <v/>
      </c>
      <c r="D8" t="inlineStr">
        <is>
          <t>PASS</t>
        </is>
      </c>
      <c r="E8" s="3">
        <f>IF(L8&lt;=0.05,"PASS","FAIL")</f>
        <v/>
      </c>
      <c r="F8" s="3">
        <f>IF(AND(C8="PASS",D8="PASS",E8="PASS"),"PASS","FAIL")</f>
        <v/>
      </c>
      <c r="G8" t="inlineStr">
        <is>
          <t>None (0.00000%), None (0.00000%), None (0.00000%), None (0.00000%), None (0.00000%), None (0.00000%), None (0.00000%), None (0.00000%), None (0.00000%), None (0.00000%)</t>
        </is>
      </c>
      <c r="H8" t="inlineStr">
        <is>
          <t>None (0.83%), None (0.43%), None (0.45%), None (0.71%), None (2.02%), None (0.58%), None (0.40%), None (0.38%), None (0.18%), None (0.67%)</t>
        </is>
      </c>
      <c r="I8" s="3" t="n">
        <v>22816338.11</v>
      </c>
      <c r="J8" s="4" t="n">
        <v>0</v>
      </c>
      <c r="K8" s="4" t="n">
        <v>0.02022775774863375</v>
      </c>
    </row>
    <row r="9">
      <c r="A9" s="2" t="n">
        <v>45982</v>
      </c>
      <c r="B9" t="inlineStr">
        <is>
          <t>R21126</t>
        </is>
      </c>
      <c r="C9" s="3">
        <f>IF(K9&lt;=0.05,"PASS","FAIL")</f>
        <v/>
      </c>
      <c r="D9" t="inlineStr">
        <is>
          <t>PASS</t>
        </is>
      </c>
      <c r="E9" s="3">
        <f>IF(L9&lt;=0.05,"PASS","FAIL")</f>
        <v/>
      </c>
      <c r="F9" s="3">
        <f>IF(AND(C9="PASS",D9="PASS",E9="PASS"),"PASS","FAIL")</f>
        <v/>
      </c>
      <c r="G9" t="inlineStr">
        <is>
          <t>None (0.00000%), None (0.00000%), None (0.00000%), None (0.00000%), None (0.00000%), None (0.00000%), None (0.00000%), None (0.00000%), None (0.00000%), None (0.00000%), None (0.00000%), None (0.00000%)</t>
        </is>
      </c>
      <c r="H9" t="inlineStr">
        <is>
          <t>None (0.75%), None (0.47%), None (2.06%), None (1.30%), None (1.84%), None (1.93%), None (0.42%), None (0.51%), None (1.28%), None (1.67%), None (1.45%), None (0.42%)</t>
        </is>
      </c>
      <c r="I9" s="3" t="n">
        <v>52846233.31</v>
      </c>
      <c r="J9" s="4" t="n">
        <v>0</v>
      </c>
      <c r="K9" s="4" t="n">
        <v>0.02058899398974023</v>
      </c>
    </row>
    <row r="10">
      <c r="A10" s="2" t="n">
        <v>45982</v>
      </c>
      <c r="B10" t="inlineStr">
        <is>
          <t>TR2B2</t>
        </is>
      </c>
      <c r="C10" s="3">
        <f>IF(K10&lt;=0.05,"PASS","FAIL")</f>
        <v/>
      </c>
      <c r="D10" t="inlineStr">
        <is>
          <t>PASS</t>
        </is>
      </c>
      <c r="E10" s="3">
        <f>IF(L10&lt;=0.05,"PASS","FAIL")</f>
        <v/>
      </c>
      <c r="F10" s="3">
        <f>IF(AND(C10="PASS",D10="PASS",E10="PASS"),"PASS","FAIL")</f>
        <v/>
      </c>
      <c r="G10" t="inlineStr">
        <is>
          <t>None (0.00000%), None (0.00000%), None (0.00000%), None (0.00000%), None (0.00000%), None (0.00000%), None (0.00000%), None (0.00000%), None (0.00000%), None (0.00000%)</t>
        </is>
      </c>
      <c r="H10" t="inlineStr">
        <is>
          <t>None (0.77%), None (0.40%), None (0.42%), None (0.66%), None (1.88%), None (0.54%), None (0.37%), None (0.35%), None (0.17%), None (0.62%)</t>
        </is>
      </c>
      <c r="I10" s="3" t="n">
        <v>162512875.96</v>
      </c>
      <c r="J10" s="4" t="n">
        <v>0</v>
      </c>
      <c r="K10" s="4" t="n">
        <v>0.01883523629692831</v>
      </c>
    </row>
    <row r="11">
      <c r="A11" s="2" t="n">
        <v>45982</v>
      </c>
      <c r="B11" t="inlineStr">
        <is>
          <t>TR2B3</t>
        </is>
      </c>
      <c r="C11" s="3">
        <f>IF(K11&lt;=0.05,"PASS","FAIL")</f>
        <v/>
      </c>
      <c r="D11" t="inlineStr">
        <is>
          <t>PASS</t>
        </is>
      </c>
      <c r="E11" s="3">
        <f>IF(L11&lt;=0.05,"PASS","FAIL")</f>
        <v/>
      </c>
      <c r="F11" s="3">
        <f>IF(AND(C11="PASS",D11="PASS",E11="PASS"),"PASS","FAIL")</f>
        <v/>
      </c>
      <c r="G11" t="inlineStr">
        <is>
          <t>None (0.00000%), None (0.00000%), None (0.00000%), None (0.00000%), None (0.00000%), None (0.00000%), None (0.00000%), None (0.00000%), None (0.00000%), None (0.00000%)</t>
        </is>
      </c>
      <c r="H11" t="inlineStr">
        <is>
          <t>None (0.63%), None (0.33%), None (0.34%), None (0.54%), None (1.53%), None (0.44%), None (0.30%), None (0.35%), None (0.14%), None (0.50%)</t>
        </is>
      </c>
      <c r="I11" s="3" t="n">
        <v>134574160.76</v>
      </c>
      <c r="J11" s="4" t="n">
        <v>0</v>
      </c>
      <c r="K11" s="4" t="n">
        <v>0.01532634844870646</v>
      </c>
    </row>
    <row r="12">
      <c r="A12" s="2" t="n">
        <v>45982</v>
      </c>
      <c r="B12" t="inlineStr">
        <is>
          <t>P30128</t>
        </is>
      </c>
      <c r="C12" s="3">
        <f>IF(K12&lt;=0.05,"PASS","FAIL")</f>
        <v/>
      </c>
      <c r="D12" t="inlineStr">
        <is>
          <t>PASS</t>
        </is>
      </c>
      <c r="E12" s="3">
        <f>IF(L12&lt;=0.05,"PASS","FAIL")</f>
        <v/>
      </c>
      <c r="F12" s="3">
        <f>IF(AND(C12="PASS",D12="PASS",E12="PASS"),"PASS","FAIL")</f>
        <v/>
      </c>
      <c r="G12" t="inlineStr">
        <is>
          <t>None (0.00000%), None (0.00000%), None (0.00000%), None (0.00000%), None (0.00000%), None (0.00000%), None (0.00000%), None (0.00000%), None (0.00000%), None (0.00000%)</t>
        </is>
      </c>
      <c r="H12" t="inlineStr">
        <is>
          <t>None (0.77%), None (0.40%), None (0.42%), None (0.66%), None (1.89%), None (0.54%), None (0.37%), None (0.35%), None (0.17%), None (0.62%)</t>
        </is>
      </c>
      <c r="I12" s="3" t="n">
        <v>39911967.6</v>
      </c>
      <c r="J12" s="4" t="n">
        <v>0</v>
      </c>
      <c r="K12" s="4" t="n">
        <v>0.01887344511674739</v>
      </c>
    </row>
    <row r="13">
      <c r="A13" s="2" t="n">
        <v>45982</v>
      </c>
      <c r="B13" t="inlineStr">
        <is>
          <t>TR2B1</t>
        </is>
      </c>
      <c r="C13" s="3">
        <f>IF(K13&lt;=0.05,"PASS","FAIL")</f>
        <v/>
      </c>
      <c r="D13" t="inlineStr">
        <is>
          <t>PASS</t>
        </is>
      </c>
      <c r="E13" s="3">
        <f>IF(L13&lt;=0.05,"PASS","FAIL")</f>
        <v/>
      </c>
      <c r="F13" s="3">
        <f>IF(AND(C13="PASS",D13="PASS",E13="PASS"),"PASS","FAIL")</f>
        <v/>
      </c>
      <c r="G13" t="inlineStr">
        <is>
          <t>None (0.00000%), None (0.00000%), None (0.00000%), None (0.00000%), None (0.00000%), None (0.00000%), None (0.00000%), None (0.00000%), None (0.00000%), None (0.00000%)</t>
        </is>
      </c>
      <c r="H13" t="inlineStr">
        <is>
          <t>None (0.82%), None (0.42%), None (0.45%), None (0.71%), None (2.00%), None (0.57%), None (0.39%), None (0.37%), None (0.18%), None (0.66%)</t>
        </is>
      </c>
      <c r="I13" s="3" t="n">
        <v>132583782.24</v>
      </c>
      <c r="J13" s="4" t="n">
        <v>0</v>
      </c>
      <c r="K13" s="4" t="n">
        <v>0.01998786386409548</v>
      </c>
    </row>
    <row r="14">
      <c r="A14" s="2" t="n">
        <v>45982</v>
      </c>
      <c r="B14" t="inlineStr">
        <is>
          <t>HE3B2</t>
        </is>
      </c>
      <c r="C14" s="3">
        <f>IF(K14&lt;=0.05,"PASS","FAIL")</f>
        <v/>
      </c>
      <c r="D14" t="inlineStr">
        <is>
          <t>PASS</t>
        </is>
      </c>
      <c r="E14" s="3">
        <f>IF(L14&lt;=0.05,"PASS","FAIL")</f>
        <v/>
      </c>
      <c r="F14" s="3">
        <f>IF(AND(C14="PASS",D14="PASS",E14="PASS"),"PASS","FAIL")</f>
        <v/>
      </c>
      <c r="G14" t="inlineStr">
        <is>
          <t>None (0.00000%), None (0.00000%), None (0.00000%), None (0.00000%), None (0.00000%), None (0.00000%), None (0.00000%), None (0.00000%), None (0.00000%), None (0.00000%)</t>
        </is>
      </c>
      <c r="H14" t="inlineStr">
        <is>
          <t>None (0.75%), None (0.39%), None (0.41%), None (0.65%), None (1.84%), None (0.52%), None (0.36%), None (0.34%), None (0.16%), None (0.60%)</t>
        </is>
      </c>
      <c r="I14" s="3" t="n">
        <v>24293147.02</v>
      </c>
      <c r="J14" s="4" t="n">
        <v>0</v>
      </c>
      <c r="K14" s="4" t="n">
        <v>0.01835160095285177</v>
      </c>
    </row>
    <row r="15">
      <c r="A15" t="inlineStr">
        <is>
          <t>* Notwithstanding section 12(d)(3) of the Act, an acquiring company may acquire any security issued by a person that, in its most recent fiscal year, derived more than 15 percent of its gross revenues from securities related activities, provided that: (1) Immediately after the acquisition of any equity security, the acquiring company owns not more than 5% of the outstanding securities of that class of the issuer's equity securities; (2) Immediately after the acquisition of any debt security, the acquiring company owns not more than 10% of the outstanding principal amount of the issuer's debt securities; and (3) Immediately after any such acquisition, the acquiring company has invested not more than 5% of the value of its total assets in the securities of the issuer.</t>
        </is>
      </c>
      <c r="B15" t="inlineStr"/>
      <c r="C15" t="inlineStr"/>
      <c r="D15" t="inlineStr"/>
      <c r="E15" t="inlineStr"/>
      <c r="F15" t="inlineStr"/>
      <c r="G15" t="inlineStr"/>
      <c r="H15" t="inlineStr"/>
      <c r="I15" t="inlineStr"/>
      <c r="J15" t="inlineStr"/>
      <c r="K15"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2025-11-24T19:24:30Z</dcterms:created>
  <dcterms:modified xmlns:dcterms="http://purl.org/dc/terms/" xmlns:xsi="http://www.w3.org/2001/XMLSchema-instance" xsi:type="dcterms:W3CDTF">2025-11-24T19:24:30Z</dcterms:modified>
</cp:coreProperties>
</file>