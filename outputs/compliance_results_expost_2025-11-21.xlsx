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RS_Diversification" sheetId="1" state="visible" r:id="rId1"/>
    <sheet xmlns:r="http://schemas.openxmlformats.org/officeDocument/2006/relationships" name="Illiqui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A1" sqref="A1"/>
    </sheetView>
  </sheetViews>
  <sheetFormatPr baseColWidth="8" defaultRowHeight="15"/>
  <cols>
    <col width="50" customWidth="1" min="1" max="1"/>
    <col width="6" customWidth="1" min="2" max="2"/>
    <col width="17" customWidth="1" min="3" max="3"/>
    <col width="31" customWidth="1" min="4" max="4"/>
    <col width="28" customWidth="1" min="5" max="5"/>
    <col width="22" customWidth="1" min="6" max="6"/>
    <col width="19" customWidth="1" min="7" max="7"/>
    <col width="14" customWidth="1" min="8" max="8"/>
    <col width="25" customWidth="1" min="9" max="9"/>
    <col width="10" customWidth="1" min="10" max="10"/>
    <col width="23" customWidth="1" min="11" max="11"/>
    <col width="30" customWidth="1" min="12" max="12"/>
    <col width="24" customWidth="1" min="13" max="13"/>
    <col width="18" customWidth="1" min="14" max="14"/>
    <col width="16" customWidth="1" min="15" max="15"/>
    <col width="22" customWidth="1" min="16" max="16"/>
    <col width="27" customWidth="1" min="17" max="17"/>
    <col width="34" customWidth="1" min="18" max="18"/>
  </cols>
  <sheetData>
    <row r="1">
      <c r="A1" s="1" t="inlineStr">
        <is>
          <t>Date</t>
        </is>
      </c>
      <c r="B1" s="1" t="inlineStr">
        <is>
          <t>Fund</t>
        </is>
      </c>
      <c r="C1" s="1" t="inlineStr">
        <is>
          <t>condition_IRS_1</t>
        </is>
      </c>
      <c r="D1" s="1" t="inlineStr">
        <is>
          <t>condition_IRS_2_a_50</t>
        </is>
      </c>
      <c r="E1" s="1" t="inlineStr">
        <is>
          <t>condition_IRS_2_a_5</t>
        </is>
      </c>
      <c r="F1" s="1" t="inlineStr">
        <is>
          <t>condition_IRS_2_a_10</t>
        </is>
      </c>
      <c r="G1" s="1" t="inlineStr">
        <is>
          <t>condition_IRS_2_b</t>
        </is>
      </c>
      <c r="H1" s="1" t="inlineStr">
        <is>
          <t>total_assets</t>
        </is>
      </c>
      <c r="I1" s="1" t="inlineStr">
        <is>
          <t>qualifying_assets_value</t>
        </is>
      </c>
      <c r="J1" s="1" t="inlineStr">
        <is>
          <t>expenses</t>
        </is>
      </c>
      <c r="K1" s="1" t="inlineStr">
        <is>
          <t>five_pct_gross_assets</t>
        </is>
      </c>
      <c r="L1" s="1" t="inlineStr">
        <is>
          <t>sum_large_securities_weights</t>
        </is>
      </c>
      <c r="M1" s="1" t="inlineStr">
        <is>
          <t>large_securities_count</t>
        </is>
      </c>
      <c r="N1" s="1" t="inlineStr">
        <is>
          <t>large_securities</t>
        </is>
      </c>
      <c r="O1" s="1" t="inlineStr">
        <is>
          <t>overlap_weight</t>
        </is>
      </c>
      <c r="P1" s="1" t="inlineStr">
        <is>
          <t>overlap_constituents</t>
        </is>
      </c>
      <c r="Q1" s="1" t="inlineStr">
        <is>
          <t>bottom_50_largest_holding</t>
        </is>
      </c>
      <c r="R1" s="1" t="inlineStr">
        <is>
          <t>bottom_50_second_largest_holding</t>
        </is>
      </c>
    </row>
    <row r="2">
      <c r="A2" s="2" t="n">
        <v>45982</v>
      </c>
      <c r="B2" t="inlineStr">
        <is>
          <t>RDVI</t>
        </is>
      </c>
      <c r="C2" t="inlineStr">
        <is>
          <t>FAIL</t>
        </is>
      </c>
      <c r="D2" s="3">
        <f>IF(I2/H2&gt;=0.5,"PASS","FAIL")</f>
        <v/>
      </c>
      <c r="E2" s="3">
        <f>IF(L2&lt;=0.5,"PASS","FAIL")</f>
        <v/>
      </c>
      <c r="F2" t="inlineStr">
        <is>
          <t>FAIL</t>
        </is>
      </c>
      <c r="G2" t="inlineStr">
        <is>
          <t>PASS</t>
        </is>
      </c>
      <c r="H2" s="3" t="n">
        <v>0</v>
      </c>
      <c r="I2" s="3" t="n">
        <v>0</v>
      </c>
      <c r="J2" s="3" t="n">
        <v>0</v>
      </c>
      <c r="K2" s="4" t="n">
        <v>0</v>
      </c>
      <c r="L2" s="4" t="n">
        <v>0</v>
      </c>
      <c r="M2" s="3" t="n">
        <v>0</v>
      </c>
      <c r="N2" t="inlineStr">
        <is>
          <t>None</t>
        </is>
      </c>
      <c r="O2" s="4" t="n">
        <v>0</v>
      </c>
      <c r="P2" t="inlineStr">
        <is>
          <t>None</t>
        </is>
      </c>
      <c r="Q2" t="inlineStr">
        <is>
          <t>N/A (0.00%)</t>
        </is>
      </c>
      <c r="R2" t="inlineStr">
        <is>
          <t>N/A (0.00%)</t>
        </is>
      </c>
    </row>
    <row r="3">
      <c r="A3" t="inlineStr">
        <is>
          <t>* IRS Condition 1: 90% of income must come from qualifying sources.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</row>
    <row r="4">
      <c r="A4" t="inlineStr">
        <is>
          <t>* IRS Condition 2a: At least 50% of assets must be allocated to qualifying securities.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</row>
    <row r="5">
      <c r="A5" t="inlineStr">
        <is>
          <t>* IRS Condition 2a5: for 50% of portfolio, no issuer is more than 5% of fund assets.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</row>
    <row r="6">
      <c r="A6" t="inlineStr">
        <is>
          <t>* IRS Condition 2a10: for 50% of portfolio, fund doesn't hold more than 10% of any issuer's outstanding float.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</row>
    <row r="7">
      <c r="A7" t="inlineStr">
        <is>
          <t>* IRS Condition 2b: No single issuer may constitute more than 25% of assets.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50" customWidth="1" min="1" max="1"/>
    <col width="6" customWidth="1" min="2" max="2"/>
    <col width="14" customWidth="1" min="3" max="3"/>
    <col width="22" customWidth="1" min="4" max="4"/>
    <col width="21" customWidth="1" min="5" max="5"/>
    <col width="28" customWidth="1" min="6" max="6"/>
    <col width="29" customWidth="1" min="7" max="7"/>
    <col width="32" customWidth="1" min="8" max="8"/>
  </cols>
  <sheetData>
    <row r="1">
      <c r="A1" s="1" t="inlineStr">
        <is>
          <t>Date</t>
        </is>
      </c>
      <c r="B1" s="1" t="inlineStr">
        <is>
          <t>Fund</t>
        </is>
      </c>
      <c r="C1" s="1" t="inlineStr">
        <is>
          <t>Total Assets</t>
        </is>
      </c>
      <c r="D1" s="1" t="inlineStr">
        <is>
          <t>Total Illiquid Value</t>
        </is>
      </c>
      <c r="E1" s="1" t="inlineStr">
        <is>
          <t>Illiquid Percentage</t>
        </is>
      </c>
      <c r="F1" s="1" t="inlineStr">
        <is>
          <t>Equity Holdings Percentage</t>
        </is>
      </c>
      <c r="G1" s="1" t="inlineStr">
        <is>
          <t>Max 15% Illiquid Compliance</t>
        </is>
      </c>
      <c r="H1" s="1" t="inlineStr">
        <is>
          <t>Equity Holdings 85% Compliance</t>
        </is>
      </c>
    </row>
    <row r="2">
      <c r="A2" s="2" t="n">
        <v>45982</v>
      </c>
      <c r="B2" t="inlineStr">
        <is>
          <t>RDVI</t>
        </is>
      </c>
      <c r="C2" s="3" t="n">
        <v>0</v>
      </c>
      <c r="D2" s="3" t="n">
        <v>0</v>
      </c>
      <c r="E2" s="4" t="n">
        <v>0</v>
      </c>
      <c r="F2" s="4" t="n">
        <v>0</v>
      </c>
      <c r="G2" s="3">
        <f>IF(E2&lt;=0.15,"PASS","FAIL")</f>
        <v/>
      </c>
      <c r="H2" s="3">
        <f>IF(F2&gt;=0.85,"PASS","FAIL")</f>
        <v/>
      </c>
    </row>
    <row r="3">
      <c r="A3" t="inlineStr">
        <is>
          <t>* We search for tags in Bloomberg for any illiquid or restricted securities.</t>
        </is>
      </c>
      <c r="B3" t="inlineStr"/>
      <c r="C3" t="inlineStr"/>
      <c r="D3" t="inlineStr"/>
      <c r="E3" t="inlineStr"/>
      <c r="F3" t="inlineStr"/>
      <c r="G3" t="inlineStr"/>
      <c r="H3" t="inlineStr"/>
    </row>
    <row r="4">
      <c r="A4" t="inlineStr">
        <is>
          <t>* If none, it reports 'None'.</t>
        </is>
      </c>
      <c r="B4" t="inlineStr"/>
      <c r="C4" t="inlineStr"/>
      <c r="D4" t="inlineStr"/>
      <c r="E4" t="inlineStr"/>
      <c r="F4" t="inlineStr"/>
      <c r="G4" t="inlineStr"/>
      <c r="H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2025-11-23T01:09:25Z</dcterms:created>
  <dcterms:modified xmlns:dcterms="http://purl.org/dc/terms/" xmlns:xsi="http://www.w3.org/2001/XMLSchema-instance" xsi:type="dcterms:W3CDTF">2025-11-23T01:09:25Z</dcterms:modified>
</cp:coreProperties>
</file>