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Prospectus_80pct" sheetId="2" state="visible" r:id="rId2"/>
    <sheet xmlns:r="http://schemas.openxmlformats.org/officeDocument/2006/relationships" name="40Act_Diversification" sheetId="3" state="visible" r:id="rId3"/>
    <sheet xmlns:r="http://schemas.openxmlformats.org/officeDocument/2006/relationships" name="IRS_Diversification" sheetId="4" state="visible" r:id="rId4"/>
    <sheet xmlns:r="http://schemas.openxmlformats.org/officeDocument/2006/relationships" name="Illiquid" sheetId="5" state="visible" r:id="rId5"/>
    <sheet xmlns:r="http://schemas.openxmlformats.org/officeDocument/2006/relationships" name="Real_Estate" sheetId="6" state="visible" r:id="rId6"/>
    <sheet xmlns:r="http://schemas.openxmlformats.org/officeDocument/2006/relationships" name="Commodities" sheetId="7" state="visible" r:id="rId7"/>
    <sheet xmlns:r="http://schemas.openxmlformats.org/officeDocument/2006/relationships" name="12d1_Other_Investment_Companies" sheetId="8" state="visible" r:id="rId8"/>
    <sheet xmlns:r="http://schemas.openxmlformats.org/officeDocument/2006/relationships" name="12d2_Insurance_Companies" sheetId="9" state="visible" r:id="rId9"/>
    <sheet xmlns:r="http://schemas.openxmlformats.org/officeDocument/2006/relationships" name="12d3_Securities_Business" sheetId="10" state="visible" r:id="rId10"/>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50" customWidth="1" min="1" max="1"/>
    <col width="6" customWidth="1" min="2" max="2"/>
    <col width="25" customWidth="1" min="3" max="3"/>
    <col width="22" customWidth="1" min="4" max="4"/>
    <col width="28" customWidth="1" min="5" max="5"/>
    <col width="29" customWidth="1" min="6" max="6"/>
    <col width="35" customWidth="1" min="7" max="7"/>
    <col width="36" customWidth="1" min="8" max="8"/>
    <col width="27"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RDVI</t>
        </is>
      </c>
      <c r="C2" t="inlineStr">
        <is>
          <t>FAIL</t>
        </is>
      </c>
      <c r="D2" t="b">
        <v>0</v>
      </c>
      <c r="E2" t="b">
        <v>0</v>
      </c>
      <c r="F2" t="b">
        <v>0</v>
      </c>
      <c r="G2" t="b">
        <v>0</v>
      </c>
      <c r="H2" t="inlineStr">
        <is>
          <t>No</t>
        </is>
      </c>
      <c r="I2" t="inlineStr"/>
    </row>
    <row r="3">
      <c r="A3"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3" t="inlineStr"/>
      <c r="C3" t="inlineStr"/>
      <c r="D3" t="inlineStr"/>
      <c r="E3" t="inlineStr"/>
      <c r="F3" t="inlineStr"/>
      <c r="G3" t="inlineStr"/>
      <c r="H3" t="inlineStr"/>
      <c r="I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
  <sheetViews>
    <sheetView workbookViewId="0">
      <selection activeCell="A1" sqref="A1"/>
    </sheetView>
  </sheetViews>
  <sheetFormatPr baseColWidth="8" defaultRowHeight="15"/>
  <cols>
    <col width="50" customWidth="1" min="1" max="1"/>
    <col width="6" customWidth="1" min="2" max="2"/>
    <col width="31" customWidth="1" min="3" max="3"/>
    <col width="27" customWidth="1" min="4" max="4"/>
    <col width="41" customWidth="1" min="5" max="5"/>
    <col width="27" customWidth="1" min="6" max="6"/>
    <col width="20" customWidth="1" min="7" max="7"/>
    <col width="18" customWidth="1" min="8" max="8"/>
    <col width="20" customWidth="1" min="9" max="9"/>
    <col width="20"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RDVI</t>
        </is>
      </c>
      <c r="C2" s="3">
        <f>IF(K2/J2&gt;=0.8,"PASS","FAIL")</f>
        <v/>
      </c>
      <c r="D2" s="3" t="n">
        <v>2445974594.451</v>
      </c>
      <c r="E2" s="3" t="n">
        <v>181284521.994235</v>
      </c>
      <c r="F2" s="3" t="n">
        <v>-3696850</v>
      </c>
      <c r="G2" s="3" t="n">
        <v>0</v>
      </c>
      <c r="H2" s="3" t="n">
        <v>21042647.02</v>
      </c>
      <c r="I2" s="3" t="n">
        <v>0</v>
      </c>
      <c r="J2" s="3" t="n">
        <v>2648301763.465235</v>
      </c>
      <c r="K2" s="3" t="n">
        <v>2445974594.451</v>
      </c>
      <c r="L2" s="4">
        <f>K2/J2</f>
        <v/>
      </c>
      <c r="M2" s="3" t="n">
        <v>2463320391.471</v>
      </c>
      <c r="N2" s="3" t="n">
        <v>2445974594.451</v>
      </c>
      <c r="O2" s="4">
        <f>N2/M2</f>
        <v/>
      </c>
      <c r="P2" t="inlineStr">
        <is>
          <t>No</t>
        </is>
      </c>
    </row>
    <row r="3">
      <c r="A3" t="inlineStr">
        <is>
          <t>* Note: Some funds' 80% policies include the options positions while others only include equity exposure.</t>
        </is>
      </c>
      <c r="B3" t="inlineStr"/>
      <c r="C3" t="inlineStr"/>
      <c r="D3" t="inlineStr"/>
      <c r="E3" t="inlineStr"/>
      <c r="F3" t="inlineStr"/>
      <c r="G3" t="inlineStr"/>
      <c r="H3" t="inlineStr"/>
      <c r="I3" t="inlineStr"/>
      <c r="J3" t="inlineStr"/>
      <c r="K3" t="inlineStr"/>
      <c r="L3" t="inlineStr"/>
      <c r="M3" t="inlineStr"/>
      <c r="N3" t="inlineStr"/>
      <c r="O3" t="inlineStr"/>
      <c r="P3" t="inlineStr"/>
    </row>
    <row r="4">
      <c r="A4" t="inlineStr">
        <is>
          <t>* CCET = Cash, Cash Equivalents, and T-bills (less than 1-year maturity).</t>
        </is>
      </c>
      <c r="B4" t="inlineStr"/>
      <c r="C4" t="inlineStr"/>
      <c r="D4" t="inlineStr"/>
      <c r="E4" t="inlineStr"/>
      <c r="F4" t="inlineStr"/>
      <c r="G4" t="inlineStr"/>
      <c r="H4" t="inlineStr"/>
      <c r="I4" t="inlineStr"/>
      <c r="J4" t="inlineStr"/>
      <c r="K4" t="inlineStr"/>
      <c r="L4" t="inlineStr"/>
      <c r="M4" t="inlineStr"/>
      <c r="N4" t="inlineStr"/>
      <c r="O4" t="inlineStr"/>
      <c r="P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2"/>
  <sheetViews>
    <sheetView workbookViewId="0">
      <selection activeCell="A1" sqref="A1"/>
    </sheetView>
  </sheetViews>
  <sheetFormatPr baseColWidth="8" defaultRowHeight="15"/>
  <cols>
    <col width="50" customWidth="1" min="1" max="1"/>
    <col width="6" customWidth="1" min="2" max="2"/>
    <col width="19" customWidth="1" min="3" max="3"/>
    <col width="19" customWidth="1" min="4" max="4"/>
    <col width="26" customWidth="1" min="5" max="5"/>
    <col width="32" customWidth="1" min="6" max="6"/>
    <col width="30" customWidth="1" min="7" max="7"/>
    <col width="41" customWidth="1" min="8" max="8"/>
    <col width="48" customWidth="1" min="9" max="9"/>
    <col width="14" customWidth="1" min="10" max="10"/>
    <col width="30" customWidth="1" min="11" max="11"/>
    <col width="12" customWidth="1" min="12" max="12"/>
    <col width="10" customWidth="1" min="13" max="13"/>
    <col width="42" customWidth="1" min="14" max="14"/>
    <col width="50" customWidth="1" min="15" max="15"/>
    <col width="34" customWidth="1" min="16" max="16"/>
    <col width="42" customWidth="1" min="17" max="17"/>
    <col width="43" customWidth="1" min="18" max="18"/>
    <col width="50" customWidth="1" min="19" max="19"/>
    <col width="40" customWidth="1" min="20" max="20"/>
    <col width="18" customWidth="1" min="21" max="21"/>
    <col width="12"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Shares, Mkt Value)</t>
        </is>
      </c>
      <c r="P1" s="1" t="inlineStr">
        <is>
          <t>Excluded Securities (25% Bucket)</t>
        </is>
      </c>
      <c r="Q1" s="1" t="inlineStr">
        <is>
          <t>Cumulative Weight of Excluded Securities</t>
        </is>
      </c>
      <c r="R1" s="1" t="inlineStr">
        <is>
          <t>Cumulative Weight of Remaining Securities</t>
        </is>
      </c>
      <c r="S1" s="1" t="inlineStr">
        <is>
          <t>Remaining Securities (Ticker,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RDVI</t>
        </is>
      </c>
      <c r="C2" t="inlineStr"/>
      <c r="D2" t="inlineStr"/>
      <c r="E2" s="3">
        <f>IF(C2=D2,"PASS","FAIL")</f>
        <v/>
      </c>
      <c r="F2" s="3">
        <f>IF(L2/J2&gt;=0.75,"PASS","FAIL")</f>
        <v/>
      </c>
      <c r="G2" s="3">
        <f>IF(O2="None","PASS","FAIL")</f>
        <v/>
      </c>
      <c r="H2" s="3">
        <f>IF(T2="","",IF(T2&lt;=0.1,"PASS","FAIL"))</f>
        <v/>
      </c>
      <c r="I2" s="3">
        <f>IF(U2=0,"PASS",IF(U2&lt;=0.05*L2,"PASS","FAIL"))</f>
        <v/>
      </c>
      <c r="J2" s="3" t="n">
        <v>0</v>
      </c>
      <c r="K2" s="5" t="n">
        <v>0</v>
      </c>
      <c r="L2" s="3" t="n">
        <v>0</v>
      </c>
      <c r="M2" s="3" t="n">
        <v>0</v>
      </c>
      <c r="N2" s="3" t="n">
        <v>0</v>
      </c>
      <c r="O2" t="inlineStr">
        <is>
          <t>None</t>
        </is>
      </c>
      <c r="P2" t="inlineStr">
        <is>
          <t>None</t>
        </is>
      </c>
      <c r="Q2" s="5" t="n">
        <v>0</v>
      </c>
      <c r="R2" s="5" t="n">
        <v>0</v>
      </c>
      <c r="S2" t="inlineStr">
        <is>
          <t>None</t>
        </is>
      </c>
      <c r="T2" s="5" t="n">
        <v>0</v>
      </c>
      <c r="U2" s="3" t="n">
        <v>0</v>
      </c>
      <c r="V2" s="5" t="n">
        <v>0</v>
      </c>
      <c r="W2" t="inlineStr"/>
    </row>
    <row r="3">
      <c r="A3" t="inlineStr">
        <is>
          <t>* To be classified as a diversified company under the 1940 Act, at least 75% of the value of the fund's total assets must be invested in:</t>
        </is>
      </c>
      <c r="B3" t="inlineStr"/>
      <c r="C3" t="inlineStr"/>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c r="W3" t="inlineStr"/>
    </row>
    <row r="4">
      <c r="A4" t="inlineStr">
        <is>
          <t>* 1) cash and cash items (including receivables),</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row>
    <row r="5">
      <c r="A5" t="inlineStr">
        <is>
          <t>* 2) government securities,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c r="U5" t="inlineStr"/>
      <c r="V5" t="inlineStr"/>
      <c r="W5" t="inlineStr"/>
    </row>
    <row r="6">
      <c r="A6" t="inlineStr">
        <is>
          <t>* 3) securities of other investment companies, and</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row>
    <row r="7">
      <c r="A7" t="inlineStr">
        <is>
          <t>* 4) other securities</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row>
    <row r="8">
      <c r="A8" t="inlineStr">
        <is>
          <t xml:space="preserve">* </t>
        </is>
      </c>
      <c r="B8" t="inlineStr"/>
      <c r="C8" t="inlineStr"/>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row>
    <row r="9">
      <c r="A9" t="inlineStr">
        <is>
          <t>* Compliance Conditions:</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Condition 40 Act 1: 75% of the fund must be invested in diversified assets.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Condition 40 Act 2a: No single issuer in the 75% can exceed 5% of total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Condition 40 Act 2b: No single issuer in the 75% can exceed 10% of the issuer's voting securities.</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50" customWidth="1" min="1" max="1"/>
    <col width="6" customWidth="1" min="2" max="2"/>
    <col width="17" customWidth="1" min="3" max="3"/>
    <col width="31" customWidth="1" min="4" max="4"/>
    <col width="28" customWidth="1" min="5" max="5"/>
    <col width="22" customWidth="1" min="6" max="6"/>
    <col width="19" customWidth="1" min="7" max="7"/>
    <col width="14" customWidth="1" min="8" max="8"/>
    <col width="25" customWidth="1" min="9" max="9"/>
    <col width="10" customWidth="1" min="10" max="10"/>
    <col width="23" customWidth="1" min="11" max="11"/>
    <col width="30" customWidth="1" min="12" max="12"/>
    <col width="24" customWidth="1" min="13" max="13"/>
    <col width="18"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RDVI</t>
        </is>
      </c>
      <c r="C2" t="inlineStr">
        <is>
          <t>FAIL</t>
        </is>
      </c>
      <c r="D2" s="3">
        <f>IF(I2/H2&gt;=0.5,"PASS","FAIL")</f>
        <v/>
      </c>
      <c r="E2" s="3">
        <f>IF(L2&lt;=0.5,"PASS","FAIL")</f>
        <v/>
      </c>
      <c r="F2" t="inlineStr">
        <is>
          <t>FAIL</t>
        </is>
      </c>
      <c r="G2" t="inlineStr">
        <is>
          <t>PASS</t>
        </is>
      </c>
      <c r="H2" s="3" t="n">
        <v>0</v>
      </c>
      <c r="I2" s="3" t="n">
        <v>0</v>
      </c>
      <c r="J2" s="3" t="n">
        <v>0</v>
      </c>
      <c r="K2" s="5" t="n">
        <v>0</v>
      </c>
      <c r="L2" s="5" t="n">
        <v>0</v>
      </c>
      <c r="M2" s="3" t="n">
        <v>0</v>
      </c>
      <c r="N2" t="inlineStr">
        <is>
          <t>None</t>
        </is>
      </c>
      <c r="O2" s="5" t="n">
        <v>0</v>
      </c>
      <c r="P2" t="inlineStr">
        <is>
          <t>None</t>
        </is>
      </c>
      <c r="Q2" t="inlineStr">
        <is>
          <t>N/A (0.00%)</t>
        </is>
      </c>
      <c r="R2" t="inlineStr">
        <is>
          <t>N/A (0.00%)</t>
        </is>
      </c>
    </row>
    <row r="3">
      <c r="A3" t="inlineStr">
        <is>
          <t>* IRS Condition 1: 90% of income must come from qualifying sources.</t>
        </is>
      </c>
      <c r="B3" t="inlineStr"/>
      <c r="C3" t="inlineStr"/>
      <c r="D3" t="inlineStr"/>
      <c r="E3" t="inlineStr"/>
      <c r="F3" t="inlineStr"/>
      <c r="G3" t="inlineStr"/>
      <c r="H3" t="inlineStr"/>
      <c r="I3" t="inlineStr"/>
      <c r="J3" t="inlineStr"/>
      <c r="K3" t="inlineStr"/>
      <c r="L3" t="inlineStr"/>
      <c r="M3" t="inlineStr"/>
      <c r="N3" t="inlineStr"/>
      <c r="O3" t="inlineStr"/>
      <c r="P3" t="inlineStr"/>
      <c r="Q3" t="inlineStr"/>
      <c r="R3" t="inlineStr"/>
    </row>
    <row r="4">
      <c r="A4" t="inlineStr">
        <is>
          <t>* IRS Condition 2a: At least 50% of assets must be allocated to qualifying securities.</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row>
    <row r="5">
      <c r="A5" t="inlineStr">
        <is>
          <t>* IRS Condition 2a5: for 50% of portfolio, no issuer is more than 5% of fund assets.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row>
    <row r="6">
      <c r="A6" t="inlineStr">
        <is>
          <t>* IRS Condition 2a10: for 50% of portfolio, fund doesn't hold more than 10% of any issuer's outstanding float.</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row>
    <row r="7">
      <c r="A7" t="inlineStr">
        <is>
          <t>* IRS Condition 2b: No single issuer may constitute more than 25% of assets.</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50" customWidth="1" min="1" max="1"/>
    <col width="6" customWidth="1" min="2" max="2"/>
    <col width="14"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RDVI</t>
        </is>
      </c>
      <c r="C2" s="3" t="n">
        <v>0</v>
      </c>
      <c r="D2" s="3" t="n">
        <v>0</v>
      </c>
      <c r="E2" s="5" t="n">
        <v>0</v>
      </c>
      <c r="F2" s="5" t="n">
        <v>0</v>
      </c>
      <c r="G2" s="3">
        <f>IF(E2&lt;=0.15,"PASS","FAIL")</f>
        <v/>
      </c>
      <c r="H2" s="3">
        <f>IF(F2&gt;=0.85,"PASS","FAIL")</f>
        <v/>
      </c>
    </row>
    <row r="3">
      <c r="A3" t="inlineStr">
        <is>
          <t>* We search for tags in Bloomberg for any illiquid or restricted securities.</t>
        </is>
      </c>
      <c r="B3" t="inlineStr"/>
      <c r="C3" t="inlineStr"/>
      <c r="D3" t="inlineStr"/>
      <c r="E3" t="inlineStr"/>
      <c r="F3" t="inlineStr"/>
      <c r="G3" t="inlineStr"/>
      <c r="H3" t="inlineStr"/>
    </row>
    <row r="4">
      <c r="A4" t="inlineStr">
        <is>
          <t>* If none, it reports 'None'.</t>
        </is>
      </c>
      <c r="B4" t="inlineStr"/>
      <c r="C4" t="inlineStr"/>
      <c r="D4" t="inlineStr"/>
      <c r="E4" t="inlineStr"/>
      <c r="F4" t="inlineStr"/>
      <c r="G4" t="inlineStr"/>
      <c r="H4"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50" customWidth="1" min="1" max="1"/>
    <col width="6" customWidth="1" min="2" max="2"/>
    <col width="22" customWidth="1" min="3" max="3"/>
    <col width="16" customWidth="1" min="4" max="4"/>
  </cols>
  <sheetData>
    <row r="1">
      <c r="A1" s="1" t="inlineStr">
        <is>
          <t>Date</t>
        </is>
      </c>
      <c r="B1" s="1" t="inlineStr">
        <is>
          <t>Fund</t>
        </is>
      </c>
      <c r="C1" s="1" t="inlineStr">
        <is>
          <t>Real Estate Exposure</t>
        </is>
      </c>
      <c r="D1" s="1" t="inlineStr">
        <is>
          <t>Total Exposure</t>
        </is>
      </c>
    </row>
    <row r="2">
      <c r="A2" s="2" t="n">
        <v>45982</v>
      </c>
      <c r="B2" t="inlineStr">
        <is>
          <t>RDVI</t>
        </is>
      </c>
      <c r="C2" s="3" t="n">
        <v>0</v>
      </c>
      <c r="D2" s="3" t="n">
        <v>0</v>
      </c>
    </row>
    <row r="3">
      <c r="A3" t="inlineStr">
        <is>
          <t>* We search for tags in Bloomberg for any fund holdings categorized as real estate.</t>
        </is>
      </c>
      <c r="B3" t="inlineStr"/>
      <c r="C3" t="inlineStr"/>
      <c r="D3" t="inlineStr"/>
    </row>
    <row r="4">
      <c r="A4" t="inlineStr">
        <is>
          <t>* If none, it reports 'None'.</t>
        </is>
      </c>
      <c r="B4" t="inlineStr"/>
      <c r="C4" t="inlineStr"/>
      <c r="D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50" customWidth="1" min="1" max="1"/>
    <col width="6" customWidth="1" min="2" max="2"/>
    <col width="22" customWidth="1" min="3" max="3"/>
  </cols>
  <sheetData>
    <row r="1">
      <c r="A1" s="1" t="inlineStr">
        <is>
          <t>Date</t>
        </is>
      </c>
      <c r="B1" s="1" t="inlineStr">
        <is>
          <t>Fund</t>
        </is>
      </c>
      <c r="C1" s="1" t="inlineStr">
        <is>
          <t>Commodities Exposure</t>
        </is>
      </c>
    </row>
    <row r="2">
      <c r="A2" s="2" t="n">
        <v>45982</v>
      </c>
      <c r="B2" t="inlineStr">
        <is>
          <t>RDVI</t>
        </is>
      </c>
      <c r="C2" s="3" t="n">
        <v>0</v>
      </c>
    </row>
    <row r="3">
      <c r="A3" t="inlineStr">
        <is>
          <t>* We search for tags in Bloomberg for any fund holdings categorized as commodities.</t>
        </is>
      </c>
      <c r="B3" t="inlineStr"/>
      <c r="C3" t="inlineStr"/>
    </row>
    <row r="4">
      <c r="A4" t="inlineStr">
        <is>
          <t>* If none, it reports 'None'.</t>
        </is>
      </c>
      <c r="B4" t="inlineStr"/>
      <c r="C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
  <sheetViews>
    <sheetView workbookViewId="0">
      <selection activeCell="A1" sqref="A1"/>
    </sheetView>
  </sheetViews>
  <sheetFormatPr baseColWidth="8" defaultRowHeight="15"/>
  <cols>
    <col width="50" customWidth="1" min="1" max="1"/>
    <col width="6" customWidth="1" min="2" max="2"/>
    <col width="14"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RDVI</t>
        </is>
      </c>
      <c r="C2" s="3" t="n">
        <v>0</v>
      </c>
      <c r="D2" t="inlineStr">
        <is>
          <t>None</t>
        </is>
      </c>
      <c r="E2" s="5" t="n">
        <v>0</v>
      </c>
      <c r="F2" s="3" t="n">
        <v>0</v>
      </c>
      <c r="G2" s="5">
        <f>IF(E2&lt;=0.03,"PASS","FAIL")</f>
        <v/>
      </c>
      <c r="H2" s="3">
        <f>IF(F2/C2&lt;=0.05,"PASS","FAIL")</f>
        <v/>
      </c>
      <c r="I2" s="3">
        <f>IF(F2/C2&lt;=0.10,"PASS","FAIL")</f>
        <v/>
      </c>
      <c r="J2" s="3">
        <f>IF(AND(G2="PASS",H2="PASS",I2="PASS"),"PASS","FAIL")</f>
        <v/>
      </c>
    </row>
    <row r="3">
      <c r="A3"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3" t="inlineStr"/>
      <c r="C3" t="inlineStr"/>
      <c r="D3" t="inlineStr"/>
      <c r="E3" t="inlineStr"/>
      <c r="F3" t="inlineStr"/>
      <c r="G3" t="inlineStr"/>
      <c r="H3" t="inlineStr"/>
      <c r="I3" t="inlineStr"/>
      <c r="J3"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50" customWidth="1" min="1" max="1"/>
    <col width="6" customWidth="1" min="2" max="2"/>
    <col width="11" customWidth="1" min="3" max="3"/>
    <col width="14" customWidth="1" min="4" max="4"/>
    <col width="2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RDVI</t>
        </is>
      </c>
      <c r="C2" t="inlineStr">
        <is>
          <t>FAIL</t>
        </is>
      </c>
      <c r="D2" s="3" t="n">
        <v>0</v>
      </c>
      <c r="E2" t="inlineStr">
        <is>
          <t>None</t>
        </is>
      </c>
    </row>
    <row r="3">
      <c r="A3" t="inlineStr">
        <is>
          <t>* The Fund may not own more than 10% of the total outstanding voting stock of an insurance company.</t>
        </is>
      </c>
      <c r="B3" t="inlineStr"/>
      <c r="C3" t="inlineStr"/>
      <c r="D3" t="inlineStr"/>
      <c r="E3"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
  <sheetViews>
    <sheetView workbookViewId="0">
      <selection activeCell="A1" sqref="A1"/>
    </sheetView>
  </sheetViews>
  <sheetFormatPr baseColWidth="8" defaultRowHeight="15"/>
  <cols>
    <col width="50" customWidth="1" min="1" max="1"/>
    <col width="6" customWidth="1" min="2" max="2"/>
    <col width="29" customWidth="1" min="3" max="3"/>
    <col width="21" customWidth="1" min="4" max="4"/>
    <col width="29" customWidth="1" min="5" max="5"/>
    <col width="50" customWidth="1" min="6" max="6"/>
    <col width="36" customWidth="1" min="7" max="7"/>
    <col width="33" customWidth="1" min="8" max="8"/>
    <col width="14" customWidth="1" min="9" max="9"/>
    <col width="17" customWidth="1" min="10" max="10"/>
    <col width="1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RDVI</t>
        </is>
      </c>
      <c r="C2" s="3">
        <f>IF(K2&lt;=0.05,"PASS","FAIL")</f>
        <v/>
      </c>
      <c r="D2" t="inlineStr">
        <is>
          <t>FAIL</t>
        </is>
      </c>
      <c r="E2" s="3">
        <f>IF(L2&lt;=0.05,"PASS","FAIL")</f>
        <v/>
      </c>
      <c r="F2" s="3">
        <f>IF(AND(C2="PASS",D2="PASS",E2="PASS",F2="PASS"),"PASS","FAIL")</f>
        <v/>
      </c>
      <c r="G2" t="inlineStr">
        <is>
          <t>None</t>
        </is>
      </c>
      <c r="H2" t="inlineStr">
        <is>
          <t>None</t>
        </is>
      </c>
      <c r="I2" s="3" t="n">
        <v>0</v>
      </c>
      <c r="J2" s="5" t="n">
        <v>0</v>
      </c>
      <c r="K2" s="5" t="n">
        <v>0</v>
      </c>
    </row>
    <row r="3">
      <c r="A3"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3" t="inlineStr"/>
      <c r="C3" t="inlineStr"/>
      <c r="D3" t="inlineStr"/>
      <c r="E3" t="inlineStr"/>
      <c r="F3" t="inlineStr"/>
      <c r="G3" t="inlineStr"/>
      <c r="H3" t="inlineStr"/>
      <c r="I3" t="inlineStr"/>
      <c r="J3" t="inlineStr"/>
      <c r="K3"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2025-11-23T15:44:19Z</dcterms:created>
  <dcterms:modified xmlns:dcterms="http://purl.org/dc/terms/" xmlns:xsi="http://www.w3.org/2001/XMLSchema-instance" xsi:type="dcterms:W3CDTF">2025-11-23T15:44:19Z</dcterms:modified>
</cp:coreProperties>
</file>