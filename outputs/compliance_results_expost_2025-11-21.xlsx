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RDVI</t>
        </is>
      </c>
      <c r="C2" t="inlineStr">
        <is>
          <t>PASS</t>
        </is>
      </c>
      <c r="D2" t="b">
        <v>0</v>
      </c>
      <c r="E2" t="b">
        <v>0</v>
      </c>
      <c r="F2" t="b">
        <v>0</v>
      </c>
      <c r="G2" t="b">
        <v>0</v>
      </c>
      <c r="H2" t="inlineStr">
        <is>
          <t>No</t>
        </is>
      </c>
      <c r="I2" t="inlineStr"/>
    </row>
    <row r="3">
      <c r="A3"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3" t="inlineStr"/>
      <c r="C3" t="inlineStr"/>
      <c r="D3" t="inlineStr"/>
      <c r="E3" t="inlineStr"/>
      <c r="F3" t="inlineStr"/>
      <c r="G3" t="inlineStr"/>
      <c r="H3" t="inlineStr"/>
      <c r="I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3"/>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RDVI</t>
        </is>
      </c>
      <c r="C2" t="inlineStr">
        <is>
          <t>GICS_INDUSTRY_GROUP_NAME</t>
        </is>
      </c>
      <c r="D2" t="inlineStr">
        <is>
          <t>Financial Services</t>
        </is>
      </c>
      <c r="E2" t="inlineStr">
        <is>
          <t>Financials</t>
        </is>
      </c>
      <c r="F2" t="inlineStr"/>
      <c r="G2" t="inlineStr"/>
      <c r="H2" t="inlineStr">
        <is>
          <t>15.30%</t>
        </is>
      </c>
      <c r="I2" t="inlineStr">
        <is>
          <t>0.00%</t>
        </is>
      </c>
    </row>
    <row r="3">
      <c r="A3" s="2" t="n">
        <v>45982</v>
      </c>
      <c r="B3" t="inlineStr">
        <is>
          <t>RDVI</t>
        </is>
      </c>
      <c r="C3" t="inlineStr">
        <is>
          <t>GICS_INDUSTRY_GROUP_NAME</t>
        </is>
      </c>
      <c r="D3" t="inlineStr">
        <is>
          <t>Semiconductors &amp; Semiconductor Equipment</t>
        </is>
      </c>
      <c r="E3" t="inlineStr">
        <is>
          <t>Information Technology</t>
        </is>
      </c>
      <c r="F3" t="inlineStr"/>
      <c r="G3" t="inlineStr"/>
      <c r="H3" t="inlineStr">
        <is>
          <t>13.47%</t>
        </is>
      </c>
      <c r="I3" t="inlineStr">
        <is>
          <t>0.00%</t>
        </is>
      </c>
    </row>
    <row r="4">
      <c r="A4" s="2" t="n">
        <v>45982</v>
      </c>
      <c r="B4" t="inlineStr">
        <is>
          <t>RDVI</t>
        </is>
      </c>
      <c r="C4" t="inlineStr">
        <is>
          <t>GICS_INDUSTRY_NAME</t>
        </is>
      </c>
      <c r="D4" t="inlineStr">
        <is>
          <t>Semiconductors &amp; Semiconductor Equipment</t>
        </is>
      </c>
      <c r="E4" t="inlineStr">
        <is>
          <t>Information Technology</t>
        </is>
      </c>
      <c r="F4" t="inlineStr"/>
      <c r="G4" t="inlineStr"/>
      <c r="H4" t="inlineStr">
        <is>
          <t>13.47%</t>
        </is>
      </c>
      <c r="I4" t="inlineStr">
        <is>
          <t>0.00%</t>
        </is>
      </c>
    </row>
    <row r="5">
      <c r="A5" s="2" t="n">
        <v>45982</v>
      </c>
      <c r="B5" t="inlineStr">
        <is>
          <t>RDVI</t>
        </is>
      </c>
      <c r="C5" t="inlineStr">
        <is>
          <t>GICS_INDUSTRY_GROUP_NAME</t>
        </is>
      </c>
      <c r="D5" t="inlineStr">
        <is>
          <t>Insurance</t>
        </is>
      </c>
      <c r="E5" t="inlineStr">
        <is>
          <t>Financials</t>
        </is>
      </c>
      <c r="F5" t="inlineStr"/>
      <c r="G5" t="inlineStr"/>
      <c r="H5" t="inlineStr">
        <is>
          <t>12.53%</t>
        </is>
      </c>
      <c r="I5" t="inlineStr">
        <is>
          <t>0.00%</t>
        </is>
      </c>
    </row>
    <row r="6">
      <c r="A6" s="2" t="n">
        <v>45982</v>
      </c>
      <c r="B6" t="inlineStr">
        <is>
          <t>RDVI</t>
        </is>
      </c>
      <c r="C6" t="inlineStr">
        <is>
          <t>GICS_INDUSTRY_NAME</t>
        </is>
      </c>
      <c r="D6" t="inlineStr">
        <is>
          <t>Insurance</t>
        </is>
      </c>
      <c r="E6" t="inlineStr">
        <is>
          <t>Financials</t>
        </is>
      </c>
      <c r="F6" t="inlineStr"/>
      <c r="G6" t="inlineStr"/>
      <c r="H6" t="inlineStr">
        <is>
          <t>12.53%</t>
        </is>
      </c>
      <c r="I6" t="inlineStr">
        <is>
          <t>0.00%</t>
        </is>
      </c>
    </row>
    <row r="7">
      <c r="A7" s="2" t="n">
        <v>45982</v>
      </c>
      <c r="B7" t="inlineStr">
        <is>
          <t>RDVI</t>
        </is>
      </c>
      <c r="C7" t="inlineStr">
        <is>
          <t>GICS_INDUSTRY_GROUP_NAME</t>
        </is>
      </c>
      <c r="D7" t="inlineStr">
        <is>
          <t>Capital Goods</t>
        </is>
      </c>
      <c r="E7" t="inlineStr">
        <is>
          <t>Industrials</t>
        </is>
      </c>
      <c r="F7" t="inlineStr"/>
      <c r="G7" t="inlineStr"/>
      <c r="H7" t="inlineStr">
        <is>
          <t>10.51%</t>
        </is>
      </c>
      <c r="I7" t="inlineStr">
        <is>
          <t>0.00%</t>
        </is>
      </c>
    </row>
    <row r="8">
      <c r="A8" s="2" t="n">
        <v>45982</v>
      </c>
      <c r="B8" t="inlineStr">
        <is>
          <t>RDVI</t>
        </is>
      </c>
      <c r="C8" t="inlineStr">
        <is>
          <t>GICS_INDUSTRY_NAME</t>
        </is>
      </c>
      <c r="D8" t="inlineStr">
        <is>
          <t>Capital Markets</t>
        </is>
      </c>
      <c r="E8" t="inlineStr">
        <is>
          <t>Financials</t>
        </is>
      </c>
      <c r="F8" t="inlineStr"/>
      <c r="G8" t="inlineStr"/>
      <c r="H8" t="inlineStr">
        <is>
          <t>8.40%</t>
        </is>
      </c>
      <c r="I8" t="inlineStr">
        <is>
          <t>0.00%</t>
        </is>
      </c>
    </row>
    <row r="9">
      <c r="A9" s="2" t="n">
        <v>45982</v>
      </c>
      <c r="B9" t="inlineStr">
        <is>
          <t>RDVI</t>
        </is>
      </c>
      <c r="C9" t="inlineStr">
        <is>
          <t>GICS_INDUSTRY_GROUP_NAME</t>
        </is>
      </c>
      <c r="D9" t="inlineStr">
        <is>
          <t>Media &amp; Entertainment</t>
        </is>
      </c>
      <c r="E9" t="inlineStr">
        <is>
          <t>Communication Services</t>
        </is>
      </c>
      <c r="F9" t="inlineStr"/>
      <c r="G9" t="inlineStr"/>
      <c r="H9" t="inlineStr">
        <is>
          <t>7.38%</t>
        </is>
      </c>
      <c r="I9" t="inlineStr">
        <is>
          <t>0.00%</t>
        </is>
      </c>
    </row>
    <row r="10">
      <c r="A10" s="2" t="n">
        <v>45982</v>
      </c>
      <c r="B10" t="inlineStr">
        <is>
          <t>RDVI</t>
        </is>
      </c>
      <c r="C10" t="inlineStr">
        <is>
          <t>GICS_INDUSTRY_GROUP_NAME</t>
        </is>
      </c>
      <c r="D10" t="inlineStr">
        <is>
          <t>Banks</t>
        </is>
      </c>
      <c r="E10" t="inlineStr">
        <is>
          <t>Financials</t>
        </is>
      </c>
      <c r="F10" t="inlineStr"/>
      <c r="G10" t="inlineStr"/>
      <c r="H10" t="inlineStr">
        <is>
          <t>6.90%</t>
        </is>
      </c>
      <c r="I10" t="inlineStr">
        <is>
          <t>0.00%</t>
        </is>
      </c>
    </row>
    <row r="11">
      <c r="A11" s="2" t="n">
        <v>45982</v>
      </c>
      <c r="B11" t="inlineStr">
        <is>
          <t>RDVI</t>
        </is>
      </c>
      <c r="C11" t="inlineStr">
        <is>
          <t>GICS_INDUSTRY_NAME</t>
        </is>
      </c>
      <c r="D11" t="inlineStr">
        <is>
          <t>Banks</t>
        </is>
      </c>
      <c r="E11" t="inlineStr">
        <is>
          <t>Financials</t>
        </is>
      </c>
      <c r="F11" t="inlineStr"/>
      <c r="G11" t="inlineStr"/>
      <c r="H11" t="inlineStr">
        <is>
          <t>6.90%</t>
        </is>
      </c>
      <c r="I11" t="inlineStr">
        <is>
          <t>0.00%</t>
        </is>
      </c>
    </row>
    <row r="12">
      <c r="A12" s="2" t="n">
        <v>45982</v>
      </c>
      <c r="B12" t="inlineStr">
        <is>
          <t>RDVI</t>
        </is>
      </c>
      <c r="C12" t="inlineStr">
        <is>
          <t>GICS_INDUSTRY_GROUP_NAME</t>
        </is>
      </c>
      <c r="D12" t="inlineStr">
        <is>
          <t>Software &amp; Services</t>
        </is>
      </c>
      <c r="E12" t="inlineStr">
        <is>
          <t>Information Technology</t>
        </is>
      </c>
      <c r="F12" t="inlineStr"/>
      <c r="G12" t="inlineStr"/>
      <c r="H12" t="inlineStr">
        <is>
          <t>6.87%</t>
        </is>
      </c>
      <c r="I12" t="inlineStr">
        <is>
          <t>0.00%</t>
        </is>
      </c>
    </row>
    <row r="13">
      <c r="A13" s="2" t="n">
        <v>45982</v>
      </c>
      <c r="B13" t="inlineStr">
        <is>
          <t>RDVI</t>
        </is>
      </c>
      <c r="C13" t="inlineStr">
        <is>
          <t>GICS_INDUSTRY_NAME</t>
        </is>
      </c>
      <c r="D13" t="inlineStr">
        <is>
          <t>Machinery</t>
        </is>
      </c>
      <c r="E13" t="inlineStr">
        <is>
          <t>Industrials</t>
        </is>
      </c>
      <c r="F13" t="inlineStr"/>
      <c r="G13" t="inlineStr"/>
      <c r="H13" t="inlineStr">
        <is>
          <t>6.66%</t>
        </is>
      </c>
      <c r="I13" t="inlineStr">
        <is>
          <t>0.00%</t>
        </is>
      </c>
    </row>
    <row r="14">
      <c r="A14" s="2" t="n">
        <v>45982</v>
      </c>
      <c r="B14" t="inlineStr">
        <is>
          <t>RDVI</t>
        </is>
      </c>
      <c r="C14" t="inlineStr">
        <is>
          <t>GICS_INDUSTRY_GROUP_NAME</t>
        </is>
      </c>
      <c r="D14" t="inlineStr">
        <is>
          <t>Consumer Discretionary Distribution &amp; Retail</t>
        </is>
      </c>
      <c r="E14" t="inlineStr">
        <is>
          <t>Consumer Discretionary</t>
        </is>
      </c>
      <c r="F14" t="inlineStr"/>
      <c r="G14" t="inlineStr"/>
      <c r="H14" t="inlineStr">
        <is>
          <t>6.30%</t>
        </is>
      </c>
      <c r="I14" t="inlineStr">
        <is>
          <t>0.00%</t>
        </is>
      </c>
    </row>
    <row r="15">
      <c r="A15" s="2" t="n">
        <v>45982</v>
      </c>
      <c r="B15" t="inlineStr">
        <is>
          <t>RDVI</t>
        </is>
      </c>
      <c r="C15" t="inlineStr">
        <is>
          <t>GICS_INDUSTRY_NAME</t>
        </is>
      </c>
      <c r="D15" t="inlineStr">
        <is>
          <t>Interactive Media &amp; Services</t>
        </is>
      </c>
      <c r="E15" t="inlineStr">
        <is>
          <t>Communication Services</t>
        </is>
      </c>
      <c r="F15" t="inlineStr"/>
      <c r="G15" t="inlineStr"/>
      <c r="H15" t="inlineStr">
        <is>
          <t>4.88%</t>
        </is>
      </c>
      <c r="I15" t="inlineStr">
        <is>
          <t>0.00%</t>
        </is>
      </c>
    </row>
    <row r="16">
      <c r="A16" s="2" t="n">
        <v>45982</v>
      </c>
      <c r="B16" t="inlineStr">
        <is>
          <t>RDVI</t>
        </is>
      </c>
      <c r="C16" t="inlineStr">
        <is>
          <t>GICS_INDUSTRY_GROUP_NAME</t>
        </is>
      </c>
      <c r="D16" t="inlineStr">
        <is>
          <t>Consumer Durables &amp; Apparel</t>
        </is>
      </c>
      <c r="E16" t="inlineStr">
        <is>
          <t>Consumer Discretionary</t>
        </is>
      </c>
      <c r="F16" t="inlineStr"/>
      <c r="G16" t="inlineStr"/>
      <c r="H16" t="inlineStr">
        <is>
          <t>4.27%</t>
        </is>
      </c>
      <c r="I16" t="inlineStr">
        <is>
          <t>0.00%</t>
        </is>
      </c>
    </row>
    <row r="17">
      <c r="A17" s="2" t="n">
        <v>45982</v>
      </c>
      <c r="B17" t="inlineStr">
        <is>
          <t>RDVI</t>
        </is>
      </c>
      <c r="C17" t="inlineStr">
        <is>
          <t>GICS_INDUSTRY_NAME</t>
        </is>
      </c>
      <c r="D17" t="inlineStr">
        <is>
          <t>Household Durables</t>
        </is>
      </c>
      <c r="E17" t="inlineStr">
        <is>
          <t>Consumer Discretionary</t>
        </is>
      </c>
      <c r="F17" t="inlineStr"/>
      <c r="G17" t="inlineStr"/>
      <c r="H17" t="inlineStr">
        <is>
          <t>4.27%</t>
        </is>
      </c>
      <c r="I17" t="inlineStr">
        <is>
          <t>0.00%</t>
        </is>
      </c>
    </row>
    <row r="18">
      <c r="A18" s="2" t="n">
        <v>45982</v>
      </c>
      <c r="B18" t="inlineStr">
        <is>
          <t>RDVI</t>
        </is>
      </c>
      <c r="C18" t="inlineStr">
        <is>
          <t>GICS_INDUSTRY_NAME</t>
        </is>
      </c>
      <c r="D18" t="inlineStr">
        <is>
          <t>Specialty Retail</t>
        </is>
      </c>
      <c r="E18" t="inlineStr">
        <is>
          <t>Consumer Discretionary</t>
        </is>
      </c>
      <c r="F18" t="inlineStr"/>
      <c r="G18" t="inlineStr"/>
      <c r="H18" t="inlineStr">
        <is>
          <t>4.16%</t>
        </is>
      </c>
      <c r="I18" t="inlineStr">
        <is>
          <t>0.00%</t>
        </is>
      </c>
    </row>
    <row r="19">
      <c r="A19" s="2" t="n">
        <v>45982</v>
      </c>
      <c r="B19" t="inlineStr">
        <is>
          <t>RDVI</t>
        </is>
      </c>
      <c r="C19" t="inlineStr">
        <is>
          <t>GICS_INDUSTRY_NAME</t>
        </is>
      </c>
      <c r="D19" t="inlineStr">
        <is>
          <t>Consumer Finance</t>
        </is>
      </c>
      <c r="E19" t="inlineStr">
        <is>
          <t>Financials</t>
        </is>
      </c>
      <c r="F19" t="inlineStr"/>
      <c r="G19" t="inlineStr"/>
      <c r="H19" t="inlineStr">
        <is>
          <t>3.77%</t>
        </is>
      </c>
      <c r="I19" t="inlineStr">
        <is>
          <t>0.00%</t>
        </is>
      </c>
    </row>
    <row r="20">
      <c r="A20" s="2" t="n">
        <v>45982</v>
      </c>
      <c r="B20" t="inlineStr">
        <is>
          <t>RDVI</t>
        </is>
      </c>
      <c r="C20" t="inlineStr">
        <is>
          <t>GICS_INDUSTRY_NAME</t>
        </is>
      </c>
      <c r="D20" t="inlineStr">
        <is>
          <t>Software</t>
        </is>
      </c>
      <c r="E20" t="inlineStr">
        <is>
          <t>Information Technology</t>
        </is>
      </c>
      <c r="F20" t="inlineStr"/>
      <c r="G20" t="inlineStr"/>
      <c r="H20" t="inlineStr">
        <is>
          <t>3.53%</t>
        </is>
      </c>
      <c r="I20" t="inlineStr">
        <is>
          <t>0.00%</t>
        </is>
      </c>
    </row>
    <row r="21">
      <c r="A21" s="2" t="n">
        <v>45982</v>
      </c>
      <c r="B21" t="inlineStr">
        <is>
          <t>RDVI</t>
        </is>
      </c>
      <c r="C21" t="inlineStr">
        <is>
          <t>GICS_INDUSTRY_GROUP_NAME</t>
        </is>
      </c>
      <c r="D21" t="inlineStr">
        <is>
          <t>Health Care Equipment &amp; Services</t>
        </is>
      </c>
      <c r="E21" t="inlineStr">
        <is>
          <t>Health Care</t>
        </is>
      </c>
      <c r="F21" t="inlineStr"/>
      <c r="G21" t="inlineStr"/>
      <c r="H21" t="inlineStr">
        <is>
          <t>3.48%</t>
        </is>
      </c>
      <c r="I21" t="inlineStr">
        <is>
          <t>0.00%</t>
        </is>
      </c>
    </row>
    <row r="22">
      <c r="A22" s="2" t="n">
        <v>45982</v>
      </c>
      <c r="B22" t="inlineStr">
        <is>
          <t>RDVI</t>
        </is>
      </c>
      <c r="C22" t="inlineStr">
        <is>
          <t>GICS_INDUSTRY_NAME</t>
        </is>
      </c>
      <c r="D22" t="inlineStr">
        <is>
          <t>IT Services</t>
        </is>
      </c>
      <c r="E22" t="inlineStr">
        <is>
          <t>Information Technology</t>
        </is>
      </c>
      <c r="F22" t="inlineStr"/>
      <c r="G22" t="inlineStr"/>
      <c r="H22" t="inlineStr">
        <is>
          <t>3.35%</t>
        </is>
      </c>
      <c r="I22" t="inlineStr">
        <is>
          <t>0.00%</t>
        </is>
      </c>
    </row>
    <row r="23">
      <c r="A23" s="2" t="n">
        <v>45982</v>
      </c>
      <c r="B23" t="inlineStr">
        <is>
          <t>RDVI</t>
        </is>
      </c>
      <c r="C23" t="inlineStr">
        <is>
          <t>GICS_INDUSTRY_NAME</t>
        </is>
      </c>
      <c r="D23" t="inlineStr">
        <is>
          <t>Financial Services</t>
        </is>
      </c>
      <c r="E23" t="inlineStr">
        <is>
          <t>Financials</t>
        </is>
      </c>
      <c r="F23" t="inlineStr"/>
      <c r="G23" t="inlineStr"/>
      <c r="H23" t="inlineStr">
        <is>
          <t>3.12%</t>
        </is>
      </c>
      <c r="I23" t="inlineStr">
        <is>
          <t>0.00%</t>
        </is>
      </c>
    </row>
    <row r="24">
      <c r="A24" s="2" t="n">
        <v>45982</v>
      </c>
      <c r="B24" t="inlineStr">
        <is>
          <t>RDVI</t>
        </is>
      </c>
      <c r="C24" t="inlineStr">
        <is>
          <t>GICS_INDUSTRY_GROUP_NAME</t>
        </is>
      </c>
      <c r="D24" t="inlineStr">
        <is>
          <t>Energy</t>
        </is>
      </c>
      <c r="E24" t="inlineStr">
        <is>
          <t>Energy</t>
        </is>
      </c>
      <c r="F24" t="inlineStr"/>
      <c r="G24" t="inlineStr"/>
      <c r="H24" t="inlineStr">
        <is>
          <t>3.04%</t>
        </is>
      </c>
      <c r="I24" t="inlineStr">
        <is>
          <t>0.00%</t>
        </is>
      </c>
    </row>
    <row r="25">
      <c r="A25" s="2" t="n">
        <v>45982</v>
      </c>
      <c r="B25" t="inlineStr">
        <is>
          <t>RDVI</t>
        </is>
      </c>
      <c r="C25" t="inlineStr">
        <is>
          <t>GICS_INDUSTRY_GROUP_NAME</t>
        </is>
      </c>
      <c r="D25" t="inlineStr">
        <is>
          <t>Commercial &amp; Professional Services</t>
        </is>
      </c>
      <c r="E25" t="inlineStr">
        <is>
          <t>Industrials</t>
        </is>
      </c>
      <c r="F25" t="inlineStr"/>
      <c r="G25" t="inlineStr"/>
      <c r="H25" t="inlineStr">
        <is>
          <t>2.68%</t>
        </is>
      </c>
      <c r="I25" t="inlineStr">
        <is>
          <t>0.00%</t>
        </is>
      </c>
    </row>
    <row r="26">
      <c r="A26" s="2" t="n">
        <v>45982</v>
      </c>
      <c r="B26" t="inlineStr">
        <is>
          <t>RDVI</t>
        </is>
      </c>
      <c r="C26" t="inlineStr">
        <is>
          <t>GICS_INDUSTRY_GROUP_NAME</t>
        </is>
      </c>
      <c r="D26" t="inlineStr">
        <is>
          <t>Technology Hardware &amp; Equipment</t>
        </is>
      </c>
      <c r="E26" t="inlineStr">
        <is>
          <t>Information Technology</t>
        </is>
      </c>
      <c r="F26" t="inlineStr"/>
      <c r="G26" t="inlineStr"/>
      <c r="H26" t="inlineStr">
        <is>
          <t>2.27%</t>
        </is>
      </c>
      <c r="I26" t="inlineStr">
        <is>
          <t>0.00%</t>
        </is>
      </c>
    </row>
    <row r="27">
      <c r="A27" s="2" t="n">
        <v>45982</v>
      </c>
      <c r="B27" t="inlineStr">
        <is>
          <t>RDVI</t>
        </is>
      </c>
      <c r="C27" t="inlineStr">
        <is>
          <t>GICS_INDUSTRY_NAME</t>
        </is>
      </c>
      <c r="D27" t="inlineStr">
        <is>
          <t>Professional Services</t>
        </is>
      </c>
      <c r="E27" t="inlineStr">
        <is>
          <t>Industrials</t>
        </is>
      </c>
      <c r="F27" t="inlineStr"/>
      <c r="G27" t="inlineStr"/>
      <c r="H27" t="inlineStr">
        <is>
          <t>2.21%</t>
        </is>
      </c>
      <c r="I27" t="inlineStr">
        <is>
          <t>0.00%</t>
        </is>
      </c>
    </row>
    <row r="28">
      <c r="A28" s="2" t="n">
        <v>45982</v>
      </c>
      <c r="B28" t="inlineStr">
        <is>
          <t>RDVI</t>
        </is>
      </c>
      <c r="C28" t="inlineStr">
        <is>
          <t>GICS_INDUSTRY_NAME</t>
        </is>
      </c>
      <c r="D28" t="inlineStr">
        <is>
          <t>Energy Equipment &amp; Services</t>
        </is>
      </c>
      <c r="E28" t="inlineStr">
        <is>
          <t>Energy</t>
        </is>
      </c>
      <c r="F28" t="inlineStr"/>
      <c r="G28" t="inlineStr"/>
      <c r="H28" t="inlineStr">
        <is>
          <t>2.18%</t>
        </is>
      </c>
      <c r="I28" t="inlineStr">
        <is>
          <t>0.00%</t>
        </is>
      </c>
    </row>
    <row r="29">
      <c r="A29" s="2" t="n">
        <v>45982</v>
      </c>
      <c r="B29" t="inlineStr">
        <is>
          <t>RDVI</t>
        </is>
      </c>
      <c r="C29" t="inlineStr">
        <is>
          <t>GICS_INDUSTRY_NAME</t>
        </is>
      </c>
      <c r="D29" t="inlineStr">
        <is>
          <t>Broadline Retail</t>
        </is>
      </c>
      <c r="E29" t="inlineStr">
        <is>
          <t>Consumer Discretionary</t>
        </is>
      </c>
      <c r="F29" t="inlineStr"/>
      <c r="G29" t="inlineStr"/>
      <c r="H29" t="inlineStr">
        <is>
          <t>2.14%</t>
        </is>
      </c>
      <c r="I29" t="inlineStr">
        <is>
          <t>0.00%</t>
        </is>
      </c>
    </row>
    <row r="30">
      <c r="A30" s="2" t="n">
        <v>45982</v>
      </c>
      <c r="B30" t="inlineStr">
        <is>
          <t>RDVI</t>
        </is>
      </c>
      <c r="C30" t="inlineStr">
        <is>
          <t>GICS_INDUSTRY_NAME</t>
        </is>
      </c>
      <c r="D30" t="inlineStr">
        <is>
          <t>Entertainment</t>
        </is>
      </c>
      <c r="E30" t="inlineStr">
        <is>
          <t>Communication Services</t>
        </is>
      </c>
      <c r="F30" t="inlineStr"/>
      <c r="G30" t="inlineStr"/>
      <c r="H30" t="inlineStr">
        <is>
          <t>1.93%</t>
        </is>
      </c>
      <c r="I30" t="inlineStr">
        <is>
          <t>0.00%</t>
        </is>
      </c>
    </row>
    <row r="31">
      <c r="A31" s="2" t="n">
        <v>45982</v>
      </c>
      <c r="B31" t="inlineStr">
        <is>
          <t>RDVI</t>
        </is>
      </c>
      <c r="C31" t="inlineStr">
        <is>
          <t>GICS_INDUSTRY_NAME</t>
        </is>
      </c>
      <c r="D31" t="inlineStr">
        <is>
          <t>Health Care Equipment &amp; Supplies</t>
        </is>
      </c>
      <c r="E31" t="inlineStr">
        <is>
          <t>Health Care</t>
        </is>
      </c>
      <c r="F31" t="inlineStr"/>
      <c r="G31" t="inlineStr"/>
      <c r="H31" t="inlineStr">
        <is>
          <t>1.80%</t>
        </is>
      </c>
      <c r="I31" t="inlineStr">
        <is>
          <t>0.00%</t>
        </is>
      </c>
    </row>
    <row r="32">
      <c r="A32" s="2" t="n">
        <v>45982</v>
      </c>
      <c r="B32" t="inlineStr">
        <is>
          <t>RDVI</t>
        </is>
      </c>
      <c r="C32" t="inlineStr">
        <is>
          <t>GICS_INDUSTRY_GROUP_NAME</t>
        </is>
      </c>
      <c r="D32" t="inlineStr">
        <is>
          <t>Consumer Services</t>
        </is>
      </c>
      <c r="E32" t="inlineStr">
        <is>
          <t>Consumer Discretionary</t>
        </is>
      </c>
      <c r="F32" t="inlineStr"/>
      <c r="G32" t="inlineStr"/>
      <c r="H32" t="inlineStr">
        <is>
          <t>1.70%</t>
        </is>
      </c>
      <c r="I32" t="inlineStr">
        <is>
          <t>0.00%</t>
        </is>
      </c>
    </row>
    <row r="33">
      <c r="A33" s="2" t="n">
        <v>45982</v>
      </c>
      <c r="B33" t="inlineStr">
        <is>
          <t>RDVI</t>
        </is>
      </c>
      <c r="C33" t="inlineStr">
        <is>
          <t>GICS_INDUSTRY_NAME</t>
        </is>
      </c>
      <c r="D33" t="inlineStr">
        <is>
          <t>Hotels, Restaurants &amp; Leisure</t>
        </is>
      </c>
      <c r="E33" t="inlineStr">
        <is>
          <t>Consumer Discretionary</t>
        </is>
      </c>
      <c r="F33" t="inlineStr"/>
      <c r="G33" t="inlineStr"/>
      <c r="H33" t="inlineStr">
        <is>
          <t>1.70%</t>
        </is>
      </c>
      <c r="I33" t="inlineStr">
        <is>
          <t>0.00%</t>
        </is>
      </c>
    </row>
    <row r="34">
      <c r="A34" s="2" t="n">
        <v>45982</v>
      </c>
      <c r="B34" t="inlineStr">
        <is>
          <t>RDVI</t>
        </is>
      </c>
      <c r="C34" t="inlineStr">
        <is>
          <t>GICS_INDUSTRY_NAME</t>
        </is>
      </c>
      <c r="D34" t="inlineStr">
        <is>
          <t>Aerospace &amp; Defense</t>
        </is>
      </c>
      <c r="E34" t="inlineStr">
        <is>
          <t>Industrials</t>
        </is>
      </c>
      <c r="F34" t="inlineStr"/>
      <c r="G34" t="inlineStr"/>
      <c r="H34" t="inlineStr">
        <is>
          <t>1.69%</t>
        </is>
      </c>
      <c r="I34" t="inlineStr">
        <is>
          <t>0.00%</t>
        </is>
      </c>
    </row>
    <row r="35">
      <c r="A35" s="2" t="n">
        <v>45982</v>
      </c>
      <c r="B35" t="inlineStr">
        <is>
          <t>RDVI</t>
        </is>
      </c>
      <c r="C35" t="inlineStr">
        <is>
          <t>GICS_INDUSTRY_NAME</t>
        </is>
      </c>
      <c r="D35" t="inlineStr">
        <is>
          <t>Health Care Providers &amp; Services</t>
        </is>
      </c>
      <c r="E35" t="inlineStr">
        <is>
          <t>Health Care</t>
        </is>
      </c>
      <c r="F35" t="inlineStr"/>
      <c r="G35" t="inlineStr"/>
      <c r="H35" t="inlineStr">
        <is>
          <t>1.67%</t>
        </is>
      </c>
      <c r="I35" t="inlineStr">
        <is>
          <t>0.00%</t>
        </is>
      </c>
    </row>
    <row r="36">
      <c r="A36" s="2" t="n">
        <v>45982</v>
      </c>
      <c r="B36" t="inlineStr">
        <is>
          <t>RDVI</t>
        </is>
      </c>
      <c r="C36" t="inlineStr">
        <is>
          <t>GICS_INDUSTRY_NAME</t>
        </is>
      </c>
      <c r="D36" t="inlineStr">
        <is>
          <t>Technology Hardware, Storage &amp; Peripherals</t>
        </is>
      </c>
      <c r="E36" t="inlineStr">
        <is>
          <t>Information Technology</t>
        </is>
      </c>
      <c r="F36" t="inlineStr"/>
      <c r="G36" t="inlineStr"/>
      <c r="H36" t="inlineStr">
        <is>
          <t>1.65%</t>
        </is>
      </c>
      <c r="I36" t="inlineStr">
        <is>
          <t>0.00%</t>
        </is>
      </c>
    </row>
    <row r="37">
      <c r="A37" s="2" t="n">
        <v>45982</v>
      </c>
      <c r="B37" t="inlineStr">
        <is>
          <t>RDVI</t>
        </is>
      </c>
      <c r="C37" t="inlineStr">
        <is>
          <t>GICS_INDUSTRY_NAME</t>
        </is>
      </c>
      <c r="D37" t="inlineStr">
        <is>
          <t>Electrical Equipment</t>
        </is>
      </c>
      <c r="E37" t="inlineStr">
        <is>
          <t>Industrials</t>
        </is>
      </c>
      <c r="F37" t="inlineStr"/>
      <c r="G37" t="inlineStr"/>
      <c r="H37" t="inlineStr">
        <is>
          <t>0.99%</t>
        </is>
      </c>
      <c r="I37" t="inlineStr">
        <is>
          <t>0.00%</t>
        </is>
      </c>
    </row>
    <row r="38">
      <c r="A38" s="2" t="n">
        <v>45982</v>
      </c>
      <c r="B38" t="inlineStr">
        <is>
          <t>RDVI</t>
        </is>
      </c>
      <c r="C38" t="inlineStr">
        <is>
          <t>GICS_INDUSTRY_GROUP_NAME</t>
        </is>
      </c>
      <c r="D38" t="inlineStr">
        <is>
          <t>Consumer Staples Distribution &amp; Retail</t>
        </is>
      </c>
      <c r="E38" t="inlineStr">
        <is>
          <t>Consumer Staples</t>
        </is>
      </c>
      <c r="F38" t="inlineStr"/>
      <c r="G38" t="inlineStr"/>
      <c r="H38" t="inlineStr">
        <is>
          <t>0.88%</t>
        </is>
      </c>
      <c r="I38" t="inlineStr">
        <is>
          <t>0.00%</t>
        </is>
      </c>
    </row>
    <row r="39">
      <c r="A39" s="2" t="n">
        <v>45982</v>
      </c>
      <c r="B39" t="inlineStr">
        <is>
          <t>RDVI</t>
        </is>
      </c>
      <c r="C39" t="inlineStr">
        <is>
          <t>GICS_INDUSTRY_NAME</t>
        </is>
      </c>
      <c r="D39" t="inlineStr">
        <is>
          <t>Consumer Staples Distribution &amp; Retail</t>
        </is>
      </c>
      <c r="E39" t="inlineStr">
        <is>
          <t>Consumer Staples</t>
        </is>
      </c>
      <c r="F39" t="inlineStr"/>
      <c r="G39" t="inlineStr"/>
      <c r="H39" t="inlineStr">
        <is>
          <t>0.88%</t>
        </is>
      </c>
      <c r="I39" t="inlineStr">
        <is>
          <t>0.00%</t>
        </is>
      </c>
    </row>
    <row r="40">
      <c r="A40" s="2" t="n">
        <v>45982</v>
      </c>
      <c r="B40" t="inlineStr">
        <is>
          <t>RDVI</t>
        </is>
      </c>
      <c r="C40" t="inlineStr">
        <is>
          <t>GICS_INDUSTRY_NAME</t>
        </is>
      </c>
      <c r="D40" t="inlineStr">
        <is>
          <t>Oil, Gas &amp; Consumable Fuels</t>
        </is>
      </c>
      <c r="E40" t="inlineStr">
        <is>
          <t>Energy</t>
        </is>
      </c>
      <c r="F40" t="inlineStr"/>
      <c r="G40" t="inlineStr"/>
      <c r="H40" t="inlineStr">
        <is>
          <t>0.86%</t>
        </is>
      </c>
      <c r="I40" t="inlineStr">
        <is>
          <t>0.00%</t>
        </is>
      </c>
    </row>
    <row r="41">
      <c r="A41" s="2" t="n">
        <v>45982</v>
      </c>
      <c r="B41" t="inlineStr">
        <is>
          <t>RDVI</t>
        </is>
      </c>
      <c r="C41" t="inlineStr">
        <is>
          <t>GICS_INDUSTRY_NAME</t>
        </is>
      </c>
      <c r="D41" t="inlineStr">
        <is>
          <t>Construction &amp; Engineering</t>
        </is>
      </c>
      <c r="E41" t="inlineStr">
        <is>
          <t>Industrials</t>
        </is>
      </c>
      <c r="F41" t="inlineStr"/>
      <c r="G41" t="inlineStr"/>
      <c r="H41" t="inlineStr">
        <is>
          <t>0.84%</t>
        </is>
      </c>
      <c r="I41" t="inlineStr">
        <is>
          <t>0.00%</t>
        </is>
      </c>
    </row>
    <row r="42">
      <c r="A42" s="2" t="n">
        <v>45982</v>
      </c>
      <c r="B42" t="inlineStr">
        <is>
          <t>RDVI</t>
        </is>
      </c>
      <c r="C42" t="inlineStr">
        <is>
          <t>GICS_INDUSTRY_GROUP_NAME</t>
        </is>
      </c>
      <c r="D42" t="inlineStr">
        <is>
          <t>Transportation</t>
        </is>
      </c>
      <c r="E42" t="inlineStr">
        <is>
          <t>Industrials</t>
        </is>
      </c>
      <c r="F42" t="inlineStr"/>
      <c r="G42" t="inlineStr"/>
      <c r="H42" t="inlineStr">
        <is>
          <t>0.73%</t>
        </is>
      </c>
      <c r="I42" t="inlineStr">
        <is>
          <t>0.00%</t>
        </is>
      </c>
    </row>
    <row r="43">
      <c r="A43" s="2" t="n">
        <v>45982</v>
      </c>
      <c r="B43" t="inlineStr">
        <is>
          <t>RDVI</t>
        </is>
      </c>
      <c r="C43" t="inlineStr">
        <is>
          <t>GICS_INDUSTRY_NAME</t>
        </is>
      </c>
      <c r="D43" t="inlineStr">
        <is>
          <t>Ground Transportation</t>
        </is>
      </c>
      <c r="E43" t="inlineStr">
        <is>
          <t>Industrials</t>
        </is>
      </c>
      <c r="F43" t="inlineStr"/>
      <c r="G43" t="inlineStr"/>
      <c r="H43" t="inlineStr">
        <is>
          <t>0.73%</t>
        </is>
      </c>
      <c r="I43" t="inlineStr">
        <is>
          <t>0.00%</t>
        </is>
      </c>
    </row>
    <row r="44">
      <c r="A44" s="2" t="n">
        <v>45982</v>
      </c>
      <c r="B44" t="inlineStr">
        <is>
          <t>RDVI</t>
        </is>
      </c>
      <c r="C44" t="inlineStr">
        <is>
          <t>GICS_INDUSTRY_GROUP_NAME</t>
        </is>
      </c>
      <c r="D44" t="inlineStr">
        <is>
          <t>Food, Beverage &amp; Tobacco</t>
        </is>
      </c>
      <c r="E44" t="inlineStr">
        <is>
          <t>Consumer Staples</t>
        </is>
      </c>
      <c r="F44" t="inlineStr"/>
      <c r="G44" t="inlineStr"/>
      <c r="H44" t="inlineStr">
        <is>
          <t>0.70%</t>
        </is>
      </c>
      <c r="I44" t="inlineStr">
        <is>
          <t>0.00%</t>
        </is>
      </c>
    </row>
    <row r="45">
      <c r="A45" s="2" t="n">
        <v>45982</v>
      </c>
      <c r="B45" t="inlineStr">
        <is>
          <t>RDVI</t>
        </is>
      </c>
      <c r="C45" t="inlineStr">
        <is>
          <t>GICS_INDUSTRY_NAME</t>
        </is>
      </c>
      <c r="D45" t="inlineStr">
        <is>
          <t>Beverages</t>
        </is>
      </c>
      <c r="E45" t="inlineStr">
        <is>
          <t>Consumer Staples</t>
        </is>
      </c>
      <c r="F45" t="inlineStr"/>
      <c r="G45" t="inlineStr"/>
      <c r="H45" t="inlineStr">
        <is>
          <t>0.70%</t>
        </is>
      </c>
      <c r="I45" t="inlineStr">
        <is>
          <t>0.00%</t>
        </is>
      </c>
    </row>
    <row r="46">
      <c r="A46" s="2" t="n">
        <v>45982</v>
      </c>
      <c r="B46" t="inlineStr">
        <is>
          <t>RDVI</t>
        </is>
      </c>
      <c r="C46" t="inlineStr">
        <is>
          <t>GICS_INDUSTRY_NAME</t>
        </is>
      </c>
      <c r="D46" t="inlineStr">
        <is>
          <t>Communications Equipment</t>
        </is>
      </c>
      <c r="E46" t="inlineStr">
        <is>
          <t>Information Technology</t>
        </is>
      </c>
      <c r="F46" t="inlineStr"/>
      <c r="G46" t="inlineStr"/>
      <c r="H46" t="inlineStr">
        <is>
          <t>0.62%</t>
        </is>
      </c>
      <c r="I46" t="inlineStr">
        <is>
          <t>0.00%</t>
        </is>
      </c>
    </row>
    <row r="47">
      <c r="A47" s="2" t="n">
        <v>45982</v>
      </c>
      <c r="B47" t="inlineStr">
        <is>
          <t>RDVI</t>
        </is>
      </c>
      <c r="C47" t="inlineStr">
        <is>
          <t>GICS_INDUSTRY_GROUP_NAME</t>
        </is>
      </c>
      <c r="D47" t="inlineStr">
        <is>
          <t>Pharmaceuticals, Biotechnology &amp; Life Sciences</t>
        </is>
      </c>
      <c r="E47" t="inlineStr">
        <is>
          <t>Health Care</t>
        </is>
      </c>
      <c r="F47" t="inlineStr"/>
      <c r="G47" t="inlineStr"/>
      <c r="H47" t="inlineStr">
        <is>
          <t>0.59%</t>
        </is>
      </c>
      <c r="I47" t="inlineStr">
        <is>
          <t>0.00%</t>
        </is>
      </c>
    </row>
    <row r="48">
      <c r="A48" s="2" t="n">
        <v>45982</v>
      </c>
      <c r="B48" t="inlineStr">
        <is>
          <t>RDVI</t>
        </is>
      </c>
      <c r="C48" t="inlineStr">
        <is>
          <t>GICS_INDUSTRY_NAME</t>
        </is>
      </c>
      <c r="D48" t="inlineStr">
        <is>
          <t>Pharmaceuticals</t>
        </is>
      </c>
      <c r="E48" t="inlineStr">
        <is>
          <t>Health Care</t>
        </is>
      </c>
      <c r="F48" t="inlineStr"/>
      <c r="G48" t="inlineStr"/>
      <c r="H48" t="inlineStr">
        <is>
          <t>0.59%</t>
        </is>
      </c>
      <c r="I48" t="inlineStr">
        <is>
          <t>0.00%</t>
        </is>
      </c>
    </row>
    <row r="49">
      <c r="A49" s="2" t="n">
        <v>45982</v>
      </c>
      <c r="B49" t="inlineStr">
        <is>
          <t>RDVI</t>
        </is>
      </c>
      <c r="C49" t="inlineStr">
        <is>
          <t>GICS_INDUSTRY_NAME</t>
        </is>
      </c>
      <c r="D49" t="inlineStr">
        <is>
          <t>Media</t>
        </is>
      </c>
      <c r="E49" t="inlineStr">
        <is>
          <t>Communication Services</t>
        </is>
      </c>
      <c r="F49" t="inlineStr"/>
      <c r="G49" t="inlineStr"/>
      <c r="H49" t="inlineStr">
        <is>
          <t>0.56%</t>
        </is>
      </c>
      <c r="I49" t="inlineStr">
        <is>
          <t>0.00%</t>
        </is>
      </c>
    </row>
    <row r="50">
      <c r="A50" s="2" t="n">
        <v>45982</v>
      </c>
      <c r="B50" t="inlineStr">
        <is>
          <t>RDVI</t>
        </is>
      </c>
      <c r="C50" t="inlineStr">
        <is>
          <t>GICS_INDUSTRY_NAME</t>
        </is>
      </c>
      <c r="D50" t="inlineStr">
        <is>
          <t>Commercial Services &amp; Supplies</t>
        </is>
      </c>
      <c r="E50" t="inlineStr">
        <is>
          <t>Industrials</t>
        </is>
      </c>
      <c r="F50" t="inlineStr"/>
      <c r="G50" t="inlineStr"/>
      <c r="H50" t="inlineStr">
        <is>
          <t>0.47%</t>
        </is>
      </c>
      <c r="I50" t="inlineStr">
        <is>
          <t>0.00%</t>
        </is>
      </c>
    </row>
    <row r="51">
      <c r="A51" s="2" t="n">
        <v>45982</v>
      </c>
      <c r="B51" t="inlineStr">
        <is>
          <t>RDVI</t>
        </is>
      </c>
      <c r="C51" t="inlineStr">
        <is>
          <t>GICS_INDUSTRY_GROUP_NAME</t>
        </is>
      </c>
      <c r="D51" t="inlineStr">
        <is>
          <t>Materials</t>
        </is>
      </c>
      <c r="E51" t="inlineStr">
        <is>
          <t>Materials</t>
        </is>
      </c>
      <c r="F51" t="inlineStr"/>
      <c r="G51" t="inlineStr"/>
      <c r="H51" t="inlineStr">
        <is>
          <t>0.42%</t>
        </is>
      </c>
      <c r="I51" t="inlineStr">
        <is>
          <t>0.00%</t>
        </is>
      </c>
    </row>
    <row r="52">
      <c r="A52" s="2" t="n">
        <v>45982</v>
      </c>
      <c r="B52" t="inlineStr">
        <is>
          <t>RDVI</t>
        </is>
      </c>
      <c r="C52" t="inlineStr">
        <is>
          <t>GICS_INDUSTRY_NAME</t>
        </is>
      </c>
      <c r="D52" t="inlineStr">
        <is>
          <t>Chemicals</t>
        </is>
      </c>
      <c r="E52" t="inlineStr">
        <is>
          <t>Materials</t>
        </is>
      </c>
      <c r="F52" t="inlineStr"/>
      <c r="G52" t="inlineStr"/>
      <c r="H52" t="inlineStr">
        <is>
          <t>0.42%</t>
        </is>
      </c>
      <c r="I52" t="inlineStr">
        <is>
          <t>0.00%</t>
        </is>
      </c>
    </row>
    <row r="53">
      <c r="A53" s="2" t="n">
        <v>45982</v>
      </c>
      <c r="B53" t="inlineStr">
        <is>
          <t>RDVI</t>
        </is>
      </c>
      <c r="C53" t="inlineStr">
        <is>
          <t>GICS_INDUSTRY_NAME</t>
        </is>
      </c>
      <c r="D53" t="inlineStr">
        <is>
          <t>Building Products</t>
        </is>
      </c>
      <c r="E53" t="inlineStr">
        <is>
          <t>Industrials</t>
        </is>
      </c>
      <c r="F53" t="inlineStr"/>
      <c r="G53" t="inlineStr"/>
      <c r="H53" t="inlineStr">
        <is>
          <t>0.33%</t>
        </is>
      </c>
      <c r="I53"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RDVI</t>
        </is>
      </c>
      <c r="C2" s="3">
        <f>IF(K2/J2&gt;=0.8,"PASS","FAIL")</f>
        <v/>
      </c>
      <c r="D2" s="3" t="n">
        <v>2445974594.451</v>
      </c>
      <c r="E2" s="3" t="n">
        <v>181284521.994235</v>
      </c>
      <c r="F2" s="3" t="n">
        <v>-3696850</v>
      </c>
      <c r="G2" s="3" t="n">
        <v>0</v>
      </c>
      <c r="H2" s="3" t="n">
        <v>21042647.02</v>
      </c>
      <c r="I2" s="3" t="n">
        <v>0</v>
      </c>
      <c r="J2" s="3" t="n">
        <v>2648301763.465235</v>
      </c>
      <c r="K2" s="3" t="n">
        <v>2445974594.451</v>
      </c>
      <c r="L2" s="4">
        <f>K2/J2</f>
        <v/>
      </c>
      <c r="M2" s="3" t="n">
        <v>2463320391.471</v>
      </c>
      <c r="N2" s="3" t="n">
        <v>2445974594.451</v>
      </c>
      <c r="O2" s="4">
        <f>N2/M2</f>
        <v/>
      </c>
      <c r="P2" t="inlineStr">
        <is>
          <t>No</t>
        </is>
      </c>
    </row>
    <row r="3">
      <c r="A3" t="inlineStr">
        <is>
          <t>* Note: Some funds' 80% policies include the options positions while others only include equity exposure.</t>
        </is>
      </c>
      <c r="B3" t="inlineStr"/>
      <c r="C3" t="inlineStr"/>
      <c r="D3" t="inlineStr"/>
      <c r="E3" t="inlineStr"/>
      <c r="F3" t="inlineStr"/>
      <c r="G3" t="inlineStr"/>
      <c r="H3" t="inlineStr"/>
      <c r="I3" t="inlineStr"/>
      <c r="J3" t="inlineStr"/>
      <c r="K3" t="inlineStr"/>
      <c r="L3" t="inlineStr"/>
      <c r="M3" t="inlineStr"/>
      <c r="N3" t="inlineStr"/>
      <c r="O3" t="inlineStr"/>
      <c r="P3" t="inlineStr"/>
    </row>
    <row r="4">
      <c r="A4" t="inlineStr">
        <is>
          <t>* CCET = Cash, Cash Equivalents, and T-bills (less than 1-year maturity).</t>
        </is>
      </c>
      <c r="B4" t="inlineStr"/>
      <c r="C4" t="inlineStr"/>
      <c r="D4" t="inlineStr"/>
      <c r="E4" t="inlineStr"/>
      <c r="F4" t="inlineStr"/>
      <c r="G4" t="inlineStr"/>
      <c r="H4" t="inlineStr"/>
      <c r="I4" t="inlineStr"/>
      <c r="J4" t="inlineStr"/>
      <c r="K4" t="inlineStr"/>
      <c r="L4" t="inlineStr"/>
      <c r="M4" t="inlineStr"/>
      <c r="N4" t="inlineStr"/>
      <c r="O4" t="inlineStr"/>
      <c r="P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2"/>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18"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RDVI</t>
        </is>
      </c>
      <c r="C2" t="inlineStr">
        <is>
          <t>non-diversified</t>
        </is>
      </c>
      <c r="D2" t="inlineStr">
        <is>
          <t>diversified</t>
        </is>
      </c>
      <c r="E2" s="3">
        <f>IF(C2=D2,"PASS","FAIL")</f>
        <v/>
      </c>
      <c r="F2" s="3">
        <f>IF(L2/J2&gt;=0.75,"PASS","FAIL")</f>
        <v/>
      </c>
      <c r="G2" s="3">
        <f>IF(O2="None","PASS","FAIL")</f>
        <v/>
      </c>
      <c r="H2" s="3">
        <f>IF(T2="","",IF(T2&lt;=0.1,"PASS","FAIL"))</f>
        <v/>
      </c>
      <c r="I2" s="3">
        <f>IF(U2=0,"PASS",IF(U2&lt;=0.05*L2,"PASS","FAIL"))</f>
        <v/>
      </c>
      <c r="J2" s="3" t="n">
        <v>2472809024.16</v>
      </c>
      <c r="K2" s="5" t="n">
        <v>0</v>
      </c>
      <c r="L2" s="3" t="n">
        <v>2454314499.24</v>
      </c>
      <c r="M2" s="3" t="n">
        <v>49745.75</v>
      </c>
      <c r="N2" s="3" t="n">
        <v>0</v>
      </c>
      <c r="O2" t="inlineStr">
        <is>
          <t>None</t>
        </is>
      </c>
      <c r="P2" t="inlineStr">
        <is>
          <t>GOOGLE, KLAC, AMAT, MLI, NVDA, LRCX, ROST, BK, BKR, AXP</t>
        </is>
      </c>
      <c r="Q2" s="5" t="n">
        <v>0.2456017518605123</v>
      </c>
      <c r="R2" s="5" t="n">
        <v>0.7543982481394876</v>
      </c>
      <c r="S2" t="inlineStr">
        <is>
          <t>(None, 0, 2.11%, 0.0000000%), (None, 0, 2.08%, 0.0000000%), (None, 0, 2.04%, 0.0000000%), (None, 0, 2.03%, 0.0000000%), (None, 0, 1.99%, 0.0000000%), (None, 0, 1.97%, 0.0000000%), (None, 0, 1.96%, 0.0000000%), (None, 0, 1.95%, 0.0000000%), (None, 0, 1.91%, 0.0000000%), (None, 0, 1.88%, 0.0000000%), (None, 0, 1.87%, 0.0000000%), (None, 0, 1.86%, 0.0000000%), (None, 0, 1.84%, 0.0000000%), (None, 0, 1.81%, 0.0000000%), (None, 0, 1.80%, 0.0000000%), (None, 0, 1.78%, 0.0000000%), (None, 0, 1.76%, 0.0000000%), (None, 0, 1.71%, 0.0000000%), (None, 0, 1.68%, 0.0000000%), (None, 0, 1.68%, 0.0000000%), (None, 0, 1.64%, 0.0000000%), (None, 0, 1.58%, 0.0000000%), (None, 0, 1.55%, 0.0000000%), (None, 0, 1.52%, 0.0000000%), (None, 0, 1.50%, 0.0000000%), (None, 0, 1.50%, 0.0000000%), (None, 0, 1.46%, 0.0000000%), (None, 0, 1.40%, 0.0000000%), (None, 0, 1.37%, 0.0000000%), (None, 0, 1.33%, 0.0000000%), (None, 0, 1.32%, 0.0000000%), (None, 0, 1.12%, 0.0000000%), (None, 0, 0.98%, 0.0000000%), (None, 0, 0.98%, 0.0000000%), (None, 0, 0.94%, 0.0000000%), (None, 0, 0.94%, 0.0000000%), (None, 0, 0.93%, 0.0000000%), (None, 0, 0.87%, 0.0000000%), (None, 0, 0.83%, 0.0000000%), (None, 0, 0.81%, 0.0000000%), (None, 0, 0.81%, 0.0000000%), (None, 0, 0.72%, 0.0000000%), (None, 0, 0.69%, 0.0000000%), (None, 0, 0.67%, 0.0000000%), (None, 0, 0.61%, 0.0000000%), (None, 0, 0.59%, 0.0000000%), (None, 0, 0.55%, 0.0000000%), (None, 0, 0.54%, 0.0000000%), (None, 0, 0.54%, 0.0000000%), (None, 0, 0.51%, 0.0000000%), (None, 0, 0.49%, 0.0000000%), (None, 0, 0.47%, 0.0000000%), (None, 0, 0.47%, 0.0000000%), (None, 0, 0.47%, 0.0000000%), (None, 0, 0.46%, 0.0000000%), (None, 0, 0.46%, 0.0000000%), (None, 0, 0.46%, 0.0000000%), (None, 0, 0.45%, 0.0000000%), (None, 0, 0.45%, 0.0000000%), (None, 0, 0.42%, 0.0000000%), (None, 0, 0.38%, 0.0000000%), (None, 0, 0.38%, 0.0000000%), (None, 0, 0.37%, 0.0000000%), (None, 0, 0.32%, 0.0000000%)</t>
        </is>
      </c>
      <c r="T2" s="5" t="n">
        <v>0</v>
      </c>
      <c r="U2" s="3" t="n">
        <v>3696850</v>
      </c>
      <c r="V2" s="5" t="n">
        <v>0.001495000205790579</v>
      </c>
      <c r="W2" t="inlineStr"/>
    </row>
    <row r="3">
      <c r="A3" t="inlineStr">
        <is>
          <t>* To be classified as a diversified company under the 1940 Act, at least 75% of the value of the fund's total assets must be invested in:</t>
        </is>
      </c>
      <c r="B3" t="inlineStr"/>
      <c r="C3" t="inlineStr"/>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c r="W3" t="inlineStr"/>
    </row>
    <row r="4">
      <c r="A4" t="inlineStr">
        <is>
          <t>* 1) cash and cash items (including receivables),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row>
    <row r="5">
      <c r="A5" t="inlineStr">
        <is>
          <t>* 2) government securities,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c r="W5" t="inlineStr"/>
    </row>
    <row r="6">
      <c r="A6" t="inlineStr">
        <is>
          <t>* 3) securities of other investment companies, and</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row>
    <row r="7">
      <c r="A7" t="inlineStr">
        <is>
          <t>* 4) other securities</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row>
    <row r="8">
      <c r="A8" t="inlineStr">
        <is>
          <t xml:space="preserve">* </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row>
    <row r="9">
      <c r="A9" t="inlineStr">
        <is>
          <t>* Compliance Conditions: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Condition 40 Act 1: 75% of the fund must be invested in diversified assets.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Condition 40 Act 2a: No single issuer in the 75% can exceed 5% of total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Condition 40 Act 2b: No single issuer in the 75% can exceed 10% of the issuer's voting securities.</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18"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RDVI</t>
        </is>
      </c>
      <c r="C2" t="inlineStr">
        <is>
          <t>FAIL</t>
        </is>
      </c>
      <c r="D2" s="3">
        <f>IF(I2/H2&gt;=0.5,"PASS","FAIL")</f>
        <v/>
      </c>
      <c r="E2" s="3">
        <f>IF(L2&lt;=0.5,"PASS","FAIL")</f>
        <v/>
      </c>
      <c r="F2" t="inlineStr">
        <is>
          <t>FAIL</t>
        </is>
      </c>
      <c r="G2" t="inlineStr">
        <is>
          <t>PASS</t>
        </is>
      </c>
      <c r="H2" s="3" t="n">
        <v>0</v>
      </c>
      <c r="I2" s="3" t="n">
        <v>0</v>
      </c>
      <c r="J2" s="3" t="n">
        <v>0</v>
      </c>
      <c r="K2" s="5" t="n">
        <v>0</v>
      </c>
      <c r="L2" s="5" t="n">
        <v>0</v>
      </c>
      <c r="M2" s="3" t="n">
        <v>0</v>
      </c>
      <c r="N2" t="inlineStr">
        <is>
          <t>None</t>
        </is>
      </c>
      <c r="O2" s="5" t="n">
        <v>0</v>
      </c>
      <c r="P2" t="inlineStr">
        <is>
          <t>None</t>
        </is>
      </c>
      <c r="Q2" t="inlineStr">
        <is>
          <t>N/A (0.00%)</t>
        </is>
      </c>
      <c r="R2" t="inlineStr">
        <is>
          <t>N/A (0.00%)</t>
        </is>
      </c>
    </row>
    <row r="3">
      <c r="A3" t="inlineStr">
        <is>
          <t>* IRS Condition 1: 90% of income must come from qualifying sources.</t>
        </is>
      </c>
      <c r="B3" t="inlineStr"/>
      <c r="C3" t="inlineStr"/>
      <c r="D3" t="inlineStr"/>
      <c r="E3" t="inlineStr"/>
      <c r="F3" t="inlineStr"/>
      <c r="G3" t="inlineStr"/>
      <c r="H3" t="inlineStr"/>
      <c r="I3" t="inlineStr"/>
      <c r="J3" t="inlineStr"/>
      <c r="K3" t="inlineStr"/>
      <c r="L3" t="inlineStr"/>
      <c r="M3" t="inlineStr"/>
      <c r="N3" t="inlineStr"/>
      <c r="O3" t="inlineStr"/>
      <c r="P3" t="inlineStr"/>
      <c r="Q3" t="inlineStr"/>
      <c r="R3" t="inlineStr"/>
    </row>
    <row r="4">
      <c r="A4" t="inlineStr">
        <is>
          <t>* IRS Condition 2a: At least 50% of assets must be allocated to qualifying securities.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 IRS Condition 2a5: for 50% of portfolio, no issuer is more than 5% of fund assets.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 IRS Condition 2a10: for 50% of portfolio, fund doesn't hold more than 10% of any issuer's outstanding float.</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 IRS Condition 2b: No single issuer may constitute more than 25% of assets.</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RDVI</t>
        </is>
      </c>
      <c r="C2" s="3" t="n">
        <v>2472809024.16</v>
      </c>
      <c r="D2" s="3" t="n">
        <v>0</v>
      </c>
      <c r="E2" s="5" t="n">
        <v>0</v>
      </c>
      <c r="F2" s="5" t="n">
        <v>0.9891481997004942</v>
      </c>
      <c r="G2" s="3">
        <f>IF(E2&lt;=0.15,"PASS","FAIL")</f>
        <v/>
      </c>
      <c r="H2" s="3">
        <f>IF(F2&gt;=0.85,"PASS","FAIL")</f>
        <v/>
      </c>
    </row>
    <row r="3">
      <c r="A3" t="inlineStr">
        <is>
          <t>* We search for tags in Bloomberg for any illiquid or restricted securities.</t>
        </is>
      </c>
      <c r="B3" t="inlineStr"/>
      <c r="C3" t="inlineStr"/>
      <c r="D3" t="inlineStr"/>
      <c r="E3" t="inlineStr"/>
      <c r="F3" t="inlineStr"/>
      <c r="G3" t="inlineStr"/>
      <c r="H3" t="inlineStr"/>
    </row>
    <row r="4">
      <c r="A4" t="inlineStr">
        <is>
          <t>* If none, it reports 'None'.</t>
        </is>
      </c>
      <c r="B4" t="inlineStr"/>
      <c r="C4" t="inlineStr"/>
      <c r="D4" t="inlineStr"/>
      <c r="E4" t="inlineStr"/>
      <c r="F4" t="inlineStr"/>
      <c r="G4" t="inlineStr"/>
      <c r="H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RDVI</t>
        </is>
      </c>
      <c r="C2" s="3" t="n">
        <v>0</v>
      </c>
      <c r="D2" s="3" t="n">
        <v>2445974594.451</v>
      </c>
    </row>
    <row r="3">
      <c r="A3" t="inlineStr">
        <is>
          <t>* We search for tags in Bloomberg for any fund holdings categorized as real estate.</t>
        </is>
      </c>
      <c r="B3" t="inlineStr"/>
      <c r="C3" t="inlineStr"/>
      <c r="D3" t="inlineStr"/>
    </row>
    <row r="4">
      <c r="A4" t="inlineStr">
        <is>
          <t>* If none, it reports 'None'.</t>
        </is>
      </c>
      <c r="B4" t="inlineStr"/>
      <c r="C4" t="inlineStr"/>
      <c r="D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RDVI</t>
        </is>
      </c>
      <c r="C2" s="3" t="n">
        <v>0</v>
      </c>
    </row>
    <row r="3">
      <c r="A3" t="inlineStr">
        <is>
          <t>* We search for tags in Bloomberg for any fund holdings categorized as commodities.</t>
        </is>
      </c>
      <c r="B3" t="inlineStr"/>
      <c r="C3" t="inlineStr"/>
    </row>
    <row r="4">
      <c r="A4" t="inlineStr">
        <is>
          <t>* If none, it reports 'None'.</t>
        </is>
      </c>
      <c r="B4" t="inlineStr"/>
      <c r="C4"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RDVI</t>
        </is>
      </c>
      <c r="C2" s="3" t="n">
        <v>2472809024.16</v>
      </c>
      <c r="D2" t="inlineStr">
        <is>
          <t>None</t>
        </is>
      </c>
      <c r="E2" s="5" t="n">
        <v>0</v>
      </c>
      <c r="F2" s="3" t="n">
        <v>0</v>
      </c>
      <c r="G2" s="5">
        <f>IF(E2&lt;=0.03,"PASS","FAIL")</f>
        <v/>
      </c>
      <c r="H2" s="3">
        <f>IF(F2/C2&lt;=0.05,"PASS","FAIL")</f>
        <v/>
      </c>
      <c r="I2" s="3">
        <f>IF(F2/C2&lt;=0.10,"PASS","FAIL")</f>
        <v/>
      </c>
      <c r="J2" s="3">
        <f>IF(AND(G2="PASS",H2="PASS",I2="PASS"),"PASS","FAIL")</f>
        <v/>
      </c>
    </row>
    <row r="3">
      <c r="A3"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3" t="inlineStr"/>
      <c r="C3" t="inlineStr"/>
      <c r="D3" t="inlineStr"/>
      <c r="E3" t="inlineStr"/>
      <c r="F3" t="inlineStr"/>
      <c r="G3" t="inlineStr"/>
      <c r="H3" t="inlineStr"/>
      <c r="I3" t="inlineStr"/>
      <c r="J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RDVI</t>
        </is>
      </c>
      <c r="C2" t="inlineStr">
        <is>
          <t>PASS</t>
        </is>
      </c>
      <c r="D2" s="3" t="n">
        <v>2472809024.16</v>
      </c>
      <c r="E2" t="inlineStr">
        <is>
          <t>AFL (0.00000%), ALL (0.00000%), CB (0.00000%), CINF (0.00000%), EG (0.00000%), HIG (0.00000%), LNC (0.00000%), MET (0.00000%), PGR (0.00000%), TRV (0.00000%), UNM (0.00000%)</t>
        </is>
      </c>
    </row>
    <row r="3">
      <c r="A3" t="inlineStr">
        <is>
          <t>* The Fund may not own more than 10% of the total outstanding voting stock of an insurance company.</t>
        </is>
      </c>
      <c r="B3" t="inlineStr"/>
      <c r="C3" t="inlineStr"/>
      <c r="D3" t="inlineStr"/>
      <c r="E3"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3"/>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36" customWidth="1" min="7" max="7"/>
    <col width="33" customWidth="1" min="8" max="8"/>
    <col width="14" customWidth="1" min="9" max="9"/>
    <col width="17" customWidth="1" min="10" max="10"/>
    <col width="1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RDVI</t>
        </is>
      </c>
      <c r="C2" s="3">
        <f>IF(K2&lt;=0.05,"PASS","FAIL")</f>
        <v/>
      </c>
      <c r="D2" t="inlineStr">
        <is>
          <t>FAIL</t>
        </is>
      </c>
      <c r="E2" s="3">
        <f>IF(L2&lt;=0.05,"PASS","FAIL")</f>
        <v/>
      </c>
      <c r="F2" s="3">
        <f>IF(AND(C2="PASS",D2="PASS",E2="PASS",F2="PASS"),"PASS","FAIL")</f>
        <v/>
      </c>
      <c r="G2" t="inlineStr">
        <is>
          <t>None</t>
        </is>
      </c>
      <c r="H2" t="inlineStr">
        <is>
          <t>None</t>
        </is>
      </c>
      <c r="I2" s="3" t="n">
        <v>0</v>
      </c>
      <c r="J2" s="5" t="n">
        <v>0</v>
      </c>
      <c r="K2" s="5" t="n">
        <v>0</v>
      </c>
    </row>
    <row r="3">
      <c r="A3"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3" t="inlineStr"/>
      <c r="C3" t="inlineStr"/>
      <c r="D3" t="inlineStr"/>
      <c r="E3" t="inlineStr"/>
      <c r="F3" t="inlineStr"/>
      <c r="G3" t="inlineStr"/>
      <c r="H3" t="inlineStr"/>
      <c r="I3" t="inlineStr"/>
      <c r="J3" t="inlineStr"/>
      <c r="K3"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2025-11-23T16:19:46Z</dcterms:created>
  <dcterms:modified xmlns:dcterms="http://purl.org/dc/terms/" xmlns:xsi="http://www.w3.org/2001/XMLSchema-instance" xsi:type="dcterms:W3CDTF">2025-11-23T16:19:46Z</dcterms:modified>
</cp:coreProperties>
</file>