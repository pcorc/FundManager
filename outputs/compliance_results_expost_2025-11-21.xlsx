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CS_Compliance" sheetId="1" state="visible" r:id="rId1"/>
    <sheet xmlns:r="http://schemas.openxmlformats.org/officeDocument/2006/relationships" name="GICS_Calculations" sheetId="2" state="visible" r:id="rId2"/>
    <sheet xmlns:r="http://schemas.openxmlformats.org/officeDocument/2006/relationships" name="Prospectus_80pct" sheetId="3" state="visible" r:id="rId3"/>
    <sheet xmlns:r="http://schemas.openxmlformats.org/officeDocument/2006/relationships" name="40Act_Diversification" sheetId="4" state="visible" r:id="rId4"/>
    <sheet xmlns:r="http://schemas.openxmlformats.org/officeDocument/2006/relationships" name="IRS_Diversification" sheetId="5" state="visible" r:id="rId5"/>
    <sheet xmlns:r="http://schemas.openxmlformats.org/officeDocument/2006/relationships" name="Illiquid" sheetId="6" state="visible" r:id="rId6"/>
    <sheet xmlns:r="http://schemas.openxmlformats.org/officeDocument/2006/relationships" name="Real_Estate" sheetId="7" state="visible" r:id="rId7"/>
    <sheet xmlns:r="http://schemas.openxmlformats.org/officeDocument/2006/relationships" name="Commodities" sheetId="8" state="visible" r:id="rId8"/>
    <sheet xmlns:r="http://schemas.openxmlformats.org/officeDocument/2006/relationships" name="12d1_Other_Investment_Companies" sheetId="9" state="visible" r:id="rId9"/>
    <sheet xmlns:r="http://schemas.openxmlformats.org/officeDocument/2006/relationships" name="12d2_Insurance_Companies" sheetId="10" state="visible" r:id="rId10"/>
    <sheet xmlns:r="http://schemas.openxmlformats.org/officeDocument/2006/relationships" name="12d3_Securities_Business" sheetId="11" state="visible" r:id="rId11"/>
  </sheets>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000%"/>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4" fontId="0" fillId="0" borderId="0" pivotButton="0" quotePrefix="0" xfId="0"/>
    <xf numFmtId="10"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cols>
    <col width="50" customWidth="1" min="1" max="1"/>
    <col width="8" customWidth="1" min="2" max="2"/>
    <col width="25" customWidth="1" min="3" max="3"/>
    <col width="22" customWidth="1" min="4" max="4"/>
    <col width="28" customWidth="1" min="5" max="5"/>
    <col width="29" customWidth="1" min="6" max="6"/>
    <col width="35" customWidth="1" min="7" max="7"/>
    <col width="36" customWidth="1" min="8" max="8"/>
    <col width="27" customWidth="1" min="9" max="9"/>
  </cols>
  <sheetData>
    <row r="1">
      <c r="A1" s="1" t="inlineStr">
        <is>
          <t>Date</t>
        </is>
      </c>
      <c r="B1" s="1" t="inlineStr">
        <is>
          <t>Fund</t>
        </is>
      </c>
      <c r="C1" s="1" t="inlineStr">
        <is>
          <t>Overall GICS Compliance</t>
        </is>
      </c>
      <c r="D1" s="1" t="inlineStr">
        <is>
          <t>Industry Exceeds 25%</t>
        </is>
      </c>
      <c r="E1" s="1" t="inlineStr">
        <is>
          <t>Industry Group Exceeds 25%</t>
        </is>
      </c>
      <c r="F1" s="1" t="inlineStr">
        <is>
          <t>Index Industry Exceeds 25%?</t>
        </is>
      </c>
      <c r="G1" s="1" t="inlineStr">
        <is>
          <t>Index Industry Group Exceeds 25%?</t>
        </is>
      </c>
      <c r="H1" s="1" t="inlineStr">
        <is>
          <t>Can Fund exceed 25% if Index does?</t>
        </is>
      </c>
      <c r="I1" s="1" t="inlineStr">
        <is>
          <t>Exceptions to Conc Policy</t>
        </is>
      </c>
    </row>
    <row r="2">
      <c r="A2" s="2" t="n">
        <v>45982</v>
      </c>
      <c r="B2" t="inlineStr">
        <is>
          <t>HE3B2</t>
        </is>
      </c>
      <c r="C2" t="inlineStr">
        <is>
          <t>PASS</t>
        </is>
      </c>
      <c r="D2" t="b">
        <v>0</v>
      </c>
      <c r="E2" t="b">
        <v>0</v>
      </c>
      <c r="F2" t="b">
        <v>0</v>
      </c>
      <c r="G2" t="b">
        <v>0</v>
      </c>
      <c r="H2" t="inlineStr">
        <is>
          <t>No</t>
        </is>
      </c>
      <c r="I2" t="inlineStr"/>
    </row>
    <row r="3">
      <c r="A3" s="2" t="n">
        <v>45982</v>
      </c>
      <c r="B3" t="inlineStr">
        <is>
          <t>R21126</t>
        </is>
      </c>
      <c r="C3" t="inlineStr">
        <is>
          <t>PASS</t>
        </is>
      </c>
      <c r="D3" t="b">
        <v>0</v>
      </c>
      <c r="E3" t="b">
        <v>0</v>
      </c>
      <c r="F3" t="b">
        <v>0</v>
      </c>
      <c r="G3" t="b">
        <v>0</v>
      </c>
      <c r="H3" t="inlineStr">
        <is>
          <t>No</t>
        </is>
      </c>
      <c r="I3" t="inlineStr"/>
    </row>
    <row r="4">
      <c r="A4" t="inlineStr">
        <is>
          <t>* Certain funds may not have more than 25% of total assets in any industry or group of industries. However, other funds may have more than 25% of total assets in an industry or group of industries if (1) the fund’s Underlying ETF invests more than 25% of its assets in that industry or group of industries or (2) the fund is specifically permitted to concentrate in a specified industry or group of industries in its fundamental investment policy (such as information technology). Therefore, some funds have additional info listed about their underlying ETF (represented by an index) or have a note that they can concentrate in a certain industry or group of industries.</t>
        </is>
      </c>
      <c r="B4" t="inlineStr"/>
      <c r="C4" t="inlineStr"/>
      <c r="D4" t="inlineStr"/>
      <c r="E4" t="inlineStr"/>
      <c r="F4" t="inlineStr"/>
      <c r="G4" t="inlineStr"/>
      <c r="H4" t="inlineStr"/>
      <c r="I4"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7"/>
  <sheetViews>
    <sheetView workbookViewId="0">
      <selection activeCell="A1" sqref="A1"/>
    </sheetView>
  </sheetViews>
  <sheetFormatPr baseColWidth="8" defaultRowHeight="15"/>
  <cols>
    <col width="12" customWidth="1" min="1" max="1"/>
    <col width="8" customWidth="1" min="2" max="2"/>
    <col width="26" customWidth="1" min="3" max="3"/>
    <col width="48" customWidth="1" min="4" max="4"/>
    <col width="24" customWidth="1" min="5" max="5"/>
    <col width="21" customWidth="1" min="6" max="6"/>
    <col width="22" customWidth="1" min="7" max="7"/>
    <col width="13" customWidth="1" min="8" max="8"/>
    <col width="14" customWidth="1" min="9" max="9"/>
  </cols>
  <sheetData>
    <row r="1">
      <c r="A1" s="1" t="inlineStr">
        <is>
          <t>Date</t>
        </is>
      </c>
      <c r="B1" s="1" t="inlineStr">
        <is>
          <t>Fund</t>
        </is>
      </c>
      <c r="C1" s="1" t="inlineStr">
        <is>
          <t>GICS_Class</t>
        </is>
      </c>
      <c r="D1" s="1" t="inlineStr">
        <is>
          <t>GICS_Class Value</t>
        </is>
      </c>
      <c r="E1" s="1" t="inlineStr">
        <is>
          <t>GICS_SECTOR_NAME</t>
        </is>
      </c>
      <c r="F1" s="1" t="inlineStr">
        <is>
          <t>Exceeding_Fund_25%?</t>
        </is>
      </c>
      <c r="G1" s="1" t="inlineStr">
        <is>
          <t>Exceeding_Index_25%?</t>
        </is>
      </c>
      <c r="H1" s="1" t="inlineStr">
        <is>
          <t>Fund_Weight</t>
        </is>
      </c>
      <c r="I1" s="1" t="inlineStr">
        <is>
          <t>Index_Weight</t>
        </is>
      </c>
    </row>
    <row r="2">
      <c r="A2" s="2" t="n">
        <v>45982</v>
      </c>
      <c r="B2" t="inlineStr">
        <is>
          <t>HE3B2</t>
        </is>
      </c>
      <c r="C2" t="inlineStr">
        <is>
          <t>GICS_INDUSTRY_GROUP_NAME</t>
        </is>
      </c>
      <c r="D2" t="inlineStr">
        <is>
          <t>Semiconductors &amp; Semiconductor Equipment</t>
        </is>
      </c>
      <c r="E2" t="inlineStr">
        <is>
          <t>Information Technology</t>
        </is>
      </c>
      <c r="F2" t="inlineStr"/>
      <c r="G2" t="inlineStr"/>
      <c r="H2" t="inlineStr">
        <is>
          <t>14.93%</t>
        </is>
      </c>
      <c r="I2" t="inlineStr">
        <is>
          <t>0.00%</t>
        </is>
      </c>
    </row>
    <row r="3">
      <c r="A3" s="2" t="n">
        <v>45982</v>
      </c>
      <c r="B3" t="inlineStr">
        <is>
          <t>HE3B2</t>
        </is>
      </c>
      <c r="C3" t="inlineStr">
        <is>
          <t>GICS_INDUSTRY_NAME</t>
        </is>
      </c>
      <c r="D3" t="inlineStr">
        <is>
          <t>Semiconductors &amp; Semiconductor Equipment</t>
        </is>
      </c>
      <c r="E3" t="inlineStr">
        <is>
          <t>Information Technology</t>
        </is>
      </c>
      <c r="F3" t="inlineStr"/>
      <c r="G3" t="inlineStr"/>
      <c r="H3" t="inlineStr">
        <is>
          <t>14.93%</t>
        </is>
      </c>
      <c r="I3" t="inlineStr">
        <is>
          <t>0.00%</t>
        </is>
      </c>
    </row>
    <row r="4">
      <c r="A4" s="2" t="n">
        <v>45982</v>
      </c>
      <c r="B4" t="inlineStr">
        <is>
          <t>HE3B2</t>
        </is>
      </c>
      <c r="C4" t="inlineStr">
        <is>
          <t>GICS_INDUSTRY_GROUP_NAME</t>
        </is>
      </c>
      <c r="D4" t="inlineStr">
        <is>
          <t>Technology Hardware &amp; Equipment</t>
        </is>
      </c>
      <c r="E4" t="inlineStr">
        <is>
          <t>Information Technology</t>
        </is>
      </c>
      <c r="F4" t="inlineStr"/>
      <c r="G4" t="inlineStr"/>
      <c r="H4" t="inlineStr">
        <is>
          <t>9.80%</t>
        </is>
      </c>
      <c r="I4" t="inlineStr">
        <is>
          <t>0.00%</t>
        </is>
      </c>
    </row>
    <row r="5">
      <c r="A5" s="2" t="n">
        <v>45982</v>
      </c>
      <c r="B5" t="inlineStr">
        <is>
          <t>HE3B2</t>
        </is>
      </c>
      <c r="C5" t="inlineStr">
        <is>
          <t>GICS_INDUSTRY_GROUP_NAME</t>
        </is>
      </c>
      <c r="D5" t="inlineStr">
        <is>
          <t>Software &amp; Services</t>
        </is>
      </c>
      <c r="E5" t="inlineStr">
        <is>
          <t>Information Technology</t>
        </is>
      </c>
      <c r="F5" t="inlineStr"/>
      <c r="G5" t="inlineStr"/>
      <c r="H5" t="inlineStr">
        <is>
          <t>9.74%</t>
        </is>
      </c>
      <c r="I5" t="inlineStr">
        <is>
          <t>0.00%</t>
        </is>
      </c>
    </row>
    <row r="6">
      <c r="A6" s="2" t="n">
        <v>45982</v>
      </c>
      <c r="B6" t="inlineStr">
        <is>
          <t>HE3B2</t>
        </is>
      </c>
      <c r="C6" t="inlineStr">
        <is>
          <t>GICS_INDUSTRY_GROUP_NAME</t>
        </is>
      </c>
      <c r="D6" t="inlineStr">
        <is>
          <t>Media &amp; Entertainment</t>
        </is>
      </c>
      <c r="E6" t="inlineStr">
        <is>
          <t>Communication Services</t>
        </is>
      </c>
      <c r="F6" t="inlineStr"/>
      <c r="G6" t="inlineStr"/>
      <c r="H6" t="inlineStr">
        <is>
          <t>9.70%</t>
        </is>
      </c>
      <c r="I6" t="inlineStr">
        <is>
          <t>0.00%</t>
        </is>
      </c>
    </row>
    <row r="7">
      <c r="A7" s="2" t="n">
        <v>45982</v>
      </c>
      <c r="B7" t="inlineStr">
        <is>
          <t>HE3B2</t>
        </is>
      </c>
      <c r="C7" t="inlineStr">
        <is>
          <t>GICS_INDUSTRY_NAME</t>
        </is>
      </c>
      <c r="D7" t="inlineStr">
        <is>
          <t>Software</t>
        </is>
      </c>
      <c r="E7" t="inlineStr">
        <is>
          <t>Information Technology</t>
        </is>
      </c>
      <c r="F7" t="inlineStr"/>
      <c r="G7" t="inlineStr"/>
      <c r="H7" t="inlineStr">
        <is>
          <t>8.53%</t>
        </is>
      </c>
      <c r="I7" t="inlineStr">
        <is>
          <t>0.00%</t>
        </is>
      </c>
    </row>
    <row r="8">
      <c r="A8" s="2" t="n">
        <v>45982</v>
      </c>
      <c r="B8" t="inlineStr">
        <is>
          <t>HE3B2</t>
        </is>
      </c>
      <c r="C8" t="inlineStr">
        <is>
          <t>GICS_INDUSTRY_NAME</t>
        </is>
      </c>
      <c r="D8" t="inlineStr">
        <is>
          <t>Interactive Media &amp; Services</t>
        </is>
      </c>
      <c r="E8" t="inlineStr">
        <is>
          <t>Communication Services</t>
        </is>
      </c>
      <c r="F8" t="inlineStr"/>
      <c r="G8" t="inlineStr"/>
      <c r="H8" t="inlineStr">
        <is>
          <t>8.32%</t>
        </is>
      </c>
      <c r="I8" t="inlineStr">
        <is>
          <t>0.00%</t>
        </is>
      </c>
    </row>
    <row r="9">
      <c r="A9" s="2" t="n">
        <v>45982</v>
      </c>
      <c r="B9" t="inlineStr">
        <is>
          <t>HE3B2</t>
        </is>
      </c>
      <c r="C9" t="inlineStr">
        <is>
          <t>GICS_INDUSTRY_NAME</t>
        </is>
      </c>
      <c r="D9" t="inlineStr">
        <is>
          <t>Technology Hardware, Storage &amp; Peripherals</t>
        </is>
      </c>
      <c r="E9" t="inlineStr">
        <is>
          <t>Information Technology</t>
        </is>
      </c>
      <c r="F9" t="inlineStr"/>
      <c r="G9" t="inlineStr"/>
      <c r="H9" t="inlineStr">
        <is>
          <t>7.62%</t>
        </is>
      </c>
      <c r="I9" t="inlineStr">
        <is>
          <t>0.00%</t>
        </is>
      </c>
    </row>
    <row r="10">
      <c r="A10" s="2" t="n">
        <v>45982</v>
      </c>
      <c r="B10" t="inlineStr">
        <is>
          <t>HE3B2</t>
        </is>
      </c>
      <c r="C10" t="inlineStr">
        <is>
          <t>GICS_INDUSTRY_GROUP_NAME</t>
        </is>
      </c>
      <c r="D10" t="inlineStr">
        <is>
          <t>Financial Services</t>
        </is>
      </c>
      <c r="E10" t="inlineStr">
        <is>
          <t>Financials</t>
        </is>
      </c>
      <c r="F10" t="inlineStr"/>
      <c r="G10" t="inlineStr"/>
      <c r="H10" t="inlineStr">
        <is>
          <t>6.64%</t>
        </is>
      </c>
      <c r="I10" t="inlineStr">
        <is>
          <t>0.00%</t>
        </is>
      </c>
    </row>
    <row r="11">
      <c r="A11" s="2" t="n">
        <v>45982</v>
      </c>
      <c r="B11" t="inlineStr">
        <is>
          <t>HE3B2</t>
        </is>
      </c>
      <c r="C11" t="inlineStr">
        <is>
          <t>GICS_INDUSTRY_GROUP_NAME</t>
        </is>
      </c>
      <c r="D11" t="inlineStr">
        <is>
          <t>Capital Goods</t>
        </is>
      </c>
      <c r="E11" t="inlineStr">
        <is>
          <t>Industrials</t>
        </is>
      </c>
      <c r="F11" t="inlineStr"/>
      <c r="G11" t="inlineStr"/>
      <c r="H11" t="inlineStr">
        <is>
          <t>6.16%</t>
        </is>
      </c>
      <c r="I11" t="inlineStr">
        <is>
          <t>0.00%</t>
        </is>
      </c>
    </row>
    <row r="12">
      <c r="A12" s="2" t="n">
        <v>45982</v>
      </c>
      <c r="B12" t="inlineStr">
        <is>
          <t>HE3B2</t>
        </is>
      </c>
      <c r="C12" t="inlineStr">
        <is>
          <t>GICS_INDUSTRY_GROUP_NAME</t>
        </is>
      </c>
      <c r="D12" t="inlineStr">
        <is>
          <t>Pharmaceuticals, Biotechnology &amp; Life Sciences</t>
        </is>
      </c>
      <c r="E12" t="inlineStr">
        <is>
          <t>Health Care</t>
        </is>
      </c>
      <c r="F12" t="inlineStr"/>
      <c r="G12" t="inlineStr"/>
      <c r="H12" t="inlineStr">
        <is>
          <t>5.57%</t>
        </is>
      </c>
      <c r="I12" t="inlineStr">
        <is>
          <t>0.00%</t>
        </is>
      </c>
    </row>
    <row r="13">
      <c r="A13" s="2" t="n">
        <v>45982</v>
      </c>
      <c r="B13" t="inlineStr">
        <is>
          <t>HE3B2</t>
        </is>
      </c>
      <c r="C13" t="inlineStr">
        <is>
          <t>GICS_INDUSTRY_GROUP_NAME</t>
        </is>
      </c>
      <c r="D13" t="inlineStr">
        <is>
          <t>Consumer Discretionary Distribution &amp; Retail</t>
        </is>
      </c>
      <c r="E13" t="inlineStr">
        <is>
          <t>Consumer Discretionary</t>
        </is>
      </c>
      <c r="F13" t="inlineStr"/>
      <c r="G13" t="inlineStr"/>
      <c r="H13" t="inlineStr">
        <is>
          <t>5.33%</t>
        </is>
      </c>
      <c r="I13" t="inlineStr">
        <is>
          <t>0.00%</t>
        </is>
      </c>
    </row>
    <row r="14">
      <c r="A14" s="2" t="n">
        <v>45982</v>
      </c>
      <c r="B14" t="inlineStr">
        <is>
          <t>HE3B2</t>
        </is>
      </c>
      <c r="C14" t="inlineStr">
        <is>
          <t>GICS_INDUSTRY_GROUP_NAME</t>
        </is>
      </c>
      <c r="D14" t="inlineStr">
        <is>
          <t>Banks</t>
        </is>
      </c>
      <c r="E14" t="inlineStr">
        <is>
          <t>Financials</t>
        </is>
      </c>
      <c r="F14" t="inlineStr"/>
      <c r="G14" t="inlineStr"/>
      <c r="H14" t="inlineStr">
        <is>
          <t>4.47%</t>
        </is>
      </c>
      <c r="I14" t="inlineStr">
        <is>
          <t>0.00%</t>
        </is>
      </c>
    </row>
    <row r="15">
      <c r="A15" s="2" t="n">
        <v>45982</v>
      </c>
      <c r="B15" t="inlineStr">
        <is>
          <t>HE3B2</t>
        </is>
      </c>
      <c r="C15" t="inlineStr">
        <is>
          <t>GICS_INDUSTRY_NAME</t>
        </is>
      </c>
      <c r="D15" t="inlineStr">
        <is>
          <t>Banks</t>
        </is>
      </c>
      <c r="E15" t="inlineStr">
        <is>
          <t>Financials</t>
        </is>
      </c>
      <c r="F15" t="inlineStr"/>
      <c r="G15" t="inlineStr"/>
      <c r="H15" t="inlineStr">
        <is>
          <t>4.47%</t>
        </is>
      </c>
      <c r="I15" t="inlineStr">
        <is>
          <t>0.00%</t>
        </is>
      </c>
    </row>
    <row r="16">
      <c r="A16" s="2" t="n">
        <v>45982</v>
      </c>
      <c r="B16" t="inlineStr">
        <is>
          <t>HE3B2</t>
        </is>
      </c>
      <c r="C16" t="inlineStr">
        <is>
          <t>GICS_INDUSTRY_GROUP_NAME</t>
        </is>
      </c>
      <c r="D16" t="inlineStr">
        <is>
          <t>Health Care Equipment &amp; Services</t>
        </is>
      </c>
      <c r="E16" t="inlineStr">
        <is>
          <t>Health Care</t>
        </is>
      </c>
      <c r="F16" t="inlineStr"/>
      <c r="G16" t="inlineStr"/>
      <c r="H16" t="inlineStr">
        <is>
          <t>4.28%</t>
        </is>
      </c>
      <c r="I16" t="inlineStr">
        <is>
          <t>0.00%</t>
        </is>
      </c>
    </row>
    <row r="17">
      <c r="A17" s="2" t="n">
        <v>45982</v>
      </c>
      <c r="B17" t="inlineStr">
        <is>
          <t>HE3B2</t>
        </is>
      </c>
      <c r="C17" t="inlineStr">
        <is>
          <t>GICS_INDUSTRY_NAME</t>
        </is>
      </c>
      <c r="D17" t="inlineStr">
        <is>
          <t>Broadline Retail</t>
        </is>
      </c>
      <c r="E17" t="inlineStr">
        <is>
          <t>Consumer Discretionary</t>
        </is>
      </c>
      <c r="F17" t="inlineStr"/>
      <c r="G17" t="inlineStr"/>
      <c r="H17" t="inlineStr">
        <is>
          <t>4.06%</t>
        </is>
      </c>
      <c r="I17" t="inlineStr">
        <is>
          <t>0.00%</t>
        </is>
      </c>
    </row>
    <row r="18">
      <c r="A18" s="2" t="n">
        <v>45982</v>
      </c>
      <c r="B18" t="inlineStr">
        <is>
          <t>HE3B2</t>
        </is>
      </c>
      <c r="C18" t="inlineStr">
        <is>
          <t>GICS_INDUSTRY_NAME</t>
        </is>
      </c>
      <c r="D18" t="inlineStr">
        <is>
          <t>Financial Services</t>
        </is>
      </c>
      <c r="E18" t="inlineStr">
        <is>
          <t>Financials</t>
        </is>
      </c>
      <c r="F18" t="inlineStr"/>
      <c r="G18" t="inlineStr"/>
      <c r="H18" t="inlineStr">
        <is>
          <t>3.34%</t>
        </is>
      </c>
      <c r="I18" t="inlineStr">
        <is>
          <t>0.00%</t>
        </is>
      </c>
    </row>
    <row r="19">
      <c r="A19" s="2" t="n">
        <v>45982</v>
      </c>
      <c r="B19" t="inlineStr">
        <is>
          <t>HE3B2</t>
        </is>
      </c>
      <c r="C19" t="inlineStr">
        <is>
          <t>GICS_INDUSTRY_NAME</t>
        </is>
      </c>
      <c r="D19" t="inlineStr">
        <is>
          <t>Aerospace &amp; Defense</t>
        </is>
      </c>
      <c r="E19" t="inlineStr">
        <is>
          <t>Industrials</t>
        </is>
      </c>
      <c r="F19" t="inlineStr"/>
      <c r="G19" t="inlineStr"/>
      <c r="H19" t="inlineStr">
        <is>
          <t>3.01%</t>
        </is>
      </c>
      <c r="I19" t="inlineStr">
        <is>
          <t>0.00%</t>
        </is>
      </c>
    </row>
    <row r="20">
      <c r="A20" s="2" t="n">
        <v>45982</v>
      </c>
      <c r="B20" t="inlineStr">
        <is>
          <t>HE3B2</t>
        </is>
      </c>
      <c r="C20" t="inlineStr">
        <is>
          <t>GICS_INDUSTRY_GROUP_NAME</t>
        </is>
      </c>
      <c r="D20" t="inlineStr">
        <is>
          <t>Energy</t>
        </is>
      </c>
      <c r="E20" t="inlineStr">
        <is>
          <t>Energy</t>
        </is>
      </c>
      <c r="F20" t="inlineStr"/>
      <c r="G20" t="inlineStr"/>
      <c r="H20" t="inlineStr">
        <is>
          <t>2.88%</t>
        </is>
      </c>
      <c r="I20" t="inlineStr">
        <is>
          <t>0.00%</t>
        </is>
      </c>
    </row>
    <row r="21">
      <c r="A21" s="2" t="n">
        <v>45982</v>
      </c>
      <c r="B21" t="inlineStr">
        <is>
          <t>HE3B2</t>
        </is>
      </c>
      <c r="C21" t="inlineStr">
        <is>
          <t>GICS_INDUSTRY_NAME</t>
        </is>
      </c>
      <c r="D21" t="inlineStr">
        <is>
          <t>Oil, Gas &amp; Consumable Fuels</t>
        </is>
      </c>
      <c r="E21" t="inlineStr">
        <is>
          <t>Energy</t>
        </is>
      </c>
      <c r="F21" t="inlineStr"/>
      <c r="G21" t="inlineStr"/>
      <c r="H21" t="inlineStr">
        <is>
          <t>2.88%</t>
        </is>
      </c>
      <c r="I21" t="inlineStr">
        <is>
          <t>0.00%</t>
        </is>
      </c>
    </row>
    <row r="22">
      <c r="A22" s="2" t="n">
        <v>45982</v>
      </c>
      <c r="B22" t="inlineStr">
        <is>
          <t>HE3B2</t>
        </is>
      </c>
      <c r="C22" t="inlineStr">
        <is>
          <t>GICS_INDUSTRY_NAME</t>
        </is>
      </c>
      <c r="D22" t="inlineStr">
        <is>
          <t>Capital Markets</t>
        </is>
      </c>
      <c r="E22" t="inlineStr">
        <is>
          <t>Financials</t>
        </is>
      </c>
      <c r="F22" t="inlineStr"/>
      <c r="G22" t="inlineStr"/>
      <c r="H22" t="inlineStr">
        <is>
          <t>2.68%</t>
        </is>
      </c>
      <c r="I22" t="inlineStr">
        <is>
          <t>0.00%</t>
        </is>
      </c>
    </row>
    <row r="23">
      <c r="A23" s="2" t="n">
        <v>45982</v>
      </c>
      <c r="B23" t="inlineStr">
        <is>
          <t>HE3B2</t>
        </is>
      </c>
      <c r="C23" t="inlineStr">
        <is>
          <t>GICS_INDUSTRY_NAME</t>
        </is>
      </c>
      <c r="D23" t="inlineStr">
        <is>
          <t>Pharmaceuticals</t>
        </is>
      </c>
      <c r="E23" t="inlineStr">
        <is>
          <t>Health Care</t>
        </is>
      </c>
      <c r="F23" t="inlineStr"/>
      <c r="G23" t="inlineStr"/>
      <c r="H23" t="inlineStr">
        <is>
          <t>2.59%</t>
        </is>
      </c>
      <c r="I23" t="inlineStr">
        <is>
          <t>0.00%</t>
        </is>
      </c>
    </row>
    <row r="24">
      <c r="A24" s="2" t="n">
        <v>45982</v>
      </c>
      <c r="B24" t="inlineStr">
        <is>
          <t>HE3B2</t>
        </is>
      </c>
      <c r="C24" t="inlineStr">
        <is>
          <t>GICS_INDUSTRY_NAME</t>
        </is>
      </c>
      <c r="D24" t="inlineStr">
        <is>
          <t>Health Care Equipment &amp; Supplies</t>
        </is>
      </c>
      <c r="E24" t="inlineStr">
        <is>
          <t>Health Care</t>
        </is>
      </c>
      <c r="F24" t="inlineStr"/>
      <c r="G24" t="inlineStr"/>
      <c r="H24" t="inlineStr">
        <is>
          <t>2.32%</t>
        </is>
      </c>
      <c r="I24" t="inlineStr">
        <is>
          <t>0.00%</t>
        </is>
      </c>
    </row>
    <row r="25">
      <c r="A25" s="2" t="n">
        <v>45982</v>
      </c>
      <c r="B25" t="inlineStr">
        <is>
          <t>HE3B2</t>
        </is>
      </c>
      <c r="C25" t="inlineStr">
        <is>
          <t>GICS_INDUSTRY_GROUP_NAME</t>
        </is>
      </c>
      <c r="D25" t="inlineStr">
        <is>
          <t>Insurance</t>
        </is>
      </c>
      <c r="E25" t="inlineStr">
        <is>
          <t>Financials</t>
        </is>
      </c>
      <c r="F25" t="inlineStr"/>
      <c r="G25" t="inlineStr"/>
      <c r="H25" t="inlineStr">
        <is>
          <t>2.31%</t>
        </is>
      </c>
      <c r="I25" t="inlineStr">
        <is>
          <t>0.00%</t>
        </is>
      </c>
    </row>
    <row r="26">
      <c r="A26" s="2" t="n">
        <v>45982</v>
      </c>
      <c r="B26" t="inlineStr">
        <is>
          <t>HE3B2</t>
        </is>
      </c>
      <c r="C26" t="inlineStr">
        <is>
          <t>GICS_INDUSTRY_NAME</t>
        </is>
      </c>
      <c r="D26" t="inlineStr">
        <is>
          <t>Insurance</t>
        </is>
      </c>
      <c r="E26" t="inlineStr">
        <is>
          <t>Financials</t>
        </is>
      </c>
      <c r="F26" t="inlineStr"/>
      <c r="G26" t="inlineStr"/>
      <c r="H26" t="inlineStr">
        <is>
          <t>2.31%</t>
        </is>
      </c>
      <c r="I26" t="inlineStr">
        <is>
          <t>0.00%</t>
        </is>
      </c>
    </row>
    <row r="27">
      <c r="A27" s="2" t="n">
        <v>45982</v>
      </c>
      <c r="B27" t="inlineStr">
        <is>
          <t>HE3B2</t>
        </is>
      </c>
      <c r="C27" t="inlineStr">
        <is>
          <t>GICS_INDUSTRY_GROUP_NAME</t>
        </is>
      </c>
      <c r="D27" t="inlineStr">
        <is>
          <t>Utilities</t>
        </is>
      </c>
      <c r="E27" t="inlineStr">
        <is>
          <t>Utilities</t>
        </is>
      </c>
      <c r="F27" t="inlineStr"/>
      <c r="G27" t="inlineStr"/>
      <c r="H27" t="inlineStr">
        <is>
          <t>2.30%</t>
        </is>
      </c>
      <c r="I27" t="inlineStr">
        <is>
          <t>0.00%</t>
        </is>
      </c>
    </row>
    <row r="28">
      <c r="A28" s="2" t="n">
        <v>45982</v>
      </c>
      <c r="B28" t="inlineStr">
        <is>
          <t>HE3B2</t>
        </is>
      </c>
      <c r="C28" t="inlineStr">
        <is>
          <t>GICS_INDUSTRY_NAME</t>
        </is>
      </c>
      <c r="D28" t="inlineStr">
        <is>
          <t>Electric Utilities</t>
        </is>
      </c>
      <c r="E28" t="inlineStr">
        <is>
          <t>Utilities</t>
        </is>
      </c>
      <c r="F28" t="inlineStr"/>
      <c r="G28" t="inlineStr"/>
      <c r="H28" t="inlineStr">
        <is>
          <t>2.30%</t>
        </is>
      </c>
      <c r="I28" t="inlineStr">
        <is>
          <t>0.00%</t>
        </is>
      </c>
    </row>
    <row r="29">
      <c r="A29" s="2" t="n">
        <v>45982</v>
      </c>
      <c r="B29" t="inlineStr">
        <is>
          <t>HE3B2</t>
        </is>
      </c>
      <c r="C29" t="inlineStr">
        <is>
          <t>GICS_INDUSTRY_GROUP_NAME</t>
        </is>
      </c>
      <c r="D29" t="inlineStr">
        <is>
          <t>Food, Beverage &amp; Tobacco</t>
        </is>
      </c>
      <c r="E29" t="inlineStr">
        <is>
          <t>Consumer Staples</t>
        </is>
      </c>
      <c r="F29" t="inlineStr"/>
      <c r="G29" t="inlineStr"/>
      <c r="H29" t="inlineStr">
        <is>
          <t>2.29%</t>
        </is>
      </c>
      <c r="I29" t="inlineStr">
        <is>
          <t>0.00%</t>
        </is>
      </c>
    </row>
    <row r="30">
      <c r="A30" s="2" t="n">
        <v>45982</v>
      </c>
      <c r="B30" t="inlineStr">
        <is>
          <t>HE3B2</t>
        </is>
      </c>
      <c r="C30" t="inlineStr">
        <is>
          <t>GICS_INDUSTRY_NAME</t>
        </is>
      </c>
      <c r="D30" t="inlineStr">
        <is>
          <t>Communications Equipment</t>
        </is>
      </c>
      <c r="E30" t="inlineStr">
        <is>
          <t>Information Technology</t>
        </is>
      </c>
      <c r="F30" t="inlineStr"/>
      <c r="G30" t="inlineStr"/>
      <c r="H30" t="inlineStr">
        <is>
          <t>2.19%</t>
        </is>
      </c>
      <c r="I30" t="inlineStr">
        <is>
          <t>0.00%</t>
        </is>
      </c>
    </row>
    <row r="31">
      <c r="A31" s="2" t="n">
        <v>45982</v>
      </c>
      <c r="B31" t="inlineStr">
        <is>
          <t>HE3B2</t>
        </is>
      </c>
      <c r="C31" t="inlineStr">
        <is>
          <t>GICS_INDUSTRY_GROUP_NAME</t>
        </is>
      </c>
      <c r="D31" t="inlineStr">
        <is>
          <t>Automobiles &amp; Components</t>
        </is>
      </c>
      <c r="E31" t="inlineStr">
        <is>
          <t>Consumer Discretionary</t>
        </is>
      </c>
      <c r="F31" t="inlineStr"/>
      <c r="G31" t="inlineStr"/>
      <c r="H31" t="inlineStr">
        <is>
          <t>2.15%</t>
        </is>
      </c>
      <c r="I31" t="inlineStr">
        <is>
          <t>0.00%</t>
        </is>
      </c>
    </row>
    <row r="32">
      <c r="A32" s="2" t="n">
        <v>45982</v>
      </c>
      <c r="B32" t="inlineStr">
        <is>
          <t>HE3B2</t>
        </is>
      </c>
      <c r="C32" t="inlineStr">
        <is>
          <t>GICS_INDUSTRY_NAME</t>
        </is>
      </c>
      <c r="D32" t="inlineStr">
        <is>
          <t>Automobiles</t>
        </is>
      </c>
      <c r="E32" t="inlineStr">
        <is>
          <t>Consumer Discretionary</t>
        </is>
      </c>
      <c r="F32" t="inlineStr"/>
      <c r="G32" t="inlineStr"/>
      <c r="H32" t="inlineStr">
        <is>
          <t>2.15%</t>
        </is>
      </c>
      <c r="I32" t="inlineStr">
        <is>
          <t>0.00%</t>
        </is>
      </c>
    </row>
    <row r="33">
      <c r="A33" s="2" t="n">
        <v>45982</v>
      </c>
      <c r="B33" t="inlineStr">
        <is>
          <t>HE3B2</t>
        </is>
      </c>
      <c r="C33" t="inlineStr">
        <is>
          <t>GICS_INDUSTRY_NAME</t>
        </is>
      </c>
      <c r="D33" t="inlineStr">
        <is>
          <t>Biotechnology</t>
        </is>
      </c>
      <c r="E33" t="inlineStr">
        <is>
          <t>Health Care</t>
        </is>
      </c>
      <c r="F33" t="inlineStr"/>
      <c r="G33" t="inlineStr"/>
      <c r="H33" t="inlineStr">
        <is>
          <t>2.01%</t>
        </is>
      </c>
      <c r="I33" t="inlineStr">
        <is>
          <t>0.00%</t>
        </is>
      </c>
    </row>
    <row r="34">
      <c r="A34" s="2" t="n">
        <v>45982</v>
      </c>
      <c r="B34" t="inlineStr">
        <is>
          <t>HE3B2</t>
        </is>
      </c>
      <c r="C34" t="inlineStr">
        <is>
          <t>GICS_INDUSTRY_NAME</t>
        </is>
      </c>
      <c r="D34" t="inlineStr">
        <is>
          <t>Health Care Providers &amp; Services</t>
        </is>
      </c>
      <c r="E34" t="inlineStr">
        <is>
          <t>Health Care</t>
        </is>
      </c>
      <c r="F34" t="inlineStr"/>
      <c r="G34" t="inlineStr"/>
      <c r="H34" t="inlineStr">
        <is>
          <t>1.96%</t>
        </is>
      </c>
      <c r="I34" t="inlineStr">
        <is>
          <t>0.00%</t>
        </is>
      </c>
    </row>
    <row r="35">
      <c r="A35" s="2" t="n">
        <v>45982</v>
      </c>
      <c r="B35" t="inlineStr">
        <is>
          <t>HE3B2</t>
        </is>
      </c>
      <c r="C35" t="inlineStr">
        <is>
          <t>GICS_INDUSTRY_GROUP_NAME</t>
        </is>
      </c>
      <c r="D35" t="inlineStr">
        <is>
          <t>Consumer Staples Distribution &amp; Retail</t>
        </is>
      </c>
      <c r="E35" t="inlineStr">
        <is>
          <t>Consumer Staples</t>
        </is>
      </c>
      <c r="F35" t="inlineStr"/>
      <c r="G35" t="inlineStr"/>
      <c r="H35" t="inlineStr">
        <is>
          <t>1.79%</t>
        </is>
      </c>
      <c r="I35" t="inlineStr">
        <is>
          <t>0.00%</t>
        </is>
      </c>
    </row>
    <row r="36">
      <c r="A36" s="2" t="n">
        <v>45982</v>
      </c>
      <c r="B36" t="inlineStr">
        <is>
          <t>HE3B2</t>
        </is>
      </c>
      <c r="C36" t="inlineStr">
        <is>
          <t>GICS_INDUSTRY_NAME</t>
        </is>
      </c>
      <c r="D36" t="inlineStr">
        <is>
          <t>Consumer Staples Distribution &amp; Retail</t>
        </is>
      </c>
      <c r="E36" t="inlineStr">
        <is>
          <t>Consumer Staples</t>
        </is>
      </c>
      <c r="F36" t="inlineStr"/>
      <c r="G36" t="inlineStr"/>
      <c r="H36" t="inlineStr">
        <is>
          <t>1.79%</t>
        </is>
      </c>
      <c r="I36" t="inlineStr">
        <is>
          <t>0.00%</t>
        </is>
      </c>
    </row>
    <row r="37">
      <c r="A37" s="2" t="n">
        <v>45982</v>
      </c>
      <c r="B37" t="inlineStr">
        <is>
          <t>HE3B2</t>
        </is>
      </c>
      <c r="C37" t="inlineStr">
        <is>
          <t>GICS_INDUSTRY_GROUP_NAME</t>
        </is>
      </c>
      <c r="D37" t="inlineStr">
        <is>
          <t>Consumer Services</t>
        </is>
      </c>
      <c r="E37" t="inlineStr">
        <is>
          <t>Consumer Discretionary</t>
        </is>
      </c>
      <c r="F37" t="inlineStr"/>
      <c r="G37" t="inlineStr"/>
      <c r="H37" t="inlineStr">
        <is>
          <t>1.71%</t>
        </is>
      </c>
      <c r="I37" t="inlineStr">
        <is>
          <t>0.00%</t>
        </is>
      </c>
    </row>
    <row r="38">
      <c r="A38" s="2" t="n">
        <v>45982</v>
      </c>
      <c r="B38" t="inlineStr">
        <is>
          <t>HE3B2</t>
        </is>
      </c>
      <c r="C38" t="inlineStr">
        <is>
          <t>GICS_INDUSTRY_NAME</t>
        </is>
      </c>
      <c r="D38" t="inlineStr">
        <is>
          <t>Hotels, Restaurants &amp; Leisure</t>
        </is>
      </c>
      <c r="E38" t="inlineStr">
        <is>
          <t>Consumer Discretionary</t>
        </is>
      </c>
      <c r="F38" t="inlineStr"/>
      <c r="G38" t="inlineStr"/>
      <c r="H38" t="inlineStr">
        <is>
          <t>1.71%</t>
        </is>
      </c>
      <c r="I38" t="inlineStr">
        <is>
          <t>0.00%</t>
        </is>
      </c>
    </row>
    <row r="39">
      <c r="A39" s="2" t="n">
        <v>45982</v>
      </c>
      <c r="B39" t="inlineStr">
        <is>
          <t>HE3B2</t>
        </is>
      </c>
      <c r="C39" t="inlineStr">
        <is>
          <t>GICS_INDUSTRY_GROUP_NAME</t>
        </is>
      </c>
      <c r="D39" t="inlineStr">
        <is>
          <t>Materials</t>
        </is>
      </c>
      <c r="E39" t="inlineStr">
        <is>
          <t>Materials</t>
        </is>
      </c>
      <c r="F39" t="inlineStr"/>
      <c r="G39" t="inlineStr"/>
      <c r="H39" t="inlineStr">
        <is>
          <t>1.69%</t>
        </is>
      </c>
      <c r="I39" t="inlineStr">
        <is>
          <t>0.00%</t>
        </is>
      </c>
    </row>
    <row r="40">
      <c r="A40" s="2" t="n">
        <v>45982</v>
      </c>
      <c r="B40" t="inlineStr">
        <is>
          <t>HE3B2</t>
        </is>
      </c>
      <c r="C40" t="inlineStr">
        <is>
          <t>GICS_INDUSTRY_NAME</t>
        </is>
      </c>
      <c r="D40" t="inlineStr">
        <is>
          <t>Chemicals</t>
        </is>
      </c>
      <c r="E40" t="inlineStr">
        <is>
          <t>Materials</t>
        </is>
      </c>
      <c r="F40" t="inlineStr"/>
      <c r="G40" t="inlineStr"/>
      <c r="H40" t="inlineStr">
        <is>
          <t>1.69%</t>
        </is>
      </c>
      <c r="I40" t="inlineStr">
        <is>
          <t>0.00%</t>
        </is>
      </c>
    </row>
    <row r="41">
      <c r="A41" s="2" t="n">
        <v>45982</v>
      </c>
      <c r="B41" t="inlineStr">
        <is>
          <t>HE3B2</t>
        </is>
      </c>
      <c r="C41" t="inlineStr">
        <is>
          <t>GICS_INDUSTRY_NAME</t>
        </is>
      </c>
      <c r="D41" t="inlineStr">
        <is>
          <t>Machinery</t>
        </is>
      </c>
      <c r="E41" t="inlineStr">
        <is>
          <t>Industrials</t>
        </is>
      </c>
      <c r="F41" t="inlineStr"/>
      <c r="G41" t="inlineStr"/>
      <c r="H41" t="inlineStr">
        <is>
          <t>1.52%</t>
        </is>
      </c>
      <c r="I41" t="inlineStr">
        <is>
          <t>0.00%</t>
        </is>
      </c>
    </row>
    <row r="42">
      <c r="A42" s="2" t="n">
        <v>45982</v>
      </c>
      <c r="B42" t="inlineStr">
        <is>
          <t>HE3B2</t>
        </is>
      </c>
      <c r="C42" t="inlineStr">
        <is>
          <t>GICS_INDUSTRY_GROUP_NAME</t>
        </is>
      </c>
      <c r="D42" t="inlineStr">
        <is>
          <t>Equity Real Estate Investment Trusts</t>
        </is>
      </c>
      <c r="E42" t="inlineStr">
        <is>
          <t>Real Estate</t>
        </is>
      </c>
      <c r="F42" t="inlineStr"/>
      <c r="G42" t="inlineStr"/>
      <c r="H42" t="inlineStr">
        <is>
          <t>1.47%</t>
        </is>
      </c>
      <c r="I42" t="inlineStr">
        <is>
          <t>0.00%</t>
        </is>
      </c>
    </row>
    <row r="43">
      <c r="A43" s="2" t="n">
        <v>45982</v>
      </c>
      <c r="B43" t="inlineStr">
        <is>
          <t>HE3B2</t>
        </is>
      </c>
      <c r="C43" t="inlineStr">
        <is>
          <t>GICS_INDUSTRY_NAME</t>
        </is>
      </c>
      <c r="D43" t="inlineStr">
        <is>
          <t>Specialized REITs</t>
        </is>
      </c>
      <c r="E43" t="inlineStr">
        <is>
          <t>Real Estate</t>
        </is>
      </c>
      <c r="F43" t="inlineStr"/>
      <c r="G43" t="inlineStr"/>
      <c r="H43" t="inlineStr">
        <is>
          <t>1.47%</t>
        </is>
      </c>
      <c r="I43" t="inlineStr">
        <is>
          <t>0.00%</t>
        </is>
      </c>
    </row>
    <row r="44">
      <c r="A44" s="2" t="n">
        <v>45982</v>
      </c>
      <c r="B44" t="inlineStr">
        <is>
          <t>HE3B2</t>
        </is>
      </c>
      <c r="C44" t="inlineStr">
        <is>
          <t>GICS_INDUSTRY_GROUP_NAME</t>
        </is>
      </c>
      <c r="D44" t="inlineStr">
        <is>
          <t>Transportation</t>
        </is>
      </c>
      <c r="E44" t="inlineStr">
        <is>
          <t>Industrials</t>
        </is>
      </c>
      <c r="F44" t="inlineStr"/>
      <c r="G44" t="inlineStr"/>
      <c r="H44" t="inlineStr">
        <is>
          <t>1.32%</t>
        </is>
      </c>
      <c r="I44" t="inlineStr">
        <is>
          <t>0.00%</t>
        </is>
      </c>
    </row>
    <row r="45">
      <c r="A45" s="2" t="n">
        <v>45982</v>
      </c>
      <c r="B45" t="inlineStr">
        <is>
          <t>HE3B2</t>
        </is>
      </c>
      <c r="C45" t="inlineStr">
        <is>
          <t>GICS_INDUSTRY_NAME</t>
        </is>
      </c>
      <c r="D45" t="inlineStr">
        <is>
          <t>Specialty Retail</t>
        </is>
      </c>
      <c r="E45" t="inlineStr">
        <is>
          <t>Consumer Discretionary</t>
        </is>
      </c>
      <c r="F45" t="inlineStr"/>
      <c r="G45" t="inlineStr"/>
      <c r="H45" t="inlineStr">
        <is>
          <t>1.27%</t>
        </is>
      </c>
      <c r="I45" t="inlineStr">
        <is>
          <t>0.00%</t>
        </is>
      </c>
    </row>
    <row r="46">
      <c r="A46" s="2" t="n">
        <v>45982</v>
      </c>
      <c r="B46" t="inlineStr">
        <is>
          <t>HE3B2</t>
        </is>
      </c>
      <c r="C46" t="inlineStr">
        <is>
          <t>GICS_INDUSTRY_NAME</t>
        </is>
      </c>
      <c r="D46" t="inlineStr">
        <is>
          <t>Beverages</t>
        </is>
      </c>
      <c r="E46" t="inlineStr">
        <is>
          <t>Consumer Staples</t>
        </is>
      </c>
      <c r="F46" t="inlineStr"/>
      <c r="G46" t="inlineStr"/>
      <c r="H46" t="inlineStr">
        <is>
          <t>1.23%</t>
        </is>
      </c>
      <c r="I46" t="inlineStr">
        <is>
          <t>0.00%</t>
        </is>
      </c>
    </row>
    <row r="47">
      <c r="A47" s="2" t="n">
        <v>45982</v>
      </c>
      <c r="B47" t="inlineStr">
        <is>
          <t>HE3B2</t>
        </is>
      </c>
      <c r="C47" t="inlineStr">
        <is>
          <t>GICS_INDUSTRY_NAME</t>
        </is>
      </c>
      <c r="D47" t="inlineStr">
        <is>
          <t>IT Services</t>
        </is>
      </c>
      <c r="E47" t="inlineStr">
        <is>
          <t>Information Technology</t>
        </is>
      </c>
      <c r="F47" t="inlineStr"/>
      <c r="G47" t="inlineStr"/>
      <c r="H47" t="inlineStr">
        <is>
          <t>1.21%</t>
        </is>
      </c>
      <c r="I47" t="inlineStr">
        <is>
          <t>0.00%</t>
        </is>
      </c>
    </row>
    <row r="48">
      <c r="A48" s="2" t="n">
        <v>45982</v>
      </c>
      <c r="B48" t="inlineStr">
        <is>
          <t>HE3B2</t>
        </is>
      </c>
      <c r="C48" t="inlineStr">
        <is>
          <t>GICS_INDUSTRY_NAME</t>
        </is>
      </c>
      <c r="D48" t="inlineStr">
        <is>
          <t>Entertainment</t>
        </is>
      </c>
      <c r="E48" t="inlineStr">
        <is>
          <t>Communication Services</t>
        </is>
      </c>
      <c r="F48" t="inlineStr"/>
      <c r="G48" t="inlineStr"/>
      <c r="H48" t="inlineStr">
        <is>
          <t>1.18%</t>
        </is>
      </c>
      <c r="I48" t="inlineStr">
        <is>
          <t>0.00%</t>
        </is>
      </c>
    </row>
    <row r="49">
      <c r="A49" s="2" t="n">
        <v>45982</v>
      </c>
      <c r="B49" t="inlineStr">
        <is>
          <t>HE3B2</t>
        </is>
      </c>
      <c r="C49" t="inlineStr">
        <is>
          <t>GICS_INDUSTRY_GROUP_NAME</t>
        </is>
      </c>
      <c r="D49" t="inlineStr">
        <is>
          <t>Commercial &amp; Professional Services</t>
        </is>
      </c>
      <c r="E49" t="inlineStr">
        <is>
          <t>Industrials</t>
        </is>
      </c>
      <c r="F49" t="inlineStr"/>
      <c r="G49" t="inlineStr"/>
      <c r="H49" t="inlineStr">
        <is>
          <t>1.10%</t>
        </is>
      </c>
      <c r="I49" t="inlineStr">
        <is>
          <t>0.00%</t>
        </is>
      </c>
    </row>
    <row r="50">
      <c r="A50" s="2" t="n">
        <v>45982</v>
      </c>
      <c r="B50" t="inlineStr">
        <is>
          <t>HE3B2</t>
        </is>
      </c>
      <c r="C50" t="inlineStr">
        <is>
          <t>GICS_INDUSTRY_NAME</t>
        </is>
      </c>
      <c r="D50" t="inlineStr">
        <is>
          <t>Commercial Services &amp; Supplies</t>
        </is>
      </c>
      <c r="E50" t="inlineStr">
        <is>
          <t>Industrials</t>
        </is>
      </c>
      <c r="F50" t="inlineStr"/>
      <c r="G50" t="inlineStr"/>
      <c r="H50" t="inlineStr">
        <is>
          <t>1.10%</t>
        </is>
      </c>
      <c r="I50" t="inlineStr">
        <is>
          <t>0.00%</t>
        </is>
      </c>
    </row>
    <row r="51">
      <c r="A51" s="2" t="n">
        <v>45982</v>
      </c>
      <c r="B51" t="inlineStr">
        <is>
          <t>HE3B2</t>
        </is>
      </c>
      <c r="C51" t="inlineStr">
        <is>
          <t>GICS_INDUSTRY_GROUP_NAME</t>
        </is>
      </c>
      <c r="D51" t="inlineStr">
        <is>
          <t>Household &amp; Personal Products</t>
        </is>
      </c>
      <c r="E51" t="inlineStr">
        <is>
          <t>Consumer Staples</t>
        </is>
      </c>
      <c r="F51" t="inlineStr"/>
      <c r="G51" t="inlineStr"/>
      <c r="H51" t="inlineStr">
        <is>
          <t>0.98%</t>
        </is>
      </c>
      <c r="I51" t="inlineStr">
        <is>
          <t>0.00%</t>
        </is>
      </c>
    </row>
    <row r="52">
      <c r="A52" s="2" t="n">
        <v>45982</v>
      </c>
      <c r="B52" t="inlineStr">
        <is>
          <t>HE3B2</t>
        </is>
      </c>
      <c r="C52" t="inlineStr">
        <is>
          <t>GICS_INDUSTRY_NAME</t>
        </is>
      </c>
      <c r="D52" t="inlineStr">
        <is>
          <t>Household Products</t>
        </is>
      </c>
      <c r="E52" t="inlineStr">
        <is>
          <t>Consumer Staples</t>
        </is>
      </c>
      <c r="F52" t="inlineStr"/>
      <c r="G52" t="inlineStr"/>
      <c r="H52" t="inlineStr">
        <is>
          <t>0.98%</t>
        </is>
      </c>
      <c r="I52" t="inlineStr">
        <is>
          <t>0.00%</t>
        </is>
      </c>
    </row>
    <row r="53">
      <c r="A53" s="2" t="n">
        <v>45982</v>
      </c>
      <c r="B53" t="inlineStr">
        <is>
          <t>HE3B2</t>
        </is>
      </c>
      <c r="C53" t="inlineStr">
        <is>
          <t>GICS_INDUSTRY_NAME</t>
        </is>
      </c>
      <c r="D53" t="inlineStr">
        <is>
          <t>Life Sciences Tools &amp; Services</t>
        </is>
      </c>
      <c r="E53" t="inlineStr">
        <is>
          <t>Health Care</t>
        </is>
      </c>
      <c r="F53" t="inlineStr"/>
      <c r="G53" t="inlineStr"/>
      <c r="H53" t="inlineStr">
        <is>
          <t>0.98%</t>
        </is>
      </c>
      <c r="I53" t="inlineStr">
        <is>
          <t>0.00%</t>
        </is>
      </c>
    </row>
    <row r="54">
      <c r="A54" s="2" t="n">
        <v>45982</v>
      </c>
      <c r="B54" t="inlineStr">
        <is>
          <t>HE3B2</t>
        </is>
      </c>
      <c r="C54" t="inlineStr">
        <is>
          <t>GICS_INDUSTRY_NAME</t>
        </is>
      </c>
      <c r="D54" t="inlineStr">
        <is>
          <t>Ground Transportation</t>
        </is>
      </c>
      <c r="E54" t="inlineStr">
        <is>
          <t>Industrials</t>
        </is>
      </c>
      <c r="F54" t="inlineStr"/>
      <c r="G54" t="inlineStr"/>
      <c r="H54" t="inlineStr">
        <is>
          <t>0.93%</t>
        </is>
      </c>
      <c r="I54" t="inlineStr">
        <is>
          <t>0.00%</t>
        </is>
      </c>
    </row>
    <row r="55">
      <c r="A55" s="2" t="n">
        <v>45982</v>
      </c>
      <c r="B55" t="inlineStr">
        <is>
          <t>HE3B2</t>
        </is>
      </c>
      <c r="C55" t="inlineStr">
        <is>
          <t>GICS_INDUSTRY_NAME</t>
        </is>
      </c>
      <c r="D55" t="inlineStr">
        <is>
          <t>Tobacco</t>
        </is>
      </c>
      <c r="E55" t="inlineStr">
        <is>
          <t>Consumer Staples</t>
        </is>
      </c>
      <c r="F55" t="inlineStr"/>
      <c r="G55" t="inlineStr"/>
      <c r="H55" t="inlineStr">
        <is>
          <t>0.87%</t>
        </is>
      </c>
      <c r="I55" t="inlineStr">
        <is>
          <t>0.00%</t>
        </is>
      </c>
    </row>
    <row r="56">
      <c r="A56" s="2" t="n">
        <v>45982</v>
      </c>
      <c r="B56" t="inlineStr">
        <is>
          <t>HE3B2</t>
        </is>
      </c>
      <c r="C56" t="inlineStr">
        <is>
          <t>GICS_INDUSTRY_GROUP_NAME</t>
        </is>
      </c>
      <c r="D56" t="inlineStr">
        <is>
          <t>Telecommunication Services</t>
        </is>
      </c>
      <c r="E56" t="inlineStr">
        <is>
          <t>Communication Services</t>
        </is>
      </c>
      <c r="F56" t="inlineStr"/>
      <c r="G56" t="inlineStr"/>
      <c r="H56" t="inlineStr">
        <is>
          <t>0.84%</t>
        </is>
      </c>
      <c r="I56" t="inlineStr">
        <is>
          <t>0.00%</t>
        </is>
      </c>
    </row>
    <row r="57">
      <c r="A57" s="2" t="n">
        <v>45982</v>
      </c>
      <c r="B57" t="inlineStr">
        <is>
          <t>HE3B2</t>
        </is>
      </c>
      <c r="C57" t="inlineStr">
        <is>
          <t>GICS_INDUSTRY_NAME</t>
        </is>
      </c>
      <c r="D57" t="inlineStr">
        <is>
          <t>Diversified Telecommunication Services</t>
        </is>
      </c>
      <c r="E57" t="inlineStr">
        <is>
          <t>Communication Services</t>
        </is>
      </c>
      <c r="F57" t="inlineStr"/>
      <c r="G57" t="inlineStr"/>
      <c r="H57" t="inlineStr">
        <is>
          <t>0.84%</t>
        </is>
      </c>
      <c r="I57" t="inlineStr">
        <is>
          <t>0.00%</t>
        </is>
      </c>
    </row>
    <row r="58">
      <c r="A58" s="2" t="n">
        <v>45982</v>
      </c>
      <c r="B58" t="inlineStr">
        <is>
          <t>HE3B2</t>
        </is>
      </c>
      <c r="C58" t="inlineStr">
        <is>
          <t>GICS_INDUSTRY_NAME</t>
        </is>
      </c>
      <c r="D58" t="inlineStr">
        <is>
          <t>Industrial Conglomerates</t>
        </is>
      </c>
      <c r="E58" t="inlineStr">
        <is>
          <t>Industrials</t>
        </is>
      </c>
      <c r="F58" t="inlineStr"/>
      <c r="G58" t="inlineStr"/>
      <c r="H58" t="inlineStr">
        <is>
          <t>0.84%</t>
        </is>
      </c>
      <c r="I58" t="inlineStr">
        <is>
          <t>0.00%</t>
        </is>
      </c>
    </row>
    <row r="59">
      <c r="A59" s="2" t="n">
        <v>45982</v>
      </c>
      <c r="B59" t="inlineStr">
        <is>
          <t>HE3B2</t>
        </is>
      </c>
      <c r="C59" t="inlineStr">
        <is>
          <t>GICS_INDUSTRY_NAME</t>
        </is>
      </c>
      <c r="D59" t="inlineStr">
        <is>
          <t>Electrical Equipment</t>
        </is>
      </c>
      <c r="E59" t="inlineStr">
        <is>
          <t>Industrials</t>
        </is>
      </c>
      <c r="F59" t="inlineStr"/>
      <c r="G59" t="inlineStr"/>
      <c r="H59" t="inlineStr">
        <is>
          <t>0.79%</t>
        </is>
      </c>
      <c r="I59" t="inlineStr">
        <is>
          <t>0.00%</t>
        </is>
      </c>
    </row>
    <row r="60">
      <c r="A60" s="2" t="n">
        <v>45982</v>
      </c>
      <c r="B60" t="inlineStr">
        <is>
          <t>HE3B2</t>
        </is>
      </c>
      <c r="C60" t="inlineStr">
        <is>
          <t>GICS_INDUSTRY_NAME</t>
        </is>
      </c>
      <c r="D60" t="inlineStr">
        <is>
          <t>Consumer Finance</t>
        </is>
      </c>
      <c r="E60" t="inlineStr">
        <is>
          <t>Financials</t>
        </is>
      </c>
      <c r="F60" t="inlineStr"/>
      <c r="G60" t="inlineStr"/>
      <c r="H60" t="inlineStr">
        <is>
          <t>0.62%</t>
        </is>
      </c>
      <c r="I60" t="inlineStr">
        <is>
          <t>0.00%</t>
        </is>
      </c>
    </row>
    <row r="61">
      <c r="A61" s="2" t="n">
        <v>45982</v>
      </c>
      <c r="B61" t="inlineStr">
        <is>
          <t>HE3B2</t>
        </is>
      </c>
      <c r="C61" t="inlineStr">
        <is>
          <t>GICS_INDUSTRY_GROUP_NAME</t>
        </is>
      </c>
      <c r="D61" t="inlineStr">
        <is>
          <t>Consumer Durables &amp; Apparel</t>
        </is>
      </c>
      <c r="E61" t="inlineStr">
        <is>
          <t>Consumer Discretionary</t>
        </is>
      </c>
      <c r="F61" t="inlineStr"/>
      <c r="G61" t="inlineStr"/>
      <c r="H61" t="inlineStr">
        <is>
          <t>0.53%</t>
        </is>
      </c>
      <c r="I61" t="inlineStr">
        <is>
          <t>0.00%</t>
        </is>
      </c>
    </row>
    <row r="62">
      <c r="A62" s="2" t="n">
        <v>45982</v>
      </c>
      <c r="B62" t="inlineStr">
        <is>
          <t>HE3B2</t>
        </is>
      </c>
      <c r="C62" t="inlineStr">
        <is>
          <t>GICS_INDUSTRY_NAME</t>
        </is>
      </c>
      <c r="D62" t="inlineStr">
        <is>
          <t>Textiles, Apparel &amp; Luxury Goods</t>
        </is>
      </c>
      <c r="E62" t="inlineStr">
        <is>
          <t>Consumer Discretionary</t>
        </is>
      </c>
      <c r="F62" t="inlineStr"/>
      <c r="G62" t="inlineStr"/>
      <c r="H62" t="inlineStr">
        <is>
          <t>0.53%</t>
        </is>
      </c>
      <c r="I62" t="inlineStr">
        <is>
          <t>0.00%</t>
        </is>
      </c>
    </row>
    <row r="63">
      <c r="A63" s="2" t="n">
        <v>45982</v>
      </c>
      <c r="B63" t="inlineStr">
        <is>
          <t>HE3B2</t>
        </is>
      </c>
      <c r="C63" t="inlineStr">
        <is>
          <t>GICS_INDUSTRY_NAME</t>
        </is>
      </c>
      <c r="D63" t="inlineStr">
        <is>
          <t>Air Freight &amp; Logistics</t>
        </is>
      </c>
      <c r="E63" t="inlineStr">
        <is>
          <t>Industrials</t>
        </is>
      </c>
      <c r="F63" t="inlineStr"/>
      <c r="G63" t="inlineStr"/>
      <c r="H63" t="inlineStr">
        <is>
          <t>0.39%</t>
        </is>
      </c>
      <c r="I63" t="inlineStr">
        <is>
          <t>0.00%</t>
        </is>
      </c>
    </row>
    <row r="64">
      <c r="A64" s="2" t="n">
        <v>45982</v>
      </c>
      <c r="B64" t="inlineStr">
        <is>
          <t>HE3B2</t>
        </is>
      </c>
      <c r="C64" t="inlineStr">
        <is>
          <t>GICS_INDUSTRY_NAME</t>
        </is>
      </c>
      <c r="D64" t="inlineStr">
        <is>
          <t>Media</t>
        </is>
      </c>
      <c r="E64" t="inlineStr">
        <is>
          <t>Communication Services</t>
        </is>
      </c>
      <c r="F64" t="inlineStr"/>
      <c r="G64" t="inlineStr"/>
      <c r="H64" t="inlineStr">
        <is>
          <t>0.19%</t>
        </is>
      </c>
      <c r="I64" t="inlineStr">
        <is>
          <t>0.00%</t>
        </is>
      </c>
    </row>
    <row r="65">
      <c r="A65" s="2" t="n">
        <v>45982</v>
      </c>
      <c r="B65" t="inlineStr">
        <is>
          <t>HE3B2</t>
        </is>
      </c>
      <c r="C65" t="inlineStr">
        <is>
          <t>GICS_INDUSTRY_NAME</t>
        </is>
      </c>
      <c r="D65" t="inlineStr">
        <is>
          <t>Food Products</t>
        </is>
      </c>
      <c r="E65" t="inlineStr">
        <is>
          <t>Consumer Staples</t>
        </is>
      </c>
      <c r="F65" t="inlineStr"/>
      <c r="G65" t="inlineStr"/>
      <c r="H65" t="inlineStr">
        <is>
          <t>0.19%</t>
        </is>
      </c>
      <c r="I65" t="inlineStr">
        <is>
          <t>0.00%</t>
        </is>
      </c>
    </row>
    <row r="66">
      <c r="A66" s="2" t="n">
        <v>45982</v>
      </c>
      <c r="B66" t="inlineStr">
        <is>
          <t>R21126</t>
        </is>
      </c>
      <c r="C66" t="inlineStr">
        <is>
          <t>GICS_INDUSTRY_GROUP_NAME</t>
        </is>
      </c>
      <c r="D66" t="inlineStr">
        <is>
          <t>Financial Services</t>
        </is>
      </c>
      <c r="E66" t="inlineStr">
        <is>
          <t>Financials</t>
        </is>
      </c>
      <c r="F66" t="inlineStr"/>
      <c r="G66" t="inlineStr"/>
      <c r="H66" t="inlineStr">
        <is>
          <t>15.26%</t>
        </is>
      </c>
      <c r="I66" t="inlineStr">
        <is>
          <t>0.00%</t>
        </is>
      </c>
    </row>
    <row r="67">
      <c r="A67" s="2" t="n">
        <v>45982</v>
      </c>
      <c r="B67" t="inlineStr">
        <is>
          <t>R21126</t>
        </is>
      </c>
      <c r="C67" t="inlineStr">
        <is>
          <t>GICS_INDUSTRY_GROUP_NAME</t>
        </is>
      </c>
      <c r="D67" t="inlineStr">
        <is>
          <t>Semiconductors &amp; Semiconductor Equipment</t>
        </is>
      </c>
      <c r="E67" t="inlineStr">
        <is>
          <t>Information Technology</t>
        </is>
      </c>
      <c r="F67" t="inlineStr"/>
      <c r="G67" t="inlineStr"/>
      <c r="H67" t="inlineStr">
        <is>
          <t>13.51%</t>
        </is>
      </c>
      <c r="I67" t="inlineStr">
        <is>
          <t>0.00%</t>
        </is>
      </c>
    </row>
    <row r="68">
      <c r="A68" s="2" t="n">
        <v>45982</v>
      </c>
      <c r="B68" t="inlineStr">
        <is>
          <t>R21126</t>
        </is>
      </c>
      <c r="C68" t="inlineStr">
        <is>
          <t>GICS_INDUSTRY_NAME</t>
        </is>
      </c>
      <c r="D68" t="inlineStr">
        <is>
          <t>Semiconductors &amp; Semiconductor Equipment</t>
        </is>
      </c>
      <c r="E68" t="inlineStr">
        <is>
          <t>Information Technology</t>
        </is>
      </c>
      <c r="F68" t="inlineStr"/>
      <c r="G68" t="inlineStr"/>
      <c r="H68" t="inlineStr">
        <is>
          <t>13.51%</t>
        </is>
      </c>
      <c r="I68" t="inlineStr">
        <is>
          <t>0.00%</t>
        </is>
      </c>
    </row>
    <row r="69">
      <c r="A69" s="2" t="n">
        <v>45982</v>
      </c>
      <c r="B69" t="inlineStr">
        <is>
          <t>R21126</t>
        </is>
      </c>
      <c r="C69" t="inlineStr">
        <is>
          <t>GICS_INDUSTRY_GROUP_NAME</t>
        </is>
      </c>
      <c r="D69" t="inlineStr">
        <is>
          <t>Insurance</t>
        </is>
      </c>
      <c r="E69" t="inlineStr">
        <is>
          <t>Financials</t>
        </is>
      </c>
      <c r="F69" t="inlineStr"/>
      <c r="G69" t="inlineStr"/>
      <c r="H69" t="inlineStr">
        <is>
          <t>12.53%</t>
        </is>
      </c>
      <c r="I69" t="inlineStr">
        <is>
          <t>0.00%</t>
        </is>
      </c>
    </row>
    <row r="70">
      <c r="A70" s="2" t="n">
        <v>45982</v>
      </c>
      <c r="B70" t="inlineStr">
        <is>
          <t>R21126</t>
        </is>
      </c>
      <c r="C70" t="inlineStr">
        <is>
          <t>GICS_INDUSTRY_NAME</t>
        </is>
      </c>
      <c r="D70" t="inlineStr">
        <is>
          <t>Insurance</t>
        </is>
      </c>
      <c r="E70" t="inlineStr">
        <is>
          <t>Financials</t>
        </is>
      </c>
      <c r="F70" t="inlineStr"/>
      <c r="G70" t="inlineStr"/>
      <c r="H70" t="inlineStr">
        <is>
          <t>12.53%</t>
        </is>
      </c>
      <c r="I70" t="inlineStr">
        <is>
          <t>0.00%</t>
        </is>
      </c>
    </row>
    <row r="71">
      <c r="A71" s="2" t="n">
        <v>45982</v>
      </c>
      <c r="B71" t="inlineStr">
        <is>
          <t>R21126</t>
        </is>
      </c>
      <c r="C71" t="inlineStr">
        <is>
          <t>GICS_INDUSTRY_GROUP_NAME</t>
        </is>
      </c>
      <c r="D71" t="inlineStr">
        <is>
          <t>Capital Goods</t>
        </is>
      </c>
      <c r="E71" t="inlineStr">
        <is>
          <t>Industrials</t>
        </is>
      </c>
      <c r="F71" t="inlineStr"/>
      <c r="G71" t="inlineStr"/>
      <c r="H71" t="inlineStr">
        <is>
          <t>10.49%</t>
        </is>
      </c>
      <c r="I71" t="inlineStr">
        <is>
          <t>0.00%</t>
        </is>
      </c>
    </row>
    <row r="72">
      <c r="A72" s="2" t="n">
        <v>45982</v>
      </c>
      <c r="B72" t="inlineStr">
        <is>
          <t>R21126</t>
        </is>
      </c>
      <c r="C72" t="inlineStr">
        <is>
          <t>GICS_INDUSTRY_NAME</t>
        </is>
      </c>
      <c r="D72" t="inlineStr">
        <is>
          <t>Capital Markets</t>
        </is>
      </c>
      <c r="E72" t="inlineStr">
        <is>
          <t>Financials</t>
        </is>
      </c>
      <c r="F72" t="inlineStr"/>
      <c r="G72" t="inlineStr"/>
      <c r="H72" t="inlineStr">
        <is>
          <t>8.38%</t>
        </is>
      </c>
      <c r="I72" t="inlineStr">
        <is>
          <t>0.00%</t>
        </is>
      </c>
    </row>
    <row r="73">
      <c r="A73" s="2" t="n">
        <v>45982</v>
      </c>
      <c r="B73" t="inlineStr">
        <is>
          <t>R21126</t>
        </is>
      </c>
      <c r="C73" t="inlineStr">
        <is>
          <t>GICS_INDUSTRY_GROUP_NAME</t>
        </is>
      </c>
      <c r="D73" t="inlineStr">
        <is>
          <t>Media &amp; Entertainment</t>
        </is>
      </c>
      <c r="E73" t="inlineStr">
        <is>
          <t>Communication Services</t>
        </is>
      </c>
      <c r="F73" t="inlineStr"/>
      <c r="G73" t="inlineStr"/>
      <c r="H73" t="inlineStr">
        <is>
          <t>7.37%</t>
        </is>
      </c>
      <c r="I73" t="inlineStr">
        <is>
          <t>0.00%</t>
        </is>
      </c>
    </row>
    <row r="74">
      <c r="A74" s="2" t="n">
        <v>45982</v>
      </c>
      <c r="B74" t="inlineStr">
        <is>
          <t>R21126</t>
        </is>
      </c>
      <c r="C74" t="inlineStr">
        <is>
          <t>GICS_INDUSTRY_GROUP_NAME</t>
        </is>
      </c>
      <c r="D74" t="inlineStr">
        <is>
          <t>Banks</t>
        </is>
      </c>
      <c r="E74" t="inlineStr">
        <is>
          <t>Financials</t>
        </is>
      </c>
      <c r="F74" t="inlineStr"/>
      <c r="G74" t="inlineStr"/>
      <c r="H74" t="inlineStr">
        <is>
          <t>6.90%</t>
        </is>
      </c>
      <c r="I74" t="inlineStr">
        <is>
          <t>0.00%</t>
        </is>
      </c>
    </row>
    <row r="75">
      <c r="A75" s="2" t="n">
        <v>45982</v>
      </c>
      <c r="B75" t="inlineStr">
        <is>
          <t>R21126</t>
        </is>
      </c>
      <c r="C75" t="inlineStr">
        <is>
          <t>GICS_INDUSTRY_NAME</t>
        </is>
      </c>
      <c r="D75" t="inlineStr">
        <is>
          <t>Banks</t>
        </is>
      </c>
      <c r="E75" t="inlineStr">
        <is>
          <t>Financials</t>
        </is>
      </c>
      <c r="F75" t="inlineStr"/>
      <c r="G75" t="inlineStr"/>
      <c r="H75" t="inlineStr">
        <is>
          <t>6.90%</t>
        </is>
      </c>
      <c r="I75" t="inlineStr">
        <is>
          <t>0.00%</t>
        </is>
      </c>
    </row>
    <row r="76">
      <c r="A76" s="2" t="n">
        <v>45982</v>
      </c>
      <c r="B76" t="inlineStr">
        <is>
          <t>R21126</t>
        </is>
      </c>
      <c r="C76" t="inlineStr">
        <is>
          <t>GICS_INDUSTRY_GROUP_NAME</t>
        </is>
      </c>
      <c r="D76" t="inlineStr">
        <is>
          <t>Software &amp; Services</t>
        </is>
      </c>
      <c r="E76" t="inlineStr">
        <is>
          <t>Information Technology</t>
        </is>
      </c>
      <c r="F76" t="inlineStr"/>
      <c r="G76" t="inlineStr"/>
      <c r="H76" t="inlineStr">
        <is>
          <t>6.88%</t>
        </is>
      </c>
      <c r="I76" t="inlineStr">
        <is>
          <t>0.00%</t>
        </is>
      </c>
    </row>
    <row r="77">
      <c r="A77" s="2" t="n">
        <v>45982</v>
      </c>
      <c r="B77" t="inlineStr">
        <is>
          <t>R21126</t>
        </is>
      </c>
      <c r="C77" t="inlineStr">
        <is>
          <t>GICS_INDUSTRY_NAME</t>
        </is>
      </c>
      <c r="D77" t="inlineStr">
        <is>
          <t>Machinery</t>
        </is>
      </c>
      <c r="E77" t="inlineStr">
        <is>
          <t>Industrials</t>
        </is>
      </c>
      <c r="F77" t="inlineStr"/>
      <c r="G77" t="inlineStr"/>
      <c r="H77" t="inlineStr">
        <is>
          <t>6.64%</t>
        </is>
      </c>
      <c r="I77" t="inlineStr">
        <is>
          <t>0.00%</t>
        </is>
      </c>
    </row>
    <row r="78">
      <c r="A78" s="2" t="n">
        <v>45982</v>
      </c>
      <c r="B78" t="inlineStr">
        <is>
          <t>R21126</t>
        </is>
      </c>
      <c r="C78" t="inlineStr">
        <is>
          <t>GICS_INDUSTRY_GROUP_NAME</t>
        </is>
      </c>
      <c r="D78" t="inlineStr">
        <is>
          <t>Consumer Discretionary Distribution &amp; Retail</t>
        </is>
      </c>
      <c r="E78" t="inlineStr">
        <is>
          <t>Consumer Discretionary</t>
        </is>
      </c>
      <c r="F78" t="inlineStr"/>
      <c r="G78" t="inlineStr"/>
      <c r="H78" t="inlineStr">
        <is>
          <t>6.30%</t>
        </is>
      </c>
      <c r="I78" t="inlineStr">
        <is>
          <t>0.00%</t>
        </is>
      </c>
    </row>
    <row r="79">
      <c r="A79" s="2" t="n">
        <v>45982</v>
      </c>
      <c r="B79" t="inlineStr">
        <is>
          <t>R21126</t>
        </is>
      </c>
      <c r="C79" t="inlineStr">
        <is>
          <t>GICS_INDUSTRY_NAME</t>
        </is>
      </c>
      <c r="D79" t="inlineStr">
        <is>
          <t>Interactive Media &amp; Services</t>
        </is>
      </c>
      <c r="E79" t="inlineStr">
        <is>
          <t>Communication Services</t>
        </is>
      </c>
      <c r="F79" t="inlineStr"/>
      <c r="G79" t="inlineStr"/>
      <c r="H79" t="inlineStr">
        <is>
          <t>4.88%</t>
        </is>
      </c>
      <c r="I79" t="inlineStr">
        <is>
          <t>0.00%</t>
        </is>
      </c>
    </row>
    <row r="80">
      <c r="A80" s="2" t="n">
        <v>45982</v>
      </c>
      <c r="B80" t="inlineStr">
        <is>
          <t>R21126</t>
        </is>
      </c>
      <c r="C80" t="inlineStr">
        <is>
          <t>GICS_INDUSTRY_GROUP_NAME</t>
        </is>
      </c>
      <c r="D80" t="inlineStr">
        <is>
          <t>Consumer Durables &amp; Apparel</t>
        </is>
      </c>
      <c r="E80" t="inlineStr">
        <is>
          <t>Consumer Discretionary</t>
        </is>
      </c>
      <c r="F80" t="inlineStr"/>
      <c r="G80" t="inlineStr"/>
      <c r="H80" t="inlineStr">
        <is>
          <t>4.27%</t>
        </is>
      </c>
      <c r="I80" t="inlineStr">
        <is>
          <t>0.00%</t>
        </is>
      </c>
    </row>
    <row r="81">
      <c r="A81" s="2" t="n">
        <v>45982</v>
      </c>
      <c r="B81" t="inlineStr">
        <is>
          <t>R21126</t>
        </is>
      </c>
      <c r="C81" t="inlineStr">
        <is>
          <t>GICS_INDUSTRY_NAME</t>
        </is>
      </c>
      <c r="D81" t="inlineStr">
        <is>
          <t>Household Durables</t>
        </is>
      </c>
      <c r="E81" t="inlineStr">
        <is>
          <t>Consumer Discretionary</t>
        </is>
      </c>
      <c r="F81" t="inlineStr"/>
      <c r="G81" t="inlineStr"/>
      <c r="H81" t="inlineStr">
        <is>
          <t>4.27%</t>
        </is>
      </c>
      <c r="I81" t="inlineStr">
        <is>
          <t>0.00%</t>
        </is>
      </c>
    </row>
    <row r="82">
      <c r="A82" s="2" t="n">
        <v>45982</v>
      </c>
      <c r="B82" t="inlineStr">
        <is>
          <t>R21126</t>
        </is>
      </c>
      <c r="C82" t="inlineStr">
        <is>
          <t>GICS_INDUSTRY_NAME</t>
        </is>
      </c>
      <c r="D82" t="inlineStr">
        <is>
          <t>Specialty Retail</t>
        </is>
      </c>
      <c r="E82" t="inlineStr">
        <is>
          <t>Consumer Discretionary</t>
        </is>
      </c>
      <c r="F82" t="inlineStr"/>
      <c r="G82" t="inlineStr"/>
      <c r="H82" t="inlineStr">
        <is>
          <t>4.16%</t>
        </is>
      </c>
      <c r="I82" t="inlineStr">
        <is>
          <t>0.00%</t>
        </is>
      </c>
    </row>
    <row r="83">
      <c r="A83" s="2" t="n">
        <v>45982</v>
      </c>
      <c r="B83" t="inlineStr">
        <is>
          <t>R21126</t>
        </is>
      </c>
      <c r="C83" t="inlineStr">
        <is>
          <t>GICS_INDUSTRY_NAME</t>
        </is>
      </c>
      <c r="D83" t="inlineStr">
        <is>
          <t>Consumer Finance</t>
        </is>
      </c>
      <c r="E83" t="inlineStr">
        <is>
          <t>Financials</t>
        </is>
      </c>
      <c r="F83" t="inlineStr"/>
      <c r="G83" t="inlineStr"/>
      <c r="H83" t="inlineStr">
        <is>
          <t>3.77%</t>
        </is>
      </c>
      <c r="I83" t="inlineStr">
        <is>
          <t>0.00%</t>
        </is>
      </c>
    </row>
    <row r="84">
      <c r="A84" s="2" t="n">
        <v>45982</v>
      </c>
      <c r="B84" t="inlineStr">
        <is>
          <t>R21126</t>
        </is>
      </c>
      <c r="C84" t="inlineStr">
        <is>
          <t>GICS_INDUSTRY_NAME</t>
        </is>
      </c>
      <c r="D84" t="inlineStr">
        <is>
          <t>Software</t>
        </is>
      </c>
      <c r="E84" t="inlineStr">
        <is>
          <t>Information Technology</t>
        </is>
      </c>
      <c r="F84" t="inlineStr"/>
      <c r="G84" t="inlineStr"/>
      <c r="H84" t="inlineStr">
        <is>
          <t>3.53%</t>
        </is>
      </c>
      <c r="I84" t="inlineStr">
        <is>
          <t>0.00%</t>
        </is>
      </c>
    </row>
    <row r="85">
      <c r="A85" s="2" t="n">
        <v>45982</v>
      </c>
      <c r="B85" t="inlineStr">
        <is>
          <t>R21126</t>
        </is>
      </c>
      <c r="C85" t="inlineStr">
        <is>
          <t>GICS_INDUSTRY_GROUP_NAME</t>
        </is>
      </c>
      <c r="D85" t="inlineStr">
        <is>
          <t>Health Care Equipment &amp; Services</t>
        </is>
      </c>
      <c r="E85" t="inlineStr">
        <is>
          <t>Health Care</t>
        </is>
      </c>
      <c r="F85" t="inlineStr"/>
      <c r="G85" t="inlineStr"/>
      <c r="H85" t="inlineStr">
        <is>
          <t>3.47%</t>
        </is>
      </c>
      <c r="I85" t="inlineStr">
        <is>
          <t>0.00%</t>
        </is>
      </c>
    </row>
    <row r="86">
      <c r="A86" s="2" t="n">
        <v>45982</v>
      </c>
      <c r="B86" t="inlineStr">
        <is>
          <t>R21126</t>
        </is>
      </c>
      <c r="C86" t="inlineStr">
        <is>
          <t>GICS_INDUSTRY_NAME</t>
        </is>
      </c>
      <c r="D86" t="inlineStr">
        <is>
          <t>IT Services</t>
        </is>
      </c>
      <c r="E86" t="inlineStr">
        <is>
          <t>Information Technology</t>
        </is>
      </c>
      <c r="F86" t="inlineStr"/>
      <c r="G86" t="inlineStr"/>
      <c r="H86" t="inlineStr">
        <is>
          <t>3.34%</t>
        </is>
      </c>
      <c r="I86" t="inlineStr">
        <is>
          <t>0.00%</t>
        </is>
      </c>
    </row>
    <row r="87">
      <c r="A87" s="2" t="n">
        <v>45982</v>
      </c>
      <c r="B87" t="inlineStr">
        <is>
          <t>R21126</t>
        </is>
      </c>
      <c r="C87" t="inlineStr">
        <is>
          <t>GICS_INDUSTRY_NAME</t>
        </is>
      </c>
      <c r="D87" t="inlineStr">
        <is>
          <t>Financial Services</t>
        </is>
      </c>
      <c r="E87" t="inlineStr">
        <is>
          <t>Financials</t>
        </is>
      </c>
      <c r="F87" t="inlineStr"/>
      <c r="G87" t="inlineStr"/>
      <c r="H87" t="inlineStr">
        <is>
          <t>3.11%</t>
        </is>
      </c>
      <c r="I87" t="inlineStr">
        <is>
          <t>0.00%</t>
        </is>
      </c>
    </row>
    <row r="88">
      <c r="A88" s="2" t="n">
        <v>45982</v>
      </c>
      <c r="B88" t="inlineStr">
        <is>
          <t>R21126</t>
        </is>
      </c>
      <c r="C88" t="inlineStr">
        <is>
          <t>GICS_INDUSTRY_GROUP_NAME</t>
        </is>
      </c>
      <c r="D88" t="inlineStr">
        <is>
          <t>Energy</t>
        </is>
      </c>
      <c r="E88" t="inlineStr">
        <is>
          <t>Energy</t>
        </is>
      </c>
      <c r="F88" t="inlineStr"/>
      <c r="G88" t="inlineStr"/>
      <c r="H88" t="inlineStr">
        <is>
          <t>3.05%</t>
        </is>
      </c>
      <c r="I88" t="inlineStr">
        <is>
          <t>0.00%</t>
        </is>
      </c>
    </row>
    <row r="89">
      <c r="A89" s="2" t="n">
        <v>45982</v>
      </c>
      <c r="B89" t="inlineStr">
        <is>
          <t>R21126</t>
        </is>
      </c>
      <c r="C89" t="inlineStr">
        <is>
          <t>GICS_INDUSTRY_GROUP_NAME</t>
        </is>
      </c>
      <c r="D89" t="inlineStr">
        <is>
          <t>Commercial &amp; Professional Services</t>
        </is>
      </c>
      <c r="E89" t="inlineStr">
        <is>
          <t>Industrials</t>
        </is>
      </c>
      <c r="F89" t="inlineStr"/>
      <c r="G89" t="inlineStr"/>
      <c r="H89" t="inlineStr">
        <is>
          <t>2.68%</t>
        </is>
      </c>
      <c r="I89" t="inlineStr">
        <is>
          <t>0.00%</t>
        </is>
      </c>
    </row>
    <row r="90">
      <c r="A90" s="2" t="n">
        <v>45982</v>
      </c>
      <c r="B90" t="inlineStr">
        <is>
          <t>R21126</t>
        </is>
      </c>
      <c r="C90" t="inlineStr">
        <is>
          <t>GICS_INDUSTRY_GROUP_NAME</t>
        </is>
      </c>
      <c r="D90" t="inlineStr">
        <is>
          <t>Technology Hardware &amp; Equipment</t>
        </is>
      </c>
      <c r="E90" t="inlineStr">
        <is>
          <t>Information Technology</t>
        </is>
      </c>
      <c r="F90" t="inlineStr"/>
      <c r="G90" t="inlineStr"/>
      <c r="H90" t="inlineStr">
        <is>
          <t>2.28%</t>
        </is>
      </c>
      <c r="I90" t="inlineStr">
        <is>
          <t>0.00%</t>
        </is>
      </c>
    </row>
    <row r="91">
      <c r="A91" s="2" t="n">
        <v>45982</v>
      </c>
      <c r="B91" t="inlineStr">
        <is>
          <t>R21126</t>
        </is>
      </c>
      <c r="C91" t="inlineStr">
        <is>
          <t>GICS_INDUSTRY_NAME</t>
        </is>
      </c>
      <c r="D91" t="inlineStr">
        <is>
          <t>Professional Services</t>
        </is>
      </c>
      <c r="E91" t="inlineStr">
        <is>
          <t>Industrials</t>
        </is>
      </c>
      <c r="F91" t="inlineStr"/>
      <c r="G91" t="inlineStr"/>
      <c r="H91" t="inlineStr">
        <is>
          <t>2.21%</t>
        </is>
      </c>
      <c r="I91" t="inlineStr">
        <is>
          <t>0.00%</t>
        </is>
      </c>
    </row>
    <row r="92">
      <c r="A92" s="2" t="n">
        <v>45982</v>
      </c>
      <c r="B92" t="inlineStr">
        <is>
          <t>R21126</t>
        </is>
      </c>
      <c r="C92" t="inlineStr">
        <is>
          <t>GICS_INDUSTRY_NAME</t>
        </is>
      </c>
      <c r="D92" t="inlineStr">
        <is>
          <t>Energy Equipment &amp; Services</t>
        </is>
      </c>
      <c r="E92" t="inlineStr">
        <is>
          <t>Energy</t>
        </is>
      </c>
      <c r="F92" t="inlineStr"/>
      <c r="G92" t="inlineStr"/>
      <c r="H92" t="inlineStr">
        <is>
          <t>2.19%</t>
        </is>
      </c>
      <c r="I92" t="inlineStr">
        <is>
          <t>0.00%</t>
        </is>
      </c>
    </row>
    <row r="93">
      <c r="A93" s="2" t="n">
        <v>45982</v>
      </c>
      <c r="B93" t="inlineStr">
        <is>
          <t>R21126</t>
        </is>
      </c>
      <c r="C93" t="inlineStr">
        <is>
          <t>GICS_INDUSTRY_NAME</t>
        </is>
      </c>
      <c r="D93" t="inlineStr">
        <is>
          <t>Broadline Retail</t>
        </is>
      </c>
      <c r="E93" t="inlineStr">
        <is>
          <t>Consumer Discretionary</t>
        </is>
      </c>
      <c r="F93" t="inlineStr"/>
      <c r="G93" t="inlineStr"/>
      <c r="H93" t="inlineStr">
        <is>
          <t>2.14%</t>
        </is>
      </c>
      <c r="I93" t="inlineStr">
        <is>
          <t>0.00%</t>
        </is>
      </c>
    </row>
    <row r="94">
      <c r="A94" s="2" t="n">
        <v>45982</v>
      </c>
      <c r="B94" t="inlineStr">
        <is>
          <t>R21126</t>
        </is>
      </c>
      <c r="C94" t="inlineStr">
        <is>
          <t>GICS_INDUSTRY_NAME</t>
        </is>
      </c>
      <c r="D94" t="inlineStr">
        <is>
          <t>Entertainment</t>
        </is>
      </c>
      <c r="E94" t="inlineStr">
        <is>
          <t>Communication Services</t>
        </is>
      </c>
      <c r="F94" t="inlineStr"/>
      <c r="G94" t="inlineStr"/>
      <c r="H94" t="inlineStr">
        <is>
          <t>1.93%</t>
        </is>
      </c>
      <c r="I94" t="inlineStr">
        <is>
          <t>0.00%</t>
        </is>
      </c>
    </row>
    <row r="95">
      <c r="A95" s="2" t="n">
        <v>45982</v>
      </c>
      <c r="B95" t="inlineStr">
        <is>
          <t>R21126</t>
        </is>
      </c>
      <c r="C95" t="inlineStr">
        <is>
          <t>GICS_INDUSTRY_NAME</t>
        </is>
      </c>
      <c r="D95" t="inlineStr">
        <is>
          <t>Health Care Equipment &amp; Supplies</t>
        </is>
      </c>
      <c r="E95" t="inlineStr">
        <is>
          <t>Health Care</t>
        </is>
      </c>
      <c r="F95" t="inlineStr"/>
      <c r="G95" t="inlineStr"/>
      <c r="H95" t="inlineStr">
        <is>
          <t>1.81%</t>
        </is>
      </c>
      <c r="I95" t="inlineStr">
        <is>
          <t>0.00%</t>
        </is>
      </c>
    </row>
    <row r="96">
      <c r="A96" s="2" t="n">
        <v>45982</v>
      </c>
      <c r="B96" t="inlineStr">
        <is>
          <t>R21126</t>
        </is>
      </c>
      <c r="C96" t="inlineStr">
        <is>
          <t>GICS_INDUSTRY_GROUP_NAME</t>
        </is>
      </c>
      <c r="D96" t="inlineStr">
        <is>
          <t>Consumer Services</t>
        </is>
      </c>
      <c r="E96" t="inlineStr">
        <is>
          <t>Consumer Discretionary</t>
        </is>
      </c>
      <c r="F96" t="inlineStr"/>
      <c r="G96" t="inlineStr"/>
      <c r="H96" t="inlineStr">
        <is>
          <t>1.70%</t>
        </is>
      </c>
      <c r="I96" t="inlineStr">
        <is>
          <t>0.00%</t>
        </is>
      </c>
    </row>
    <row r="97">
      <c r="A97" s="2" t="n">
        <v>45982</v>
      </c>
      <c r="B97" t="inlineStr">
        <is>
          <t>R21126</t>
        </is>
      </c>
      <c r="C97" t="inlineStr">
        <is>
          <t>GICS_INDUSTRY_NAME</t>
        </is>
      </c>
      <c r="D97" t="inlineStr">
        <is>
          <t>Hotels, Restaurants &amp; Leisure</t>
        </is>
      </c>
      <c r="E97" t="inlineStr">
        <is>
          <t>Consumer Discretionary</t>
        </is>
      </c>
      <c r="F97" t="inlineStr"/>
      <c r="G97" t="inlineStr"/>
      <c r="H97" t="inlineStr">
        <is>
          <t>1.70%</t>
        </is>
      </c>
      <c r="I97" t="inlineStr">
        <is>
          <t>0.00%</t>
        </is>
      </c>
    </row>
    <row r="98">
      <c r="A98" s="2" t="n">
        <v>45982</v>
      </c>
      <c r="B98" t="inlineStr">
        <is>
          <t>R21126</t>
        </is>
      </c>
      <c r="C98" t="inlineStr">
        <is>
          <t>GICS_INDUSTRY_NAME</t>
        </is>
      </c>
      <c r="D98" t="inlineStr">
        <is>
          <t>Aerospace &amp; Defense</t>
        </is>
      </c>
      <c r="E98" t="inlineStr">
        <is>
          <t>Industrials</t>
        </is>
      </c>
      <c r="F98" t="inlineStr"/>
      <c r="G98" t="inlineStr"/>
      <c r="H98" t="inlineStr">
        <is>
          <t>1.69%</t>
        </is>
      </c>
      <c r="I98" t="inlineStr">
        <is>
          <t>0.00%</t>
        </is>
      </c>
    </row>
    <row r="99">
      <c r="A99" s="2" t="n">
        <v>45982</v>
      </c>
      <c r="B99" t="inlineStr">
        <is>
          <t>R21126</t>
        </is>
      </c>
      <c r="C99" t="inlineStr">
        <is>
          <t>GICS_INDUSTRY_NAME</t>
        </is>
      </c>
      <c r="D99" t="inlineStr">
        <is>
          <t>Health Care Providers &amp; Services</t>
        </is>
      </c>
      <c r="E99" t="inlineStr">
        <is>
          <t>Health Care</t>
        </is>
      </c>
      <c r="F99" t="inlineStr"/>
      <c r="G99" t="inlineStr"/>
      <c r="H99" t="inlineStr">
        <is>
          <t>1.67%</t>
        </is>
      </c>
      <c r="I99" t="inlineStr">
        <is>
          <t>0.00%</t>
        </is>
      </c>
    </row>
    <row r="100">
      <c r="A100" s="2" t="n">
        <v>45982</v>
      </c>
      <c r="B100" t="inlineStr">
        <is>
          <t>R21126</t>
        </is>
      </c>
      <c r="C100" t="inlineStr">
        <is>
          <t>GICS_INDUSTRY_NAME</t>
        </is>
      </c>
      <c r="D100" t="inlineStr">
        <is>
          <t>Technology Hardware, Storage &amp; Peripherals</t>
        </is>
      </c>
      <c r="E100" t="inlineStr">
        <is>
          <t>Information Technology</t>
        </is>
      </c>
      <c r="F100" t="inlineStr"/>
      <c r="G100" t="inlineStr"/>
      <c r="H100" t="inlineStr">
        <is>
          <t>1.66%</t>
        </is>
      </c>
      <c r="I100" t="inlineStr">
        <is>
          <t>0.00%</t>
        </is>
      </c>
    </row>
    <row r="101">
      <c r="A101" s="2" t="n">
        <v>45982</v>
      </c>
      <c r="B101" t="inlineStr">
        <is>
          <t>R21126</t>
        </is>
      </c>
      <c r="C101" t="inlineStr">
        <is>
          <t>GICS_INDUSTRY_NAME</t>
        </is>
      </c>
      <c r="D101" t="inlineStr">
        <is>
          <t>Electrical Equipment</t>
        </is>
      </c>
      <c r="E101" t="inlineStr">
        <is>
          <t>Industrials</t>
        </is>
      </c>
      <c r="F101" t="inlineStr"/>
      <c r="G101" t="inlineStr"/>
      <c r="H101" t="inlineStr">
        <is>
          <t>0.98%</t>
        </is>
      </c>
      <c r="I101" t="inlineStr">
        <is>
          <t>0.00%</t>
        </is>
      </c>
    </row>
    <row r="102">
      <c r="A102" s="2" t="n">
        <v>45982</v>
      </c>
      <c r="B102" t="inlineStr">
        <is>
          <t>R21126</t>
        </is>
      </c>
      <c r="C102" t="inlineStr">
        <is>
          <t>GICS_INDUSTRY_GROUP_NAME</t>
        </is>
      </c>
      <c r="D102" t="inlineStr">
        <is>
          <t>Consumer Staples Distribution &amp; Retail</t>
        </is>
      </c>
      <c r="E102" t="inlineStr">
        <is>
          <t>Consumer Staples</t>
        </is>
      </c>
      <c r="F102" t="inlineStr"/>
      <c r="G102" t="inlineStr"/>
      <c r="H102" t="inlineStr">
        <is>
          <t>0.88%</t>
        </is>
      </c>
      <c r="I102" t="inlineStr">
        <is>
          <t>0.00%</t>
        </is>
      </c>
    </row>
    <row r="103">
      <c r="A103" s="2" t="n">
        <v>45982</v>
      </c>
      <c r="B103" t="inlineStr">
        <is>
          <t>R21126</t>
        </is>
      </c>
      <c r="C103" t="inlineStr">
        <is>
          <t>GICS_INDUSTRY_NAME</t>
        </is>
      </c>
      <c r="D103" t="inlineStr">
        <is>
          <t>Consumer Staples Distribution &amp; Retail</t>
        </is>
      </c>
      <c r="E103" t="inlineStr">
        <is>
          <t>Consumer Staples</t>
        </is>
      </c>
      <c r="F103" t="inlineStr"/>
      <c r="G103" t="inlineStr"/>
      <c r="H103" t="inlineStr">
        <is>
          <t>0.88%</t>
        </is>
      </c>
      <c r="I103" t="inlineStr">
        <is>
          <t>0.00%</t>
        </is>
      </c>
    </row>
    <row r="104">
      <c r="A104" s="2" t="n">
        <v>45982</v>
      </c>
      <c r="B104" t="inlineStr">
        <is>
          <t>R21126</t>
        </is>
      </c>
      <c r="C104" t="inlineStr">
        <is>
          <t>GICS_INDUSTRY_NAME</t>
        </is>
      </c>
      <c r="D104" t="inlineStr">
        <is>
          <t>Oil, Gas &amp; Consumable Fuels</t>
        </is>
      </c>
      <c r="E104" t="inlineStr">
        <is>
          <t>Energy</t>
        </is>
      </c>
      <c r="F104" t="inlineStr"/>
      <c r="G104" t="inlineStr"/>
      <c r="H104" t="inlineStr">
        <is>
          <t>0.86%</t>
        </is>
      </c>
      <c r="I104" t="inlineStr">
        <is>
          <t>0.00%</t>
        </is>
      </c>
    </row>
    <row r="105">
      <c r="A105" s="2" t="n">
        <v>45982</v>
      </c>
      <c r="B105" t="inlineStr">
        <is>
          <t>R21126</t>
        </is>
      </c>
      <c r="C105" t="inlineStr">
        <is>
          <t>GICS_INDUSTRY_NAME</t>
        </is>
      </c>
      <c r="D105" t="inlineStr">
        <is>
          <t>Construction &amp; Engineering</t>
        </is>
      </c>
      <c r="E105" t="inlineStr">
        <is>
          <t>Industrials</t>
        </is>
      </c>
      <c r="F105" t="inlineStr"/>
      <c r="G105" t="inlineStr"/>
      <c r="H105" t="inlineStr">
        <is>
          <t>0.84%</t>
        </is>
      </c>
      <c r="I105" t="inlineStr">
        <is>
          <t>0.00%</t>
        </is>
      </c>
    </row>
    <row r="106">
      <c r="A106" s="2" t="n">
        <v>45982</v>
      </c>
      <c r="B106" t="inlineStr">
        <is>
          <t>R21126</t>
        </is>
      </c>
      <c r="C106" t="inlineStr">
        <is>
          <t>GICS_INDUSTRY_GROUP_NAME</t>
        </is>
      </c>
      <c r="D106" t="inlineStr">
        <is>
          <t>Transportation</t>
        </is>
      </c>
      <c r="E106" t="inlineStr">
        <is>
          <t>Industrials</t>
        </is>
      </c>
      <c r="F106" t="inlineStr"/>
      <c r="G106" t="inlineStr"/>
      <c r="H106" t="inlineStr">
        <is>
          <t>0.73%</t>
        </is>
      </c>
      <c r="I106" t="inlineStr">
        <is>
          <t>0.00%</t>
        </is>
      </c>
    </row>
    <row r="107">
      <c r="A107" s="2" t="n">
        <v>45982</v>
      </c>
      <c r="B107" t="inlineStr">
        <is>
          <t>R21126</t>
        </is>
      </c>
      <c r="C107" t="inlineStr">
        <is>
          <t>GICS_INDUSTRY_NAME</t>
        </is>
      </c>
      <c r="D107" t="inlineStr">
        <is>
          <t>Ground Transportation</t>
        </is>
      </c>
      <c r="E107" t="inlineStr">
        <is>
          <t>Industrials</t>
        </is>
      </c>
      <c r="F107" t="inlineStr"/>
      <c r="G107" t="inlineStr"/>
      <c r="H107" t="inlineStr">
        <is>
          <t>0.73%</t>
        </is>
      </c>
      <c r="I107" t="inlineStr">
        <is>
          <t>0.00%</t>
        </is>
      </c>
    </row>
    <row r="108">
      <c r="A108" s="2" t="n">
        <v>45982</v>
      </c>
      <c r="B108" t="inlineStr">
        <is>
          <t>R21126</t>
        </is>
      </c>
      <c r="C108" t="inlineStr">
        <is>
          <t>GICS_INDUSTRY_GROUP_NAME</t>
        </is>
      </c>
      <c r="D108" t="inlineStr">
        <is>
          <t>Food, Beverage &amp; Tobacco</t>
        </is>
      </c>
      <c r="E108" t="inlineStr">
        <is>
          <t>Consumer Staples</t>
        </is>
      </c>
      <c r="F108" t="inlineStr"/>
      <c r="G108" t="inlineStr"/>
      <c r="H108" t="inlineStr">
        <is>
          <t>0.70%</t>
        </is>
      </c>
      <c r="I108" t="inlineStr">
        <is>
          <t>0.00%</t>
        </is>
      </c>
    </row>
    <row r="109">
      <c r="A109" s="2" t="n">
        <v>45982</v>
      </c>
      <c r="B109" t="inlineStr">
        <is>
          <t>R21126</t>
        </is>
      </c>
      <c r="C109" t="inlineStr">
        <is>
          <t>GICS_INDUSTRY_NAME</t>
        </is>
      </c>
      <c r="D109" t="inlineStr">
        <is>
          <t>Beverages</t>
        </is>
      </c>
      <c r="E109" t="inlineStr">
        <is>
          <t>Consumer Staples</t>
        </is>
      </c>
      <c r="F109" t="inlineStr"/>
      <c r="G109" t="inlineStr"/>
      <c r="H109" t="inlineStr">
        <is>
          <t>0.70%</t>
        </is>
      </c>
      <c r="I109" t="inlineStr">
        <is>
          <t>0.00%</t>
        </is>
      </c>
    </row>
    <row r="110">
      <c r="A110" s="2" t="n">
        <v>45982</v>
      </c>
      <c r="B110" t="inlineStr">
        <is>
          <t>R21126</t>
        </is>
      </c>
      <c r="C110" t="inlineStr">
        <is>
          <t>GICS_INDUSTRY_NAME</t>
        </is>
      </c>
      <c r="D110" t="inlineStr">
        <is>
          <t>Communications Equipment</t>
        </is>
      </c>
      <c r="E110" t="inlineStr">
        <is>
          <t>Information Technology</t>
        </is>
      </c>
      <c r="F110" t="inlineStr"/>
      <c r="G110" t="inlineStr"/>
      <c r="H110" t="inlineStr">
        <is>
          <t>0.62%</t>
        </is>
      </c>
      <c r="I110" t="inlineStr">
        <is>
          <t>0.00%</t>
        </is>
      </c>
    </row>
    <row r="111">
      <c r="A111" s="2" t="n">
        <v>45982</v>
      </c>
      <c r="B111" t="inlineStr">
        <is>
          <t>R21126</t>
        </is>
      </c>
      <c r="C111" t="inlineStr">
        <is>
          <t>GICS_INDUSTRY_GROUP_NAME</t>
        </is>
      </c>
      <c r="D111" t="inlineStr">
        <is>
          <t>Pharmaceuticals, Biotechnology &amp; Life Sciences</t>
        </is>
      </c>
      <c r="E111" t="inlineStr">
        <is>
          <t>Health Care</t>
        </is>
      </c>
      <c r="F111" t="inlineStr"/>
      <c r="G111" t="inlineStr"/>
      <c r="H111" t="inlineStr">
        <is>
          <t>0.59%</t>
        </is>
      </c>
      <c r="I111" t="inlineStr">
        <is>
          <t>0.00%</t>
        </is>
      </c>
    </row>
    <row r="112">
      <c r="A112" s="2" t="n">
        <v>45982</v>
      </c>
      <c r="B112" t="inlineStr">
        <is>
          <t>R21126</t>
        </is>
      </c>
      <c r="C112" t="inlineStr">
        <is>
          <t>GICS_INDUSTRY_NAME</t>
        </is>
      </c>
      <c r="D112" t="inlineStr">
        <is>
          <t>Pharmaceuticals</t>
        </is>
      </c>
      <c r="E112" t="inlineStr">
        <is>
          <t>Health Care</t>
        </is>
      </c>
      <c r="F112" t="inlineStr"/>
      <c r="G112" t="inlineStr"/>
      <c r="H112" t="inlineStr">
        <is>
          <t>0.59%</t>
        </is>
      </c>
      <c r="I112" t="inlineStr">
        <is>
          <t>0.00%</t>
        </is>
      </c>
    </row>
    <row r="113">
      <c r="A113" s="2" t="n">
        <v>45982</v>
      </c>
      <c r="B113" t="inlineStr">
        <is>
          <t>R21126</t>
        </is>
      </c>
      <c r="C113" t="inlineStr">
        <is>
          <t>GICS_INDUSTRY_NAME</t>
        </is>
      </c>
      <c r="D113" t="inlineStr">
        <is>
          <t>Media</t>
        </is>
      </c>
      <c r="E113" t="inlineStr">
        <is>
          <t>Communication Services</t>
        </is>
      </c>
      <c r="F113" t="inlineStr"/>
      <c r="G113" t="inlineStr"/>
      <c r="H113" t="inlineStr">
        <is>
          <t>0.56%</t>
        </is>
      </c>
      <c r="I113" t="inlineStr">
        <is>
          <t>0.00%</t>
        </is>
      </c>
    </row>
    <row r="114">
      <c r="A114" s="2" t="n">
        <v>45982</v>
      </c>
      <c r="B114" t="inlineStr">
        <is>
          <t>R21126</t>
        </is>
      </c>
      <c r="C114" t="inlineStr">
        <is>
          <t>GICS_INDUSTRY_NAME</t>
        </is>
      </c>
      <c r="D114" t="inlineStr">
        <is>
          <t>Commercial Services &amp; Supplies</t>
        </is>
      </c>
      <c r="E114" t="inlineStr">
        <is>
          <t>Industrials</t>
        </is>
      </c>
      <c r="F114" t="inlineStr"/>
      <c r="G114" t="inlineStr"/>
      <c r="H114" t="inlineStr">
        <is>
          <t>0.47%</t>
        </is>
      </c>
      <c r="I114" t="inlineStr">
        <is>
          <t>0.00%</t>
        </is>
      </c>
    </row>
    <row r="115">
      <c r="A115" s="2" t="n">
        <v>45982</v>
      </c>
      <c r="B115" t="inlineStr">
        <is>
          <t>R21126</t>
        </is>
      </c>
      <c r="C115" t="inlineStr">
        <is>
          <t>GICS_INDUSTRY_GROUP_NAME</t>
        </is>
      </c>
      <c r="D115" t="inlineStr">
        <is>
          <t>Materials</t>
        </is>
      </c>
      <c r="E115" t="inlineStr">
        <is>
          <t>Materials</t>
        </is>
      </c>
      <c r="F115" t="inlineStr"/>
      <c r="G115" t="inlineStr"/>
      <c r="H115" t="inlineStr">
        <is>
          <t>0.42%</t>
        </is>
      </c>
      <c r="I115" t="inlineStr">
        <is>
          <t>0.00%</t>
        </is>
      </c>
    </row>
    <row r="116">
      <c r="A116" s="2" t="n">
        <v>45982</v>
      </c>
      <c r="B116" t="inlineStr">
        <is>
          <t>R21126</t>
        </is>
      </c>
      <c r="C116" t="inlineStr">
        <is>
          <t>GICS_INDUSTRY_NAME</t>
        </is>
      </c>
      <c r="D116" t="inlineStr">
        <is>
          <t>Chemicals</t>
        </is>
      </c>
      <c r="E116" t="inlineStr">
        <is>
          <t>Materials</t>
        </is>
      </c>
      <c r="F116" t="inlineStr"/>
      <c r="G116" t="inlineStr"/>
      <c r="H116" t="inlineStr">
        <is>
          <t>0.42%</t>
        </is>
      </c>
      <c r="I116" t="inlineStr">
        <is>
          <t>0.00%</t>
        </is>
      </c>
    </row>
    <row r="117">
      <c r="A117" s="2" t="n">
        <v>45982</v>
      </c>
      <c r="B117" t="inlineStr">
        <is>
          <t>R21126</t>
        </is>
      </c>
      <c r="C117" t="inlineStr">
        <is>
          <t>GICS_INDUSTRY_NAME</t>
        </is>
      </c>
      <c r="D117" t="inlineStr">
        <is>
          <t>Building Products</t>
        </is>
      </c>
      <c r="E117" t="inlineStr">
        <is>
          <t>Industrials</t>
        </is>
      </c>
      <c r="F117" t="inlineStr"/>
      <c r="G117" t="inlineStr"/>
      <c r="H117" t="inlineStr">
        <is>
          <t>0.33%</t>
        </is>
      </c>
      <c r="I117" t="inlineStr">
        <is>
          <t>0.00%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selection activeCell="A1" sqref="A1"/>
    </sheetView>
  </sheetViews>
  <sheetFormatPr baseColWidth="8" defaultRowHeight="15"/>
  <cols>
    <col width="50" customWidth="1" min="1" max="1"/>
    <col width="8" customWidth="1" min="2" max="2"/>
    <col width="31" customWidth="1" min="3" max="3"/>
    <col width="27" customWidth="1" min="4" max="4"/>
    <col width="41" customWidth="1" min="5" max="5"/>
    <col width="27" customWidth="1" min="6" max="6"/>
    <col width="20" customWidth="1" min="7" max="7"/>
    <col width="18" customWidth="1" min="8" max="8"/>
    <col width="20" customWidth="1" min="9" max="9"/>
    <col width="19" customWidth="1" min="10" max="10"/>
    <col width="20" customWidth="1" min="11" max="11"/>
    <col width="9" customWidth="1" min="12" max="12"/>
    <col width="28" customWidth="1" min="13" max="13"/>
    <col width="26" customWidth="1" min="14" max="14"/>
    <col width="14" customWidth="1" min="15" max="15"/>
    <col width="27" customWidth="1" min="16" max="16"/>
  </cols>
  <sheetData>
    <row r="1">
      <c r="A1" s="1" t="inlineStr">
        <is>
          <t>Date</t>
        </is>
      </c>
      <c r="B1" s="1" t="inlineStr">
        <is>
          <t>Fund</t>
        </is>
      </c>
      <c r="C1" s="1" t="inlineStr">
        <is>
          <t>Prospectus 80% Compliance</t>
        </is>
      </c>
      <c r="D1" s="1" t="inlineStr">
        <is>
          <t>Total Equity Market Value</t>
        </is>
      </c>
      <c r="E1" s="1" t="inlineStr">
        <is>
          <t>Total Option Delta Notional Value (DAN)</t>
        </is>
      </c>
      <c r="F1" s="1" t="inlineStr">
        <is>
          <t>Total Option Market Value</t>
        </is>
      </c>
      <c r="G1" s="1" t="inlineStr">
        <is>
          <t>Total T-Bill Value</t>
        </is>
      </c>
      <c r="H1" s="1" t="inlineStr">
        <is>
          <t>Total Cash Value</t>
        </is>
      </c>
      <c r="I1" s="1" t="inlineStr">
        <is>
          <t>Max(CCET - DAN, 0)</t>
        </is>
      </c>
      <c r="J1" s="1" t="inlineStr">
        <is>
          <t>Denominator</t>
        </is>
      </c>
      <c r="K1" s="1" t="inlineStr">
        <is>
          <t>Numerator</t>
        </is>
      </c>
      <c r="L1" s="1" t="inlineStr">
        <is>
          <t>Formula</t>
        </is>
      </c>
      <c r="M1" s="1" t="inlineStr">
        <is>
          <t>Denominator (Market Value)</t>
        </is>
      </c>
      <c r="N1" s="1" t="inlineStr">
        <is>
          <t>Numerator (Market Value)</t>
        </is>
      </c>
      <c r="O1" s="1" t="inlineStr">
        <is>
          <t>Formula (MV)</t>
        </is>
      </c>
      <c r="P1" s="1" t="inlineStr">
        <is>
          <t>Options in Scope for 80%?</t>
        </is>
      </c>
    </row>
    <row r="2">
      <c r="A2" s="2" t="n">
        <v>45982</v>
      </c>
      <c r="B2" t="inlineStr">
        <is>
          <t>HE3B2</t>
        </is>
      </c>
      <c r="C2" s="3">
        <f>IF(K2/J2&gt;=0.8,"PASS","FAIL")</f>
        <v/>
      </c>
      <c r="D2" s="3" t="n">
        <v>20531520.84</v>
      </c>
      <c r="E2" s="3" t="n">
        <v>2080648.20256421</v>
      </c>
      <c r="F2" s="3" t="n">
        <v>-65189</v>
      </c>
      <c r="G2" s="3" t="n">
        <v>0</v>
      </c>
      <c r="H2" s="3" t="n">
        <v>45873.9990234375</v>
      </c>
      <c r="I2" s="3" t="n">
        <v>0</v>
      </c>
      <c r="J2" s="3" t="n">
        <v>22658043.04158765</v>
      </c>
      <c r="K2" s="3" t="n">
        <v>20531520.84</v>
      </c>
      <c r="L2" s="4">
        <f>K2/J2</f>
        <v/>
      </c>
      <c r="M2" s="3" t="n">
        <v>20512205.83902344</v>
      </c>
      <c r="N2" s="3" t="n">
        <v>20531520.84</v>
      </c>
      <c r="O2" s="4">
        <f>N2/M2</f>
        <v/>
      </c>
      <c r="P2" t="inlineStr">
        <is>
          <t>No</t>
        </is>
      </c>
    </row>
    <row r="3">
      <c r="A3" s="2" t="n">
        <v>45982</v>
      </c>
      <c r="B3" t="inlineStr">
        <is>
          <t>R21126</t>
        </is>
      </c>
      <c r="C3" s="3">
        <f>IF(K3/J3&gt;=0.8,"PASS","FAIL")</f>
        <v/>
      </c>
      <c r="D3" s="3" t="n">
        <v>48822987.49999999</v>
      </c>
      <c r="E3" s="3" t="n">
        <v>512.83423728</v>
      </c>
      <c r="F3" s="3" t="n">
        <v>0</v>
      </c>
      <c r="G3" s="3" t="n">
        <v>0</v>
      </c>
      <c r="H3" s="3" t="n">
        <v>103663.44921875</v>
      </c>
      <c r="I3" s="3" t="n">
        <v>103150.61498147</v>
      </c>
      <c r="J3" s="3" t="n">
        <v>48927163.78345602</v>
      </c>
      <c r="K3" s="3" t="n">
        <v>48822987.49999999</v>
      </c>
      <c r="L3" s="4">
        <f>K3/J3</f>
        <v/>
      </c>
      <c r="M3" s="3" t="n">
        <v>48926650.94921874</v>
      </c>
      <c r="N3" s="3" t="n">
        <v>48822987.49999999</v>
      </c>
      <c r="O3" s="4">
        <f>N3/M3</f>
        <v/>
      </c>
      <c r="P3" t="inlineStr">
        <is>
          <t>No</t>
        </is>
      </c>
    </row>
    <row r="4">
      <c r="A4" t="inlineStr">
        <is>
          <t>* Note: Some funds' 80% policies include the options positions while others only include equity exposure.</t>
        </is>
      </c>
      <c r="B4" t="inlineStr"/>
      <c r="C4" t="inlineStr"/>
      <c r="D4" t="inlineStr"/>
      <c r="E4" t="inlineStr"/>
      <c r="F4" t="inlineStr"/>
      <c r="G4" t="inlineStr"/>
      <c r="H4" t="inlineStr"/>
      <c r="I4" t="inlineStr"/>
      <c r="J4" t="inlineStr"/>
      <c r="K4" t="inlineStr"/>
      <c r="L4" t="inlineStr"/>
      <c r="M4" t="inlineStr"/>
      <c r="N4" t="inlineStr"/>
      <c r="O4" t="inlineStr"/>
      <c r="P4" t="inlineStr"/>
    </row>
    <row r="5">
      <c r="A5" t="inlineStr">
        <is>
          <t>* CCET = Cash, Cash Equivalents, and T-bills (less than 1-year maturity).</t>
        </is>
      </c>
      <c r="B5" t="inlineStr"/>
      <c r="C5" t="inlineStr"/>
      <c r="D5" t="inlineStr"/>
      <c r="E5" t="inlineStr"/>
      <c r="F5" t="inlineStr"/>
      <c r="G5" t="inlineStr"/>
      <c r="H5" t="inlineStr"/>
      <c r="I5" t="inlineStr"/>
      <c r="J5" t="inlineStr"/>
      <c r="K5" t="inlineStr"/>
      <c r="L5" t="inlineStr"/>
      <c r="M5" t="inlineStr"/>
      <c r="N5" t="inlineStr"/>
      <c r="O5" t="inlineStr"/>
      <c r="P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13"/>
  <sheetViews>
    <sheetView workbookViewId="0">
      <selection activeCell="A1" sqref="A1"/>
    </sheetView>
  </sheetViews>
  <sheetFormatPr baseColWidth="8" defaultRowHeight="15"/>
  <cols>
    <col width="50" customWidth="1" min="1" max="1"/>
    <col width="8" customWidth="1" min="2" max="2"/>
    <col width="19" customWidth="1" min="3" max="3"/>
    <col width="19" customWidth="1" min="4" max="4"/>
    <col width="26" customWidth="1" min="5" max="5"/>
    <col width="32" customWidth="1" min="6" max="6"/>
    <col width="30" customWidth="1" min="7" max="7"/>
    <col width="41" customWidth="1" min="8" max="8"/>
    <col width="48" customWidth="1" min="9" max="9"/>
    <col width="14" customWidth="1" min="10" max="10"/>
    <col width="30" customWidth="1" min="11" max="11"/>
    <col width="13" customWidth="1" min="12" max="12"/>
    <col width="10" customWidth="1" min="13" max="13"/>
    <col width="42" customWidth="1" min="14" max="14"/>
    <col width="50" customWidth="1" min="15" max="15"/>
    <col width="50" customWidth="1" min="16" max="16"/>
    <col width="42" customWidth="1" min="17" max="17"/>
    <col width="43" customWidth="1" min="18" max="18"/>
    <col width="50" customWidth="1" min="19" max="19"/>
    <col width="40" customWidth="1" min="20" max="20"/>
    <col width="18" customWidth="1" min="21" max="21"/>
    <col width="22" customWidth="1" min="22" max="22"/>
    <col width="7" customWidth="1" min="23" max="23"/>
  </cols>
  <sheetData>
    <row r="1">
      <c r="A1" s="1" t="inlineStr">
        <is>
          <t>Date</t>
        </is>
      </c>
      <c r="B1" s="1" t="inlineStr">
        <is>
          <t>Fund</t>
        </is>
      </c>
      <c r="C1" s="1" t="inlineStr">
        <is>
          <t>Fund Registration</t>
        </is>
      </c>
      <c r="D1" s="1" t="inlineStr">
        <is>
          <t>Fund Status Today</t>
        </is>
      </c>
      <c r="E1" s="1" t="inlineStr">
        <is>
          <t>Registration Match</t>
        </is>
      </c>
      <c r="F1" s="1" t="inlineStr">
        <is>
          <t>Condition 40 Act 1</t>
        </is>
      </c>
      <c r="G1" s="1" t="inlineStr">
        <is>
          <t>Condition 40 Act 2a</t>
        </is>
      </c>
      <c r="H1" s="1" t="inlineStr">
        <is>
          <t>Condition 40 Act 2b</t>
        </is>
      </c>
      <c r="I1" s="1" t="inlineStr">
        <is>
          <t>Condition 2a OCC</t>
        </is>
      </c>
      <c r="J1" s="1" t="inlineStr">
        <is>
          <t>Total Assets</t>
        </is>
      </c>
      <c r="K1" s="1" t="inlineStr">
        <is>
          <t>Non-Qualifying Assets Weight</t>
        </is>
      </c>
      <c r="L1" s="1" t="inlineStr">
        <is>
          <t>Net Assets</t>
        </is>
      </c>
      <c r="M1" s="1" t="inlineStr">
        <is>
          <t>Expenses</t>
        </is>
      </c>
      <c r="N1" s="1" t="inlineStr">
        <is>
          <t>Issuer Limited Assets (Condition 2a) Sum</t>
        </is>
      </c>
      <c r="O1" s="1" t="inlineStr">
        <is>
          <t>Issuer Limited Assets (Condition 2a) (Ticker, IIV Shares, Mkt Value)</t>
        </is>
      </c>
      <c r="P1" s="1" t="inlineStr">
        <is>
          <t>Excluded Securities (25% Bucket)</t>
        </is>
      </c>
      <c r="Q1" s="1" t="inlineStr">
        <is>
          <t>Cumulative Weight of Excluded Securities</t>
        </is>
      </c>
      <c r="R1" s="1" t="inlineStr">
        <is>
          <t>Cumulative Weight of Remaining Securities</t>
        </is>
      </c>
      <c r="S1" s="1" t="inlineStr">
        <is>
          <t>Remaining Securities (Ticker, IIV Shares, Vest Weight, Vest Ownership of Float)</t>
        </is>
      </c>
      <c r="T1" s="1" t="inlineStr">
        <is>
          <t>Max Ownership % of Float in 75% bucket</t>
        </is>
      </c>
      <c r="U1" s="1" t="inlineStr">
        <is>
          <t>OCC Market Value</t>
        </is>
      </c>
      <c r="V1" s="1" t="inlineStr">
        <is>
          <t>OCC Weight</t>
        </is>
      </c>
      <c r="W1" s="1" t="inlineStr">
        <is>
          <t>Notes</t>
        </is>
      </c>
    </row>
    <row r="2">
      <c r="A2" s="2" t="n">
        <v>45982</v>
      </c>
      <c r="B2" t="inlineStr">
        <is>
          <t>HE3B2</t>
        </is>
      </c>
      <c r="C2" t="inlineStr">
        <is>
          <t>diversified</t>
        </is>
      </c>
      <c r="D2" t="inlineStr">
        <is>
          <t>diversified</t>
        </is>
      </c>
      <c r="E2" s="3">
        <f>IF(C2=D2,"PASS","FAIL")</f>
        <v/>
      </c>
      <c r="F2" s="3">
        <f>IF(L2/J2&gt;=0.75,"PASS","FAIL")</f>
        <v/>
      </c>
      <c r="G2" s="3">
        <f>IF(O2="None","PASS","FAIL")</f>
        <v/>
      </c>
      <c r="H2" s="3">
        <f>IF(T2="","",IF(T2&lt;=0.1,"PASS","FAIL"))</f>
        <v/>
      </c>
      <c r="I2" s="3">
        <f>IF(U2=0,"PASS",IF(U2&lt;=0.05*L2,"PASS","FAIL"))</f>
        <v/>
      </c>
      <c r="J2" s="3" t="n">
        <v>24293147.02</v>
      </c>
      <c r="K2" s="5" t="n">
        <v>0</v>
      </c>
      <c r="L2" s="3" t="n">
        <v>20717665.35</v>
      </c>
      <c r="M2" s="3" t="n">
        <v>4491.06</v>
      </c>
      <c r="N2" s="3" t="n">
        <v>0</v>
      </c>
      <c r="O2" t="inlineStr">
        <is>
          <t>None</t>
        </is>
      </c>
      <c r="P2" t="inlineStr">
        <is>
          <t>NVDA, AAPL, MSFT, AVGO</t>
        </is>
      </c>
      <c r="Q2" s="5" t="n">
        <v>0.2616910394297878</v>
      </c>
      <c r="R2" s="5" t="n">
        <v>0.7383089605702122</v>
      </c>
      <c r="S2" t="inlineStr">
        <is>
          <t>(None, 0, 3.41%, 0.0000000%), (None, 0, 2.02%, 0.0000000%), (None, 0, 1.84%, 0.0000000%), (None, 0, 1.84%, 0.0000000%), (None, 0, 1.81%, 0.0000000%), (None, 0, 1.51%, 0.0000000%), (None, 0, 1.42%, 0.0000000%), (None, 0, 1.39%, 0.0000000%), (None, 0, 1.18%, 0.0000000%), (None, 0, 1.10%, 0.0000000%), (None, 0, 1.04%, 0.0000000%), (None, 0, 1.02%, 0.0000000%), (None, 0, 0.93%, 0.0000000%), (None, 0, 0.91%, 0.0000000%), (None, 0, 0.87%, 0.0000000%), (None, 0, 0.79%, 0.0000000%), (None, 0, 0.75%, 0.0000000%), (None, 0, 0.74%, 0.0000000%), (None, 0, 0.72%, 0.0000000%), (None, 0, 0.71%, 0.0000000%), (None, 0, 0.70%, 0.0000000%), (None, 0, 0.69%, 0.0000000%), (None, 0, 0.69%, 0.0000000%), (None, 0, 0.67%, 0.0000000%), (None, 0, 0.65%, 0.0000000%), (None, 0, 0.61%, 0.0000000%), (None, 0, 0.60%, 0.0000000%), (None, 0, 0.57%, 0.0000000%), (None, 0, 0.55%, 0.0000000%), (None, 0, 0.52%, 0.0000000%), (None, 0, 0.52%, 0.0000000%), (None, 0, 0.52%, 0.0000000%), (None, 0, 0.52%, 0.0000000%), (None, 0, 0.51%, 0.0000000%), (None, 0, 0.46%, 0.0000000%), (None, 0, 0.45%, 0.0000000%), (None, 0, 0.44%, 0.0000000%), (None, 0, 0.44%, 0.0000000%), (None, 0, 0.43%, 0.0000000%), (None, 0, 0.43%, 0.0000000%), (None, 0, 0.41%, 0.0000000%), (None, 0, 0.41%, 0.0000000%), (None, 0, 0.41%, 0.0000000%), (None, 0, 0.40%, 0.0000000%), (None, 0, 0.40%, 0.0000000%), (None, 0, 0.37%, 0.0000000%), (None, 0, 0.37%, 0.0000000%), (None, 0, 0.36%, 0.0000000%), (None, 0, 0.35%, 0.0000000%), (None, 0, 0.35%, 0.0000000%), (None, 0, 0.34%, 0.0000000%), (None, 0, 0.34%, 0.0000000%), (None, 0, 0.33%, 0.0000000%), (None, 0, 0.32%, 0.0000000%), (None, 0, 0.32%, 0.0000000%), (None, 0, 0.32%, 0.0000000%), (None, 0, 0.32%, 0.0000000%), (None, 0, 0.30%, 0.0000000%), (None, 0, 0.30%, 0.0000000%), (None, 0, 0.29%, 0.0000000%), (None, 0, 0.28%, 0.0000000%), (None, 0, 0.24%, 0.0000000%), (None, 0, 0.22%, 0.0000000%), (None, 0, 0.21%, 0.0000000%), (None, 0, 0.21%, 0.0000000%), (None, 0, 0.17%, 0.0000000%), (None, 0, 0.16%, 0.0000000%), (None, 0, 0.16%, 0.0000000%), (None, 0, 0.16%, 0.0000000%), (None, 0, 0.13%, 0.0000000%), (None, 0, 0.13%, 0.0000000%), (None, 0, 0.12%,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t>
        </is>
      </c>
      <c r="T2" s="5" t="n">
        <v>0</v>
      </c>
      <c r="U2" s="3" t="n">
        <v>65189</v>
      </c>
      <c r="V2" s="5" t="n">
        <v>0.002683431666812512</v>
      </c>
      <c r="W2" t="inlineStr"/>
    </row>
    <row r="3">
      <c r="A3" s="2" t="n">
        <v>45982</v>
      </c>
      <c r="B3" t="inlineStr">
        <is>
          <t>R21126</t>
        </is>
      </c>
      <c r="C3" t="inlineStr">
        <is>
          <t>diversified</t>
        </is>
      </c>
      <c r="D3" t="inlineStr">
        <is>
          <t>diversified</t>
        </is>
      </c>
      <c r="E3" s="3">
        <f>IF(C3=D3,"PASS","FAIL")</f>
        <v/>
      </c>
      <c r="F3" s="3">
        <f>IF(L3/J3&gt;=0.75,"PASS","FAIL")</f>
        <v/>
      </c>
      <c r="G3" s="3">
        <f>IF(O3="None","PASS","FAIL")</f>
        <v/>
      </c>
      <c r="H3" s="3">
        <f>IF(T3="","",IF(T3&lt;=0.1,"PASS","FAIL"))</f>
        <v/>
      </c>
      <c r="I3" s="3">
        <f>IF(U3=0,"PASS",IF(U3&lt;=0.05*L3,"PASS","FAIL"))</f>
        <v/>
      </c>
      <c r="J3" s="3" t="n">
        <v>52846233.31</v>
      </c>
      <c r="K3" s="5" t="n">
        <v>0</v>
      </c>
      <c r="L3" s="3" t="n">
        <v>49252287.25</v>
      </c>
      <c r="M3" s="3" t="n">
        <v>10576.62</v>
      </c>
      <c r="N3" s="3" t="n">
        <v>0</v>
      </c>
      <c r="O3" t="inlineStr">
        <is>
          <t>None</t>
        </is>
      </c>
      <c r="P3" t="inlineStr">
        <is>
          <t>GOOGLE, KLAC, AMAT, MLI, NVDA, LRCX, ROST, BK, BKR, AXP, EBAY</t>
        </is>
      </c>
      <c r="Q3" s="5" t="n">
        <v>0.2659866179108261</v>
      </c>
      <c r="R3" s="5" t="n">
        <v>0.7340133820891739</v>
      </c>
      <c r="S3" t="inlineStr">
        <is>
          <t>(None, 0, 1.93%, 0.0000000%), (None, 0, 1.90%, 0.0000000%), (None, 0, 1.90%, 0.0000000%), (None, 0, 1.87%, 0.0000000%), (None, 0, 1.84%, 0.0000000%), (None, 0, 1.83%, 0.0000000%), (None, 0, 1.83%, 0.0000000%), (None, 0, 1.78%, 0.0000000%), (None, 0, 1.76%, 0.0000000%), (None, 0, 1.74%, 0.0000000%), (None, 0, 1.73%, 0.0000000%), (None, 0, 1.73%, 0.0000000%), (None, 0, 1.69%, 0.0000000%), (None, 0, 1.67%, 0.0000000%), (None, 0, 1.66%, 0.0000000%), (None, 0, 1.64%, 0.0000000%), (None, 0, 1.59%, 0.0000000%), (None, 0, 1.57%, 0.0000000%), (None, 0, 1.56%, 0.0000000%), (None, 0, 1.53%, 0.0000000%), (None, 0, 1.47%, 0.0000000%), (None, 0, 1.45%, 0.0000000%), (None, 0, 1.42%, 0.0000000%), (None, 0, 1.40%, 0.0000000%), (None, 0, 1.40%, 0.0000000%), (None, 0, 1.37%, 0.0000000%), (None, 0, 1.30%, 0.0000000%), (None, 0, 1.28%, 0.0000000%), (None, 0, 1.24%, 0.0000000%), (None, 0, 1.24%, 0.0000000%), (None, 0, 1.04%, 0.0000000%), (None, 0, 0.91%, 0.0000000%), (None, 0, 0.91%, 0.0000000%), (None, 0, 0.88%, 0.0000000%), (None, 0, 0.87%, 0.0000000%), (None, 0, 0.87%, 0.0000000%), (None, 0, 0.81%, 0.0000000%), (None, 0, 0.78%, 0.0000000%), (None, 0, 0.76%, 0.0000000%), (None, 0, 0.75%, 0.0000000%), (None, 0, 0.68%, 0.0000000%), (None, 0, 0.65%, 0.0000000%), (None, 0, 0.62%, 0.0000000%), (None, 0, 0.57%, 0.0000000%), (None, 0, 0.55%, 0.0000000%), (None, 0, 0.51%, 0.0000000%), (None, 0, 0.51%, 0.0000000%), (None, 0, 0.50%, 0.0000000%), (None, 0, 0.47%, 0.0000000%), (None, 0, 0.46%, 0.0000000%), (None, 0, 0.44%, 0.0000000%), (None, 0, 0.44%, 0.0000000%), (None, 0, 0.43%, 0.0000000%), (None, 0, 0.43%, 0.0000000%), (None, 0, 0.43%, 0.0000000%), (None, 0, 0.43%, 0.0000000%), (None, 0, 0.42%, 0.0000000%), (None, 0, 0.42%, 0.0000000%), (None, 0, 0.39%, 0.0000000%), (None, 0, 0.36%, 0.0000000%), (None, 0, 0.36%, 0.0000000%), (None, 0, 0.35%, 0.0000000%), (None, 0, 0.30%, 0.0000000%)</t>
        </is>
      </c>
      <c r="T3" s="5" t="n">
        <v>0</v>
      </c>
      <c r="U3" s="3" t="n">
        <v>0</v>
      </c>
      <c r="V3" s="5" t="n">
        <v>0</v>
      </c>
      <c r="W3" t="inlineStr"/>
    </row>
    <row r="4">
      <c r="A4" t="inlineStr">
        <is>
          <t>* To be classified as a diversified company under the 1940 Act, at least 75% of the value of the fund's total assets must be invested in:</t>
        </is>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c r="S4" t="inlineStr"/>
      <c r="T4" t="inlineStr"/>
      <c r="U4" t="inlineStr"/>
      <c r="V4" t="inlineStr"/>
      <c r="W4" t="inlineStr"/>
    </row>
    <row r="5">
      <c r="A5" t="inlineStr">
        <is>
          <t>* 1) cash and cash items (including receivables),</t>
        </is>
      </c>
      <c r="B5" t="inlineStr"/>
      <c r="C5" t="inlineStr"/>
      <c r="D5"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c r="U5" t="inlineStr"/>
      <c r="V5" t="inlineStr"/>
      <c r="W5" t="inlineStr"/>
    </row>
    <row r="6">
      <c r="A6" t="inlineStr">
        <is>
          <t>* 2) government securities,</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row>
    <row r="7">
      <c r="A7" t="inlineStr">
        <is>
          <t>* 3) securities of other investment companies, and</t>
        </is>
      </c>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row>
    <row r="8">
      <c r="A8" t="inlineStr">
        <is>
          <t>* 4) other securities</t>
        </is>
      </c>
      <c r="B8" t="inlineStr"/>
      <c r="C8" t="inlineStr"/>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row>
    <row r="9">
      <c r="A9" t="inlineStr">
        <is>
          <t xml:space="preserve">* </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row>
    <row r="10">
      <c r="A10" t="inlineStr">
        <is>
          <t>* Compliance Conditions: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row>
    <row r="11">
      <c r="A11" t="inlineStr">
        <is>
          <t>* Condition 40 Act 1: 75% of the fund must be invested in diversified assets.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c r="W11" t="inlineStr"/>
    </row>
    <row r="12">
      <c r="A12" t="inlineStr">
        <is>
          <t>* Condition 40 Act 2a: No single issuer in the 75% can exceed 5% of total assets.</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c r="V12" t="inlineStr"/>
      <c r="W12" t="inlineStr"/>
    </row>
    <row r="13">
      <c r="A13" t="inlineStr">
        <is>
          <t>* Condition 40 Act 2b: No single issuer in the 75% can exceed 10% of the issuer's voting securities.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c r="W13"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50" customWidth="1" min="1" max="1"/>
    <col width="8" customWidth="1" min="2" max="2"/>
    <col width="17" customWidth="1" min="3" max="3"/>
    <col width="31" customWidth="1" min="4" max="4"/>
    <col width="28" customWidth="1" min="5" max="5"/>
    <col width="22" customWidth="1" min="6" max="6"/>
    <col width="19" customWidth="1" min="7" max="7"/>
    <col width="14" customWidth="1" min="8" max="8"/>
    <col width="25" customWidth="1" min="9" max="9"/>
    <col width="10" customWidth="1" min="10" max="10"/>
    <col width="23" customWidth="1" min="11" max="11"/>
    <col width="30" customWidth="1" min="12" max="12"/>
    <col width="24" customWidth="1" min="13" max="13"/>
    <col width="33" customWidth="1" min="14" max="14"/>
    <col width="16" customWidth="1" min="15" max="15"/>
    <col width="22" customWidth="1" min="16" max="16"/>
    <col width="27" customWidth="1" min="17" max="17"/>
    <col width="34" customWidth="1" min="18" max="18"/>
  </cols>
  <sheetData>
    <row r="1">
      <c r="A1" s="1" t="inlineStr">
        <is>
          <t>Date</t>
        </is>
      </c>
      <c r="B1" s="1" t="inlineStr">
        <is>
          <t>Fund</t>
        </is>
      </c>
      <c r="C1" s="1" t="inlineStr">
        <is>
          <t>condition_IRS_1</t>
        </is>
      </c>
      <c r="D1" s="1" t="inlineStr">
        <is>
          <t>condition_IRS_2_a_50</t>
        </is>
      </c>
      <c r="E1" s="1" t="inlineStr">
        <is>
          <t>condition_IRS_2_a_5</t>
        </is>
      </c>
      <c r="F1" s="1" t="inlineStr">
        <is>
          <t>condition_IRS_2_a_10</t>
        </is>
      </c>
      <c r="G1" s="1" t="inlineStr">
        <is>
          <t>condition_IRS_2_b</t>
        </is>
      </c>
      <c r="H1" s="1" t="inlineStr">
        <is>
          <t>total_assets</t>
        </is>
      </c>
      <c r="I1" s="1" t="inlineStr">
        <is>
          <t>qualifying_assets_value</t>
        </is>
      </c>
      <c r="J1" s="1" t="inlineStr">
        <is>
          <t>expenses</t>
        </is>
      </c>
      <c r="K1" s="1" t="inlineStr">
        <is>
          <t>five_pct_gross_assets</t>
        </is>
      </c>
      <c r="L1" s="1" t="inlineStr">
        <is>
          <t>sum_large_securities_weights</t>
        </is>
      </c>
      <c r="M1" s="1" t="inlineStr">
        <is>
          <t>large_securities_count</t>
        </is>
      </c>
      <c r="N1" s="1" t="inlineStr">
        <is>
          <t>large_securities</t>
        </is>
      </c>
      <c r="O1" s="1" t="inlineStr">
        <is>
          <t>overlap_weight</t>
        </is>
      </c>
      <c r="P1" s="1" t="inlineStr">
        <is>
          <t>overlap_constituents</t>
        </is>
      </c>
      <c r="Q1" s="1" t="inlineStr">
        <is>
          <t>bottom_50_largest_holding</t>
        </is>
      </c>
      <c r="R1" s="1" t="inlineStr">
        <is>
          <t>bottom_50_second_largest_holding</t>
        </is>
      </c>
    </row>
    <row r="2">
      <c r="A2" s="2" t="n">
        <v>45982</v>
      </c>
      <c r="B2" t="inlineStr">
        <is>
          <t>HE3B2</t>
        </is>
      </c>
      <c r="C2" t="inlineStr">
        <is>
          <t>PASS</t>
        </is>
      </c>
      <c r="D2" s="3">
        <f>IF(I2/H2&gt;=0.5,"PASS","FAIL")</f>
        <v/>
      </c>
      <c r="E2" s="3">
        <f>IF(L2&lt;=0.5,"PASS","FAIL")</f>
        <v/>
      </c>
      <c r="F2" t="inlineStr">
        <is>
          <t>PASS</t>
        </is>
      </c>
      <c r="G2" t="inlineStr">
        <is>
          <t>PASS</t>
        </is>
      </c>
      <c r="H2" s="3" t="n">
        <v>24293147.02</v>
      </c>
      <c r="I2" s="3" t="n">
        <v>16651926.38</v>
      </c>
      <c r="J2" s="3" t="n">
        <v>4491.06</v>
      </c>
      <c r="K2" s="5" t="n">
        <v>1214657.351</v>
      </c>
      <c r="L2" s="5" t="n">
        <v>0.2210311491492452</v>
      </c>
      <c r="M2" s="3" t="n">
        <v>3</v>
      </c>
      <c r="N2" t="inlineStr">
        <is>
          <t>(, 8.12%), (, 7.53%), (, 6.46%)</t>
        </is>
      </c>
      <c r="O2" s="5" t="n">
        <v>0</v>
      </c>
      <c r="P2" t="inlineStr">
        <is>
          <t>None</t>
        </is>
      </c>
      <c r="Q2" t="inlineStr">
        <is>
          <t>ABBV (1.09%)</t>
        </is>
      </c>
      <c r="R2" t="inlineStr">
        <is>
          <t>NEE (1.07%)</t>
        </is>
      </c>
    </row>
    <row r="3">
      <c r="A3" s="2" t="n">
        <v>45982</v>
      </c>
      <c r="B3" t="inlineStr">
        <is>
          <t>R21126</t>
        </is>
      </c>
      <c r="C3" t="inlineStr">
        <is>
          <t>PASS</t>
        </is>
      </c>
      <c r="D3" s="3">
        <f>IF(I3/H3&gt;=0.5,"PASS","FAIL")</f>
        <v/>
      </c>
      <c r="E3" s="3">
        <f>IF(L3&lt;=0.5,"PASS","FAIL")</f>
        <v/>
      </c>
      <c r="F3" t="inlineStr">
        <is>
          <t>PASS</t>
        </is>
      </c>
      <c r="G3" t="inlineStr">
        <is>
          <t>PASS</t>
        </is>
      </c>
      <c r="H3" s="3" t="n">
        <v>52846233.31</v>
      </c>
      <c r="I3" s="3" t="n">
        <v>0</v>
      </c>
      <c r="J3" s="3" t="n">
        <v>10576.62</v>
      </c>
      <c r="K3" s="5" t="n">
        <v>2642311.6655</v>
      </c>
      <c r="L3" s="5" t="n">
        <v>0</v>
      </c>
      <c r="M3" s="3" t="n">
        <v>0</v>
      </c>
      <c r="N3" t="inlineStr">
        <is>
          <t>None</t>
        </is>
      </c>
      <c r="O3" s="5" t="n">
        <v>0</v>
      </c>
      <c r="P3" t="inlineStr">
        <is>
          <t>None</t>
        </is>
      </c>
      <c r="Q3" t="inlineStr">
        <is>
          <t>N/A (0.00%)</t>
        </is>
      </c>
      <c r="R3" t="inlineStr">
        <is>
          <t>N/A (0.00%)</t>
        </is>
      </c>
    </row>
    <row r="4">
      <c r="A4" t="inlineStr">
        <is>
          <t>* IRS Condition 1: 90% of income must come from qualifying sources.</t>
        </is>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row>
    <row r="5">
      <c r="A5" t="inlineStr">
        <is>
          <t>* IRS Condition 2a: At least 50% of assets must be allocated to qualifying securities.</t>
        </is>
      </c>
      <c r="B5" t="inlineStr"/>
      <c r="C5" t="inlineStr"/>
      <c r="D5" t="inlineStr"/>
      <c r="E5" t="inlineStr"/>
      <c r="F5" t="inlineStr"/>
      <c r="G5" t="inlineStr"/>
      <c r="H5" t="inlineStr"/>
      <c r="I5" t="inlineStr"/>
      <c r="J5" t="inlineStr"/>
      <c r="K5" t="inlineStr"/>
      <c r="L5" t="inlineStr"/>
      <c r="M5" t="inlineStr"/>
      <c r="N5" t="inlineStr"/>
      <c r="O5" t="inlineStr"/>
      <c r="P5" t="inlineStr"/>
      <c r="Q5" t="inlineStr"/>
      <c r="R5" t="inlineStr"/>
    </row>
    <row r="6">
      <c r="A6" t="inlineStr">
        <is>
          <t>* IRS Condition 2a5: for 50% of portfolio, no issuer is more than 5% of fund assets.</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row>
    <row r="7">
      <c r="A7" t="inlineStr">
        <is>
          <t>* IRS Condition 2a10: for 50% of portfolio, fund doesn't hold more than 10% of any issuer's outstanding float.</t>
        </is>
      </c>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row>
    <row r="8">
      <c r="A8" t="inlineStr">
        <is>
          <t>* IRS Condition 2b: No single issuer may constitute more than 25% of assets.</t>
        </is>
      </c>
      <c r="B8" t="inlineStr"/>
      <c r="C8" t="inlineStr"/>
      <c r="D8" t="inlineStr"/>
      <c r="E8" t="inlineStr"/>
      <c r="F8" t="inlineStr"/>
      <c r="G8" t="inlineStr"/>
      <c r="H8" t="inlineStr"/>
      <c r="I8" t="inlineStr"/>
      <c r="J8" t="inlineStr"/>
      <c r="K8" t="inlineStr"/>
      <c r="L8" t="inlineStr"/>
      <c r="M8" t="inlineStr"/>
      <c r="N8" t="inlineStr"/>
      <c r="O8" t="inlineStr"/>
      <c r="P8" t="inlineStr"/>
      <c r="Q8" t="inlineStr"/>
      <c r="R8"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50" customWidth="1" min="1" max="1"/>
    <col width="8" customWidth="1" min="2" max="2"/>
    <col width="14" customWidth="1" min="3" max="3"/>
    <col width="22" customWidth="1" min="4" max="4"/>
    <col width="21" customWidth="1" min="5" max="5"/>
    <col width="28" customWidth="1" min="6" max="6"/>
    <col width="29" customWidth="1" min="7" max="7"/>
    <col width="32" customWidth="1" min="8" max="8"/>
  </cols>
  <sheetData>
    <row r="1">
      <c r="A1" s="1" t="inlineStr">
        <is>
          <t>Date</t>
        </is>
      </c>
      <c r="B1" s="1" t="inlineStr">
        <is>
          <t>Fund</t>
        </is>
      </c>
      <c r="C1" s="1" t="inlineStr">
        <is>
          <t>Total Assets</t>
        </is>
      </c>
      <c r="D1" s="1" t="inlineStr">
        <is>
          <t>Total Illiquid Value</t>
        </is>
      </c>
      <c r="E1" s="1" t="inlineStr">
        <is>
          <t>Illiquid Percentage</t>
        </is>
      </c>
      <c r="F1" s="1" t="inlineStr">
        <is>
          <t>Equity Holdings Percentage</t>
        </is>
      </c>
      <c r="G1" s="1" t="inlineStr">
        <is>
          <t>Max 15% Illiquid Compliance</t>
        </is>
      </c>
      <c r="H1" s="1" t="inlineStr">
        <is>
          <t>Equity Holdings 85% Compliance</t>
        </is>
      </c>
    </row>
    <row r="2">
      <c r="A2" s="2" t="n">
        <v>45982</v>
      </c>
      <c r="B2" t="inlineStr">
        <is>
          <t>HE3B2</t>
        </is>
      </c>
      <c r="C2" s="3" t="n">
        <v>24293147.02</v>
      </c>
      <c r="D2" s="3" t="n">
        <v>0</v>
      </c>
      <c r="E2" s="5" t="n">
        <v>0</v>
      </c>
      <c r="F2" s="5" t="n">
        <v>0.8451569005488201</v>
      </c>
      <c r="G2" s="3">
        <f>IF(E2&lt;=0.15,"PASS","FAIL")</f>
        <v/>
      </c>
      <c r="H2" s="3">
        <f>IF(F2&gt;=0.85,"PASS","FAIL")</f>
        <v/>
      </c>
    </row>
    <row r="3">
      <c r="A3" s="2" t="n">
        <v>45982</v>
      </c>
      <c r="B3" t="inlineStr">
        <is>
          <t>R21126</t>
        </is>
      </c>
      <c r="C3" s="3" t="n">
        <v>52846233.31</v>
      </c>
      <c r="D3" s="3" t="n">
        <v>0</v>
      </c>
      <c r="E3" s="5" t="n">
        <v>0</v>
      </c>
      <c r="F3" s="5" t="n">
        <v>0.9238688254960511</v>
      </c>
      <c r="G3" s="3">
        <f>IF(E3&lt;=0.15,"PASS","FAIL")</f>
        <v/>
      </c>
      <c r="H3" s="3">
        <f>IF(F3&gt;=0.85,"PASS","FAIL")</f>
        <v/>
      </c>
    </row>
    <row r="4">
      <c r="A4" t="inlineStr">
        <is>
          <t>* We search for tags in Bloomberg for any illiquid or restricted securities.</t>
        </is>
      </c>
      <c r="B4" t="inlineStr"/>
      <c r="C4" t="inlineStr"/>
      <c r="D4" t="inlineStr"/>
      <c r="E4" t="inlineStr"/>
      <c r="F4" t="inlineStr"/>
      <c r="G4" t="inlineStr"/>
      <c r="H4" t="inlineStr"/>
    </row>
    <row r="5">
      <c r="A5" t="inlineStr">
        <is>
          <t>* If none, it reports 'None'.</t>
        </is>
      </c>
      <c r="B5" t="inlineStr"/>
      <c r="C5" t="inlineStr"/>
      <c r="D5" t="inlineStr"/>
      <c r="E5" t="inlineStr"/>
      <c r="F5" t="inlineStr"/>
      <c r="G5" t="inlineStr"/>
      <c r="H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50" customWidth="1" min="1" max="1"/>
    <col width="8" customWidth="1" min="2" max="2"/>
    <col width="22" customWidth="1" min="3" max="3"/>
    <col width="20" customWidth="1" min="4" max="4"/>
  </cols>
  <sheetData>
    <row r="1">
      <c r="A1" s="1" t="inlineStr">
        <is>
          <t>Date</t>
        </is>
      </c>
      <c r="B1" s="1" t="inlineStr">
        <is>
          <t>Fund</t>
        </is>
      </c>
      <c r="C1" s="1" t="inlineStr">
        <is>
          <t>Real Estate Exposure</t>
        </is>
      </c>
      <c r="D1" s="1" t="inlineStr">
        <is>
          <t>Total Exposure</t>
        </is>
      </c>
    </row>
    <row r="2">
      <c r="A2" s="2" t="n">
        <v>45982</v>
      </c>
      <c r="B2" t="inlineStr">
        <is>
          <t>HE3B2</t>
        </is>
      </c>
      <c r="C2" s="3" t="n">
        <v>0</v>
      </c>
      <c r="D2" s="3" t="n">
        <v>20531520.84</v>
      </c>
    </row>
    <row r="3">
      <c r="A3" s="2" t="n">
        <v>45982</v>
      </c>
      <c r="B3" t="inlineStr">
        <is>
          <t>R21126</t>
        </is>
      </c>
      <c r="C3" s="3" t="n">
        <v>0</v>
      </c>
      <c r="D3" s="3" t="n">
        <v>48822987.49999999</v>
      </c>
    </row>
    <row r="4">
      <c r="A4" t="inlineStr">
        <is>
          <t>* We search for tags in Bloomberg for any fund holdings categorized as real estate.</t>
        </is>
      </c>
      <c r="B4" t="inlineStr"/>
      <c r="C4" t="inlineStr"/>
      <c r="D4" t="inlineStr"/>
    </row>
    <row r="5">
      <c r="A5" t="inlineStr">
        <is>
          <t>* If none, it reports 'None'.</t>
        </is>
      </c>
      <c r="B5" t="inlineStr"/>
      <c r="C5" t="inlineStr"/>
      <c r="D5"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50" customWidth="1" min="1" max="1"/>
    <col width="8" customWidth="1" min="2" max="2"/>
    <col width="22" customWidth="1" min="3" max="3"/>
  </cols>
  <sheetData>
    <row r="1">
      <c r="A1" s="1" t="inlineStr">
        <is>
          <t>Date</t>
        </is>
      </c>
      <c r="B1" s="1" t="inlineStr">
        <is>
          <t>Fund</t>
        </is>
      </c>
      <c r="C1" s="1" t="inlineStr">
        <is>
          <t>Commodities Exposure</t>
        </is>
      </c>
    </row>
    <row r="2">
      <c r="A2" s="2" t="n">
        <v>45982</v>
      </c>
      <c r="B2" t="inlineStr">
        <is>
          <t>HE3B2</t>
        </is>
      </c>
      <c r="C2" s="3" t="n">
        <v>0</v>
      </c>
    </row>
    <row r="3">
      <c r="A3" s="2" t="n">
        <v>45982</v>
      </c>
      <c r="B3" t="inlineStr">
        <is>
          <t>R21126</t>
        </is>
      </c>
      <c r="C3" s="3" t="n">
        <v>0</v>
      </c>
    </row>
    <row r="4">
      <c r="A4" t="inlineStr">
        <is>
          <t>* We search for tags in Bloomberg for any fund holdings categorized as commodities.</t>
        </is>
      </c>
      <c r="B4" t="inlineStr"/>
      <c r="C4" t="inlineStr"/>
    </row>
    <row r="5">
      <c r="A5" t="inlineStr">
        <is>
          <t>* If none, it reports 'None'.</t>
        </is>
      </c>
      <c r="B5" t="inlineStr"/>
      <c r="C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50" customWidth="1" min="1" max="1"/>
    <col width="8" customWidth="1" min="2" max="2"/>
    <col width="14" customWidth="1" min="3" max="3"/>
    <col width="22" customWidth="1" min="4" max="4"/>
    <col width="17" customWidth="1" min="5" max="5"/>
    <col width="25" customWidth="1" min="6" max="6"/>
    <col width="29" customWidth="1" min="7" max="7"/>
    <col width="32" customWidth="1" min="8" max="8"/>
    <col width="32" customWidth="1" min="9" max="9"/>
    <col width="50" customWidth="1" min="10" max="10"/>
  </cols>
  <sheetData>
    <row r="1">
      <c r="A1" s="1" t="inlineStr">
        <is>
          <t>Date</t>
        </is>
      </c>
      <c r="B1" s="1" t="inlineStr">
        <is>
          <t>Fund</t>
        </is>
      </c>
      <c r="C1" s="1" t="inlineStr">
        <is>
          <t>Total Assets</t>
        </is>
      </c>
      <c r="D1" s="1" t="inlineStr">
        <is>
          <t>Investment Companies</t>
        </is>
      </c>
      <c r="E1" s="1" t="inlineStr">
        <is>
          <t>Ownership % Max</t>
        </is>
      </c>
      <c r="F1" s="1" t="inlineStr">
        <is>
          <t>Equity Market Value Sum</t>
        </is>
      </c>
      <c r="G1" s="1" t="inlineStr">
        <is>
          <t>Test 1 (&lt;=3% Ownership)</t>
        </is>
      </c>
      <c r="H1" s="1" t="inlineStr">
        <is>
          <t>Test 2 (&lt;=5% Total Assets)</t>
        </is>
      </c>
      <c r="I1" s="1" t="inlineStr">
        <is>
          <t>Test 3 (&lt;=10% Total Assets)</t>
        </is>
      </c>
      <c r="J1" s="1" t="inlineStr">
        <is>
          <t>12d1(a) Compliant</t>
        </is>
      </c>
    </row>
    <row r="2">
      <c r="A2" s="2" t="n">
        <v>45982</v>
      </c>
      <c r="B2" t="inlineStr">
        <is>
          <t>HE3B2</t>
        </is>
      </c>
      <c r="C2" s="3" t="n">
        <v>24293147.02</v>
      </c>
      <c r="D2" t="inlineStr">
        <is>
          <t>None</t>
        </is>
      </c>
      <c r="E2" s="5" t="n">
        <v>0</v>
      </c>
      <c r="F2" s="3" t="n">
        <v>0</v>
      </c>
      <c r="G2" s="5">
        <f>IF(E2&lt;=0.03,"PASS","FAIL")</f>
        <v/>
      </c>
      <c r="H2" s="3">
        <f>IF(F2/C2&lt;=0.05,"PASS","FAIL")</f>
        <v/>
      </c>
      <c r="I2" s="3">
        <f>IF(F2/C2&lt;=0.10,"PASS","FAIL")</f>
        <v/>
      </c>
      <c r="J2" s="3">
        <f>IF(AND(G2="PASS",H2="PASS",I2="PASS"),"PASS","FAIL")</f>
        <v/>
      </c>
    </row>
    <row r="3">
      <c r="A3" s="2" t="n">
        <v>45982</v>
      </c>
      <c r="B3" t="inlineStr">
        <is>
          <t>R21126</t>
        </is>
      </c>
      <c r="C3" s="3" t="n">
        <v>52846233.31</v>
      </c>
      <c r="D3" t="inlineStr">
        <is>
          <t>None</t>
        </is>
      </c>
      <c r="E3" s="5" t="n">
        <v>0</v>
      </c>
      <c r="F3" s="3" t="n">
        <v>0</v>
      </c>
      <c r="G3" s="5">
        <f>IF(E3&lt;=0.03,"PASS","FAIL")</f>
        <v/>
      </c>
      <c r="H3" s="3">
        <f>IF(F3/C3&lt;=0.05,"PASS","FAIL")</f>
        <v/>
      </c>
      <c r="I3" s="3">
        <f>IF(F3/C3&lt;=0.10,"PASS","FAIL")</f>
        <v/>
      </c>
      <c r="J3" s="3">
        <f>IF(AND(G3="PASS",H3="PASS",I3="PASS"),"PASS","FAIL")</f>
        <v/>
      </c>
    </row>
    <row r="4">
      <c r="A4" t="inlineStr">
        <is>
          <t>* The Fund will not purchase or otherwise acquire: (i) more than 3% of the total outstanding voting stock of the acquired company; (ii) securities issued by the acquired company having an aggregate value in excess of 5% of the value of the total assets of the acquiring company; or (iii) securities issued by the acquired company and all other investment companies (other than treasury stock of the acquiring company) having an aggregate value in excess of 10% of the value of the total assets of the acquiring company.</t>
        </is>
      </c>
      <c r="B4" t="inlineStr"/>
      <c r="C4" t="inlineStr"/>
      <c r="D4" t="inlineStr"/>
      <c r="E4" t="inlineStr"/>
      <c r="F4" t="inlineStr"/>
      <c r="G4" t="inlineStr"/>
      <c r="H4" t="inlineStr"/>
      <c r="I4" t="inlineStr"/>
      <c r="J4"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50" customWidth="1" min="1" max="1"/>
    <col width="8" customWidth="1" min="2" max="2"/>
    <col width="11" customWidth="1" min="3" max="3"/>
    <col width="14" customWidth="1" min="4" max="4"/>
    <col width="50" customWidth="1" min="5" max="5"/>
  </cols>
  <sheetData>
    <row r="1">
      <c r="A1" s="1" t="inlineStr">
        <is>
          <t>Date</t>
        </is>
      </c>
      <c r="B1" s="1" t="inlineStr">
        <is>
          <t>Fund</t>
        </is>
      </c>
      <c r="C1" s="1" t="inlineStr">
        <is>
          <t>Compliant</t>
        </is>
      </c>
      <c r="D1" s="1" t="inlineStr">
        <is>
          <t>Total Assets</t>
        </is>
      </c>
      <c r="E1" s="1" t="inlineStr">
        <is>
          <t>Insurance Holdings</t>
        </is>
      </c>
    </row>
    <row r="2">
      <c r="A2" s="2" t="n">
        <v>45982</v>
      </c>
      <c r="B2" t="inlineStr">
        <is>
          <t>HE3B2</t>
        </is>
      </c>
      <c r="C2" t="inlineStr">
        <is>
          <t>PASS</t>
        </is>
      </c>
      <c r="D2" s="3" t="n">
        <v>24293147.02</v>
      </c>
      <c r="E2" t="inlineStr">
        <is>
          <t>CB (0.00000%), MET (0.00000%)</t>
        </is>
      </c>
    </row>
    <row r="3">
      <c r="A3" s="2" t="n">
        <v>45982</v>
      </c>
      <c r="B3" t="inlineStr">
        <is>
          <t>R21126</t>
        </is>
      </c>
      <c r="C3" t="inlineStr">
        <is>
          <t>PASS</t>
        </is>
      </c>
      <c r="D3" s="3" t="n">
        <v>52846233.31</v>
      </c>
      <c r="E3" t="inlineStr">
        <is>
          <t>AFL (0.00000%), ALL (0.00000%), CB (0.00000%), CINF (0.00000%), EG (0.00000%), HIG (0.00000%), LNC (0.00000%), MET (0.00000%), PGR (0.00000%), TRV (0.00000%), UNM (0.00000%)</t>
        </is>
      </c>
    </row>
    <row r="4">
      <c r="A4" t="inlineStr">
        <is>
          <t>* The Fund may not own more than 10% of the total outstanding voting stock of an insurance company.</t>
        </is>
      </c>
      <c r="B4" t="inlineStr"/>
      <c r="C4" t="inlineStr"/>
      <c r="D4" t="inlineStr"/>
      <c r="E4"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50" customWidth="1" min="1" max="1"/>
    <col width="8" customWidth="1" min="2" max="2"/>
    <col width="29" customWidth="1" min="3" max="3"/>
    <col width="21" customWidth="1" min="4" max="4"/>
    <col width="29" customWidth="1" min="5" max="5"/>
    <col width="50" customWidth="1" min="6" max="6"/>
    <col width="50" customWidth="1" min="7" max="7"/>
    <col width="50" customWidth="1" min="8" max="8"/>
    <col width="14" customWidth="1" min="9" max="9"/>
    <col width="17" customWidth="1" min="10" max="10"/>
    <col width="22" customWidth="1" min="11" max="11"/>
  </cols>
  <sheetData>
    <row r="1">
      <c r="A1" s="1" t="inlineStr">
        <is>
          <t>Date</t>
        </is>
      </c>
      <c r="B1" s="1" t="inlineStr">
        <is>
          <t>Fund</t>
        </is>
      </c>
      <c r="C1" s="1" t="inlineStr">
        <is>
          <t>Rule 1 (&lt;=5% equities)</t>
        </is>
      </c>
      <c r="D1" s="1" t="inlineStr">
        <is>
          <t>Rule 2 (&lt;=10% debt)</t>
        </is>
      </c>
      <c r="E1" s="1" t="inlineStr">
        <is>
          <t>Rule 3 (&lt;=5% total assets)</t>
        </is>
      </c>
      <c r="F1" s="1" t="inlineStr">
        <is>
          <t>12d3 Sec Biz Compliant</t>
        </is>
      </c>
      <c r="G1" s="1" t="inlineStr">
        <is>
          <t>SEC-Related Businesses (Shs Out %)</t>
        </is>
      </c>
      <c r="H1" s="1" t="inlineStr">
        <is>
          <t>Combined Holdings (Portfolio %)</t>
        </is>
      </c>
      <c r="I1" s="1" t="inlineStr">
        <is>
          <t>Total Assets</t>
        </is>
      </c>
      <c r="J1" s="1" t="inlineStr">
        <is>
          <t>Max Ownership %</t>
        </is>
      </c>
      <c r="K1" s="1" t="inlineStr">
        <is>
          <t>Max Weight</t>
        </is>
      </c>
    </row>
    <row r="2">
      <c r="A2" s="2" t="n">
        <v>45982</v>
      </c>
      <c r="B2" t="inlineStr">
        <is>
          <t>HE3B2</t>
        </is>
      </c>
      <c r="C2" s="3">
        <f>IF(K2&lt;=0.05,"PASS","FAIL")</f>
        <v/>
      </c>
      <c r="D2" t="inlineStr">
        <is>
          <t>PASS</t>
        </is>
      </c>
      <c r="E2" s="3">
        <f>IF(L2&lt;=0.05,"PASS","FAIL")</f>
        <v/>
      </c>
      <c r="F2" s="3">
        <f>IF(AND(C2="PASS",D2="PASS",E2="PASS",F2="PASS"),"PASS","FAIL")</f>
        <v/>
      </c>
      <c r="G2" t="inlineStr">
        <is>
          <t>None (0.00000%), None (0.00000%), None (0.00000%), None (0.00000%), None (0.00000%), None (0.00000%), None (0.00000%), None (0.00000%), None (0.00000%), None (0.00000%)</t>
        </is>
      </c>
      <c r="H2" t="inlineStr">
        <is>
          <t>None (0.75%), None (0.39%), None (0.41%), None (0.65%), None (1.84%), None (0.52%), None (0.36%), None (0.34%), None (0.16%), None (0.60%)</t>
        </is>
      </c>
      <c r="I2" s="3" t="n">
        <v>24293147.02</v>
      </c>
      <c r="J2" s="5" t="n">
        <v>0</v>
      </c>
      <c r="K2" s="5" t="n">
        <v>0.01835160095285177</v>
      </c>
    </row>
    <row r="3">
      <c r="A3" s="2" t="n">
        <v>45982</v>
      </c>
      <c r="B3" t="inlineStr">
        <is>
          <t>R21126</t>
        </is>
      </c>
      <c r="C3" s="3">
        <f>IF(K3&lt;=0.05,"PASS","FAIL")</f>
        <v/>
      </c>
      <c r="D3" t="inlineStr">
        <is>
          <t>PASS</t>
        </is>
      </c>
      <c r="E3" s="3">
        <f>IF(L3&lt;=0.05,"PASS","FAIL")</f>
        <v/>
      </c>
      <c r="F3" s="3">
        <f>IF(AND(C3="PASS",D3="PASS",E3="PASS",F3="PASS"),"PASS","FAIL")</f>
        <v/>
      </c>
      <c r="G3" t="inlineStr">
        <is>
          <t>None (0.00000%), None (0.00000%), None (0.00000%), None (0.00000%), None (0.00000%), None (0.00000%), None (0.00000%), None (0.00000%), None (0.00000%), None (0.00000%), None (0.00000%), None (0.00000%)</t>
        </is>
      </c>
      <c r="H3" t="inlineStr">
        <is>
          <t>None (0.75%), None (0.47%), None (2.06%), None (1.30%), None (1.84%), None (1.93%), None (0.42%), None (0.51%), None (1.28%), None (1.67%), None (1.45%), None (0.42%)</t>
        </is>
      </c>
      <c r="I3" s="3" t="n">
        <v>52846233.31</v>
      </c>
      <c r="J3" s="5" t="n">
        <v>0</v>
      </c>
      <c r="K3" s="5" t="n">
        <v>0.02058899398974023</v>
      </c>
    </row>
    <row r="4">
      <c r="A4" t="inlineStr">
        <is>
          <t>* Notwithstanding section 12(d)(3) of the Act, an acquiring company may acquire any security issued by a person that, in its most recent fiscal year, derived more than 15 percent of its gross revenues from securities related activities, provided that: (1) Immediately after the acquisition of any equity security, the acquiring company owns not more than 5% of the outstanding securities of that class of the issuer's equity securities; (2) Immediately after the acquisition of any debt security, the acquiring company owns not more than 10% of the outstanding principal amount of the issuer's debt securities; and (3) Immediately after any such acquisition, the acquiring company has invested not more than 5% of the value of its total assets in the securities of the issuer.</t>
        </is>
      </c>
      <c r="B4" t="inlineStr"/>
      <c r="C4" t="inlineStr"/>
      <c r="D4" t="inlineStr"/>
      <c r="E4" t="inlineStr"/>
      <c r="F4" t="inlineStr"/>
      <c r="G4" t="inlineStr"/>
      <c r="H4" t="inlineStr"/>
      <c r="I4" t="inlineStr"/>
      <c r="J4" t="inlineStr"/>
      <c r="K4"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2025-11-24T03:38:24Z</dcterms:created>
  <dcterms:modified xmlns:dcterms="http://purl.org/dc/terms/" xmlns:xsi="http://www.w3.org/2001/XMLSchema-instance" xsi:type="dcterms:W3CDTF">2025-11-24T03:38:24Z</dcterms:modified>
</cp:coreProperties>
</file>