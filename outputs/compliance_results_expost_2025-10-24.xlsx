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 xmlns:r="http://schemas.openxmlformats.org/officeDocument/2006/relationships" name="Illiquid" sheetId="6" state="visible" r:id="rId6"/>
    <sheet xmlns:r="http://schemas.openxmlformats.org/officeDocument/2006/relationships" name="Real_Estate" sheetId="7" state="visible" r:id="rId7"/>
    <sheet xmlns:r="http://schemas.openxmlformats.org/officeDocument/2006/relationships" name="Commodities" sheetId="8" state="visible" r:id="rId8"/>
    <sheet xmlns:r="http://schemas.openxmlformats.org/officeDocument/2006/relationships" name="12d1_Other_Investment_Companies" sheetId="9" state="visible" r:id="rId9"/>
    <sheet xmlns:r="http://schemas.openxmlformats.org/officeDocument/2006/relationships" name="12d2_Insurance_Companies" sheetId="10" state="visible" r:id="rId10"/>
    <sheet xmlns:r="http://schemas.openxmlformats.org/officeDocument/2006/relationships" name="12d3_Securities_Business" sheetId="11" state="visible" r:id="rId1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0" customWidth="1" min="1" max="1"/>
    <col width="6" customWidth="1" min="2" max="2"/>
    <col width="25" customWidth="1" min="3" max="3"/>
    <col width="22" customWidth="1" min="4" max="4"/>
    <col width="28" customWidth="1" min="5" max="5"/>
    <col width="29" customWidth="1" min="6" max="6"/>
    <col width="35" customWidth="1" min="7" max="7"/>
    <col width="36" customWidth="1" min="8" max="8"/>
    <col width="31"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45954</v>
      </c>
      <c r="B2" t="inlineStr">
        <is>
          <t>FDND</t>
        </is>
      </c>
      <c r="C2" t="inlineStr">
        <is>
          <t>PASS</t>
        </is>
      </c>
      <c r="D2" t="b">
        <v>0</v>
      </c>
      <c r="E2" t="b">
        <v>1</v>
      </c>
      <c r="F2" t="b">
        <v>0</v>
      </c>
      <c r="G2" t="b">
        <v>1</v>
      </c>
      <c r="H2" t="inlineStr">
        <is>
          <t>Yes</t>
        </is>
      </c>
      <c r="I2" t="inlineStr"/>
    </row>
    <row r="3">
      <c r="A3" s="2" t="n">
        <v>45954</v>
      </c>
      <c r="B3" t="inlineStr">
        <is>
          <t>FGSI</t>
        </is>
      </c>
      <c r="C3" t="inlineStr">
        <is>
          <t>FAIL</t>
        </is>
      </c>
      <c r="D3" t="b">
        <v>0</v>
      </c>
      <c r="E3" t="b">
        <v>0</v>
      </c>
      <c r="F3" t="b">
        <v>0</v>
      </c>
      <c r="G3" t="b">
        <v>0</v>
      </c>
      <c r="H3" t="inlineStr">
        <is>
          <t>No</t>
        </is>
      </c>
      <c r="I3" t="inlineStr"/>
    </row>
    <row r="4">
      <c r="A4" s="2" t="n">
        <v>45954</v>
      </c>
      <c r="B4" t="inlineStr">
        <is>
          <t>KNG</t>
        </is>
      </c>
      <c r="C4" t="inlineStr">
        <is>
          <t>PASS</t>
        </is>
      </c>
      <c r="D4" t="b">
        <v>0</v>
      </c>
      <c r="E4" t="b">
        <v>0</v>
      </c>
      <c r="F4" t="b">
        <v>0</v>
      </c>
      <c r="G4" t="b">
        <v>0</v>
      </c>
      <c r="H4" t="inlineStr">
        <is>
          <t>Yes</t>
        </is>
      </c>
      <c r="I4" t="inlineStr"/>
    </row>
    <row r="5">
      <c r="A5" s="2" t="n">
        <v>45954</v>
      </c>
      <c r="B5" t="inlineStr">
        <is>
          <t>RDVI</t>
        </is>
      </c>
      <c r="C5" t="inlineStr">
        <is>
          <t>FAIL</t>
        </is>
      </c>
      <c r="D5" t="b">
        <v>0</v>
      </c>
      <c r="E5" t="b">
        <v>0</v>
      </c>
      <c r="F5" t="b">
        <v>0</v>
      </c>
      <c r="G5" t="b">
        <v>0</v>
      </c>
      <c r="H5" t="inlineStr">
        <is>
          <t>No</t>
        </is>
      </c>
      <c r="I5" t="inlineStr"/>
    </row>
    <row r="6">
      <c r="A6" s="2" t="n">
        <v>45954</v>
      </c>
      <c r="B6" t="inlineStr">
        <is>
          <t>SDVD</t>
        </is>
      </c>
      <c r="C6" t="inlineStr">
        <is>
          <t>FAIL</t>
        </is>
      </c>
      <c r="D6" t="b">
        <v>0</v>
      </c>
      <c r="E6" t="b">
        <v>1</v>
      </c>
      <c r="F6" t="b">
        <v>0</v>
      </c>
      <c r="G6" t="b">
        <v>1</v>
      </c>
      <c r="H6" t="inlineStr">
        <is>
          <t>No</t>
        </is>
      </c>
      <c r="I6" t="inlineStr"/>
    </row>
    <row r="7">
      <c r="A7" s="2" t="n">
        <v>45954</v>
      </c>
      <c r="B7" t="inlineStr">
        <is>
          <t>TDVI</t>
        </is>
      </c>
      <c r="C7" t="inlineStr">
        <is>
          <t>PASS</t>
        </is>
      </c>
      <c r="D7" t="b">
        <v>1</v>
      </c>
      <c r="E7" t="b">
        <v>1</v>
      </c>
      <c r="F7" t="b">
        <v>1</v>
      </c>
      <c r="G7" t="b">
        <v>1</v>
      </c>
      <c r="H7" t="inlineStr">
        <is>
          <t>No</t>
        </is>
      </c>
      <c r="I7" t="inlineStr">
        <is>
          <t>Information Technology Sector</t>
        </is>
      </c>
    </row>
    <row r="8">
      <c r="A8"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8" t="inlineStr"/>
      <c r="C8" t="inlineStr"/>
      <c r="D8" t="inlineStr"/>
      <c r="E8" t="inlineStr"/>
      <c r="F8" t="inlineStr"/>
      <c r="G8" t="inlineStr"/>
      <c r="H8" t="inlineStr"/>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cols>
    <col width="12" customWidth="1" min="1" max="1"/>
    <col width="6" customWidth="1" min="2" max="2"/>
    <col width="26" customWidth="1" min="3" max="3"/>
    <col width="48" customWidth="1" min="4" max="4"/>
    <col width="18"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45954</v>
      </c>
      <c r="B2" t="inlineStr">
        <is>
          <t>FDND</t>
        </is>
      </c>
      <c r="C2" t="inlineStr">
        <is>
          <t>GICS_INDUSTRY_GROUP_NAME</t>
        </is>
      </c>
      <c r="D2" t="inlineStr">
        <is>
          <t>Media &amp; Entertainment</t>
        </is>
      </c>
      <c r="E2" t="inlineStr">
        <is>
          <t>N/A</t>
        </is>
      </c>
      <c r="F2" t="b">
        <v>1</v>
      </c>
      <c r="G2" t="b">
        <v>1</v>
      </c>
      <c r="H2" t="inlineStr">
        <is>
          <t>32.70%</t>
        </is>
      </c>
      <c r="I2" t="inlineStr">
        <is>
          <t>32.70%</t>
        </is>
      </c>
    </row>
    <row r="3">
      <c r="A3" s="2" t="n">
        <v>45954</v>
      </c>
      <c r="B3" t="inlineStr">
        <is>
          <t>FDND</t>
        </is>
      </c>
      <c r="C3" t="inlineStr">
        <is>
          <t>GICS_INDUSTRY_GROUP_NAME</t>
        </is>
      </c>
      <c r="D3" t="inlineStr">
        <is>
          <t>Software &amp; Services</t>
        </is>
      </c>
      <c r="E3" t="inlineStr">
        <is>
          <t>N/A</t>
        </is>
      </c>
      <c r="F3" t="inlineStr"/>
      <c r="G3" t="inlineStr"/>
      <c r="H3" t="inlineStr">
        <is>
          <t>23.38%</t>
        </is>
      </c>
      <c r="I3" t="inlineStr">
        <is>
          <t>23.38%</t>
        </is>
      </c>
    </row>
    <row r="4">
      <c r="A4" s="2" t="n">
        <v>45954</v>
      </c>
      <c r="B4" t="inlineStr">
        <is>
          <t>FDND</t>
        </is>
      </c>
      <c r="C4" t="inlineStr">
        <is>
          <t>GICS_INDUSTRY_NAME</t>
        </is>
      </c>
      <c r="D4" t="inlineStr">
        <is>
          <t>Interactive Media &amp; Services</t>
        </is>
      </c>
      <c r="E4" t="inlineStr">
        <is>
          <t>N/A</t>
        </is>
      </c>
      <c r="F4" t="inlineStr"/>
      <c r="G4" t="inlineStr"/>
      <c r="H4" t="inlineStr">
        <is>
          <t>20.76%</t>
        </is>
      </c>
      <c r="I4" t="inlineStr">
        <is>
          <t>20.76%</t>
        </is>
      </c>
    </row>
    <row r="5">
      <c r="A5" s="2" t="n">
        <v>45954</v>
      </c>
      <c r="B5" t="inlineStr">
        <is>
          <t>FDND</t>
        </is>
      </c>
      <c r="C5" t="inlineStr">
        <is>
          <t>GICS_INDUSTRY_NAME</t>
        </is>
      </c>
      <c r="D5" t="inlineStr">
        <is>
          <t>Software</t>
        </is>
      </c>
      <c r="E5" t="inlineStr">
        <is>
          <t>N/A</t>
        </is>
      </c>
      <c r="F5" t="inlineStr"/>
      <c r="G5" t="inlineStr"/>
      <c r="H5" t="inlineStr">
        <is>
          <t>13.79%</t>
        </is>
      </c>
      <c r="I5" t="inlineStr">
        <is>
          <t>13.79%</t>
        </is>
      </c>
    </row>
    <row r="6">
      <c r="A6" s="2" t="n">
        <v>45954</v>
      </c>
      <c r="B6" t="inlineStr">
        <is>
          <t>FDND</t>
        </is>
      </c>
      <c r="C6" t="inlineStr">
        <is>
          <t>GICS_INDUSTRY_GROUP_NAME</t>
        </is>
      </c>
      <c r="D6" t="inlineStr">
        <is>
          <t>Consumer Discretionary Distribution &amp; Retail</t>
        </is>
      </c>
      <c r="E6" t="inlineStr">
        <is>
          <t>N/A</t>
        </is>
      </c>
      <c r="F6" t="inlineStr"/>
      <c r="G6" t="inlineStr"/>
      <c r="H6" t="inlineStr">
        <is>
          <t>13.36%</t>
        </is>
      </c>
      <c r="I6" t="inlineStr">
        <is>
          <t>13.36%</t>
        </is>
      </c>
    </row>
    <row r="7">
      <c r="A7" s="2" t="n">
        <v>45954</v>
      </c>
      <c r="B7" t="inlineStr">
        <is>
          <t>FDND</t>
        </is>
      </c>
      <c r="C7" t="inlineStr">
        <is>
          <t>GICS_INDUSTRY_GROUP_NAME</t>
        </is>
      </c>
      <c r="D7" t="inlineStr">
        <is>
          <t>Consumer Services</t>
        </is>
      </c>
      <c r="E7" t="inlineStr">
        <is>
          <t>N/A</t>
        </is>
      </c>
      <c r="F7" t="inlineStr"/>
      <c r="G7" t="inlineStr"/>
      <c r="H7" t="inlineStr">
        <is>
          <t>12.84%</t>
        </is>
      </c>
      <c r="I7" t="inlineStr">
        <is>
          <t>12.84%</t>
        </is>
      </c>
    </row>
    <row r="8">
      <c r="A8" s="2" t="n">
        <v>45954</v>
      </c>
      <c r="B8" t="inlineStr">
        <is>
          <t>FDND</t>
        </is>
      </c>
      <c r="C8" t="inlineStr">
        <is>
          <t>GICS_INDUSTRY_NAME</t>
        </is>
      </c>
      <c r="D8" t="inlineStr">
        <is>
          <t>Hotels, Restaurants &amp; Leisure</t>
        </is>
      </c>
      <c r="E8" t="inlineStr">
        <is>
          <t>N/A</t>
        </is>
      </c>
      <c r="F8" t="inlineStr"/>
      <c r="G8" t="inlineStr"/>
      <c r="H8" t="inlineStr">
        <is>
          <t>12.36%</t>
        </is>
      </c>
      <c r="I8" t="inlineStr">
        <is>
          <t>12.36%</t>
        </is>
      </c>
    </row>
    <row r="9">
      <c r="A9" s="2" t="n">
        <v>45954</v>
      </c>
      <c r="B9" t="inlineStr">
        <is>
          <t>FDND</t>
        </is>
      </c>
      <c r="C9" t="inlineStr">
        <is>
          <t>GICS_INDUSTRY_NAME</t>
        </is>
      </c>
      <c r="D9" t="inlineStr">
        <is>
          <t>Entertainment</t>
        </is>
      </c>
      <c r="E9" t="inlineStr">
        <is>
          <t>N/A</t>
        </is>
      </c>
      <c r="F9" t="inlineStr"/>
      <c r="G9" t="inlineStr"/>
      <c r="H9" t="inlineStr">
        <is>
          <t>11.94%</t>
        </is>
      </c>
      <c r="I9" t="inlineStr">
        <is>
          <t>11.94%</t>
        </is>
      </c>
    </row>
    <row r="10">
      <c r="A10" s="2" t="n">
        <v>45954</v>
      </c>
      <c r="B10" t="inlineStr">
        <is>
          <t>FDND</t>
        </is>
      </c>
      <c r="C10" t="inlineStr">
        <is>
          <t>GICS_INDUSTRY_GROUP_NAME</t>
        </is>
      </c>
      <c r="D10" t="inlineStr">
        <is>
          <t>Technology Hardware &amp; Equipment</t>
        </is>
      </c>
      <c r="E10" t="inlineStr">
        <is>
          <t>N/A</t>
        </is>
      </c>
      <c r="F10" t="inlineStr"/>
      <c r="G10" t="inlineStr"/>
      <c r="H10" t="inlineStr">
        <is>
          <t>11.51%</t>
        </is>
      </c>
      <c r="I10" t="inlineStr">
        <is>
          <t>11.51%</t>
        </is>
      </c>
    </row>
    <row r="11">
      <c r="A11" s="2" t="n">
        <v>45954</v>
      </c>
      <c r="B11" t="inlineStr">
        <is>
          <t>FDND</t>
        </is>
      </c>
      <c r="C11" t="inlineStr">
        <is>
          <t>GICS_INDUSTRY_NAME</t>
        </is>
      </c>
      <c r="D11" t="inlineStr">
        <is>
          <t>Communications Equipment</t>
        </is>
      </c>
      <c r="E11" t="inlineStr">
        <is>
          <t>N/A</t>
        </is>
      </c>
      <c r="F11" t="inlineStr"/>
      <c r="G11" t="inlineStr"/>
      <c r="H11" t="inlineStr">
        <is>
          <t>11.51%</t>
        </is>
      </c>
      <c r="I11" t="inlineStr">
        <is>
          <t>11.51%</t>
        </is>
      </c>
    </row>
    <row r="12">
      <c r="A12" s="2" t="n">
        <v>45954</v>
      </c>
      <c r="B12" t="inlineStr">
        <is>
          <t>FDND</t>
        </is>
      </c>
      <c r="C12" t="inlineStr">
        <is>
          <t>GICS_INDUSTRY_NAME</t>
        </is>
      </c>
      <c r="D12" t="inlineStr">
        <is>
          <t>Broadline Retail</t>
        </is>
      </c>
      <c r="E12" t="inlineStr">
        <is>
          <t>N/A</t>
        </is>
      </c>
      <c r="F12" t="inlineStr"/>
      <c r="G12" t="inlineStr"/>
      <c r="H12" t="inlineStr">
        <is>
          <t>11.49%</t>
        </is>
      </c>
      <c r="I12" t="inlineStr">
        <is>
          <t>11.49%</t>
        </is>
      </c>
    </row>
    <row r="13">
      <c r="A13" s="2" t="n">
        <v>45954</v>
      </c>
      <c r="B13" t="inlineStr">
        <is>
          <t>FDND</t>
        </is>
      </c>
      <c r="C13" t="inlineStr">
        <is>
          <t>GICS_INDUSTRY_NAME</t>
        </is>
      </c>
      <c r="D13" t="inlineStr">
        <is>
          <t>IT Services</t>
        </is>
      </c>
      <c r="E13" t="inlineStr">
        <is>
          <t>N/A</t>
        </is>
      </c>
      <c r="F13" t="inlineStr"/>
      <c r="G13" t="inlineStr"/>
      <c r="H13" t="inlineStr">
        <is>
          <t>9.58%</t>
        </is>
      </c>
      <c r="I13" t="inlineStr">
        <is>
          <t>9.59%</t>
        </is>
      </c>
    </row>
    <row r="14">
      <c r="A14" s="2" t="n">
        <v>45954</v>
      </c>
      <c r="B14" t="inlineStr">
        <is>
          <t>FDND</t>
        </is>
      </c>
      <c r="C14" t="inlineStr">
        <is>
          <t>GICS_INDUSTRY_GROUP_NAME</t>
        </is>
      </c>
      <c r="D14" t="inlineStr">
        <is>
          <t>Financial Services</t>
        </is>
      </c>
      <c r="E14" t="inlineStr">
        <is>
          <t>N/A</t>
        </is>
      </c>
      <c r="F14" t="inlineStr"/>
      <c r="G14" t="inlineStr"/>
      <c r="H14" t="inlineStr">
        <is>
          <t>2.58%</t>
        </is>
      </c>
      <c r="I14" t="inlineStr">
        <is>
          <t>2.58%</t>
        </is>
      </c>
    </row>
    <row r="15">
      <c r="A15" s="2" t="n">
        <v>45954</v>
      </c>
      <c r="B15" t="inlineStr">
        <is>
          <t>FDND</t>
        </is>
      </c>
      <c r="C15" t="inlineStr">
        <is>
          <t>GICS_INDUSTRY_NAME</t>
        </is>
      </c>
      <c r="D15" t="inlineStr">
        <is>
          <t>Financial Services</t>
        </is>
      </c>
      <c r="E15" t="inlineStr">
        <is>
          <t>N/A</t>
        </is>
      </c>
      <c r="F15" t="inlineStr"/>
      <c r="G15" t="inlineStr"/>
      <c r="H15" t="inlineStr">
        <is>
          <t>2.58%</t>
        </is>
      </c>
      <c r="I15" t="inlineStr">
        <is>
          <t>2.58%</t>
        </is>
      </c>
    </row>
    <row r="16">
      <c r="A16" s="2" t="n">
        <v>45954</v>
      </c>
      <c r="B16" t="inlineStr">
        <is>
          <t>FDND</t>
        </is>
      </c>
      <c r="C16" t="inlineStr">
        <is>
          <t>GICS_INDUSTRY_GROUP_NAME</t>
        </is>
      </c>
      <c r="D16" t="inlineStr">
        <is>
          <t>Commercial &amp; Professional Services</t>
        </is>
      </c>
      <c r="E16" t="inlineStr">
        <is>
          <t>N/A</t>
        </is>
      </c>
      <c r="F16" t="inlineStr"/>
      <c r="G16" t="inlineStr"/>
      <c r="H16" t="inlineStr">
        <is>
          <t>1.92%</t>
        </is>
      </c>
      <c r="I16" t="inlineStr">
        <is>
          <t>1.92%</t>
        </is>
      </c>
    </row>
    <row r="17">
      <c r="A17" s="2" t="n">
        <v>45954</v>
      </c>
      <c r="B17" t="inlineStr">
        <is>
          <t>FDND</t>
        </is>
      </c>
      <c r="C17" t="inlineStr">
        <is>
          <t>GICS_INDUSTRY_NAME</t>
        </is>
      </c>
      <c r="D17" t="inlineStr">
        <is>
          <t>Specialty Retail</t>
        </is>
      </c>
      <c r="E17" t="inlineStr">
        <is>
          <t>N/A</t>
        </is>
      </c>
      <c r="F17" t="inlineStr"/>
      <c r="G17" t="inlineStr"/>
      <c r="H17" t="inlineStr">
        <is>
          <t>1.88%</t>
        </is>
      </c>
      <c r="I17" t="inlineStr">
        <is>
          <t>1.88%</t>
        </is>
      </c>
    </row>
    <row r="18">
      <c r="A18" s="2" t="n">
        <v>45954</v>
      </c>
      <c r="B18" t="inlineStr">
        <is>
          <t>FDND</t>
        </is>
      </c>
      <c r="C18" t="inlineStr">
        <is>
          <t>GICS_INDUSTRY_GROUP_NAME</t>
        </is>
      </c>
      <c r="D18" t="inlineStr">
        <is>
          <t>Health Care Equipment &amp; Services</t>
        </is>
      </c>
      <c r="E18" t="inlineStr">
        <is>
          <t>N/A</t>
        </is>
      </c>
      <c r="F18" t="inlineStr"/>
      <c r="G18" t="inlineStr"/>
      <c r="H18" t="inlineStr">
        <is>
          <t>1.70%</t>
        </is>
      </c>
      <c r="I18" t="inlineStr">
        <is>
          <t>1.70%</t>
        </is>
      </c>
    </row>
    <row r="19">
      <c r="A19" s="2" t="n">
        <v>45954</v>
      </c>
      <c r="B19" t="inlineStr">
        <is>
          <t>FDND</t>
        </is>
      </c>
      <c r="C19" t="inlineStr">
        <is>
          <t>GICS_INDUSTRY_NAME</t>
        </is>
      </c>
      <c r="D19" t="inlineStr">
        <is>
          <t>Health Care Technology</t>
        </is>
      </c>
      <c r="E19" t="inlineStr">
        <is>
          <t>N/A</t>
        </is>
      </c>
      <c r="F19" t="inlineStr"/>
      <c r="G19" t="inlineStr"/>
      <c r="H19" t="inlineStr">
        <is>
          <t>1.70%</t>
        </is>
      </c>
      <c r="I19" t="inlineStr">
        <is>
          <t>1.70%</t>
        </is>
      </c>
    </row>
    <row r="20">
      <c r="A20" s="2" t="n">
        <v>45954</v>
      </c>
      <c r="B20" t="inlineStr">
        <is>
          <t>FDND</t>
        </is>
      </c>
      <c r="C20" t="inlineStr">
        <is>
          <t>GICS_INDUSTRY_NAME</t>
        </is>
      </c>
      <c r="D20" t="inlineStr">
        <is>
          <t>Commercial Services &amp; Supplies</t>
        </is>
      </c>
      <c r="E20" t="inlineStr">
        <is>
          <t>N/A</t>
        </is>
      </c>
      <c r="F20" t="inlineStr"/>
      <c r="G20" t="inlineStr"/>
      <c r="H20" t="inlineStr">
        <is>
          <t>1.54%</t>
        </is>
      </c>
      <c r="I20" t="inlineStr">
        <is>
          <t>1.54%</t>
        </is>
      </c>
    </row>
    <row r="21">
      <c r="A21" s="2" t="n">
        <v>45954</v>
      </c>
      <c r="B21" t="inlineStr">
        <is>
          <t>FDND</t>
        </is>
      </c>
      <c r="C21" t="inlineStr">
        <is>
          <t>GICS_INDUSTRY_NAME</t>
        </is>
      </c>
      <c r="D21" t="inlineStr">
        <is>
          <t>Diversified Consumer Services</t>
        </is>
      </c>
      <c r="E21" t="inlineStr">
        <is>
          <t>N/A</t>
        </is>
      </c>
      <c r="F21" t="inlineStr"/>
      <c r="G21" t="inlineStr"/>
      <c r="H21" t="inlineStr">
        <is>
          <t>0.48%</t>
        </is>
      </c>
      <c r="I21" t="inlineStr">
        <is>
          <t>0.48%</t>
        </is>
      </c>
    </row>
    <row r="22">
      <c r="A22" s="2" t="n">
        <v>45954</v>
      </c>
      <c r="B22" t="inlineStr">
        <is>
          <t>FDND</t>
        </is>
      </c>
      <c r="C22" t="inlineStr">
        <is>
          <t>GICS_INDUSTRY_NAME</t>
        </is>
      </c>
      <c r="D22" t="inlineStr">
        <is>
          <t>Professional Services</t>
        </is>
      </c>
      <c r="E22" t="inlineStr">
        <is>
          <t>N/A</t>
        </is>
      </c>
      <c r="F22" t="inlineStr"/>
      <c r="G22" t="inlineStr"/>
      <c r="H22" t="inlineStr">
        <is>
          <t>0.39%</t>
        </is>
      </c>
      <c r="I22" t="inlineStr">
        <is>
          <t>0.39%</t>
        </is>
      </c>
    </row>
    <row r="23">
      <c r="A23" s="2" t="n">
        <v>45954</v>
      </c>
      <c r="B23" t="inlineStr">
        <is>
          <t>FGSI</t>
        </is>
      </c>
      <c r="C23" t="inlineStr">
        <is>
          <t>GICS_INDUSTRY_GROUP_NAME</t>
        </is>
      </c>
      <c r="D23" t="inlineStr">
        <is>
          <t>Financial Services</t>
        </is>
      </c>
      <c r="E23" t="inlineStr">
        <is>
          <t>N/A</t>
        </is>
      </c>
      <c r="F23" t="inlineStr"/>
      <c r="G23" t="inlineStr"/>
      <c r="H23" t="inlineStr">
        <is>
          <t>18.08%</t>
        </is>
      </c>
      <c r="I23" t="inlineStr">
        <is>
          <t>18.05%</t>
        </is>
      </c>
    </row>
    <row r="24">
      <c r="A24" s="2" t="n">
        <v>45954</v>
      </c>
      <c r="B24" t="inlineStr">
        <is>
          <t>FGSI</t>
        </is>
      </c>
      <c r="C24" t="inlineStr">
        <is>
          <t>GICS_INDUSTRY_GROUP_NAME</t>
        </is>
      </c>
      <c r="D24" t="inlineStr">
        <is>
          <t>Software &amp; Services</t>
        </is>
      </c>
      <c r="E24" t="inlineStr">
        <is>
          <t>N/A</t>
        </is>
      </c>
      <c r="F24" t="inlineStr"/>
      <c r="G24" t="inlineStr"/>
      <c r="H24" t="inlineStr">
        <is>
          <t>16.32%</t>
        </is>
      </c>
      <c r="I24" t="inlineStr">
        <is>
          <t>16.32%</t>
        </is>
      </c>
    </row>
    <row r="25">
      <c r="A25" s="2" t="n">
        <v>45954</v>
      </c>
      <c r="B25" t="inlineStr">
        <is>
          <t>FGSI</t>
        </is>
      </c>
      <c r="C25" t="inlineStr">
        <is>
          <t>GICS_INDUSTRY_NAME</t>
        </is>
      </c>
      <c r="D25" t="inlineStr">
        <is>
          <t>Software</t>
        </is>
      </c>
      <c r="E25" t="inlineStr">
        <is>
          <t>N/A</t>
        </is>
      </c>
      <c r="F25" t="inlineStr"/>
      <c r="G25" t="inlineStr"/>
      <c r="H25" t="inlineStr">
        <is>
          <t>14.31%</t>
        </is>
      </c>
      <c r="I25" t="inlineStr">
        <is>
          <t>14.32%</t>
        </is>
      </c>
    </row>
    <row r="26">
      <c r="A26" s="2" t="n">
        <v>45954</v>
      </c>
      <c r="B26" t="inlineStr">
        <is>
          <t>FGSI</t>
        </is>
      </c>
      <c r="C26" t="inlineStr">
        <is>
          <t>GICS_INDUSTRY_NAME</t>
        </is>
      </c>
      <c r="D26" t="inlineStr">
        <is>
          <t>Capital Markets</t>
        </is>
      </c>
      <c r="E26" t="inlineStr">
        <is>
          <t>N/A</t>
        </is>
      </c>
      <c r="F26" t="inlineStr"/>
      <c r="G26" t="inlineStr"/>
      <c r="H26" t="inlineStr">
        <is>
          <t>10.06%</t>
        </is>
      </c>
      <c r="I26" t="inlineStr">
        <is>
          <t>10.04%</t>
        </is>
      </c>
    </row>
    <row r="27">
      <c r="A27" s="2" t="n">
        <v>45954</v>
      </c>
      <c r="B27" t="inlineStr">
        <is>
          <t>FGSI</t>
        </is>
      </c>
      <c r="C27" t="inlineStr">
        <is>
          <t>GICS_INDUSTRY_GROUP_NAME</t>
        </is>
      </c>
      <c r="D27" t="inlineStr">
        <is>
          <t>Technology Hardware &amp; Equipment</t>
        </is>
      </c>
      <c r="E27" t="inlineStr">
        <is>
          <t>N/A</t>
        </is>
      </c>
      <c r="F27" t="inlineStr"/>
      <c r="G27" t="inlineStr"/>
      <c r="H27" t="inlineStr">
        <is>
          <t>8.11%</t>
        </is>
      </c>
      <c r="I27" t="inlineStr">
        <is>
          <t>8.11%</t>
        </is>
      </c>
    </row>
    <row r="28">
      <c r="A28" s="2" t="n">
        <v>45954</v>
      </c>
      <c r="B28" t="inlineStr">
        <is>
          <t>FGSI</t>
        </is>
      </c>
      <c r="C28" t="inlineStr">
        <is>
          <t>GICS_INDUSTRY_NAME</t>
        </is>
      </c>
      <c r="D28" t="inlineStr">
        <is>
          <t>Financial Services</t>
        </is>
      </c>
      <c r="E28" t="inlineStr">
        <is>
          <t>N/A</t>
        </is>
      </c>
      <c r="F28" t="inlineStr"/>
      <c r="G28" t="inlineStr"/>
      <c r="H28" t="inlineStr">
        <is>
          <t>8.02%</t>
        </is>
      </c>
      <c r="I28" t="inlineStr">
        <is>
          <t>8.00%</t>
        </is>
      </c>
    </row>
    <row r="29">
      <c r="A29" s="2" t="n">
        <v>45954</v>
      </c>
      <c r="B29" t="inlineStr">
        <is>
          <t>FGSI</t>
        </is>
      </c>
      <c r="C29" t="inlineStr">
        <is>
          <t>GICS_INDUSTRY_GROUP_NAME</t>
        </is>
      </c>
      <c r="D29" t="inlineStr">
        <is>
          <t>Media &amp; Entertainment</t>
        </is>
      </c>
      <c r="E29" t="inlineStr">
        <is>
          <t>N/A</t>
        </is>
      </c>
      <c r="F29" t="inlineStr"/>
      <c r="G29" t="inlineStr"/>
      <c r="H29" t="inlineStr">
        <is>
          <t>7.94%</t>
        </is>
      </c>
      <c r="I29" t="inlineStr">
        <is>
          <t>7.94%</t>
        </is>
      </c>
    </row>
    <row r="30">
      <c r="A30" s="2" t="n">
        <v>45954</v>
      </c>
      <c r="B30" t="inlineStr">
        <is>
          <t>FGSI</t>
        </is>
      </c>
      <c r="C30" t="inlineStr">
        <is>
          <t>GICS_INDUSTRY_GROUP_NAME</t>
        </is>
      </c>
      <c r="D30" t="inlineStr">
        <is>
          <t>Semiconductors &amp; Semiconductor Equipment</t>
        </is>
      </c>
      <c r="E30" t="inlineStr">
        <is>
          <t>N/A</t>
        </is>
      </c>
      <c r="F30" t="inlineStr"/>
      <c r="G30" t="inlineStr"/>
      <c r="H30" t="inlineStr">
        <is>
          <t>6.10%</t>
        </is>
      </c>
      <c r="I30" t="inlineStr">
        <is>
          <t>6.11%</t>
        </is>
      </c>
    </row>
    <row r="31">
      <c r="A31" s="2" t="n">
        <v>45954</v>
      </c>
      <c r="B31" t="inlineStr">
        <is>
          <t>FGSI</t>
        </is>
      </c>
      <c r="C31" t="inlineStr">
        <is>
          <t>GICS_INDUSTRY_NAME</t>
        </is>
      </c>
      <c r="D31" t="inlineStr">
        <is>
          <t>Semiconductors &amp; Semiconductor Equipment</t>
        </is>
      </c>
      <c r="E31" t="inlineStr">
        <is>
          <t>N/A</t>
        </is>
      </c>
      <c r="F31" t="inlineStr"/>
      <c r="G31" t="inlineStr"/>
      <c r="H31" t="inlineStr">
        <is>
          <t>6.10%</t>
        </is>
      </c>
      <c r="I31" t="inlineStr">
        <is>
          <t>6.11%</t>
        </is>
      </c>
    </row>
    <row r="32">
      <c r="A32" s="2" t="n">
        <v>45954</v>
      </c>
      <c r="B32" t="inlineStr">
        <is>
          <t>FGSI</t>
        </is>
      </c>
      <c r="C32" t="inlineStr">
        <is>
          <t>GICS_INDUSTRY_NAME</t>
        </is>
      </c>
      <c r="D32" t="inlineStr">
        <is>
          <t>Communications Equipment</t>
        </is>
      </c>
      <c r="E32" t="inlineStr">
        <is>
          <t>N/A</t>
        </is>
      </c>
      <c r="F32" t="inlineStr"/>
      <c r="G32" t="inlineStr"/>
      <c r="H32" t="inlineStr">
        <is>
          <t>6.02%</t>
        </is>
      </c>
      <c r="I32" t="inlineStr">
        <is>
          <t>6.01%</t>
        </is>
      </c>
    </row>
    <row r="33">
      <c r="A33" s="2" t="n">
        <v>45954</v>
      </c>
      <c r="B33" t="inlineStr">
        <is>
          <t>FGSI</t>
        </is>
      </c>
      <c r="C33" t="inlineStr">
        <is>
          <t>GICS_INDUSTRY_GROUP_NAME</t>
        </is>
      </c>
      <c r="D33" t="inlineStr">
        <is>
          <t>Pharmaceuticals, Biotechnology &amp; Life Sciences</t>
        </is>
      </c>
      <c r="E33" t="inlineStr">
        <is>
          <t>N/A</t>
        </is>
      </c>
      <c r="F33" t="inlineStr"/>
      <c r="G33" t="inlineStr"/>
      <c r="H33" t="inlineStr">
        <is>
          <t>5.96%</t>
        </is>
      </c>
      <c r="I33" t="inlineStr">
        <is>
          <t>5.98%</t>
        </is>
      </c>
    </row>
    <row r="34">
      <c r="A34" s="2" t="n">
        <v>45954</v>
      </c>
      <c r="B34" t="inlineStr">
        <is>
          <t>FGSI</t>
        </is>
      </c>
      <c r="C34" t="inlineStr">
        <is>
          <t>GICS_INDUSTRY_GROUP_NAME</t>
        </is>
      </c>
      <c r="D34" t="inlineStr">
        <is>
          <t>Energy</t>
        </is>
      </c>
      <c r="E34" t="inlineStr">
        <is>
          <t>N/A</t>
        </is>
      </c>
      <c r="F34" t="inlineStr"/>
      <c r="G34" t="inlineStr"/>
      <c r="H34" t="inlineStr">
        <is>
          <t>4.22%</t>
        </is>
      </c>
      <c r="I34" t="inlineStr">
        <is>
          <t>4.22%</t>
        </is>
      </c>
    </row>
    <row r="35">
      <c r="A35" s="2" t="n">
        <v>45954</v>
      </c>
      <c r="B35" t="inlineStr">
        <is>
          <t>FGSI</t>
        </is>
      </c>
      <c r="C35" t="inlineStr">
        <is>
          <t>GICS_INDUSTRY_NAME</t>
        </is>
      </c>
      <c r="D35" t="inlineStr">
        <is>
          <t>Energy Equipment &amp; Services</t>
        </is>
      </c>
      <c r="E35" t="inlineStr">
        <is>
          <t>N/A</t>
        </is>
      </c>
      <c r="F35" t="inlineStr"/>
      <c r="G35" t="inlineStr"/>
      <c r="H35" t="inlineStr">
        <is>
          <t>4.22%</t>
        </is>
      </c>
      <c r="I35" t="inlineStr">
        <is>
          <t>4.22%</t>
        </is>
      </c>
    </row>
    <row r="36">
      <c r="A36" s="2" t="n">
        <v>45954</v>
      </c>
      <c r="B36" t="inlineStr">
        <is>
          <t>FGSI</t>
        </is>
      </c>
      <c r="C36" t="inlineStr">
        <is>
          <t>GICS_INDUSTRY_NAME</t>
        </is>
      </c>
      <c r="D36" t="inlineStr">
        <is>
          <t>Interactive Media &amp; Services</t>
        </is>
      </c>
      <c r="E36" t="inlineStr">
        <is>
          <t>N/A</t>
        </is>
      </c>
      <c r="F36" t="inlineStr"/>
      <c r="G36" t="inlineStr"/>
      <c r="H36" t="inlineStr">
        <is>
          <t>4.11%</t>
        </is>
      </c>
      <c r="I36" t="inlineStr">
        <is>
          <t>4.09%</t>
        </is>
      </c>
    </row>
    <row r="37">
      <c r="A37" s="2" t="n">
        <v>45954</v>
      </c>
      <c r="B37" t="inlineStr">
        <is>
          <t>FGSI</t>
        </is>
      </c>
      <c r="C37" t="inlineStr">
        <is>
          <t>GICS_INDUSTRY_GROUP_NAME</t>
        </is>
      </c>
      <c r="D37" t="inlineStr">
        <is>
          <t>Health Care Equipment &amp; Services</t>
        </is>
      </c>
      <c r="E37" t="inlineStr">
        <is>
          <t>N/A</t>
        </is>
      </c>
      <c r="F37" t="inlineStr"/>
      <c r="G37" t="inlineStr"/>
      <c r="H37" t="inlineStr">
        <is>
          <t>3.99%</t>
        </is>
      </c>
      <c r="I37" t="inlineStr">
        <is>
          <t>3.99%</t>
        </is>
      </c>
    </row>
    <row r="38">
      <c r="A38" s="2" t="n">
        <v>45954</v>
      </c>
      <c r="B38" t="inlineStr">
        <is>
          <t>FGSI</t>
        </is>
      </c>
      <c r="C38" t="inlineStr">
        <is>
          <t>GICS_INDUSTRY_NAME</t>
        </is>
      </c>
      <c r="D38" t="inlineStr">
        <is>
          <t>Health Care Equipment &amp; Supplies</t>
        </is>
      </c>
      <c r="E38" t="inlineStr">
        <is>
          <t>N/A</t>
        </is>
      </c>
      <c r="F38" t="inlineStr"/>
      <c r="G38" t="inlineStr"/>
      <c r="H38" t="inlineStr">
        <is>
          <t>3.99%</t>
        </is>
      </c>
      <c r="I38" t="inlineStr">
        <is>
          <t>3.99%</t>
        </is>
      </c>
    </row>
    <row r="39">
      <c r="A39" s="2" t="n">
        <v>45954</v>
      </c>
      <c r="B39" t="inlineStr">
        <is>
          <t>FGSI</t>
        </is>
      </c>
      <c r="C39" t="inlineStr">
        <is>
          <t>GICS_INDUSTRY_GROUP_NAME</t>
        </is>
      </c>
      <c r="D39" t="inlineStr">
        <is>
          <t>Commercial &amp; Professional Services</t>
        </is>
      </c>
      <c r="E39" t="inlineStr">
        <is>
          <t>N/A</t>
        </is>
      </c>
      <c r="F39" t="inlineStr"/>
      <c r="G39" t="inlineStr"/>
      <c r="H39" t="inlineStr">
        <is>
          <t>3.96%</t>
        </is>
      </c>
      <c r="I39" t="inlineStr">
        <is>
          <t>3.95%</t>
        </is>
      </c>
    </row>
    <row r="40">
      <c r="A40" s="2" t="n">
        <v>45954</v>
      </c>
      <c r="B40" t="inlineStr">
        <is>
          <t>FGSI</t>
        </is>
      </c>
      <c r="C40" t="inlineStr">
        <is>
          <t>GICS_INDUSTRY_NAME</t>
        </is>
      </c>
      <c r="D40" t="inlineStr">
        <is>
          <t>Biotechnology</t>
        </is>
      </c>
      <c r="E40" t="inlineStr">
        <is>
          <t>N/A</t>
        </is>
      </c>
      <c r="F40" t="inlineStr"/>
      <c r="G40" t="inlineStr"/>
      <c r="H40" t="inlineStr">
        <is>
          <t>3.95%</t>
        </is>
      </c>
      <c r="I40" t="inlineStr">
        <is>
          <t>3.96%</t>
        </is>
      </c>
    </row>
    <row r="41">
      <c r="A41" s="2" t="n">
        <v>45954</v>
      </c>
      <c r="B41" t="inlineStr">
        <is>
          <t>FGSI</t>
        </is>
      </c>
      <c r="C41" t="inlineStr">
        <is>
          <t>GICS_INDUSTRY_GROUP_NAME</t>
        </is>
      </c>
      <c r="D41" t="inlineStr">
        <is>
          <t>Capital Goods</t>
        </is>
      </c>
      <c r="E41" t="inlineStr">
        <is>
          <t>N/A</t>
        </is>
      </c>
      <c r="F41" t="inlineStr"/>
      <c r="G41" t="inlineStr"/>
      <c r="H41" t="inlineStr">
        <is>
          <t>3.94%</t>
        </is>
      </c>
      <c r="I41" t="inlineStr">
        <is>
          <t>3.96%</t>
        </is>
      </c>
    </row>
    <row r="42">
      <c r="A42" s="2" t="n">
        <v>45954</v>
      </c>
      <c r="B42" t="inlineStr">
        <is>
          <t>FGSI</t>
        </is>
      </c>
      <c r="C42" t="inlineStr">
        <is>
          <t>GICS_INDUSTRY_GROUP_NAME</t>
        </is>
      </c>
      <c r="D42" t="inlineStr">
        <is>
          <t>Consumer Services</t>
        </is>
      </c>
      <c r="E42" t="inlineStr">
        <is>
          <t>N/A</t>
        </is>
      </c>
      <c r="F42" t="inlineStr"/>
      <c r="G42" t="inlineStr"/>
      <c r="H42" t="inlineStr">
        <is>
          <t>3.94%</t>
        </is>
      </c>
      <c r="I42" t="inlineStr">
        <is>
          <t>3.94%</t>
        </is>
      </c>
    </row>
    <row r="43">
      <c r="A43" s="2" t="n">
        <v>45954</v>
      </c>
      <c r="B43" t="inlineStr">
        <is>
          <t>FGSI</t>
        </is>
      </c>
      <c r="C43" t="inlineStr">
        <is>
          <t>GICS_INDUSTRY_NAME</t>
        </is>
      </c>
      <c r="D43" t="inlineStr">
        <is>
          <t>Hotels, Restaurants &amp; Leisure</t>
        </is>
      </c>
      <c r="E43" t="inlineStr">
        <is>
          <t>N/A</t>
        </is>
      </c>
      <c r="F43" t="inlineStr"/>
      <c r="G43" t="inlineStr"/>
      <c r="H43" t="inlineStr">
        <is>
          <t>3.94%</t>
        </is>
      </c>
      <c r="I43" t="inlineStr">
        <is>
          <t>3.94%</t>
        </is>
      </c>
    </row>
    <row r="44">
      <c r="A44" s="2" t="n">
        <v>45954</v>
      </c>
      <c r="B44" t="inlineStr">
        <is>
          <t>FGSI</t>
        </is>
      </c>
      <c r="C44" t="inlineStr">
        <is>
          <t>GICS_INDUSTRY_GROUP_NAME</t>
        </is>
      </c>
      <c r="D44" t="inlineStr">
        <is>
          <t>Consumer Staples Distribution &amp; Retail</t>
        </is>
      </c>
      <c r="E44" t="inlineStr">
        <is>
          <t>N/A</t>
        </is>
      </c>
      <c r="F44" t="inlineStr"/>
      <c r="G44" t="inlineStr"/>
      <c r="H44" t="inlineStr">
        <is>
          <t>3.90%</t>
        </is>
      </c>
      <c r="I44" t="inlineStr">
        <is>
          <t>3.90%</t>
        </is>
      </c>
    </row>
    <row r="45">
      <c r="A45" s="2" t="n">
        <v>45954</v>
      </c>
      <c r="B45" t="inlineStr">
        <is>
          <t>FGSI</t>
        </is>
      </c>
      <c r="C45" t="inlineStr">
        <is>
          <t>GICS_INDUSTRY_NAME</t>
        </is>
      </c>
      <c r="D45" t="inlineStr">
        <is>
          <t>Consumer Staples Distribution &amp; Retail</t>
        </is>
      </c>
      <c r="E45" t="inlineStr">
        <is>
          <t>N/A</t>
        </is>
      </c>
      <c r="F45" t="inlineStr"/>
      <c r="G45" t="inlineStr"/>
      <c r="H45" t="inlineStr">
        <is>
          <t>3.90%</t>
        </is>
      </c>
      <c r="I45" t="inlineStr">
        <is>
          <t>3.90%</t>
        </is>
      </c>
    </row>
    <row r="46">
      <c r="A46" s="2" t="n">
        <v>45954</v>
      </c>
      <c r="B46" t="inlineStr">
        <is>
          <t>FGSI</t>
        </is>
      </c>
      <c r="C46" t="inlineStr">
        <is>
          <t>GICS_INDUSTRY_GROUP_NAME</t>
        </is>
      </c>
      <c r="D46" t="inlineStr">
        <is>
          <t>Consumer Durables &amp; Apparel</t>
        </is>
      </c>
      <c r="E46" t="inlineStr">
        <is>
          <t>N/A</t>
        </is>
      </c>
      <c r="F46" t="inlineStr"/>
      <c r="G46" t="inlineStr"/>
      <c r="H46" t="inlineStr">
        <is>
          <t>3.89%</t>
        </is>
      </c>
      <c r="I46" t="inlineStr">
        <is>
          <t>3.89%</t>
        </is>
      </c>
    </row>
    <row r="47">
      <c r="A47" s="2" t="n">
        <v>45954</v>
      </c>
      <c r="B47" t="inlineStr">
        <is>
          <t>FGSI</t>
        </is>
      </c>
      <c r="C47" t="inlineStr">
        <is>
          <t>GICS_INDUSTRY_NAME</t>
        </is>
      </c>
      <c r="D47" t="inlineStr">
        <is>
          <t>Household Durables</t>
        </is>
      </c>
      <c r="E47" t="inlineStr">
        <is>
          <t>N/A</t>
        </is>
      </c>
      <c r="F47" t="inlineStr"/>
      <c r="G47" t="inlineStr"/>
      <c r="H47" t="inlineStr">
        <is>
          <t>3.89%</t>
        </is>
      </c>
      <c r="I47" t="inlineStr">
        <is>
          <t>3.89%</t>
        </is>
      </c>
    </row>
    <row r="48">
      <c r="A48" s="2" t="n">
        <v>45954</v>
      </c>
      <c r="B48" t="inlineStr">
        <is>
          <t>FGSI</t>
        </is>
      </c>
      <c r="C48" t="inlineStr">
        <is>
          <t>GICS_INDUSTRY_NAME</t>
        </is>
      </c>
      <c r="D48" t="inlineStr">
        <is>
          <t>Electronic Equipment, Instruments &amp; Components</t>
        </is>
      </c>
      <c r="E48" t="inlineStr">
        <is>
          <t>N/A</t>
        </is>
      </c>
      <c r="F48" t="inlineStr"/>
      <c r="G48" t="inlineStr"/>
      <c r="H48" t="inlineStr">
        <is>
          <t>2.10%</t>
        </is>
      </c>
      <c r="I48" t="inlineStr">
        <is>
          <t>2.10%</t>
        </is>
      </c>
    </row>
    <row r="49">
      <c r="A49" s="2" t="n">
        <v>45954</v>
      </c>
      <c r="B49" t="inlineStr">
        <is>
          <t>FGSI</t>
        </is>
      </c>
      <c r="C49" t="inlineStr">
        <is>
          <t>GICS_INDUSTRY_NAME</t>
        </is>
      </c>
      <c r="D49" t="inlineStr">
        <is>
          <t>Media</t>
        </is>
      </c>
      <c r="E49" t="inlineStr">
        <is>
          <t>N/A</t>
        </is>
      </c>
      <c r="F49" t="inlineStr"/>
      <c r="G49" t="inlineStr"/>
      <c r="H49" t="inlineStr">
        <is>
          <t>2.05%</t>
        </is>
      </c>
      <c r="I49" t="inlineStr">
        <is>
          <t>2.05%</t>
        </is>
      </c>
    </row>
    <row r="50">
      <c r="A50" s="2" t="n">
        <v>45954</v>
      </c>
      <c r="B50" t="inlineStr">
        <is>
          <t>FGSI</t>
        </is>
      </c>
      <c r="C50" t="inlineStr">
        <is>
          <t>GICS_INDUSTRY_NAME</t>
        </is>
      </c>
      <c r="D50" t="inlineStr">
        <is>
          <t>Pharmaceuticals</t>
        </is>
      </c>
      <c r="E50" t="inlineStr">
        <is>
          <t>N/A</t>
        </is>
      </c>
      <c r="F50" t="inlineStr"/>
      <c r="G50" t="inlineStr"/>
      <c r="H50" t="inlineStr">
        <is>
          <t>2.01%</t>
        </is>
      </c>
      <c r="I50" t="inlineStr">
        <is>
          <t>2.02%</t>
        </is>
      </c>
    </row>
    <row r="51">
      <c r="A51" s="2" t="n">
        <v>45954</v>
      </c>
      <c r="B51" t="inlineStr">
        <is>
          <t>FGSI</t>
        </is>
      </c>
      <c r="C51" t="inlineStr">
        <is>
          <t>GICS_INDUSTRY_GROUP_NAME</t>
        </is>
      </c>
      <c r="D51" t="inlineStr">
        <is>
          <t>Transportation</t>
        </is>
      </c>
      <c r="E51" t="inlineStr">
        <is>
          <t>N/A</t>
        </is>
      </c>
      <c r="F51" t="inlineStr"/>
      <c r="G51" t="inlineStr"/>
      <c r="H51" t="inlineStr">
        <is>
          <t>2.01%</t>
        </is>
      </c>
      <c r="I51" t="inlineStr">
        <is>
          <t>2.01%</t>
        </is>
      </c>
    </row>
    <row r="52">
      <c r="A52" s="2" t="n">
        <v>45954</v>
      </c>
      <c r="B52" t="inlineStr">
        <is>
          <t>FGSI</t>
        </is>
      </c>
      <c r="C52" t="inlineStr">
        <is>
          <t>GICS_INDUSTRY_NAME</t>
        </is>
      </c>
      <c r="D52" t="inlineStr">
        <is>
          <t>Ground Transportation</t>
        </is>
      </c>
      <c r="E52" t="inlineStr">
        <is>
          <t>N/A</t>
        </is>
      </c>
      <c r="F52" t="inlineStr"/>
      <c r="G52" t="inlineStr"/>
      <c r="H52" t="inlineStr">
        <is>
          <t>2.01%</t>
        </is>
      </c>
      <c r="I52" t="inlineStr">
        <is>
          <t>2.01%</t>
        </is>
      </c>
    </row>
    <row r="53">
      <c r="A53" s="2" t="n">
        <v>45954</v>
      </c>
      <c r="B53" t="inlineStr">
        <is>
          <t>FGSI</t>
        </is>
      </c>
      <c r="C53" t="inlineStr">
        <is>
          <t>GICS_INDUSTRY_NAME</t>
        </is>
      </c>
      <c r="D53" t="inlineStr">
        <is>
          <t>IT Services</t>
        </is>
      </c>
      <c r="E53" t="inlineStr">
        <is>
          <t>N/A</t>
        </is>
      </c>
      <c r="F53" t="inlineStr"/>
      <c r="G53" t="inlineStr"/>
      <c r="H53" t="inlineStr">
        <is>
          <t>2.00%</t>
        </is>
      </c>
      <c r="I53" t="inlineStr">
        <is>
          <t>2.00%</t>
        </is>
      </c>
    </row>
    <row r="54">
      <c r="A54" s="2" t="n">
        <v>45954</v>
      </c>
      <c r="B54" t="inlineStr">
        <is>
          <t>FGSI</t>
        </is>
      </c>
      <c r="C54" t="inlineStr">
        <is>
          <t>GICS_INDUSTRY_NAME</t>
        </is>
      </c>
      <c r="D54" t="inlineStr">
        <is>
          <t>Aerospace &amp; Defense</t>
        </is>
      </c>
      <c r="E54" t="inlineStr">
        <is>
          <t>N/A</t>
        </is>
      </c>
      <c r="F54" t="inlineStr"/>
      <c r="G54" t="inlineStr"/>
      <c r="H54" t="inlineStr">
        <is>
          <t>2.00%</t>
        </is>
      </c>
      <c r="I54" t="inlineStr">
        <is>
          <t>2.01%</t>
        </is>
      </c>
    </row>
    <row r="55">
      <c r="A55" s="2" t="n">
        <v>45954</v>
      </c>
      <c r="B55" t="inlineStr">
        <is>
          <t>FGSI</t>
        </is>
      </c>
      <c r="C55" t="inlineStr">
        <is>
          <t>GICS_INDUSTRY_NAME</t>
        </is>
      </c>
      <c r="D55" t="inlineStr">
        <is>
          <t>Commercial Services &amp; Supplies</t>
        </is>
      </c>
      <c r="E55" t="inlineStr">
        <is>
          <t>N/A</t>
        </is>
      </c>
      <c r="F55" t="inlineStr"/>
      <c r="G55" t="inlineStr"/>
      <c r="H55" t="inlineStr">
        <is>
          <t>1.98%</t>
        </is>
      </c>
      <c r="I55" t="inlineStr">
        <is>
          <t>1.98%</t>
        </is>
      </c>
    </row>
    <row r="56">
      <c r="A56" s="2" t="n">
        <v>45954</v>
      </c>
      <c r="B56" t="inlineStr">
        <is>
          <t>FGSI</t>
        </is>
      </c>
      <c r="C56" t="inlineStr">
        <is>
          <t>GICS_INDUSTRY_NAME</t>
        </is>
      </c>
      <c r="D56" t="inlineStr">
        <is>
          <t>Professional Services</t>
        </is>
      </c>
      <c r="E56" t="inlineStr">
        <is>
          <t>N/A</t>
        </is>
      </c>
      <c r="F56" t="inlineStr"/>
      <c r="G56" t="inlineStr"/>
      <c r="H56" t="inlineStr">
        <is>
          <t>1.97%</t>
        </is>
      </c>
      <c r="I56" t="inlineStr">
        <is>
          <t>1.97%</t>
        </is>
      </c>
    </row>
    <row r="57">
      <c r="A57" s="2" t="n">
        <v>45954</v>
      </c>
      <c r="B57" t="inlineStr">
        <is>
          <t>FGSI</t>
        </is>
      </c>
      <c r="C57" t="inlineStr">
        <is>
          <t>GICS_INDUSTRY_GROUP_NAME</t>
        </is>
      </c>
      <c r="D57" t="inlineStr">
        <is>
          <t>Food, Beverage &amp; Tobacco</t>
        </is>
      </c>
      <c r="E57" t="inlineStr">
        <is>
          <t>N/A</t>
        </is>
      </c>
      <c r="F57" t="inlineStr"/>
      <c r="G57" t="inlineStr"/>
      <c r="H57" t="inlineStr">
        <is>
          <t>1.95%</t>
        </is>
      </c>
      <c r="I57" t="inlineStr">
        <is>
          <t>1.95%</t>
        </is>
      </c>
    </row>
    <row r="58">
      <c r="A58" s="2" t="n">
        <v>45954</v>
      </c>
      <c r="B58" t="inlineStr">
        <is>
          <t>FGSI</t>
        </is>
      </c>
      <c r="C58" t="inlineStr">
        <is>
          <t>GICS_INDUSTRY_NAME</t>
        </is>
      </c>
      <c r="D58" t="inlineStr">
        <is>
          <t>Beverages</t>
        </is>
      </c>
      <c r="E58" t="inlineStr">
        <is>
          <t>N/A</t>
        </is>
      </c>
      <c r="F58" t="inlineStr"/>
      <c r="G58" t="inlineStr"/>
      <c r="H58" t="inlineStr">
        <is>
          <t>1.95%</t>
        </is>
      </c>
      <c r="I58" t="inlineStr">
        <is>
          <t>1.95%</t>
        </is>
      </c>
    </row>
    <row r="59">
      <c r="A59" s="2" t="n">
        <v>45954</v>
      </c>
      <c r="B59" t="inlineStr">
        <is>
          <t>FGSI</t>
        </is>
      </c>
      <c r="C59" t="inlineStr">
        <is>
          <t>GICS_INDUSTRY_NAME</t>
        </is>
      </c>
      <c r="D59" t="inlineStr">
        <is>
          <t>Machinery</t>
        </is>
      </c>
      <c r="E59" t="inlineStr">
        <is>
          <t>N/A</t>
        </is>
      </c>
      <c r="F59" t="inlineStr"/>
      <c r="G59" t="inlineStr"/>
      <c r="H59" t="inlineStr">
        <is>
          <t>1.95%</t>
        </is>
      </c>
      <c r="I59" t="inlineStr">
        <is>
          <t>1.95%</t>
        </is>
      </c>
    </row>
    <row r="60">
      <c r="A60" s="2" t="n">
        <v>45954</v>
      </c>
      <c r="B60" t="inlineStr">
        <is>
          <t>FGSI</t>
        </is>
      </c>
      <c r="C60" t="inlineStr">
        <is>
          <t>GICS_INDUSTRY_GROUP_NAME</t>
        </is>
      </c>
      <c r="D60" t="inlineStr">
        <is>
          <t>Consumer Discretionary Distribution &amp; Retail</t>
        </is>
      </c>
      <c r="E60" t="inlineStr">
        <is>
          <t>N/A</t>
        </is>
      </c>
      <c r="F60" t="inlineStr"/>
      <c r="G60" t="inlineStr"/>
      <c r="H60" t="inlineStr">
        <is>
          <t>1.94%</t>
        </is>
      </c>
      <c r="I60" t="inlineStr">
        <is>
          <t>1.94%</t>
        </is>
      </c>
    </row>
    <row r="61">
      <c r="A61" s="2" t="n">
        <v>45954</v>
      </c>
      <c r="B61" t="inlineStr">
        <is>
          <t>FGSI</t>
        </is>
      </c>
      <c r="C61" t="inlineStr">
        <is>
          <t>GICS_INDUSTRY_NAME</t>
        </is>
      </c>
      <c r="D61" t="inlineStr">
        <is>
          <t>Specialty Retail</t>
        </is>
      </c>
      <c r="E61" t="inlineStr">
        <is>
          <t>N/A</t>
        </is>
      </c>
      <c r="F61" t="inlineStr"/>
      <c r="G61" t="inlineStr"/>
      <c r="H61" t="inlineStr">
        <is>
          <t>1.94%</t>
        </is>
      </c>
      <c r="I61" t="inlineStr">
        <is>
          <t>1.94%</t>
        </is>
      </c>
    </row>
    <row r="62">
      <c r="A62" s="2" t="n">
        <v>45954</v>
      </c>
      <c r="B62" t="inlineStr">
        <is>
          <t>FGSI</t>
        </is>
      </c>
      <c r="C62" t="inlineStr">
        <is>
          <t>GICS_INDUSTRY_GROUP_NAME</t>
        </is>
      </c>
      <c r="D62" t="inlineStr">
        <is>
          <t>Insurance</t>
        </is>
      </c>
      <c r="E62" t="inlineStr">
        <is>
          <t>N/A</t>
        </is>
      </c>
      <c r="F62" t="inlineStr"/>
      <c r="G62" t="inlineStr"/>
      <c r="H62" t="inlineStr">
        <is>
          <t>1.94%</t>
        </is>
      </c>
      <c r="I62" t="inlineStr">
        <is>
          <t>1.94%</t>
        </is>
      </c>
    </row>
    <row r="63">
      <c r="A63" s="2" t="n">
        <v>45954</v>
      </c>
      <c r="B63" t="inlineStr">
        <is>
          <t>FGSI</t>
        </is>
      </c>
      <c r="C63" t="inlineStr">
        <is>
          <t>GICS_INDUSTRY_NAME</t>
        </is>
      </c>
      <c r="D63" t="inlineStr">
        <is>
          <t>Insurance</t>
        </is>
      </c>
      <c r="E63" t="inlineStr">
        <is>
          <t>N/A</t>
        </is>
      </c>
      <c r="F63" t="inlineStr"/>
      <c r="G63" t="inlineStr"/>
      <c r="H63" t="inlineStr">
        <is>
          <t>1.94%</t>
        </is>
      </c>
      <c r="I63" t="inlineStr">
        <is>
          <t>1.94%</t>
        </is>
      </c>
    </row>
    <row r="64">
      <c r="A64" s="2" t="n">
        <v>45954</v>
      </c>
      <c r="B64" t="inlineStr">
        <is>
          <t>FGSI</t>
        </is>
      </c>
      <c r="C64" t="inlineStr">
        <is>
          <t>GICS_INDUSTRY_GROUP_NAME</t>
        </is>
      </c>
      <c r="D64" t="inlineStr">
        <is>
          <t>Materials</t>
        </is>
      </c>
      <c r="E64" t="inlineStr">
        <is>
          <t>N/A</t>
        </is>
      </c>
      <c r="F64" t="inlineStr"/>
      <c r="G64" t="inlineStr"/>
      <c r="H64" t="inlineStr">
        <is>
          <t>1.81%</t>
        </is>
      </c>
      <c r="I64" t="inlineStr">
        <is>
          <t>1.81%</t>
        </is>
      </c>
    </row>
    <row r="65">
      <c r="A65" s="2" t="n">
        <v>45954</v>
      </c>
      <c r="B65" t="inlineStr">
        <is>
          <t>FGSI</t>
        </is>
      </c>
      <c r="C65" t="inlineStr">
        <is>
          <t>GICS_INDUSTRY_NAME</t>
        </is>
      </c>
      <c r="D65" t="inlineStr">
        <is>
          <t>Metals &amp; Mining</t>
        </is>
      </c>
      <c r="E65" t="inlineStr">
        <is>
          <t>N/A</t>
        </is>
      </c>
      <c r="F65" t="inlineStr"/>
      <c r="G65" t="inlineStr"/>
      <c r="H65" t="inlineStr">
        <is>
          <t>1.81%</t>
        </is>
      </c>
      <c r="I65" t="inlineStr">
        <is>
          <t>1.81%</t>
        </is>
      </c>
    </row>
    <row r="66">
      <c r="A66" s="2" t="n">
        <v>45954</v>
      </c>
      <c r="B66" t="inlineStr">
        <is>
          <t>FGSI</t>
        </is>
      </c>
      <c r="C66" t="inlineStr">
        <is>
          <t>GICS_INDUSTRY_NAME</t>
        </is>
      </c>
      <c r="D66" t="inlineStr">
        <is>
          <t>Entertainment</t>
        </is>
      </c>
      <c r="E66" t="inlineStr">
        <is>
          <t>N/A</t>
        </is>
      </c>
      <c r="F66" t="inlineStr"/>
      <c r="G66" t="inlineStr"/>
      <c r="H66" t="inlineStr">
        <is>
          <t>1.78%</t>
        </is>
      </c>
      <c r="I66" t="inlineStr">
        <is>
          <t>1.80%</t>
        </is>
      </c>
    </row>
    <row r="67">
      <c r="A67" s="2" t="n">
        <v>45954</v>
      </c>
      <c r="B67" t="inlineStr">
        <is>
          <t>KNG</t>
        </is>
      </c>
      <c r="C67" t="inlineStr">
        <is>
          <t>GICS_INDUSTRY_GROUP_NAME</t>
        </is>
      </c>
      <c r="D67" t="inlineStr">
        <is>
          <t>Capital Goods</t>
        </is>
      </c>
      <c r="E67" t="inlineStr">
        <is>
          <t>N/A</t>
        </is>
      </c>
      <c r="F67" t="inlineStr"/>
      <c r="G67" t="inlineStr"/>
      <c r="H67" t="inlineStr">
        <is>
          <t>16.12%</t>
        </is>
      </c>
      <c r="I67" t="inlineStr">
        <is>
          <t>0.00%</t>
        </is>
      </c>
    </row>
    <row r="68">
      <c r="A68" s="2" t="n">
        <v>45954</v>
      </c>
      <c r="B68" t="inlineStr">
        <is>
          <t>KNG</t>
        </is>
      </c>
      <c r="C68" t="inlineStr">
        <is>
          <t>GICS_INDUSTRY_GROUP_NAME</t>
        </is>
      </c>
      <c r="D68" t="inlineStr">
        <is>
          <t>Materials</t>
        </is>
      </c>
      <c r="E68" t="inlineStr">
        <is>
          <t>N/A</t>
        </is>
      </c>
      <c r="F68" t="inlineStr"/>
      <c r="G68" t="inlineStr"/>
      <c r="H68" t="inlineStr">
        <is>
          <t>11.42%</t>
        </is>
      </c>
      <c r="I68" t="inlineStr">
        <is>
          <t>0.00%</t>
        </is>
      </c>
    </row>
    <row r="69">
      <c r="A69" s="2" t="n">
        <v>45954</v>
      </c>
      <c r="B69" t="inlineStr">
        <is>
          <t>KNG</t>
        </is>
      </c>
      <c r="C69" t="inlineStr">
        <is>
          <t>GICS_INDUSTRY_GROUP_NAME</t>
        </is>
      </c>
      <c r="D69" t="inlineStr">
        <is>
          <t>Food, Beverage &amp; Tobacco</t>
        </is>
      </c>
      <c r="E69" t="inlineStr">
        <is>
          <t>N/A</t>
        </is>
      </c>
      <c r="F69" t="inlineStr"/>
      <c r="G69" t="inlineStr"/>
      <c r="H69" t="inlineStr">
        <is>
          <t>9.96%</t>
        </is>
      </c>
      <c r="I69" t="inlineStr">
        <is>
          <t>0.00%</t>
        </is>
      </c>
    </row>
    <row r="70">
      <c r="A70" s="2" t="n">
        <v>45954</v>
      </c>
      <c r="B70" t="inlineStr">
        <is>
          <t>KNG</t>
        </is>
      </c>
      <c r="C70" t="inlineStr">
        <is>
          <t>GICS_INDUSTRY_NAME</t>
        </is>
      </c>
      <c r="D70" t="inlineStr">
        <is>
          <t>Machinery</t>
        </is>
      </c>
      <c r="E70" t="inlineStr">
        <is>
          <t>N/A</t>
        </is>
      </c>
      <c r="F70" t="inlineStr"/>
      <c r="G70" t="inlineStr"/>
      <c r="H70" t="inlineStr">
        <is>
          <t>9.12%</t>
        </is>
      </c>
      <c r="I70" t="inlineStr">
        <is>
          <t>0.00%</t>
        </is>
      </c>
    </row>
    <row r="71">
      <c r="A71" s="2" t="n">
        <v>45954</v>
      </c>
      <c r="B71" t="inlineStr">
        <is>
          <t>KNG</t>
        </is>
      </c>
      <c r="C71" t="inlineStr">
        <is>
          <t>GICS_INDUSTRY_NAME</t>
        </is>
      </c>
      <c r="D71" t="inlineStr">
        <is>
          <t>Chemicals</t>
        </is>
      </c>
      <c r="E71" t="inlineStr">
        <is>
          <t>N/A</t>
        </is>
      </c>
      <c r="F71" t="inlineStr"/>
      <c r="G71" t="inlineStr"/>
      <c r="H71" t="inlineStr">
        <is>
          <t>8.76%</t>
        </is>
      </c>
      <c r="I71" t="inlineStr">
        <is>
          <t>0.00%</t>
        </is>
      </c>
    </row>
    <row r="72">
      <c r="A72" s="2" t="n">
        <v>45954</v>
      </c>
      <c r="B72" t="inlineStr">
        <is>
          <t>KNG</t>
        </is>
      </c>
      <c r="C72" t="inlineStr">
        <is>
          <t>GICS_INDUSTRY_GROUP_NAME</t>
        </is>
      </c>
      <c r="D72" t="inlineStr">
        <is>
          <t>Household &amp; Personal Products</t>
        </is>
      </c>
      <c r="E72" t="inlineStr">
        <is>
          <t>N/A</t>
        </is>
      </c>
      <c r="F72" t="inlineStr"/>
      <c r="G72" t="inlineStr"/>
      <c r="H72" t="inlineStr">
        <is>
          <t>7.64%</t>
        </is>
      </c>
      <c r="I72" t="inlineStr">
        <is>
          <t>0.00%</t>
        </is>
      </c>
    </row>
    <row r="73">
      <c r="A73" s="2" t="n">
        <v>45954</v>
      </c>
      <c r="B73" t="inlineStr">
        <is>
          <t>KNG</t>
        </is>
      </c>
      <c r="C73" t="inlineStr">
        <is>
          <t>GICS_INDUSTRY_GROUP_NAME</t>
        </is>
      </c>
      <c r="D73" t="inlineStr">
        <is>
          <t>Insurance</t>
        </is>
      </c>
      <c r="E73" t="inlineStr">
        <is>
          <t>N/A</t>
        </is>
      </c>
      <c r="F73" t="inlineStr"/>
      <c r="G73" t="inlineStr"/>
      <c r="H73" t="inlineStr">
        <is>
          <t>7.18%</t>
        </is>
      </c>
      <c r="I73" t="inlineStr">
        <is>
          <t>0.00%</t>
        </is>
      </c>
    </row>
    <row r="74">
      <c r="A74" s="2" t="n">
        <v>45954</v>
      </c>
      <c r="B74" t="inlineStr">
        <is>
          <t>KNG</t>
        </is>
      </c>
      <c r="C74" t="inlineStr">
        <is>
          <t>GICS_INDUSTRY_NAME</t>
        </is>
      </c>
      <c r="D74" t="inlineStr">
        <is>
          <t>Insurance</t>
        </is>
      </c>
      <c r="E74" t="inlineStr">
        <is>
          <t>N/A</t>
        </is>
      </c>
      <c r="F74" t="inlineStr"/>
      <c r="G74" t="inlineStr"/>
      <c r="H74" t="inlineStr">
        <is>
          <t>7.18%</t>
        </is>
      </c>
      <c r="I74" t="inlineStr">
        <is>
          <t>0.00%</t>
        </is>
      </c>
    </row>
    <row r="75">
      <c r="A75" s="2" t="n">
        <v>45954</v>
      </c>
      <c r="B75" t="inlineStr">
        <is>
          <t>KNG</t>
        </is>
      </c>
      <c r="C75" t="inlineStr">
        <is>
          <t>GICS_INDUSTRY_NAME</t>
        </is>
      </c>
      <c r="D75" t="inlineStr">
        <is>
          <t>Household Products</t>
        </is>
      </c>
      <c r="E75" t="inlineStr">
        <is>
          <t>N/A</t>
        </is>
      </c>
      <c r="F75" t="inlineStr"/>
      <c r="G75" t="inlineStr"/>
      <c r="H75" t="inlineStr">
        <is>
          <t>6.66%</t>
        </is>
      </c>
      <c r="I75" t="inlineStr">
        <is>
          <t>0.00%</t>
        </is>
      </c>
    </row>
    <row r="76">
      <c r="A76" s="2" t="n">
        <v>45954</v>
      </c>
      <c r="B76" t="inlineStr">
        <is>
          <t>KNG</t>
        </is>
      </c>
      <c r="C76" t="inlineStr">
        <is>
          <t>GICS_INDUSTRY_GROUP_NAME</t>
        </is>
      </c>
      <c r="D76" t="inlineStr">
        <is>
          <t>Utilities</t>
        </is>
      </c>
      <c r="E76" t="inlineStr">
        <is>
          <t>N/A</t>
        </is>
      </c>
      <c r="F76" t="inlineStr"/>
      <c r="G76" t="inlineStr"/>
      <c r="H76" t="inlineStr">
        <is>
          <t>6.45%</t>
        </is>
      </c>
      <c r="I76" t="inlineStr">
        <is>
          <t>0.00%</t>
        </is>
      </c>
    </row>
    <row r="77">
      <c r="A77" s="2" t="n">
        <v>45954</v>
      </c>
      <c r="B77" t="inlineStr">
        <is>
          <t>KNG</t>
        </is>
      </c>
      <c r="C77" t="inlineStr">
        <is>
          <t>GICS_INDUSTRY_GROUP_NAME</t>
        </is>
      </c>
      <c r="D77" t="inlineStr">
        <is>
          <t>Health Care Equipment &amp; Services</t>
        </is>
      </c>
      <c r="E77" t="inlineStr">
        <is>
          <t>N/A</t>
        </is>
      </c>
      <c r="F77" t="inlineStr"/>
      <c r="G77" t="inlineStr"/>
      <c r="H77" t="inlineStr">
        <is>
          <t>5.96%</t>
        </is>
      </c>
      <c r="I77" t="inlineStr">
        <is>
          <t>0.00%</t>
        </is>
      </c>
    </row>
    <row r="78">
      <c r="A78" s="2" t="n">
        <v>45954</v>
      </c>
      <c r="B78" t="inlineStr">
        <is>
          <t>KNG</t>
        </is>
      </c>
      <c r="C78" t="inlineStr">
        <is>
          <t>GICS_INDUSTRY_NAME</t>
        </is>
      </c>
      <c r="D78" t="inlineStr">
        <is>
          <t>Food Products</t>
        </is>
      </c>
      <c r="E78" t="inlineStr">
        <is>
          <t>N/A</t>
        </is>
      </c>
      <c r="F78" t="inlineStr"/>
      <c r="G78" t="inlineStr"/>
      <c r="H78" t="inlineStr">
        <is>
          <t>5.62%</t>
        </is>
      </c>
      <c r="I78" t="inlineStr">
        <is>
          <t>0.00%</t>
        </is>
      </c>
    </row>
    <row r="79">
      <c r="A79" s="2" t="n">
        <v>45954</v>
      </c>
      <c r="B79" t="inlineStr">
        <is>
          <t>KNG</t>
        </is>
      </c>
      <c r="C79" t="inlineStr">
        <is>
          <t>GICS_INDUSTRY_GROUP_NAME</t>
        </is>
      </c>
      <c r="D79" t="inlineStr">
        <is>
          <t>Financial Services</t>
        </is>
      </c>
      <c r="E79" t="inlineStr">
        <is>
          <t>N/A</t>
        </is>
      </c>
      <c r="F79" t="inlineStr"/>
      <c r="G79" t="inlineStr"/>
      <c r="H79" t="inlineStr">
        <is>
          <t>5.12%</t>
        </is>
      </c>
      <c r="I79" t="inlineStr">
        <is>
          <t>0.00%</t>
        </is>
      </c>
    </row>
    <row r="80">
      <c r="A80" s="2" t="n">
        <v>45954</v>
      </c>
      <c r="B80" t="inlineStr">
        <is>
          <t>KNG</t>
        </is>
      </c>
      <c r="C80" t="inlineStr">
        <is>
          <t>GICS_INDUSTRY_NAME</t>
        </is>
      </c>
      <c r="D80" t="inlineStr">
        <is>
          <t>Capital Markets</t>
        </is>
      </c>
      <c r="E80" t="inlineStr">
        <is>
          <t>N/A</t>
        </is>
      </c>
      <c r="F80" t="inlineStr"/>
      <c r="G80" t="inlineStr"/>
      <c r="H80" t="inlineStr">
        <is>
          <t>5.12%</t>
        </is>
      </c>
      <c r="I80" t="inlineStr">
        <is>
          <t>0.00%</t>
        </is>
      </c>
    </row>
    <row r="81">
      <c r="A81" s="2" t="n">
        <v>45954</v>
      </c>
      <c r="B81" t="inlineStr">
        <is>
          <t>KNG</t>
        </is>
      </c>
      <c r="C81" t="inlineStr">
        <is>
          <t>GICS_INDUSTRY_GROUP_NAME</t>
        </is>
      </c>
      <c r="D81" t="inlineStr">
        <is>
          <t>Pharmaceuticals, Biotechnology &amp; Life Sciences</t>
        </is>
      </c>
      <c r="E81" t="inlineStr">
        <is>
          <t>N/A</t>
        </is>
      </c>
      <c r="F81" t="inlineStr"/>
      <c r="G81" t="inlineStr"/>
      <c r="H81" t="inlineStr">
        <is>
          <t>4.97%</t>
        </is>
      </c>
      <c r="I81" t="inlineStr">
        <is>
          <t>0.00%</t>
        </is>
      </c>
    </row>
    <row r="82">
      <c r="A82" s="2" t="n">
        <v>45954</v>
      </c>
      <c r="B82" t="inlineStr">
        <is>
          <t>KNG</t>
        </is>
      </c>
      <c r="C82" t="inlineStr">
        <is>
          <t>GICS_INDUSTRY_NAME</t>
        </is>
      </c>
      <c r="D82" t="inlineStr">
        <is>
          <t>Health Care Equipment &amp; Supplies</t>
        </is>
      </c>
      <c r="E82" t="inlineStr">
        <is>
          <t>N/A</t>
        </is>
      </c>
      <c r="F82" t="inlineStr"/>
      <c r="G82" t="inlineStr"/>
      <c r="H82" t="inlineStr">
        <is>
          <t>4.46%</t>
        </is>
      </c>
      <c r="I82" t="inlineStr">
        <is>
          <t>0.00%</t>
        </is>
      </c>
    </row>
    <row r="83">
      <c r="A83" s="2" t="n">
        <v>45954</v>
      </c>
      <c r="B83" t="inlineStr">
        <is>
          <t>KNG</t>
        </is>
      </c>
      <c r="C83" t="inlineStr">
        <is>
          <t>GICS_INDUSTRY_GROUP_NAME</t>
        </is>
      </c>
      <c r="D83" t="inlineStr">
        <is>
          <t>Equity Real Estate Investment Trusts</t>
        </is>
      </c>
      <c r="E83" t="inlineStr">
        <is>
          <t>N/A</t>
        </is>
      </c>
      <c r="F83" t="inlineStr"/>
      <c r="G83" t="inlineStr"/>
      <c r="H83" t="inlineStr">
        <is>
          <t>4.44%</t>
        </is>
      </c>
      <c r="I83" t="inlineStr">
        <is>
          <t>0.00%</t>
        </is>
      </c>
    </row>
    <row r="84">
      <c r="A84" s="2" t="n">
        <v>45954</v>
      </c>
      <c r="B84" t="inlineStr">
        <is>
          <t>KNG</t>
        </is>
      </c>
      <c r="C84" t="inlineStr">
        <is>
          <t>GICS_INDUSTRY_GROUP_NAME</t>
        </is>
      </c>
      <c r="D84" t="inlineStr">
        <is>
          <t>Consumer Staples Distribution &amp; Retail</t>
        </is>
      </c>
      <c r="E84" t="inlineStr">
        <is>
          <t>N/A</t>
        </is>
      </c>
      <c r="F84" t="inlineStr"/>
      <c r="G84" t="inlineStr"/>
      <c r="H84" t="inlineStr">
        <is>
          <t>4.34%</t>
        </is>
      </c>
      <c r="I84" t="inlineStr">
        <is>
          <t>0.00%</t>
        </is>
      </c>
    </row>
    <row r="85">
      <c r="A85" s="2" t="n">
        <v>45954</v>
      </c>
      <c r="B85" t="inlineStr">
        <is>
          <t>KNG</t>
        </is>
      </c>
      <c r="C85" t="inlineStr">
        <is>
          <t>GICS_INDUSTRY_NAME</t>
        </is>
      </c>
      <c r="D85" t="inlineStr">
        <is>
          <t>Consumer Staples Distribution &amp; Retail</t>
        </is>
      </c>
      <c r="E85" t="inlineStr">
        <is>
          <t>N/A</t>
        </is>
      </c>
      <c r="F85" t="inlineStr"/>
      <c r="G85" t="inlineStr"/>
      <c r="H85" t="inlineStr">
        <is>
          <t>4.34%</t>
        </is>
      </c>
      <c r="I85" t="inlineStr">
        <is>
          <t>0.00%</t>
        </is>
      </c>
    </row>
    <row r="86">
      <c r="A86" s="2" t="n">
        <v>45954</v>
      </c>
      <c r="B86" t="inlineStr">
        <is>
          <t>KNG</t>
        </is>
      </c>
      <c r="C86" t="inlineStr">
        <is>
          <t>GICS_INDUSTRY_NAME</t>
        </is>
      </c>
      <c r="D86" t="inlineStr">
        <is>
          <t>Beverages</t>
        </is>
      </c>
      <c r="E86" t="inlineStr">
        <is>
          <t>N/A</t>
        </is>
      </c>
      <c r="F86" t="inlineStr"/>
      <c r="G86" t="inlineStr"/>
      <c r="H86" t="inlineStr">
        <is>
          <t>4.34%</t>
        </is>
      </c>
      <c r="I86" t="inlineStr">
        <is>
          <t>0.00%</t>
        </is>
      </c>
    </row>
    <row r="87">
      <c r="A87" s="2" t="n">
        <v>45954</v>
      </c>
      <c r="B87" t="inlineStr">
        <is>
          <t>KNG</t>
        </is>
      </c>
      <c r="C87" t="inlineStr">
        <is>
          <t>GICS_INDUSTRY_NAME</t>
        </is>
      </c>
      <c r="D87" t="inlineStr">
        <is>
          <t>Electric Utilities</t>
        </is>
      </c>
      <c r="E87" t="inlineStr">
        <is>
          <t>N/A</t>
        </is>
      </c>
      <c r="F87" t="inlineStr"/>
      <c r="G87" t="inlineStr"/>
      <c r="H87" t="inlineStr">
        <is>
          <t>3.37%</t>
        </is>
      </c>
      <c r="I87" t="inlineStr">
        <is>
          <t>0.00%</t>
        </is>
      </c>
    </row>
    <row r="88">
      <c r="A88" s="2" t="n">
        <v>45954</v>
      </c>
      <c r="B88" t="inlineStr">
        <is>
          <t>KNG</t>
        </is>
      </c>
      <c r="C88" t="inlineStr">
        <is>
          <t>GICS_INDUSTRY_GROUP_NAME</t>
        </is>
      </c>
      <c r="D88" t="inlineStr">
        <is>
          <t>Transportation</t>
        </is>
      </c>
      <c r="E88" t="inlineStr">
        <is>
          <t>N/A</t>
        </is>
      </c>
      <c r="F88" t="inlineStr"/>
      <c r="G88" t="inlineStr"/>
      <c r="H88" t="inlineStr">
        <is>
          <t>3.27%</t>
        </is>
      </c>
      <c r="I88" t="inlineStr">
        <is>
          <t>0.00%</t>
        </is>
      </c>
    </row>
    <row r="89">
      <c r="A89" s="2" t="n">
        <v>45954</v>
      </c>
      <c r="B89" t="inlineStr">
        <is>
          <t>KNG</t>
        </is>
      </c>
      <c r="C89" t="inlineStr">
        <is>
          <t>GICS_INDUSTRY_NAME</t>
        </is>
      </c>
      <c r="D89" t="inlineStr">
        <is>
          <t>Air Freight &amp; Logistics</t>
        </is>
      </c>
      <c r="E89" t="inlineStr">
        <is>
          <t>N/A</t>
        </is>
      </c>
      <c r="F89" t="inlineStr"/>
      <c r="G89" t="inlineStr"/>
      <c r="H89" t="inlineStr">
        <is>
          <t>3.27%</t>
        </is>
      </c>
      <c r="I89" t="inlineStr">
        <is>
          <t>0.00%</t>
        </is>
      </c>
    </row>
    <row r="90">
      <c r="A90" s="2" t="n">
        <v>45954</v>
      </c>
      <c r="B90" t="inlineStr">
        <is>
          <t>KNG</t>
        </is>
      </c>
      <c r="C90" t="inlineStr">
        <is>
          <t>GICS_INDUSTRY_NAME</t>
        </is>
      </c>
      <c r="D90" t="inlineStr">
        <is>
          <t>Retail REITs</t>
        </is>
      </c>
      <c r="E90" t="inlineStr">
        <is>
          <t>N/A</t>
        </is>
      </c>
      <c r="F90" t="inlineStr"/>
      <c r="G90" t="inlineStr"/>
      <c r="H90" t="inlineStr">
        <is>
          <t>3.09%</t>
        </is>
      </c>
      <c r="I90" t="inlineStr">
        <is>
          <t>0.00%</t>
        </is>
      </c>
    </row>
    <row r="91">
      <c r="A91" s="2" t="n">
        <v>45954</v>
      </c>
      <c r="B91" t="inlineStr">
        <is>
          <t>KNG</t>
        </is>
      </c>
      <c r="C91" t="inlineStr">
        <is>
          <t>GICS_INDUSTRY_GROUP_NAME</t>
        </is>
      </c>
      <c r="D91" t="inlineStr">
        <is>
          <t>Consumer Discretionary Distribution &amp; Retail</t>
        </is>
      </c>
      <c r="E91" t="inlineStr">
        <is>
          <t>N/A</t>
        </is>
      </c>
      <c r="F91" t="inlineStr"/>
      <c r="G91" t="inlineStr"/>
      <c r="H91" t="inlineStr">
        <is>
          <t>3.02%</t>
        </is>
      </c>
      <c r="I91" t="inlineStr">
        <is>
          <t>0.00%</t>
        </is>
      </c>
    </row>
    <row r="92">
      <c r="A92" s="2" t="n">
        <v>45954</v>
      </c>
      <c r="B92" t="inlineStr">
        <is>
          <t>KNG</t>
        </is>
      </c>
      <c r="C92" t="inlineStr">
        <is>
          <t>GICS_INDUSTRY_GROUP_NAME</t>
        </is>
      </c>
      <c r="D92" t="inlineStr">
        <is>
          <t>Energy</t>
        </is>
      </c>
      <c r="E92" t="inlineStr">
        <is>
          <t>N/A</t>
        </is>
      </c>
      <c r="F92" t="inlineStr"/>
      <c r="G92" t="inlineStr"/>
      <c r="H92" t="inlineStr">
        <is>
          <t>2.99%</t>
        </is>
      </c>
      <c r="I92" t="inlineStr">
        <is>
          <t>0.00%</t>
        </is>
      </c>
    </row>
    <row r="93">
      <c r="A93" s="2" t="n">
        <v>45954</v>
      </c>
      <c r="B93" t="inlineStr">
        <is>
          <t>KNG</t>
        </is>
      </c>
      <c r="C93" t="inlineStr">
        <is>
          <t>GICS_INDUSTRY_NAME</t>
        </is>
      </c>
      <c r="D93" t="inlineStr">
        <is>
          <t>Oil, Gas &amp; Consumable Fuels</t>
        </is>
      </c>
      <c r="E93" t="inlineStr">
        <is>
          <t>N/A</t>
        </is>
      </c>
      <c r="F93" t="inlineStr"/>
      <c r="G93" t="inlineStr"/>
      <c r="H93" t="inlineStr">
        <is>
          <t>2.99%</t>
        </is>
      </c>
      <c r="I93" t="inlineStr">
        <is>
          <t>0.00%</t>
        </is>
      </c>
    </row>
    <row r="94">
      <c r="A94" s="2" t="n">
        <v>45954</v>
      </c>
      <c r="B94" t="inlineStr">
        <is>
          <t>KNG</t>
        </is>
      </c>
      <c r="C94" t="inlineStr">
        <is>
          <t>GICS_INDUSTRY_GROUP_NAME</t>
        </is>
      </c>
      <c r="D94" t="inlineStr">
        <is>
          <t>Software &amp; Services</t>
        </is>
      </c>
      <c r="E94" t="inlineStr">
        <is>
          <t>N/A</t>
        </is>
      </c>
      <c r="F94" t="inlineStr"/>
      <c r="G94" t="inlineStr"/>
      <c r="H94" t="inlineStr">
        <is>
          <t>2.99%</t>
        </is>
      </c>
      <c r="I94" t="inlineStr">
        <is>
          <t>0.00%</t>
        </is>
      </c>
    </row>
    <row r="95">
      <c r="A95" s="2" t="n">
        <v>45954</v>
      </c>
      <c r="B95" t="inlineStr">
        <is>
          <t>KNG</t>
        </is>
      </c>
      <c r="C95" t="inlineStr">
        <is>
          <t>GICS_INDUSTRY_NAME</t>
        </is>
      </c>
      <c r="D95" t="inlineStr">
        <is>
          <t>Trading Companies &amp; Distributors</t>
        </is>
      </c>
      <c r="E95" t="inlineStr">
        <is>
          <t>N/A</t>
        </is>
      </c>
      <c r="F95" t="inlineStr"/>
      <c r="G95" t="inlineStr"/>
      <c r="H95" t="inlineStr">
        <is>
          <t>2.66%</t>
        </is>
      </c>
      <c r="I95" t="inlineStr">
        <is>
          <t>0.00%</t>
        </is>
      </c>
    </row>
    <row r="96">
      <c r="A96" s="2" t="n">
        <v>45954</v>
      </c>
      <c r="B96" t="inlineStr">
        <is>
          <t>KNG</t>
        </is>
      </c>
      <c r="C96" t="inlineStr">
        <is>
          <t>GICS_INDUSTRY_GROUP_NAME</t>
        </is>
      </c>
      <c r="D96" t="inlineStr">
        <is>
          <t>Commercial &amp; Professional Services</t>
        </is>
      </c>
      <c r="E96" t="inlineStr">
        <is>
          <t>N/A</t>
        </is>
      </c>
      <c r="F96" t="inlineStr"/>
      <c r="G96" t="inlineStr"/>
      <c r="H96" t="inlineStr">
        <is>
          <t>2.60%</t>
        </is>
      </c>
      <c r="I96" t="inlineStr">
        <is>
          <t>0.00%</t>
        </is>
      </c>
    </row>
    <row r="97">
      <c r="A97" s="2" t="n">
        <v>45954</v>
      </c>
      <c r="B97" t="inlineStr">
        <is>
          <t>KNG</t>
        </is>
      </c>
      <c r="C97" t="inlineStr">
        <is>
          <t>GICS_INDUSTRY_NAME</t>
        </is>
      </c>
      <c r="D97" t="inlineStr">
        <is>
          <t>Biotechnology</t>
        </is>
      </c>
      <c r="E97" t="inlineStr">
        <is>
          <t>N/A</t>
        </is>
      </c>
      <c r="F97" t="inlineStr"/>
      <c r="G97" t="inlineStr"/>
      <c r="H97" t="inlineStr">
        <is>
          <t>1.75%</t>
        </is>
      </c>
      <c r="I97" t="inlineStr">
        <is>
          <t>0.00%</t>
        </is>
      </c>
    </row>
    <row r="98">
      <c r="A98" s="2" t="n">
        <v>45954</v>
      </c>
      <c r="B98" t="inlineStr">
        <is>
          <t>KNG</t>
        </is>
      </c>
      <c r="C98" t="inlineStr">
        <is>
          <t>GICS_INDUSTRY_NAME</t>
        </is>
      </c>
      <c r="D98" t="inlineStr">
        <is>
          <t>IT Services</t>
        </is>
      </c>
      <c r="E98" t="inlineStr">
        <is>
          <t>N/A</t>
        </is>
      </c>
      <c r="F98" t="inlineStr"/>
      <c r="G98" t="inlineStr"/>
      <c r="H98" t="inlineStr">
        <is>
          <t>1.73%</t>
        </is>
      </c>
      <c r="I98" t="inlineStr">
        <is>
          <t>0.00%</t>
        </is>
      </c>
    </row>
    <row r="99">
      <c r="A99" s="2" t="n">
        <v>45954</v>
      </c>
      <c r="B99" t="inlineStr">
        <is>
          <t>KNG</t>
        </is>
      </c>
      <c r="C99" t="inlineStr">
        <is>
          <t>GICS_INDUSTRY_NAME</t>
        </is>
      </c>
      <c r="D99" t="inlineStr">
        <is>
          <t>Pharmaceuticals</t>
        </is>
      </c>
      <c r="E99" t="inlineStr">
        <is>
          <t>N/A</t>
        </is>
      </c>
      <c r="F99" t="inlineStr"/>
      <c r="G99" t="inlineStr"/>
      <c r="H99" t="inlineStr">
        <is>
          <t>1.65%</t>
        </is>
      </c>
      <c r="I99" t="inlineStr">
        <is>
          <t>0.00%</t>
        </is>
      </c>
    </row>
    <row r="100">
      <c r="A100" s="2" t="n">
        <v>45954</v>
      </c>
      <c r="B100" t="inlineStr">
        <is>
          <t>KNG</t>
        </is>
      </c>
      <c r="C100" t="inlineStr">
        <is>
          <t>GICS_INDUSTRY_NAME</t>
        </is>
      </c>
      <c r="D100" t="inlineStr">
        <is>
          <t>Aerospace &amp; Defense</t>
        </is>
      </c>
      <c r="E100" t="inlineStr">
        <is>
          <t>N/A</t>
        </is>
      </c>
      <c r="F100" t="inlineStr"/>
      <c r="G100" t="inlineStr"/>
      <c r="H100" t="inlineStr">
        <is>
          <t>1.64%</t>
        </is>
      </c>
      <c r="I100" t="inlineStr">
        <is>
          <t>0.00%</t>
        </is>
      </c>
    </row>
    <row r="101">
      <c r="A101" s="2" t="n">
        <v>45954</v>
      </c>
      <c r="B101" t="inlineStr">
        <is>
          <t>KNG</t>
        </is>
      </c>
      <c r="C101" t="inlineStr">
        <is>
          <t>GICS_INDUSTRY_NAME</t>
        </is>
      </c>
      <c r="D101" t="inlineStr">
        <is>
          <t>Gas Utilities</t>
        </is>
      </c>
      <c r="E101" t="inlineStr">
        <is>
          <t>N/A</t>
        </is>
      </c>
      <c r="F101" t="inlineStr"/>
      <c r="G101" t="inlineStr"/>
      <c r="H101" t="inlineStr">
        <is>
          <t>1.64%</t>
        </is>
      </c>
      <c r="I101" t="inlineStr">
        <is>
          <t>0.00%</t>
        </is>
      </c>
    </row>
    <row r="102">
      <c r="A102" s="2" t="n">
        <v>45954</v>
      </c>
      <c r="B102" t="inlineStr">
        <is>
          <t>KNG</t>
        </is>
      </c>
      <c r="C102" t="inlineStr">
        <is>
          <t>GICS_INDUSTRY_NAME</t>
        </is>
      </c>
      <c r="D102" t="inlineStr">
        <is>
          <t>Specialty Retail</t>
        </is>
      </c>
      <c r="E102" t="inlineStr">
        <is>
          <t>N/A</t>
        </is>
      </c>
      <c r="F102" t="inlineStr"/>
      <c r="G102" t="inlineStr"/>
      <c r="H102" t="inlineStr">
        <is>
          <t>1.58%</t>
        </is>
      </c>
      <c r="I102" t="inlineStr">
        <is>
          <t>0.00%</t>
        </is>
      </c>
    </row>
    <row r="103">
      <c r="A103" s="2" t="n">
        <v>45954</v>
      </c>
      <c r="B103" t="inlineStr">
        <is>
          <t>KNG</t>
        </is>
      </c>
      <c r="C103" t="inlineStr">
        <is>
          <t>GICS_INDUSTRY_NAME</t>
        </is>
      </c>
      <c r="D103" t="inlineStr">
        <is>
          <t>Life Sciences Tools &amp; Services</t>
        </is>
      </c>
      <c r="E103" t="inlineStr">
        <is>
          <t>N/A</t>
        </is>
      </c>
      <c r="F103" t="inlineStr"/>
      <c r="G103" t="inlineStr"/>
      <c r="H103" t="inlineStr">
        <is>
          <t>1.56%</t>
        </is>
      </c>
      <c r="I103" t="inlineStr">
        <is>
          <t>0.00%</t>
        </is>
      </c>
    </row>
    <row r="104">
      <c r="A104" s="2" t="n">
        <v>45954</v>
      </c>
      <c r="B104" t="inlineStr">
        <is>
          <t>KNG</t>
        </is>
      </c>
      <c r="C104" t="inlineStr">
        <is>
          <t>GICS_INDUSTRY_GROUP_NAME</t>
        </is>
      </c>
      <c r="D104" t="inlineStr">
        <is>
          <t>Consumer Services</t>
        </is>
      </c>
      <c r="E104" t="inlineStr">
        <is>
          <t>N/A</t>
        </is>
      </c>
      <c r="F104" t="inlineStr"/>
      <c r="G104" t="inlineStr"/>
      <c r="H104" t="inlineStr">
        <is>
          <t>1.52%</t>
        </is>
      </c>
      <c r="I104" t="inlineStr">
        <is>
          <t>0.00%</t>
        </is>
      </c>
    </row>
    <row r="105">
      <c r="A105" s="2" t="n">
        <v>45954</v>
      </c>
      <c r="B105" t="inlineStr">
        <is>
          <t>KNG</t>
        </is>
      </c>
      <c r="C105" t="inlineStr">
        <is>
          <t>GICS_INDUSTRY_NAME</t>
        </is>
      </c>
      <c r="D105" t="inlineStr">
        <is>
          <t>Hotels, Restaurants &amp; Leisure</t>
        </is>
      </c>
      <c r="E105" t="inlineStr">
        <is>
          <t>N/A</t>
        </is>
      </c>
      <c r="F105" t="inlineStr"/>
      <c r="G105" t="inlineStr"/>
      <c r="H105" t="inlineStr">
        <is>
          <t>1.52%</t>
        </is>
      </c>
      <c r="I105" t="inlineStr">
        <is>
          <t>0.00%</t>
        </is>
      </c>
    </row>
    <row r="106">
      <c r="A106" s="2" t="n">
        <v>45954</v>
      </c>
      <c r="B106" t="inlineStr">
        <is>
          <t>KNG</t>
        </is>
      </c>
      <c r="C106" t="inlineStr">
        <is>
          <t>GICS_INDUSTRY_NAME</t>
        </is>
      </c>
      <c r="D106" t="inlineStr">
        <is>
          <t>Health Care Providers &amp; Services</t>
        </is>
      </c>
      <c r="E106" t="inlineStr">
        <is>
          <t>N/A</t>
        </is>
      </c>
      <c r="F106" t="inlineStr"/>
      <c r="G106" t="inlineStr"/>
      <c r="H106" t="inlineStr">
        <is>
          <t>1.50%</t>
        </is>
      </c>
      <c r="I106" t="inlineStr">
        <is>
          <t>0.00%</t>
        </is>
      </c>
    </row>
    <row r="107">
      <c r="A107" s="2" t="n">
        <v>45954</v>
      </c>
      <c r="B107" t="inlineStr">
        <is>
          <t>KNG</t>
        </is>
      </c>
      <c r="C107" t="inlineStr">
        <is>
          <t>GICS_INDUSTRY_NAME</t>
        </is>
      </c>
      <c r="D107" t="inlineStr">
        <is>
          <t>Distributors</t>
        </is>
      </c>
      <c r="E107" t="inlineStr">
        <is>
          <t>N/A</t>
        </is>
      </c>
      <c r="F107" t="inlineStr"/>
      <c r="G107" t="inlineStr"/>
      <c r="H107" t="inlineStr">
        <is>
          <t>1.44%</t>
        </is>
      </c>
      <c r="I107" t="inlineStr">
        <is>
          <t>0.00%</t>
        </is>
      </c>
    </row>
    <row r="108">
      <c r="A108" s="2" t="n">
        <v>45954</v>
      </c>
      <c r="B108" t="inlineStr">
        <is>
          <t>KNG</t>
        </is>
      </c>
      <c r="C108" t="inlineStr">
        <is>
          <t>GICS_INDUSTRY_NAME</t>
        </is>
      </c>
      <c r="D108" t="inlineStr">
        <is>
          <t>Metals &amp; Mining</t>
        </is>
      </c>
      <c r="E108" t="inlineStr">
        <is>
          <t>N/A</t>
        </is>
      </c>
      <c r="F108" t="inlineStr"/>
      <c r="G108" t="inlineStr"/>
      <c r="H108" t="inlineStr">
        <is>
          <t>1.44%</t>
        </is>
      </c>
      <c r="I108" t="inlineStr">
        <is>
          <t>0.00%</t>
        </is>
      </c>
    </row>
    <row r="109">
      <c r="A109" s="2" t="n">
        <v>45954</v>
      </c>
      <c r="B109" t="inlineStr">
        <is>
          <t>KNG</t>
        </is>
      </c>
      <c r="C109" t="inlineStr">
        <is>
          <t>GICS_INDUSTRY_NAME</t>
        </is>
      </c>
      <c r="D109" t="inlineStr">
        <is>
          <t>Multi-Utilities</t>
        </is>
      </c>
      <c r="E109" t="inlineStr">
        <is>
          <t>N/A</t>
        </is>
      </c>
      <c r="F109" t="inlineStr"/>
      <c r="G109" t="inlineStr"/>
      <c r="H109" t="inlineStr">
        <is>
          <t>1.44%</t>
        </is>
      </c>
      <c r="I109" t="inlineStr">
        <is>
          <t>0.00%</t>
        </is>
      </c>
    </row>
    <row r="110">
      <c r="A110" s="2" t="n">
        <v>45954</v>
      </c>
      <c r="B110" t="inlineStr">
        <is>
          <t>KNG</t>
        </is>
      </c>
      <c r="C110" t="inlineStr">
        <is>
          <t>GICS_INDUSTRY_NAME</t>
        </is>
      </c>
      <c r="D110" t="inlineStr">
        <is>
          <t>Building Products</t>
        </is>
      </c>
      <c r="E110" t="inlineStr">
        <is>
          <t>N/A</t>
        </is>
      </c>
      <c r="F110" t="inlineStr"/>
      <c r="G110" t="inlineStr"/>
      <c r="H110" t="inlineStr">
        <is>
          <t>1.37%</t>
        </is>
      </c>
      <c r="I110" t="inlineStr">
        <is>
          <t>0.00%</t>
        </is>
      </c>
    </row>
    <row r="111">
      <c r="A111" s="2" t="n">
        <v>45954</v>
      </c>
      <c r="B111" t="inlineStr">
        <is>
          <t>KNG</t>
        </is>
      </c>
      <c r="C111" t="inlineStr">
        <is>
          <t>GICS_INDUSTRY_NAME</t>
        </is>
      </c>
      <c r="D111" t="inlineStr">
        <is>
          <t>Residential REITs</t>
        </is>
      </c>
      <c r="E111" t="inlineStr">
        <is>
          <t>N/A</t>
        </is>
      </c>
      <c r="F111" t="inlineStr"/>
      <c r="G111" t="inlineStr"/>
      <c r="H111" t="inlineStr">
        <is>
          <t>1.35%</t>
        </is>
      </c>
      <c r="I111" t="inlineStr">
        <is>
          <t>0.00%</t>
        </is>
      </c>
    </row>
    <row r="112">
      <c r="A112" s="2" t="n">
        <v>45954</v>
      </c>
      <c r="B112" t="inlineStr">
        <is>
          <t>KNG</t>
        </is>
      </c>
      <c r="C112" t="inlineStr">
        <is>
          <t>GICS_INDUSTRY_NAME</t>
        </is>
      </c>
      <c r="D112" t="inlineStr">
        <is>
          <t>Professional Services</t>
        </is>
      </c>
      <c r="E112" t="inlineStr">
        <is>
          <t>N/A</t>
        </is>
      </c>
      <c r="F112" t="inlineStr"/>
      <c r="G112" t="inlineStr"/>
      <c r="H112" t="inlineStr">
        <is>
          <t>1.35%</t>
        </is>
      </c>
      <c r="I112" t="inlineStr">
        <is>
          <t>0.00%</t>
        </is>
      </c>
    </row>
    <row r="113">
      <c r="A113" s="2" t="n">
        <v>45954</v>
      </c>
      <c r="B113" t="inlineStr">
        <is>
          <t>KNG</t>
        </is>
      </c>
      <c r="C113" t="inlineStr">
        <is>
          <t>GICS_INDUSTRY_NAME</t>
        </is>
      </c>
      <c r="D113" t="inlineStr">
        <is>
          <t>Electrical Equipment</t>
        </is>
      </c>
      <c r="E113" t="inlineStr">
        <is>
          <t>N/A</t>
        </is>
      </c>
      <c r="F113" t="inlineStr"/>
      <c r="G113" t="inlineStr"/>
      <c r="H113" t="inlineStr">
        <is>
          <t>1.33%</t>
        </is>
      </c>
      <c r="I113" t="inlineStr">
        <is>
          <t>0.00%</t>
        </is>
      </c>
    </row>
    <row r="114">
      <c r="A114" s="2" t="n">
        <v>45954</v>
      </c>
      <c r="B114" t="inlineStr">
        <is>
          <t>KNG</t>
        </is>
      </c>
      <c r="C114" t="inlineStr">
        <is>
          <t>GICS_INDUSTRY_NAME</t>
        </is>
      </c>
      <c r="D114" t="inlineStr">
        <is>
          <t>Commercial Services &amp; Supplies</t>
        </is>
      </c>
      <c r="E114" t="inlineStr">
        <is>
          <t>N/A</t>
        </is>
      </c>
      <c r="F114" t="inlineStr"/>
      <c r="G114" t="inlineStr"/>
      <c r="H114" t="inlineStr">
        <is>
          <t>1.26%</t>
        </is>
      </c>
      <c r="I114" t="inlineStr">
        <is>
          <t>0.00%</t>
        </is>
      </c>
    </row>
    <row r="115">
      <c r="A115" s="2" t="n">
        <v>45954</v>
      </c>
      <c r="B115" t="inlineStr">
        <is>
          <t>KNG</t>
        </is>
      </c>
      <c r="C115" t="inlineStr">
        <is>
          <t>GICS_INDUSTRY_NAME</t>
        </is>
      </c>
      <c r="D115" t="inlineStr">
        <is>
          <t>Software</t>
        </is>
      </c>
      <c r="E115" t="inlineStr">
        <is>
          <t>N/A</t>
        </is>
      </c>
      <c r="F115" t="inlineStr"/>
      <c r="G115" t="inlineStr"/>
      <c r="H115" t="inlineStr">
        <is>
          <t>1.25%</t>
        </is>
      </c>
      <c r="I115" t="inlineStr">
        <is>
          <t>0.00%</t>
        </is>
      </c>
    </row>
    <row r="116">
      <c r="A116" s="2" t="n">
        <v>45954</v>
      </c>
      <c r="B116" t="inlineStr">
        <is>
          <t>KNG</t>
        </is>
      </c>
      <c r="C116" t="inlineStr">
        <is>
          <t>GICS_INDUSTRY_NAME</t>
        </is>
      </c>
      <c r="D116" t="inlineStr">
        <is>
          <t>Containers &amp; Packaging</t>
        </is>
      </c>
      <c r="E116" t="inlineStr">
        <is>
          <t>N/A</t>
        </is>
      </c>
      <c r="F116" t="inlineStr"/>
      <c r="G116" t="inlineStr"/>
      <c r="H116" t="inlineStr">
        <is>
          <t>1.22%</t>
        </is>
      </c>
      <c r="I116" t="inlineStr">
        <is>
          <t>0.00%</t>
        </is>
      </c>
    </row>
    <row r="117">
      <c r="A117" s="2" t="n">
        <v>45954</v>
      </c>
      <c r="B117" t="inlineStr">
        <is>
          <t>KNG</t>
        </is>
      </c>
      <c r="C117" t="inlineStr">
        <is>
          <t>GICS_INDUSTRY_NAME</t>
        </is>
      </c>
      <c r="D117" t="inlineStr">
        <is>
          <t>Personal Care Products</t>
        </is>
      </c>
      <c r="E117" t="inlineStr">
        <is>
          <t>N/A</t>
        </is>
      </c>
      <c r="F117" t="inlineStr"/>
      <c r="G117" t="inlineStr"/>
      <c r="H117" t="inlineStr">
        <is>
          <t>0.98%</t>
        </is>
      </c>
      <c r="I117" t="inlineStr">
        <is>
          <t>0.00%</t>
        </is>
      </c>
    </row>
    <row r="118">
      <c r="A118" s="2" t="n">
        <v>45954</v>
      </c>
      <c r="B118" t="inlineStr">
        <is>
          <t>RDVI</t>
        </is>
      </c>
      <c r="C118" t="inlineStr">
        <is>
          <t>GICS_INDUSTRY_GROUP_NAME</t>
        </is>
      </c>
      <c r="D118" t="inlineStr">
        <is>
          <t>Financial Services</t>
        </is>
      </c>
      <c r="E118" t="inlineStr">
        <is>
          <t>N/A</t>
        </is>
      </c>
      <c r="F118" t="inlineStr"/>
      <c r="G118" t="inlineStr"/>
      <c r="H118" t="inlineStr">
        <is>
          <t>15.56%</t>
        </is>
      </c>
      <c r="I118" t="inlineStr">
        <is>
          <t>15.57%</t>
        </is>
      </c>
    </row>
    <row r="119">
      <c r="A119" s="2" t="n">
        <v>45954</v>
      </c>
      <c r="B119" t="inlineStr">
        <is>
          <t>RDVI</t>
        </is>
      </c>
      <c r="C119" t="inlineStr">
        <is>
          <t>GICS_INDUSTRY_GROUP_NAME</t>
        </is>
      </c>
      <c r="D119" t="inlineStr">
        <is>
          <t>Semiconductors &amp; Semiconductor Equipment</t>
        </is>
      </c>
      <c r="E119" t="inlineStr">
        <is>
          <t>N/A</t>
        </is>
      </c>
      <c r="F119" t="inlineStr"/>
      <c r="G119" t="inlineStr"/>
      <c r="H119" t="inlineStr">
        <is>
          <t>14.14%</t>
        </is>
      </c>
      <c r="I119" t="inlineStr">
        <is>
          <t>14.14%</t>
        </is>
      </c>
    </row>
    <row r="120">
      <c r="A120" s="2" t="n">
        <v>45954</v>
      </c>
      <c r="B120" t="inlineStr">
        <is>
          <t>RDVI</t>
        </is>
      </c>
      <c r="C120" t="inlineStr">
        <is>
          <t>GICS_INDUSTRY_NAME</t>
        </is>
      </c>
      <c r="D120" t="inlineStr">
        <is>
          <t>Semiconductors &amp; Semiconductor Equipment</t>
        </is>
      </c>
      <c r="E120" t="inlineStr">
        <is>
          <t>N/A</t>
        </is>
      </c>
      <c r="F120" t="inlineStr"/>
      <c r="G120" t="inlineStr"/>
      <c r="H120" t="inlineStr">
        <is>
          <t>14.14%</t>
        </is>
      </c>
      <c r="I120" t="inlineStr">
        <is>
          <t>14.14%</t>
        </is>
      </c>
    </row>
    <row r="121">
      <c r="A121" s="2" t="n">
        <v>45954</v>
      </c>
      <c r="B121" t="inlineStr">
        <is>
          <t>RDVI</t>
        </is>
      </c>
      <c r="C121" t="inlineStr">
        <is>
          <t>GICS_INDUSTRY_GROUP_NAME</t>
        </is>
      </c>
      <c r="D121" t="inlineStr">
        <is>
          <t>Insurance</t>
        </is>
      </c>
      <c r="E121" t="inlineStr">
        <is>
          <t>N/A</t>
        </is>
      </c>
      <c r="F121" t="inlineStr"/>
      <c r="G121" t="inlineStr"/>
      <c r="H121" t="inlineStr">
        <is>
          <t>11.74%</t>
        </is>
      </c>
      <c r="I121" t="inlineStr">
        <is>
          <t>11.74%</t>
        </is>
      </c>
    </row>
    <row r="122">
      <c r="A122" s="2" t="n">
        <v>45954</v>
      </c>
      <c r="B122" t="inlineStr">
        <is>
          <t>RDVI</t>
        </is>
      </c>
      <c r="C122" t="inlineStr">
        <is>
          <t>GICS_INDUSTRY_NAME</t>
        </is>
      </c>
      <c r="D122" t="inlineStr">
        <is>
          <t>Insurance</t>
        </is>
      </c>
      <c r="E122" t="inlineStr">
        <is>
          <t>N/A</t>
        </is>
      </c>
      <c r="F122" t="inlineStr"/>
      <c r="G122" t="inlineStr"/>
      <c r="H122" t="inlineStr">
        <is>
          <t>11.74%</t>
        </is>
      </c>
      <c r="I122" t="inlineStr">
        <is>
          <t>11.74%</t>
        </is>
      </c>
    </row>
    <row r="123">
      <c r="A123" s="2" t="n">
        <v>45954</v>
      </c>
      <c r="B123" t="inlineStr">
        <is>
          <t>RDVI</t>
        </is>
      </c>
      <c r="C123" t="inlineStr">
        <is>
          <t>GICS_INDUSTRY_GROUP_NAME</t>
        </is>
      </c>
      <c r="D123" t="inlineStr">
        <is>
          <t>Capital Goods</t>
        </is>
      </c>
      <c r="E123" t="inlineStr">
        <is>
          <t>N/A</t>
        </is>
      </c>
      <c r="F123" t="inlineStr"/>
      <c r="G123" t="inlineStr"/>
      <c r="H123" t="inlineStr">
        <is>
          <t>10.58%</t>
        </is>
      </c>
      <c r="I123" t="inlineStr">
        <is>
          <t>10.58%</t>
        </is>
      </c>
    </row>
    <row r="124">
      <c r="A124" s="2" t="n">
        <v>45954</v>
      </c>
      <c r="B124" t="inlineStr">
        <is>
          <t>RDVI</t>
        </is>
      </c>
      <c r="C124" t="inlineStr">
        <is>
          <t>GICS_INDUSTRY_NAME</t>
        </is>
      </c>
      <c r="D124" t="inlineStr">
        <is>
          <t>Capital Markets</t>
        </is>
      </c>
      <c r="E124" t="inlineStr">
        <is>
          <t>N/A</t>
        </is>
      </c>
      <c r="F124" t="inlineStr"/>
      <c r="G124" t="inlineStr"/>
      <c r="H124" t="inlineStr">
        <is>
          <t>8.60%</t>
        </is>
      </c>
      <c r="I124" t="inlineStr">
        <is>
          <t>8.60%</t>
        </is>
      </c>
    </row>
    <row r="125">
      <c r="A125" s="2" t="n">
        <v>45954</v>
      </c>
      <c r="B125" t="inlineStr">
        <is>
          <t>RDVI</t>
        </is>
      </c>
      <c r="C125" t="inlineStr">
        <is>
          <t>GICS_INDUSTRY_GROUP_NAME</t>
        </is>
      </c>
      <c r="D125" t="inlineStr">
        <is>
          <t>Media &amp; Entertainment</t>
        </is>
      </c>
      <c r="E125" t="inlineStr">
        <is>
          <t>N/A</t>
        </is>
      </c>
      <c r="F125" t="inlineStr"/>
      <c r="G125" t="inlineStr"/>
      <c r="H125" t="inlineStr">
        <is>
          <t>7.17%</t>
        </is>
      </c>
      <c r="I125" t="inlineStr">
        <is>
          <t>7.17%</t>
        </is>
      </c>
    </row>
    <row r="126">
      <c r="A126" s="2" t="n">
        <v>45954</v>
      </c>
      <c r="B126" t="inlineStr">
        <is>
          <t>RDVI</t>
        </is>
      </c>
      <c r="C126" t="inlineStr">
        <is>
          <t>GICS_INDUSTRY_GROUP_NAME</t>
        </is>
      </c>
      <c r="D126" t="inlineStr">
        <is>
          <t>Software &amp; Services</t>
        </is>
      </c>
      <c r="E126" t="inlineStr">
        <is>
          <t>N/A</t>
        </is>
      </c>
      <c r="F126" t="inlineStr"/>
      <c r="G126" t="inlineStr"/>
      <c r="H126" t="inlineStr">
        <is>
          <t>6.91%</t>
        </is>
      </c>
      <c r="I126" t="inlineStr">
        <is>
          <t>6.91%</t>
        </is>
      </c>
    </row>
    <row r="127">
      <c r="A127" s="2" t="n">
        <v>45954</v>
      </c>
      <c r="B127" t="inlineStr">
        <is>
          <t>RDVI</t>
        </is>
      </c>
      <c r="C127" t="inlineStr">
        <is>
          <t>GICS_INDUSTRY_GROUP_NAME</t>
        </is>
      </c>
      <c r="D127" t="inlineStr">
        <is>
          <t>Banks</t>
        </is>
      </c>
      <c r="E127" t="inlineStr">
        <is>
          <t>N/A</t>
        </is>
      </c>
      <c r="F127" t="inlineStr"/>
      <c r="G127" t="inlineStr"/>
      <c r="H127" t="inlineStr">
        <is>
          <t>6.72%</t>
        </is>
      </c>
      <c r="I127" t="inlineStr">
        <is>
          <t>6.72%</t>
        </is>
      </c>
    </row>
    <row r="128">
      <c r="A128" s="2" t="n">
        <v>45954</v>
      </c>
      <c r="B128" t="inlineStr">
        <is>
          <t>RDVI</t>
        </is>
      </c>
      <c r="C128" t="inlineStr">
        <is>
          <t>GICS_INDUSTRY_NAME</t>
        </is>
      </c>
      <c r="D128" t="inlineStr">
        <is>
          <t>Banks</t>
        </is>
      </c>
      <c r="E128" t="inlineStr">
        <is>
          <t>N/A</t>
        </is>
      </c>
      <c r="F128" t="inlineStr"/>
      <c r="G128" t="inlineStr"/>
      <c r="H128" t="inlineStr">
        <is>
          <t>6.72%</t>
        </is>
      </c>
      <c r="I128" t="inlineStr">
        <is>
          <t>6.72%</t>
        </is>
      </c>
    </row>
    <row r="129">
      <c r="A129" s="2" t="n">
        <v>45954</v>
      </c>
      <c r="B129" t="inlineStr">
        <is>
          <t>RDVI</t>
        </is>
      </c>
      <c r="C129" t="inlineStr">
        <is>
          <t>GICS_INDUSTRY_GROUP_NAME</t>
        </is>
      </c>
      <c r="D129" t="inlineStr">
        <is>
          <t>Consumer Discretionary Distribution &amp; Retail</t>
        </is>
      </c>
      <c r="E129" t="inlineStr">
        <is>
          <t>N/A</t>
        </is>
      </c>
      <c r="F129" t="inlineStr"/>
      <c r="G129" t="inlineStr"/>
      <c r="H129" t="inlineStr">
        <is>
          <t>6.48%</t>
        </is>
      </c>
      <c r="I129" t="inlineStr">
        <is>
          <t>6.48%</t>
        </is>
      </c>
    </row>
    <row r="130">
      <c r="A130" s="2" t="n">
        <v>45954</v>
      </c>
      <c r="B130" t="inlineStr">
        <is>
          <t>RDVI</t>
        </is>
      </c>
      <c r="C130" t="inlineStr">
        <is>
          <t>GICS_INDUSTRY_NAME</t>
        </is>
      </c>
      <c r="D130" t="inlineStr">
        <is>
          <t>Machinery</t>
        </is>
      </c>
      <c r="E130" t="inlineStr">
        <is>
          <t>N/A</t>
        </is>
      </c>
      <c r="F130" t="inlineStr"/>
      <c r="G130" t="inlineStr"/>
      <c r="H130" t="inlineStr">
        <is>
          <t>6.41%</t>
        </is>
      </c>
      <c r="I130" t="inlineStr">
        <is>
          <t>6.41%</t>
        </is>
      </c>
    </row>
    <row r="131">
      <c r="A131" s="2" t="n">
        <v>45954</v>
      </c>
      <c r="B131" t="inlineStr">
        <is>
          <t>RDVI</t>
        </is>
      </c>
      <c r="C131" t="inlineStr">
        <is>
          <t>GICS_INDUSTRY_NAME</t>
        </is>
      </c>
      <c r="D131" t="inlineStr">
        <is>
          <t>Interactive Media &amp; Services</t>
        </is>
      </c>
      <c r="E131" t="inlineStr">
        <is>
          <t>N/A</t>
        </is>
      </c>
      <c r="F131" t="inlineStr"/>
      <c r="G131" t="inlineStr"/>
      <c r="H131" t="inlineStr">
        <is>
          <t>4.78%</t>
        </is>
      </c>
      <c r="I131" t="inlineStr">
        <is>
          <t>4.78%</t>
        </is>
      </c>
    </row>
    <row r="132">
      <c r="A132" s="2" t="n">
        <v>45954</v>
      </c>
      <c r="B132" t="inlineStr">
        <is>
          <t>RDVI</t>
        </is>
      </c>
      <c r="C132" t="inlineStr">
        <is>
          <t>GICS_INDUSTRY_GROUP_NAME</t>
        </is>
      </c>
      <c r="D132" t="inlineStr">
        <is>
          <t>Consumer Durables &amp; Apparel</t>
        </is>
      </c>
      <c r="E132" t="inlineStr">
        <is>
          <t>N/A</t>
        </is>
      </c>
      <c r="F132" t="inlineStr"/>
      <c r="G132" t="inlineStr"/>
      <c r="H132" t="inlineStr">
        <is>
          <t>4.30%</t>
        </is>
      </c>
      <c r="I132" t="inlineStr">
        <is>
          <t>4.30%</t>
        </is>
      </c>
    </row>
    <row r="133">
      <c r="A133" s="2" t="n">
        <v>45954</v>
      </c>
      <c r="B133" t="inlineStr">
        <is>
          <t>RDVI</t>
        </is>
      </c>
      <c r="C133" t="inlineStr">
        <is>
          <t>GICS_INDUSTRY_NAME</t>
        </is>
      </c>
      <c r="D133" t="inlineStr">
        <is>
          <t>Household Durables</t>
        </is>
      </c>
      <c r="E133" t="inlineStr">
        <is>
          <t>N/A</t>
        </is>
      </c>
      <c r="F133" t="inlineStr"/>
      <c r="G133" t="inlineStr"/>
      <c r="H133" t="inlineStr">
        <is>
          <t>4.30%</t>
        </is>
      </c>
      <c r="I133" t="inlineStr">
        <is>
          <t>4.30%</t>
        </is>
      </c>
    </row>
    <row r="134">
      <c r="A134" s="2" t="n">
        <v>45954</v>
      </c>
      <c r="B134" t="inlineStr">
        <is>
          <t>RDVI</t>
        </is>
      </c>
      <c r="C134" t="inlineStr">
        <is>
          <t>GICS_INDUSTRY_NAME</t>
        </is>
      </c>
      <c r="D134" t="inlineStr">
        <is>
          <t>Specialty Retail</t>
        </is>
      </c>
      <c r="E134" t="inlineStr">
        <is>
          <t>N/A</t>
        </is>
      </c>
      <c r="F134" t="inlineStr"/>
      <c r="G134" t="inlineStr"/>
      <c r="H134" t="inlineStr">
        <is>
          <t>3.97%</t>
        </is>
      </c>
      <c r="I134" t="inlineStr">
        <is>
          <t>3.97%</t>
        </is>
      </c>
    </row>
    <row r="135">
      <c r="A135" s="2" t="n">
        <v>45954</v>
      </c>
      <c r="B135" t="inlineStr">
        <is>
          <t>RDVI</t>
        </is>
      </c>
      <c r="C135" t="inlineStr">
        <is>
          <t>GICS_INDUSTRY_NAME</t>
        </is>
      </c>
      <c r="D135" t="inlineStr">
        <is>
          <t>Software</t>
        </is>
      </c>
      <c r="E135" t="inlineStr">
        <is>
          <t>N/A</t>
        </is>
      </c>
      <c r="F135" t="inlineStr"/>
      <c r="G135" t="inlineStr"/>
      <c r="H135" t="inlineStr">
        <is>
          <t>3.85%</t>
        </is>
      </c>
      <c r="I135" t="inlineStr">
        <is>
          <t>3.85%</t>
        </is>
      </c>
    </row>
    <row r="136">
      <c r="A136" s="2" t="n">
        <v>45954</v>
      </c>
      <c r="B136" t="inlineStr">
        <is>
          <t>RDVI</t>
        </is>
      </c>
      <c r="C136" t="inlineStr">
        <is>
          <t>GICS_INDUSTRY_NAME</t>
        </is>
      </c>
      <c r="D136" t="inlineStr">
        <is>
          <t>Consumer Finance</t>
        </is>
      </c>
      <c r="E136" t="inlineStr">
        <is>
          <t>N/A</t>
        </is>
      </c>
      <c r="F136" t="inlineStr"/>
      <c r="G136" t="inlineStr"/>
      <c r="H136" t="inlineStr">
        <is>
          <t>3.72%</t>
        </is>
      </c>
      <c r="I136" t="inlineStr">
        <is>
          <t>3.72%</t>
        </is>
      </c>
    </row>
    <row r="137">
      <c r="A137" s="2" t="n">
        <v>45954</v>
      </c>
      <c r="B137" t="inlineStr">
        <is>
          <t>RDVI</t>
        </is>
      </c>
      <c r="C137" t="inlineStr">
        <is>
          <t>GICS_INDUSTRY_GROUP_NAME</t>
        </is>
      </c>
      <c r="D137" t="inlineStr">
        <is>
          <t>Health Care Equipment &amp; Services</t>
        </is>
      </c>
      <c r="E137" t="inlineStr">
        <is>
          <t>N/A</t>
        </is>
      </c>
      <c r="F137" t="inlineStr"/>
      <c r="G137" t="inlineStr"/>
      <c r="H137" t="inlineStr">
        <is>
          <t>3.44%</t>
        </is>
      </c>
      <c r="I137" t="inlineStr">
        <is>
          <t>3.44%</t>
        </is>
      </c>
    </row>
    <row r="138">
      <c r="A138" s="2" t="n">
        <v>45954</v>
      </c>
      <c r="B138" t="inlineStr">
        <is>
          <t>RDVI</t>
        </is>
      </c>
      <c r="C138" t="inlineStr">
        <is>
          <t>GICS_INDUSTRY_NAME</t>
        </is>
      </c>
      <c r="D138" t="inlineStr">
        <is>
          <t>Financial Services</t>
        </is>
      </c>
      <c r="E138" t="inlineStr">
        <is>
          <t>N/A</t>
        </is>
      </c>
      <c r="F138" t="inlineStr"/>
      <c r="G138" t="inlineStr"/>
      <c r="H138" t="inlineStr">
        <is>
          <t>3.24%</t>
        </is>
      </c>
      <c r="I138" t="inlineStr">
        <is>
          <t>3.24%</t>
        </is>
      </c>
    </row>
    <row r="139">
      <c r="A139" s="2" t="n">
        <v>45954</v>
      </c>
      <c r="B139" t="inlineStr">
        <is>
          <t>RDVI</t>
        </is>
      </c>
      <c r="C139" t="inlineStr">
        <is>
          <t>GICS_INDUSTRY_NAME</t>
        </is>
      </c>
      <c r="D139" t="inlineStr">
        <is>
          <t>IT Services</t>
        </is>
      </c>
      <c r="E139" t="inlineStr">
        <is>
          <t>N/A</t>
        </is>
      </c>
      <c r="F139" t="inlineStr"/>
      <c r="G139" t="inlineStr"/>
      <c r="H139" t="inlineStr">
        <is>
          <t>3.06%</t>
        </is>
      </c>
      <c r="I139" t="inlineStr">
        <is>
          <t>3.06%</t>
        </is>
      </c>
    </row>
    <row r="140">
      <c r="A140" s="2" t="n">
        <v>45954</v>
      </c>
      <c r="B140" t="inlineStr">
        <is>
          <t>RDVI</t>
        </is>
      </c>
      <c r="C140" t="inlineStr">
        <is>
          <t>GICS_INDUSTRY_GROUP_NAME</t>
        </is>
      </c>
      <c r="D140" t="inlineStr">
        <is>
          <t>Commercial &amp; Professional Services</t>
        </is>
      </c>
      <c r="E140" t="inlineStr">
        <is>
          <t>N/A</t>
        </is>
      </c>
      <c r="F140" t="inlineStr"/>
      <c r="G140" t="inlineStr"/>
      <c r="H140" t="inlineStr">
        <is>
          <t>2.97%</t>
        </is>
      </c>
      <c r="I140" t="inlineStr">
        <is>
          <t>2.97%</t>
        </is>
      </c>
    </row>
    <row r="141">
      <c r="A141" s="2" t="n">
        <v>45954</v>
      </c>
      <c r="B141" t="inlineStr">
        <is>
          <t>RDVI</t>
        </is>
      </c>
      <c r="C141" t="inlineStr">
        <is>
          <t>GICS_INDUSTRY_GROUP_NAME</t>
        </is>
      </c>
      <c r="D141" t="inlineStr">
        <is>
          <t>Energy</t>
        </is>
      </c>
      <c r="E141" t="inlineStr">
        <is>
          <t>N/A</t>
        </is>
      </c>
      <c r="F141" t="inlineStr"/>
      <c r="G141" t="inlineStr"/>
      <c r="H141" t="inlineStr">
        <is>
          <t>2.90%</t>
        </is>
      </c>
      <c r="I141" t="inlineStr">
        <is>
          <t>2.90%</t>
        </is>
      </c>
    </row>
    <row r="142">
      <c r="A142" s="2" t="n">
        <v>45954</v>
      </c>
      <c r="B142" t="inlineStr">
        <is>
          <t>RDVI</t>
        </is>
      </c>
      <c r="C142" t="inlineStr">
        <is>
          <t>GICS_INDUSTRY_NAME</t>
        </is>
      </c>
      <c r="D142" t="inlineStr">
        <is>
          <t>Broadline Retail</t>
        </is>
      </c>
      <c r="E142" t="inlineStr">
        <is>
          <t>N/A</t>
        </is>
      </c>
      <c r="F142" t="inlineStr"/>
      <c r="G142" t="inlineStr"/>
      <c r="H142" t="inlineStr">
        <is>
          <t>2.52%</t>
        </is>
      </c>
      <c r="I142" t="inlineStr">
        <is>
          <t>2.52%</t>
        </is>
      </c>
    </row>
    <row r="143">
      <c r="A143" s="2" t="n">
        <v>45954</v>
      </c>
      <c r="B143" t="inlineStr">
        <is>
          <t>RDVI</t>
        </is>
      </c>
      <c r="C143" t="inlineStr">
        <is>
          <t>GICS_INDUSTRY_NAME</t>
        </is>
      </c>
      <c r="D143" t="inlineStr">
        <is>
          <t>Professional Services</t>
        </is>
      </c>
      <c r="E143" t="inlineStr">
        <is>
          <t>N/A</t>
        </is>
      </c>
      <c r="F143" t="inlineStr"/>
      <c r="G143" t="inlineStr"/>
      <c r="H143" t="inlineStr">
        <is>
          <t>2.49%</t>
        </is>
      </c>
      <c r="I143" t="inlineStr">
        <is>
          <t>2.49%</t>
        </is>
      </c>
    </row>
    <row r="144">
      <c r="A144" s="2" t="n">
        <v>45954</v>
      </c>
      <c r="B144" t="inlineStr">
        <is>
          <t>RDVI</t>
        </is>
      </c>
      <c r="C144" t="inlineStr">
        <is>
          <t>GICS_INDUSTRY_GROUP_NAME</t>
        </is>
      </c>
      <c r="D144" t="inlineStr">
        <is>
          <t>Technology Hardware &amp; Equipment</t>
        </is>
      </c>
      <c r="E144" t="inlineStr">
        <is>
          <t>N/A</t>
        </is>
      </c>
      <c r="F144" t="inlineStr"/>
      <c r="G144" t="inlineStr"/>
      <c r="H144" t="inlineStr">
        <is>
          <t>2.13%</t>
        </is>
      </c>
      <c r="I144" t="inlineStr">
        <is>
          <t>2.13%</t>
        </is>
      </c>
    </row>
    <row r="145">
      <c r="A145" s="2" t="n">
        <v>45954</v>
      </c>
      <c r="B145" t="inlineStr">
        <is>
          <t>RDVI</t>
        </is>
      </c>
      <c r="C145" t="inlineStr">
        <is>
          <t>GICS_INDUSTRY_NAME</t>
        </is>
      </c>
      <c r="D145" t="inlineStr">
        <is>
          <t>Energy Equipment &amp; Services</t>
        </is>
      </c>
      <c r="E145" t="inlineStr">
        <is>
          <t>N/A</t>
        </is>
      </c>
      <c r="F145" t="inlineStr"/>
      <c r="G145" t="inlineStr"/>
      <c r="H145" t="inlineStr">
        <is>
          <t>2.06%</t>
        </is>
      </c>
      <c r="I145" t="inlineStr">
        <is>
          <t>2.06%</t>
        </is>
      </c>
    </row>
    <row r="146">
      <c r="A146" s="2" t="n">
        <v>45954</v>
      </c>
      <c r="B146" t="inlineStr">
        <is>
          <t>RDVI</t>
        </is>
      </c>
      <c r="C146" t="inlineStr">
        <is>
          <t>GICS_INDUSTRY_NAME</t>
        </is>
      </c>
      <c r="D146" t="inlineStr">
        <is>
          <t>Entertainment</t>
        </is>
      </c>
      <c r="E146" t="inlineStr">
        <is>
          <t>N/A</t>
        </is>
      </c>
      <c r="F146" t="inlineStr"/>
      <c r="G146" t="inlineStr"/>
      <c r="H146" t="inlineStr">
        <is>
          <t>1.89%</t>
        </is>
      </c>
      <c r="I146" t="inlineStr">
        <is>
          <t>1.89%</t>
        </is>
      </c>
    </row>
    <row r="147">
      <c r="A147" s="2" t="n">
        <v>45954</v>
      </c>
      <c r="B147" t="inlineStr">
        <is>
          <t>RDVI</t>
        </is>
      </c>
      <c r="C147" t="inlineStr">
        <is>
          <t>GICS_INDUSTRY_GROUP_NAME</t>
        </is>
      </c>
      <c r="D147" t="inlineStr">
        <is>
          <t>Consumer Services</t>
        </is>
      </c>
      <c r="E147" t="inlineStr">
        <is>
          <t>N/A</t>
        </is>
      </c>
      <c r="F147" t="inlineStr"/>
      <c r="G147" t="inlineStr"/>
      <c r="H147" t="inlineStr">
        <is>
          <t>1.79%</t>
        </is>
      </c>
      <c r="I147" t="inlineStr">
        <is>
          <t>1.79%</t>
        </is>
      </c>
    </row>
    <row r="148">
      <c r="A148" s="2" t="n">
        <v>45954</v>
      </c>
      <c r="B148" t="inlineStr">
        <is>
          <t>RDVI</t>
        </is>
      </c>
      <c r="C148" t="inlineStr">
        <is>
          <t>GICS_INDUSTRY_NAME</t>
        </is>
      </c>
      <c r="D148" t="inlineStr">
        <is>
          <t>Hotels, Restaurants &amp; Leisure</t>
        </is>
      </c>
      <c r="E148" t="inlineStr">
        <is>
          <t>N/A</t>
        </is>
      </c>
      <c r="F148" t="inlineStr"/>
      <c r="G148" t="inlineStr"/>
      <c r="H148" t="inlineStr">
        <is>
          <t>1.79%</t>
        </is>
      </c>
      <c r="I148" t="inlineStr">
        <is>
          <t>1.79%</t>
        </is>
      </c>
    </row>
    <row r="149">
      <c r="A149" s="2" t="n">
        <v>45954</v>
      </c>
      <c r="B149" t="inlineStr">
        <is>
          <t>RDVI</t>
        </is>
      </c>
      <c r="C149" t="inlineStr">
        <is>
          <t>GICS_INDUSTRY_NAME</t>
        </is>
      </c>
      <c r="D149" t="inlineStr">
        <is>
          <t>Health Care Equipment &amp; Supplies</t>
        </is>
      </c>
      <c r="E149" t="inlineStr">
        <is>
          <t>N/A</t>
        </is>
      </c>
      <c r="F149" t="inlineStr"/>
      <c r="G149" t="inlineStr"/>
      <c r="H149" t="inlineStr">
        <is>
          <t>1.77%</t>
        </is>
      </c>
      <c r="I149" t="inlineStr">
        <is>
          <t>1.77%</t>
        </is>
      </c>
    </row>
    <row r="150">
      <c r="A150" s="2" t="n">
        <v>45954</v>
      </c>
      <c r="B150" t="inlineStr">
        <is>
          <t>RDVI</t>
        </is>
      </c>
      <c r="C150" t="inlineStr">
        <is>
          <t>GICS_INDUSTRY_NAME</t>
        </is>
      </c>
      <c r="D150" t="inlineStr">
        <is>
          <t>Aerospace &amp; Defense</t>
        </is>
      </c>
      <c r="E150" t="inlineStr">
        <is>
          <t>N/A</t>
        </is>
      </c>
      <c r="F150" t="inlineStr"/>
      <c r="G150" t="inlineStr"/>
      <c r="H150" t="inlineStr">
        <is>
          <t>1.75%</t>
        </is>
      </c>
      <c r="I150" t="inlineStr">
        <is>
          <t>1.75%</t>
        </is>
      </c>
    </row>
    <row r="151">
      <c r="A151" s="2" t="n">
        <v>45954</v>
      </c>
      <c r="B151" t="inlineStr">
        <is>
          <t>RDVI</t>
        </is>
      </c>
      <c r="C151" t="inlineStr">
        <is>
          <t>GICS_INDUSTRY_NAME</t>
        </is>
      </c>
      <c r="D151" t="inlineStr">
        <is>
          <t>Health Care Providers &amp; Services</t>
        </is>
      </c>
      <c r="E151" t="inlineStr">
        <is>
          <t>N/A</t>
        </is>
      </c>
      <c r="F151" t="inlineStr"/>
      <c r="G151" t="inlineStr"/>
      <c r="H151" t="inlineStr">
        <is>
          <t>1.67%</t>
        </is>
      </c>
      <c r="I151" t="inlineStr">
        <is>
          <t>1.67%</t>
        </is>
      </c>
    </row>
    <row r="152">
      <c r="A152" s="2" t="n">
        <v>45954</v>
      </c>
      <c r="B152" t="inlineStr">
        <is>
          <t>RDVI</t>
        </is>
      </c>
      <c r="C152" t="inlineStr">
        <is>
          <t>GICS_INDUSTRY_NAME</t>
        </is>
      </c>
      <c r="D152" t="inlineStr">
        <is>
          <t>Technology Hardware, Storage &amp; Peripherals</t>
        </is>
      </c>
      <c r="E152" t="inlineStr">
        <is>
          <t>N/A</t>
        </is>
      </c>
      <c r="F152" t="inlineStr"/>
      <c r="G152" t="inlineStr"/>
      <c r="H152" t="inlineStr">
        <is>
          <t>1.57%</t>
        </is>
      </c>
      <c r="I152" t="inlineStr">
        <is>
          <t>1.57%</t>
        </is>
      </c>
    </row>
    <row r="153">
      <c r="A153" s="2" t="n">
        <v>45954</v>
      </c>
      <c r="B153" t="inlineStr">
        <is>
          <t>RDVI</t>
        </is>
      </c>
      <c r="C153" t="inlineStr">
        <is>
          <t>GICS_INDUSTRY_NAME</t>
        </is>
      </c>
      <c r="D153" t="inlineStr">
        <is>
          <t>Construction &amp; Engineering</t>
        </is>
      </c>
      <c r="E153" t="inlineStr">
        <is>
          <t>N/A</t>
        </is>
      </c>
      <c r="F153" t="inlineStr"/>
      <c r="G153" t="inlineStr"/>
      <c r="H153" t="inlineStr">
        <is>
          <t>1.06%</t>
        </is>
      </c>
      <c r="I153" t="inlineStr">
        <is>
          <t>1.06%</t>
        </is>
      </c>
    </row>
    <row r="154">
      <c r="A154" s="2" t="n">
        <v>45954</v>
      </c>
      <c r="B154" t="inlineStr">
        <is>
          <t>RDVI</t>
        </is>
      </c>
      <c r="C154" t="inlineStr">
        <is>
          <t>GICS_INDUSTRY_NAME</t>
        </is>
      </c>
      <c r="D154" t="inlineStr">
        <is>
          <t>Electrical Equipment</t>
        </is>
      </c>
      <c r="E154" t="inlineStr">
        <is>
          <t>N/A</t>
        </is>
      </c>
      <c r="F154" t="inlineStr"/>
      <c r="G154" t="inlineStr"/>
      <c r="H154" t="inlineStr">
        <is>
          <t>1.02%</t>
        </is>
      </c>
      <c r="I154" t="inlineStr">
        <is>
          <t>1.01%</t>
        </is>
      </c>
    </row>
    <row r="155">
      <c r="A155" s="2" t="n">
        <v>45954</v>
      </c>
      <c r="B155" t="inlineStr">
        <is>
          <t>RDVI</t>
        </is>
      </c>
      <c r="C155" t="inlineStr">
        <is>
          <t>GICS_INDUSTRY_GROUP_NAME</t>
        </is>
      </c>
      <c r="D155" t="inlineStr">
        <is>
          <t>Consumer Staples Distribution &amp; Retail</t>
        </is>
      </c>
      <c r="E155" t="inlineStr">
        <is>
          <t>N/A</t>
        </is>
      </c>
      <c r="F155" t="inlineStr"/>
      <c r="G155" t="inlineStr"/>
      <c r="H155" t="inlineStr">
        <is>
          <t>0.89%</t>
        </is>
      </c>
      <c r="I155" t="inlineStr">
        <is>
          <t>0.89%</t>
        </is>
      </c>
    </row>
    <row r="156">
      <c r="A156" s="2" t="n">
        <v>45954</v>
      </c>
      <c r="B156" t="inlineStr">
        <is>
          <t>RDVI</t>
        </is>
      </c>
      <c r="C156" t="inlineStr">
        <is>
          <t>GICS_INDUSTRY_NAME</t>
        </is>
      </c>
      <c r="D156" t="inlineStr">
        <is>
          <t>Consumer Staples Distribution &amp; Retail</t>
        </is>
      </c>
      <c r="E156" t="inlineStr">
        <is>
          <t>N/A</t>
        </is>
      </c>
      <c r="F156" t="inlineStr"/>
      <c r="G156" t="inlineStr"/>
      <c r="H156" t="inlineStr">
        <is>
          <t>0.89%</t>
        </is>
      </c>
      <c r="I156" t="inlineStr">
        <is>
          <t>0.89%</t>
        </is>
      </c>
    </row>
    <row r="157">
      <c r="A157" s="2" t="n">
        <v>45954</v>
      </c>
      <c r="B157" t="inlineStr">
        <is>
          <t>RDVI</t>
        </is>
      </c>
      <c r="C157" t="inlineStr">
        <is>
          <t>GICS_INDUSTRY_NAME</t>
        </is>
      </c>
      <c r="D157" t="inlineStr">
        <is>
          <t>Oil, Gas &amp; Consumable Fuels</t>
        </is>
      </c>
      <c r="E157" t="inlineStr">
        <is>
          <t>N/A</t>
        </is>
      </c>
      <c r="F157" t="inlineStr"/>
      <c r="G157" t="inlineStr"/>
      <c r="H157" t="inlineStr">
        <is>
          <t>0.84%</t>
        </is>
      </c>
      <c r="I157" t="inlineStr">
        <is>
          <t>0.84%</t>
        </is>
      </c>
    </row>
    <row r="158">
      <c r="A158" s="2" t="n">
        <v>45954</v>
      </c>
      <c r="B158" t="inlineStr">
        <is>
          <t>RDVI</t>
        </is>
      </c>
      <c r="C158" t="inlineStr">
        <is>
          <t>GICS_INDUSTRY_GROUP_NAME</t>
        </is>
      </c>
      <c r="D158" t="inlineStr">
        <is>
          <t>Transportation</t>
        </is>
      </c>
      <c r="E158" t="inlineStr">
        <is>
          <t>N/A</t>
        </is>
      </c>
      <c r="F158" t="inlineStr"/>
      <c r="G158" t="inlineStr"/>
      <c r="H158" t="inlineStr">
        <is>
          <t>0.72%</t>
        </is>
      </c>
      <c r="I158" t="inlineStr">
        <is>
          <t>0.72%</t>
        </is>
      </c>
    </row>
    <row r="159">
      <c r="A159" s="2" t="n">
        <v>45954</v>
      </c>
      <c r="B159" t="inlineStr">
        <is>
          <t>RDVI</t>
        </is>
      </c>
      <c r="C159" t="inlineStr">
        <is>
          <t>GICS_INDUSTRY_NAME</t>
        </is>
      </c>
      <c r="D159" t="inlineStr">
        <is>
          <t>Ground Transportation</t>
        </is>
      </c>
      <c r="E159" t="inlineStr">
        <is>
          <t>N/A</t>
        </is>
      </c>
      <c r="F159" t="inlineStr"/>
      <c r="G159" t="inlineStr"/>
      <c r="H159" t="inlineStr">
        <is>
          <t>0.72%</t>
        </is>
      </c>
      <c r="I159" t="inlineStr">
        <is>
          <t>0.72%</t>
        </is>
      </c>
    </row>
    <row r="160">
      <c r="A160" s="2" t="n">
        <v>45954</v>
      </c>
      <c r="B160" t="inlineStr">
        <is>
          <t>RDVI</t>
        </is>
      </c>
      <c r="C160" t="inlineStr">
        <is>
          <t>GICS_INDUSTRY_NAME</t>
        </is>
      </c>
      <c r="D160" t="inlineStr">
        <is>
          <t>Communications Equipment</t>
        </is>
      </c>
      <c r="E160" t="inlineStr">
        <is>
          <t>N/A</t>
        </is>
      </c>
      <c r="F160" t="inlineStr"/>
      <c r="G160" t="inlineStr"/>
      <c r="H160" t="inlineStr">
        <is>
          <t>0.56%</t>
        </is>
      </c>
      <c r="I160" t="inlineStr">
        <is>
          <t>0.56%</t>
        </is>
      </c>
    </row>
    <row r="161">
      <c r="A161" s="2" t="n">
        <v>45954</v>
      </c>
      <c r="B161" t="inlineStr">
        <is>
          <t>RDVI</t>
        </is>
      </c>
      <c r="C161" t="inlineStr">
        <is>
          <t>GICS_INDUSTRY_GROUP_NAME</t>
        </is>
      </c>
      <c r="D161" t="inlineStr">
        <is>
          <t>Pharmaceuticals, Biotechnology &amp; Life Sciences</t>
        </is>
      </c>
      <c r="E161" t="inlineStr">
        <is>
          <t>N/A</t>
        </is>
      </c>
      <c r="F161" t="inlineStr"/>
      <c r="G161" t="inlineStr"/>
      <c r="H161" t="inlineStr">
        <is>
          <t>0.54%</t>
        </is>
      </c>
      <c r="I161" t="inlineStr">
        <is>
          <t>0.54%</t>
        </is>
      </c>
    </row>
    <row r="162">
      <c r="A162" s="2" t="n">
        <v>45954</v>
      </c>
      <c r="B162" t="inlineStr">
        <is>
          <t>RDVI</t>
        </is>
      </c>
      <c r="C162" t="inlineStr">
        <is>
          <t>GICS_INDUSTRY_NAME</t>
        </is>
      </c>
      <c r="D162" t="inlineStr">
        <is>
          <t>Pharmaceuticals</t>
        </is>
      </c>
      <c r="E162" t="inlineStr">
        <is>
          <t>N/A</t>
        </is>
      </c>
      <c r="F162" t="inlineStr"/>
      <c r="G162" t="inlineStr"/>
      <c r="H162" t="inlineStr">
        <is>
          <t>0.54%</t>
        </is>
      </c>
      <c r="I162" t="inlineStr">
        <is>
          <t>0.54%</t>
        </is>
      </c>
    </row>
    <row r="163">
      <c r="A163" s="2" t="n">
        <v>45954</v>
      </c>
      <c r="B163" t="inlineStr">
        <is>
          <t>RDVI</t>
        </is>
      </c>
      <c r="C163" t="inlineStr">
        <is>
          <t>GICS_INDUSTRY_GROUP_NAME</t>
        </is>
      </c>
      <c r="D163" t="inlineStr">
        <is>
          <t>Food, Beverage &amp; Tobacco</t>
        </is>
      </c>
      <c r="E163" t="inlineStr">
        <is>
          <t>N/A</t>
        </is>
      </c>
      <c r="F163" t="inlineStr"/>
      <c r="G163" t="inlineStr"/>
      <c r="H163" t="inlineStr">
        <is>
          <t>0.54%</t>
        </is>
      </c>
      <c r="I163" t="inlineStr">
        <is>
          <t>0.54%</t>
        </is>
      </c>
    </row>
    <row r="164">
      <c r="A164" s="2" t="n">
        <v>45954</v>
      </c>
      <c r="B164" t="inlineStr">
        <is>
          <t>RDVI</t>
        </is>
      </c>
      <c r="C164" t="inlineStr">
        <is>
          <t>GICS_INDUSTRY_NAME</t>
        </is>
      </c>
      <c r="D164" t="inlineStr">
        <is>
          <t>Beverages</t>
        </is>
      </c>
      <c r="E164" t="inlineStr">
        <is>
          <t>N/A</t>
        </is>
      </c>
      <c r="F164" t="inlineStr"/>
      <c r="G164" t="inlineStr"/>
      <c r="H164" t="inlineStr">
        <is>
          <t>0.54%</t>
        </is>
      </c>
      <c r="I164" t="inlineStr">
        <is>
          <t>0.54%</t>
        </is>
      </c>
    </row>
    <row r="165">
      <c r="A165" s="2" t="n">
        <v>45954</v>
      </c>
      <c r="B165" t="inlineStr">
        <is>
          <t>RDVI</t>
        </is>
      </c>
      <c r="C165" t="inlineStr">
        <is>
          <t>GICS_INDUSTRY_NAME</t>
        </is>
      </c>
      <c r="D165" t="inlineStr">
        <is>
          <t>Media</t>
        </is>
      </c>
      <c r="E165" t="inlineStr">
        <is>
          <t>N/A</t>
        </is>
      </c>
      <c r="F165" t="inlineStr"/>
      <c r="G165" t="inlineStr"/>
      <c r="H165" t="inlineStr">
        <is>
          <t>0.49%</t>
        </is>
      </c>
      <c r="I165" t="inlineStr">
        <is>
          <t>0.49%</t>
        </is>
      </c>
    </row>
    <row r="166">
      <c r="A166" s="2" t="n">
        <v>45954</v>
      </c>
      <c r="B166" t="inlineStr">
        <is>
          <t>RDVI</t>
        </is>
      </c>
      <c r="C166" t="inlineStr">
        <is>
          <t>GICS_INDUSTRY_NAME</t>
        </is>
      </c>
      <c r="D166" t="inlineStr">
        <is>
          <t>Commercial Services &amp; Supplies</t>
        </is>
      </c>
      <c r="E166" t="inlineStr">
        <is>
          <t>N/A</t>
        </is>
      </c>
      <c r="F166" t="inlineStr"/>
      <c r="G166" t="inlineStr"/>
      <c r="H166" t="inlineStr">
        <is>
          <t>0.49%</t>
        </is>
      </c>
      <c r="I166" t="inlineStr">
        <is>
          <t>0.49%</t>
        </is>
      </c>
    </row>
    <row r="167">
      <c r="A167" s="2" t="n">
        <v>45954</v>
      </c>
      <c r="B167" t="inlineStr">
        <is>
          <t>RDVI</t>
        </is>
      </c>
      <c r="C167" t="inlineStr">
        <is>
          <t>GICS_INDUSTRY_GROUP_NAME</t>
        </is>
      </c>
      <c r="D167" t="inlineStr">
        <is>
          <t>Materials</t>
        </is>
      </c>
      <c r="E167" t="inlineStr">
        <is>
          <t>N/A</t>
        </is>
      </c>
      <c r="F167" t="inlineStr"/>
      <c r="G167" t="inlineStr"/>
      <c r="H167" t="inlineStr">
        <is>
          <t>0.45%</t>
        </is>
      </c>
      <c r="I167" t="inlineStr">
        <is>
          <t>0.45%</t>
        </is>
      </c>
    </row>
    <row r="168">
      <c r="A168" s="2" t="n">
        <v>45954</v>
      </c>
      <c r="B168" t="inlineStr">
        <is>
          <t>RDVI</t>
        </is>
      </c>
      <c r="C168" t="inlineStr">
        <is>
          <t>GICS_INDUSTRY_NAME</t>
        </is>
      </c>
      <c r="D168" t="inlineStr">
        <is>
          <t>Chemicals</t>
        </is>
      </c>
      <c r="E168" t="inlineStr">
        <is>
          <t>N/A</t>
        </is>
      </c>
      <c r="F168" t="inlineStr"/>
      <c r="G168" t="inlineStr"/>
      <c r="H168" t="inlineStr">
        <is>
          <t>0.45%</t>
        </is>
      </c>
      <c r="I168" t="inlineStr">
        <is>
          <t>0.45%</t>
        </is>
      </c>
    </row>
    <row r="169">
      <c r="A169" s="2" t="n">
        <v>45954</v>
      </c>
      <c r="B169" t="inlineStr">
        <is>
          <t>RDVI</t>
        </is>
      </c>
      <c r="C169" t="inlineStr">
        <is>
          <t>GICS_INDUSTRY_NAME</t>
        </is>
      </c>
      <c r="D169" t="inlineStr">
        <is>
          <t>Building Products</t>
        </is>
      </c>
      <c r="E169" t="inlineStr">
        <is>
          <t>N/A</t>
        </is>
      </c>
      <c r="F169" t="inlineStr"/>
      <c r="G169" t="inlineStr"/>
      <c r="H169" t="inlineStr">
        <is>
          <t>0.35%</t>
        </is>
      </c>
      <c r="I169" t="inlineStr">
        <is>
          <t>0.35%</t>
        </is>
      </c>
    </row>
    <row r="170">
      <c r="A170" s="2" t="n">
        <v>45954</v>
      </c>
      <c r="B170" t="inlineStr">
        <is>
          <t>SDVD</t>
        </is>
      </c>
      <c r="C170" t="inlineStr">
        <is>
          <t>GICS_INDUSTRY_GROUP_NAME</t>
        </is>
      </c>
      <c r="D170" t="inlineStr">
        <is>
          <t>Capital Goods</t>
        </is>
      </c>
      <c r="E170" t="inlineStr">
        <is>
          <t>N/A</t>
        </is>
      </c>
      <c r="F170" t="b">
        <v>1</v>
      </c>
      <c r="G170" t="b">
        <v>1</v>
      </c>
      <c r="H170" t="inlineStr">
        <is>
          <t>25.22%</t>
        </is>
      </c>
      <c r="I170" t="inlineStr">
        <is>
          <t>25.22%</t>
        </is>
      </c>
    </row>
    <row r="171">
      <c r="A171" s="2" t="n">
        <v>45954</v>
      </c>
      <c r="B171" t="inlineStr">
        <is>
          <t>SDVD</t>
        </is>
      </c>
      <c r="C171" t="inlineStr">
        <is>
          <t>GICS_INDUSTRY_GROUP_NAME</t>
        </is>
      </c>
      <c r="D171" t="inlineStr">
        <is>
          <t>Banks</t>
        </is>
      </c>
      <c r="E171" t="inlineStr">
        <is>
          <t>N/A</t>
        </is>
      </c>
      <c r="F171" t="inlineStr"/>
      <c r="G171" t="inlineStr"/>
      <c r="H171" t="inlineStr">
        <is>
          <t>14.35%</t>
        </is>
      </c>
      <c r="I171" t="inlineStr">
        <is>
          <t>14.35%</t>
        </is>
      </c>
    </row>
    <row r="172">
      <c r="A172" s="2" t="n">
        <v>45954</v>
      </c>
      <c r="B172" t="inlineStr">
        <is>
          <t>SDVD</t>
        </is>
      </c>
      <c r="C172" t="inlineStr">
        <is>
          <t>GICS_INDUSTRY_NAME</t>
        </is>
      </c>
      <c r="D172" t="inlineStr">
        <is>
          <t>Banks</t>
        </is>
      </c>
      <c r="E172" t="inlineStr">
        <is>
          <t>N/A</t>
        </is>
      </c>
      <c r="F172" t="inlineStr"/>
      <c r="G172" t="inlineStr"/>
      <c r="H172" t="inlineStr">
        <is>
          <t>14.35%</t>
        </is>
      </c>
      <c r="I172" t="inlineStr">
        <is>
          <t>14.35%</t>
        </is>
      </c>
    </row>
    <row r="173">
      <c r="A173" s="2" t="n">
        <v>45954</v>
      </c>
      <c r="B173" t="inlineStr">
        <is>
          <t>SDVD</t>
        </is>
      </c>
      <c r="C173" t="inlineStr">
        <is>
          <t>GICS_INDUSTRY_NAME</t>
        </is>
      </c>
      <c r="D173" t="inlineStr">
        <is>
          <t>Machinery</t>
        </is>
      </c>
      <c r="E173" t="inlineStr">
        <is>
          <t>N/A</t>
        </is>
      </c>
      <c r="F173" t="inlineStr"/>
      <c r="G173" t="inlineStr"/>
      <c r="H173" t="inlineStr">
        <is>
          <t>11.09%</t>
        </is>
      </c>
      <c r="I173" t="inlineStr">
        <is>
          <t>11.09%</t>
        </is>
      </c>
    </row>
    <row r="174">
      <c r="A174" s="2" t="n">
        <v>45954</v>
      </c>
      <c r="B174" t="inlineStr">
        <is>
          <t>SDVD</t>
        </is>
      </c>
      <c r="C174" t="inlineStr">
        <is>
          <t>GICS_INDUSTRY_GROUP_NAME</t>
        </is>
      </c>
      <c r="D174" t="inlineStr">
        <is>
          <t>Insurance</t>
        </is>
      </c>
      <c r="E174" t="inlineStr">
        <is>
          <t>N/A</t>
        </is>
      </c>
      <c r="F174" t="inlineStr"/>
      <c r="G174" t="inlineStr"/>
      <c r="H174" t="inlineStr">
        <is>
          <t>8.47%</t>
        </is>
      </c>
      <c r="I174" t="inlineStr">
        <is>
          <t>8.47%</t>
        </is>
      </c>
    </row>
    <row r="175">
      <c r="A175" s="2" t="n">
        <v>45954</v>
      </c>
      <c r="B175" t="inlineStr">
        <is>
          <t>SDVD</t>
        </is>
      </c>
      <c r="C175" t="inlineStr">
        <is>
          <t>GICS_INDUSTRY_NAME</t>
        </is>
      </c>
      <c r="D175" t="inlineStr">
        <is>
          <t>Insurance</t>
        </is>
      </c>
      <c r="E175" t="inlineStr">
        <is>
          <t>N/A</t>
        </is>
      </c>
      <c r="F175" t="inlineStr"/>
      <c r="G175" t="inlineStr"/>
      <c r="H175" t="inlineStr">
        <is>
          <t>8.47%</t>
        </is>
      </c>
      <c r="I175" t="inlineStr">
        <is>
          <t>8.47%</t>
        </is>
      </c>
    </row>
    <row r="176">
      <c r="A176" s="2" t="n">
        <v>45954</v>
      </c>
      <c r="B176" t="inlineStr">
        <is>
          <t>SDVD</t>
        </is>
      </c>
      <c r="C176" t="inlineStr">
        <is>
          <t>GICS_INDUSTRY_GROUP_NAME</t>
        </is>
      </c>
      <c r="D176" t="inlineStr">
        <is>
          <t>Financial Services</t>
        </is>
      </c>
      <c r="E176" t="inlineStr">
        <is>
          <t>N/A</t>
        </is>
      </c>
      <c r="F176" t="inlineStr"/>
      <c r="G176" t="inlineStr"/>
      <c r="H176" t="inlineStr">
        <is>
          <t>8.06%</t>
        </is>
      </c>
      <c r="I176" t="inlineStr">
        <is>
          <t>8.06%</t>
        </is>
      </c>
    </row>
    <row r="177">
      <c r="A177" s="2" t="n">
        <v>45954</v>
      </c>
      <c r="B177" t="inlineStr">
        <is>
          <t>SDVD</t>
        </is>
      </c>
      <c r="C177" t="inlineStr">
        <is>
          <t>GICS_INDUSTRY_GROUP_NAME</t>
        </is>
      </c>
      <c r="D177" t="inlineStr">
        <is>
          <t>Commercial &amp; Professional Services</t>
        </is>
      </c>
      <c r="E177" t="inlineStr">
        <is>
          <t>N/A</t>
        </is>
      </c>
      <c r="F177" t="inlineStr"/>
      <c r="G177" t="inlineStr"/>
      <c r="H177" t="inlineStr">
        <is>
          <t>7.19%</t>
        </is>
      </c>
      <c r="I177" t="inlineStr">
        <is>
          <t>7.19%</t>
        </is>
      </c>
    </row>
    <row r="178">
      <c r="A178" s="2" t="n">
        <v>45954</v>
      </c>
      <c r="B178" t="inlineStr">
        <is>
          <t>SDVD</t>
        </is>
      </c>
      <c r="C178" t="inlineStr">
        <is>
          <t>GICS_INDUSTRY_GROUP_NAME</t>
        </is>
      </c>
      <c r="D178" t="inlineStr">
        <is>
          <t>Consumer Durables &amp; Apparel</t>
        </is>
      </c>
      <c r="E178" t="inlineStr">
        <is>
          <t>N/A</t>
        </is>
      </c>
      <c r="F178" t="inlineStr"/>
      <c r="G178" t="inlineStr"/>
      <c r="H178" t="inlineStr">
        <is>
          <t>5.99%</t>
        </is>
      </c>
      <c r="I178" t="inlineStr">
        <is>
          <t>5.99%</t>
        </is>
      </c>
    </row>
    <row r="179">
      <c r="A179" s="2" t="n">
        <v>45954</v>
      </c>
      <c r="B179" t="inlineStr">
        <is>
          <t>SDVD</t>
        </is>
      </c>
      <c r="C179" t="inlineStr">
        <is>
          <t>GICS_INDUSTRY_NAME</t>
        </is>
      </c>
      <c r="D179" t="inlineStr">
        <is>
          <t>Construction &amp; Engineering</t>
        </is>
      </c>
      <c r="E179" t="inlineStr">
        <is>
          <t>N/A</t>
        </is>
      </c>
      <c r="F179" t="inlineStr"/>
      <c r="G179" t="inlineStr"/>
      <c r="H179" t="inlineStr">
        <is>
          <t>4.57%</t>
        </is>
      </c>
      <c r="I179" t="inlineStr">
        <is>
          <t>4.57%</t>
        </is>
      </c>
    </row>
    <row r="180">
      <c r="A180" s="2" t="n">
        <v>45954</v>
      </c>
      <c r="B180" t="inlineStr">
        <is>
          <t>SDVD</t>
        </is>
      </c>
      <c r="C180" t="inlineStr">
        <is>
          <t>GICS_INDUSTRY_NAME</t>
        </is>
      </c>
      <c r="D180" t="inlineStr">
        <is>
          <t>Building Products</t>
        </is>
      </c>
      <c r="E180" t="inlineStr">
        <is>
          <t>N/A</t>
        </is>
      </c>
      <c r="F180" t="inlineStr"/>
      <c r="G180" t="inlineStr"/>
      <c r="H180" t="inlineStr">
        <is>
          <t>4.55%</t>
        </is>
      </c>
      <c r="I180" t="inlineStr">
        <is>
          <t>4.55%</t>
        </is>
      </c>
    </row>
    <row r="181">
      <c r="A181" s="2" t="n">
        <v>45954</v>
      </c>
      <c r="B181" t="inlineStr">
        <is>
          <t>SDVD</t>
        </is>
      </c>
      <c r="C181" t="inlineStr">
        <is>
          <t>GICS_INDUSTRY_NAME</t>
        </is>
      </c>
      <c r="D181" t="inlineStr">
        <is>
          <t>Professional Services</t>
        </is>
      </c>
      <c r="E181" t="inlineStr">
        <is>
          <t>N/A</t>
        </is>
      </c>
      <c r="F181" t="inlineStr"/>
      <c r="G181" t="inlineStr"/>
      <c r="H181" t="inlineStr">
        <is>
          <t>4.42%</t>
        </is>
      </c>
      <c r="I181" t="inlineStr">
        <is>
          <t>4.42%</t>
        </is>
      </c>
    </row>
    <row r="182">
      <c r="A182" s="2" t="n">
        <v>45954</v>
      </c>
      <c r="B182" t="inlineStr">
        <is>
          <t>SDVD</t>
        </is>
      </c>
      <c r="C182" t="inlineStr">
        <is>
          <t>GICS_INDUSTRY_NAME</t>
        </is>
      </c>
      <c r="D182" t="inlineStr">
        <is>
          <t>Capital Markets</t>
        </is>
      </c>
      <c r="E182" t="inlineStr">
        <is>
          <t>N/A</t>
        </is>
      </c>
      <c r="F182" t="inlineStr"/>
      <c r="G182" t="inlineStr"/>
      <c r="H182" t="inlineStr">
        <is>
          <t>4.29%</t>
        </is>
      </c>
      <c r="I182" t="inlineStr">
        <is>
          <t>4.29%</t>
        </is>
      </c>
    </row>
    <row r="183">
      <c r="A183" s="2" t="n">
        <v>45954</v>
      </c>
      <c r="B183" t="inlineStr">
        <is>
          <t>SDVD</t>
        </is>
      </c>
      <c r="C183" t="inlineStr">
        <is>
          <t>GICS_INDUSTRY_GROUP_NAME</t>
        </is>
      </c>
      <c r="D183" t="inlineStr">
        <is>
          <t>Materials</t>
        </is>
      </c>
      <c r="E183" t="inlineStr">
        <is>
          <t>N/A</t>
        </is>
      </c>
      <c r="F183" t="inlineStr"/>
      <c r="G183" t="inlineStr"/>
      <c r="H183" t="inlineStr">
        <is>
          <t>3.90%</t>
        </is>
      </c>
      <c r="I183" t="inlineStr">
        <is>
          <t>3.90%</t>
        </is>
      </c>
    </row>
    <row r="184">
      <c r="A184" s="2" t="n">
        <v>45954</v>
      </c>
      <c r="B184" t="inlineStr">
        <is>
          <t>SDVD</t>
        </is>
      </c>
      <c r="C184" t="inlineStr">
        <is>
          <t>GICS_INDUSTRY_GROUP_NAME</t>
        </is>
      </c>
      <c r="D184" t="inlineStr">
        <is>
          <t>Energy</t>
        </is>
      </c>
      <c r="E184" t="inlineStr">
        <is>
          <t>N/A</t>
        </is>
      </c>
      <c r="F184" t="inlineStr"/>
      <c r="G184" t="inlineStr"/>
      <c r="H184" t="inlineStr">
        <is>
          <t>3.48%</t>
        </is>
      </c>
      <c r="I184" t="inlineStr">
        <is>
          <t>3.48%</t>
        </is>
      </c>
    </row>
    <row r="185">
      <c r="A185" s="2" t="n">
        <v>45954</v>
      </c>
      <c r="B185" t="inlineStr">
        <is>
          <t>SDVD</t>
        </is>
      </c>
      <c r="C185" t="inlineStr">
        <is>
          <t>GICS_INDUSTRY_GROUP_NAME</t>
        </is>
      </c>
      <c r="D185" t="inlineStr">
        <is>
          <t>Software &amp; Services</t>
        </is>
      </c>
      <c r="E185" t="inlineStr">
        <is>
          <t>N/A</t>
        </is>
      </c>
      <c r="F185" t="inlineStr"/>
      <c r="G185" t="inlineStr"/>
      <c r="H185" t="inlineStr">
        <is>
          <t>3.40%</t>
        </is>
      </c>
      <c r="I185" t="inlineStr">
        <is>
          <t>3.40%</t>
        </is>
      </c>
    </row>
    <row r="186">
      <c r="A186" s="2" t="n">
        <v>45954</v>
      </c>
      <c r="B186" t="inlineStr">
        <is>
          <t>SDVD</t>
        </is>
      </c>
      <c r="C186" t="inlineStr">
        <is>
          <t>GICS_INDUSTRY_GROUP_NAME</t>
        </is>
      </c>
      <c r="D186" t="inlineStr">
        <is>
          <t>Food, Beverage &amp; Tobacco</t>
        </is>
      </c>
      <c r="E186" t="inlineStr">
        <is>
          <t>N/A</t>
        </is>
      </c>
      <c r="F186" t="inlineStr"/>
      <c r="G186" t="inlineStr"/>
      <c r="H186" t="inlineStr">
        <is>
          <t>3.29%</t>
        </is>
      </c>
      <c r="I186" t="inlineStr">
        <is>
          <t>3.29%</t>
        </is>
      </c>
    </row>
    <row r="187">
      <c r="A187" s="2" t="n">
        <v>45954</v>
      </c>
      <c r="B187" t="inlineStr">
        <is>
          <t>SDVD</t>
        </is>
      </c>
      <c r="C187" t="inlineStr">
        <is>
          <t>GICS_INDUSTRY_NAME</t>
        </is>
      </c>
      <c r="D187" t="inlineStr">
        <is>
          <t>Household Durables</t>
        </is>
      </c>
      <c r="E187" t="inlineStr">
        <is>
          <t>N/A</t>
        </is>
      </c>
      <c r="F187" t="inlineStr"/>
      <c r="G187" t="inlineStr"/>
      <c r="H187" t="inlineStr">
        <is>
          <t>3.20%</t>
        </is>
      </c>
      <c r="I187" t="inlineStr">
        <is>
          <t>3.20%</t>
        </is>
      </c>
    </row>
    <row r="188">
      <c r="A188" s="2" t="n">
        <v>45954</v>
      </c>
      <c r="B188" t="inlineStr">
        <is>
          <t>SDVD</t>
        </is>
      </c>
      <c r="C188" t="inlineStr">
        <is>
          <t>GICS_INDUSTRY_NAME</t>
        </is>
      </c>
      <c r="D188" t="inlineStr">
        <is>
          <t>Software</t>
        </is>
      </c>
      <c r="E188" t="inlineStr">
        <is>
          <t>N/A</t>
        </is>
      </c>
      <c r="F188" t="inlineStr"/>
      <c r="G188" t="inlineStr"/>
      <c r="H188" t="inlineStr">
        <is>
          <t>3.20%</t>
        </is>
      </c>
      <c r="I188" t="inlineStr">
        <is>
          <t>3.20%</t>
        </is>
      </c>
    </row>
    <row r="189">
      <c r="A189" s="2" t="n">
        <v>45954</v>
      </c>
      <c r="B189" t="inlineStr">
        <is>
          <t>SDVD</t>
        </is>
      </c>
      <c r="C189" t="inlineStr">
        <is>
          <t>GICS_INDUSTRY_GROUP_NAME</t>
        </is>
      </c>
      <c r="D189" t="inlineStr">
        <is>
          <t>Consumer Services</t>
        </is>
      </c>
      <c r="E189" t="inlineStr">
        <is>
          <t>N/A</t>
        </is>
      </c>
      <c r="F189" t="inlineStr"/>
      <c r="G189" t="inlineStr"/>
      <c r="H189" t="inlineStr">
        <is>
          <t>3.14%</t>
        </is>
      </c>
      <c r="I189" t="inlineStr">
        <is>
          <t>3.14%</t>
        </is>
      </c>
    </row>
    <row r="190">
      <c r="A190" s="2" t="n">
        <v>45954</v>
      </c>
      <c r="B190" t="inlineStr">
        <is>
          <t>SDVD</t>
        </is>
      </c>
      <c r="C190" t="inlineStr">
        <is>
          <t>GICS_INDUSTRY_NAME</t>
        </is>
      </c>
      <c r="D190" t="inlineStr">
        <is>
          <t>Textiles, Apparel &amp; Luxury Goods</t>
        </is>
      </c>
      <c r="E190" t="inlineStr">
        <is>
          <t>N/A</t>
        </is>
      </c>
      <c r="F190" t="inlineStr"/>
      <c r="G190" t="inlineStr"/>
      <c r="H190" t="inlineStr">
        <is>
          <t>2.79%</t>
        </is>
      </c>
      <c r="I190" t="inlineStr">
        <is>
          <t>2.79%</t>
        </is>
      </c>
    </row>
    <row r="191">
      <c r="A191" s="2" t="n">
        <v>45954</v>
      </c>
      <c r="B191" t="inlineStr">
        <is>
          <t>SDVD</t>
        </is>
      </c>
      <c r="C191" t="inlineStr">
        <is>
          <t>GICS_INDUSTRY_NAME</t>
        </is>
      </c>
      <c r="D191" t="inlineStr">
        <is>
          <t>Commercial Services &amp; Supplies</t>
        </is>
      </c>
      <c r="E191" t="inlineStr">
        <is>
          <t>N/A</t>
        </is>
      </c>
      <c r="F191" t="inlineStr"/>
      <c r="G191" t="inlineStr"/>
      <c r="H191" t="inlineStr">
        <is>
          <t>2.78%</t>
        </is>
      </c>
      <c r="I191" t="inlineStr">
        <is>
          <t>2.78%</t>
        </is>
      </c>
    </row>
    <row r="192">
      <c r="A192" s="2" t="n">
        <v>45954</v>
      </c>
      <c r="B192" t="inlineStr">
        <is>
          <t>SDVD</t>
        </is>
      </c>
      <c r="C192" t="inlineStr">
        <is>
          <t>GICS_INDUSTRY_GROUP_NAME</t>
        </is>
      </c>
      <c r="D192" t="inlineStr">
        <is>
          <t>Health Care Equipment &amp; Services</t>
        </is>
      </c>
      <c r="E192" t="inlineStr">
        <is>
          <t>N/A</t>
        </is>
      </c>
      <c r="F192" t="inlineStr"/>
      <c r="G192" t="inlineStr"/>
      <c r="H192" t="inlineStr">
        <is>
          <t>2.77%</t>
        </is>
      </c>
      <c r="I192" t="inlineStr">
        <is>
          <t>2.77%</t>
        </is>
      </c>
    </row>
    <row r="193">
      <c r="A193" s="2" t="n">
        <v>45954</v>
      </c>
      <c r="B193" t="inlineStr">
        <is>
          <t>SDVD</t>
        </is>
      </c>
      <c r="C193" t="inlineStr">
        <is>
          <t>GICS_INDUSTRY_NAME</t>
        </is>
      </c>
      <c r="D193" t="inlineStr">
        <is>
          <t>Diversified Consumer Services</t>
        </is>
      </c>
      <c r="E193" t="inlineStr">
        <is>
          <t>N/A</t>
        </is>
      </c>
      <c r="F193" t="inlineStr"/>
      <c r="G193" t="inlineStr"/>
      <c r="H193" t="inlineStr">
        <is>
          <t>2.74%</t>
        </is>
      </c>
      <c r="I193" t="inlineStr">
        <is>
          <t>2.74%</t>
        </is>
      </c>
    </row>
    <row r="194">
      <c r="A194" s="2" t="n">
        <v>45954</v>
      </c>
      <c r="B194" t="inlineStr">
        <is>
          <t>SDVD</t>
        </is>
      </c>
      <c r="C194" t="inlineStr">
        <is>
          <t>GICS_INDUSTRY_NAME</t>
        </is>
      </c>
      <c r="D194" t="inlineStr">
        <is>
          <t>Financial Services</t>
        </is>
      </c>
      <c r="E194" t="inlineStr">
        <is>
          <t>N/A</t>
        </is>
      </c>
      <c r="F194" t="inlineStr"/>
      <c r="G194" t="inlineStr"/>
      <c r="H194" t="inlineStr">
        <is>
          <t>2.71%</t>
        </is>
      </c>
      <c r="I194" t="inlineStr">
        <is>
          <t>2.71%</t>
        </is>
      </c>
    </row>
    <row r="195">
      <c r="A195" s="2" t="n">
        <v>45954</v>
      </c>
      <c r="B195" t="inlineStr">
        <is>
          <t>SDVD</t>
        </is>
      </c>
      <c r="C195" t="inlineStr">
        <is>
          <t>GICS_INDUSTRY_GROUP_NAME</t>
        </is>
      </c>
      <c r="D195" t="inlineStr">
        <is>
          <t>Consumer Discretionary Distribution &amp; Retail</t>
        </is>
      </c>
      <c r="E195" t="inlineStr">
        <is>
          <t>N/A</t>
        </is>
      </c>
      <c r="F195" t="inlineStr"/>
      <c r="G195" t="inlineStr"/>
      <c r="H195" t="inlineStr">
        <is>
          <t>2.54%</t>
        </is>
      </c>
      <c r="I195" t="inlineStr">
        <is>
          <t>2.54%</t>
        </is>
      </c>
    </row>
    <row r="196">
      <c r="A196" s="2" t="n">
        <v>45954</v>
      </c>
      <c r="B196" t="inlineStr">
        <is>
          <t>SDVD</t>
        </is>
      </c>
      <c r="C196" t="inlineStr">
        <is>
          <t>GICS_INDUSTRY_NAME</t>
        </is>
      </c>
      <c r="D196" t="inlineStr">
        <is>
          <t>Electrical Equipment</t>
        </is>
      </c>
      <c r="E196" t="inlineStr">
        <is>
          <t>N/A</t>
        </is>
      </c>
      <c r="F196" t="inlineStr"/>
      <c r="G196" t="inlineStr"/>
      <c r="H196" t="inlineStr">
        <is>
          <t>2.49%</t>
        </is>
      </c>
      <c r="I196" t="inlineStr">
        <is>
          <t>2.49%</t>
        </is>
      </c>
    </row>
    <row r="197">
      <c r="A197" s="2" t="n">
        <v>45954</v>
      </c>
      <c r="B197" t="inlineStr">
        <is>
          <t>SDVD</t>
        </is>
      </c>
      <c r="C197" t="inlineStr">
        <is>
          <t>GICS_INDUSTRY_NAME</t>
        </is>
      </c>
      <c r="D197" t="inlineStr">
        <is>
          <t>Energy Equipment &amp; Services</t>
        </is>
      </c>
      <c r="E197" t="inlineStr">
        <is>
          <t>N/A</t>
        </is>
      </c>
      <c r="F197" t="inlineStr"/>
      <c r="G197" t="inlineStr"/>
      <c r="H197" t="inlineStr">
        <is>
          <t>2.46%</t>
        </is>
      </c>
      <c r="I197" t="inlineStr">
        <is>
          <t>2.46%</t>
        </is>
      </c>
    </row>
    <row r="198">
      <c r="A198" s="2" t="n">
        <v>45954</v>
      </c>
      <c r="B198" t="inlineStr">
        <is>
          <t>SDVD</t>
        </is>
      </c>
      <c r="C198" t="inlineStr">
        <is>
          <t>GICS_INDUSTRY_NAME</t>
        </is>
      </c>
      <c r="D198" t="inlineStr">
        <is>
          <t>Food Products</t>
        </is>
      </c>
      <c r="E198" t="inlineStr">
        <is>
          <t>N/A</t>
        </is>
      </c>
      <c r="F198" t="inlineStr"/>
      <c r="G198" t="inlineStr"/>
      <c r="H198" t="inlineStr">
        <is>
          <t>2.23%</t>
        </is>
      </c>
      <c r="I198" t="inlineStr">
        <is>
          <t>2.23%</t>
        </is>
      </c>
    </row>
    <row r="199">
      <c r="A199" s="2" t="n">
        <v>45954</v>
      </c>
      <c r="B199" t="inlineStr">
        <is>
          <t>SDVD</t>
        </is>
      </c>
      <c r="C199" t="inlineStr">
        <is>
          <t>GICS_INDUSTRY_NAME</t>
        </is>
      </c>
      <c r="D199" t="inlineStr">
        <is>
          <t>Health Care Providers &amp; Services</t>
        </is>
      </c>
      <c r="E199" t="inlineStr">
        <is>
          <t>N/A</t>
        </is>
      </c>
      <c r="F199" t="inlineStr"/>
      <c r="G199" t="inlineStr"/>
      <c r="H199" t="inlineStr">
        <is>
          <t>1.97%</t>
        </is>
      </c>
      <c r="I199" t="inlineStr">
        <is>
          <t>1.97%</t>
        </is>
      </c>
    </row>
    <row r="200">
      <c r="A200" s="2" t="n">
        <v>45954</v>
      </c>
      <c r="B200" t="inlineStr">
        <is>
          <t>SDVD</t>
        </is>
      </c>
      <c r="C200" t="inlineStr">
        <is>
          <t>GICS_INDUSTRY_NAME</t>
        </is>
      </c>
      <c r="D200" t="inlineStr">
        <is>
          <t>Specialty Retail</t>
        </is>
      </c>
      <c r="E200" t="inlineStr">
        <is>
          <t>N/A</t>
        </is>
      </c>
      <c r="F200" t="inlineStr"/>
      <c r="G200" t="inlineStr"/>
      <c r="H200" t="inlineStr">
        <is>
          <t>1.95%</t>
        </is>
      </c>
      <c r="I200" t="inlineStr">
        <is>
          <t>1.95%</t>
        </is>
      </c>
    </row>
    <row r="201">
      <c r="A201" s="2" t="n">
        <v>45954</v>
      </c>
      <c r="B201" t="inlineStr">
        <is>
          <t>SDVD</t>
        </is>
      </c>
      <c r="C201" t="inlineStr">
        <is>
          <t>GICS_INDUSTRY_GROUP_NAME</t>
        </is>
      </c>
      <c r="D201" t="inlineStr">
        <is>
          <t>Media &amp; Entertainment</t>
        </is>
      </c>
      <c r="E201" t="inlineStr">
        <is>
          <t>N/A</t>
        </is>
      </c>
      <c r="F201" t="inlineStr"/>
      <c r="G201" t="inlineStr"/>
      <c r="H201" t="inlineStr">
        <is>
          <t>1.93%</t>
        </is>
      </c>
      <c r="I201" t="inlineStr">
        <is>
          <t>1.93%</t>
        </is>
      </c>
    </row>
    <row r="202">
      <c r="A202" s="2" t="n">
        <v>45954</v>
      </c>
      <c r="B202" t="inlineStr">
        <is>
          <t>SDVD</t>
        </is>
      </c>
      <c r="C202" t="inlineStr">
        <is>
          <t>GICS_INDUSTRY_NAME</t>
        </is>
      </c>
      <c r="D202" t="inlineStr">
        <is>
          <t>Media</t>
        </is>
      </c>
      <c r="E202" t="inlineStr">
        <is>
          <t>N/A</t>
        </is>
      </c>
      <c r="F202" t="inlineStr"/>
      <c r="G202" t="inlineStr"/>
      <c r="H202" t="inlineStr">
        <is>
          <t>1.93%</t>
        </is>
      </c>
      <c r="I202" t="inlineStr">
        <is>
          <t>1.93%</t>
        </is>
      </c>
    </row>
    <row r="203">
      <c r="A203" s="2" t="n">
        <v>45954</v>
      </c>
      <c r="B203" t="inlineStr">
        <is>
          <t>SDVD</t>
        </is>
      </c>
      <c r="C203" t="inlineStr">
        <is>
          <t>GICS_INDUSTRY_NAME</t>
        </is>
      </c>
      <c r="D203" t="inlineStr">
        <is>
          <t>Chemicals</t>
        </is>
      </c>
      <c r="E203" t="inlineStr">
        <is>
          <t>N/A</t>
        </is>
      </c>
      <c r="F203" t="inlineStr"/>
      <c r="G203" t="inlineStr"/>
      <c r="H203" t="inlineStr">
        <is>
          <t>1.74%</t>
        </is>
      </c>
      <c r="I203" t="inlineStr">
        <is>
          <t>1.74%</t>
        </is>
      </c>
    </row>
    <row r="204">
      <c r="A204" s="2" t="n">
        <v>45954</v>
      </c>
      <c r="B204" t="inlineStr">
        <is>
          <t>SDVD</t>
        </is>
      </c>
      <c r="C204" t="inlineStr">
        <is>
          <t>GICS_INDUSTRY_NAME</t>
        </is>
      </c>
      <c r="D204" t="inlineStr">
        <is>
          <t>Aerospace &amp; Defense</t>
        </is>
      </c>
      <c r="E204" t="inlineStr">
        <is>
          <t>N/A</t>
        </is>
      </c>
      <c r="F204" t="inlineStr"/>
      <c r="G204" t="inlineStr"/>
      <c r="H204" t="inlineStr">
        <is>
          <t>1.66%</t>
        </is>
      </c>
      <c r="I204" t="inlineStr">
        <is>
          <t>1.66%</t>
        </is>
      </c>
    </row>
    <row r="205">
      <c r="A205" s="2" t="n">
        <v>45954</v>
      </c>
      <c r="B205" t="inlineStr">
        <is>
          <t>SDVD</t>
        </is>
      </c>
      <c r="C205" t="inlineStr">
        <is>
          <t>GICS_INDUSTRY_NAME</t>
        </is>
      </c>
      <c r="D205" t="inlineStr">
        <is>
          <t>Metals &amp; Mining</t>
        </is>
      </c>
      <c r="E205" t="inlineStr">
        <is>
          <t>N/A</t>
        </is>
      </c>
      <c r="F205" t="inlineStr"/>
      <c r="G205" t="inlineStr"/>
      <c r="H205" t="inlineStr">
        <is>
          <t>1.44%</t>
        </is>
      </c>
      <c r="I205" t="inlineStr">
        <is>
          <t>1.44%</t>
        </is>
      </c>
    </row>
    <row r="206">
      <c r="A206" s="2" t="n">
        <v>45954</v>
      </c>
      <c r="B206" t="inlineStr">
        <is>
          <t>SDVD</t>
        </is>
      </c>
      <c r="C206" t="inlineStr">
        <is>
          <t>GICS_INDUSTRY_GROUP_NAME</t>
        </is>
      </c>
      <c r="D206" t="inlineStr">
        <is>
          <t>Technology Hardware &amp; Equipment</t>
        </is>
      </c>
      <c r="E206" t="inlineStr">
        <is>
          <t>N/A</t>
        </is>
      </c>
      <c r="F206" t="inlineStr"/>
      <c r="G206" t="inlineStr"/>
      <c r="H206" t="inlineStr">
        <is>
          <t>1.35%</t>
        </is>
      </c>
      <c r="I206" t="inlineStr">
        <is>
          <t>1.35%</t>
        </is>
      </c>
    </row>
    <row r="207">
      <c r="A207" s="2" t="n">
        <v>45954</v>
      </c>
      <c r="B207" t="inlineStr">
        <is>
          <t>SDVD</t>
        </is>
      </c>
      <c r="C207" t="inlineStr">
        <is>
          <t>GICS_INDUSTRY_GROUP_NAME</t>
        </is>
      </c>
      <c r="D207" t="inlineStr">
        <is>
          <t>Household &amp; Personal Products</t>
        </is>
      </c>
      <c r="E207" t="inlineStr">
        <is>
          <t>N/A</t>
        </is>
      </c>
      <c r="F207" t="inlineStr"/>
      <c r="G207" t="inlineStr"/>
      <c r="H207" t="inlineStr">
        <is>
          <t>1.13%</t>
        </is>
      </c>
      <c r="I207" t="inlineStr">
        <is>
          <t>1.13%</t>
        </is>
      </c>
    </row>
    <row r="208">
      <c r="A208" s="2" t="n">
        <v>45954</v>
      </c>
      <c r="B208" t="inlineStr">
        <is>
          <t>SDVD</t>
        </is>
      </c>
      <c r="C208" t="inlineStr">
        <is>
          <t>GICS_INDUSTRY_NAME</t>
        </is>
      </c>
      <c r="D208" t="inlineStr">
        <is>
          <t>Consumer Finance</t>
        </is>
      </c>
      <c r="E208" t="inlineStr">
        <is>
          <t>N/A</t>
        </is>
      </c>
      <c r="F208" t="inlineStr"/>
      <c r="G208" t="inlineStr"/>
      <c r="H208" t="inlineStr">
        <is>
          <t>1.06%</t>
        </is>
      </c>
      <c r="I208" t="inlineStr">
        <is>
          <t>1.06%</t>
        </is>
      </c>
    </row>
    <row r="209">
      <c r="A209" s="2" t="n">
        <v>45954</v>
      </c>
      <c r="B209" t="inlineStr">
        <is>
          <t>SDVD</t>
        </is>
      </c>
      <c r="C209" t="inlineStr">
        <is>
          <t>GICS_INDUSTRY_GROUP_NAME</t>
        </is>
      </c>
      <c r="D209" t="inlineStr">
        <is>
          <t>Consumer Staples Distribution &amp; Retail</t>
        </is>
      </c>
      <c r="E209" t="inlineStr">
        <is>
          <t>N/A</t>
        </is>
      </c>
      <c r="F209" t="inlineStr"/>
      <c r="G209" t="inlineStr"/>
      <c r="H209" t="inlineStr">
        <is>
          <t>1.04%</t>
        </is>
      </c>
      <c r="I209" t="inlineStr">
        <is>
          <t>1.04%</t>
        </is>
      </c>
    </row>
    <row r="210">
      <c r="A210" s="2" t="n">
        <v>45954</v>
      </c>
      <c r="B210" t="inlineStr">
        <is>
          <t>SDVD</t>
        </is>
      </c>
      <c r="C210" t="inlineStr">
        <is>
          <t>GICS_INDUSTRY_NAME</t>
        </is>
      </c>
      <c r="D210" t="inlineStr">
        <is>
          <t>Consumer Staples Distribution &amp; Retail</t>
        </is>
      </c>
      <c r="E210" t="inlineStr">
        <is>
          <t>N/A</t>
        </is>
      </c>
      <c r="F210" t="inlineStr"/>
      <c r="G210" t="inlineStr"/>
      <c r="H210" t="inlineStr">
        <is>
          <t>1.04%</t>
        </is>
      </c>
      <c r="I210" t="inlineStr">
        <is>
          <t>1.04%</t>
        </is>
      </c>
    </row>
    <row r="211">
      <c r="A211" s="2" t="n">
        <v>45954</v>
      </c>
      <c r="B211" t="inlineStr">
        <is>
          <t>SDVD</t>
        </is>
      </c>
      <c r="C211" t="inlineStr">
        <is>
          <t>GICS_INDUSTRY_NAME</t>
        </is>
      </c>
      <c r="D211" t="inlineStr">
        <is>
          <t>Oil, Gas &amp; Consumable Fuels</t>
        </is>
      </c>
      <c r="E211" t="inlineStr">
        <is>
          <t>N/A</t>
        </is>
      </c>
      <c r="F211" t="inlineStr"/>
      <c r="G211" t="inlineStr"/>
      <c r="H211" t="inlineStr">
        <is>
          <t>1.02%</t>
        </is>
      </c>
      <c r="I211" t="inlineStr">
        <is>
          <t>1.02%</t>
        </is>
      </c>
    </row>
    <row r="212">
      <c r="A212" s="2" t="n">
        <v>45954</v>
      </c>
      <c r="B212" t="inlineStr">
        <is>
          <t>SDVD</t>
        </is>
      </c>
      <c r="C212" t="inlineStr">
        <is>
          <t>GICS_INDUSTRY_NAME</t>
        </is>
      </c>
      <c r="D212" t="inlineStr">
        <is>
          <t>Electronic Equipment, Instruments &amp; Components</t>
        </is>
      </c>
      <c r="E212" t="inlineStr">
        <is>
          <t>N/A</t>
        </is>
      </c>
      <c r="F212" t="inlineStr"/>
      <c r="G212" t="inlineStr"/>
      <c r="H212" t="inlineStr">
        <is>
          <t>0.88%</t>
        </is>
      </c>
      <c r="I212" t="inlineStr">
        <is>
          <t>0.88%</t>
        </is>
      </c>
    </row>
    <row r="213">
      <c r="A213" s="2" t="n">
        <v>45954</v>
      </c>
      <c r="B213" t="inlineStr">
        <is>
          <t>SDVD</t>
        </is>
      </c>
      <c r="C213" t="inlineStr">
        <is>
          <t>GICS_INDUSTRY_NAME</t>
        </is>
      </c>
      <c r="D213" t="inlineStr">
        <is>
          <t>Trading Companies &amp; Distributors</t>
        </is>
      </c>
      <c r="E213" t="inlineStr">
        <is>
          <t>N/A</t>
        </is>
      </c>
      <c r="F213" t="inlineStr"/>
      <c r="G213" t="inlineStr"/>
      <c r="H213" t="inlineStr">
        <is>
          <t>0.85%</t>
        </is>
      </c>
      <c r="I213" t="inlineStr">
        <is>
          <t>0.85%</t>
        </is>
      </c>
    </row>
    <row r="214">
      <c r="A214" s="2" t="n">
        <v>45954</v>
      </c>
      <c r="B214" t="inlineStr">
        <is>
          <t>SDVD</t>
        </is>
      </c>
      <c r="C214" t="inlineStr">
        <is>
          <t>GICS_INDUSTRY_NAME</t>
        </is>
      </c>
      <c r="D214" t="inlineStr">
        <is>
          <t>Beverages</t>
        </is>
      </c>
      <c r="E214" t="inlineStr">
        <is>
          <t>N/A</t>
        </is>
      </c>
      <c r="F214" t="inlineStr"/>
      <c r="G214" t="inlineStr"/>
      <c r="H214" t="inlineStr">
        <is>
          <t>0.85%</t>
        </is>
      </c>
      <c r="I214" t="inlineStr">
        <is>
          <t>0.85%</t>
        </is>
      </c>
    </row>
    <row r="215">
      <c r="A215" s="2" t="n">
        <v>45954</v>
      </c>
      <c r="B215" t="inlineStr">
        <is>
          <t>SDVD</t>
        </is>
      </c>
      <c r="C215" t="inlineStr">
        <is>
          <t>GICS_INDUSTRY_GROUP_NAME</t>
        </is>
      </c>
      <c r="D215" t="inlineStr">
        <is>
          <t>Semiconductors &amp; Semiconductor Equipment</t>
        </is>
      </c>
      <c r="E215" t="inlineStr">
        <is>
          <t>N/A</t>
        </is>
      </c>
      <c r="F215" t="inlineStr"/>
      <c r="G215" t="inlineStr"/>
      <c r="H215" t="inlineStr">
        <is>
          <t>0.82%</t>
        </is>
      </c>
      <c r="I215" t="inlineStr">
        <is>
          <t>0.82%</t>
        </is>
      </c>
    </row>
    <row r="216">
      <c r="A216" s="2" t="n">
        <v>45954</v>
      </c>
      <c r="B216" t="inlineStr">
        <is>
          <t>SDVD</t>
        </is>
      </c>
      <c r="C216" t="inlineStr">
        <is>
          <t>GICS_INDUSTRY_NAME</t>
        </is>
      </c>
      <c r="D216" t="inlineStr">
        <is>
          <t>Semiconductors &amp; Semiconductor Equipment</t>
        </is>
      </c>
      <c r="E216" t="inlineStr">
        <is>
          <t>N/A</t>
        </is>
      </c>
      <c r="F216" t="inlineStr"/>
      <c r="G216" t="inlineStr"/>
      <c r="H216" t="inlineStr">
        <is>
          <t>0.82%</t>
        </is>
      </c>
      <c r="I216" t="inlineStr">
        <is>
          <t>0.82%</t>
        </is>
      </c>
    </row>
    <row r="217">
      <c r="A217" s="2" t="n">
        <v>45954</v>
      </c>
      <c r="B217" t="inlineStr">
        <is>
          <t>SDVD</t>
        </is>
      </c>
      <c r="C217" t="inlineStr">
        <is>
          <t>GICS_INDUSTRY_GROUP_NAME</t>
        </is>
      </c>
      <c r="D217" t="inlineStr">
        <is>
          <t>Utilities</t>
        </is>
      </c>
      <c r="E217" t="inlineStr">
        <is>
          <t>N/A</t>
        </is>
      </c>
      <c r="F217" t="inlineStr"/>
      <c r="G217" t="inlineStr"/>
      <c r="H217" t="inlineStr">
        <is>
          <t>0.81%</t>
        </is>
      </c>
      <c r="I217" t="inlineStr">
        <is>
          <t>0.81%</t>
        </is>
      </c>
    </row>
    <row r="218">
      <c r="A218" s="2" t="n">
        <v>45954</v>
      </c>
      <c r="B218" t="inlineStr">
        <is>
          <t>SDVD</t>
        </is>
      </c>
      <c r="C218" t="inlineStr">
        <is>
          <t>GICS_INDUSTRY_NAME</t>
        </is>
      </c>
      <c r="D218" t="inlineStr">
        <is>
          <t>Electric Utilities</t>
        </is>
      </c>
      <c r="E218" t="inlineStr">
        <is>
          <t>N/A</t>
        </is>
      </c>
      <c r="F218" t="inlineStr"/>
      <c r="G218" t="inlineStr"/>
      <c r="H218" t="inlineStr">
        <is>
          <t>0.81%</t>
        </is>
      </c>
      <c r="I218" t="inlineStr">
        <is>
          <t>0.81%</t>
        </is>
      </c>
    </row>
    <row r="219">
      <c r="A219" s="2" t="n">
        <v>45954</v>
      </c>
      <c r="B219" t="inlineStr">
        <is>
          <t>SDVD</t>
        </is>
      </c>
      <c r="C219" t="inlineStr">
        <is>
          <t>GICS_INDUSTRY_NAME</t>
        </is>
      </c>
      <c r="D219" t="inlineStr">
        <is>
          <t>Health Care Equipment &amp; Supplies</t>
        </is>
      </c>
      <c r="E219" t="inlineStr">
        <is>
          <t>N/A</t>
        </is>
      </c>
      <c r="F219" t="inlineStr"/>
      <c r="G219" t="inlineStr"/>
      <c r="H219" t="inlineStr">
        <is>
          <t>0.79%</t>
        </is>
      </c>
      <c r="I219" t="inlineStr">
        <is>
          <t>0.79%</t>
        </is>
      </c>
    </row>
    <row r="220">
      <c r="A220" s="2" t="n">
        <v>45954</v>
      </c>
      <c r="B220" t="inlineStr">
        <is>
          <t>SDVD</t>
        </is>
      </c>
      <c r="C220" t="inlineStr">
        <is>
          <t>GICS_INDUSTRY_GROUP_NAME</t>
        </is>
      </c>
      <c r="D220" t="inlineStr">
        <is>
          <t>Automobiles &amp; Components</t>
        </is>
      </c>
      <c r="E220" t="inlineStr">
        <is>
          <t>N/A</t>
        </is>
      </c>
      <c r="F220" t="inlineStr"/>
      <c r="G220" t="inlineStr"/>
      <c r="H220" t="inlineStr">
        <is>
          <t>0.62%</t>
        </is>
      </c>
      <c r="I220" t="inlineStr">
        <is>
          <t>0.62%</t>
        </is>
      </c>
    </row>
    <row r="221">
      <c r="A221" s="2" t="n">
        <v>45954</v>
      </c>
      <c r="B221" t="inlineStr">
        <is>
          <t>SDVD</t>
        </is>
      </c>
      <c r="C221" t="inlineStr">
        <is>
          <t>GICS_INDUSTRY_NAME</t>
        </is>
      </c>
      <c r="D221" t="inlineStr">
        <is>
          <t>Automobile Components</t>
        </is>
      </c>
      <c r="E221" t="inlineStr">
        <is>
          <t>N/A</t>
        </is>
      </c>
      <c r="F221" t="inlineStr"/>
      <c r="G221" t="inlineStr"/>
      <c r="H221" t="inlineStr">
        <is>
          <t>0.62%</t>
        </is>
      </c>
      <c r="I221" t="inlineStr">
        <is>
          <t>0.62%</t>
        </is>
      </c>
    </row>
    <row r="222">
      <c r="A222" s="2" t="n">
        <v>45954</v>
      </c>
      <c r="B222" t="inlineStr">
        <is>
          <t>SDVD</t>
        </is>
      </c>
      <c r="C222" t="inlineStr">
        <is>
          <t>GICS_INDUSTRY_NAME</t>
        </is>
      </c>
      <c r="D222" t="inlineStr">
        <is>
          <t>Personal Care Products</t>
        </is>
      </c>
      <c r="E222" t="inlineStr">
        <is>
          <t>N/A</t>
        </is>
      </c>
      <c r="F222" t="inlineStr"/>
      <c r="G222" t="inlineStr"/>
      <c r="H222" t="inlineStr">
        <is>
          <t>0.61%</t>
        </is>
      </c>
      <c r="I222" t="inlineStr">
        <is>
          <t>0.61%</t>
        </is>
      </c>
    </row>
    <row r="223">
      <c r="A223" s="2" t="n">
        <v>45954</v>
      </c>
      <c r="B223" t="inlineStr">
        <is>
          <t>SDVD</t>
        </is>
      </c>
      <c r="C223" t="inlineStr">
        <is>
          <t>GICS_INDUSTRY_NAME</t>
        </is>
      </c>
      <c r="D223" t="inlineStr">
        <is>
          <t>Broadline Retail</t>
        </is>
      </c>
      <c r="E223" t="inlineStr">
        <is>
          <t>N/A</t>
        </is>
      </c>
      <c r="F223" t="inlineStr"/>
      <c r="G223" t="inlineStr"/>
      <c r="H223" t="inlineStr">
        <is>
          <t>0.59%</t>
        </is>
      </c>
      <c r="I223" t="inlineStr">
        <is>
          <t>0.59%</t>
        </is>
      </c>
    </row>
    <row r="224">
      <c r="A224" s="2" t="n">
        <v>45954</v>
      </c>
      <c r="B224" t="inlineStr">
        <is>
          <t>SDVD</t>
        </is>
      </c>
      <c r="C224" t="inlineStr">
        <is>
          <t>GICS_INDUSTRY_NAME</t>
        </is>
      </c>
      <c r="D224" t="inlineStr">
        <is>
          <t>Household Products</t>
        </is>
      </c>
      <c r="E224" t="inlineStr">
        <is>
          <t>N/A</t>
        </is>
      </c>
      <c r="F224" t="inlineStr"/>
      <c r="G224" t="inlineStr"/>
      <c r="H224" t="inlineStr">
        <is>
          <t>0.52%</t>
        </is>
      </c>
      <c r="I224" t="inlineStr">
        <is>
          <t>0.52%</t>
        </is>
      </c>
    </row>
    <row r="225">
      <c r="A225" s="2" t="n">
        <v>45954</v>
      </c>
      <c r="B225" t="inlineStr">
        <is>
          <t>SDVD</t>
        </is>
      </c>
      <c r="C225" t="inlineStr">
        <is>
          <t>GICS_INDUSTRY_NAME</t>
        </is>
      </c>
      <c r="D225" t="inlineStr">
        <is>
          <t>Technology Hardware, Storage &amp; Peripherals</t>
        </is>
      </c>
      <c r="E225" t="inlineStr">
        <is>
          <t>N/A</t>
        </is>
      </c>
      <c r="F225" t="inlineStr"/>
      <c r="G225" t="inlineStr"/>
      <c r="H225" t="inlineStr">
        <is>
          <t>0.47%</t>
        </is>
      </c>
      <c r="I225" t="inlineStr">
        <is>
          <t>0.47%</t>
        </is>
      </c>
    </row>
    <row r="226">
      <c r="A226" s="2" t="n">
        <v>45954</v>
      </c>
      <c r="B226" t="inlineStr">
        <is>
          <t>SDVD</t>
        </is>
      </c>
      <c r="C226" t="inlineStr">
        <is>
          <t>GICS_INDUSTRY_NAME</t>
        </is>
      </c>
      <c r="D226" t="inlineStr">
        <is>
          <t>Hotels, Restaurants &amp; Leisure</t>
        </is>
      </c>
      <c r="E226" t="inlineStr">
        <is>
          <t>N/A</t>
        </is>
      </c>
      <c r="F226" t="inlineStr"/>
      <c r="G226" t="inlineStr"/>
      <c r="H226" t="inlineStr">
        <is>
          <t>0.40%</t>
        </is>
      </c>
      <c r="I226" t="inlineStr">
        <is>
          <t>0.40%</t>
        </is>
      </c>
    </row>
    <row r="227">
      <c r="A227" s="2" t="n">
        <v>45954</v>
      </c>
      <c r="B227" t="inlineStr">
        <is>
          <t>SDVD</t>
        </is>
      </c>
      <c r="C227" t="inlineStr">
        <is>
          <t>GICS_INDUSTRY_NAME</t>
        </is>
      </c>
      <c r="D227" t="inlineStr">
        <is>
          <t>Containers &amp; Packaging</t>
        </is>
      </c>
      <c r="E227" t="inlineStr">
        <is>
          <t>N/A</t>
        </is>
      </c>
      <c r="F227" t="inlineStr"/>
      <c r="G227" t="inlineStr"/>
      <c r="H227" t="inlineStr">
        <is>
          <t>0.36%</t>
        </is>
      </c>
      <c r="I227" t="inlineStr">
        <is>
          <t>0.36%</t>
        </is>
      </c>
    </row>
    <row r="228">
      <c r="A228" s="2" t="n">
        <v>45954</v>
      </c>
      <c r="B228" t="inlineStr">
        <is>
          <t>SDVD</t>
        </is>
      </c>
      <c r="C228" t="inlineStr">
        <is>
          <t>GICS_INDUSTRY_GROUP_NAME</t>
        </is>
      </c>
      <c r="D228" t="inlineStr">
        <is>
          <t>Telecommunication Services</t>
        </is>
      </c>
      <c r="E228" t="inlineStr">
        <is>
          <t>N/A</t>
        </is>
      </c>
      <c r="F228" t="inlineStr"/>
      <c r="G228" t="inlineStr"/>
      <c r="H228" t="inlineStr">
        <is>
          <t>0.34%</t>
        </is>
      </c>
      <c r="I228" t="inlineStr">
        <is>
          <t>0.34%</t>
        </is>
      </c>
    </row>
    <row r="229">
      <c r="A229" s="2" t="n">
        <v>45954</v>
      </c>
      <c r="B229" t="inlineStr">
        <is>
          <t>SDVD</t>
        </is>
      </c>
      <c r="C229" t="inlineStr">
        <is>
          <t>GICS_INDUSTRY_NAME</t>
        </is>
      </c>
      <c r="D229" t="inlineStr">
        <is>
          <t>Diversified Telecommunication Services</t>
        </is>
      </c>
      <c r="E229" t="inlineStr">
        <is>
          <t>N/A</t>
        </is>
      </c>
      <c r="F229" t="inlineStr"/>
      <c r="G229" t="inlineStr"/>
      <c r="H229" t="inlineStr">
        <is>
          <t>0.34%</t>
        </is>
      </c>
      <c r="I229" t="inlineStr">
        <is>
          <t>0.34%</t>
        </is>
      </c>
    </row>
    <row r="230">
      <c r="A230" s="2" t="n">
        <v>45954</v>
      </c>
      <c r="B230" t="inlineStr">
        <is>
          <t>SDVD</t>
        </is>
      </c>
      <c r="C230" t="inlineStr">
        <is>
          <t>GICS_INDUSTRY_NAME</t>
        </is>
      </c>
      <c r="D230" t="inlineStr">
        <is>
          <t>Construction Materials</t>
        </is>
      </c>
      <c r="E230" t="inlineStr">
        <is>
          <t>N/A</t>
        </is>
      </c>
      <c r="F230" t="inlineStr"/>
      <c r="G230" t="inlineStr"/>
      <c r="H230" t="inlineStr">
        <is>
          <t>0.26%</t>
        </is>
      </c>
      <c r="I230" t="inlineStr">
        <is>
          <t>0.26%</t>
        </is>
      </c>
    </row>
    <row r="231">
      <c r="A231" s="2" t="n">
        <v>45954</v>
      </c>
      <c r="B231" t="inlineStr">
        <is>
          <t>SDVD</t>
        </is>
      </c>
      <c r="C231" t="inlineStr">
        <is>
          <t>GICS_INDUSTRY_NAME</t>
        </is>
      </c>
      <c r="D231" t="inlineStr">
        <is>
          <t>Tobacco</t>
        </is>
      </c>
      <c r="E231" t="inlineStr">
        <is>
          <t>N/A</t>
        </is>
      </c>
      <c r="F231" t="inlineStr"/>
      <c r="G231" t="inlineStr"/>
      <c r="H231" t="inlineStr">
        <is>
          <t>0.21%</t>
        </is>
      </c>
      <c r="I231" t="inlineStr">
        <is>
          <t>0.21%</t>
        </is>
      </c>
    </row>
    <row r="232">
      <c r="A232" s="2" t="n">
        <v>45954</v>
      </c>
      <c r="B232" t="inlineStr">
        <is>
          <t>SDVD</t>
        </is>
      </c>
      <c r="C232" t="inlineStr">
        <is>
          <t>GICS_INDUSTRY_NAME</t>
        </is>
      </c>
      <c r="D232" t="inlineStr">
        <is>
          <t>IT Services</t>
        </is>
      </c>
      <c r="E232" t="inlineStr">
        <is>
          <t>N/A</t>
        </is>
      </c>
      <c r="F232" t="inlineStr"/>
      <c r="G232" t="inlineStr"/>
      <c r="H232" t="inlineStr">
        <is>
          <t>0.20%</t>
        </is>
      </c>
      <c r="I232" t="inlineStr">
        <is>
          <t>0.20%</t>
        </is>
      </c>
    </row>
    <row r="233">
      <c r="A233" s="2" t="n">
        <v>45954</v>
      </c>
      <c r="B233" t="inlineStr">
        <is>
          <t>SDVD</t>
        </is>
      </c>
      <c r="C233" t="inlineStr">
        <is>
          <t>GICS_INDUSTRY_GROUP_NAME</t>
        </is>
      </c>
      <c r="D233" t="inlineStr">
        <is>
          <t>Transportation</t>
        </is>
      </c>
      <c r="E233" t="inlineStr">
        <is>
          <t>N/A</t>
        </is>
      </c>
      <c r="F233" t="inlineStr"/>
      <c r="G233" t="inlineStr"/>
      <c r="H233" t="inlineStr">
        <is>
          <t>0.14%</t>
        </is>
      </c>
      <c r="I233" t="inlineStr">
        <is>
          <t>0.14%</t>
        </is>
      </c>
    </row>
    <row r="234">
      <c r="A234" s="2" t="n">
        <v>45954</v>
      </c>
      <c r="B234" t="inlineStr">
        <is>
          <t>SDVD</t>
        </is>
      </c>
      <c r="C234" t="inlineStr">
        <is>
          <t>GICS_INDUSTRY_NAME</t>
        </is>
      </c>
      <c r="D234" t="inlineStr">
        <is>
          <t>Air Freight &amp; Logistics</t>
        </is>
      </c>
      <c r="E234" t="inlineStr">
        <is>
          <t>N/A</t>
        </is>
      </c>
      <c r="F234" t="inlineStr"/>
      <c r="G234" t="inlineStr"/>
      <c r="H234" t="inlineStr">
        <is>
          <t>0.14%</t>
        </is>
      </c>
      <c r="I234" t="inlineStr">
        <is>
          <t>0.14%</t>
        </is>
      </c>
    </row>
    <row r="235">
      <c r="A235" s="2" t="n">
        <v>45954</v>
      </c>
      <c r="B235" t="inlineStr">
        <is>
          <t>SDVD</t>
        </is>
      </c>
      <c r="C235" t="inlineStr">
        <is>
          <t>GICS_INDUSTRY_NAME</t>
        </is>
      </c>
      <c r="D235" t="inlineStr">
        <is>
          <t>Paper &amp; Forest Products</t>
        </is>
      </c>
      <c r="E235" t="inlineStr">
        <is>
          <t>N/A</t>
        </is>
      </c>
      <c r="F235" t="inlineStr"/>
      <c r="G235" t="inlineStr"/>
      <c r="H235" t="inlineStr">
        <is>
          <t>0.10%</t>
        </is>
      </c>
      <c r="I235" t="inlineStr">
        <is>
          <t>0.10%</t>
        </is>
      </c>
    </row>
    <row r="236">
      <c r="A236" s="2" t="n">
        <v>45954</v>
      </c>
      <c r="B236" t="inlineStr">
        <is>
          <t>TDVI</t>
        </is>
      </c>
      <c r="C236" t="inlineStr">
        <is>
          <t>GICS_INDUSTRY_GROUP_NAME</t>
        </is>
      </c>
      <c r="D236" t="inlineStr">
        <is>
          <t>Semiconductors &amp; Semiconductor Equipment</t>
        </is>
      </c>
      <c r="E236" t="inlineStr">
        <is>
          <t>N/A</t>
        </is>
      </c>
      <c r="F236" t="b">
        <v>1</v>
      </c>
      <c r="G236" t="b">
        <v>1</v>
      </c>
      <c r="H236" t="inlineStr">
        <is>
          <t>36.94%</t>
        </is>
      </c>
      <c r="I236" t="inlineStr">
        <is>
          <t>36.94%</t>
        </is>
      </c>
    </row>
    <row r="237">
      <c r="A237" s="2" t="n">
        <v>45954</v>
      </c>
      <c r="B237" t="inlineStr">
        <is>
          <t>TDVI</t>
        </is>
      </c>
      <c r="C237" t="inlineStr">
        <is>
          <t>GICS_INDUSTRY_NAME</t>
        </is>
      </c>
      <c r="D237" t="inlineStr">
        <is>
          <t>Semiconductors &amp; Semiconductor Equipment</t>
        </is>
      </c>
      <c r="E237" t="inlineStr">
        <is>
          <t>N/A</t>
        </is>
      </c>
      <c r="F237" t="b">
        <v>1</v>
      </c>
      <c r="G237" t="b">
        <v>1</v>
      </c>
      <c r="H237" t="inlineStr">
        <is>
          <t>36.94%</t>
        </is>
      </c>
      <c r="I237" t="inlineStr">
        <is>
          <t>36.94%</t>
        </is>
      </c>
    </row>
    <row r="238">
      <c r="A238" s="2" t="n">
        <v>45954</v>
      </c>
      <c r="B238" t="inlineStr">
        <is>
          <t>TDVI</t>
        </is>
      </c>
      <c r="C238" t="inlineStr">
        <is>
          <t>GICS_INDUSTRY_GROUP_NAME</t>
        </is>
      </c>
      <c r="D238" t="inlineStr">
        <is>
          <t>Software &amp; Services</t>
        </is>
      </c>
      <c r="E238" t="inlineStr">
        <is>
          <t>N/A</t>
        </is>
      </c>
      <c r="F238" t="b">
        <v>1</v>
      </c>
      <c r="G238" t="b">
        <v>1</v>
      </c>
      <c r="H238" t="inlineStr">
        <is>
          <t>31.95%</t>
        </is>
      </c>
      <c r="I238" t="inlineStr">
        <is>
          <t>31.95%</t>
        </is>
      </c>
    </row>
    <row r="239">
      <c r="A239" s="2" t="n">
        <v>45954</v>
      </c>
      <c r="B239" t="inlineStr">
        <is>
          <t>TDVI</t>
        </is>
      </c>
      <c r="C239" t="inlineStr">
        <is>
          <t>GICS_INDUSTRY_NAME</t>
        </is>
      </c>
      <c r="D239" t="inlineStr">
        <is>
          <t>Software</t>
        </is>
      </c>
      <c r="E239" t="inlineStr">
        <is>
          <t>N/A</t>
        </is>
      </c>
      <c r="F239" t="inlineStr"/>
      <c r="G239" t="inlineStr"/>
      <c r="H239" t="inlineStr">
        <is>
          <t>21.52%</t>
        </is>
      </c>
      <c r="I239" t="inlineStr">
        <is>
          <t>21.52%</t>
        </is>
      </c>
    </row>
    <row r="240">
      <c r="A240" s="2" t="n">
        <v>45954</v>
      </c>
      <c r="B240" t="inlineStr">
        <is>
          <t>TDVI</t>
        </is>
      </c>
      <c r="C240" t="inlineStr">
        <is>
          <t>GICS_INDUSTRY_GROUP_NAME</t>
        </is>
      </c>
      <c r="D240" t="inlineStr">
        <is>
          <t>Technology Hardware &amp; Equipment</t>
        </is>
      </c>
      <c r="E240" t="inlineStr">
        <is>
          <t>N/A</t>
        </is>
      </c>
      <c r="F240" t="inlineStr"/>
      <c r="G240" t="inlineStr"/>
      <c r="H240" t="inlineStr">
        <is>
          <t>15.80%</t>
        </is>
      </c>
      <c r="I240" t="inlineStr">
        <is>
          <t>15.80%</t>
        </is>
      </c>
    </row>
    <row r="241">
      <c r="A241" s="2" t="n">
        <v>45954</v>
      </c>
      <c r="B241" t="inlineStr">
        <is>
          <t>TDVI</t>
        </is>
      </c>
      <c r="C241" t="inlineStr">
        <is>
          <t>GICS_INDUSTRY_GROUP_NAME</t>
        </is>
      </c>
      <c r="D241" t="inlineStr">
        <is>
          <t>Telecommunication Services</t>
        </is>
      </c>
      <c r="E241" t="inlineStr">
        <is>
          <t>N/A</t>
        </is>
      </c>
      <c r="F241" t="inlineStr"/>
      <c r="G241" t="inlineStr"/>
      <c r="H241" t="inlineStr">
        <is>
          <t>10.92%</t>
        </is>
      </c>
      <c r="I241" t="inlineStr">
        <is>
          <t>10.92%</t>
        </is>
      </c>
    </row>
    <row r="242">
      <c r="A242" s="2" t="n">
        <v>45954</v>
      </c>
      <c r="B242" t="inlineStr">
        <is>
          <t>TDVI</t>
        </is>
      </c>
      <c r="C242" t="inlineStr">
        <is>
          <t>GICS_INDUSTRY_NAME</t>
        </is>
      </c>
      <c r="D242" t="inlineStr">
        <is>
          <t>IT Services</t>
        </is>
      </c>
      <c r="E242" t="inlineStr">
        <is>
          <t>N/A</t>
        </is>
      </c>
      <c r="F242" t="inlineStr"/>
      <c r="G242" t="inlineStr"/>
      <c r="H242" t="inlineStr">
        <is>
          <t>10.43%</t>
        </is>
      </c>
      <c r="I242" t="inlineStr">
        <is>
          <t>10.43%</t>
        </is>
      </c>
    </row>
    <row r="243">
      <c r="A243" s="2" t="n">
        <v>45954</v>
      </c>
      <c r="B243" t="inlineStr">
        <is>
          <t>TDVI</t>
        </is>
      </c>
      <c r="C243" t="inlineStr">
        <is>
          <t>GICS_INDUSTRY_NAME</t>
        </is>
      </c>
      <c r="D243" t="inlineStr">
        <is>
          <t>Diversified Telecommunication Services</t>
        </is>
      </c>
      <c r="E243" t="inlineStr">
        <is>
          <t>N/A</t>
        </is>
      </c>
      <c r="F243" t="inlineStr"/>
      <c r="G243" t="inlineStr"/>
      <c r="H243" t="inlineStr">
        <is>
          <t>6.15%</t>
        </is>
      </c>
      <c r="I243" t="inlineStr">
        <is>
          <t>6.15%</t>
        </is>
      </c>
    </row>
    <row r="244">
      <c r="A244" s="2" t="n">
        <v>45954</v>
      </c>
      <c r="B244" t="inlineStr">
        <is>
          <t>TDVI</t>
        </is>
      </c>
      <c r="C244" t="inlineStr">
        <is>
          <t>GICS_INDUSTRY_NAME</t>
        </is>
      </c>
      <c r="D244" t="inlineStr">
        <is>
          <t>Technology Hardware, Storage &amp; Peripherals</t>
        </is>
      </c>
      <c r="E244" t="inlineStr">
        <is>
          <t>N/A</t>
        </is>
      </c>
      <c r="F244" t="inlineStr"/>
      <c r="G244" t="inlineStr"/>
      <c r="H244" t="inlineStr">
        <is>
          <t>5.52%</t>
        </is>
      </c>
      <c r="I244" t="inlineStr">
        <is>
          <t>5.52%</t>
        </is>
      </c>
    </row>
    <row r="245">
      <c r="A245" s="2" t="n">
        <v>45954</v>
      </c>
      <c r="B245" t="inlineStr">
        <is>
          <t>TDVI</t>
        </is>
      </c>
      <c r="C245" t="inlineStr">
        <is>
          <t>GICS_INDUSTRY_NAME</t>
        </is>
      </c>
      <c r="D245" t="inlineStr">
        <is>
          <t>Electronic Equipment, Instruments &amp; Components</t>
        </is>
      </c>
      <c r="E245" t="inlineStr">
        <is>
          <t>N/A</t>
        </is>
      </c>
      <c r="F245" t="inlineStr"/>
      <c r="G245" t="inlineStr"/>
      <c r="H245" t="inlineStr">
        <is>
          <t>5.17%</t>
        </is>
      </c>
      <c r="I245" t="inlineStr">
        <is>
          <t>5.17%</t>
        </is>
      </c>
    </row>
    <row r="246">
      <c r="A246" s="2" t="n">
        <v>45954</v>
      </c>
      <c r="B246" t="inlineStr">
        <is>
          <t>TDVI</t>
        </is>
      </c>
      <c r="C246" t="inlineStr">
        <is>
          <t>GICS_INDUSTRY_NAME</t>
        </is>
      </c>
      <c r="D246" t="inlineStr">
        <is>
          <t>Communications Equipment</t>
        </is>
      </c>
      <c r="E246" t="inlineStr">
        <is>
          <t>N/A</t>
        </is>
      </c>
      <c r="F246" t="inlineStr"/>
      <c r="G246" t="inlineStr"/>
      <c r="H246" t="inlineStr">
        <is>
          <t>5.12%</t>
        </is>
      </c>
      <c r="I246" t="inlineStr">
        <is>
          <t>5.12%</t>
        </is>
      </c>
    </row>
    <row r="247">
      <c r="A247" s="2" t="n">
        <v>45954</v>
      </c>
      <c r="B247" t="inlineStr">
        <is>
          <t>TDVI</t>
        </is>
      </c>
      <c r="C247" t="inlineStr">
        <is>
          <t>GICS_INDUSTRY_NAME</t>
        </is>
      </c>
      <c r="D247" t="inlineStr">
        <is>
          <t>Wireless Telecommunication Services</t>
        </is>
      </c>
      <c r="E247" t="inlineStr">
        <is>
          <t>N/A</t>
        </is>
      </c>
      <c r="F247" t="inlineStr"/>
      <c r="G247" t="inlineStr"/>
      <c r="H247" t="inlineStr">
        <is>
          <t>4.77%</t>
        </is>
      </c>
      <c r="I247" t="inlineStr">
        <is>
          <t>4.77%</t>
        </is>
      </c>
    </row>
    <row r="248">
      <c r="A248" s="2" t="n">
        <v>45954</v>
      </c>
      <c r="B248" t="inlineStr">
        <is>
          <t>TDVI</t>
        </is>
      </c>
      <c r="C248" t="inlineStr">
        <is>
          <t>GICS_INDUSTRY_GROUP_NAME</t>
        </is>
      </c>
      <c r="D248" t="inlineStr">
        <is>
          <t>Commercial &amp; Professional Services</t>
        </is>
      </c>
      <c r="E248" t="inlineStr">
        <is>
          <t>N/A</t>
        </is>
      </c>
      <c r="F248" t="inlineStr"/>
      <c r="G248" t="inlineStr"/>
      <c r="H248" t="inlineStr">
        <is>
          <t>2.38%</t>
        </is>
      </c>
      <c r="I248" t="inlineStr">
        <is>
          <t>2.38%</t>
        </is>
      </c>
    </row>
    <row r="249">
      <c r="A249" s="2" t="n">
        <v>45954</v>
      </c>
      <c r="B249" t="inlineStr">
        <is>
          <t>TDVI</t>
        </is>
      </c>
      <c r="C249" t="inlineStr">
        <is>
          <t>GICS_INDUSTRY_NAME</t>
        </is>
      </c>
      <c r="D249" t="inlineStr">
        <is>
          <t>Professional Services</t>
        </is>
      </c>
      <c r="E249" t="inlineStr">
        <is>
          <t>N/A</t>
        </is>
      </c>
      <c r="F249" t="inlineStr"/>
      <c r="G249" t="inlineStr"/>
      <c r="H249" t="inlineStr">
        <is>
          <t>2.38%</t>
        </is>
      </c>
      <c r="I249" t="inlineStr">
        <is>
          <t>2.38%</t>
        </is>
      </c>
    </row>
    <row r="250">
      <c r="A250" s="2" t="n">
        <v>45954</v>
      </c>
      <c r="B250" t="inlineStr">
        <is>
          <t>TDVI</t>
        </is>
      </c>
      <c r="C250" t="inlineStr">
        <is>
          <t>GICS_INDUSTRY_GROUP_NAME</t>
        </is>
      </c>
      <c r="D250" t="inlineStr">
        <is>
          <t>Media &amp; Entertainment</t>
        </is>
      </c>
      <c r="E250" t="inlineStr">
        <is>
          <t>N/A</t>
        </is>
      </c>
      <c r="F250" t="inlineStr"/>
      <c r="G250" t="inlineStr"/>
      <c r="H250" t="inlineStr">
        <is>
          <t>2.01%</t>
        </is>
      </c>
      <c r="I250" t="inlineStr">
        <is>
          <t>2.01%</t>
        </is>
      </c>
    </row>
    <row r="251">
      <c r="A251" s="2" t="n">
        <v>45954</v>
      </c>
      <c r="B251" t="inlineStr">
        <is>
          <t>TDVI</t>
        </is>
      </c>
      <c r="C251" t="inlineStr">
        <is>
          <t>GICS_INDUSTRY_NAME</t>
        </is>
      </c>
      <c r="D251" t="inlineStr">
        <is>
          <t>Media</t>
        </is>
      </c>
      <c r="E251" t="inlineStr">
        <is>
          <t>N/A</t>
        </is>
      </c>
      <c r="F251" t="inlineStr"/>
      <c r="G251" t="inlineStr"/>
      <c r="H251" t="inlineStr">
        <is>
          <t>1.59%</t>
        </is>
      </c>
      <c r="I251" t="inlineStr">
        <is>
          <t>1.59%</t>
        </is>
      </c>
    </row>
    <row r="252">
      <c r="A252" s="2" t="n">
        <v>45954</v>
      </c>
      <c r="B252" t="inlineStr">
        <is>
          <t>TDVI</t>
        </is>
      </c>
      <c r="C252" t="inlineStr">
        <is>
          <t>GICS_INDUSTRY_NAME</t>
        </is>
      </c>
      <c r="D252" t="inlineStr">
        <is>
          <t>Interactive Media &amp; Services</t>
        </is>
      </c>
      <c r="E252" t="inlineStr">
        <is>
          <t>N/A</t>
        </is>
      </c>
      <c r="F252" t="inlineStr"/>
      <c r="G252" t="inlineStr"/>
      <c r="H252" t="inlineStr">
        <is>
          <t>0.42%</t>
        </is>
      </c>
      <c r="I252" t="inlineStr">
        <is>
          <t>0.42%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cols>
    <col width="50" customWidth="1" min="1" max="1"/>
    <col width="6" customWidth="1" min="2" max="2"/>
    <col width="31" customWidth="1" min="3" max="3"/>
    <col width="27" customWidth="1" min="4" max="4"/>
    <col width="41" customWidth="1" min="5" max="5"/>
    <col width="27" customWidth="1" min="6" max="6"/>
    <col width="20" customWidth="1" min="7" max="7"/>
    <col width="18" customWidth="1" min="8" max="8"/>
    <col width="20" customWidth="1" min="9" max="9"/>
    <col width="20" customWidth="1" min="10" max="10"/>
    <col width="20"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45954</v>
      </c>
      <c r="B2" t="inlineStr">
        <is>
          <t>FDND</t>
        </is>
      </c>
      <c r="C2" s="3">
        <f>IF(K2/J2&gt;=0.8,"PASS","FAIL")</f>
        <v/>
      </c>
      <c r="D2" s="3" t="n">
        <v>9567520.690000001</v>
      </c>
      <c r="E2" s="3" t="n">
        <v>0</v>
      </c>
      <c r="F2" s="3" t="n">
        <v>-27500</v>
      </c>
      <c r="G2" s="3" t="n">
        <v>33679742.59</v>
      </c>
      <c r="H2" s="3" t="n">
        <v>74914.39</v>
      </c>
      <c r="I2" s="3" t="n">
        <v>33754656.98</v>
      </c>
      <c r="J2" s="3" t="n">
        <v>43322177.67</v>
      </c>
      <c r="K2" s="3" t="n">
        <v>43247263.28</v>
      </c>
      <c r="L2" s="4">
        <f>K2/J2</f>
        <v/>
      </c>
      <c r="M2" s="3" t="n">
        <v>43294677.67</v>
      </c>
      <c r="N2" s="3" t="n">
        <v>43247263.28</v>
      </c>
      <c r="O2" s="4">
        <f>N2/M2</f>
        <v/>
      </c>
      <c r="P2" t="inlineStr">
        <is>
          <t>No</t>
        </is>
      </c>
    </row>
    <row r="3">
      <c r="A3" s="2" t="n">
        <v>45954</v>
      </c>
      <c r="B3" t="inlineStr">
        <is>
          <t>DOGG</t>
        </is>
      </c>
      <c r="C3" s="3">
        <f>IF(K3/J3&gt;=0.8,"PASS","FAIL")</f>
        <v/>
      </c>
      <c r="D3" s="3" t="n">
        <v>18478379.613</v>
      </c>
      <c r="E3" s="3" t="n">
        <v>20490428.11675934</v>
      </c>
      <c r="F3" s="3" t="n">
        <v>-9924691.03159374</v>
      </c>
      <c r="G3" s="3" t="n">
        <v>33679742.59</v>
      </c>
      <c r="H3" s="3" t="n">
        <v>365704.42</v>
      </c>
      <c r="I3" s="3" t="n">
        <v>13555018.89324067</v>
      </c>
      <c r="J3" s="3" t="n">
        <v>73014254.73975934</v>
      </c>
      <c r="K3" s="3" t="n">
        <v>72648550.31975934</v>
      </c>
      <c r="L3" s="4">
        <f>K3/J3</f>
        <v/>
      </c>
      <c r="M3" s="3" t="n">
        <v>42599135.59140626</v>
      </c>
      <c r="N3" s="3" t="n">
        <v>42233431.17140627</v>
      </c>
      <c r="O3" s="4">
        <f>N3/M3</f>
        <v/>
      </c>
      <c r="P3" t="inlineStr">
        <is>
          <t>Yes</t>
        </is>
      </c>
    </row>
    <row r="4">
      <c r="A4" s="2" t="n">
        <v>45954</v>
      </c>
      <c r="B4" t="inlineStr">
        <is>
          <t>FGSI</t>
        </is>
      </c>
      <c r="C4" s="3">
        <f>IF(K4/J4&gt;=0.8,"PASS","FAIL")</f>
        <v/>
      </c>
      <c r="D4" s="3" t="n">
        <v>2094185.78</v>
      </c>
      <c r="E4" s="3" t="n">
        <v>0</v>
      </c>
      <c r="F4" s="3" t="n">
        <v>-6465</v>
      </c>
      <c r="G4" s="3" t="n">
        <v>33679742.59</v>
      </c>
      <c r="H4" s="3" t="n">
        <v>38573.34</v>
      </c>
      <c r="I4" s="3" t="n">
        <v>33718315.93000001</v>
      </c>
      <c r="J4" s="3" t="n">
        <v>35812501.71</v>
      </c>
      <c r="K4" s="3" t="n">
        <v>35773928.37</v>
      </c>
      <c r="L4" s="4">
        <f>K4/J4</f>
        <v/>
      </c>
      <c r="M4" s="3" t="n">
        <v>35806036.71</v>
      </c>
      <c r="N4" s="3" t="n">
        <v>35767463.37</v>
      </c>
      <c r="O4" s="4">
        <f>N4/M4</f>
        <v/>
      </c>
      <c r="P4" t="inlineStr">
        <is>
          <t>Yes</t>
        </is>
      </c>
    </row>
    <row r="5">
      <c r="A5" s="2" t="n">
        <v>45954</v>
      </c>
      <c r="B5" t="inlineStr">
        <is>
          <t>TDVI</t>
        </is>
      </c>
      <c r="C5" s="3">
        <f>IF(K5/J5&gt;=0.8,"PASS","FAIL")</f>
        <v/>
      </c>
      <c r="D5" s="3" t="n">
        <v>183152532.46</v>
      </c>
      <c r="E5" s="3" t="n">
        <v>0</v>
      </c>
      <c r="F5" s="3" t="n">
        <v>-447488</v>
      </c>
      <c r="G5" s="3" t="n">
        <v>33679742.59</v>
      </c>
      <c r="H5" s="3" t="n">
        <v>1457436.45</v>
      </c>
      <c r="I5" s="3" t="n">
        <v>35137179.04000001</v>
      </c>
      <c r="J5" s="3" t="n">
        <v>218289711.5</v>
      </c>
      <c r="K5" s="3" t="n">
        <v>216832275.05</v>
      </c>
      <c r="L5" s="4">
        <f>K5/J5</f>
        <v/>
      </c>
      <c r="M5" s="3" t="n">
        <v>217842223.5</v>
      </c>
      <c r="N5" s="3" t="n">
        <v>216832275.05</v>
      </c>
      <c r="O5" s="4">
        <f>N5/M5</f>
        <v/>
      </c>
      <c r="P5" t="inlineStr">
        <is>
          <t>No</t>
        </is>
      </c>
    </row>
    <row r="6">
      <c r="A6" s="2" t="n">
        <v>45954</v>
      </c>
      <c r="B6" t="inlineStr">
        <is>
          <t>KNG</t>
        </is>
      </c>
      <c r="C6" s="3">
        <f>IF(K6/J6&gt;=0.8,"PASS","FAIL")</f>
        <v/>
      </c>
      <c r="D6" s="3" t="n">
        <v>3603040150.329999</v>
      </c>
      <c r="E6" s="3" t="n">
        <v>322513991.9395632</v>
      </c>
      <c r="F6" s="3" t="n">
        <v>-23375390</v>
      </c>
      <c r="G6" s="3" t="n">
        <v>33679742.59</v>
      </c>
      <c r="H6" s="3" t="n">
        <v>30770587.22</v>
      </c>
      <c r="I6" s="3" t="n">
        <v>0</v>
      </c>
      <c r="J6" s="3" t="n">
        <v>3990004472.079563</v>
      </c>
      <c r="K6" s="3" t="n">
        <v>3959233884.859563</v>
      </c>
      <c r="L6" s="4">
        <f>K6/J6</f>
        <v/>
      </c>
      <c r="M6" s="3" t="n">
        <v>3644115090.139999</v>
      </c>
      <c r="N6" s="3" t="n">
        <v>3613344502.92</v>
      </c>
      <c r="O6" s="4">
        <f>N6/M6</f>
        <v/>
      </c>
      <c r="P6" t="inlineStr">
        <is>
          <t>Yes</t>
        </is>
      </c>
    </row>
    <row r="7">
      <c r="A7" s="2" t="n">
        <v>45954</v>
      </c>
      <c r="B7" t="inlineStr">
        <is>
          <t>RDVI</t>
        </is>
      </c>
      <c r="C7" s="3">
        <f>IF(K7/J7&gt;=0.8,"PASS","FAIL")</f>
        <v/>
      </c>
      <c r="D7" s="3" t="n">
        <v>2432227933.05</v>
      </c>
      <c r="E7" s="3" t="n">
        <v>0</v>
      </c>
      <c r="F7" s="3" t="n">
        <v>-7005376</v>
      </c>
      <c r="G7" s="3" t="n">
        <v>33679742.59</v>
      </c>
      <c r="H7" s="3" t="n">
        <v>19009469.2</v>
      </c>
      <c r="I7" s="3" t="n">
        <v>52689211.79000001</v>
      </c>
      <c r="J7" s="3" t="n">
        <v>2484917144.84</v>
      </c>
      <c r="K7" s="3" t="n">
        <v>2465907675.64</v>
      </c>
      <c r="L7" s="4">
        <f>K7/J7</f>
        <v/>
      </c>
      <c r="M7" s="3" t="n">
        <v>2477911768.84</v>
      </c>
      <c r="N7" s="3" t="n">
        <v>2465907675.64</v>
      </c>
      <c r="O7" s="4">
        <f>N7/M7</f>
        <v/>
      </c>
      <c r="P7" t="inlineStr">
        <is>
          <t>No</t>
        </is>
      </c>
    </row>
    <row r="8">
      <c r="A8" s="2" t="n">
        <v>45954</v>
      </c>
      <c r="B8" t="inlineStr">
        <is>
          <t>SDVD</t>
        </is>
      </c>
      <c r="C8" s="3">
        <f>IF(K8/J8&gt;=0.8,"PASS","FAIL")</f>
        <v/>
      </c>
      <c r="D8" s="3" t="n">
        <v>659123330.0549999</v>
      </c>
      <c r="E8" s="3" t="n">
        <v>0</v>
      </c>
      <c r="F8" s="3" t="n">
        <v>-1573880</v>
      </c>
      <c r="G8" s="3" t="n">
        <v>33679742.59</v>
      </c>
      <c r="H8" s="3" t="n">
        <v>5318136.21</v>
      </c>
      <c r="I8" s="3" t="n">
        <v>38997878.8</v>
      </c>
      <c r="J8" s="3" t="n">
        <v>698121208.855</v>
      </c>
      <c r="K8" s="3" t="n">
        <v>692803072.645</v>
      </c>
      <c r="L8" s="4">
        <f>K8/J8</f>
        <v/>
      </c>
      <c r="M8" s="3" t="n">
        <v>696547328.855</v>
      </c>
      <c r="N8" s="3" t="n">
        <v>692803072.645</v>
      </c>
      <c r="O8" s="4">
        <f>N8/M8</f>
        <v/>
      </c>
      <c r="P8" t="inlineStr">
        <is>
          <t>No</t>
        </is>
      </c>
    </row>
    <row r="9">
      <c r="A9" t="inlineStr">
        <is>
          <t>* Note: Some funds' 80% policies include the options positions while others only include equity exposure.</t>
        </is>
      </c>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is>
          <t>* CCET = Cash, Cash Equivalents, and T-bills (less than 1-year maturity).</t>
        </is>
      </c>
      <c r="B10" t="inlineStr"/>
      <c r="C10" t="inlineStr"/>
      <c r="D10" t="inlineStr"/>
      <c r="E10" t="inlineStr"/>
      <c r="F10" t="inlineStr"/>
      <c r="G10" t="inlineStr"/>
      <c r="H10" t="inlineStr"/>
      <c r="I10" t="inlineStr"/>
      <c r="J10" t="inlineStr"/>
      <c r="K10" t="inlineStr"/>
      <c r="L10" t="inlineStr"/>
      <c r="M10" t="inlineStr"/>
      <c r="N10" t="inlineStr"/>
      <c r="O10" t="inlineStr"/>
      <c r="P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cols>
    <col width="50" customWidth="1" min="1" max="1"/>
    <col width="6" customWidth="1" min="2" max="2"/>
    <col width="19" customWidth="1" min="3" max="3"/>
    <col width="19" customWidth="1" min="4" max="4"/>
    <col width="26" customWidth="1" min="5" max="5"/>
    <col width="32" customWidth="1" min="6" max="6"/>
    <col width="30" customWidth="1" min="7" max="7"/>
    <col width="41" customWidth="1" min="8" max="8"/>
    <col width="48" customWidth="1" min="9" max="9"/>
    <col width="15" customWidth="1" min="10" max="10"/>
    <col width="30" customWidth="1" min="11" max="11"/>
    <col width="15" customWidth="1" min="12" max="12"/>
    <col width="10" customWidth="1" min="13" max="13"/>
    <col width="42" customWidth="1" min="14" max="14"/>
    <col width="50" customWidth="1" min="15" max="15"/>
    <col width="50" customWidth="1" min="16" max="16"/>
    <col width="42" customWidth="1" min="17" max="17"/>
    <col width="43" customWidth="1" min="18" max="18"/>
    <col width="50" customWidth="1" min="19" max="19"/>
    <col width="40" customWidth="1" min="20" max="20"/>
    <col width="18" customWidth="1" min="21" max="21"/>
    <col width="22"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IIV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IIV Shares, Vest Weight, Vest Ownership of Float)</t>
        </is>
      </c>
      <c r="T1" s="1" t="inlineStr">
        <is>
          <t>Max Ownership % of Float in 75% bucket</t>
        </is>
      </c>
      <c r="U1" s="1" t="inlineStr">
        <is>
          <t>OCC Market Value</t>
        </is>
      </c>
      <c r="V1" s="1" t="inlineStr">
        <is>
          <t>OCC Weight</t>
        </is>
      </c>
      <c r="W1" s="1" t="inlineStr">
        <is>
          <t>Notes</t>
        </is>
      </c>
    </row>
    <row r="2">
      <c r="A2" s="2" t="n">
        <v>45954</v>
      </c>
      <c r="B2" t="inlineStr">
        <is>
          <t>FDND</t>
        </is>
      </c>
      <c r="C2" t="inlineStr">
        <is>
          <t>non-diversified</t>
        </is>
      </c>
      <c r="D2" t="inlineStr">
        <is>
          <t>non-diversified</t>
        </is>
      </c>
      <c r="E2" s="3">
        <f>IF(C2=D2,"PASS","FAIL")</f>
        <v/>
      </c>
      <c r="F2" s="3">
        <f>IF(L2/J2&gt;=0.75,"PASS","FAIL")</f>
        <v/>
      </c>
      <c r="G2" s="3">
        <f>IF(O2="None","PASS","FAIL")</f>
        <v/>
      </c>
      <c r="H2" s="3">
        <f>IF(T2="","",IF(T2&lt;=0.1,"PASS","FAIL"))</f>
        <v/>
      </c>
      <c r="I2" s="3">
        <f>IF(U2=0,"PASS",IF(U2&lt;=0.05*L2,"PASS","FAIL"))</f>
        <v/>
      </c>
      <c r="J2" s="3" t="n">
        <v>9655845.609999999</v>
      </c>
      <c r="K2" s="5" t="n">
        <v>0</v>
      </c>
      <c r="L2" s="3" t="n">
        <v>9560602.41</v>
      </c>
      <c r="M2" s="3" t="n">
        <v>195.48</v>
      </c>
      <c r="N2" s="3" t="n">
        <v>2275395.77</v>
      </c>
      <c r="O2" t="inlineStr">
        <is>
          <t>(AMZN, 4,168, 934,507.28), (NFLX, 765, 837,437.85), (CSCO, 7,128, 503,450.64)</t>
        </is>
      </c>
      <c r="P2" t="inlineStr">
        <is>
          <t>GOOGLE, META</t>
        </is>
      </c>
      <c r="Q2" s="5" t="n">
        <v>0.2077775536322088</v>
      </c>
      <c r="R2" s="5" t="n">
        <v>0.7922224463677912</v>
      </c>
      <c r="S2" t="inlineStr">
        <is>
          <t>(AMZN, 4,162, 9.68%, 0.0000389%), (NFLX, 764, 8.67%, 0.0001803%), (CSCO, 7,117, 5.21%, 0.0001800%), (CRM, 1,778, 4.70%, 0.0001868%), (ANET, 2,862, 4.57%, 0.0002273%), (BKNG, 79, 4.21%, 0.0002451%), (DASH, 1,368, 3.66%, 0.0003400%), (SNOW, 1,233, 3.30%, 0.0003639%), (RBLX, 2,384, 3.16%, 0.0003641%), (NET, 1,156, 2.61%, 0.0003667%), (PYPL, 3,531, 2.55%, 0.0003774%), (ABNB, 1,586, 2.10%, 0.0003696%), (WDAY, 798, 2.01%, 0.0003677%), (DDOG, 1,195, 1.94%, 0.0003697%), (CVNA, 510, 1.86%, 0.0003606%), (EBAY, 1,689, 1.70%, 0.0003737%), (VEEV, 556, 1.69%, 0.0003392%), (FLUT, 650, 1.64%, 0.0003715%), (CPRT, 3,288, 1.52%, 0.0003397%), (CRWV, 808, 1.11%, 0.0002181%), (TEAM, 611, 1.03%, 0.0003636%), (CIEN, 522, 0.97%, 0.0003701%), (HUBS, 195, 0.95%, 0.0003722%), (ZM, 962, 0.84%, 0.0003610%), (VRSN, 311, 0.80%, 0.0003355%), (NTNX, 991, 0.72%, 0.0003687%), (GDDY, 512, 0.69%, 0.0003789%), (FFIV, 212, 0.66%, 0.0003649%), (DKNG, 1,835, 0.63%, 0.0003696%), (OKTA, 618, 0.57%, 0.0003669%), (DOCU, 747, 0.55%, 0.0003714%), (DUOL, 147, 0.47%, 0.0003674%), (AKAM, 530, 0.41%, 0.0003696%), (PAYC, 185, 0.38%, 0.0003345%), (MARA, 1,369, 0.28%, 0.0003620%), (CFLT, 1,079, 0.26%, 0.0003612%), (DBX, 684, 0.21%, 0.0003536%), (BOX, 535, 0.18%, 0.0003693%)</t>
        </is>
      </c>
      <c r="T2" s="5" t="n">
        <v>3.788618752478881e-06</v>
      </c>
      <c r="U2" s="3" t="n">
        <v>0</v>
      </c>
      <c r="V2" s="5" t="n">
        <v>0</v>
      </c>
      <c r="W2" t="inlineStr"/>
    </row>
    <row r="3">
      <c r="A3" s="2" t="n">
        <v>45954</v>
      </c>
      <c r="B3" t="inlineStr">
        <is>
          <t>DOGG</t>
        </is>
      </c>
      <c r="C3" t="inlineStr">
        <is>
          <t>non-diversified</t>
        </is>
      </c>
      <c r="D3" t="inlineStr">
        <is>
          <t>diversified</t>
        </is>
      </c>
      <c r="E3" s="3">
        <f>IF(C3=D3,"PASS","FAIL")</f>
        <v/>
      </c>
      <c r="F3" s="3">
        <f>IF(L3/J3&gt;=0.75,"PASS","FAIL")</f>
        <v/>
      </c>
      <c r="G3" s="3">
        <f>IF(O3="None","PASS","FAIL")</f>
        <v/>
      </c>
      <c r="H3" s="3">
        <f>IF(T3="","",IF(T3&lt;=0.1,"PASS","FAIL"))</f>
        <v/>
      </c>
      <c r="I3" s="3">
        <f>IF(U3=0,"PASS",IF(U3&lt;=0.05*L3,"PASS","FAIL"))</f>
        <v/>
      </c>
      <c r="J3" s="3" t="n">
        <v>52630568.25</v>
      </c>
      <c r="K3" s="5" t="n">
        <v>0</v>
      </c>
      <c r="L3" s="3" t="n">
        <v>42330135.8</v>
      </c>
      <c r="M3" s="3" t="n">
        <v>863.14</v>
      </c>
      <c r="N3" s="3" t="n">
        <v>0</v>
      </c>
      <c r="O3" t="inlineStr">
        <is>
          <t>None</t>
        </is>
      </c>
      <c r="P3" t="inlineStr">
        <is>
          <t>IBM, JNJ, JNJ, IBM, MRK, MRK</t>
        </is>
      </c>
      <c r="Q3" s="5" t="n">
        <v>0.28477988184412</v>
      </c>
      <c r="R3" s="5" t="n">
        <v>0.7152201181558799</v>
      </c>
      <c r="S3" t="inlineStr">
        <is>
          <t>(CSCO, 21,763, 3.58%, 0.0005505%), (CSCO, 21,763, 3.56%, 0.0005505%), (KO, 21,080, 3.45%, 0.0004900%), (CVX, 9,391, 3.44%, 0.0004664%), (CVX, 9,391, 3.43%, 0.0004664%), (MCD, 5,899, 3.43%, 0.0008283%), (KO, 21,080, 3.43%, 0.0004900%), (MCD, 5,899, 3.43%, 0.0008283%), (PG, 9,506, 3.41%, 0.0004068%), (PG, 9,506, 3.41%, 0.0004068%), (AMGN, 5,892, 3.26%, 0.0010942%), (AMGN, 5,892, 3.26%, 0.0010942%), (VZ, 41,885, 3.09%, 0.0009934%), (VZ, 41,885, 3.09%, 0.0009934%), (CSCO, 21,763, 2.27%, 0.0005505%), (KO, 21,080, 1.87%, 0.0004900%), (MCD, 5,899, 1.65%, 0.0008283%), (CVX, 9,391, 1.47%, 0.0004664%), (AMGN, 5,892, 1.30%, 0.0010942%), (VZ, 41,885, 0.98%, 0.0009934%), (PG, 9,506, 0.73%, 0.0004068%)</t>
        </is>
      </c>
      <c r="T3" s="5" t="n">
        <v>1.094189633908885e-05</v>
      </c>
      <c r="U3" s="3" t="n">
        <v>9924691.03159374</v>
      </c>
      <c r="V3" s="5" t="n">
        <v>0.1885727508099581</v>
      </c>
      <c r="W3" t="inlineStr"/>
    </row>
    <row r="4">
      <c r="A4" s="2" t="n">
        <v>45954</v>
      </c>
      <c r="B4" t="inlineStr">
        <is>
          <t>FGSI</t>
        </is>
      </c>
      <c r="C4" t="inlineStr">
        <is>
          <t>non-diversified</t>
        </is>
      </c>
      <c r="D4" t="inlineStr">
        <is>
          <t>diversified</t>
        </is>
      </c>
      <c r="E4" s="3">
        <f>IF(C4=D4,"PASS","FAIL")</f>
        <v/>
      </c>
      <c r="F4" s="3">
        <f>IF(L4/J4&gt;=0.75,"PASS","FAIL")</f>
        <v/>
      </c>
      <c r="G4" s="3">
        <f>IF(O4="None","PASS","FAIL")</f>
        <v/>
      </c>
      <c r="H4" s="3">
        <f>IF(T4="","",IF(T4&lt;=0.1,"PASS","FAIL"))</f>
        <v/>
      </c>
      <c r="I4" s="3">
        <f>IF(U4=0,"PASS",IF(U4&lt;=0.05*L4,"PASS","FAIL"))</f>
        <v/>
      </c>
      <c r="J4" s="3" t="n">
        <v>2113409.94</v>
      </c>
      <c r="K4" s="5" t="n">
        <v>0</v>
      </c>
      <c r="L4" s="3" t="n">
        <v>2091178.7</v>
      </c>
      <c r="M4" s="3" t="n">
        <v>48.78</v>
      </c>
      <c r="N4" s="3" t="n">
        <v>0</v>
      </c>
      <c r="O4" t="inlineStr">
        <is>
          <t>None</t>
        </is>
      </c>
      <c r="P4" t="inlineStr">
        <is>
          <t>SLB, ANET, MPWR, APH, DXCM, CDNS, PINS, MCO, BKR, DT, INCY, PANW</t>
        </is>
      </c>
      <c r="Q4" s="5" t="n">
        <v>0.2502357259090292</v>
      </c>
      <c r="R4" s="5" t="n">
        <v>0.7497642740909708</v>
      </c>
      <c r="S4" t="inlineStr">
        <is>
          <t>(TTD, 824, 2.03%, 0.0001849%), (IBKR, 622, 2.03%, 0.0001397%), (META, 57, 2.03%, 0.0000026%), (NOW, 46, 2.02%, 0.0000221%), (APP, 69, 2.02%, 0.0000224%), (APO, 339, 2.01%, 0.0000589%), (MA, 73, 2.01%, 0.0000082%), (INTU, 62, 2.00%, 0.0000222%), (FTNT, 493, 2.00%, 0.0000643%), (AMP, 88, 2.00%, 0.0000947%), (LLY, 51, 1.99%, 0.0000054%), (UBER, 446, 1.99%, 0.0000215%), (V, 120, 1.99%, 0.0000071%), (ABNB, 327, 1.99%, 0.0000762%), (NVDA, 225, 1.98%, 0.0000009%), (GDDY, 320, 1.98%, 0.0002368%), (AVGO, 118, 1.98%, 0.0000025%), (NOC, 69, 1.98%, 0.0000483%), (GRMN, 165, 1.97%, 0.0000858%), (CPRT, 928, 1.97%, 0.0000959%), (SCHW, 437, 1.96%, 0.0000241%), (ADP, 146, 1.95%, 0.0000361%), (CBOE, 172, 1.94%, 0.0001644%), (COST, 44, 1.94%, 0.0000099%), (CPAY, 144, 1.94%, 0.0002039%), (MNST, 586, 1.94%, 0.0000600%), (FFIV, 137, 1.93%, 0.0002358%), (MSI, 93, 1.93%, 0.0000558%), (CAT, 78, 1.93%, 0.0000167%), (TJX, 286, 1.93%, 0.0000257%), (MMC, 217, 1.92%, 0.0000443%), (WMT, 382, 1.92%, 0.0000048%), (CMG, 983, 1.92%, 0.0000743%), (RMD, 154, 1.89%, 0.0001055%), (PHM, 331, 1.89%, 0.0001698%), (UTHR, 95, 1.88%, 0.0002206%), (NEM, 453, 1.79%, 0.0000415%), (NFLX, 34, 1.76%, 0.0000080%)</t>
        </is>
      </c>
      <c r="T4" s="5" t="n">
        <v>2.367886720299301e-06</v>
      </c>
      <c r="U4" s="3" t="n">
        <v>0</v>
      </c>
      <c r="V4" s="5" t="n">
        <v>0</v>
      </c>
      <c r="W4" t="inlineStr"/>
    </row>
    <row r="5">
      <c r="A5" s="2" t="n">
        <v>45954</v>
      </c>
      <c r="B5" t="inlineStr">
        <is>
          <t>TDVI</t>
        </is>
      </c>
      <c r="C5" t="inlineStr">
        <is>
          <t>non-diversified</t>
        </is>
      </c>
      <c r="D5" t="inlineStr">
        <is>
          <t>non-diversified</t>
        </is>
      </c>
      <c r="E5" s="3">
        <f>IF(C5=D5,"PASS","FAIL")</f>
        <v/>
      </c>
      <c r="F5" s="3">
        <f>IF(L5/J5&gt;=0.75,"PASS","FAIL")</f>
        <v/>
      </c>
      <c r="G5" s="3">
        <f>IF(O5="None","PASS","FAIL")</f>
        <v/>
      </c>
      <c r="H5" s="3">
        <f>IF(T5="","",IF(T5&lt;=0.1,"PASS","FAIL"))</f>
        <v/>
      </c>
      <c r="I5" s="3">
        <f>IF(U5=0,"PASS",IF(U5&lt;=0.05*L5,"PASS","FAIL"))</f>
        <v/>
      </c>
      <c r="J5" s="3" t="n">
        <v>184735967.23</v>
      </c>
      <c r="K5" s="5" t="n">
        <v>0</v>
      </c>
      <c r="L5" s="3" t="n">
        <v>182997360.25</v>
      </c>
      <c r="M5" s="3" t="n">
        <v>3690.36</v>
      </c>
      <c r="N5" s="3" t="n">
        <v>40292933.28</v>
      </c>
      <c r="O5" t="inlineStr">
        <is>
          <t>(ORCL, 53,052, 15,031,223.16), (MSFT, 26,680, 13,969,914.80), (TXN, 66,764, 11,291,795.32)</t>
        </is>
      </c>
      <c r="P5" t="inlineStr">
        <is>
          <t>IBM, AVGO</t>
        </is>
      </c>
      <c r="Q5" s="5" t="n">
        <v>0.1812477872068103</v>
      </c>
      <c r="R5" s="5" t="n">
        <v>0.8187522127931898</v>
      </c>
      <c r="S5" t="inlineStr">
        <is>
          <t>(ORCL, 53,009, 8.14%, 0.0018594%), (MSFT, 26,658, 7.56%, 0.0003587%), (TXN, 66,710, 6.11%, 0.0073419%), (TSM, 29,253, 4.67%, 0.0005640%), (QCOM, 42,019, 3.85%, 0.0039233%), (AMAT, 20,259, 2.51%, 0.0025430%), (ADI, 18,416, 2.37%, 0.0037434%), (LRCX, 28,633, 2.35%, 0.0022796%), (CRM, 14,995, 2.07%, 0.0015751%), (RCI, 91,937, 1.96%, 9193700.0000000%), (CSCO, 48,876, 1.87%, 0.0012364%), (MSI, 7,147, 1.70%, 0.0042911%), (TU, 204,782, 1.67%, 20478200.0000000%), (GLW, 35,250, 1.67%, 0.0041115%), (KLAC, 2,516, 1.61%, 0.0019149%), (VZ, 76,348, 1.61%, 0.0018107%), (INTU, 4,285, 1.59%, 0.0015369%), (TMUS, 13,401, 1.58%, 0.0011981%), (CMCSA, 99,407, 1.58%, 0.0027351%), (T, 115,291, 1.57%, 0.0075100%), (HPQ, 92,255, 1.38%, 0.0098700%), (APH, 18,230, 1.32%, 0.0014893%), (NXPI, 10,723, 1.27%, 0.0042607%), (MCHP, 37,194, 1.27%, 0.0068919%), (TRI, 14,186, 1.25%, 0.0031893%), (TEL, 9,374, 1.20%, 0.0031724%), (TIGO, 46,253, 1.19%, 0.0276898%), (DELL, 13,288, 1.14%, 0.0039441%), (STX, 8,949, 1.13%, 0.0041904%), (HPE, 74,456, 0.95%, 0.0056430%), (CTSH, 20,310, 0.75%, 0.0042080%), (CCOI, 27,501, 0.64%, 0.0559861%), (UI, 1,471, 0.59%, 0.0024314%), (NTAP, 9,066, 0.57%, 0.0045417%), (SWKS, 13,658, 0.55%, 0.0092018%), (NOK, 150,505, 0.51%, 0.0026992%), (MPWR, 793, 0.46%, 0.0016553%), (OTEX, 19,886, 0.42%, 0.0078909%), (ROP, 1,624, 0.42%, 0.0015088%), (CDW, 4,888, 0.42%, 0.0037544%), (GEN, 25,112, 0.37%, 0.0040775%), (SSNC, 6,784, 0.31%, 0.0027800%), (LOGI, 4,805, 0.29%, 480500.0000000%), (DOX, 6,369, 0.29%, 0.0057904%), (ERIC, 55,750, 0.29%, 0.0017928%), (LDOS, 2,759, 0.28%, 0.0021579%), (IDCC, 1,067, 0.22%, 0.0041446%), (SAP, 1,484, 0.22%, 0.0001208%), (SNX, 2,359, 0.20%, 0.0028967%), (TLK, 15,201, 0.17%, 0.0015345%), (JOYY, 4,957, 0.16%, 0.0141477%), (MTCH, 9,046, 0.16%, 0.0038319%), (AMKR, 8,223, 0.15%, 0.0033265%), (AVT, 4,972, 0.14%, 0.0061134%), (IRDM, 12,775, 0.13%, 0.0121962%), (ITRN, 5,619, 0.12%, 0.0282453%), (OLED, 1,436, 0.11%, 0.0030210%), (VIV, 16,231, 0.11%, 0.0009954%), (SIMO, 2,070, 0.11%, 0.0060912%), (ENTG, 2,229, 0.11%, 0.0014703%), (TEF, 37,500, 0.11%, 0.0006614%), (CNXC, 3,916, 0.10%, 0.0062900%), (DLB, 2,712, 0.10%, 0.0044325%), (PAYC, 915, 0.10%, 0.0016546%), (WB, 16,046, 0.10%, 0.0102202%), (ASX, 13,905, 0.10%, 0.0006289%), (RELX, 3,773, 0.10%, 0.0002068%), (KBR, 3,962, 0.09%, 0.0031199%), (CHT, 3,753, 0.09%, 0.0004838%), (SAIC, 1,461, 0.07%, 0.0031746%), (VSH, 7,869, 0.07%, 0.0063721%), (UMC, 15,674, 0.06%, 0.0006241%), (KLIC, 2,791, 0.06%, 0.0053523%), (POWI, 2,542, 0.06%, 0.0045937%), (HIMX, 11,629, 0.06%, 0.0066484%), (INGM, 4,433, 0.05%, 0.0018858%), (YOU, 3,071, 0.05%, 0.0031519%), (CSGS, 1,369, 0.05%, 0.0048001%), (WIT, 32,383, 0.05%, 0.0003089%), (STM, 3,384, 0.05%, 0.0003792%), (KARO, 1,561, 0.04%, 0.0050529%), (OPRA, 4,415, 0.04%, 0.0049248%), (MGIC, 3,354, 0.04%, 0.0068311%), (BHE, 1,482, 0.03%, 0.0041537%), (ADEA, 3,582, 0.03%, 0.0032752%), (ATEN, 2,408, 0.02%, 0.0033572%), (CNXN, 487, 0.02%, 0.0019291%), (SHEN, 2,217, 0.02%, 0.0040384%), (HCKT, 1,497, 0.02%, 0.0055177%), (OSPN, 1,498, 0.01%, 0.0039393%), (CLMB, 63, 0.00%, 0.0013656%)</t>
        </is>
      </c>
      <c r="T5" s="5" t="n">
        <v>204782</v>
      </c>
      <c r="U5" s="3" t="n">
        <v>0</v>
      </c>
      <c r="V5" s="5" t="n">
        <v>0</v>
      </c>
      <c r="W5" t="inlineStr"/>
    </row>
    <row r="6">
      <c r="A6" s="2" t="n">
        <v>45954</v>
      </c>
      <c r="B6" t="inlineStr">
        <is>
          <t>KNG</t>
        </is>
      </c>
      <c r="C6" t="inlineStr">
        <is>
          <t>diversified</t>
        </is>
      </c>
      <c r="D6" t="inlineStr">
        <is>
          <t>diversified</t>
        </is>
      </c>
      <c r="E6" s="3">
        <f>IF(C6=D6,"PASS","FAIL")</f>
        <v/>
      </c>
      <c r="F6" s="3">
        <f>IF(L6/J6&gt;=0.75,"PASS","FAIL")</f>
        <v/>
      </c>
      <c r="G6" s="3">
        <f>IF(O6="None","PASS","FAIL")</f>
        <v/>
      </c>
      <c r="H6" s="3">
        <f>IF(T6="","",IF(T6&lt;=0.1,"PASS","FAIL"))</f>
        <v/>
      </c>
      <c r="I6" s="3">
        <f>IF(U6=0,"PASS",IF(U6&lt;=0.05*L6,"PASS","FAIL"))</f>
        <v/>
      </c>
      <c r="J6" s="3" t="n">
        <v>3637840214.75</v>
      </c>
      <c r="K6" s="5" t="n">
        <v>0</v>
      </c>
      <c r="L6" s="3" t="n">
        <v>3587890755.11</v>
      </c>
      <c r="M6" s="3" t="n">
        <v>73159.67999999999</v>
      </c>
      <c r="N6" s="3" t="n">
        <v>0</v>
      </c>
      <c r="O6" t="inlineStr">
        <is>
          <t>None</t>
        </is>
      </c>
      <c r="P6" t="inlineStr">
        <is>
          <t>ALB, CHRW, CAT, ABBV, NEE, IBM, ADM, JNJ, ATO, ES, GD, WMT, NDSN, LOW, FRT</t>
        </is>
      </c>
      <c r="Q6" s="5" t="n">
        <v>0.2512383392934058</v>
      </c>
      <c r="R6" s="5" t="n">
        <v>0.7487616607065942</v>
      </c>
      <c r="S6" t="inlineStr">
        <is>
          <t>(PNR, 512,490, 1.54%, 0.3131777%), (CINF, 356,460, 1.53%, 0.2284729%), (WST, 188,858, 1.52%, 0.2625091%), (PEP, 364,746, 1.52%, 0.0266756%), (AFL, 514,488, 1.52%, 0.0981634%), (CB, 195,089, 1.51%, 0.0495715%), (MCD, 178,990, 1.50%, 0.0251336%), (XOM, 475,761, 1.50%, 0.0112815%), (O, 908,469, 1.50%, 0.0987567%), (ECL, 195,343, 1.49%, 0.0689684%), (CAH, 333,016, 1.47%, 0.1401612%), (MDT, 570,945, 1.47%, 0.0445117%), (ABT, 419,525, 1.47%, 0.0241263%), (BDX, 287,040, 1.46%, 0.1001439%), (EXPD, 451,127, 1.46%, 0.3366094%), (KO, 762,799, 1.46%, 0.0177329%), (CVX, 338,249, 1.44%, 0.0167989%), (GPC, 395,688, 1.43%, 0.2844415%), (ED, 516,507, 1.42%, 0.1432149%), (SHW, 154,933, 1.42%, 0.0624998%), (NUE, 372,686, 1.41%, 0.1623654%), (SYY, 660,020, 1.41%, 0.1378312%), (TROW, 490,047, 1.39%, 0.2245481%), (PG, 331,900, 1.39%, 0.0142036%), (SWK, 725,127, 1.39%, 0.4681712%), (LIN, 111,791, 1.37%, 0.0239407%), (SJM, 485,173, 1.36%, 0.4547707%), (DOV, 282,425, 1.36%, 0.2059194%), (ITW, 201,312, 1.36%, 0.0693940%), (MKC, 737,709, 1.35%, 0.2913084%), (AOS, 712,866, 1.35%, 0.6287843%), (KMB, 412,597, 1.35%, 0.1243292%), (BEN, 2,132,257, 1.33%, 0.4106848%), (ESS, 183,393, 1.33%, 0.2847540%), (GWW, 50,096, 1.33%, 0.1053558%), (SPGI, 99,293, 1.33%, 0.0320300%), (ADP, 172,118, 1.33%, 0.0425562%), (EMR, 359,008, 1.30%, 0.0637896%), (PPG, 458,264, 1.30%, 0.2042175%), (BF/B, 1,692,117, 1.30%, 0.5573345%), (FAST, 1,099,717, 1.29%, 0.0957912%), (CHD, 541,835, 1.28%, 0.2256423%), (TGT, 498,102, 1.28%, 0.1096177%), (CL, 595,921, 1.28%, 0.0739297%), (CLX, 401,076, 1.28%, 0.3288036%), (ERIE, 143,649, 1.28%, 0.3110021%), (ROP, 94,066, 1.24%, 0.0873916%), (BRO, 512,835, 1.24%, 0.1502061%), (CTAS, 236,493, 1.24%, 0.0588486%), (APD, 177,339, 1.24%, 0.0796837%), (AMCR, 5,400,553, 1.20%, 0.2339563%), (HRL, 1,798,959, 1.18%, 0.3270844%), (FDS, 125,062, 0.98%, 0.3342122%), (KVUE, 2,342,642, 0.96%, 0.1222800%)</t>
        </is>
      </c>
      <c r="T6" s="5" t="n">
        <v>0.006287843305363489</v>
      </c>
      <c r="U6" s="3" t="n">
        <v>23375390</v>
      </c>
      <c r="V6" s="5" t="n">
        <v>0.006425623067561368</v>
      </c>
      <c r="W6" t="inlineStr"/>
    </row>
    <row r="7">
      <c r="A7" s="2" t="n">
        <v>45954</v>
      </c>
      <c r="B7" t="inlineStr">
        <is>
          <t>RDVI</t>
        </is>
      </c>
      <c r="C7" t="inlineStr">
        <is>
          <t>non-diversified</t>
        </is>
      </c>
      <c r="D7" t="inlineStr">
        <is>
          <t>diversified</t>
        </is>
      </c>
      <c r="E7" s="3">
        <f>IF(C7=D7,"PASS","FAIL")</f>
        <v/>
      </c>
      <c r="F7" s="3">
        <f>IF(L7/J7&gt;=0.75,"PASS","FAIL")</f>
        <v/>
      </c>
      <c r="G7" s="3">
        <f>IF(O7="None","PASS","FAIL")</f>
        <v/>
      </c>
      <c r="H7" s="3">
        <f>IF(T7="","",IF(T7&lt;=0.1,"PASS","FAIL"))</f>
        <v/>
      </c>
      <c r="I7" s="3">
        <f>IF(U7=0,"PASS",IF(U7&lt;=0.05*L7,"PASS","FAIL"))</f>
        <v/>
      </c>
      <c r="J7" s="3" t="n">
        <v>2453596296.39</v>
      </c>
      <c r="K7" s="5" t="n">
        <v>0</v>
      </c>
      <c r="L7" s="3" t="n">
        <v>2428585798.39</v>
      </c>
      <c r="M7" s="3" t="n">
        <v>49770.25</v>
      </c>
      <c r="N7" s="3" t="n">
        <v>0</v>
      </c>
      <c r="O7" t="inlineStr">
        <is>
          <t>None</t>
        </is>
      </c>
      <c r="P7" t="inlineStr">
        <is>
          <t>KLAC, GOOGLE, AMAT, EBAY, LRCX, NVDA, MLI, BK, MSFT, AXP</t>
        </is>
      </c>
      <c r="Q7" s="5" t="n">
        <v>0.2458505941506449</v>
      </c>
      <c r="R7" s="5" t="n">
        <v>0.7541494058493551</v>
      </c>
      <c r="S7" t="inlineStr">
        <is>
          <t>(MPWR, 48,492, 2.13%, 0.1012211%), (META, 69,120, 2.08%, 0.0031737%), (JPM, 167,637, 2.05%, 0.0061580%), (BKR, 1,059,628, 2.04%, 0.1073831%), (ROST, 310,040, 1.98%, 0.0953305%), (WSM, 252,842, 1.95%, 0.2076044%), (PHM, 390,905, 1.92%, 0.2005496%), (EWBC, 452,027, 1.89%, 0.3279793%), (EA, 229,265, 1.88%, 0.0919249%), (SNA, 133,385, 1.87%, 0.2564723%), (RJF, 282,184, 1.87%, 0.1415279%), (TRV, 168,486, 1.85%, 0.0755328%), (V, 129,994, 1.84%, 0.0076526%), (HIG, 358,706, 1.83%, 0.1287298%), (UNM, 584,947, 1.82%, 0.3495742%), (CB, 157,715, 1.81%, 0.0400749%), (BKNG, 8,470, 1.78%, 0.0262767%), (PCAR, 434,204, 1.77%, 0.0826733%), (GE, 140,161, 1.74%, 0.0132877%), (ADP, 144,449, 1.66%, 0.0357150%), (CRM, 158,688, 1.65%, 0.0166689%), (CTSH, 572,124, 1.58%, 0.1185389%), (AAPL, 145,326, 1.56%, 0.0009835%), (SYF, 507,635, 1.55%, 0.1409427%), (BLK, 33,322, 1.55%, 0.0214772%), (STT, 326,157, 1.54%, 0.1167714%), (QCOM, 215,634, 1.49%, 0.0201339%), (ACN, 143,020, 1.44%, 0.0229621%), (LEN, 258,145, 1.34%, 0.1153445%), (PNC, 176,621, 1.34%, 0.0450382%), (ABT, 250,131, 1.29%, 0.0143847%), (ELV, 83,621, 1.17%, 0.0376266%), (ACM, 193,536, 1.05%, 0.1461243%), (GEV, 42,207, 1.01%, 0.0155561%), (DHI, 154,320, 0.99%, 0.0524051%), (MA, 41,643, 0.97%, 0.0046724%), (COST, 23,200, 0.88%, 0.0052349%), (AFL, 200,596, 0.88%, 0.0382734%), (ALL, 109,999, 0.87%, 0.0420354%), (AMP, 43,263, 0.85%, 0.0465666%), (PAYC, 99,329, 0.81%, 0.1796184%), (PGR, 86,154, 0.77%, 0.0146921%), (ODFL, 128,947, 0.72%, 0.0616681%), (CSCO, 193,191, 0.56%, 0.0048870%), (JNJ, 68,900, 0.54%, 0.0028598%), (COKE, 102,460, 0.53%, 0.1358841%), (NTRS, 102,905, 0.53%, 0.0544133%), (BAC, 236,747, 0.51%, 0.0032420%), (FOXA, 201,215, 0.49%, 0.0965701%), (MCK, 14,863, 0.49%, 0.0120420%), (VLTO, 113,123, 0.48%, 0.0455595%), (MET, 147,646, 0.47%, 0.0223469%), (RMD, 43,760, 0.46%, 0.0299795%), (LNC, 281,409, 0.46%, 0.1481575%), (CINF, 71,569, 0.46%, 0.0458721%), (XOM, 96,972, 0.46%, 0.0022995%), (CF, 127,580, 0.45%, 0.0817954%), (WTFC, 82,884, 0.44%, 0.1237956%), (DOV, 60,163, 0.44%, 0.0438655%), (MTB, 57,244, 0.43%, 0.0372462%), (EG, 29,515, 0.42%, 0.0703105%), (EQH, 199,472, 0.40%, 0.0665936%), (EOG, 85,839, 0.37%, 0.0157216%), (CSL, 25,046, 0.35%, 0.0599391%)</t>
        </is>
      </c>
      <c r="T7" s="5" t="n">
        <v>0.003495741681323219</v>
      </c>
      <c r="U7" s="3" t="n">
        <v>0</v>
      </c>
      <c r="V7" s="5" t="n">
        <v>0</v>
      </c>
      <c r="W7" t="inlineStr"/>
    </row>
    <row r="8">
      <c r="A8" s="2" t="n">
        <v>45954</v>
      </c>
      <c r="B8" t="inlineStr">
        <is>
          <t>SDVD</t>
        </is>
      </c>
      <c r="C8" t="inlineStr">
        <is>
          <t>non-diversified</t>
        </is>
      </c>
      <c r="D8" t="inlineStr">
        <is>
          <t>diversified</t>
        </is>
      </c>
      <c r="E8" s="3">
        <f>IF(C8=D8,"PASS","FAIL")</f>
        <v/>
      </c>
      <c r="F8" s="3">
        <f>IF(L8/J8&gt;=0.75,"PASS","FAIL")</f>
        <v/>
      </c>
      <c r="G8" s="3">
        <f>IF(O8="None","PASS","FAIL")</f>
        <v/>
      </c>
      <c r="H8" s="3">
        <f>IF(T8="","",IF(T8&lt;=0.1,"PASS","FAIL"))</f>
        <v/>
      </c>
      <c r="I8" s="3">
        <f>IF(U8=0,"PASS",IF(U8&lt;=0.05*L8,"PASS","FAIL"))</f>
        <v/>
      </c>
      <c r="J8" s="3" t="n">
        <v>664763571.41</v>
      </c>
      <c r="K8" s="5" t="n">
        <v>0</v>
      </c>
      <c r="L8" s="3" t="n">
        <v>658283648.8</v>
      </c>
      <c r="M8" s="3" t="n">
        <v>15173.52</v>
      </c>
      <c r="N8" s="3" t="n">
        <v>0</v>
      </c>
      <c r="O8" t="inlineStr">
        <is>
          <t>None</t>
        </is>
      </c>
      <c r="P8" t="inlineStr">
        <is>
          <t>FIX, IDCC, EME, IBP, IBKR, WWD, ENS, RL, PSMT, PRDO, MLI, WTS, ACM, J, WFRD, WMS, YOU, ITT, NTRS, WRB, FOXA, CBOE, WSM, CADE</t>
        </is>
      </c>
      <c r="Q8" s="5" t="n">
        <v>0.2496466103017688</v>
      </c>
      <c r="R8" s="5" t="n">
        <v>0.7503533896982312</v>
      </c>
      <c r="S8" t="inlineStr">
        <is>
          <t>(NYT, 99,903, 0.86%, 0.0618333%), (MTG, 207,729, 0.86%, 0.0928435%), (AIT, 21,591, 0.85%, 0.0572434%), (EWBC, 54,722, 0.84%, 0.0397049%), (COKE, 43,800, 0.84%, 0.0580883%), (SNA, 16,163, 0.84%, 0.0310782%), (FELE, 55,732, 0.83%, 0.1252112%), (SSD, 31,353, 0.83%, 0.0753365%), (IBOC, 79,797, 0.82%, 0.1283655%), (AOS, 79,117, 0.82%, 0.0697852%), (NOV, 393,748, 0.82%, 0.1079492%), (WTFC, 42,145, 0.82%, 0.0629478%), (AIZ, 25,618, 0.82%, 0.0507697%), (FBP, 265,245, 0.81%, 0.1652930%), (UNM, 70,890, 0.81%, 0.0423651%), (OLED, 36,637, 0.81%, 0.0770751%), (OTTR, 67,936, 0.80%, 0.1621171%), (SEIC, 64,965, 0.80%, 0.0530589%), (ULS, 65,926, 0.79%, 0.1050549%), (ALG, 27,887, 0.79%, 0.2302635%), (LMAT, 58,461, 0.79%, 0.2582483%), (AGO, 63,113, 0.78%, 0.1325480%), (EFSC, 93,621, 0.78%, 0.2529551%), (HBAN, 322,115, 0.78%, 0.0205743%), (GGG, 62,819, 0.78%, 0.0378898%), (OZK, 112,345, 0.77%, 0.1004175%), (CFR, 41,053, 0.77%, 0.0642044%), (PRI, 19,360, 0.77%, 0.0606591%), (MZTI, 30,140, 0.76%, 0.1096558%), (RGA, 26,465, 0.75%, 0.0402731%), (OFG, 125,748, 0.75%, 0.2824580%), (BCO, 42,944, 0.75%, 0.1033662%), (SSB, 54,751, 0.75%, 0.0544703%), (CALM, 54,876, 0.74%, 0.1131473%), (POWL, 13,432, 0.74%, 0.1112975%), (INGR, 40,098, 0.71%, 0.0624765%), (ATMU, 102,130, 0.70%, 0.1243184%), (LECO, 19,330, 0.70%, 0.0351287%), (PAYC, 23,398, 0.70%, 0.0423110%), (G, 117,385, 0.70%, 0.0673581%), (DCI, 55,180, 0.69%, 0.0476382%), (KTB, 53,939, 0.69%, 0.0970237%), (SYF, 60,754, 0.68%, 0.0168681%), (TPR, 39,140, 0.68%, 0.0191254%), (ALSN, 53,963, 0.67%, 0.0648370%), (DKS, 19,719, 0.67%, 0.0298295%), (BRC, 55,571, 0.66%, 0.1275857%), (PRIM, 30,994, 0.66%, 0.0573619%), (CHE, 10,078, 0.66%, 0.0711512%), (WHD, 112,080, 0.66%, 0.1628120%), (OSW, 204,817, 0.65%, 0.2008947%), (LNC, 107,232, 0.64%, 0.0564560%), (TGLS, 70,231, 0.63%, 0.1494545%), (NIC, 33,825, 0.63%, 0.2285640%), (TOL, 30,376, 0.63%, 0.0315159%), (UMBF, 36,568, 0.63%, 0.0481445%), (GHC, 4,049, 0.62%, 0.1191436%), (THG, 23,549, 0.62%, 0.0661787%), (BHE, 96,654, 0.62%, 0.2708994%), (IPAR, 41,836, 0.61%, 0.1304736%), (MSA, 23,857, 0.60%, 0.0609342%), (RDN, 116,081, 0.60%, 0.0856857%), (FULT, 216,712, 0.59%, 0.1190043%), (CW, 6,799, 0.58%, 0.0184381%), (DDS, 6,371, 0.58%, 0.0547961%), (HOMB, 139,228, 0.57%, 0.0708387%), (FSS, 29,755, 0.56%, 0.0489322%), (AXS, 40,751, 0.56%, 0.0528975%), (DLB, 54,156, 0.55%, 0.0885131%), (ENSG, 19,249, 0.54%, 0.0332310%), (AYI, 9,672, 0.54%, 0.0315945%), (UNF, 21,301, 0.52%, 0.1462412%), (CBSH, 64,564, 0.52%, 0.0483847%), (CAH, 21,076, 0.51%, 0.0088706%), (IEX, 19,869, 0.50%, 0.0265453%), (ESI, 120,010, 0.47%, 0.0495909%), (ALLE, 18,543, 0.47%, 0.0215536%), (NTAP, 26,592, 0.47%, 0.0133214%), (PHM, 24,831, 0.45%, 0.0127393%), (LZB, 90,305, 0.44%, 0.2191484%), (HCC, 45,940, 0.44%, 0.0873880%), (RGLD, 16,094, 0.44%, 0.0190692%), (CSGS, 42,813, 0.43%, 0.1501148%), (CINF, 18,300, 0.43%, 0.0117294%), (ACT, 77,048, 0.43%, 0.0522339%), (ESNT, 45,876, 0.42%, 0.0465587%), (HRB, 52,864, 0.42%, 0.0413427%), (LEA, 26,957, 0.41%, 0.0519701%), (CF, 31,031, 0.40%, 0.0198949%), (RJF, 16,344, 0.40%, 0.0081972%), (EXPO, 38,240, 0.40%, 0.0757211%), (BCPC, 16,804, 0.40%, 0.0518862%), (WINA, 6,335, 0.39%, 0.1778430%), (HWC, 46,536, 0.39%, 0.0556563%), (WDFC, 12,337, 0.38%, 0.0911971%), (SFBS, 34,734, 0.37%, 0.0635900%), (SHOO, 68,912, 0.37%, 0.0948517%), (PKG, 11,491, 0.35%, 0.0127710%), (CSL, 6,740, 0.34%, 0.0161299%), (MTH, 31,927, 0.34%, 0.0453465%), (IDT, 44,792, 0.34%, 0.1906183%), (HL, 174,335, 0.34%, 0.0260163%), (MTX, 35,350, 0.32%, 0.1135403%), (CSW, 8,494, 0.31%, 0.0509028%), (PEGA, 27,367, 0.27%, 0.0161245%), (USLM, 12,965, 0.26%, 0.0452698%), (NSSC, 38,990, 0.26%, 0.1093249%), (NHC, 13,074, 0.24%, 0.0843434%), (CNR, 19,229, 0.24%, 0.0375277%), (LDOS, 8,350, 0.24%, 0.0065308%), (FTV, 30,999, 0.23%, 0.0097600%), (ORI, 37,118, 0.23%, 0.0150002%), (BOKF, 14,113, 0.23%, 0.0223139%), (INDB, 21,668, 0.23%, 0.0437055%), (SIGI, 18,964, 0.22%, 0.0313926%), (VLTO, 13,971, 0.22%, 0.0056267%), (TEX, 25,207, 0.21%, 0.0384253%), (JKHY, 9,087, 0.21%, 0.0125053%), (WING, 5,393, 0.21%, 0.0194085%), (CMC, 22,388, 0.21%, 0.0201752%), (TPB, 14,910, 0.20%, 0.0781825%), (ZION, 25,575, 0.20%, 0.0173224%), (PHIN, 24,627, 0.20%, 0.0640616%), (PNFP, 15,260, 0.20%, 0.0196712%), (FHI, 27,940, 0.20%, 0.0360340%), (VRSN, 5,427, 0.20%, 0.0058544%), (FRME, 35,732, 0.20%, 0.0617933%), (EBC, 74,094, 0.20%, 0.0310750%), (KBH, 20,755, 0.20%, 0.0320468%), (PRG, 42,100, 0.20%, 0.1064594%), (ESAB, 10,835, 0.20%, 0.0178469%), (TNC, 15,629, 0.19%, 0.0862244%), (WKC, 47,707, 0.19%, 0.0858676%), (EG, 3,564, 0.19%, 0.0084901%), (CNO, 30,369, 0.18%, 0.0317004%), (CTRA, 51,688, 0.18%, 0.0067887%), (FCF, 73,346, 0.18%, 0.0703267%), (TXRH, 6,877, 0.18%, 0.0103490%), (RNR, 4,827, 0.18%, 0.0104686%), (MGY, 49,788, 0.17%, 0.0271839%), (SLM, 41,167, 0.17%, 0.0202755%), (PFG, 14,219, 0.17%, 0.0064722%), (DOV, 6,370, 0.17%, 0.0046444%), (EQH, 23,011, 0.17%, 0.0076822%), (WAFD, 37,756, 0.17%, 0.0482897%), (NBHC, 28,930, 0.16%, 0.0764941%), (LII, 2,106, 0.16%, 0.0060047%), (OMC, 13,176, 0.16%, 0.0068275%), (ATKR, 14,644, 0.15%, 0.0435112%), (HUBG, 26,745, 0.14%, 0.0441492%), (TNET, 14,782, 0.14%, 0.0307764%), (KMPR, 19,319, 0.14%, 0.0329975%), (SPB, 16,349, 0.14%, 0.0675382%), (IOSP, 11,644, 0.13%, 0.0469941%), (TPL, 887, 0.12%, 0.0038600%), (SLVM, 14,965, 0.10%, 0.0370673%), (SM, 30,562, 0.10%, 0.0266791%)</t>
        </is>
      </c>
      <c r="T8" s="5" t="n">
        <v>0.002824580326951215</v>
      </c>
      <c r="U8" s="3" t="n">
        <v>0</v>
      </c>
      <c r="V8" s="5" t="n">
        <v>0</v>
      </c>
      <c r="W8" t="inlineStr"/>
    </row>
    <row r="9">
      <c r="A9" t="inlineStr">
        <is>
          <t>* To be classified as a diversified company under the 1940 Act, at least 75% of the value of the fund's total assets must be invested in:</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1) cash and cash items (including receivables),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2) government securities,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3) securities of other investment companies, and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 4) other securities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 xml:space="preserve">* </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 Compliance Conditions: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 Condition 40 Act 1: 75% of the fund must be invested in diversified assets.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 Condition 40 Act 2a: No single issuer in the 75% can exceed 5% of total assets.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 Condition 40 Act 2b: No single issuer in the 75% can exceed 10% of the issuer's voting securities.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50" customWidth="1" min="1" max="1"/>
    <col width="6" customWidth="1" min="2" max="2"/>
    <col width="17" customWidth="1" min="3" max="3"/>
    <col width="31" customWidth="1" min="4" max="4"/>
    <col width="28" customWidth="1" min="5" max="5"/>
    <col width="22" customWidth="1" min="6" max="6"/>
    <col width="19" customWidth="1" min="7" max="7"/>
    <col width="15" customWidth="1" min="8" max="8"/>
    <col width="25" customWidth="1" min="9" max="9"/>
    <col width="10" customWidth="1" min="10" max="10"/>
    <col width="23" customWidth="1" min="11" max="11"/>
    <col width="30" customWidth="1" min="12" max="12"/>
    <col width="24" customWidth="1" min="13" max="13"/>
    <col width="50" customWidth="1" min="14" max="14"/>
    <col width="16" customWidth="1" min="15" max="15"/>
    <col width="22"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45954</v>
      </c>
      <c r="B2" t="inlineStr">
        <is>
          <t>FDND</t>
        </is>
      </c>
      <c r="C2" t="inlineStr">
        <is>
          <t>PASS</t>
        </is>
      </c>
      <c r="D2" s="3">
        <f>IF(I2/H2&gt;=0.5,"PASS","FAIL")</f>
        <v/>
      </c>
      <c r="E2" s="3">
        <f>IF(L2&lt;=0.5,"PASS","FAIL")</f>
        <v/>
      </c>
      <c r="F2" t="inlineStr">
        <is>
          <t>PASS</t>
        </is>
      </c>
      <c r="G2" t="inlineStr">
        <is>
          <t>PASS</t>
        </is>
      </c>
      <c r="H2" s="3" t="n">
        <v>9655845.609999999</v>
      </c>
      <c r="I2" s="3" t="n">
        <v>9567520.689999999</v>
      </c>
      <c r="J2" s="3" t="n">
        <v>195.48</v>
      </c>
      <c r="K2" s="5" t="n">
        <v>482792.2805</v>
      </c>
      <c r="L2" s="5" t="n">
        <v>0.4457746664103773</v>
      </c>
      <c r="M2" s="3" t="n">
        <v>5</v>
      </c>
      <c r="N2" t="inlineStr">
        <is>
          <t>(GOOGLE, 10.92%), (META, 9.86%), (AMZN, 9.77%), (NFLX, 8.76%), (CSCO, 5.27%)</t>
        </is>
      </c>
      <c r="O2" s="5" t="n">
        <v>0</v>
      </c>
      <c r="P2" t="inlineStr">
        <is>
          <t>None</t>
        </is>
      </c>
      <c r="Q2" t="inlineStr">
        <is>
          <t>ANET (4.61%)</t>
        </is>
      </c>
      <c r="R2" t="inlineStr">
        <is>
          <t>BKNG (4.25%)</t>
        </is>
      </c>
    </row>
    <row r="3">
      <c r="A3" s="2" t="n">
        <v>45954</v>
      </c>
      <c r="B3" t="inlineStr">
        <is>
          <t>DOGG</t>
        </is>
      </c>
      <c r="C3" t="inlineStr">
        <is>
          <t>PASS</t>
        </is>
      </c>
      <c r="D3" s="3">
        <f>IF(I3/H3&gt;=0.5,"PASS","FAIL")</f>
        <v/>
      </c>
      <c r="E3" s="3">
        <f>IF(L3&lt;=0.5,"PASS","FAIL")</f>
        <v/>
      </c>
      <c r="F3" t="inlineStr">
        <is>
          <t>PASS</t>
        </is>
      </c>
      <c r="G3" t="inlineStr">
        <is>
          <t>PASS</t>
        </is>
      </c>
      <c r="H3" s="3" t="n">
        <v>52630568.25</v>
      </c>
      <c r="I3" s="3" t="n">
        <v>45510447.80740626</v>
      </c>
      <c r="J3" s="3" t="n">
        <v>863.14</v>
      </c>
      <c r="K3" s="5" t="n">
        <v>2631528.4125</v>
      </c>
      <c r="L3" s="5" t="n">
        <v>0</v>
      </c>
      <c r="M3" s="3" t="n">
        <v>0</v>
      </c>
      <c r="N3" t="inlineStr">
        <is>
          <t>None</t>
        </is>
      </c>
      <c r="O3" s="5" t="n">
        <v>0</v>
      </c>
      <c r="P3" t="inlineStr">
        <is>
          <t>None</t>
        </is>
      </c>
      <c r="Q3" t="inlineStr">
        <is>
          <t>CVX (4.27%)</t>
        </is>
      </c>
      <c r="R3" t="inlineStr">
        <is>
          <t>MCD (4.27%)</t>
        </is>
      </c>
    </row>
    <row r="4">
      <c r="A4" s="2" t="n">
        <v>45954</v>
      </c>
      <c r="B4" t="inlineStr">
        <is>
          <t>FGSI</t>
        </is>
      </c>
      <c r="C4" t="inlineStr">
        <is>
          <t>PASS</t>
        </is>
      </c>
      <c r="D4" s="3">
        <f>IF(I4/H4&gt;=0.5,"PASS","FAIL")</f>
        <v/>
      </c>
      <c r="E4" s="3">
        <f>IF(L4&lt;=0.5,"PASS","FAIL")</f>
        <v/>
      </c>
      <c r="F4" t="inlineStr">
        <is>
          <t>PASS</t>
        </is>
      </c>
      <c r="G4" t="inlineStr">
        <is>
          <t>PASS</t>
        </is>
      </c>
      <c r="H4" s="3" t="n">
        <v>2113409.94</v>
      </c>
      <c r="I4" s="3" t="n">
        <v>2094185.78</v>
      </c>
      <c r="J4" s="3" t="n">
        <v>48.78</v>
      </c>
      <c r="K4" s="5" t="n">
        <v>105670.497</v>
      </c>
      <c r="L4" s="5" t="n">
        <v>0</v>
      </c>
      <c r="M4" s="3" t="n">
        <v>0</v>
      </c>
      <c r="N4" t="inlineStr">
        <is>
          <t>None</t>
        </is>
      </c>
      <c r="O4" s="5" t="n">
        <v>0</v>
      </c>
      <c r="P4" t="inlineStr">
        <is>
          <t>None</t>
        </is>
      </c>
      <c r="Q4" t="inlineStr">
        <is>
          <t>V (2.01%)</t>
        </is>
      </c>
      <c r="R4" t="inlineStr">
        <is>
          <t>ABNB (2.01%)</t>
        </is>
      </c>
    </row>
    <row r="5">
      <c r="A5" s="2" t="n">
        <v>45954</v>
      </c>
      <c r="B5" t="inlineStr">
        <is>
          <t>TDVI</t>
        </is>
      </c>
      <c r="C5" t="inlineStr">
        <is>
          <t>PASS</t>
        </is>
      </c>
      <c r="D5" s="3">
        <f>IF(I5/H5&gt;=0.5,"PASS","FAIL")</f>
        <v/>
      </c>
      <c r="E5" s="3">
        <f>IF(L5&lt;=0.5,"PASS","FAIL")</f>
        <v/>
      </c>
      <c r="F5" t="inlineStr">
        <is>
          <t>FAIL</t>
        </is>
      </c>
      <c r="G5" t="inlineStr">
        <is>
          <t>PASS</t>
        </is>
      </c>
      <c r="H5" s="3" t="n">
        <v>184735967.23</v>
      </c>
      <c r="I5" s="3" t="n">
        <v>183152532.46</v>
      </c>
      <c r="J5" s="3" t="n">
        <v>3690.36</v>
      </c>
      <c r="K5" s="5" t="n">
        <v>9236798.361500001</v>
      </c>
      <c r="L5" s="5" t="n">
        <v>0.4014309265972049</v>
      </c>
      <c r="M5" s="3" t="n">
        <v>5</v>
      </c>
      <c r="N5" t="inlineStr">
        <is>
          <t>(IBM, 9.33%), (AVGO, 8.80%), (ORCL, 8.21%), (MSFT, 7.63%), (TXN, 6.17%)</t>
        </is>
      </c>
      <c r="O5" s="5" t="n">
        <v>0</v>
      </c>
      <c r="P5" t="inlineStr">
        <is>
          <t>None</t>
        </is>
      </c>
      <c r="Q5" t="inlineStr">
        <is>
          <t>AMAT (2.53%)</t>
        </is>
      </c>
      <c r="R5" t="inlineStr">
        <is>
          <t>ADI (2.40%)</t>
        </is>
      </c>
    </row>
    <row r="6">
      <c r="A6" s="2" t="n">
        <v>45954</v>
      </c>
      <c r="B6" t="inlineStr">
        <is>
          <t>KNG</t>
        </is>
      </c>
      <c r="C6" t="inlineStr">
        <is>
          <t>PASS</t>
        </is>
      </c>
      <c r="D6" s="3">
        <f>IF(I6/H6&gt;=0.5,"PASS","FAIL")</f>
        <v/>
      </c>
      <c r="E6" s="3">
        <f>IF(L6&lt;=0.5,"PASS","FAIL")</f>
        <v/>
      </c>
      <c r="F6" t="inlineStr">
        <is>
          <t>PASS</t>
        </is>
      </c>
      <c r="G6" t="inlineStr">
        <is>
          <t>PASS</t>
        </is>
      </c>
      <c r="H6" s="3" t="n">
        <v>3637840214.75</v>
      </c>
      <c r="I6" s="3" t="n">
        <v>3579664760.33</v>
      </c>
      <c r="J6" s="3" t="n">
        <v>73159.67999999999</v>
      </c>
      <c r="K6" s="5" t="n">
        <v>181892010.7375</v>
      </c>
      <c r="L6" s="5" t="n">
        <v>0</v>
      </c>
      <c r="M6" s="3" t="n">
        <v>0</v>
      </c>
      <c r="N6" t="inlineStr">
        <is>
          <t>None</t>
        </is>
      </c>
      <c r="O6" s="5" t="n">
        <v>0</v>
      </c>
      <c r="P6" t="inlineStr">
        <is>
          <t>None</t>
        </is>
      </c>
      <c r="Q6" t="inlineStr">
        <is>
          <t>CVX (1.46%)</t>
        </is>
      </c>
      <c r="R6" t="inlineStr">
        <is>
          <t>GPC (1.45%)</t>
        </is>
      </c>
    </row>
    <row r="7">
      <c r="A7" s="2" t="n">
        <v>45954</v>
      </c>
      <c r="B7" t="inlineStr">
        <is>
          <t>RDVI</t>
        </is>
      </c>
      <c r="C7" t="inlineStr">
        <is>
          <t>PASS</t>
        </is>
      </c>
      <c r="D7" s="3">
        <f>IF(I7/H7&gt;=0.5,"PASS","FAIL")</f>
        <v/>
      </c>
      <c r="E7" s="3">
        <f>IF(L7&lt;=0.5,"PASS","FAIL")</f>
        <v/>
      </c>
      <c r="F7" t="inlineStr">
        <is>
          <t>PASS</t>
        </is>
      </c>
      <c r="G7" t="inlineStr">
        <is>
          <t>PASS</t>
        </is>
      </c>
      <c r="H7" s="3" t="n">
        <v>2453596296.39</v>
      </c>
      <c r="I7" s="3" t="n">
        <v>2432227933.05</v>
      </c>
      <c r="J7" s="3" t="n">
        <v>49770.25</v>
      </c>
      <c r="K7" s="5" t="n">
        <v>122679814.8195</v>
      </c>
      <c r="L7" s="5" t="n">
        <v>0</v>
      </c>
      <c r="M7" s="3" t="n">
        <v>0</v>
      </c>
      <c r="N7" t="inlineStr">
        <is>
          <t>None</t>
        </is>
      </c>
      <c r="O7" s="5" t="n">
        <v>0</v>
      </c>
      <c r="P7" t="inlineStr">
        <is>
          <t>None</t>
        </is>
      </c>
      <c r="Q7" t="inlineStr">
        <is>
          <t>V (1.86%)</t>
        </is>
      </c>
      <c r="R7" t="inlineStr">
        <is>
          <t>HIG (1.85%)</t>
        </is>
      </c>
    </row>
    <row r="8">
      <c r="A8" s="2" t="n">
        <v>45954</v>
      </c>
      <c r="B8" t="inlineStr">
        <is>
          <t>SDVD</t>
        </is>
      </c>
      <c r="C8" t="inlineStr">
        <is>
          <t>PASS</t>
        </is>
      </c>
      <c r="D8" s="3">
        <f>IF(I8/H8&gt;=0.5,"PASS","FAIL")</f>
        <v/>
      </c>
      <c r="E8" s="3">
        <f>IF(L8&lt;=0.5,"PASS","FAIL")</f>
        <v/>
      </c>
      <c r="F8" t="inlineStr">
        <is>
          <t>PASS</t>
        </is>
      </c>
      <c r="G8" t="inlineStr">
        <is>
          <t>PASS</t>
        </is>
      </c>
      <c r="H8" s="3" t="n">
        <v>664763571.41</v>
      </c>
      <c r="I8" s="3" t="n">
        <v>659123330.0550001</v>
      </c>
      <c r="J8" s="3" t="n">
        <v>15173.52</v>
      </c>
      <c r="K8" s="5" t="n">
        <v>33238178.5705</v>
      </c>
      <c r="L8" s="5" t="n">
        <v>0</v>
      </c>
      <c r="M8" s="3" t="n">
        <v>0</v>
      </c>
      <c r="N8" t="inlineStr">
        <is>
          <t>None</t>
        </is>
      </c>
      <c r="O8" s="5" t="n">
        <v>0</v>
      </c>
      <c r="P8" t="inlineStr">
        <is>
          <t>None</t>
        </is>
      </c>
      <c r="Q8" t="inlineStr">
        <is>
          <t>OFG (0.76%)</t>
        </is>
      </c>
      <c r="R8" t="inlineStr">
        <is>
          <t>BCO (0.75%)</t>
        </is>
      </c>
    </row>
    <row r="9">
      <c r="A9" t="inlineStr">
        <is>
          <t>* IRS Condition 1: 90% of income must come from qualifying sources.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 IRS Condition 2a: At least 50% of assets must be allocated to qualifying securities.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 IRS Condition 2a5: for 50% of portfolio, no issuer is more than 5% of fund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 IRS Condition 2a10: for 50% of portfolio, fund doesn't hold more than 10% of any issuer's outstanding float.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 IRS Condition 2b: No single issuer may constitute more than 25% of assets.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50" customWidth="1" min="1" max="1"/>
    <col width="6" customWidth="1" min="2" max="2"/>
    <col width="15" customWidth="1" min="3" max="3"/>
    <col width="22" customWidth="1" min="4" max="4"/>
    <col width="21" customWidth="1" min="5" max="5"/>
    <col width="28" customWidth="1" min="6" max="6"/>
    <col width="29" customWidth="1" min="7" max="7"/>
    <col width="32" customWidth="1" min="8" max="8"/>
  </cols>
  <sheetData>
    <row r="1">
      <c r="A1" s="1" t="inlineStr">
        <is>
          <t>Date</t>
        </is>
      </c>
      <c r="B1" s="1" t="inlineStr">
        <is>
          <t>Fund</t>
        </is>
      </c>
      <c r="C1" s="1" t="inlineStr">
        <is>
          <t>Total Assets</t>
        </is>
      </c>
      <c r="D1" s="1" t="inlineStr">
        <is>
          <t>Total Illiquid Value</t>
        </is>
      </c>
      <c r="E1" s="1" t="inlineStr">
        <is>
          <t>Illiquid Percentage</t>
        </is>
      </c>
      <c r="F1" s="1" t="inlineStr">
        <is>
          <t>Equity Holdings Percentage</t>
        </is>
      </c>
      <c r="G1" s="1" t="inlineStr">
        <is>
          <t>Max 15% Illiquid Compliance</t>
        </is>
      </c>
      <c r="H1" s="1" t="inlineStr">
        <is>
          <t>Equity Holdings 85% Compliance</t>
        </is>
      </c>
    </row>
    <row r="2">
      <c r="A2" s="2" t="n">
        <v>45954</v>
      </c>
      <c r="B2" t="inlineStr">
        <is>
          <t>FDND</t>
        </is>
      </c>
      <c r="C2" s="3" t="n">
        <v>9655845.609999999</v>
      </c>
      <c r="D2" s="3" t="n">
        <v>0</v>
      </c>
      <c r="E2" s="5" t="n">
        <v>0</v>
      </c>
      <c r="F2" s="5" t="n">
        <v>0.9908526996425331</v>
      </c>
      <c r="G2" s="3">
        <f>IF(E2&lt;=0.15,"PASS","FAIL")</f>
        <v/>
      </c>
      <c r="H2" s="3">
        <f>IF(F2&gt;=0.85,"PASS","FAIL")</f>
        <v/>
      </c>
    </row>
    <row r="3">
      <c r="A3" s="2" t="n">
        <v>45954</v>
      </c>
      <c r="B3" t="inlineStr">
        <is>
          <t>DOGG</t>
        </is>
      </c>
      <c r="C3" s="3" t="n">
        <v>52630568.25</v>
      </c>
      <c r="D3" s="3" t="n">
        <v>0</v>
      </c>
      <c r="E3" s="5" t="n">
        <v>0</v>
      </c>
      <c r="F3" s="5" t="n">
        <v>0.3510959548303946</v>
      </c>
      <c r="G3" s="3">
        <f>IF(E3&lt;=0.15,"PASS","FAIL")</f>
        <v/>
      </c>
      <c r="H3" s="3">
        <f>IF(F3&gt;=0.85,"PASS","FAIL")</f>
        <v/>
      </c>
    </row>
    <row r="4">
      <c r="A4" s="2" t="n">
        <v>45954</v>
      </c>
      <c r="B4" t="inlineStr">
        <is>
          <t>FGSI</t>
        </is>
      </c>
      <c r="C4" s="3" t="n">
        <v>2113409.94</v>
      </c>
      <c r="D4" s="3" t="n">
        <v>0</v>
      </c>
      <c r="E4" s="5" t="n">
        <v>0</v>
      </c>
      <c r="F4" s="5" t="n">
        <v>0.9909037240545959</v>
      </c>
      <c r="G4" s="3">
        <f>IF(E4&lt;=0.15,"PASS","FAIL")</f>
        <v/>
      </c>
      <c r="H4" s="3">
        <f>IF(F4&gt;=0.85,"PASS","FAIL")</f>
        <v/>
      </c>
    </row>
    <row r="5">
      <c r="A5" s="2" t="n">
        <v>45954</v>
      </c>
      <c r="B5" t="inlineStr">
        <is>
          <t>TDVI</t>
        </is>
      </c>
      <c r="C5" s="3" t="n">
        <v>184735967.23</v>
      </c>
      <c r="D5" s="3" t="n">
        <v>0</v>
      </c>
      <c r="E5" s="5" t="n">
        <v>0</v>
      </c>
      <c r="F5" s="5" t="n">
        <v>0.9914286600831305</v>
      </c>
      <c r="G5" s="3">
        <f>IF(E5&lt;=0.15,"PASS","FAIL")</f>
        <v/>
      </c>
      <c r="H5" s="3">
        <f>IF(F5&gt;=0.85,"PASS","FAIL")</f>
        <v/>
      </c>
    </row>
    <row r="6">
      <c r="A6" s="2" t="n">
        <v>45954</v>
      </c>
      <c r="B6" t="inlineStr">
        <is>
          <t>KNG</t>
        </is>
      </c>
      <c r="C6" s="3" t="n">
        <v>3637840214.75</v>
      </c>
      <c r="D6" s="3" t="n">
        <v>0</v>
      </c>
      <c r="E6" s="5" t="n">
        <v>0</v>
      </c>
      <c r="F6" s="5" t="n">
        <v>0.9904338666995598</v>
      </c>
      <c r="G6" s="3">
        <f>IF(E6&lt;=0.15,"PASS","FAIL")</f>
        <v/>
      </c>
      <c r="H6" s="3">
        <f>IF(F6&gt;=0.85,"PASS","FAIL")</f>
        <v/>
      </c>
    </row>
    <row r="7">
      <c r="A7" s="2" t="n">
        <v>45954</v>
      </c>
      <c r="B7" t="inlineStr">
        <is>
          <t>RDVI</t>
        </is>
      </c>
      <c r="C7" s="3" t="n">
        <v>2453596296.39</v>
      </c>
      <c r="D7" s="3" t="n">
        <v>0</v>
      </c>
      <c r="E7" s="5" t="n">
        <v>0</v>
      </c>
      <c r="F7" s="5" t="n">
        <v>0.9912910027735861</v>
      </c>
      <c r="G7" s="3">
        <f>IF(E7&lt;=0.15,"PASS","FAIL")</f>
        <v/>
      </c>
      <c r="H7" s="3">
        <f>IF(F7&gt;=0.85,"PASS","FAIL")</f>
        <v/>
      </c>
    </row>
    <row r="8">
      <c r="A8" s="2" t="n">
        <v>45954</v>
      </c>
      <c r="B8" t="inlineStr">
        <is>
          <t>SDVD</t>
        </is>
      </c>
      <c r="C8" s="3" t="n">
        <v>664763571.41</v>
      </c>
      <c r="D8" s="3" t="n">
        <v>0</v>
      </c>
      <c r="E8" s="5" t="n">
        <v>0</v>
      </c>
      <c r="F8" s="5" t="n">
        <v>0.9915154175144755</v>
      </c>
      <c r="G8" s="3">
        <f>IF(E8&lt;=0.15,"PASS","FAIL")</f>
        <v/>
      </c>
      <c r="H8" s="3">
        <f>IF(F8&gt;=0.85,"PASS","FAIL")</f>
        <v/>
      </c>
    </row>
    <row r="9">
      <c r="A9" t="inlineStr">
        <is>
          <t>* We search for tags in Bloomberg for any illiquid or restricted securities.</t>
        </is>
      </c>
      <c r="B9" t="inlineStr"/>
      <c r="C9" t="inlineStr"/>
      <c r="D9" t="inlineStr"/>
      <c r="E9" t="inlineStr"/>
      <c r="F9" t="inlineStr"/>
      <c r="G9" t="inlineStr"/>
      <c r="H9" t="inlineStr"/>
    </row>
    <row r="10">
      <c r="A10" t="inlineStr">
        <is>
          <t>* If none, it reports 'None'.</t>
        </is>
      </c>
      <c r="B10" t="inlineStr"/>
      <c r="C10" t="inlineStr"/>
      <c r="D10" t="inlineStr"/>
      <c r="E10" t="inlineStr"/>
      <c r="F10" t="inlineStr"/>
      <c r="G10" t="inlineStr"/>
      <c r="H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0" customWidth="1" min="1" max="1"/>
    <col width="6" customWidth="1" min="2" max="2"/>
    <col width="22" customWidth="1" min="3" max="3"/>
    <col width="20" customWidth="1" min="4" max="4"/>
  </cols>
  <sheetData>
    <row r="1">
      <c r="A1" s="1" t="inlineStr">
        <is>
          <t>Date</t>
        </is>
      </c>
      <c r="B1" s="1" t="inlineStr">
        <is>
          <t>Fund</t>
        </is>
      </c>
      <c r="C1" s="1" t="inlineStr">
        <is>
          <t>Real Estate Exposure</t>
        </is>
      </c>
      <c r="D1" s="1" t="inlineStr">
        <is>
          <t>Total Exposure</t>
        </is>
      </c>
    </row>
    <row r="2">
      <c r="A2" s="2" t="n">
        <v>45954</v>
      </c>
      <c r="B2" t="inlineStr">
        <is>
          <t>FDND</t>
        </is>
      </c>
      <c r="C2" s="3" t="n">
        <v>0</v>
      </c>
      <c r="D2" s="3" t="n">
        <v>9567520.690000001</v>
      </c>
    </row>
    <row r="3">
      <c r="A3" s="2" t="n">
        <v>45954</v>
      </c>
      <c r="B3" t="inlineStr">
        <is>
          <t>DOGG</t>
        </is>
      </c>
      <c r="C3" s="3" t="n">
        <v>0</v>
      </c>
      <c r="D3" s="3" t="n">
        <v>18478379.613</v>
      </c>
    </row>
    <row r="4">
      <c r="A4" s="2" t="n">
        <v>45954</v>
      </c>
      <c r="B4" t="inlineStr">
        <is>
          <t>FGSI</t>
        </is>
      </c>
      <c r="C4" s="3" t="n">
        <v>0</v>
      </c>
      <c r="D4" s="3" t="n">
        <v>2094185.78</v>
      </c>
    </row>
    <row r="5">
      <c r="A5" s="2" t="n">
        <v>45954</v>
      </c>
      <c r="B5" t="inlineStr">
        <is>
          <t>TDVI</t>
        </is>
      </c>
      <c r="C5" s="3" t="n">
        <v>0</v>
      </c>
      <c r="D5" s="3" t="n">
        <v>183152532.46</v>
      </c>
    </row>
    <row r="6">
      <c r="A6" s="2" t="n">
        <v>45954</v>
      </c>
      <c r="B6" t="inlineStr">
        <is>
          <t>KNG</t>
        </is>
      </c>
      <c r="C6" s="3" t="n">
        <v>0.04439573783971001</v>
      </c>
      <c r="D6" s="3" t="n">
        <v>3603040150.329999</v>
      </c>
    </row>
    <row r="7">
      <c r="A7" s="2" t="n">
        <v>45954</v>
      </c>
      <c r="B7" t="inlineStr">
        <is>
          <t>RDVI</t>
        </is>
      </c>
      <c r="C7" s="3" t="n">
        <v>0</v>
      </c>
      <c r="D7" s="3" t="n">
        <v>2432227933.05</v>
      </c>
    </row>
    <row r="8">
      <c r="A8" s="2" t="n">
        <v>45954</v>
      </c>
      <c r="B8" t="inlineStr">
        <is>
          <t>SDVD</t>
        </is>
      </c>
      <c r="C8" s="3" t="n">
        <v>0</v>
      </c>
      <c r="D8" s="3" t="n">
        <v>659123330.0549999</v>
      </c>
    </row>
    <row r="9">
      <c r="A9" t="inlineStr">
        <is>
          <t>* We search for tags in Bloomberg for any fund holdings categorized as real estate.</t>
        </is>
      </c>
      <c r="B9" t="inlineStr"/>
      <c r="C9" t="inlineStr"/>
      <c r="D9" t="inlineStr"/>
    </row>
    <row r="10">
      <c r="A10" t="inlineStr">
        <is>
          <t>* If none, it reports 'None'.</t>
        </is>
      </c>
      <c r="B10" t="inlineStr"/>
      <c r="C10" t="inlineStr"/>
      <c r="D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0" customWidth="1" min="1" max="1"/>
    <col width="6" customWidth="1" min="2" max="2"/>
    <col width="22" customWidth="1" min="3" max="3"/>
  </cols>
  <sheetData>
    <row r="1">
      <c r="A1" s="1" t="inlineStr">
        <is>
          <t>Date</t>
        </is>
      </c>
      <c r="B1" s="1" t="inlineStr">
        <is>
          <t>Fund</t>
        </is>
      </c>
      <c r="C1" s="1" t="inlineStr">
        <is>
          <t>Commodities Exposure</t>
        </is>
      </c>
    </row>
    <row r="2">
      <c r="A2" s="2" t="n">
        <v>45954</v>
      </c>
      <c r="B2" t="inlineStr">
        <is>
          <t>FDND</t>
        </is>
      </c>
      <c r="C2" s="3" t="n">
        <v>0</v>
      </c>
    </row>
    <row r="3">
      <c r="A3" s="2" t="n">
        <v>45954</v>
      </c>
      <c r="B3" t="inlineStr">
        <is>
          <t>DOGG</t>
        </is>
      </c>
      <c r="C3" s="3" t="n">
        <v>0</v>
      </c>
    </row>
    <row r="4">
      <c r="A4" s="2" t="n">
        <v>45954</v>
      </c>
      <c r="B4" t="inlineStr">
        <is>
          <t>FGSI</t>
        </is>
      </c>
      <c r="C4" s="3" t="n">
        <v>0</v>
      </c>
    </row>
    <row r="5">
      <c r="A5" s="2" t="n">
        <v>45954</v>
      </c>
      <c r="B5" t="inlineStr">
        <is>
          <t>TDVI</t>
        </is>
      </c>
      <c r="C5" s="3" t="n">
        <v>0</v>
      </c>
    </row>
    <row r="6">
      <c r="A6" s="2" t="n">
        <v>45954</v>
      </c>
      <c r="B6" t="inlineStr">
        <is>
          <t>KNG</t>
        </is>
      </c>
      <c r="C6" s="3" t="n">
        <v>0</v>
      </c>
    </row>
    <row r="7">
      <c r="A7" s="2" t="n">
        <v>45954</v>
      </c>
      <c r="B7" t="inlineStr">
        <is>
          <t>RDVI</t>
        </is>
      </c>
      <c r="C7" s="3" t="n">
        <v>0</v>
      </c>
    </row>
    <row r="8">
      <c r="A8" s="2" t="n">
        <v>45954</v>
      </c>
      <c r="B8" t="inlineStr">
        <is>
          <t>SDVD</t>
        </is>
      </c>
      <c r="C8" s="3" t="n">
        <v>0</v>
      </c>
    </row>
    <row r="9">
      <c r="A9" t="inlineStr">
        <is>
          <t>* We search for tags in Bloomberg for any fund holdings categorized as commodities.</t>
        </is>
      </c>
      <c r="B9" t="inlineStr"/>
      <c r="C9" t="inlineStr"/>
    </row>
    <row r="10">
      <c r="A10" t="inlineStr">
        <is>
          <t>* If none, it reports 'None'.</t>
        </is>
      </c>
      <c r="B10" t="inlineStr"/>
      <c r="C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0" customWidth="1" min="1" max="1"/>
    <col width="6" customWidth="1" min="2" max="2"/>
    <col width="15"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s="1" t="inlineStr">
        <is>
          <t>Date</t>
        </is>
      </c>
      <c r="B1" s="1" t="inlineStr">
        <is>
          <t>Fund</t>
        </is>
      </c>
      <c r="C1" s="1" t="inlineStr">
        <is>
          <t>Total Assets</t>
        </is>
      </c>
      <c r="D1" s="1" t="inlineStr">
        <is>
          <t>Investment Companies</t>
        </is>
      </c>
      <c r="E1" s="1" t="inlineStr">
        <is>
          <t>Ownership % Max</t>
        </is>
      </c>
      <c r="F1" s="1" t="inlineStr">
        <is>
          <t>Equity Market Value Sum</t>
        </is>
      </c>
      <c r="G1" s="1" t="inlineStr">
        <is>
          <t>Test 1 (&lt;=3% Ownership)</t>
        </is>
      </c>
      <c r="H1" s="1" t="inlineStr">
        <is>
          <t>Test 2 (&lt;=5% Total Assets)</t>
        </is>
      </c>
      <c r="I1" s="1" t="inlineStr">
        <is>
          <t>Test 3 (&lt;=10% Total Assets)</t>
        </is>
      </c>
      <c r="J1" s="1" t="inlineStr">
        <is>
          <t>12d1(a) Compliant</t>
        </is>
      </c>
    </row>
    <row r="2">
      <c r="A2" s="2" t="n">
        <v>45954</v>
      </c>
      <c r="B2" t="inlineStr">
        <is>
          <t>FDND</t>
        </is>
      </c>
      <c r="C2" s="3" t="n">
        <v>9655845.609999999</v>
      </c>
      <c r="D2" t="inlineStr">
        <is>
          <t>None</t>
        </is>
      </c>
      <c r="E2" s="5" t="n">
        <v>0</v>
      </c>
      <c r="F2" s="3" t="n">
        <v>0</v>
      </c>
      <c r="G2" s="5">
        <f>IF(E2&lt;=0.03,"PASS","FAIL")</f>
        <v/>
      </c>
      <c r="H2" s="3">
        <f>IF(F2/C2&lt;=0.05,"PASS","FAIL")</f>
        <v/>
      </c>
      <c r="I2" s="3">
        <f>IF(F2/C2&lt;=0.10,"PASS","FAIL")</f>
        <v/>
      </c>
      <c r="J2" s="3">
        <f>IF(AND(G2="PASS",H2="PASS",I2="PASS"),"PASS","FAIL")</f>
        <v/>
      </c>
    </row>
    <row r="3">
      <c r="A3" s="2" t="n">
        <v>45954</v>
      </c>
      <c r="B3" t="inlineStr">
        <is>
          <t>DOGG</t>
        </is>
      </c>
      <c r="C3" s="3" t="n">
        <v>52630568.25</v>
      </c>
      <c r="D3" t="inlineStr">
        <is>
          <t>None</t>
        </is>
      </c>
      <c r="E3" s="5" t="n">
        <v>0</v>
      </c>
      <c r="F3" s="3" t="n">
        <v>0</v>
      </c>
      <c r="G3" s="5">
        <f>IF(E3&lt;=0.03,"PASS","FAIL")</f>
        <v/>
      </c>
      <c r="H3" s="3">
        <f>IF(F3/C3&lt;=0.05,"PASS","FAIL")</f>
        <v/>
      </c>
      <c r="I3" s="3">
        <f>IF(F3/C3&lt;=0.10,"PASS","FAIL")</f>
        <v/>
      </c>
      <c r="J3" s="3">
        <f>IF(AND(G3="PASS",H3="PASS",I3="PASS"),"PASS","FAIL")</f>
        <v/>
      </c>
    </row>
    <row r="4">
      <c r="A4" s="2" t="n">
        <v>45954</v>
      </c>
      <c r="B4" t="inlineStr">
        <is>
          <t>FGSI</t>
        </is>
      </c>
      <c r="C4" s="3" t="n">
        <v>2113409.94</v>
      </c>
      <c r="D4" t="inlineStr">
        <is>
          <t>None</t>
        </is>
      </c>
      <c r="E4" s="5" t="n">
        <v>0</v>
      </c>
      <c r="F4" s="3" t="n">
        <v>0</v>
      </c>
      <c r="G4" s="5">
        <f>IF(E4&lt;=0.03,"PASS","FAIL")</f>
        <v/>
      </c>
      <c r="H4" s="3">
        <f>IF(F4/C4&lt;=0.05,"PASS","FAIL")</f>
        <v/>
      </c>
      <c r="I4" s="3">
        <f>IF(F4/C4&lt;=0.10,"PASS","FAIL")</f>
        <v/>
      </c>
      <c r="J4" s="3">
        <f>IF(AND(G4="PASS",H4="PASS",I4="PASS"),"PASS","FAIL")</f>
        <v/>
      </c>
    </row>
    <row r="5">
      <c r="A5" s="2" t="n">
        <v>45954</v>
      </c>
      <c r="B5" t="inlineStr">
        <is>
          <t>TDVI</t>
        </is>
      </c>
      <c r="C5" s="3" t="n">
        <v>184735967.23</v>
      </c>
      <c r="D5" t="inlineStr">
        <is>
          <t>None</t>
        </is>
      </c>
      <c r="E5" s="5" t="n">
        <v>0</v>
      </c>
      <c r="F5" s="3" t="n">
        <v>0</v>
      </c>
      <c r="G5" s="5">
        <f>IF(E5&lt;=0.03,"PASS","FAIL")</f>
        <v/>
      </c>
      <c r="H5" s="3">
        <f>IF(F5/C5&lt;=0.05,"PASS","FAIL")</f>
        <v/>
      </c>
      <c r="I5" s="3">
        <f>IF(F5/C5&lt;=0.10,"PASS","FAIL")</f>
        <v/>
      </c>
      <c r="J5" s="3">
        <f>IF(AND(G5="PASS",H5="PASS",I5="PASS"),"PASS","FAIL")</f>
        <v/>
      </c>
    </row>
    <row r="6">
      <c r="A6" s="2" t="n">
        <v>45954</v>
      </c>
      <c r="B6" t="inlineStr">
        <is>
          <t>KNG</t>
        </is>
      </c>
      <c r="C6" s="3" t="n">
        <v>3637840214.75</v>
      </c>
      <c r="D6" t="inlineStr">
        <is>
          <t>None</t>
        </is>
      </c>
      <c r="E6" s="5" t="n">
        <v>0</v>
      </c>
      <c r="F6" s="3" t="n">
        <v>0</v>
      </c>
      <c r="G6" s="5">
        <f>IF(E6&lt;=0.03,"PASS","FAIL")</f>
        <v/>
      </c>
      <c r="H6" s="3">
        <f>IF(F6/C6&lt;=0.05,"PASS","FAIL")</f>
        <v/>
      </c>
      <c r="I6" s="3">
        <f>IF(F6/C6&lt;=0.10,"PASS","FAIL")</f>
        <v/>
      </c>
      <c r="J6" s="3">
        <f>IF(AND(G6="PASS",H6="PASS",I6="PASS"),"PASS","FAIL")</f>
        <v/>
      </c>
    </row>
    <row r="7">
      <c r="A7" s="2" t="n">
        <v>45954</v>
      </c>
      <c r="B7" t="inlineStr">
        <is>
          <t>RDVI</t>
        </is>
      </c>
      <c r="C7" s="3" t="n">
        <v>2453596296.39</v>
      </c>
      <c r="D7" t="inlineStr">
        <is>
          <t>None</t>
        </is>
      </c>
      <c r="E7" s="5" t="n">
        <v>0</v>
      </c>
      <c r="F7" s="3" t="n">
        <v>0</v>
      </c>
      <c r="G7" s="5">
        <f>IF(E7&lt;=0.03,"PASS","FAIL")</f>
        <v/>
      </c>
      <c r="H7" s="3">
        <f>IF(F7/C7&lt;=0.05,"PASS","FAIL")</f>
        <v/>
      </c>
      <c r="I7" s="3">
        <f>IF(F7/C7&lt;=0.10,"PASS","FAIL")</f>
        <v/>
      </c>
      <c r="J7" s="3">
        <f>IF(AND(G7="PASS",H7="PASS",I7="PASS"),"PASS","FAIL")</f>
        <v/>
      </c>
    </row>
    <row r="8">
      <c r="A8" s="2" t="n">
        <v>45954</v>
      </c>
      <c r="B8" t="inlineStr">
        <is>
          <t>SDVD</t>
        </is>
      </c>
      <c r="C8" s="3" t="n">
        <v>664763571.41</v>
      </c>
      <c r="D8" t="inlineStr">
        <is>
          <t>None</t>
        </is>
      </c>
      <c r="E8" s="5" t="n">
        <v>0</v>
      </c>
      <c r="F8" s="3" t="n">
        <v>0</v>
      </c>
      <c r="G8" s="5">
        <f>IF(E8&lt;=0.03,"PASS","FAIL")</f>
        <v/>
      </c>
      <c r="H8" s="3">
        <f>IF(F8/C8&lt;=0.05,"PASS","FAIL")</f>
        <v/>
      </c>
      <c r="I8" s="3">
        <f>IF(F8/C8&lt;=0.10,"PASS","FAIL")</f>
        <v/>
      </c>
      <c r="J8" s="3">
        <f>IF(AND(G8="PASS",H8="PASS",I8="PASS"),"PASS","FAIL")</f>
        <v/>
      </c>
    </row>
    <row r="9">
      <c r="A9"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9" t="inlineStr"/>
      <c r="C9" t="inlineStr"/>
      <c r="D9" t="inlineStr"/>
      <c r="E9" t="inlineStr"/>
      <c r="F9" t="inlineStr"/>
      <c r="G9" t="inlineStr"/>
      <c r="H9" t="inlineStr"/>
      <c r="I9" t="inlineStr"/>
      <c r="J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0" customWidth="1" min="1" max="1"/>
    <col width="6" customWidth="1" min="2" max="2"/>
    <col width="11" customWidth="1" min="3" max="3"/>
    <col width="15" customWidth="1" min="4" max="4"/>
    <col width="50" customWidth="1" min="5" max="5"/>
  </cols>
  <sheetData>
    <row r="1">
      <c r="A1" s="1" t="inlineStr">
        <is>
          <t>Date</t>
        </is>
      </c>
      <c r="B1" s="1" t="inlineStr">
        <is>
          <t>Fund</t>
        </is>
      </c>
      <c r="C1" s="1" t="inlineStr">
        <is>
          <t>Compliant</t>
        </is>
      </c>
      <c r="D1" s="1" t="inlineStr">
        <is>
          <t>Total Assets</t>
        </is>
      </c>
      <c r="E1" s="1" t="inlineStr">
        <is>
          <t>Insurance Holdings</t>
        </is>
      </c>
    </row>
    <row r="2">
      <c r="A2" s="2" t="n">
        <v>45954</v>
      </c>
      <c r="B2" t="inlineStr">
        <is>
          <t>FDND</t>
        </is>
      </c>
      <c r="C2" t="inlineStr">
        <is>
          <t>PASS</t>
        </is>
      </c>
      <c r="D2" s="3" t="n">
        <v>9655845.609999999</v>
      </c>
      <c r="E2" t="inlineStr">
        <is>
          <t>None</t>
        </is>
      </c>
    </row>
    <row r="3">
      <c r="A3" s="2" t="n">
        <v>45954</v>
      </c>
      <c r="B3" t="inlineStr">
        <is>
          <t>DOGG</t>
        </is>
      </c>
      <c r="C3" t="inlineStr">
        <is>
          <t>PASS</t>
        </is>
      </c>
      <c r="D3" s="3" t="n">
        <v>52630568.25</v>
      </c>
      <c r="E3" t="inlineStr">
        <is>
          <t>None</t>
        </is>
      </c>
    </row>
    <row r="4">
      <c r="A4" s="2" t="n">
        <v>45954</v>
      </c>
      <c r="B4" t="inlineStr">
        <is>
          <t>FGSI</t>
        </is>
      </c>
      <c r="C4" t="inlineStr">
        <is>
          <t>PASS</t>
        </is>
      </c>
      <c r="D4" s="3" t="n">
        <v>2113409.94</v>
      </c>
      <c r="E4" t="inlineStr">
        <is>
          <t>MMC (0.00004%)</t>
        </is>
      </c>
    </row>
    <row r="5">
      <c r="A5" s="2" t="n">
        <v>45954</v>
      </c>
      <c r="B5" t="inlineStr">
        <is>
          <t>TDVI</t>
        </is>
      </c>
      <c r="C5" t="inlineStr">
        <is>
          <t>PASS</t>
        </is>
      </c>
      <c r="D5" s="3" t="n">
        <v>184735967.23</v>
      </c>
      <c r="E5" t="inlineStr">
        <is>
          <t>None</t>
        </is>
      </c>
    </row>
    <row r="6">
      <c r="A6" s="2" t="n">
        <v>45954</v>
      </c>
      <c r="B6" t="inlineStr">
        <is>
          <t>KNG</t>
        </is>
      </c>
      <c r="C6" t="inlineStr">
        <is>
          <t>PASS</t>
        </is>
      </c>
      <c r="D6" s="3" t="n">
        <v>3637840214.75</v>
      </c>
      <c r="E6" t="inlineStr">
        <is>
          <t>AFL (0.09816%), BRO (0.15021%), CB (0.04957%), CINF (0.22847%), ERIE (0.31100%)</t>
        </is>
      </c>
    </row>
    <row r="7">
      <c r="A7" s="2" t="n">
        <v>45954</v>
      </c>
      <c r="B7" t="inlineStr">
        <is>
          <t>RDVI</t>
        </is>
      </c>
      <c r="C7" t="inlineStr">
        <is>
          <t>PASS</t>
        </is>
      </c>
      <c r="D7" s="3" t="n">
        <v>2453596296.39</v>
      </c>
      <c r="E7" t="inlineStr">
        <is>
          <t>AFL (0.03827%), ALL (0.04204%), CB (0.04007%), CINF (0.04587%), EG (0.07031%), HIG (0.12873%), LNC (0.14816%), MET (0.02235%), PGR (0.01469%), TRV (0.07553%), UNM (0.34957%)</t>
        </is>
      </c>
    </row>
    <row r="8">
      <c r="A8" s="2" t="n">
        <v>45954</v>
      </c>
      <c r="B8" t="inlineStr">
        <is>
          <t>SDVD</t>
        </is>
      </c>
      <c r="C8" t="inlineStr">
        <is>
          <t>PASS</t>
        </is>
      </c>
      <c r="D8" s="3" t="n">
        <v>664763571.41</v>
      </c>
      <c r="E8" t="inlineStr">
        <is>
          <t>AGO (0.13255%), AIZ (0.05077%), AXS (0.05290%), CINF (0.01173%), CNO (0.03170%), EG (0.00849%), KMPR (0.03300%), LNC (0.05646%), ORI (0.01500%), PFG (0.00647%), PRI (0.06066%), RGA (0.04027%), RNR (0.01047%), SIGI (0.03139%), THG (0.06618%), UNM (0.04237%), WRB (0.02105%)</t>
        </is>
      </c>
    </row>
    <row r="9">
      <c r="A9" t="inlineStr">
        <is>
          <t>* The Fund may not own more than 10% of the total outstanding voting stock of an insurance company.</t>
        </is>
      </c>
      <c r="B9" t="inlineStr"/>
      <c r="C9" t="inlineStr"/>
      <c r="D9" t="inlineStr"/>
      <c r="E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0" customWidth="1" min="1" max="1"/>
    <col width="6" customWidth="1" min="2" max="2"/>
    <col width="29" customWidth="1" min="3" max="3"/>
    <col width="21" customWidth="1" min="4" max="4"/>
    <col width="29" customWidth="1" min="5" max="5"/>
    <col width="50" customWidth="1" min="6" max="6"/>
    <col width="50" customWidth="1" min="7" max="7"/>
    <col width="50" customWidth="1" min="8" max="8"/>
    <col width="15" customWidth="1" min="9" max="9"/>
    <col width="24" customWidth="1" min="10" max="10"/>
    <col width="22" customWidth="1" min="11" max="11"/>
  </cols>
  <sheetData>
    <row r="1">
      <c r="A1" s="1" t="inlineStr">
        <is>
          <t>Date</t>
        </is>
      </c>
      <c r="B1" s="1" t="inlineStr">
        <is>
          <t>Fund</t>
        </is>
      </c>
      <c r="C1" s="1" t="inlineStr">
        <is>
          <t>Rule 1 (&lt;=5% equities)</t>
        </is>
      </c>
      <c r="D1" s="1" t="inlineStr">
        <is>
          <t>Rule 2 (&lt;=10% debt)</t>
        </is>
      </c>
      <c r="E1" s="1" t="inlineStr">
        <is>
          <t>Rule 3 (&lt;=5% total assets)</t>
        </is>
      </c>
      <c r="F1" s="1" t="inlineStr">
        <is>
          <t>12d3 Sec Biz Compliant</t>
        </is>
      </c>
      <c r="G1" s="1" t="inlineStr">
        <is>
          <t>SEC-Related Businesses (Shs Out %)</t>
        </is>
      </c>
      <c r="H1" s="1" t="inlineStr">
        <is>
          <t>Combined Holdings (Portfolio %)</t>
        </is>
      </c>
      <c r="I1" s="1" t="inlineStr">
        <is>
          <t>Total Assets</t>
        </is>
      </c>
      <c r="J1" s="1" t="inlineStr">
        <is>
          <t>Max Ownership %</t>
        </is>
      </c>
      <c r="K1" s="1" t="inlineStr">
        <is>
          <t>Max Weight</t>
        </is>
      </c>
    </row>
    <row r="2">
      <c r="A2" s="2" t="n">
        <v>45954</v>
      </c>
      <c r="B2" t="inlineStr">
        <is>
          <t>FDND</t>
        </is>
      </c>
      <c r="C2" s="3">
        <f>IF(K2&lt;=0.05,"PASS","FAIL")</f>
        <v/>
      </c>
      <c r="D2" t="inlineStr">
        <is>
          <t>PASS</t>
        </is>
      </c>
      <c r="E2" s="3">
        <f>IF(L2&lt;=0.05,"PASS","FAIL")</f>
        <v/>
      </c>
      <c r="F2" s="3">
        <f>IF(AND(C2="PASS",D2="PASS",E2="PASS",F2="PASS"),"PASS","FAIL")</f>
        <v/>
      </c>
      <c r="G2" t="inlineStr">
        <is>
          <t>None</t>
        </is>
      </c>
      <c r="H2" t="inlineStr">
        <is>
          <t>None</t>
        </is>
      </c>
      <c r="I2" s="3" t="n">
        <v>9655845.609999999</v>
      </c>
      <c r="J2" s="5" t="n">
        <v>0</v>
      </c>
      <c r="K2" s="5" t="n">
        <v>0</v>
      </c>
    </row>
    <row r="3">
      <c r="A3" s="2" t="n">
        <v>45954</v>
      </c>
      <c r="B3" t="inlineStr">
        <is>
          <t>DOGG</t>
        </is>
      </c>
      <c r="C3" s="3">
        <f>IF(K3&lt;=0.05,"PASS","FAIL")</f>
        <v/>
      </c>
      <c r="D3" t="inlineStr">
        <is>
          <t>PASS</t>
        </is>
      </c>
      <c r="E3" s="3">
        <f>IF(L3&lt;=0.05,"PASS","FAIL")</f>
        <v/>
      </c>
      <c r="F3" s="3">
        <f>IF(AND(C3="PASS",D3="PASS",E3="PASS",F3="PASS"),"PASS","FAIL")</f>
        <v/>
      </c>
      <c r="G3" t="inlineStr">
        <is>
          <t>None</t>
        </is>
      </c>
      <c r="H3" t="inlineStr">
        <is>
          <t>None</t>
        </is>
      </c>
      <c r="I3" s="3" t="n">
        <v>52630568.25</v>
      </c>
      <c r="J3" s="5" t="n">
        <v>0</v>
      </c>
      <c r="K3" s="5" t="n">
        <v>0</v>
      </c>
    </row>
    <row r="4">
      <c r="A4" s="2" t="n">
        <v>45954</v>
      </c>
      <c r="B4" t="inlineStr">
        <is>
          <t>FGSI</t>
        </is>
      </c>
      <c r="C4" s="3">
        <f>IF(K4&lt;=0.05,"PASS","FAIL")</f>
        <v/>
      </c>
      <c r="D4" t="inlineStr">
        <is>
          <t>PASS</t>
        </is>
      </c>
      <c r="E4" s="3">
        <f>IF(L4&lt;=0.05,"PASS","FAIL")</f>
        <v/>
      </c>
      <c r="F4" s="3">
        <f>IF(AND(C4="PASS",D4="PASS",E4="PASS",F4="PASS"),"PASS","FAIL")</f>
        <v/>
      </c>
      <c r="G4" t="inlineStr">
        <is>
          <t>AMP (0.00009%), CBOE (0.00016%), IBKR (0.00014%), MCO (0.00005%), SCHW (0.00002%)</t>
        </is>
      </c>
      <c r="H4" t="inlineStr">
        <is>
          <t>AMP (2.00%), CBOE (1.94%), IBKR (2.03%), MCO (2.04%), SCHW (1.96%)</t>
        </is>
      </c>
      <c r="I4" s="3" t="n">
        <v>2113409.94</v>
      </c>
      <c r="J4" s="5" t="n">
        <v>1.643660201921745e-06</v>
      </c>
      <c r="K4" s="5" t="n">
        <v>0.02043718976735768</v>
      </c>
    </row>
    <row r="5">
      <c r="A5" s="2" t="n">
        <v>45954</v>
      </c>
      <c r="B5" t="inlineStr">
        <is>
          <t>TDVI</t>
        </is>
      </c>
      <c r="C5" s="3">
        <f>IF(K5&lt;=0.05,"PASS","FAIL")</f>
        <v/>
      </c>
      <c r="D5" t="inlineStr">
        <is>
          <t>PASS</t>
        </is>
      </c>
      <c r="E5" s="3">
        <f>IF(L5&lt;=0.05,"PASS","FAIL")</f>
        <v/>
      </c>
      <c r="F5" s="3">
        <f>IF(AND(C5="PASS",D5="PASS",E5="PASS",F5="PASS"),"PASS","FAIL")</f>
        <v/>
      </c>
      <c r="G5" t="inlineStr">
        <is>
          <t>None</t>
        </is>
      </c>
      <c r="H5" t="inlineStr">
        <is>
          <t>None</t>
        </is>
      </c>
      <c r="I5" s="3" t="n">
        <v>184735967.23</v>
      </c>
      <c r="J5" s="5" t="n">
        <v>0</v>
      </c>
      <c r="K5" s="5" t="n">
        <v>0</v>
      </c>
    </row>
    <row r="6">
      <c r="A6" s="2" t="n">
        <v>45954</v>
      </c>
      <c r="B6" t="inlineStr">
        <is>
          <t>KNG</t>
        </is>
      </c>
      <c r="C6" s="3">
        <f>IF(K6&lt;=0.05,"PASS","FAIL")</f>
        <v/>
      </c>
      <c r="D6" t="inlineStr">
        <is>
          <t>PASS</t>
        </is>
      </c>
      <c r="E6" s="3">
        <f>IF(L6&lt;=0.05,"PASS","FAIL")</f>
        <v/>
      </c>
      <c r="F6" s="3">
        <f>IF(AND(C6="PASS",D6="PASS",E6="PASS",F6="PASS"),"PASS","FAIL")</f>
        <v/>
      </c>
      <c r="G6" t="inlineStr">
        <is>
          <t>BEN (0.41068%), FDS (0.33421%), SPGI (0.03203%), TROW (0.22455%)</t>
        </is>
      </c>
      <c r="H6" t="inlineStr">
        <is>
          <t>BEN (1.33%), FDS (0.98%), SPGI (1.33%), TROW (1.39%)</t>
        </is>
      </c>
      <c r="I6" s="3" t="n">
        <v>3637840214.75</v>
      </c>
      <c r="J6" s="5" t="n">
        <v>0.004106847998489972</v>
      </c>
      <c r="K6" s="5" t="n">
        <v>0.01393637649186417</v>
      </c>
    </row>
    <row r="7">
      <c r="A7" s="2" t="n">
        <v>45954</v>
      </c>
      <c r="B7" t="inlineStr">
        <is>
          <t>RDVI</t>
        </is>
      </c>
      <c r="C7" s="3">
        <f>IF(K7&lt;=0.05,"PASS","FAIL")</f>
        <v/>
      </c>
      <c r="D7" t="inlineStr">
        <is>
          <t>PASS</t>
        </is>
      </c>
      <c r="E7" s="3">
        <f>IF(L7&lt;=0.05,"PASS","FAIL")</f>
        <v/>
      </c>
      <c r="F7" s="3">
        <f>IF(AND(C7="PASS",D7="PASS",E7="PASS",F7="PASS"),"PASS","FAIL")</f>
        <v/>
      </c>
      <c r="G7" t="inlineStr">
        <is>
          <t>AMP (0.04657%), BAC (0.00324%), BK (0.07135%), BLK (0.02148%), EWBC (0.32798%), JPM (0.00616%), MTB (0.03725%), NTRS (0.05441%), PNC (0.04504%), RJF (0.14153%), STT (0.11677%), WTFC (0.12380%)</t>
        </is>
      </c>
      <c r="H7" t="inlineStr">
        <is>
          <t>AMP (0.85%), BAC (0.51%), BK (2.19%), BLK (1.55%), EWBC (1.89%), JPM (2.05%), MTB (0.43%), NTRS (0.53%), PNC (1.34%), RJF (1.87%), STT (1.54%), WTFC (0.44%)</t>
        </is>
      </c>
      <c r="I7" s="3" t="n">
        <v>2453596296.39</v>
      </c>
      <c r="J7" s="5" t="n">
        <v>0.003279793182210652</v>
      </c>
      <c r="K7" s="5" t="n">
        <v>0.0219181827667105</v>
      </c>
    </row>
    <row r="8">
      <c r="A8" s="2" t="n">
        <v>45954</v>
      </c>
      <c r="B8" t="inlineStr">
        <is>
          <t>SDVD</t>
        </is>
      </c>
      <c r="C8" s="3">
        <f>IF(K8&lt;=0.05,"PASS","FAIL")</f>
        <v/>
      </c>
      <c r="D8" t="inlineStr">
        <is>
          <t>PASS</t>
        </is>
      </c>
      <c r="E8" s="3">
        <f>IF(L8&lt;=0.05,"PASS","FAIL")</f>
        <v/>
      </c>
      <c r="F8" s="3">
        <f>IF(AND(C8="PASS",D8="PASS",E8="PASS",F8="PASS"),"PASS","FAIL")</f>
        <v/>
      </c>
      <c r="G8" t="inlineStr">
        <is>
          <t>BOKF (0.02231%), CADE (0.08595%), CBOE (0.02342%), CBSH (0.04838%), CFR (0.06420%), EBC (0.03107%), EFSC (0.25296%), EWBC (0.03970%), FBP (0.16529%), FCF (0.07033%), FHI (0.03603%), FRME (0.06179%), FULT (0.11900%), HBAN (0.02057%), HOMB (0.07084%), HWC (0.05566%), IBKR (0.02311%), IBOC (0.12837%), INDB (0.04371%), NBHC (0.07649%), NIC (0.22856%), NTRS (0.02522%), OFG (0.28246%), OZK (0.10042%), PNFP (0.01967%), RJF (0.00820%), SEIC (0.05306%), SFBS (0.06359%), SSB (0.05447%), UMBF (0.04814%), WAFD (0.04829%), WTFC (0.06295%), ZION (0.01732%)</t>
        </is>
      </c>
      <c r="H8" t="inlineStr">
        <is>
          <t>BOKF (0.23%), CADE (0.87%), CBOE (0.88%), CBSH (0.52%), CFR (0.77%), EBC (0.20%), EFSC (0.78%), EWBC (0.84%), FBP (0.81%), FCF (0.18%), FHI (0.20%), FRME (0.20%), FULT (0.59%), HBAN (0.78%), HOMB (0.57%), HWC (0.39%), IBKR (1.07%), IBOC (0.82%), INDB (0.23%), NBHC (0.16%), NIC (0.63%), NTRS (0.91%), OFG (0.75%), OZK (0.77%), PNFP (0.20%), RJF (0.40%), SEIC (0.80%), SFBS (0.37%), SSB (0.75%), UMBF (0.63%), WAFD (0.17%), WTFC (0.82%), ZION (0.20%)</t>
        </is>
      </c>
      <c r="I8" s="3" t="n">
        <v>664763571.41</v>
      </c>
      <c r="J8" s="5" t="n">
        <v>0.002824580326951215</v>
      </c>
      <c r="K8" s="5" t="n">
        <v>0.01065569633272092</v>
      </c>
    </row>
    <row r="9">
      <c r="A9"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9" t="inlineStr"/>
      <c r="C9" t="inlineStr"/>
      <c r="D9" t="inlineStr"/>
      <c r="E9" t="inlineStr"/>
      <c r="F9" t="inlineStr"/>
      <c r="G9" t="inlineStr"/>
      <c r="H9" t="inlineStr"/>
      <c r="I9" t="inlineStr"/>
      <c r="J9" t="inlineStr"/>
      <c r="K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2025-11-06T22:42:48Z</dcterms:created>
  <dcterms:modified xmlns:dcterms="http://purl.org/dc/terms/" xmlns:xsi="http://www.w3.org/2001/XMLSchema-instance" xsi:type="dcterms:W3CDTF">2025-11-06T22:42:48Z</dcterms:modified>
</cp:coreProperties>
</file>