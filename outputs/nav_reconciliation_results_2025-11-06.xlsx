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Summary" sheetId="1" state="visible" r:id="rId1"/>
    <sheet xmlns:r="http://schemas.openxmlformats.org/officeDocument/2006/relationships" name="TD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NAV Reconciliation Summary - 2025-11-06</t>
        </is>
      </c>
    </row>
    <row r="3">
      <c r="A3" s="2" t="inlineStr">
        <is>
          <t>Fund</t>
        </is>
      </c>
      <c r="B3" s="2" t="inlineStr">
        <is>
          <t>Prior NAV</t>
        </is>
      </c>
      <c r="C3" s="2" t="inlineStr">
        <is>
          <t>Equity G/L</t>
        </is>
      </c>
      <c r="D3" s="2" t="inlineStr">
        <is>
          <t>Option G/L</t>
        </is>
      </c>
      <c r="E3" s="2" t="inlineStr">
        <is>
          <t>Flex Option G/L</t>
        </is>
      </c>
      <c r="F3" s="2" t="inlineStr">
        <is>
          <t>Treasury G/L</t>
        </is>
      </c>
      <c r="G3" s="2" t="inlineStr">
        <is>
          <t>Net Gain/Loss</t>
        </is>
      </c>
      <c r="H3" s="2" t="inlineStr">
        <is>
          <t>Dividends</t>
        </is>
      </c>
      <c r="I3" s="2" t="inlineStr">
        <is>
          <t>Expenses</t>
        </is>
      </c>
      <c r="J3" s="2" t="inlineStr">
        <is>
          <t>Distributions</t>
        </is>
      </c>
      <c r="K3" s="2" t="inlineStr">
        <is>
          <t>Flow Adjustment</t>
        </is>
      </c>
      <c r="L3" s="2" t="inlineStr">
        <is>
          <t>Expected NAV</t>
        </is>
      </c>
      <c r="M3" s="2" t="inlineStr">
        <is>
          <t>Custodian NAV</t>
        </is>
      </c>
      <c r="N3" s="2" t="inlineStr">
        <is>
          <t>Variance</t>
        </is>
      </c>
    </row>
    <row r="4">
      <c r="A4" t="inlineStr">
        <is>
          <t>TDVI</t>
        </is>
      </c>
      <c r="B4" s="3">
        <f>'TDVI'!C3</f>
        <v/>
      </c>
      <c r="C4" s="4">
        <f>'TDVI'!C7</f>
        <v/>
      </c>
      <c r="D4" s="4">
        <f>'TDVI'!C8</f>
        <v/>
      </c>
      <c r="E4" s="4">
        <f>'TDVI'!C9</f>
        <v/>
      </c>
      <c r="F4" s="4">
        <f>'TDVI'!C10</f>
        <v/>
      </c>
      <c r="G4" s="4">
        <f>'TDVI'!C11</f>
        <v/>
      </c>
      <c r="H4" s="4">
        <f>'TDVI'!C4</f>
        <v/>
      </c>
      <c r="I4" s="4">
        <f>'TDVI'!C5</f>
        <v/>
      </c>
      <c r="J4" s="4">
        <f>'TDVI'!C13</f>
        <v/>
      </c>
      <c r="K4" s="4">
        <f>'TDVI'!C14</f>
        <v/>
      </c>
      <c r="L4" s="3">
        <f>'TDVI'!C15</f>
        <v/>
      </c>
      <c r="M4" s="3">
        <f>'TDVI'!C16</f>
        <v/>
      </c>
      <c r="N4" s="3">
        <f>'TDVI'!C17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TDVI - NAV Reconciliation</t>
        </is>
      </c>
    </row>
    <row r="3">
      <c r="A3" s="5" t="inlineStr">
        <is>
          <t>Beginning NAV (T-1)</t>
        </is>
      </c>
      <c r="C3" s="4" t="n">
        <v>28.69</v>
      </c>
    </row>
    <row r="4">
      <c r="A4" s="5" t="inlineStr">
        <is>
          <t>Dividends</t>
        </is>
      </c>
      <c r="C4" s="4" t="n">
        <v>0</v>
      </c>
    </row>
    <row r="5">
      <c r="A5" s="5" t="inlineStr">
        <is>
          <t>Expenses</t>
        </is>
      </c>
      <c r="C5" s="4" t="n">
        <v>-4097.85</v>
      </c>
    </row>
    <row r="6">
      <c r="A6" s="6" t="inlineStr">
        <is>
          <t>Gain/Loss by Asset Class</t>
        </is>
      </c>
    </row>
    <row r="7">
      <c r="A7" s="5" t="inlineStr">
        <is>
          <t xml:space="preserve">  Equity G/L</t>
        </is>
      </c>
      <c r="C7" s="4" t="n">
        <v>0</v>
      </c>
    </row>
    <row r="8">
      <c r="A8" s="5" t="inlineStr">
        <is>
          <t xml:space="preserve">  Option G/L</t>
        </is>
      </c>
      <c r="C8" s="4" t="n">
        <v>0</v>
      </c>
    </row>
    <row r="9">
      <c r="A9" s="5" t="inlineStr">
        <is>
          <t xml:space="preserve">  Flex Option G/L</t>
        </is>
      </c>
      <c r="C9" s="4" t="n">
        <v>0</v>
      </c>
    </row>
    <row r="10">
      <c r="A10" s="5" t="inlineStr">
        <is>
          <t xml:space="preserve">  Treasury G/L</t>
        </is>
      </c>
      <c r="C10" s="4" t="n">
        <v>0</v>
      </c>
    </row>
    <row r="11">
      <c r="A11" s="6" t="inlineStr">
        <is>
          <t>Net Gain/Loss</t>
        </is>
      </c>
      <c r="C11" s="4">
        <f>C7 + C8 + C9 + C10</f>
        <v/>
      </c>
    </row>
    <row r="12"/>
    <row r="13">
      <c r="A13" s="5" t="inlineStr">
        <is>
          <t>Distributions</t>
        </is>
      </c>
      <c r="C13" s="4" t="n">
        <v>0</v>
      </c>
    </row>
    <row r="14">
      <c r="A14" s="5" t="inlineStr">
        <is>
          <t>Flow Adjustment</t>
        </is>
      </c>
      <c r="C14" s="4" t="n">
        <v>0</v>
      </c>
    </row>
    <row r="15">
      <c r="A15" s="6" t="inlineStr">
        <is>
          <t>Expected NAV</t>
        </is>
      </c>
      <c r="C15" s="3">
        <f>C3+C11+C4-C5-C13+C14</f>
        <v/>
      </c>
    </row>
    <row r="16">
      <c r="A16" s="6" t="inlineStr">
        <is>
          <t>Custodian NAV</t>
        </is>
      </c>
      <c r="C16" s="3" t="n">
        <v>28.26</v>
      </c>
    </row>
    <row r="17">
      <c r="A17" s="6" t="inlineStr">
        <is>
          <t>Variance</t>
        </is>
      </c>
      <c r="C17" s="3">
        <f>C16-C15</f>
        <v/>
      </c>
    </row>
    <row r="20">
      <c r="A20" s="7" t="inlineStr">
        <is>
          <t>EQUITY DETAIL</t>
        </is>
      </c>
    </row>
    <row r="22">
      <c r="A22" t="inlineStr">
        <is>
          <t>No equity data available</t>
        </is>
      </c>
    </row>
    <row r="24">
      <c r="A24" s="7" t="inlineStr">
        <is>
          <t>OPTION DETAIL</t>
        </is>
      </c>
    </row>
    <row r="26">
      <c r="A26" t="inlineStr">
        <is>
          <t>No option data available</t>
        </is>
      </c>
    </row>
    <row r="28">
      <c r="A28" s="7" t="inlineStr">
        <is>
          <t>FLEX OPTION DETAIL</t>
        </is>
      </c>
    </row>
    <row r="30">
      <c r="A30" t="inlineStr">
        <is>
          <t>No flex option data available</t>
        </is>
      </c>
    </row>
    <row r="32">
      <c r="A32" s="7" t="inlineStr">
        <is>
          <t>TREASURY DETAIL</t>
        </is>
      </c>
    </row>
    <row r="34">
      <c r="A34" t="inlineStr">
        <is>
          <t>No treasury data available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2025-11-11T22:16:42Z</dcterms:created>
  <dcterms:modified xmlns:dcterms="http://purl.org/dc/terms/" xmlns:xsi="http://www.w3.org/2001/XMLSchema-instance" xsi:type="dcterms:W3CDTF">2025-11-11T22:16:42Z</dcterms:modified>
</cp:coreProperties>
</file>