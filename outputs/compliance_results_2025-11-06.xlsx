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50" customWidth="1" min="1" max="1"/>
    <col width="8" customWidth="1" min="2" max="2"/>
    <col width="25" customWidth="1" min="3" max="3"/>
    <col width="22" customWidth="1" min="4" max="4"/>
    <col width="28" customWidth="1" min="5" max="5"/>
    <col width="29" customWidth="1" min="6" max="6"/>
    <col width="35" customWidth="1" min="7" max="7"/>
    <col width="36" customWidth="1" min="8" max="8"/>
    <col width="31"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45967</v>
      </c>
      <c r="B2" t="inlineStr">
        <is>
          <t>KNG</t>
        </is>
      </c>
      <c r="C2" t="inlineStr">
        <is>
          <t>PASS</t>
        </is>
      </c>
      <c r="D2" t="b">
        <v>0</v>
      </c>
      <c r="E2" t="b">
        <v>0</v>
      </c>
      <c r="F2" t="b">
        <v>0</v>
      </c>
      <c r="G2" t="b">
        <v>0</v>
      </c>
      <c r="H2" t="inlineStr">
        <is>
          <t>Yes</t>
        </is>
      </c>
      <c r="I2" t="inlineStr"/>
    </row>
    <row r="3">
      <c r="A3" s="2" t="n">
        <v>45967</v>
      </c>
      <c r="B3" t="inlineStr">
        <is>
          <t>P21026</t>
        </is>
      </c>
      <c r="C3" t="inlineStr">
        <is>
          <t>PASS</t>
        </is>
      </c>
      <c r="D3" t="b">
        <v>0</v>
      </c>
      <c r="E3" t="b">
        <v>0</v>
      </c>
      <c r="F3" t="b">
        <v>0</v>
      </c>
      <c r="G3" t="b">
        <v>0</v>
      </c>
      <c r="H3" t="inlineStr">
        <is>
          <t>No</t>
        </is>
      </c>
      <c r="I3" t="inlineStr"/>
    </row>
    <row r="4">
      <c r="A4" s="2" t="n">
        <v>45967</v>
      </c>
      <c r="B4" t="inlineStr">
        <is>
          <t>P2726</t>
        </is>
      </c>
      <c r="C4" t="inlineStr">
        <is>
          <t>PASS</t>
        </is>
      </c>
      <c r="D4" t="b">
        <v>0</v>
      </c>
      <c r="E4" t="b">
        <v>0</v>
      </c>
      <c r="F4" t="b">
        <v>0</v>
      </c>
      <c r="G4" t="b">
        <v>0</v>
      </c>
      <c r="H4" t="inlineStr">
        <is>
          <t>No</t>
        </is>
      </c>
      <c r="I4" t="inlineStr"/>
    </row>
    <row r="5">
      <c r="A5" s="2" t="n">
        <v>45967</v>
      </c>
      <c r="B5" t="inlineStr">
        <is>
          <t>TDVI</t>
        </is>
      </c>
      <c r="C5" t="inlineStr">
        <is>
          <t>PASS</t>
        </is>
      </c>
      <c r="D5" t="b">
        <v>1</v>
      </c>
      <c r="E5" t="b">
        <v>1</v>
      </c>
      <c r="F5" t="b">
        <v>0</v>
      </c>
      <c r="G5" t="b">
        <v>0</v>
      </c>
      <c r="H5" t="inlineStr">
        <is>
          <t>No</t>
        </is>
      </c>
      <c r="I5" t="inlineStr">
        <is>
          <t>Information Technology Sector</t>
        </is>
      </c>
    </row>
    <row r="6">
      <c r="A6"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6" t="inlineStr"/>
      <c r="C6" t="inlineStr"/>
      <c r="D6" t="inlineStr"/>
      <c r="E6" t="inlineStr"/>
      <c r="F6" t="inlineStr"/>
      <c r="G6" t="inlineStr"/>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cols>
    <col width="12" customWidth="1" min="1" max="1"/>
    <col width="8"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45967</v>
      </c>
      <c r="B2" t="inlineStr">
        <is>
          <t>KNG</t>
        </is>
      </c>
      <c r="C2" t="inlineStr">
        <is>
          <t>GICS_INDUSTRY_GROUP_NAME</t>
        </is>
      </c>
      <c r="D2" t="inlineStr">
        <is>
          <t>Capital Goods</t>
        </is>
      </c>
      <c r="E2" t="inlineStr">
        <is>
          <t>Industrials</t>
        </is>
      </c>
      <c r="F2" t="inlineStr"/>
      <c r="G2" t="inlineStr"/>
      <c r="H2" t="inlineStr">
        <is>
          <t>16.29%</t>
        </is>
      </c>
      <c r="I2" t="inlineStr">
        <is>
          <t>0.00%</t>
        </is>
      </c>
    </row>
    <row r="3">
      <c r="A3" s="2" t="n">
        <v>45967</v>
      </c>
      <c r="B3" t="inlineStr">
        <is>
          <t>KNG</t>
        </is>
      </c>
      <c r="C3" t="inlineStr">
        <is>
          <t>GICS_INDUSTRY_GROUP_NAME</t>
        </is>
      </c>
      <c r="D3" t="inlineStr">
        <is>
          <t>Materials</t>
        </is>
      </c>
      <c r="E3" t="inlineStr">
        <is>
          <t>Materials</t>
        </is>
      </c>
      <c r="F3" t="inlineStr"/>
      <c r="G3" t="inlineStr"/>
      <c r="H3" t="inlineStr">
        <is>
          <t>11.65%</t>
        </is>
      </c>
      <c r="I3" t="inlineStr">
        <is>
          <t>0.00%</t>
        </is>
      </c>
    </row>
    <row r="4">
      <c r="A4" s="2" t="n">
        <v>45967</v>
      </c>
      <c r="B4" t="inlineStr">
        <is>
          <t>KNG</t>
        </is>
      </c>
      <c r="C4" t="inlineStr">
        <is>
          <t>GICS_INDUSTRY_GROUP_NAME</t>
        </is>
      </c>
      <c r="D4" t="inlineStr">
        <is>
          <t>Food, Beverage &amp; Tobacco</t>
        </is>
      </c>
      <c r="E4" t="inlineStr">
        <is>
          <t>Consumer Staples</t>
        </is>
      </c>
      <c r="F4" t="inlineStr"/>
      <c r="G4" t="inlineStr"/>
      <c r="H4" t="inlineStr">
        <is>
          <t>9.77%</t>
        </is>
      </c>
      <c r="I4" t="inlineStr">
        <is>
          <t>0.00%</t>
        </is>
      </c>
    </row>
    <row r="5">
      <c r="A5" s="2" t="n">
        <v>45967</v>
      </c>
      <c r="B5" t="inlineStr">
        <is>
          <t>KNG</t>
        </is>
      </c>
      <c r="C5" t="inlineStr">
        <is>
          <t>GICS_INDUSTRY_NAME</t>
        </is>
      </c>
      <c r="D5" t="inlineStr">
        <is>
          <t>Machinery</t>
        </is>
      </c>
      <c r="E5" t="inlineStr">
        <is>
          <t>Industrials</t>
        </is>
      </c>
      <c r="F5" t="inlineStr"/>
      <c r="G5" t="inlineStr"/>
      <c r="H5" t="inlineStr">
        <is>
          <t>9.00%</t>
        </is>
      </c>
      <c r="I5" t="inlineStr">
        <is>
          <t>0.00%</t>
        </is>
      </c>
    </row>
    <row r="6">
      <c r="A6" s="2" t="n">
        <v>45967</v>
      </c>
      <c r="B6" t="inlineStr">
        <is>
          <t>KNG</t>
        </is>
      </c>
      <c r="C6" t="inlineStr">
        <is>
          <t>GICS_INDUSTRY_NAME</t>
        </is>
      </c>
      <c r="D6" t="inlineStr">
        <is>
          <t>Chemicals</t>
        </is>
      </c>
      <c r="E6" t="inlineStr">
        <is>
          <t>Materials</t>
        </is>
      </c>
      <c r="F6" t="inlineStr"/>
      <c r="G6" t="inlineStr"/>
      <c r="H6" t="inlineStr">
        <is>
          <t>8.58%</t>
        </is>
      </c>
      <c r="I6" t="inlineStr">
        <is>
          <t>0.00%</t>
        </is>
      </c>
    </row>
    <row r="7">
      <c r="A7" s="2" t="n">
        <v>45967</v>
      </c>
      <c r="B7" t="inlineStr">
        <is>
          <t>KNG</t>
        </is>
      </c>
      <c r="C7" t="inlineStr">
        <is>
          <t>GICS_INDUSTRY_GROUP_NAME</t>
        </is>
      </c>
      <c r="D7" t="inlineStr">
        <is>
          <t>Household &amp; Personal Products</t>
        </is>
      </c>
      <c r="E7" t="inlineStr">
        <is>
          <t>Consumer Staples</t>
        </is>
      </c>
      <c r="F7" t="inlineStr"/>
      <c r="G7" t="inlineStr"/>
      <c r="H7" t="inlineStr">
        <is>
          <t>8.49%</t>
        </is>
      </c>
      <c r="I7" t="inlineStr">
        <is>
          <t>0.00%</t>
        </is>
      </c>
    </row>
    <row r="8">
      <c r="A8" s="2" t="n">
        <v>45967</v>
      </c>
      <c r="B8" t="inlineStr">
        <is>
          <t>KNG</t>
        </is>
      </c>
      <c r="C8" t="inlineStr">
        <is>
          <t>GICS_INDUSTRY_GROUP_NAME</t>
        </is>
      </c>
      <c r="D8" t="inlineStr">
        <is>
          <t>Insurance</t>
        </is>
      </c>
      <c r="E8" t="inlineStr">
        <is>
          <t>Financials</t>
        </is>
      </c>
      <c r="F8" t="inlineStr"/>
      <c r="G8" t="inlineStr"/>
      <c r="H8" t="inlineStr">
        <is>
          <t>7.18%</t>
        </is>
      </c>
      <c r="I8" t="inlineStr">
        <is>
          <t>0.00%</t>
        </is>
      </c>
    </row>
    <row r="9">
      <c r="A9" s="2" t="n">
        <v>45967</v>
      </c>
      <c r="B9" t="inlineStr">
        <is>
          <t>KNG</t>
        </is>
      </c>
      <c r="C9" t="inlineStr">
        <is>
          <t>GICS_INDUSTRY_NAME</t>
        </is>
      </c>
      <c r="D9" t="inlineStr">
        <is>
          <t>Insurance</t>
        </is>
      </c>
      <c r="E9" t="inlineStr">
        <is>
          <t>Financials</t>
        </is>
      </c>
      <c r="F9" t="inlineStr"/>
      <c r="G9" t="inlineStr"/>
      <c r="H9" t="inlineStr">
        <is>
          <t>7.18%</t>
        </is>
      </c>
      <c r="I9" t="inlineStr">
        <is>
          <t>0.00%</t>
        </is>
      </c>
    </row>
    <row r="10">
      <c r="A10" s="2" t="n">
        <v>45967</v>
      </c>
      <c r="B10" t="inlineStr">
        <is>
          <t>KNG</t>
        </is>
      </c>
      <c r="C10" t="inlineStr">
        <is>
          <t>GICS_INDUSTRY_NAME</t>
        </is>
      </c>
      <c r="D10" t="inlineStr">
        <is>
          <t>Household Products</t>
        </is>
      </c>
      <c r="E10" t="inlineStr">
        <is>
          <t>Consumer Staples</t>
        </is>
      </c>
      <c r="F10" t="inlineStr"/>
      <c r="G10" t="inlineStr"/>
      <c r="H10" t="inlineStr">
        <is>
          <t>6.88%</t>
        </is>
      </c>
      <c r="I10" t="inlineStr">
        <is>
          <t>0.00%</t>
        </is>
      </c>
    </row>
    <row r="11">
      <c r="A11" s="2" t="n">
        <v>45967</v>
      </c>
      <c r="B11" t="inlineStr">
        <is>
          <t>KNG</t>
        </is>
      </c>
      <c r="C11" t="inlineStr">
        <is>
          <t>GICS_INDUSTRY_GROUP_NAME</t>
        </is>
      </c>
      <c r="D11" t="inlineStr">
        <is>
          <t>Health Care Equipment &amp; Services</t>
        </is>
      </c>
      <c r="E11" t="inlineStr">
        <is>
          <t>Health Care</t>
        </is>
      </c>
      <c r="F11" t="inlineStr"/>
      <c r="G11" t="inlineStr"/>
      <c r="H11" t="inlineStr">
        <is>
          <t>6.07%</t>
        </is>
      </c>
      <c r="I11" t="inlineStr">
        <is>
          <t>0.00%</t>
        </is>
      </c>
    </row>
    <row r="12">
      <c r="A12" s="2" t="n">
        <v>45967</v>
      </c>
      <c r="B12" t="inlineStr">
        <is>
          <t>KNG</t>
        </is>
      </c>
      <c r="C12" t="inlineStr">
        <is>
          <t>GICS_INDUSTRY_GROUP_NAME</t>
        </is>
      </c>
      <c r="D12" t="inlineStr">
        <is>
          <t>Financial Services</t>
        </is>
      </c>
      <c r="E12" t="inlineStr">
        <is>
          <t>Financials</t>
        </is>
      </c>
      <c r="F12" t="inlineStr"/>
      <c r="G12" t="inlineStr"/>
      <c r="H12" t="inlineStr">
        <is>
          <t>5.81%</t>
        </is>
      </c>
      <c r="I12" t="inlineStr">
        <is>
          <t>0.00%</t>
        </is>
      </c>
    </row>
    <row r="13">
      <c r="A13" s="2" t="n">
        <v>45967</v>
      </c>
      <c r="B13" t="inlineStr">
        <is>
          <t>KNG</t>
        </is>
      </c>
      <c r="C13" t="inlineStr">
        <is>
          <t>GICS_INDUSTRY_NAME</t>
        </is>
      </c>
      <c r="D13" t="inlineStr">
        <is>
          <t>Capital Markets</t>
        </is>
      </c>
      <c r="E13" t="inlineStr">
        <is>
          <t>Financials</t>
        </is>
      </c>
      <c r="F13" t="inlineStr"/>
      <c r="G13" t="inlineStr"/>
      <c r="H13" t="inlineStr">
        <is>
          <t>5.81%</t>
        </is>
      </c>
      <c r="I13" t="inlineStr">
        <is>
          <t>0.00%</t>
        </is>
      </c>
    </row>
    <row r="14">
      <c r="A14" s="2" t="n">
        <v>45967</v>
      </c>
      <c r="B14" t="inlineStr">
        <is>
          <t>KNG</t>
        </is>
      </c>
      <c r="C14" t="inlineStr">
        <is>
          <t>GICS_INDUSTRY_GROUP_NAME</t>
        </is>
      </c>
      <c r="D14" t="inlineStr">
        <is>
          <t>Utilities</t>
        </is>
      </c>
      <c r="E14" t="inlineStr">
        <is>
          <t>Utilities</t>
        </is>
      </c>
      <c r="F14" t="inlineStr"/>
      <c r="G14" t="inlineStr"/>
      <c r="H14" t="inlineStr">
        <is>
          <t>5.79%</t>
        </is>
      </c>
      <c r="I14" t="inlineStr">
        <is>
          <t>0.00%</t>
        </is>
      </c>
    </row>
    <row r="15">
      <c r="A15" s="2" t="n">
        <v>45967</v>
      </c>
      <c r="B15" t="inlineStr">
        <is>
          <t>KNG</t>
        </is>
      </c>
      <c r="C15" t="inlineStr">
        <is>
          <t>GICS_INDUSTRY_NAME</t>
        </is>
      </c>
      <c r="D15" t="inlineStr">
        <is>
          <t>Food Products</t>
        </is>
      </c>
      <c r="E15" t="inlineStr">
        <is>
          <t>Consumer Staples</t>
        </is>
      </c>
      <c r="F15" t="inlineStr"/>
      <c r="G15" t="inlineStr"/>
      <c r="H15" t="inlineStr">
        <is>
          <t>5.56%</t>
        </is>
      </c>
      <c r="I15" t="inlineStr">
        <is>
          <t>0.00%</t>
        </is>
      </c>
    </row>
    <row r="16">
      <c r="A16" s="2" t="n">
        <v>45967</v>
      </c>
      <c r="B16" t="inlineStr">
        <is>
          <t>KNG</t>
        </is>
      </c>
      <c r="C16" t="inlineStr">
        <is>
          <t>GICS_INDUSTRY_GROUP_NAME</t>
        </is>
      </c>
      <c r="D16" t="inlineStr">
        <is>
          <t>Pharmaceuticals, Biotechnology &amp; Life Sciences</t>
        </is>
      </c>
      <c r="E16" t="inlineStr">
        <is>
          <t>Health Care</t>
        </is>
      </c>
      <c r="F16" t="inlineStr"/>
      <c r="G16" t="inlineStr"/>
      <c r="H16" t="inlineStr">
        <is>
          <t>4.33%</t>
        </is>
      </c>
      <c r="I16" t="inlineStr">
        <is>
          <t>0.00%</t>
        </is>
      </c>
    </row>
    <row r="17">
      <c r="A17" s="2" t="n">
        <v>45967</v>
      </c>
      <c r="B17" t="inlineStr">
        <is>
          <t>KNG</t>
        </is>
      </c>
      <c r="C17" t="inlineStr">
        <is>
          <t>GICS_INDUSTRY_NAME</t>
        </is>
      </c>
      <c r="D17" t="inlineStr">
        <is>
          <t>Health Care Equipment &amp; Supplies</t>
        </is>
      </c>
      <c r="E17" t="inlineStr">
        <is>
          <t>Health Care</t>
        </is>
      </c>
      <c r="F17" t="inlineStr"/>
      <c r="G17" t="inlineStr"/>
      <c r="H17" t="inlineStr">
        <is>
          <t>4.24%</t>
        </is>
      </c>
      <c r="I17" t="inlineStr">
        <is>
          <t>0.00%</t>
        </is>
      </c>
    </row>
    <row r="18">
      <c r="A18" s="2" t="n">
        <v>45967</v>
      </c>
      <c r="B18" t="inlineStr">
        <is>
          <t>KNG</t>
        </is>
      </c>
      <c r="C18" t="inlineStr">
        <is>
          <t>GICS_INDUSTRY_GROUP_NAME</t>
        </is>
      </c>
      <c r="D18" t="inlineStr">
        <is>
          <t>Equity Real Estate Investment Trusts</t>
        </is>
      </c>
      <c r="E18" t="inlineStr">
        <is>
          <t>Real Estate</t>
        </is>
      </c>
      <c r="F18" t="inlineStr"/>
      <c r="G18" t="inlineStr"/>
      <c r="H18" t="inlineStr">
        <is>
          <t>4.23%</t>
        </is>
      </c>
      <c r="I18" t="inlineStr">
        <is>
          <t>0.00%</t>
        </is>
      </c>
    </row>
    <row r="19">
      <c r="A19" s="2" t="n">
        <v>45967</v>
      </c>
      <c r="B19" t="inlineStr">
        <is>
          <t>KNG</t>
        </is>
      </c>
      <c r="C19" t="inlineStr">
        <is>
          <t>GICS_INDUSTRY_NAME</t>
        </is>
      </c>
      <c r="D19" t="inlineStr">
        <is>
          <t>Beverages</t>
        </is>
      </c>
      <c r="E19" t="inlineStr">
        <is>
          <t>Consumer Staples</t>
        </is>
      </c>
      <c r="F19" t="inlineStr"/>
      <c r="G19" t="inlineStr"/>
      <c r="H19" t="inlineStr">
        <is>
          <t>4.22%</t>
        </is>
      </c>
      <c r="I19" t="inlineStr">
        <is>
          <t>0.00%</t>
        </is>
      </c>
    </row>
    <row r="20">
      <c r="A20" s="2" t="n">
        <v>45967</v>
      </c>
      <c r="B20" t="inlineStr">
        <is>
          <t>KNG</t>
        </is>
      </c>
      <c r="C20" t="inlineStr">
        <is>
          <t>GICS_INDUSTRY_GROUP_NAME</t>
        </is>
      </c>
      <c r="D20" t="inlineStr">
        <is>
          <t>Consumer Staples Distribution &amp; Retail</t>
        </is>
      </c>
      <c r="E20" t="inlineStr">
        <is>
          <t>Consumer Staples</t>
        </is>
      </c>
      <c r="F20" t="inlineStr"/>
      <c r="G20" t="inlineStr"/>
      <c r="H20" t="inlineStr">
        <is>
          <t>4.19%</t>
        </is>
      </c>
      <c r="I20" t="inlineStr">
        <is>
          <t>0.00%</t>
        </is>
      </c>
    </row>
    <row r="21">
      <c r="A21" s="2" t="n">
        <v>45967</v>
      </c>
      <c r="B21" t="inlineStr">
        <is>
          <t>KNG</t>
        </is>
      </c>
      <c r="C21" t="inlineStr">
        <is>
          <t>GICS_INDUSTRY_NAME</t>
        </is>
      </c>
      <c r="D21" t="inlineStr">
        <is>
          <t>Consumer Staples Distribution &amp; Retail</t>
        </is>
      </c>
      <c r="E21" t="inlineStr">
        <is>
          <t>Consumer Staples</t>
        </is>
      </c>
      <c r="F21" t="inlineStr"/>
      <c r="G21" t="inlineStr"/>
      <c r="H21" t="inlineStr">
        <is>
          <t>4.19%</t>
        </is>
      </c>
      <c r="I21" t="inlineStr">
        <is>
          <t>0.00%</t>
        </is>
      </c>
    </row>
    <row r="22">
      <c r="A22" s="2" t="n">
        <v>45967</v>
      </c>
      <c r="B22" t="inlineStr">
        <is>
          <t>KNG</t>
        </is>
      </c>
      <c r="C22" t="inlineStr">
        <is>
          <t>GICS_INDUSTRY_GROUP_NAME</t>
        </is>
      </c>
      <c r="D22" t="inlineStr">
        <is>
          <t>Transportation</t>
        </is>
      </c>
      <c r="E22" t="inlineStr">
        <is>
          <t>Industrials</t>
        </is>
      </c>
      <c r="F22" t="inlineStr"/>
      <c r="G22" t="inlineStr"/>
      <c r="H22" t="inlineStr">
        <is>
          <t>3.41%</t>
        </is>
      </c>
      <c r="I22" t="inlineStr">
        <is>
          <t>0.00%</t>
        </is>
      </c>
    </row>
    <row r="23">
      <c r="A23" s="2" t="n">
        <v>45967</v>
      </c>
      <c r="B23" t="inlineStr">
        <is>
          <t>KNG</t>
        </is>
      </c>
      <c r="C23" t="inlineStr">
        <is>
          <t>GICS_INDUSTRY_NAME</t>
        </is>
      </c>
      <c r="D23" t="inlineStr">
        <is>
          <t>Air Freight &amp; Logistics</t>
        </is>
      </c>
      <c r="E23" t="inlineStr">
        <is>
          <t>Industrials</t>
        </is>
      </c>
      <c r="F23" t="inlineStr"/>
      <c r="G23" t="inlineStr"/>
      <c r="H23" t="inlineStr">
        <is>
          <t>3.41%</t>
        </is>
      </c>
      <c r="I23" t="inlineStr">
        <is>
          <t>0.00%</t>
        </is>
      </c>
    </row>
    <row r="24">
      <c r="A24" s="2" t="n">
        <v>45967</v>
      </c>
      <c r="B24" t="inlineStr">
        <is>
          <t>KNG</t>
        </is>
      </c>
      <c r="C24" t="inlineStr">
        <is>
          <t>GICS_INDUSTRY_GROUP_NAME</t>
        </is>
      </c>
      <c r="D24" t="inlineStr">
        <is>
          <t>Energy</t>
        </is>
      </c>
      <c r="E24" t="inlineStr">
        <is>
          <t>Energy</t>
        </is>
      </c>
      <c r="F24" t="inlineStr"/>
      <c r="G24" t="inlineStr"/>
      <c r="H24" t="inlineStr">
        <is>
          <t>2.94%</t>
        </is>
      </c>
      <c r="I24" t="inlineStr">
        <is>
          <t>0.00%</t>
        </is>
      </c>
    </row>
    <row r="25">
      <c r="A25" s="2" t="n">
        <v>45967</v>
      </c>
      <c r="B25" t="inlineStr">
        <is>
          <t>KNG</t>
        </is>
      </c>
      <c r="C25" t="inlineStr">
        <is>
          <t>GICS_INDUSTRY_NAME</t>
        </is>
      </c>
      <c r="D25" t="inlineStr">
        <is>
          <t>Oil, Gas &amp; Consumable Fuels</t>
        </is>
      </c>
      <c r="E25" t="inlineStr">
        <is>
          <t>Energy</t>
        </is>
      </c>
      <c r="F25" t="inlineStr"/>
      <c r="G25" t="inlineStr"/>
      <c r="H25" t="inlineStr">
        <is>
          <t>2.94%</t>
        </is>
      </c>
      <c r="I25" t="inlineStr">
        <is>
          <t>0.00%</t>
        </is>
      </c>
    </row>
    <row r="26">
      <c r="A26" s="2" t="n">
        <v>45967</v>
      </c>
      <c r="B26" t="inlineStr">
        <is>
          <t>KNG</t>
        </is>
      </c>
      <c r="C26" t="inlineStr">
        <is>
          <t>GICS_INDUSTRY_NAME</t>
        </is>
      </c>
      <c r="D26" t="inlineStr">
        <is>
          <t>Electric Utilities</t>
        </is>
      </c>
      <c r="E26" t="inlineStr">
        <is>
          <t>Utilities</t>
        </is>
      </c>
      <c r="F26" t="inlineStr"/>
      <c r="G26" t="inlineStr"/>
      <c r="H26" t="inlineStr">
        <is>
          <t>2.92%</t>
        </is>
      </c>
      <c r="I26" t="inlineStr">
        <is>
          <t>0.00%</t>
        </is>
      </c>
    </row>
    <row r="27">
      <c r="A27" s="2" t="n">
        <v>45967</v>
      </c>
      <c r="B27" t="inlineStr">
        <is>
          <t>KNG</t>
        </is>
      </c>
      <c r="C27" t="inlineStr">
        <is>
          <t>GICS_INDUSTRY_GROUP_NAME</t>
        </is>
      </c>
      <c r="D27" t="inlineStr">
        <is>
          <t>Software &amp; Services</t>
        </is>
      </c>
      <c r="E27" t="inlineStr">
        <is>
          <t>Information Technology</t>
        </is>
      </c>
      <c r="F27" t="inlineStr"/>
      <c r="G27" t="inlineStr"/>
      <c r="H27" t="inlineStr">
        <is>
          <t>2.90%</t>
        </is>
      </c>
      <c r="I27" t="inlineStr">
        <is>
          <t>0.00%</t>
        </is>
      </c>
    </row>
    <row r="28">
      <c r="A28" s="2" t="n">
        <v>45967</v>
      </c>
      <c r="B28" t="inlineStr">
        <is>
          <t>KNG</t>
        </is>
      </c>
      <c r="C28" t="inlineStr">
        <is>
          <t>GICS_INDUSTRY_NAME</t>
        </is>
      </c>
      <c r="D28" t="inlineStr">
        <is>
          <t>Trading Companies &amp; Distributors</t>
        </is>
      </c>
      <c r="E28" t="inlineStr">
        <is>
          <t>Industrials</t>
        </is>
      </c>
      <c r="F28" t="inlineStr"/>
      <c r="G28" t="inlineStr"/>
      <c r="H28" t="inlineStr">
        <is>
          <t>2.88%</t>
        </is>
      </c>
      <c r="I28" t="inlineStr">
        <is>
          <t>0.00%</t>
        </is>
      </c>
    </row>
    <row r="29">
      <c r="A29" s="2" t="n">
        <v>45967</v>
      </c>
      <c r="B29" t="inlineStr">
        <is>
          <t>KNG</t>
        </is>
      </c>
      <c r="C29" t="inlineStr">
        <is>
          <t>GICS_INDUSTRY_GROUP_NAME</t>
        </is>
      </c>
      <c r="D29" t="inlineStr">
        <is>
          <t>Consumer Discretionary Distribution &amp; Retail</t>
        </is>
      </c>
      <c r="E29" t="inlineStr">
        <is>
          <t>Consumer Discretionary</t>
        </is>
      </c>
      <c r="F29" t="inlineStr"/>
      <c r="G29" t="inlineStr"/>
      <c r="H29" t="inlineStr">
        <is>
          <t>2.80%</t>
        </is>
      </c>
      <c r="I29" t="inlineStr">
        <is>
          <t>0.00%</t>
        </is>
      </c>
    </row>
    <row r="30">
      <c r="A30" s="2" t="n">
        <v>45967</v>
      </c>
      <c r="B30" t="inlineStr">
        <is>
          <t>KNG</t>
        </is>
      </c>
      <c r="C30" t="inlineStr">
        <is>
          <t>GICS_INDUSTRY_NAME</t>
        </is>
      </c>
      <c r="D30" t="inlineStr">
        <is>
          <t>Retail REITs</t>
        </is>
      </c>
      <c r="E30" t="inlineStr">
        <is>
          <t>Real Estate</t>
        </is>
      </c>
      <c r="F30" t="inlineStr"/>
      <c r="G30" t="inlineStr"/>
      <c r="H30" t="inlineStr">
        <is>
          <t>2.79%</t>
        </is>
      </c>
      <c r="I30" t="inlineStr">
        <is>
          <t>0.00%</t>
        </is>
      </c>
    </row>
    <row r="31">
      <c r="A31" s="2" t="n">
        <v>45967</v>
      </c>
      <c r="B31" t="inlineStr">
        <is>
          <t>KNG</t>
        </is>
      </c>
      <c r="C31" t="inlineStr">
        <is>
          <t>GICS_INDUSTRY_GROUP_NAME</t>
        </is>
      </c>
      <c r="D31" t="inlineStr">
        <is>
          <t>Commercial &amp; Professional Services</t>
        </is>
      </c>
      <c r="E31" t="inlineStr">
        <is>
          <t>Industrials</t>
        </is>
      </c>
      <c r="F31" t="inlineStr"/>
      <c r="G31" t="inlineStr"/>
      <c r="H31" t="inlineStr">
        <is>
          <t>2.73%</t>
        </is>
      </c>
      <c r="I31" t="inlineStr">
        <is>
          <t>0.00%</t>
        </is>
      </c>
    </row>
    <row r="32">
      <c r="A32" s="2" t="n">
        <v>45967</v>
      </c>
      <c r="B32" t="inlineStr">
        <is>
          <t>KNG</t>
        </is>
      </c>
      <c r="C32" t="inlineStr">
        <is>
          <t>GICS_INDUSTRY_NAME</t>
        </is>
      </c>
      <c r="D32" t="inlineStr">
        <is>
          <t>Health Care Providers &amp; Services</t>
        </is>
      </c>
      <c r="E32" t="inlineStr">
        <is>
          <t>Health Care</t>
        </is>
      </c>
      <c r="F32" t="inlineStr"/>
      <c r="G32" t="inlineStr"/>
      <c r="H32" t="inlineStr">
        <is>
          <t>1.84%</t>
        </is>
      </c>
      <c r="I32" t="inlineStr">
        <is>
          <t>0.00%</t>
        </is>
      </c>
    </row>
    <row r="33">
      <c r="A33" s="2" t="n">
        <v>45967</v>
      </c>
      <c r="B33" t="inlineStr">
        <is>
          <t>KNG</t>
        </is>
      </c>
      <c r="C33" t="inlineStr">
        <is>
          <t>GICS_INDUSTRY_NAME</t>
        </is>
      </c>
      <c r="D33" t="inlineStr">
        <is>
          <t>IT Services</t>
        </is>
      </c>
      <c r="E33" t="inlineStr">
        <is>
          <t>Information Technology</t>
        </is>
      </c>
      <c r="F33" t="inlineStr"/>
      <c r="G33" t="inlineStr"/>
      <c r="H33" t="inlineStr">
        <is>
          <t>1.61%</t>
        </is>
      </c>
      <c r="I33" t="inlineStr">
        <is>
          <t>0.00%</t>
        </is>
      </c>
    </row>
    <row r="34">
      <c r="A34" s="2" t="n">
        <v>45967</v>
      </c>
      <c r="B34" t="inlineStr">
        <is>
          <t>KNG</t>
        </is>
      </c>
      <c r="C34" t="inlineStr">
        <is>
          <t>GICS_INDUSTRY_NAME</t>
        </is>
      </c>
      <c r="D34" t="inlineStr">
        <is>
          <t>Personal Care Products</t>
        </is>
      </c>
      <c r="E34" t="inlineStr">
        <is>
          <t>Consumer Staples</t>
        </is>
      </c>
      <c r="F34" t="inlineStr"/>
      <c r="G34" t="inlineStr"/>
      <c r="H34" t="inlineStr">
        <is>
          <t>1.61%</t>
        </is>
      </c>
      <c r="I34" t="inlineStr">
        <is>
          <t>0.00%</t>
        </is>
      </c>
    </row>
    <row r="35">
      <c r="A35" s="2" t="n">
        <v>45967</v>
      </c>
      <c r="B35" t="inlineStr">
        <is>
          <t>KNG</t>
        </is>
      </c>
      <c r="C35" t="inlineStr">
        <is>
          <t>GICS_INDUSTRY_NAME</t>
        </is>
      </c>
      <c r="D35" t="inlineStr">
        <is>
          <t>Metals &amp; Mining</t>
        </is>
      </c>
      <c r="E35" t="inlineStr">
        <is>
          <t>Materials</t>
        </is>
      </c>
      <c r="F35" t="inlineStr"/>
      <c r="G35" t="inlineStr"/>
      <c r="H35" t="inlineStr">
        <is>
          <t>1.57%</t>
        </is>
      </c>
      <c r="I35" t="inlineStr">
        <is>
          <t>0.00%</t>
        </is>
      </c>
    </row>
    <row r="36">
      <c r="A36" s="2" t="n">
        <v>45967</v>
      </c>
      <c r="B36" t="inlineStr">
        <is>
          <t>KNG</t>
        </is>
      </c>
      <c r="C36" t="inlineStr">
        <is>
          <t>GICS_INDUSTRY_NAME</t>
        </is>
      </c>
      <c r="D36" t="inlineStr">
        <is>
          <t>Electrical Equipment</t>
        </is>
      </c>
      <c r="E36" t="inlineStr">
        <is>
          <t>Industrials</t>
        </is>
      </c>
      <c r="F36" t="inlineStr"/>
      <c r="G36" t="inlineStr"/>
      <c r="H36" t="inlineStr">
        <is>
          <t>1.50%</t>
        </is>
      </c>
      <c r="I36" t="inlineStr">
        <is>
          <t>0.00%</t>
        </is>
      </c>
    </row>
    <row r="37">
      <c r="A37" s="2" t="n">
        <v>45967</v>
      </c>
      <c r="B37" t="inlineStr">
        <is>
          <t>KNG</t>
        </is>
      </c>
      <c r="C37" t="inlineStr">
        <is>
          <t>GICS_INDUSTRY_NAME</t>
        </is>
      </c>
      <c r="D37" t="inlineStr">
        <is>
          <t>Containers &amp; Packaging</t>
        </is>
      </c>
      <c r="E37" t="inlineStr">
        <is>
          <t>Materials</t>
        </is>
      </c>
      <c r="F37" t="inlineStr"/>
      <c r="G37" t="inlineStr"/>
      <c r="H37" t="inlineStr">
        <is>
          <t>1.50%</t>
        </is>
      </c>
      <c r="I37" t="inlineStr">
        <is>
          <t>0.00%</t>
        </is>
      </c>
    </row>
    <row r="38">
      <c r="A38" s="2" t="n">
        <v>45967</v>
      </c>
      <c r="B38" t="inlineStr">
        <is>
          <t>KNG</t>
        </is>
      </c>
      <c r="C38" t="inlineStr">
        <is>
          <t>GICS_INDUSTRY_NAME</t>
        </is>
      </c>
      <c r="D38" t="inlineStr">
        <is>
          <t>Aerospace &amp; Defense</t>
        </is>
      </c>
      <c r="E38" t="inlineStr">
        <is>
          <t>Industrials</t>
        </is>
      </c>
      <c r="F38" t="inlineStr"/>
      <c r="G38" t="inlineStr"/>
      <c r="H38" t="inlineStr">
        <is>
          <t>1.49%</t>
        </is>
      </c>
      <c r="I38" t="inlineStr">
        <is>
          <t>0.00%</t>
        </is>
      </c>
    </row>
    <row r="39">
      <c r="A39" s="2" t="n">
        <v>45967</v>
      </c>
      <c r="B39" t="inlineStr">
        <is>
          <t>KNG</t>
        </is>
      </c>
      <c r="C39" t="inlineStr">
        <is>
          <t>GICS_INDUSTRY_NAME</t>
        </is>
      </c>
      <c r="D39" t="inlineStr">
        <is>
          <t>Life Sciences Tools &amp; Services</t>
        </is>
      </c>
      <c r="E39" t="inlineStr">
        <is>
          <t>Health Care</t>
        </is>
      </c>
      <c r="F39" t="inlineStr"/>
      <c r="G39" t="inlineStr"/>
      <c r="H39" t="inlineStr">
        <is>
          <t>1.47%</t>
        </is>
      </c>
      <c r="I39" t="inlineStr">
        <is>
          <t>0.00%</t>
        </is>
      </c>
    </row>
    <row r="40">
      <c r="A40" s="2" t="n">
        <v>45967</v>
      </c>
      <c r="B40" t="inlineStr">
        <is>
          <t>KNG</t>
        </is>
      </c>
      <c r="C40" t="inlineStr">
        <is>
          <t>GICS_INDUSTRY_NAME</t>
        </is>
      </c>
      <c r="D40" t="inlineStr">
        <is>
          <t>Gas Utilities</t>
        </is>
      </c>
      <c r="E40" t="inlineStr">
        <is>
          <t>Utilities</t>
        </is>
      </c>
      <c r="F40" t="inlineStr"/>
      <c r="G40" t="inlineStr"/>
      <c r="H40" t="inlineStr">
        <is>
          <t>1.47%</t>
        </is>
      </c>
      <c r="I40" t="inlineStr">
        <is>
          <t>0.00%</t>
        </is>
      </c>
    </row>
    <row r="41">
      <c r="A41" s="2" t="n">
        <v>45967</v>
      </c>
      <c r="B41" t="inlineStr">
        <is>
          <t>KNG</t>
        </is>
      </c>
      <c r="C41" t="inlineStr">
        <is>
          <t>GICS_INDUSTRY_NAME</t>
        </is>
      </c>
      <c r="D41" t="inlineStr">
        <is>
          <t>Residential REITs</t>
        </is>
      </c>
      <c r="E41" t="inlineStr">
        <is>
          <t>Real Estate</t>
        </is>
      </c>
      <c r="F41" t="inlineStr"/>
      <c r="G41" t="inlineStr"/>
      <c r="H41" t="inlineStr">
        <is>
          <t>1.44%</t>
        </is>
      </c>
      <c r="I41" t="inlineStr">
        <is>
          <t>0.00%</t>
        </is>
      </c>
    </row>
    <row r="42">
      <c r="A42" s="2" t="n">
        <v>45967</v>
      </c>
      <c r="B42" t="inlineStr">
        <is>
          <t>KNG</t>
        </is>
      </c>
      <c r="C42" t="inlineStr">
        <is>
          <t>GICS_INDUSTRY_NAME</t>
        </is>
      </c>
      <c r="D42" t="inlineStr">
        <is>
          <t>Pharmaceuticals</t>
        </is>
      </c>
      <c r="E42" t="inlineStr">
        <is>
          <t>Health Care</t>
        </is>
      </c>
      <c r="F42" t="inlineStr"/>
      <c r="G42" t="inlineStr"/>
      <c r="H42" t="inlineStr">
        <is>
          <t>1.44%</t>
        </is>
      </c>
      <c r="I42" t="inlineStr">
        <is>
          <t>0.00%</t>
        </is>
      </c>
    </row>
    <row r="43">
      <c r="A43" s="2" t="n">
        <v>45967</v>
      </c>
      <c r="B43" t="inlineStr">
        <is>
          <t>KNG</t>
        </is>
      </c>
      <c r="C43" t="inlineStr">
        <is>
          <t>GICS_INDUSTRY_GROUP_NAME</t>
        </is>
      </c>
      <c r="D43" t="inlineStr">
        <is>
          <t>Consumer Services</t>
        </is>
      </c>
      <c r="E43" t="inlineStr">
        <is>
          <t>Consumer Discretionary</t>
        </is>
      </c>
      <c r="F43" t="inlineStr"/>
      <c r="G43" t="inlineStr"/>
      <c r="H43" t="inlineStr">
        <is>
          <t>1.43%</t>
        </is>
      </c>
      <c r="I43" t="inlineStr">
        <is>
          <t>0.00%</t>
        </is>
      </c>
    </row>
    <row r="44">
      <c r="A44" s="2" t="n">
        <v>45967</v>
      </c>
      <c r="B44" t="inlineStr">
        <is>
          <t>KNG</t>
        </is>
      </c>
      <c r="C44" t="inlineStr">
        <is>
          <t>GICS_INDUSTRY_NAME</t>
        </is>
      </c>
      <c r="D44" t="inlineStr">
        <is>
          <t>Hotels, Restaurants &amp; Leisure</t>
        </is>
      </c>
      <c r="E44" t="inlineStr">
        <is>
          <t>Consumer Discretionary</t>
        </is>
      </c>
      <c r="F44" t="inlineStr"/>
      <c r="G44" t="inlineStr"/>
      <c r="H44" t="inlineStr">
        <is>
          <t>1.43%</t>
        </is>
      </c>
      <c r="I44" t="inlineStr">
        <is>
          <t>0.00%</t>
        </is>
      </c>
    </row>
    <row r="45">
      <c r="A45" s="2" t="n">
        <v>45967</v>
      </c>
      <c r="B45" t="inlineStr">
        <is>
          <t>KNG</t>
        </is>
      </c>
      <c r="C45" t="inlineStr">
        <is>
          <t>GICS_INDUSTRY_NAME</t>
        </is>
      </c>
      <c r="D45" t="inlineStr">
        <is>
          <t>Building Products</t>
        </is>
      </c>
      <c r="E45" t="inlineStr">
        <is>
          <t>Industrials</t>
        </is>
      </c>
      <c r="F45" t="inlineStr"/>
      <c r="G45" t="inlineStr"/>
      <c r="H45" t="inlineStr">
        <is>
          <t>1.42%</t>
        </is>
      </c>
      <c r="I45" t="inlineStr">
        <is>
          <t>0.00%</t>
        </is>
      </c>
    </row>
    <row r="46">
      <c r="A46" s="2" t="n">
        <v>45967</v>
      </c>
      <c r="B46" t="inlineStr">
        <is>
          <t>KNG</t>
        </is>
      </c>
      <c r="C46" t="inlineStr">
        <is>
          <t>GICS_INDUSTRY_NAME</t>
        </is>
      </c>
      <c r="D46" t="inlineStr">
        <is>
          <t>Biotechnology</t>
        </is>
      </c>
      <c r="E46" t="inlineStr">
        <is>
          <t>Health Care</t>
        </is>
      </c>
      <c r="F46" t="inlineStr"/>
      <c r="G46" t="inlineStr"/>
      <c r="H46" t="inlineStr">
        <is>
          <t>1.42%</t>
        </is>
      </c>
      <c r="I46" t="inlineStr">
        <is>
          <t>0.00%</t>
        </is>
      </c>
    </row>
    <row r="47">
      <c r="A47" s="2" t="n">
        <v>45967</v>
      </c>
      <c r="B47" t="inlineStr">
        <is>
          <t>KNG</t>
        </is>
      </c>
      <c r="C47" t="inlineStr">
        <is>
          <t>GICS_INDUSTRY_NAME</t>
        </is>
      </c>
      <c r="D47" t="inlineStr">
        <is>
          <t>Commercial Services &amp; Supplies</t>
        </is>
      </c>
      <c r="E47" t="inlineStr">
        <is>
          <t>Industrials</t>
        </is>
      </c>
      <c r="F47" t="inlineStr"/>
      <c r="G47" t="inlineStr"/>
      <c r="H47" t="inlineStr">
        <is>
          <t>1.42%</t>
        </is>
      </c>
      <c r="I47" t="inlineStr">
        <is>
          <t>0.00%</t>
        </is>
      </c>
    </row>
    <row r="48">
      <c r="A48" s="2" t="n">
        <v>45967</v>
      </c>
      <c r="B48" t="inlineStr">
        <is>
          <t>KNG</t>
        </is>
      </c>
      <c r="C48" t="inlineStr">
        <is>
          <t>GICS_INDUSTRY_NAME</t>
        </is>
      </c>
      <c r="D48" t="inlineStr">
        <is>
          <t>Multi-Utilities</t>
        </is>
      </c>
      <c r="E48" t="inlineStr">
        <is>
          <t>Utilities</t>
        </is>
      </c>
      <c r="F48" t="inlineStr"/>
      <c r="G48" t="inlineStr"/>
      <c r="H48" t="inlineStr">
        <is>
          <t>1.41%</t>
        </is>
      </c>
      <c r="I48" t="inlineStr">
        <is>
          <t>0.00%</t>
        </is>
      </c>
    </row>
    <row r="49">
      <c r="A49" s="2" t="n">
        <v>45967</v>
      </c>
      <c r="B49" t="inlineStr">
        <is>
          <t>KNG</t>
        </is>
      </c>
      <c r="C49" t="inlineStr">
        <is>
          <t>GICS_INDUSTRY_NAME</t>
        </is>
      </c>
      <c r="D49" t="inlineStr">
        <is>
          <t>Specialty Retail</t>
        </is>
      </c>
      <c r="E49" t="inlineStr">
        <is>
          <t>Consumer Discretionary</t>
        </is>
      </c>
      <c r="F49" t="inlineStr"/>
      <c r="G49" t="inlineStr"/>
      <c r="H49" t="inlineStr">
        <is>
          <t>1.41%</t>
        </is>
      </c>
      <c r="I49" t="inlineStr">
        <is>
          <t>0.00%</t>
        </is>
      </c>
    </row>
    <row r="50">
      <c r="A50" s="2" t="n">
        <v>45967</v>
      </c>
      <c r="B50" t="inlineStr">
        <is>
          <t>KNG</t>
        </is>
      </c>
      <c r="C50" t="inlineStr">
        <is>
          <t>GICS_INDUSTRY_NAME</t>
        </is>
      </c>
      <c r="D50" t="inlineStr">
        <is>
          <t>Distributors</t>
        </is>
      </c>
      <c r="E50" t="inlineStr">
        <is>
          <t>Consumer Discretionary</t>
        </is>
      </c>
      <c r="F50" t="inlineStr"/>
      <c r="G50" t="inlineStr"/>
      <c r="H50" t="inlineStr">
        <is>
          <t>1.39%</t>
        </is>
      </c>
      <c r="I50" t="inlineStr">
        <is>
          <t>0.00%</t>
        </is>
      </c>
    </row>
    <row r="51">
      <c r="A51" s="2" t="n">
        <v>45967</v>
      </c>
      <c r="B51" t="inlineStr">
        <is>
          <t>KNG</t>
        </is>
      </c>
      <c r="C51" t="inlineStr">
        <is>
          <t>GICS_INDUSTRY_NAME</t>
        </is>
      </c>
      <c r="D51" t="inlineStr">
        <is>
          <t>Professional Services</t>
        </is>
      </c>
      <c r="E51" t="inlineStr">
        <is>
          <t>Industrials</t>
        </is>
      </c>
      <c r="F51" t="inlineStr"/>
      <c r="G51" t="inlineStr"/>
      <c r="H51" t="inlineStr">
        <is>
          <t>1.32%</t>
        </is>
      </c>
      <c r="I51" t="inlineStr">
        <is>
          <t>0.00%</t>
        </is>
      </c>
    </row>
    <row r="52">
      <c r="A52" s="2" t="n">
        <v>45967</v>
      </c>
      <c r="B52" t="inlineStr">
        <is>
          <t>KNG</t>
        </is>
      </c>
      <c r="C52" t="inlineStr">
        <is>
          <t>GICS_INDUSTRY_NAME</t>
        </is>
      </c>
      <c r="D52" t="inlineStr">
        <is>
          <t>Software</t>
        </is>
      </c>
      <c r="E52" t="inlineStr">
        <is>
          <t>Information Technology</t>
        </is>
      </c>
      <c r="F52" t="inlineStr"/>
      <c r="G52" t="inlineStr"/>
      <c r="H52" t="inlineStr">
        <is>
          <t>1.29%</t>
        </is>
      </c>
      <c r="I52" t="inlineStr">
        <is>
          <t>0.00%</t>
        </is>
      </c>
    </row>
    <row r="53">
      <c r="A53" s="2" t="n">
        <v>45967</v>
      </c>
      <c r="B53" t="inlineStr">
        <is>
          <t>P21026</t>
        </is>
      </c>
      <c r="C53" t="inlineStr">
        <is>
          <t>GICS_INDUSTRY_GROUP_NAME</t>
        </is>
      </c>
      <c r="D53" t="inlineStr">
        <is>
          <t>Semiconductors &amp; Semiconductor Equipment</t>
        </is>
      </c>
      <c r="E53" t="inlineStr">
        <is>
          <t>Information Technology</t>
        </is>
      </c>
      <c r="F53" t="inlineStr"/>
      <c r="G53" t="inlineStr"/>
      <c r="H53" t="inlineStr">
        <is>
          <t>15.56%</t>
        </is>
      </c>
      <c r="I53" t="inlineStr">
        <is>
          <t>0.00%</t>
        </is>
      </c>
    </row>
    <row r="54">
      <c r="A54" s="2" t="n">
        <v>45967</v>
      </c>
      <c r="B54" t="inlineStr">
        <is>
          <t>P21026</t>
        </is>
      </c>
      <c r="C54" t="inlineStr">
        <is>
          <t>GICS_INDUSTRY_NAME</t>
        </is>
      </c>
      <c r="D54" t="inlineStr">
        <is>
          <t>Semiconductors &amp; Semiconductor Equipment</t>
        </is>
      </c>
      <c r="E54" t="inlineStr">
        <is>
          <t>Information Technology</t>
        </is>
      </c>
      <c r="F54" t="inlineStr"/>
      <c r="G54" t="inlineStr"/>
      <c r="H54" t="inlineStr">
        <is>
          <t>15.56%</t>
        </is>
      </c>
      <c r="I54" t="inlineStr">
        <is>
          <t>0.00%</t>
        </is>
      </c>
    </row>
    <row r="55">
      <c r="A55" s="2" t="n">
        <v>45967</v>
      </c>
      <c r="B55" t="inlineStr">
        <is>
          <t>P21026</t>
        </is>
      </c>
      <c r="C55" t="inlineStr">
        <is>
          <t>GICS_INDUSTRY_GROUP_NAME</t>
        </is>
      </c>
      <c r="D55" t="inlineStr">
        <is>
          <t>Software &amp; Services</t>
        </is>
      </c>
      <c r="E55" t="inlineStr">
        <is>
          <t>Information Technology</t>
        </is>
      </c>
      <c r="F55" t="inlineStr"/>
      <c r="G55" t="inlineStr"/>
      <c r="H55" t="inlineStr">
        <is>
          <t>10.09%</t>
        </is>
      </c>
      <c r="I55" t="inlineStr">
        <is>
          <t>0.00%</t>
        </is>
      </c>
    </row>
    <row r="56">
      <c r="A56" s="2" t="n">
        <v>45967</v>
      </c>
      <c r="B56" t="inlineStr">
        <is>
          <t>P21026</t>
        </is>
      </c>
      <c r="C56" t="inlineStr">
        <is>
          <t>GICS_INDUSTRY_GROUP_NAME</t>
        </is>
      </c>
      <c r="D56" t="inlineStr">
        <is>
          <t>Technology Hardware &amp; Equipment</t>
        </is>
      </c>
      <c r="E56" t="inlineStr">
        <is>
          <t>Information Technology</t>
        </is>
      </c>
      <c r="F56" t="inlineStr"/>
      <c r="G56" t="inlineStr"/>
      <c r="H56" t="inlineStr">
        <is>
          <t>9.55%</t>
        </is>
      </c>
      <c r="I56" t="inlineStr">
        <is>
          <t>0.00%</t>
        </is>
      </c>
    </row>
    <row r="57">
      <c r="A57" s="2" t="n">
        <v>45967</v>
      </c>
      <c r="B57" t="inlineStr">
        <is>
          <t>P21026</t>
        </is>
      </c>
      <c r="C57" t="inlineStr">
        <is>
          <t>GICS_INDUSTRY_GROUP_NAME</t>
        </is>
      </c>
      <c r="D57" t="inlineStr">
        <is>
          <t>Media &amp; Entertainment</t>
        </is>
      </c>
      <c r="E57" t="inlineStr">
        <is>
          <t>Communication Services</t>
        </is>
      </c>
      <c r="F57" t="inlineStr"/>
      <c r="G57" t="inlineStr"/>
      <c r="H57" t="inlineStr">
        <is>
          <t>9.44%</t>
        </is>
      </c>
      <c r="I57" t="inlineStr">
        <is>
          <t>0.00%</t>
        </is>
      </c>
    </row>
    <row r="58">
      <c r="A58" s="2" t="n">
        <v>45967</v>
      </c>
      <c r="B58" t="inlineStr">
        <is>
          <t>P21026</t>
        </is>
      </c>
      <c r="C58" t="inlineStr">
        <is>
          <t>GICS_INDUSTRY_NAME</t>
        </is>
      </c>
      <c r="D58" t="inlineStr">
        <is>
          <t>Software</t>
        </is>
      </c>
      <c r="E58" t="inlineStr">
        <is>
          <t>Information Technology</t>
        </is>
      </c>
      <c r="F58" t="inlineStr"/>
      <c r="G58" t="inlineStr"/>
      <c r="H58" t="inlineStr">
        <is>
          <t>8.87%</t>
        </is>
      </c>
      <c r="I58" t="inlineStr">
        <is>
          <t>0.00%</t>
        </is>
      </c>
    </row>
    <row r="59">
      <c r="A59" s="2" t="n">
        <v>45967</v>
      </c>
      <c r="B59" t="inlineStr">
        <is>
          <t>P21026</t>
        </is>
      </c>
      <c r="C59" t="inlineStr">
        <is>
          <t>GICS_INDUSTRY_NAME</t>
        </is>
      </c>
      <c r="D59" t="inlineStr">
        <is>
          <t>Interactive Media &amp; Services</t>
        </is>
      </c>
      <c r="E59" t="inlineStr">
        <is>
          <t>Communication Services</t>
        </is>
      </c>
      <c r="F59" t="inlineStr"/>
      <c r="G59" t="inlineStr"/>
      <c r="H59" t="inlineStr">
        <is>
          <t>8.02%</t>
        </is>
      </c>
      <c r="I59" t="inlineStr">
        <is>
          <t>0.00%</t>
        </is>
      </c>
    </row>
    <row r="60">
      <c r="A60" s="2" t="n">
        <v>45967</v>
      </c>
      <c r="B60" t="inlineStr">
        <is>
          <t>P21026</t>
        </is>
      </c>
      <c r="C60" t="inlineStr">
        <is>
          <t>GICS_INDUSTRY_NAME</t>
        </is>
      </c>
      <c r="D60" t="inlineStr">
        <is>
          <t>Technology Hardware, Storage &amp; Peripherals</t>
        </is>
      </c>
      <c r="E60" t="inlineStr">
        <is>
          <t>Information Technology</t>
        </is>
      </c>
      <c r="F60" t="inlineStr"/>
      <c r="G60" t="inlineStr"/>
      <c r="H60" t="inlineStr">
        <is>
          <t>7.54%</t>
        </is>
      </c>
      <c r="I60" t="inlineStr">
        <is>
          <t>0.00%</t>
        </is>
      </c>
    </row>
    <row r="61">
      <c r="A61" s="2" t="n">
        <v>45967</v>
      </c>
      <c r="B61" t="inlineStr">
        <is>
          <t>P21026</t>
        </is>
      </c>
      <c r="C61" t="inlineStr">
        <is>
          <t>GICS_INDUSTRY_GROUP_NAME</t>
        </is>
      </c>
      <c r="D61" t="inlineStr">
        <is>
          <t>Financial Services</t>
        </is>
      </c>
      <c r="E61" t="inlineStr">
        <is>
          <t>Financials</t>
        </is>
      </c>
      <c r="F61" t="inlineStr"/>
      <c r="G61" t="inlineStr"/>
      <c r="H61" t="inlineStr">
        <is>
          <t>6.67%</t>
        </is>
      </c>
      <c r="I61" t="inlineStr">
        <is>
          <t>0.00%</t>
        </is>
      </c>
    </row>
    <row r="62">
      <c r="A62" s="2" t="n">
        <v>45967</v>
      </c>
      <c r="B62" t="inlineStr">
        <is>
          <t>P21026</t>
        </is>
      </c>
      <c r="C62" t="inlineStr">
        <is>
          <t>GICS_INDUSTRY_GROUP_NAME</t>
        </is>
      </c>
      <c r="D62" t="inlineStr">
        <is>
          <t>Capital Goods</t>
        </is>
      </c>
      <c r="E62" t="inlineStr">
        <is>
          <t>Industrials</t>
        </is>
      </c>
      <c r="F62" t="inlineStr"/>
      <c r="G62" t="inlineStr"/>
      <c r="H62" t="inlineStr">
        <is>
          <t>6.35%</t>
        </is>
      </c>
      <c r="I62" t="inlineStr">
        <is>
          <t>0.00%</t>
        </is>
      </c>
    </row>
    <row r="63">
      <c r="A63" s="2" t="n">
        <v>45967</v>
      </c>
      <c r="B63" t="inlineStr">
        <is>
          <t>P21026</t>
        </is>
      </c>
      <c r="C63" t="inlineStr">
        <is>
          <t>GICS_INDUSTRY_GROUP_NAME</t>
        </is>
      </c>
      <c r="D63" t="inlineStr">
        <is>
          <t>Consumer Discretionary Distribution &amp; Retail</t>
        </is>
      </c>
      <c r="E63" t="inlineStr">
        <is>
          <t>Consumer Discretionary</t>
        </is>
      </c>
      <c r="F63" t="inlineStr"/>
      <c r="G63" t="inlineStr"/>
      <c r="H63" t="inlineStr">
        <is>
          <t>5.71%</t>
        </is>
      </c>
      <c r="I63" t="inlineStr">
        <is>
          <t>0.00%</t>
        </is>
      </c>
    </row>
    <row r="64">
      <c r="A64" s="2" t="n">
        <v>45967</v>
      </c>
      <c r="B64" t="inlineStr">
        <is>
          <t>P21026</t>
        </is>
      </c>
      <c r="C64" t="inlineStr">
        <is>
          <t>GICS_INDUSTRY_GROUP_NAME</t>
        </is>
      </c>
      <c r="D64" t="inlineStr">
        <is>
          <t>Pharmaceuticals, Biotechnology &amp; Life Sciences</t>
        </is>
      </c>
      <c r="E64" t="inlineStr">
        <is>
          <t>Health Care</t>
        </is>
      </c>
      <c r="F64" t="inlineStr"/>
      <c r="G64" t="inlineStr"/>
      <c r="H64" t="inlineStr">
        <is>
          <t>5.04%</t>
        </is>
      </c>
      <c r="I64" t="inlineStr">
        <is>
          <t>0.00%</t>
        </is>
      </c>
    </row>
    <row r="65">
      <c r="A65" s="2" t="n">
        <v>45967</v>
      </c>
      <c r="B65" t="inlineStr">
        <is>
          <t>P21026</t>
        </is>
      </c>
      <c r="C65" t="inlineStr">
        <is>
          <t>GICS_INDUSTRY_GROUP_NAME</t>
        </is>
      </c>
      <c r="D65" t="inlineStr">
        <is>
          <t>Banks</t>
        </is>
      </c>
      <c r="E65" t="inlineStr">
        <is>
          <t>Financials</t>
        </is>
      </c>
      <c r="F65" t="inlineStr"/>
      <c r="G65" t="inlineStr"/>
      <c r="H65" t="inlineStr">
        <is>
          <t>4.54%</t>
        </is>
      </c>
      <c r="I65" t="inlineStr">
        <is>
          <t>0.00%</t>
        </is>
      </c>
    </row>
    <row r="66">
      <c r="A66" s="2" t="n">
        <v>45967</v>
      </c>
      <c r="B66" t="inlineStr">
        <is>
          <t>P21026</t>
        </is>
      </c>
      <c r="C66" t="inlineStr">
        <is>
          <t>GICS_INDUSTRY_NAME</t>
        </is>
      </c>
      <c r="D66" t="inlineStr">
        <is>
          <t>Banks</t>
        </is>
      </c>
      <c r="E66" t="inlineStr">
        <is>
          <t>Financials</t>
        </is>
      </c>
      <c r="F66" t="inlineStr"/>
      <c r="G66" t="inlineStr"/>
      <c r="H66" t="inlineStr">
        <is>
          <t>4.54%</t>
        </is>
      </c>
      <c r="I66" t="inlineStr">
        <is>
          <t>0.00%</t>
        </is>
      </c>
    </row>
    <row r="67">
      <c r="A67" s="2" t="n">
        <v>45967</v>
      </c>
      <c r="B67" t="inlineStr">
        <is>
          <t>P21026</t>
        </is>
      </c>
      <c r="C67" t="inlineStr">
        <is>
          <t>GICS_INDUSTRY_NAME</t>
        </is>
      </c>
      <c r="D67" t="inlineStr">
        <is>
          <t>Broadline Retail</t>
        </is>
      </c>
      <c r="E67" t="inlineStr">
        <is>
          <t>Consumer Discretionary</t>
        </is>
      </c>
      <c r="F67" t="inlineStr"/>
      <c r="G67" t="inlineStr"/>
      <c r="H67" t="inlineStr">
        <is>
          <t>4.42%</t>
        </is>
      </c>
      <c r="I67" t="inlineStr">
        <is>
          <t>0.00%</t>
        </is>
      </c>
    </row>
    <row r="68">
      <c r="A68" s="2" t="n">
        <v>45967</v>
      </c>
      <c r="B68" t="inlineStr">
        <is>
          <t>P21026</t>
        </is>
      </c>
      <c r="C68" t="inlineStr">
        <is>
          <t>GICS_INDUSTRY_GROUP_NAME</t>
        </is>
      </c>
      <c r="D68" t="inlineStr">
        <is>
          <t>Health Care Equipment &amp; Services</t>
        </is>
      </c>
      <c r="E68" t="inlineStr">
        <is>
          <t>Health Care</t>
        </is>
      </c>
      <c r="F68" t="inlineStr"/>
      <c r="G68" t="inlineStr"/>
      <c r="H68" t="inlineStr">
        <is>
          <t>4.06%</t>
        </is>
      </c>
      <c r="I68" t="inlineStr">
        <is>
          <t>0.00%</t>
        </is>
      </c>
    </row>
    <row r="69">
      <c r="A69" s="2" t="n">
        <v>45967</v>
      </c>
      <c r="B69" t="inlineStr">
        <is>
          <t>P21026</t>
        </is>
      </c>
      <c r="C69" t="inlineStr">
        <is>
          <t>GICS_INDUSTRY_NAME</t>
        </is>
      </c>
      <c r="D69" t="inlineStr">
        <is>
          <t>Financial Services</t>
        </is>
      </c>
      <c r="E69" t="inlineStr">
        <is>
          <t>Financials</t>
        </is>
      </c>
      <c r="F69" t="inlineStr"/>
      <c r="G69" t="inlineStr"/>
      <c r="H69" t="inlineStr">
        <is>
          <t>3.35%</t>
        </is>
      </c>
      <c r="I69" t="inlineStr">
        <is>
          <t>0.00%</t>
        </is>
      </c>
    </row>
    <row r="70">
      <c r="A70" s="2" t="n">
        <v>45967</v>
      </c>
      <c r="B70" t="inlineStr">
        <is>
          <t>P21026</t>
        </is>
      </c>
      <c r="C70" t="inlineStr">
        <is>
          <t>GICS_INDUSTRY_NAME</t>
        </is>
      </c>
      <c r="D70" t="inlineStr">
        <is>
          <t>Aerospace &amp; Defense</t>
        </is>
      </c>
      <c r="E70" t="inlineStr">
        <is>
          <t>Industrials</t>
        </is>
      </c>
      <c r="F70" t="inlineStr"/>
      <c r="G70" t="inlineStr"/>
      <c r="H70" t="inlineStr">
        <is>
          <t>3.12%</t>
        </is>
      </c>
      <c r="I70" t="inlineStr">
        <is>
          <t>0.00%</t>
        </is>
      </c>
    </row>
    <row r="71">
      <c r="A71" s="2" t="n">
        <v>45967</v>
      </c>
      <c r="B71" t="inlineStr">
        <is>
          <t>P21026</t>
        </is>
      </c>
      <c r="C71" t="inlineStr">
        <is>
          <t>GICS_INDUSTRY_GROUP_NAME</t>
        </is>
      </c>
      <c r="D71" t="inlineStr">
        <is>
          <t>Energy</t>
        </is>
      </c>
      <c r="E71" t="inlineStr">
        <is>
          <t>Energy</t>
        </is>
      </c>
      <c r="F71" t="inlineStr"/>
      <c r="G71" t="inlineStr"/>
      <c r="H71" t="inlineStr">
        <is>
          <t>2.82%</t>
        </is>
      </c>
      <c r="I71" t="inlineStr">
        <is>
          <t>0.00%</t>
        </is>
      </c>
    </row>
    <row r="72">
      <c r="A72" s="2" t="n">
        <v>45967</v>
      </c>
      <c r="B72" t="inlineStr">
        <is>
          <t>P21026</t>
        </is>
      </c>
      <c r="C72" t="inlineStr">
        <is>
          <t>GICS_INDUSTRY_NAME</t>
        </is>
      </c>
      <c r="D72" t="inlineStr">
        <is>
          <t>Oil, Gas &amp; Consumable Fuels</t>
        </is>
      </c>
      <c r="E72" t="inlineStr">
        <is>
          <t>Energy</t>
        </is>
      </c>
      <c r="F72" t="inlineStr"/>
      <c r="G72" t="inlineStr"/>
      <c r="H72" t="inlineStr">
        <is>
          <t>2.82%</t>
        </is>
      </c>
      <c r="I72" t="inlineStr">
        <is>
          <t>0.00%</t>
        </is>
      </c>
    </row>
    <row r="73">
      <c r="A73" s="2" t="n">
        <v>45967</v>
      </c>
      <c r="B73" t="inlineStr">
        <is>
          <t>P21026</t>
        </is>
      </c>
      <c r="C73" t="inlineStr">
        <is>
          <t>GICS_INDUSTRY_NAME</t>
        </is>
      </c>
      <c r="D73" t="inlineStr">
        <is>
          <t>Capital Markets</t>
        </is>
      </c>
      <c r="E73" t="inlineStr">
        <is>
          <t>Financials</t>
        </is>
      </c>
      <c r="F73" t="inlineStr"/>
      <c r="G73" t="inlineStr"/>
      <c r="H73" t="inlineStr">
        <is>
          <t>2.69%</t>
        </is>
      </c>
      <c r="I73" t="inlineStr">
        <is>
          <t>0.00%</t>
        </is>
      </c>
    </row>
    <row r="74">
      <c r="A74" s="2" t="n">
        <v>45967</v>
      </c>
      <c r="B74" t="inlineStr">
        <is>
          <t>P21026</t>
        </is>
      </c>
      <c r="C74" t="inlineStr">
        <is>
          <t>GICS_INDUSTRY_GROUP_NAME</t>
        </is>
      </c>
      <c r="D74" t="inlineStr">
        <is>
          <t>Automobiles &amp; Components</t>
        </is>
      </c>
      <c r="E74" t="inlineStr">
        <is>
          <t>Consumer Discretionary</t>
        </is>
      </c>
      <c r="F74" t="inlineStr"/>
      <c r="G74" t="inlineStr"/>
      <c r="H74" t="inlineStr">
        <is>
          <t>2.39%</t>
        </is>
      </c>
      <c r="I74" t="inlineStr">
        <is>
          <t>0.00%</t>
        </is>
      </c>
    </row>
    <row r="75">
      <c r="A75" s="2" t="n">
        <v>45967</v>
      </c>
      <c r="B75" t="inlineStr">
        <is>
          <t>P21026</t>
        </is>
      </c>
      <c r="C75" t="inlineStr">
        <is>
          <t>GICS_INDUSTRY_NAME</t>
        </is>
      </c>
      <c r="D75" t="inlineStr">
        <is>
          <t>Automobiles</t>
        </is>
      </c>
      <c r="E75" t="inlineStr">
        <is>
          <t>Consumer Discretionary</t>
        </is>
      </c>
      <c r="F75" t="inlineStr"/>
      <c r="G75" t="inlineStr"/>
      <c r="H75" t="inlineStr">
        <is>
          <t>2.39%</t>
        </is>
      </c>
      <c r="I75" t="inlineStr">
        <is>
          <t>0.00%</t>
        </is>
      </c>
    </row>
    <row r="76">
      <c r="A76" s="2" t="n">
        <v>45967</v>
      </c>
      <c r="B76" t="inlineStr">
        <is>
          <t>P21026</t>
        </is>
      </c>
      <c r="C76" t="inlineStr">
        <is>
          <t>GICS_INDUSTRY_NAME</t>
        </is>
      </c>
      <c r="D76" t="inlineStr">
        <is>
          <t>Pharmaceuticals</t>
        </is>
      </c>
      <c r="E76" t="inlineStr">
        <is>
          <t>Health Care</t>
        </is>
      </c>
      <c r="F76" t="inlineStr"/>
      <c r="G76" t="inlineStr"/>
      <c r="H76" t="inlineStr">
        <is>
          <t>2.31%</t>
        </is>
      </c>
      <c r="I76" t="inlineStr">
        <is>
          <t>0.00%</t>
        </is>
      </c>
    </row>
    <row r="77">
      <c r="A77" s="2" t="n">
        <v>45967</v>
      </c>
      <c r="B77" t="inlineStr">
        <is>
          <t>P21026</t>
        </is>
      </c>
      <c r="C77" t="inlineStr">
        <is>
          <t>GICS_INDUSTRY_GROUP_NAME</t>
        </is>
      </c>
      <c r="D77" t="inlineStr">
        <is>
          <t>Utilities</t>
        </is>
      </c>
      <c r="E77" t="inlineStr">
        <is>
          <t>Utilities</t>
        </is>
      </c>
      <c r="F77" t="inlineStr"/>
      <c r="G77" t="inlineStr"/>
      <c r="H77" t="inlineStr">
        <is>
          <t>2.28%</t>
        </is>
      </c>
      <c r="I77" t="inlineStr">
        <is>
          <t>0.00%</t>
        </is>
      </c>
    </row>
    <row r="78">
      <c r="A78" s="2" t="n">
        <v>45967</v>
      </c>
      <c r="B78" t="inlineStr">
        <is>
          <t>P21026</t>
        </is>
      </c>
      <c r="C78" t="inlineStr">
        <is>
          <t>GICS_INDUSTRY_NAME</t>
        </is>
      </c>
      <c r="D78" t="inlineStr">
        <is>
          <t>Electric Utilities</t>
        </is>
      </c>
      <c r="E78" t="inlineStr">
        <is>
          <t>Utilities</t>
        </is>
      </c>
      <c r="F78" t="inlineStr"/>
      <c r="G78" t="inlineStr"/>
      <c r="H78" t="inlineStr">
        <is>
          <t>2.28%</t>
        </is>
      </c>
      <c r="I78" t="inlineStr">
        <is>
          <t>0.00%</t>
        </is>
      </c>
    </row>
    <row r="79">
      <c r="A79" s="2" t="n">
        <v>45967</v>
      </c>
      <c r="B79" t="inlineStr">
        <is>
          <t>P21026</t>
        </is>
      </c>
      <c r="C79" t="inlineStr">
        <is>
          <t>GICS_INDUSTRY_GROUP_NAME</t>
        </is>
      </c>
      <c r="D79" t="inlineStr">
        <is>
          <t>Food, Beverage &amp; Tobacco</t>
        </is>
      </c>
      <c r="E79" t="inlineStr">
        <is>
          <t>Consumer Staples</t>
        </is>
      </c>
      <c r="F79" t="inlineStr"/>
      <c r="G79" t="inlineStr"/>
      <c r="H79" t="inlineStr">
        <is>
          <t>2.18%</t>
        </is>
      </c>
      <c r="I79" t="inlineStr">
        <is>
          <t>0.00%</t>
        </is>
      </c>
    </row>
    <row r="80">
      <c r="A80" s="2" t="n">
        <v>45967</v>
      </c>
      <c r="B80" t="inlineStr">
        <is>
          <t>P21026</t>
        </is>
      </c>
      <c r="C80" t="inlineStr">
        <is>
          <t>GICS_INDUSTRY_GROUP_NAME</t>
        </is>
      </c>
      <c r="D80" t="inlineStr">
        <is>
          <t>Insurance</t>
        </is>
      </c>
      <c r="E80" t="inlineStr">
        <is>
          <t>Financials</t>
        </is>
      </c>
      <c r="F80" t="inlineStr"/>
      <c r="G80" t="inlineStr"/>
      <c r="H80" t="inlineStr">
        <is>
          <t>2.17%</t>
        </is>
      </c>
      <c r="I80" t="inlineStr">
        <is>
          <t>0.00%</t>
        </is>
      </c>
    </row>
    <row r="81">
      <c r="A81" s="2" t="n">
        <v>45967</v>
      </c>
      <c r="B81" t="inlineStr">
        <is>
          <t>P21026</t>
        </is>
      </c>
      <c r="C81" t="inlineStr">
        <is>
          <t>GICS_INDUSTRY_NAME</t>
        </is>
      </c>
      <c r="D81" t="inlineStr">
        <is>
          <t>Insurance</t>
        </is>
      </c>
      <c r="E81" t="inlineStr">
        <is>
          <t>Financials</t>
        </is>
      </c>
      <c r="F81" t="inlineStr"/>
      <c r="G81" t="inlineStr"/>
      <c r="H81" t="inlineStr">
        <is>
          <t>2.17%</t>
        </is>
      </c>
      <c r="I81" t="inlineStr">
        <is>
          <t>0.00%</t>
        </is>
      </c>
    </row>
    <row r="82">
      <c r="A82" s="2" t="n">
        <v>45967</v>
      </c>
      <c r="B82" t="inlineStr">
        <is>
          <t>P21026</t>
        </is>
      </c>
      <c r="C82" t="inlineStr">
        <is>
          <t>GICS_INDUSTRY_NAME</t>
        </is>
      </c>
      <c r="D82" t="inlineStr">
        <is>
          <t>Health Care Equipment &amp; Supplies</t>
        </is>
      </c>
      <c r="E82" t="inlineStr">
        <is>
          <t>Health Care</t>
        </is>
      </c>
      <c r="F82" t="inlineStr"/>
      <c r="G82" t="inlineStr"/>
      <c r="H82" t="inlineStr">
        <is>
          <t>2.15%</t>
        </is>
      </c>
      <c r="I82" t="inlineStr">
        <is>
          <t>0.00%</t>
        </is>
      </c>
    </row>
    <row r="83">
      <c r="A83" s="2" t="n">
        <v>45967</v>
      </c>
      <c r="B83" t="inlineStr">
        <is>
          <t>P21026</t>
        </is>
      </c>
      <c r="C83" t="inlineStr">
        <is>
          <t>GICS_INDUSTRY_NAME</t>
        </is>
      </c>
      <c r="D83" t="inlineStr">
        <is>
          <t>Communications Equipment</t>
        </is>
      </c>
      <c r="E83" t="inlineStr">
        <is>
          <t>Information Technology</t>
        </is>
      </c>
      <c r="F83" t="inlineStr"/>
      <c r="G83" t="inlineStr"/>
      <c r="H83" t="inlineStr">
        <is>
          <t>2.01%</t>
        </is>
      </c>
      <c r="I83" t="inlineStr">
        <is>
          <t>0.00%</t>
        </is>
      </c>
    </row>
    <row r="84">
      <c r="A84" s="2" t="n">
        <v>45967</v>
      </c>
      <c r="B84" t="inlineStr">
        <is>
          <t>P21026</t>
        </is>
      </c>
      <c r="C84" t="inlineStr">
        <is>
          <t>GICS_INDUSTRY_NAME</t>
        </is>
      </c>
      <c r="D84" t="inlineStr">
        <is>
          <t>Health Care Providers &amp; Services</t>
        </is>
      </c>
      <c r="E84" t="inlineStr">
        <is>
          <t>Health Care</t>
        </is>
      </c>
      <c r="F84" t="inlineStr"/>
      <c r="G84" t="inlineStr"/>
      <c r="H84" t="inlineStr">
        <is>
          <t>1.91%</t>
        </is>
      </c>
      <c r="I84" t="inlineStr">
        <is>
          <t>0.00%</t>
        </is>
      </c>
    </row>
    <row r="85">
      <c r="A85" s="2" t="n">
        <v>45967</v>
      </c>
      <c r="B85" t="inlineStr">
        <is>
          <t>P21026</t>
        </is>
      </c>
      <c r="C85" t="inlineStr">
        <is>
          <t>GICS_INDUSTRY_NAME</t>
        </is>
      </c>
      <c r="D85" t="inlineStr">
        <is>
          <t>Biotechnology</t>
        </is>
      </c>
      <c r="E85" t="inlineStr">
        <is>
          <t>Health Care</t>
        </is>
      </c>
      <c r="F85" t="inlineStr"/>
      <c r="G85" t="inlineStr"/>
      <c r="H85" t="inlineStr">
        <is>
          <t>1.82%</t>
        </is>
      </c>
      <c r="I85" t="inlineStr">
        <is>
          <t>0.00%</t>
        </is>
      </c>
    </row>
    <row r="86">
      <c r="A86" s="2" t="n">
        <v>45967</v>
      </c>
      <c r="B86" t="inlineStr">
        <is>
          <t>P21026</t>
        </is>
      </c>
      <c r="C86" t="inlineStr">
        <is>
          <t>GICS_INDUSTRY_GROUP_NAME</t>
        </is>
      </c>
      <c r="D86" t="inlineStr">
        <is>
          <t>Consumer Staples Distribution &amp; Retail</t>
        </is>
      </c>
      <c r="E86" t="inlineStr">
        <is>
          <t>Consumer Staples</t>
        </is>
      </c>
      <c r="F86" t="inlineStr"/>
      <c r="G86" t="inlineStr"/>
      <c r="H86" t="inlineStr">
        <is>
          <t>1.76%</t>
        </is>
      </c>
      <c r="I86" t="inlineStr">
        <is>
          <t>0.00%</t>
        </is>
      </c>
    </row>
    <row r="87">
      <c r="A87" s="2" t="n">
        <v>45967</v>
      </c>
      <c r="B87" t="inlineStr">
        <is>
          <t>P21026</t>
        </is>
      </c>
      <c r="C87" t="inlineStr">
        <is>
          <t>GICS_INDUSTRY_NAME</t>
        </is>
      </c>
      <c r="D87" t="inlineStr">
        <is>
          <t>Consumer Staples Distribution &amp; Retail</t>
        </is>
      </c>
      <c r="E87" t="inlineStr">
        <is>
          <t>Consumer Staples</t>
        </is>
      </c>
      <c r="F87" t="inlineStr"/>
      <c r="G87" t="inlineStr"/>
      <c r="H87" t="inlineStr">
        <is>
          <t>1.76%</t>
        </is>
      </c>
      <c r="I87" t="inlineStr">
        <is>
          <t>0.00%</t>
        </is>
      </c>
    </row>
    <row r="88">
      <c r="A88" s="2" t="n">
        <v>45967</v>
      </c>
      <c r="B88" t="inlineStr">
        <is>
          <t>P21026</t>
        </is>
      </c>
      <c r="C88" t="inlineStr">
        <is>
          <t>GICS_INDUSTRY_GROUP_NAME</t>
        </is>
      </c>
      <c r="D88" t="inlineStr">
        <is>
          <t>Materials</t>
        </is>
      </c>
      <c r="E88" t="inlineStr">
        <is>
          <t>Materials</t>
        </is>
      </c>
      <c r="F88" t="inlineStr"/>
      <c r="G88" t="inlineStr"/>
      <c r="H88" t="inlineStr">
        <is>
          <t>1.69%</t>
        </is>
      </c>
      <c r="I88" t="inlineStr">
        <is>
          <t>0.00%</t>
        </is>
      </c>
    </row>
    <row r="89">
      <c r="A89" s="2" t="n">
        <v>45967</v>
      </c>
      <c r="B89" t="inlineStr">
        <is>
          <t>P21026</t>
        </is>
      </c>
      <c r="C89" t="inlineStr">
        <is>
          <t>GICS_INDUSTRY_NAME</t>
        </is>
      </c>
      <c r="D89" t="inlineStr">
        <is>
          <t>Chemicals</t>
        </is>
      </c>
      <c r="E89" t="inlineStr">
        <is>
          <t>Materials</t>
        </is>
      </c>
      <c r="F89" t="inlineStr"/>
      <c r="G89" t="inlineStr"/>
      <c r="H89" t="inlineStr">
        <is>
          <t>1.69%</t>
        </is>
      </c>
      <c r="I89" t="inlineStr">
        <is>
          <t>0.00%</t>
        </is>
      </c>
    </row>
    <row r="90">
      <c r="A90" s="2" t="n">
        <v>45967</v>
      </c>
      <c r="B90" t="inlineStr">
        <is>
          <t>P21026</t>
        </is>
      </c>
      <c r="C90" t="inlineStr">
        <is>
          <t>GICS_INDUSTRY_GROUP_NAME</t>
        </is>
      </c>
      <c r="D90" t="inlineStr">
        <is>
          <t>Consumer Services</t>
        </is>
      </c>
      <c r="E90" t="inlineStr">
        <is>
          <t>Consumer Discretionary</t>
        </is>
      </c>
      <c r="F90" t="inlineStr"/>
      <c r="G90" t="inlineStr"/>
      <c r="H90" t="inlineStr">
        <is>
          <t>1.67%</t>
        </is>
      </c>
      <c r="I90" t="inlineStr">
        <is>
          <t>0.00%</t>
        </is>
      </c>
    </row>
    <row r="91">
      <c r="A91" s="2" t="n">
        <v>45967</v>
      </c>
      <c r="B91" t="inlineStr">
        <is>
          <t>P21026</t>
        </is>
      </c>
      <c r="C91" t="inlineStr">
        <is>
          <t>GICS_INDUSTRY_NAME</t>
        </is>
      </c>
      <c r="D91" t="inlineStr">
        <is>
          <t>Hotels, Restaurants &amp; Leisure</t>
        </is>
      </c>
      <c r="E91" t="inlineStr">
        <is>
          <t>Consumer Discretionary</t>
        </is>
      </c>
      <c r="F91" t="inlineStr"/>
      <c r="G91" t="inlineStr"/>
      <c r="H91" t="inlineStr">
        <is>
          <t>1.67%</t>
        </is>
      </c>
      <c r="I91" t="inlineStr">
        <is>
          <t>0.00%</t>
        </is>
      </c>
    </row>
    <row r="92">
      <c r="A92" s="2" t="n">
        <v>45967</v>
      </c>
      <c r="B92" t="inlineStr">
        <is>
          <t>P21026</t>
        </is>
      </c>
      <c r="C92" t="inlineStr">
        <is>
          <t>GICS_INDUSTRY_NAME</t>
        </is>
      </c>
      <c r="D92" t="inlineStr">
        <is>
          <t>Machinery</t>
        </is>
      </c>
      <c r="E92" t="inlineStr">
        <is>
          <t>Industrials</t>
        </is>
      </c>
      <c r="F92" t="inlineStr"/>
      <c r="G92" t="inlineStr"/>
      <c r="H92" t="inlineStr">
        <is>
          <t>1.53%</t>
        </is>
      </c>
      <c r="I92" t="inlineStr">
        <is>
          <t>0.00%</t>
        </is>
      </c>
    </row>
    <row r="93">
      <c r="A93" s="2" t="n">
        <v>45967</v>
      </c>
      <c r="B93" t="inlineStr">
        <is>
          <t>P21026</t>
        </is>
      </c>
      <c r="C93" t="inlineStr">
        <is>
          <t>GICS_INDUSTRY_GROUP_NAME</t>
        </is>
      </c>
      <c r="D93" t="inlineStr">
        <is>
          <t>Equity Real Estate Investment Trusts</t>
        </is>
      </c>
      <c r="E93" t="inlineStr">
        <is>
          <t>Real Estate</t>
        </is>
      </c>
      <c r="F93" t="inlineStr"/>
      <c r="G93" t="inlineStr"/>
      <c r="H93" t="inlineStr">
        <is>
          <t>1.45%</t>
        </is>
      </c>
      <c r="I93" t="inlineStr">
        <is>
          <t>0.00%</t>
        </is>
      </c>
    </row>
    <row r="94">
      <c r="A94" s="2" t="n">
        <v>45967</v>
      </c>
      <c r="B94" t="inlineStr">
        <is>
          <t>P21026</t>
        </is>
      </c>
      <c r="C94" t="inlineStr">
        <is>
          <t>GICS_INDUSTRY_NAME</t>
        </is>
      </c>
      <c r="D94" t="inlineStr">
        <is>
          <t>Specialized REITs</t>
        </is>
      </c>
      <c r="E94" t="inlineStr">
        <is>
          <t>Real Estate</t>
        </is>
      </c>
      <c r="F94" t="inlineStr"/>
      <c r="G94" t="inlineStr"/>
      <c r="H94" t="inlineStr">
        <is>
          <t>1.45%</t>
        </is>
      </c>
      <c r="I94" t="inlineStr">
        <is>
          <t>0.00%</t>
        </is>
      </c>
    </row>
    <row r="95">
      <c r="A95" s="2" t="n">
        <v>45967</v>
      </c>
      <c r="B95" t="inlineStr">
        <is>
          <t>P21026</t>
        </is>
      </c>
      <c r="C95" t="inlineStr">
        <is>
          <t>GICS_INDUSTRY_GROUP_NAME</t>
        </is>
      </c>
      <c r="D95" t="inlineStr">
        <is>
          <t>Transportation</t>
        </is>
      </c>
      <c r="E95" t="inlineStr">
        <is>
          <t>Industrials</t>
        </is>
      </c>
      <c r="F95" t="inlineStr"/>
      <c r="G95" t="inlineStr"/>
      <c r="H95" t="inlineStr">
        <is>
          <t>1.34%</t>
        </is>
      </c>
      <c r="I95" t="inlineStr">
        <is>
          <t>0.00%</t>
        </is>
      </c>
    </row>
    <row r="96">
      <c r="A96" s="2" t="n">
        <v>45967</v>
      </c>
      <c r="B96" t="inlineStr">
        <is>
          <t>P21026</t>
        </is>
      </c>
      <c r="C96" t="inlineStr">
        <is>
          <t>GICS_INDUSTRY_NAME</t>
        </is>
      </c>
      <c r="D96" t="inlineStr">
        <is>
          <t>Specialty Retail</t>
        </is>
      </c>
      <c r="E96" t="inlineStr">
        <is>
          <t>Consumer Discretionary</t>
        </is>
      </c>
      <c r="F96" t="inlineStr"/>
      <c r="G96" t="inlineStr"/>
      <c r="H96" t="inlineStr">
        <is>
          <t>1.28%</t>
        </is>
      </c>
      <c r="I96" t="inlineStr">
        <is>
          <t>0.00%</t>
        </is>
      </c>
    </row>
    <row r="97">
      <c r="A97" s="2" t="n">
        <v>45967</v>
      </c>
      <c r="B97" t="inlineStr">
        <is>
          <t>P21026</t>
        </is>
      </c>
      <c r="C97" t="inlineStr">
        <is>
          <t>GICS_INDUSTRY_NAME</t>
        </is>
      </c>
      <c r="D97" t="inlineStr">
        <is>
          <t>Entertainment</t>
        </is>
      </c>
      <c r="E97" t="inlineStr">
        <is>
          <t>Communication Services</t>
        </is>
      </c>
      <c r="F97" t="inlineStr"/>
      <c r="G97" t="inlineStr"/>
      <c r="H97" t="inlineStr">
        <is>
          <t>1.23%</t>
        </is>
      </c>
      <c r="I97" t="inlineStr">
        <is>
          <t>0.00%</t>
        </is>
      </c>
    </row>
    <row r="98">
      <c r="A98" s="2" t="n">
        <v>45967</v>
      </c>
      <c r="B98" t="inlineStr">
        <is>
          <t>P21026</t>
        </is>
      </c>
      <c r="C98" t="inlineStr">
        <is>
          <t>GICS_INDUSTRY_NAME</t>
        </is>
      </c>
      <c r="D98" t="inlineStr">
        <is>
          <t>IT Services</t>
        </is>
      </c>
      <c r="E98" t="inlineStr">
        <is>
          <t>Information Technology</t>
        </is>
      </c>
      <c r="F98" t="inlineStr"/>
      <c r="G98" t="inlineStr"/>
      <c r="H98" t="inlineStr">
        <is>
          <t>1.22%</t>
        </is>
      </c>
      <c r="I98" t="inlineStr">
        <is>
          <t>0.00%</t>
        </is>
      </c>
    </row>
    <row r="99">
      <c r="A99" s="2" t="n">
        <v>45967</v>
      </c>
      <c r="B99" t="inlineStr">
        <is>
          <t>P21026</t>
        </is>
      </c>
      <c r="C99" t="inlineStr">
        <is>
          <t>GICS_INDUSTRY_NAME</t>
        </is>
      </c>
      <c r="D99" t="inlineStr">
        <is>
          <t>Beverages</t>
        </is>
      </c>
      <c r="E99" t="inlineStr">
        <is>
          <t>Consumer Staples</t>
        </is>
      </c>
      <c r="F99" t="inlineStr"/>
      <c r="G99" t="inlineStr"/>
      <c r="H99" t="inlineStr">
        <is>
          <t>1.16%</t>
        </is>
      </c>
      <c r="I99" t="inlineStr">
        <is>
          <t>0.00%</t>
        </is>
      </c>
    </row>
    <row r="100">
      <c r="A100" s="2" t="n">
        <v>45967</v>
      </c>
      <c r="B100" t="inlineStr">
        <is>
          <t>P21026</t>
        </is>
      </c>
      <c r="C100" t="inlineStr">
        <is>
          <t>GICS_INDUSTRY_GROUP_NAME</t>
        </is>
      </c>
      <c r="D100" t="inlineStr">
        <is>
          <t>Commercial &amp; Professional Services</t>
        </is>
      </c>
      <c r="E100" t="inlineStr">
        <is>
          <t>Industrials</t>
        </is>
      </c>
      <c r="F100" t="inlineStr"/>
      <c r="G100" t="inlineStr"/>
      <c r="H100" t="inlineStr">
        <is>
          <t>1.00%</t>
        </is>
      </c>
      <c r="I100" t="inlineStr">
        <is>
          <t>0.00%</t>
        </is>
      </c>
    </row>
    <row r="101">
      <c r="A101" s="2" t="n">
        <v>45967</v>
      </c>
      <c r="B101" t="inlineStr">
        <is>
          <t>P21026</t>
        </is>
      </c>
      <c r="C101" t="inlineStr">
        <is>
          <t>GICS_INDUSTRY_NAME</t>
        </is>
      </c>
      <c r="D101" t="inlineStr">
        <is>
          <t>Commercial Services &amp; Supplies</t>
        </is>
      </c>
      <c r="E101" t="inlineStr">
        <is>
          <t>Industrials</t>
        </is>
      </c>
      <c r="F101" t="inlineStr"/>
      <c r="G101" t="inlineStr"/>
      <c r="H101" t="inlineStr">
        <is>
          <t>1.00%</t>
        </is>
      </c>
      <c r="I101" t="inlineStr">
        <is>
          <t>0.00%</t>
        </is>
      </c>
    </row>
    <row r="102">
      <c r="A102" s="2" t="n">
        <v>45967</v>
      </c>
      <c r="B102" t="inlineStr">
        <is>
          <t>P21026</t>
        </is>
      </c>
      <c r="C102" t="inlineStr">
        <is>
          <t>GICS_INDUSTRY_NAME</t>
        </is>
      </c>
      <c r="D102" t="inlineStr">
        <is>
          <t>Ground Transportation</t>
        </is>
      </c>
      <c r="E102" t="inlineStr">
        <is>
          <t>Industrials</t>
        </is>
      </c>
      <c r="F102" t="inlineStr"/>
      <c r="G102" t="inlineStr"/>
      <c r="H102" t="inlineStr">
        <is>
          <t>0.96%</t>
        </is>
      </c>
      <c r="I102" t="inlineStr">
        <is>
          <t>0.00%</t>
        </is>
      </c>
    </row>
    <row r="103">
      <c r="A103" s="2" t="n">
        <v>45967</v>
      </c>
      <c r="B103" t="inlineStr">
        <is>
          <t>P21026</t>
        </is>
      </c>
      <c r="C103" t="inlineStr">
        <is>
          <t>GICS_INDUSTRY_GROUP_NAME</t>
        </is>
      </c>
      <c r="D103" t="inlineStr">
        <is>
          <t>Household &amp; Personal Products</t>
        </is>
      </c>
      <c r="E103" t="inlineStr">
        <is>
          <t>Consumer Staples</t>
        </is>
      </c>
      <c r="F103" t="inlineStr"/>
      <c r="G103" t="inlineStr"/>
      <c r="H103" t="inlineStr">
        <is>
          <t>0.93%</t>
        </is>
      </c>
      <c r="I103" t="inlineStr">
        <is>
          <t>0.00%</t>
        </is>
      </c>
    </row>
    <row r="104">
      <c r="A104" s="2" t="n">
        <v>45967</v>
      </c>
      <c r="B104" t="inlineStr">
        <is>
          <t>P21026</t>
        </is>
      </c>
      <c r="C104" t="inlineStr">
        <is>
          <t>GICS_INDUSTRY_NAME</t>
        </is>
      </c>
      <c r="D104" t="inlineStr">
        <is>
          <t>Household Products</t>
        </is>
      </c>
      <c r="E104" t="inlineStr">
        <is>
          <t>Consumer Staples</t>
        </is>
      </c>
      <c r="F104" t="inlineStr"/>
      <c r="G104" t="inlineStr"/>
      <c r="H104" t="inlineStr">
        <is>
          <t>0.93%</t>
        </is>
      </c>
      <c r="I104" t="inlineStr">
        <is>
          <t>0.00%</t>
        </is>
      </c>
    </row>
    <row r="105">
      <c r="A105" s="2" t="n">
        <v>45967</v>
      </c>
      <c r="B105" t="inlineStr">
        <is>
          <t>P21026</t>
        </is>
      </c>
      <c r="C105" t="inlineStr">
        <is>
          <t>GICS_INDUSTRY_NAME</t>
        </is>
      </c>
      <c r="D105" t="inlineStr">
        <is>
          <t>Life Sciences Tools &amp; Services</t>
        </is>
      </c>
      <c r="E105" t="inlineStr">
        <is>
          <t>Health Care</t>
        </is>
      </c>
      <c r="F105" t="inlineStr"/>
      <c r="G105" t="inlineStr"/>
      <c r="H105" t="inlineStr">
        <is>
          <t>0.90%</t>
        </is>
      </c>
      <c r="I105" t="inlineStr">
        <is>
          <t>0.00%</t>
        </is>
      </c>
    </row>
    <row r="106">
      <c r="A106" s="2" t="n">
        <v>45967</v>
      </c>
      <c r="B106" t="inlineStr">
        <is>
          <t>P21026</t>
        </is>
      </c>
      <c r="C106" t="inlineStr">
        <is>
          <t>GICS_INDUSTRY_NAME</t>
        </is>
      </c>
      <c r="D106" t="inlineStr">
        <is>
          <t>Electrical Equipment</t>
        </is>
      </c>
      <c r="E106" t="inlineStr">
        <is>
          <t>Industrials</t>
        </is>
      </c>
      <c r="F106" t="inlineStr"/>
      <c r="G106" t="inlineStr"/>
      <c r="H106" t="inlineStr">
        <is>
          <t>0.86%</t>
        </is>
      </c>
      <c r="I106" t="inlineStr">
        <is>
          <t>0.00%</t>
        </is>
      </c>
    </row>
    <row r="107">
      <c r="A107" s="2" t="n">
        <v>45967</v>
      </c>
      <c r="B107" t="inlineStr">
        <is>
          <t>P21026</t>
        </is>
      </c>
      <c r="C107" t="inlineStr">
        <is>
          <t>GICS_INDUSTRY_NAME</t>
        </is>
      </c>
      <c r="D107" t="inlineStr">
        <is>
          <t>Industrial Conglomerates</t>
        </is>
      </c>
      <c r="E107" t="inlineStr">
        <is>
          <t>Industrials</t>
        </is>
      </c>
      <c r="F107" t="inlineStr"/>
      <c r="G107" t="inlineStr"/>
      <c r="H107" t="inlineStr">
        <is>
          <t>0.83%</t>
        </is>
      </c>
      <c r="I107" t="inlineStr">
        <is>
          <t>0.00%</t>
        </is>
      </c>
    </row>
    <row r="108">
      <c r="A108" s="2" t="n">
        <v>45967</v>
      </c>
      <c r="B108" t="inlineStr">
        <is>
          <t>P21026</t>
        </is>
      </c>
      <c r="C108" t="inlineStr">
        <is>
          <t>GICS_INDUSTRY_NAME</t>
        </is>
      </c>
      <c r="D108" t="inlineStr">
        <is>
          <t>Tobacco</t>
        </is>
      </c>
      <c r="E108" t="inlineStr">
        <is>
          <t>Consumer Staples</t>
        </is>
      </c>
      <c r="F108" t="inlineStr"/>
      <c r="G108" t="inlineStr"/>
      <c r="H108" t="inlineStr">
        <is>
          <t>0.83%</t>
        </is>
      </c>
      <c r="I108" t="inlineStr">
        <is>
          <t>0.00%</t>
        </is>
      </c>
    </row>
    <row r="109">
      <c r="A109" s="2" t="n">
        <v>45967</v>
      </c>
      <c r="B109" t="inlineStr">
        <is>
          <t>P21026</t>
        </is>
      </c>
      <c r="C109" t="inlineStr">
        <is>
          <t>GICS_INDUSTRY_GROUP_NAME</t>
        </is>
      </c>
      <c r="D109" t="inlineStr">
        <is>
          <t>Telecommunication Services</t>
        </is>
      </c>
      <c r="E109" t="inlineStr">
        <is>
          <t>Communication Services</t>
        </is>
      </c>
      <c r="F109" t="inlineStr"/>
      <c r="G109" t="inlineStr"/>
      <c r="H109" t="inlineStr">
        <is>
          <t>0.80%</t>
        </is>
      </c>
      <c r="I109" t="inlineStr">
        <is>
          <t>0.00%</t>
        </is>
      </c>
    </row>
    <row r="110">
      <c r="A110" s="2" t="n">
        <v>45967</v>
      </c>
      <c r="B110" t="inlineStr">
        <is>
          <t>P21026</t>
        </is>
      </c>
      <c r="C110" t="inlineStr">
        <is>
          <t>GICS_INDUSTRY_NAME</t>
        </is>
      </c>
      <c r="D110" t="inlineStr">
        <is>
          <t>Diversified Telecommunication Services</t>
        </is>
      </c>
      <c r="E110" t="inlineStr">
        <is>
          <t>Communication Services</t>
        </is>
      </c>
      <c r="F110" t="inlineStr"/>
      <c r="G110" t="inlineStr"/>
      <c r="H110" t="inlineStr">
        <is>
          <t>0.80%</t>
        </is>
      </c>
      <c r="I110" t="inlineStr">
        <is>
          <t>0.00%</t>
        </is>
      </c>
    </row>
    <row r="111">
      <c r="A111" s="2" t="n">
        <v>45967</v>
      </c>
      <c r="B111" t="inlineStr">
        <is>
          <t>P21026</t>
        </is>
      </c>
      <c r="C111" t="inlineStr">
        <is>
          <t>GICS_INDUSTRY_NAME</t>
        </is>
      </c>
      <c r="D111" t="inlineStr">
        <is>
          <t>Consumer Finance</t>
        </is>
      </c>
      <c r="E111" t="inlineStr">
        <is>
          <t>Financials</t>
        </is>
      </c>
      <c r="F111" t="inlineStr"/>
      <c r="G111" t="inlineStr"/>
      <c r="H111" t="inlineStr">
        <is>
          <t>0.63%</t>
        </is>
      </c>
      <c r="I111" t="inlineStr">
        <is>
          <t>0.00%</t>
        </is>
      </c>
    </row>
    <row r="112">
      <c r="A112" s="2" t="n">
        <v>45967</v>
      </c>
      <c r="B112" t="inlineStr">
        <is>
          <t>P21026</t>
        </is>
      </c>
      <c r="C112" t="inlineStr">
        <is>
          <t>GICS_INDUSTRY_GROUP_NAME</t>
        </is>
      </c>
      <c r="D112" t="inlineStr">
        <is>
          <t>Consumer Durables &amp; Apparel</t>
        </is>
      </c>
      <c r="E112" t="inlineStr">
        <is>
          <t>Consumer Discretionary</t>
        </is>
      </c>
      <c r="F112" t="inlineStr"/>
      <c r="G112" t="inlineStr"/>
      <c r="H112" t="inlineStr">
        <is>
          <t>0.52%</t>
        </is>
      </c>
      <c r="I112" t="inlineStr">
        <is>
          <t>0.00%</t>
        </is>
      </c>
    </row>
    <row r="113">
      <c r="A113" s="2" t="n">
        <v>45967</v>
      </c>
      <c r="B113" t="inlineStr">
        <is>
          <t>P21026</t>
        </is>
      </c>
      <c r="C113" t="inlineStr">
        <is>
          <t>GICS_INDUSTRY_NAME</t>
        </is>
      </c>
      <c r="D113" t="inlineStr">
        <is>
          <t>Textiles, Apparel &amp; Luxury Goods</t>
        </is>
      </c>
      <c r="E113" t="inlineStr">
        <is>
          <t>Consumer Discretionary</t>
        </is>
      </c>
      <c r="F113" t="inlineStr"/>
      <c r="G113" t="inlineStr"/>
      <c r="H113" t="inlineStr">
        <is>
          <t>0.52%</t>
        </is>
      </c>
      <c r="I113" t="inlineStr">
        <is>
          <t>0.00%</t>
        </is>
      </c>
    </row>
    <row r="114">
      <c r="A114" s="2" t="n">
        <v>45967</v>
      </c>
      <c r="B114" t="inlineStr">
        <is>
          <t>P21026</t>
        </is>
      </c>
      <c r="C114" t="inlineStr">
        <is>
          <t>GICS_INDUSTRY_NAME</t>
        </is>
      </c>
      <c r="D114" t="inlineStr">
        <is>
          <t>Air Freight &amp; Logistics</t>
        </is>
      </c>
      <c r="E114" t="inlineStr">
        <is>
          <t>Industrials</t>
        </is>
      </c>
      <c r="F114" t="inlineStr"/>
      <c r="G114" t="inlineStr"/>
      <c r="H114" t="inlineStr">
        <is>
          <t>0.37%</t>
        </is>
      </c>
      <c r="I114" t="inlineStr">
        <is>
          <t>0.00%</t>
        </is>
      </c>
    </row>
    <row r="115">
      <c r="A115" s="2" t="n">
        <v>45967</v>
      </c>
      <c r="B115" t="inlineStr">
        <is>
          <t>P21026</t>
        </is>
      </c>
      <c r="C115" t="inlineStr">
        <is>
          <t>GICS_INDUSTRY_NAME</t>
        </is>
      </c>
      <c r="D115" t="inlineStr">
        <is>
          <t>Media</t>
        </is>
      </c>
      <c r="E115" t="inlineStr">
        <is>
          <t>Communication Services</t>
        </is>
      </c>
      <c r="F115" t="inlineStr"/>
      <c r="G115" t="inlineStr"/>
      <c r="H115" t="inlineStr">
        <is>
          <t>0.19%</t>
        </is>
      </c>
      <c r="I115" t="inlineStr">
        <is>
          <t>0.00%</t>
        </is>
      </c>
    </row>
    <row r="116">
      <c r="A116" s="2" t="n">
        <v>45967</v>
      </c>
      <c r="B116" t="inlineStr">
        <is>
          <t>P21026</t>
        </is>
      </c>
      <c r="C116" t="inlineStr">
        <is>
          <t>GICS_INDUSTRY_NAME</t>
        </is>
      </c>
      <c r="D116" t="inlineStr">
        <is>
          <t>Food Products</t>
        </is>
      </c>
      <c r="E116" t="inlineStr">
        <is>
          <t>Consumer Staples</t>
        </is>
      </c>
      <c r="F116" t="inlineStr"/>
      <c r="G116" t="inlineStr"/>
      <c r="H116" t="inlineStr">
        <is>
          <t>0.19%</t>
        </is>
      </c>
      <c r="I116" t="inlineStr">
        <is>
          <t>0.00%</t>
        </is>
      </c>
    </row>
    <row r="117">
      <c r="A117" s="2" t="n">
        <v>45967</v>
      </c>
      <c r="B117" t="inlineStr">
        <is>
          <t>P2726</t>
        </is>
      </c>
      <c r="C117" t="inlineStr">
        <is>
          <t>GICS_INDUSTRY_GROUP_NAME</t>
        </is>
      </c>
      <c r="D117" t="inlineStr">
        <is>
          <t>Semiconductors &amp; Semiconductor Equipment</t>
        </is>
      </c>
      <c r="E117" t="inlineStr">
        <is>
          <t>Information Technology</t>
        </is>
      </c>
      <c r="F117" t="inlineStr"/>
      <c r="G117" t="inlineStr"/>
      <c r="H117" t="inlineStr">
        <is>
          <t>15.56%</t>
        </is>
      </c>
      <c r="I117" t="inlineStr">
        <is>
          <t>0.00%</t>
        </is>
      </c>
    </row>
    <row r="118">
      <c r="A118" s="2" t="n">
        <v>45967</v>
      </c>
      <c r="B118" t="inlineStr">
        <is>
          <t>P2726</t>
        </is>
      </c>
      <c r="C118" t="inlineStr">
        <is>
          <t>GICS_INDUSTRY_NAME</t>
        </is>
      </c>
      <c r="D118" t="inlineStr">
        <is>
          <t>Semiconductors &amp; Semiconductor Equipment</t>
        </is>
      </c>
      <c r="E118" t="inlineStr">
        <is>
          <t>Information Technology</t>
        </is>
      </c>
      <c r="F118" t="inlineStr"/>
      <c r="G118" t="inlineStr"/>
      <c r="H118" t="inlineStr">
        <is>
          <t>15.56%</t>
        </is>
      </c>
      <c r="I118" t="inlineStr">
        <is>
          <t>0.00%</t>
        </is>
      </c>
    </row>
    <row r="119">
      <c r="A119" s="2" t="n">
        <v>45967</v>
      </c>
      <c r="B119" t="inlineStr">
        <is>
          <t>P2726</t>
        </is>
      </c>
      <c r="C119" t="inlineStr">
        <is>
          <t>GICS_INDUSTRY_GROUP_NAME</t>
        </is>
      </c>
      <c r="D119" t="inlineStr">
        <is>
          <t>Software &amp; Services</t>
        </is>
      </c>
      <c r="E119" t="inlineStr">
        <is>
          <t>Information Technology</t>
        </is>
      </c>
      <c r="F119" t="inlineStr"/>
      <c r="G119" t="inlineStr"/>
      <c r="H119" t="inlineStr">
        <is>
          <t>10.09%</t>
        </is>
      </c>
      <c r="I119" t="inlineStr">
        <is>
          <t>0.00%</t>
        </is>
      </c>
    </row>
    <row r="120">
      <c r="A120" s="2" t="n">
        <v>45967</v>
      </c>
      <c r="B120" t="inlineStr">
        <is>
          <t>P2726</t>
        </is>
      </c>
      <c r="C120" t="inlineStr">
        <is>
          <t>GICS_INDUSTRY_GROUP_NAME</t>
        </is>
      </c>
      <c r="D120" t="inlineStr">
        <is>
          <t>Technology Hardware &amp; Equipment</t>
        </is>
      </c>
      <c r="E120" t="inlineStr">
        <is>
          <t>Information Technology</t>
        </is>
      </c>
      <c r="F120" t="inlineStr"/>
      <c r="G120" t="inlineStr"/>
      <c r="H120" t="inlineStr">
        <is>
          <t>9.54%</t>
        </is>
      </c>
      <c r="I120" t="inlineStr">
        <is>
          <t>0.00%</t>
        </is>
      </c>
    </row>
    <row r="121">
      <c r="A121" s="2" t="n">
        <v>45967</v>
      </c>
      <c r="B121" t="inlineStr">
        <is>
          <t>P2726</t>
        </is>
      </c>
      <c r="C121" t="inlineStr">
        <is>
          <t>GICS_INDUSTRY_GROUP_NAME</t>
        </is>
      </c>
      <c r="D121" t="inlineStr">
        <is>
          <t>Media &amp; Entertainment</t>
        </is>
      </c>
      <c r="E121" t="inlineStr">
        <is>
          <t>Communication Services</t>
        </is>
      </c>
      <c r="F121" t="inlineStr"/>
      <c r="G121" t="inlineStr"/>
      <c r="H121" t="inlineStr">
        <is>
          <t>9.44%</t>
        </is>
      </c>
      <c r="I121" t="inlineStr">
        <is>
          <t>0.00%</t>
        </is>
      </c>
    </row>
    <row r="122">
      <c r="A122" s="2" t="n">
        <v>45967</v>
      </c>
      <c r="B122" t="inlineStr">
        <is>
          <t>P2726</t>
        </is>
      </c>
      <c r="C122" t="inlineStr">
        <is>
          <t>GICS_INDUSTRY_NAME</t>
        </is>
      </c>
      <c r="D122" t="inlineStr">
        <is>
          <t>Software</t>
        </is>
      </c>
      <c r="E122" t="inlineStr">
        <is>
          <t>Information Technology</t>
        </is>
      </c>
      <c r="F122" t="inlineStr"/>
      <c r="G122" t="inlineStr"/>
      <c r="H122" t="inlineStr">
        <is>
          <t>8.87%</t>
        </is>
      </c>
      <c r="I122" t="inlineStr">
        <is>
          <t>0.00%</t>
        </is>
      </c>
    </row>
    <row r="123">
      <c r="A123" s="2" t="n">
        <v>45967</v>
      </c>
      <c r="B123" t="inlineStr">
        <is>
          <t>P2726</t>
        </is>
      </c>
      <c r="C123" t="inlineStr">
        <is>
          <t>GICS_INDUSTRY_NAME</t>
        </is>
      </c>
      <c r="D123" t="inlineStr">
        <is>
          <t>Interactive Media &amp; Services</t>
        </is>
      </c>
      <c r="E123" t="inlineStr">
        <is>
          <t>Communication Services</t>
        </is>
      </c>
      <c r="F123" t="inlineStr"/>
      <c r="G123" t="inlineStr"/>
      <c r="H123" t="inlineStr">
        <is>
          <t>8.02%</t>
        </is>
      </c>
      <c r="I123" t="inlineStr">
        <is>
          <t>0.00%</t>
        </is>
      </c>
    </row>
    <row r="124">
      <c r="A124" s="2" t="n">
        <v>45967</v>
      </c>
      <c r="B124" t="inlineStr">
        <is>
          <t>P2726</t>
        </is>
      </c>
      <c r="C124" t="inlineStr">
        <is>
          <t>GICS_INDUSTRY_NAME</t>
        </is>
      </c>
      <c r="D124" t="inlineStr">
        <is>
          <t>Technology Hardware, Storage &amp; Peripherals</t>
        </is>
      </c>
      <c r="E124" t="inlineStr">
        <is>
          <t>Information Technology</t>
        </is>
      </c>
      <c r="F124" t="inlineStr"/>
      <c r="G124" t="inlineStr"/>
      <c r="H124" t="inlineStr">
        <is>
          <t>7.54%</t>
        </is>
      </c>
      <c r="I124" t="inlineStr">
        <is>
          <t>0.00%</t>
        </is>
      </c>
    </row>
    <row r="125">
      <c r="A125" s="2" t="n">
        <v>45967</v>
      </c>
      <c r="B125" t="inlineStr">
        <is>
          <t>P2726</t>
        </is>
      </c>
      <c r="C125" t="inlineStr">
        <is>
          <t>GICS_INDUSTRY_GROUP_NAME</t>
        </is>
      </c>
      <c r="D125" t="inlineStr">
        <is>
          <t>Financial Services</t>
        </is>
      </c>
      <c r="E125" t="inlineStr">
        <is>
          <t>Financials</t>
        </is>
      </c>
      <c r="F125" t="inlineStr"/>
      <c r="G125" t="inlineStr"/>
      <c r="H125" t="inlineStr">
        <is>
          <t>6.67%</t>
        </is>
      </c>
      <c r="I125" t="inlineStr">
        <is>
          <t>0.00%</t>
        </is>
      </c>
    </row>
    <row r="126">
      <c r="A126" s="2" t="n">
        <v>45967</v>
      </c>
      <c r="B126" t="inlineStr">
        <is>
          <t>P2726</t>
        </is>
      </c>
      <c r="C126" t="inlineStr">
        <is>
          <t>GICS_INDUSTRY_GROUP_NAME</t>
        </is>
      </c>
      <c r="D126" t="inlineStr">
        <is>
          <t>Capital Goods</t>
        </is>
      </c>
      <c r="E126" t="inlineStr">
        <is>
          <t>Industrials</t>
        </is>
      </c>
      <c r="F126" t="inlineStr"/>
      <c r="G126" t="inlineStr"/>
      <c r="H126" t="inlineStr">
        <is>
          <t>6.35%</t>
        </is>
      </c>
      <c r="I126" t="inlineStr">
        <is>
          <t>0.00%</t>
        </is>
      </c>
    </row>
    <row r="127">
      <c r="A127" s="2" t="n">
        <v>45967</v>
      </c>
      <c r="B127" t="inlineStr">
        <is>
          <t>P2726</t>
        </is>
      </c>
      <c r="C127" t="inlineStr">
        <is>
          <t>GICS_INDUSTRY_GROUP_NAME</t>
        </is>
      </c>
      <c r="D127" t="inlineStr">
        <is>
          <t>Consumer Discretionary Distribution &amp; Retail</t>
        </is>
      </c>
      <c r="E127" t="inlineStr">
        <is>
          <t>Consumer Discretionary</t>
        </is>
      </c>
      <c r="F127" t="inlineStr"/>
      <c r="G127" t="inlineStr"/>
      <c r="H127" t="inlineStr">
        <is>
          <t>5.71%</t>
        </is>
      </c>
      <c r="I127" t="inlineStr">
        <is>
          <t>0.00%</t>
        </is>
      </c>
    </row>
    <row r="128">
      <c r="A128" s="2" t="n">
        <v>45967</v>
      </c>
      <c r="B128" t="inlineStr">
        <is>
          <t>P2726</t>
        </is>
      </c>
      <c r="C128" t="inlineStr">
        <is>
          <t>GICS_INDUSTRY_GROUP_NAME</t>
        </is>
      </c>
      <c r="D128" t="inlineStr">
        <is>
          <t>Pharmaceuticals, Biotechnology &amp; Life Sciences</t>
        </is>
      </c>
      <c r="E128" t="inlineStr">
        <is>
          <t>Health Care</t>
        </is>
      </c>
      <c r="F128" t="inlineStr"/>
      <c r="G128" t="inlineStr"/>
      <c r="H128" t="inlineStr">
        <is>
          <t>5.04%</t>
        </is>
      </c>
      <c r="I128" t="inlineStr">
        <is>
          <t>0.00%</t>
        </is>
      </c>
    </row>
    <row r="129">
      <c r="A129" s="2" t="n">
        <v>45967</v>
      </c>
      <c r="B129" t="inlineStr">
        <is>
          <t>P2726</t>
        </is>
      </c>
      <c r="C129" t="inlineStr">
        <is>
          <t>GICS_INDUSTRY_GROUP_NAME</t>
        </is>
      </c>
      <c r="D129" t="inlineStr">
        <is>
          <t>Banks</t>
        </is>
      </c>
      <c r="E129" t="inlineStr">
        <is>
          <t>Financials</t>
        </is>
      </c>
      <c r="F129" t="inlineStr"/>
      <c r="G129" t="inlineStr"/>
      <c r="H129" t="inlineStr">
        <is>
          <t>4.53%</t>
        </is>
      </c>
      <c r="I129" t="inlineStr">
        <is>
          <t>0.00%</t>
        </is>
      </c>
    </row>
    <row r="130">
      <c r="A130" s="2" t="n">
        <v>45967</v>
      </c>
      <c r="B130" t="inlineStr">
        <is>
          <t>P2726</t>
        </is>
      </c>
      <c r="C130" t="inlineStr">
        <is>
          <t>GICS_INDUSTRY_NAME</t>
        </is>
      </c>
      <c r="D130" t="inlineStr">
        <is>
          <t>Banks</t>
        </is>
      </c>
      <c r="E130" t="inlineStr">
        <is>
          <t>Financials</t>
        </is>
      </c>
      <c r="F130" t="inlineStr"/>
      <c r="G130" t="inlineStr"/>
      <c r="H130" t="inlineStr">
        <is>
          <t>4.53%</t>
        </is>
      </c>
      <c r="I130" t="inlineStr">
        <is>
          <t>0.00%</t>
        </is>
      </c>
    </row>
    <row r="131">
      <c r="A131" s="2" t="n">
        <v>45967</v>
      </c>
      <c r="B131" t="inlineStr">
        <is>
          <t>P2726</t>
        </is>
      </c>
      <c r="C131" t="inlineStr">
        <is>
          <t>GICS_INDUSTRY_NAME</t>
        </is>
      </c>
      <c r="D131" t="inlineStr">
        <is>
          <t>Broadline Retail</t>
        </is>
      </c>
      <c r="E131" t="inlineStr">
        <is>
          <t>Consumer Discretionary</t>
        </is>
      </c>
      <c r="F131" t="inlineStr"/>
      <c r="G131" t="inlineStr"/>
      <c r="H131" t="inlineStr">
        <is>
          <t>4.42%</t>
        </is>
      </c>
      <c r="I131" t="inlineStr">
        <is>
          <t>0.00%</t>
        </is>
      </c>
    </row>
    <row r="132">
      <c r="A132" s="2" t="n">
        <v>45967</v>
      </c>
      <c r="B132" t="inlineStr">
        <is>
          <t>P2726</t>
        </is>
      </c>
      <c r="C132" t="inlineStr">
        <is>
          <t>GICS_INDUSTRY_GROUP_NAME</t>
        </is>
      </c>
      <c r="D132" t="inlineStr">
        <is>
          <t>Health Care Equipment &amp; Services</t>
        </is>
      </c>
      <c r="E132" t="inlineStr">
        <is>
          <t>Health Care</t>
        </is>
      </c>
      <c r="F132" t="inlineStr"/>
      <c r="G132" t="inlineStr"/>
      <c r="H132" t="inlineStr">
        <is>
          <t>4.06%</t>
        </is>
      </c>
      <c r="I132" t="inlineStr">
        <is>
          <t>0.00%</t>
        </is>
      </c>
    </row>
    <row r="133">
      <c r="A133" s="2" t="n">
        <v>45967</v>
      </c>
      <c r="B133" t="inlineStr">
        <is>
          <t>P2726</t>
        </is>
      </c>
      <c r="C133" t="inlineStr">
        <is>
          <t>GICS_INDUSTRY_NAME</t>
        </is>
      </c>
      <c r="D133" t="inlineStr">
        <is>
          <t>Financial Services</t>
        </is>
      </c>
      <c r="E133" t="inlineStr">
        <is>
          <t>Financials</t>
        </is>
      </c>
      <c r="F133" t="inlineStr"/>
      <c r="G133" t="inlineStr"/>
      <c r="H133" t="inlineStr">
        <is>
          <t>3.36%</t>
        </is>
      </c>
      <c r="I133" t="inlineStr">
        <is>
          <t>0.00%</t>
        </is>
      </c>
    </row>
    <row r="134">
      <c r="A134" s="2" t="n">
        <v>45967</v>
      </c>
      <c r="B134" t="inlineStr">
        <is>
          <t>P2726</t>
        </is>
      </c>
      <c r="C134" t="inlineStr">
        <is>
          <t>GICS_INDUSTRY_NAME</t>
        </is>
      </c>
      <c r="D134" t="inlineStr">
        <is>
          <t>Aerospace &amp; Defense</t>
        </is>
      </c>
      <c r="E134" t="inlineStr">
        <is>
          <t>Industrials</t>
        </is>
      </c>
      <c r="F134" t="inlineStr"/>
      <c r="G134" t="inlineStr"/>
      <c r="H134" t="inlineStr">
        <is>
          <t>3.12%</t>
        </is>
      </c>
      <c r="I134" t="inlineStr">
        <is>
          <t>0.00%</t>
        </is>
      </c>
    </row>
    <row r="135">
      <c r="A135" s="2" t="n">
        <v>45967</v>
      </c>
      <c r="B135" t="inlineStr">
        <is>
          <t>P2726</t>
        </is>
      </c>
      <c r="C135" t="inlineStr">
        <is>
          <t>GICS_INDUSTRY_GROUP_NAME</t>
        </is>
      </c>
      <c r="D135" t="inlineStr">
        <is>
          <t>Energy</t>
        </is>
      </c>
      <c r="E135" t="inlineStr">
        <is>
          <t>Energy</t>
        </is>
      </c>
      <c r="F135" t="inlineStr"/>
      <c r="G135" t="inlineStr"/>
      <c r="H135" t="inlineStr">
        <is>
          <t>2.82%</t>
        </is>
      </c>
      <c r="I135" t="inlineStr">
        <is>
          <t>0.00%</t>
        </is>
      </c>
    </row>
    <row r="136">
      <c r="A136" s="2" t="n">
        <v>45967</v>
      </c>
      <c r="B136" t="inlineStr">
        <is>
          <t>P2726</t>
        </is>
      </c>
      <c r="C136" t="inlineStr">
        <is>
          <t>GICS_INDUSTRY_NAME</t>
        </is>
      </c>
      <c r="D136" t="inlineStr">
        <is>
          <t>Oil, Gas &amp; Consumable Fuels</t>
        </is>
      </c>
      <c r="E136" t="inlineStr">
        <is>
          <t>Energy</t>
        </is>
      </c>
      <c r="F136" t="inlineStr"/>
      <c r="G136" t="inlineStr"/>
      <c r="H136" t="inlineStr">
        <is>
          <t>2.82%</t>
        </is>
      </c>
      <c r="I136" t="inlineStr">
        <is>
          <t>0.00%</t>
        </is>
      </c>
    </row>
    <row r="137">
      <c r="A137" s="2" t="n">
        <v>45967</v>
      </c>
      <c r="B137" t="inlineStr">
        <is>
          <t>P2726</t>
        </is>
      </c>
      <c r="C137" t="inlineStr">
        <is>
          <t>GICS_INDUSTRY_NAME</t>
        </is>
      </c>
      <c r="D137" t="inlineStr">
        <is>
          <t>Capital Markets</t>
        </is>
      </c>
      <c r="E137" t="inlineStr">
        <is>
          <t>Financials</t>
        </is>
      </c>
      <c r="F137" t="inlineStr"/>
      <c r="G137" t="inlineStr"/>
      <c r="H137" t="inlineStr">
        <is>
          <t>2.69%</t>
        </is>
      </c>
      <c r="I137" t="inlineStr">
        <is>
          <t>0.00%</t>
        </is>
      </c>
    </row>
    <row r="138">
      <c r="A138" s="2" t="n">
        <v>45967</v>
      </c>
      <c r="B138" t="inlineStr">
        <is>
          <t>P2726</t>
        </is>
      </c>
      <c r="C138" t="inlineStr">
        <is>
          <t>GICS_INDUSTRY_GROUP_NAME</t>
        </is>
      </c>
      <c r="D138" t="inlineStr">
        <is>
          <t>Automobiles &amp; Components</t>
        </is>
      </c>
      <c r="E138" t="inlineStr">
        <is>
          <t>Consumer Discretionary</t>
        </is>
      </c>
      <c r="F138" t="inlineStr"/>
      <c r="G138" t="inlineStr"/>
      <c r="H138" t="inlineStr">
        <is>
          <t>2.39%</t>
        </is>
      </c>
      <c r="I138" t="inlineStr">
        <is>
          <t>0.00%</t>
        </is>
      </c>
    </row>
    <row r="139">
      <c r="A139" s="2" t="n">
        <v>45967</v>
      </c>
      <c r="B139" t="inlineStr">
        <is>
          <t>P2726</t>
        </is>
      </c>
      <c r="C139" t="inlineStr">
        <is>
          <t>GICS_INDUSTRY_NAME</t>
        </is>
      </c>
      <c r="D139" t="inlineStr">
        <is>
          <t>Automobiles</t>
        </is>
      </c>
      <c r="E139" t="inlineStr">
        <is>
          <t>Consumer Discretionary</t>
        </is>
      </c>
      <c r="F139" t="inlineStr"/>
      <c r="G139" t="inlineStr"/>
      <c r="H139" t="inlineStr">
        <is>
          <t>2.39%</t>
        </is>
      </c>
      <c r="I139" t="inlineStr">
        <is>
          <t>0.00%</t>
        </is>
      </c>
    </row>
    <row r="140">
      <c r="A140" s="2" t="n">
        <v>45967</v>
      </c>
      <c r="B140" t="inlineStr">
        <is>
          <t>P2726</t>
        </is>
      </c>
      <c r="C140" t="inlineStr">
        <is>
          <t>GICS_INDUSTRY_NAME</t>
        </is>
      </c>
      <c r="D140" t="inlineStr">
        <is>
          <t>Pharmaceuticals</t>
        </is>
      </c>
      <c r="E140" t="inlineStr">
        <is>
          <t>Health Care</t>
        </is>
      </c>
      <c r="F140" t="inlineStr"/>
      <c r="G140" t="inlineStr"/>
      <c r="H140" t="inlineStr">
        <is>
          <t>2.31%</t>
        </is>
      </c>
      <c r="I140" t="inlineStr">
        <is>
          <t>0.00%</t>
        </is>
      </c>
    </row>
    <row r="141">
      <c r="A141" s="2" t="n">
        <v>45967</v>
      </c>
      <c r="B141" t="inlineStr">
        <is>
          <t>P2726</t>
        </is>
      </c>
      <c r="C141" t="inlineStr">
        <is>
          <t>GICS_INDUSTRY_GROUP_NAME</t>
        </is>
      </c>
      <c r="D141" t="inlineStr">
        <is>
          <t>Utilities</t>
        </is>
      </c>
      <c r="E141" t="inlineStr">
        <is>
          <t>Utilities</t>
        </is>
      </c>
      <c r="F141" t="inlineStr"/>
      <c r="G141" t="inlineStr"/>
      <c r="H141" t="inlineStr">
        <is>
          <t>2.28%</t>
        </is>
      </c>
      <c r="I141" t="inlineStr">
        <is>
          <t>0.00%</t>
        </is>
      </c>
    </row>
    <row r="142">
      <c r="A142" s="2" t="n">
        <v>45967</v>
      </c>
      <c r="B142" t="inlineStr">
        <is>
          <t>P2726</t>
        </is>
      </c>
      <c r="C142" t="inlineStr">
        <is>
          <t>GICS_INDUSTRY_NAME</t>
        </is>
      </c>
      <c r="D142" t="inlineStr">
        <is>
          <t>Electric Utilities</t>
        </is>
      </c>
      <c r="E142" t="inlineStr">
        <is>
          <t>Utilities</t>
        </is>
      </c>
      <c r="F142" t="inlineStr"/>
      <c r="G142" t="inlineStr"/>
      <c r="H142" t="inlineStr">
        <is>
          <t>2.28%</t>
        </is>
      </c>
      <c r="I142" t="inlineStr">
        <is>
          <t>0.00%</t>
        </is>
      </c>
    </row>
    <row r="143">
      <c r="A143" s="2" t="n">
        <v>45967</v>
      </c>
      <c r="B143" t="inlineStr">
        <is>
          <t>P2726</t>
        </is>
      </c>
      <c r="C143" t="inlineStr">
        <is>
          <t>GICS_INDUSTRY_GROUP_NAME</t>
        </is>
      </c>
      <c r="D143" t="inlineStr">
        <is>
          <t>Food, Beverage &amp; Tobacco</t>
        </is>
      </c>
      <c r="E143" t="inlineStr">
        <is>
          <t>Consumer Staples</t>
        </is>
      </c>
      <c r="F143" t="inlineStr"/>
      <c r="G143" t="inlineStr"/>
      <c r="H143" t="inlineStr">
        <is>
          <t>2.19%</t>
        </is>
      </c>
      <c r="I143" t="inlineStr">
        <is>
          <t>0.00%</t>
        </is>
      </c>
    </row>
    <row r="144">
      <c r="A144" s="2" t="n">
        <v>45967</v>
      </c>
      <c r="B144" t="inlineStr">
        <is>
          <t>P2726</t>
        </is>
      </c>
      <c r="C144" t="inlineStr">
        <is>
          <t>GICS_INDUSTRY_GROUP_NAME</t>
        </is>
      </c>
      <c r="D144" t="inlineStr">
        <is>
          <t>Insurance</t>
        </is>
      </c>
      <c r="E144" t="inlineStr">
        <is>
          <t>Financials</t>
        </is>
      </c>
      <c r="F144" t="inlineStr"/>
      <c r="G144" t="inlineStr"/>
      <c r="H144" t="inlineStr">
        <is>
          <t>2.17%</t>
        </is>
      </c>
      <c r="I144" t="inlineStr">
        <is>
          <t>0.00%</t>
        </is>
      </c>
    </row>
    <row r="145">
      <c r="A145" s="2" t="n">
        <v>45967</v>
      </c>
      <c r="B145" t="inlineStr">
        <is>
          <t>P2726</t>
        </is>
      </c>
      <c r="C145" t="inlineStr">
        <is>
          <t>GICS_INDUSTRY_NAME</t>
        </is>
      </c>
      <c r="D145" t="inlineStr">
        <is>
          <t>Insurance</t>
        </is>
      </c>
      <c r="E145" t="inlineStr">
        <is>
          <t>Financials</t>
        </is>
      </c>
      <c r="F145" t="inlineStr"/>
      <c r="G145" t="inlineStr"/>
      <c r="H145" t="inlineStr">
        <is>
          <t>2.17%</t>
        </is>
      </c>
      <c r="I145" t="inlineStr">
        <is>
          <t>0.00%</t>
        </is>
      </c>
    </row>
    <row r="146">
      <c r="A146" s="2" t="n">
        <v>45967</v>
      </c>
      <c r="B146" t="inlineStr">
        <is>
          <t>P2726</t>
        </is>
      </c>
      <c r="C146" t="inlineStr">
        <is>
          <t>GICS_INDUSTRY_NAME</t>
        </is>
      </c>
      <c r="D146" t="inlineStr">
        <is>
          <t>Health Care Equipment &amp; Supplies</t>
        </is>
      </c>
      <c r="E146" t="inlineStr">
        <is>
          <t>Health Care</t>
        </is>
      </c>
      <c r="F146" t="inlineStr"/>
      <c r="G146" t="inlineStr"/>
      <c r="H146" t="inlineStr">
        <is>
          <t>2.15%</t>
        </is>
      </c>
      <c r="I146" t="inlineStr">
        <is>
          <t>0.00%</t>
        </is>
      </c>
    </row>
    <row r="147">
      <c r="A147" s="2" t="n">
        <v>45967</v>
      </c>
      <c r="B147" t="inlineStr">
        <is>
          <t>P2726</t>
        </is>
      </c>
      <c r="C147" t="inlineStr">
        <is>
          <t>GICS_INDUSTRY_NAME</t>
        </is>
      </c>
      <c r="D147" t="inlineStr">
        <is>
          <t>Communications Equipment</t>
        </is>
      </c>
      <c r="E147" t="inlineStr">
        <is>
          <t>Information Technology</t>
        </is>
      </c>
      <c r="F147" t="inlineStr"/>
      <c r="G147" t="inlineStr"/>
      <c r="H147" t="inlineStr">
        <is>
          <t>2.01%</t>
        </is>
      </c>
      <c r="I147" t="inlineStr">
        <is>
          <t>0.00%</t>
        </is>
      </c>
    </row>
    <row r="148">
      <c r="A148" s="2" t="n">
        <v>45967</v>
      </c>
      <c r="B148" t="inlineStr">
        <is>
          <t>P2726</t>
        </is>
      </c>
      <c r="C148" t="inlineStr">
        <is>
          <t>GICS_INDUSTRY_NAME</t>
        </is>
      </c>
      <c r="D148" t="inlineStr">
        <is>
          <t>Health Care Providers &amp; Services</t>
        </is>
      </c>
      <c r="E148" t="inlineStr">
        <is>
          <t>Health Care</t>
        </is>
      </c>
      <c r="F148" t="inlineStr"/>
      <c r="G148" t="inlineStr"/>
      <c r="H148" t="inlineStr">
        <is>
          <t>1.91%</t>
        </is>
      </c>
      <c r="I148" t="inlineStr">
        <is>
          <t>0.00%</t>
        </is>
      </c>
    </row>
    <row r="149">
      <c r="A149" s="2" t="n">
        <v>45967</v>
      </c>
      <c r="B149" t="inlineStr">
        <is>
          <t>P2726</t>
        </is>
      </c>
      <c r="C149" t="inlineStr">
        <is>
          <t>GICS_INDUSTRY_NAME</t>
        </is>
      </c>
      <c r="D149" t="inlineStr">
        <is>
          <t>Biotechnology</t>
        </is>
      </c>
      <c r="E149" t="inlineStr">
        <is>
          <t>Health Care</t>
        </is>
      </c>
      <c r="F149" t="inlineStr"/>
      <c r="G149" t="inlineStr"/>
      <c r="H149" t="inlineStr">
        <is>
          <t>1.82%</t>
        </is>
      </c>
      <c r="I149" t="inlineStr">
        <is>
          <t>0.00%</t>
        </is>
      </c>
    </row>
    <row r="150">
      <c r="A150" s="2" t="n">
        <v>45967</v>
      </c>
      <c r="B150" t="inlineStr">
        <is>
          <t>P2726</t>
        </is>
      </c>
      <c r="C150" t="inlineStr">
        <is>
          <t>GICS_INDUSTRY_GROUP_NAME</t>
        </is>
      </c>
      <c r="D150" t="inlineStr">
        <is>
          <t>Consumer Staples Distribution &amp; Retail</t>
        </is>
      </c>
      <c r="E150" t="inlineStr">
        <is>
          <t>Consumer Staples</t>
        </is>
      </c>
      <c r="F150" t="inlineStr"/>
      <c r="G150" t="inlineStr"/>
      <c r="H150" t="inlineStr">
        <is>
          <t>1.76%</t>
        </is>
      </c>
      <c r="I150" t="inlineStr">
        <is>
          <t>0.00%</t>
        </is>
      </c>
    </row>
    <row r="151">
      <c r="A151" s="2" t="n">
        <v>45967</v>
      </c>
      <c r="B151" t="inlineStr">
        <is>
          <t>P2726</t>
        </is>
      </c>
      <c r="C151" t="inlineStr">
        <is>
          <t>GICS_INDUSTRY_NAME</t>
        </is>
      </c>
      <c r="D151" t="inlineStr">
        <is>
          <t>Consumer Staples Distribution &amp; Retail</t>
        </is>
      </c>
      <c r="E151" t="inlineStr">
        <is>
          <t>Consumer Staples</t>
        </is>
      </c>
      <c r="F151" t="inlineStr"/>
      <c r="G151" t="inlineStr"/>
      <c r="H151" t="inlineStr">
        <is>
          <t>1.76%</t>
        </is>
      </c>
      <c r="I151" t="inlineStr">
        <is>
          <t>0.00%</t>
        </is>
      </c>
    </row>
    <row r="152">
      <c r="A152" s="2" t="n">
        <v>45967</v>
      </c>
      <c r="B152" t="inlineStr">
        <is>
          <t>P2726</t>
        </is>
      </c>
      <c r="C152" t="inlineStr">
        <is>
          <t>GICS_INDUSTRY_GROUP_NAME</t>
        </is>
      </c>
      <c r="D152" t="inlineStr">
        <is>
          <t>Materials</t>
        </is>
      </c>
      <c r="E152" t="inlineStr">
        <is>
          <t>Materials</t>
        </is>
      </c>
      <c r="F152" t="inlineStr"/>
      <c r="G152" t="inlineStr"/>
      <c r="H152" t="inlineStr">
        <is>
          <t>1.69%</t>
        </is>
      </c>
      <c r="I152" t="inlineStr">
        <is>
          <t>0.00%</t>
        </is>
      </c>
    </row>
    <row r="153">
      <c r="A153" s="2" t="n">
        <v>45967</v>
      </c>
      <c r="B153" t="inlineStr">
        <is>
          <t>P2726</t>
        </is>
      </c>
      <c r="C153" t="inlineStr">
        <is>
          <t>GICS_INDUSTRY_NAME</t>
        </is>
      </c>
      <c r="D153" t="inlineStr">
        <is>
          <t>Chemicals</t>
        </is>
      </c>
      <c r="E153" t="inlineStr">
        <is>
          <t>Materials</t>
        </is>
      </c>
      <c r="F153" t="inlineStr"/>
      <c r="G153" t="inlineStr"/>
      <c r="H153" t="inlineStr">
        <is>
          <t>1.69%</t>
        </is>
      </c>
      <c r="I153" t="inlineStr">
        <is>
          <t>0.00%</t>
        </is>
      </c>
    </row>
    <row r="154">
      <c r="A154" s="2" t="n">
        <v>45967</v>
      </c>
      <c r="B154" t="inlineStr">
        <is>
          <t>P2726</t>
        </is>
      </c>
      <c r="C154" t="inlineStr">
        <is>
          <t>GICS_INDUSTRY_GROUP_NAME</t>
        </is>
      </c>
      <c r="D154" t="inlineStr">
        <is>
          <t>Consumer Services</t>
        </is>
      </c>
      <c r="E154" t="inlineStr">
        <is>
          <t>Consumer Discretionary</t>
        </is>
      </c>
      <c r="F154" t="inlineStr"/>
      <c r="G154" t="inlineStr"/>
      <c r="H154" t="inlineStr">
        <is>
          <t>1.66%</t>
        </is>
      </c>
      <c r="I154" t="inlineStr">
        <is>
          <t>0.00%</t>
        </is>
      </c>
    </row>
    <row r="155">
      <c r="A155" s="2" t="n">
        <v>45967</v>
      </c>
      <c r="B155" t="inlineStr">
        <is>
          <t>P2726</t>
        </is>
      </c>
      <c r="C155" t="inlineStr">
        <is>
          <t>GICS_INDUSTRY_NAME</t>
        </is>
      </c>
      <c r="D155" t="inlineStr">
        <is>
          <t>Hotels, Restaurants &amp; Leisure</t>
        </is>
      </c>
      <c r="E155" t="inlineStr">
        <is>
          <t>Consumer Discretionary</t>
        </is>
      </c>
      <c r="F155" t="inlineStr"/>
      <c r="G155" t="inlineStr"/>
      <c r="H155" t="inlineStr">
        <is>
          <t>1.66%</t>
        </is>
      </c>
      <c r="I155" t="inlineStr">
        <is>
          <t>0.00%</t>
        </is>
      </c>
    </row>
    <row r="156">
      <c r="A156" s="2" t="n">
        <v>45967</v>
      </c>
      <c r="B156" t="inlineStr">
        <is>
          <t>P2726</t>
        </is>
      </c>
      <c r="C156" t="inlineStr">
        <is>
          <t>GICS_INDUSTRY_NAME</t>
        </is>
      </c>
      <c r="D156" t="inlineStr">
        <is>
          <t>Machinery</t>
        </is>
      </c>
      <c r="E156" t="inlineStr">
        <is>
          <t>Industrials</t>
        </is>
      </c>
      <c r="F156" t="inlineStr"/>
      <c r="G156" t="inlineStr"/>
      <c r="H156" t="inlineStr">
        <is>
          <t>1.53%</t>
        </is>
      </c>
      <c r="I156" t="inlineStr">
        <is>
          <t>0.00%</t>
        </is>
      </c>
    </row>
    <row r="157">
      <c r="A157" s="2" t="n">
        <v>45967</v>
      </c>
      <c r="B157" t="inlineStr">
        <is>
          <t>P2726</t>
        </is>
      </c>
      <c r="C157" t="inlineStr">
        <is>
          <t>GICS_INDUSTRY_GROUP_NAME</t>
        </is>
      </c>
      <c r="D157" t="inlineStr">
        <is>
          <t>Equity Real Estate Investment Trusts</t>
        </is>
      </c>
      <c r="E157" t="inlineStr">
        <is>
          <t>Real Estate</t>
        </is>
      </c>
      <c r="F157" t="inlineStr"/>
      <c r="G157" t="inlineStr"/>
      <c r="H157" t="inlineStr">
        <is>
          <t>1.44%</t>
        </is>
      </c>
      <c r="I157" t="inlineStr">
        <is>
          <t>0.00%</t>
        </is>
      </c>
    </row>
    <row r="158">
      <c r="A158" s="2" t="n">
        <v>45967</v>
      </c>
      <c r="B158" t="inlineStr">
        <is>
          <t>P2726</t>
        </is>
      </c>
      <c r="C158" t="inlineStr">
        <is>
          <t>GICS_INDUSTRY_NAME</t>
        </is>
      </c>
      <c r="D158" t="inlineStr">
        <is>
          <t>Specialized REITs</t>
        </is>
      </c>
      <c r="E158" t="inlineStr">
        <is>
          <t>Real Estate</t>
        </is>
      </c>
      <c r="F158" t="inlineStr"/>
      <c r="G158" t="inlineStr"/>
      <c r="H158" t="inlineStr">
        <is>
          <t>1.44%</t>
        </is>
      </c>
      <c r="I158" t="inlineStr">
        <is>
          <t>0.00%</t>
        </is>
      </c>
    </row>
    <row r="159">
      <c r="A159" s="2" t="n">
        <v>45967</v>
      </c>
      <c r="B159" t="inlineStr">
        <is>
          <t>P2726</t>
        </is>
      </c>
      <c r="C159" t="inlineStr">
        <is>
          <t>GICS_INDUSTRY_GROUP_NAME</t>
        </is>
      </c>
      <c r="D159" t="inlineStr">
        <is>
          <t>Transportation</t>
        </is>
      </c>
      <c r="E159" t="inlineStr">
        <is>
          <t>Industrials</t>
        </is>
      </c>
      <c r="F159" t="inlineStr"/>
      <c r="G159" t="inlineStr"/>
      <c r="H159" t="inlineStr">
        <is>
          <t>1.34%</t>
        </is>
      </c>
      <c r="I159" t="inlineStr">
        <is>
          <t>0.00%</t>
        </is>
      </c>
    </row>
    <row r="160">
      <c r="A160" s="2" t="n">
        <v>45967</v>
      </c>
      <c r="B160" t="inlineStr">
        <is>
          <t>P2726</t>
        </is>
      </c>
      <c r="C160" t="inlineStr">
        <is>
          <t>GICS_INDUSTRY_NAME</t>
        </is>
      </c>
      <c r="D160" t="inlineStr">
        <is>
          <t>Specialty Retail</t>
        </is>
      </c>
      <c r="E160" t="inlineStr">
        <is>
          <t>Consumer Discretionary</t>
        </is>
      </c>
      <c r="F160" t="inlineStr"/>
      <c r="G160" t="inlineStr"/>
      <c r="H160" t="inlineStr">
        <is>
          <t>1.28%</t>
        </is>
      </c>
      <c r="I160" t="inlineStr">
        <is>
          <t>0.00%</t>
        </is>
      </c>
    </row>
    <row r="161">
      <c r="A161" s="2" t="n">
        <v>45967</v>
      </c>
      <c r="B161" t="inlineStr">
        <is>
          <t>P2726</t>
        </is>
      </c>
      <c r="C161" t="inlineStr">
        <is>
          <t>GICS_INDUSTRY_NAME</t>
        </is>
      </c>
      <c r="D161" t="inlineStr">
        <is>
          <t>Entertainment</t>
        </is>
      </c>
      <c r="E161" t="inlineStr">
        <is>
          <t>Communication Services</t>
        </is>
      </c>
      <c r="F161" t="inlineStr"/>
      <c r="G161" t="inlineStr"/>
      <c r="H161" t="inlineStr">
        <is>
          <t>1.23%</t>
        </is>
      </c>
      <c r="I161" t="inlineStr">
        <is>
          <t>0.00%</t>
        </is>
      </c>
    </row>
    <row r="162">
      <c r="A162" s="2" t="n">
        <v>45967</v>
      </c>
      <c r="B162" t="inlineStr">
        <is>
          <t>P2726</t>
        </is>
      </c>
      <c r="C162" t="inlineStr">
        <is>
          <t>GICS_INDUSTRY_NAME</t>
        </is>
      </c>
      <c r="D162" t="inlineStr">
        <is>
          <t>IT Services</t>
        </is>
      </c>
      <c r="E162" t="inlineStr">
        <is>
          <t>Information Technology</t>
        </is>
      </c>
      <c r="F162" t="inlineStr"/>
      <c r="G162" t="inlineStr"/>
      <c r="H162" t="inlineStr">
        <is>
          <t>1.22%</t>
        </is>
      </c>
      <c r="I162" t="inlineStr">
        <is>
          <t>0.00%</t>
        </is>
      </c>
    </row>
    <row r="163">
      <c r="A163" s="2" t="n">
        <v>45967</v>
      </c>
      <c r="B163" t="inlineStr">
        <is>
          <t>P2726</t>
        </is>
      </c>
      <c r="C163" t="inlineStr">
        <is>
          <t>GICS_INDUSTRY_NAME</t>
        </is>
      </c>
      <c r="D163" t="inlineStr">
        <is>
          <t>Beverages</t>
        </is>
      </c>
      <c r="E163" t="inlineStr">
        <is>
          <t>Consumer Staples</t>
        </is>
      </c>
      <c r="F163" t="inlineStr"/>
      <c r="G163" t="inlineStr"/>
      <c r="H163" t="inlineStr">
        <is>
          <t>1.16%</t>
        </is>
      </c>
      <c r="I163" t="inlineStr">
        <is>
          <t>0.00%</t>
        </is>
      </c>
    </row>
    <row r="164">
      <c r="A164" s="2" t="n">
        <v>45967</v>
      </c>
      <c r="B164" t="inlineStr">
        <is>
          <t>P2726</t>
        </is>
      </c>
      <c r="C164" t="inlineStr">
        <is>
          <t>GICS_INDUSTRY_GROUP_NAME</t>
        </is>
      </c>
      <c r="D164" t="inlineStr">
        <is>
          <t>Commercial &amp; Professional Services</t>
        </is>
      </c>
      <c r="E164" t="inlineStr">
        <is>
          <t>Industrials</t>
        </is>
      </c>
      <c r="F164" t="inlineStr"/>
      <c r="G164" t="inlineStr"/>
      <c r="H164" t="inlineStr">
        <is>
          <t>1.00%</t>
        </is>
      </c>
      <c r="I164" t="inlineStr">
        <is>
          <t>0.00%</t>
        </is>
      </c>
    </row>
    <row r="165">
      <c r="A165" s="2" t="n">
        <v>45967</v>
      </c>
      <c r="B165" t="inlineStr">
        <is>
          <t>P2726</t>
        </is>
      </c>
      <c r="C165" t="inlineStr">
        <is>
          <t>GICS_INDUSTRY_NAME</t>
        </is>
      </c>
      <c r="D165" t="inlineStr">
        <is>
          <t>Commercial Services &amp; Supplies</t>
        </is>
      </c>
      <c r="E165" t="inlineStr">
        <is>
          <t>Industrials</t>
        </is>
      </c>
      <c r="F165" t="inlineStr"/>
      <c r="G165" t="inlineStr"/>
      <c r="H165" t="inlineStr">
        <is>
          <t>1.00%</t>
        </is>
      </c>
      <c r="I165" t="inlineStr">
        <is>
          <t>0.00%</t>
        </is>
      </c>
    </row>
    <row r="166">
      <c r="A166" s="2" t="n">
        <v>45967</v>
      </c>
      <c r="B166" t="inlineStr">
        <is>
          <t>P2726</t>
        </is>
      </c>
      <c r="C166" t="inlineStr">
        <is>
          <t>GICS_INDUSTRY_NAME</t>
        </is>
      </c>
      <c r="D166" t="inlineStr">
        <is>
          <t>Ground Transportation</t>
        </is>
      </c>
      <c r="E166" t="inlineStr">
        <is>
          <t>Industrials</t>
        </is>
      </c>
      <c r="F166" t="inlineStr"/>
      <c r="G166" t="inlineStr"/>
      <c r="H166" t="inlineStr">
        <is>
          <t>0.96%</t>
        </is>
      </c>
      <c r="I166" t="inlineStr">
        <is>
          <t>0.00%</t>
        </is>
      </c>
    </row>
    <row r="167">
      <c r="A167" s="2" t="n">
        <v>45967</v>
      </c>
      <c r="B167" t="inlineStr">
        <is>
          <t>P2726</t>
        </is>
      </c>
      <c r="C167" t="inlineStr">
        <is>
          <t>GICS_INDUSTRY_GROUP_NAME</t>
        </is>
      </c>
      <c r="D167" t="inlineStr">
        <is>
          <t>Household &amp; Personal Products</t>
        </is>
      </c>
      <c r="E167" t="inlineStr">
        <is>
          <t>Consumer Staples</t>
        </is>
      </c>
      <c r="F167" t="inlineStr"/>
      <c r="G167" t="inlineStr"/>
      <c r="H167" t="inlineStr">
        <is>
          <t>0.93%</t>
        </is>
      </c>
      <c r="I167" t="inlineStr">
        <is>
          <t>0.00%</t>
        </is>
      </c>
    </row>
    <row r="168">
      <c r="A168" s="2" t="n">
        <v>45967</v>
      </c>
      <c r="B168" t="inlineStr">
        <is>
          <t>P2726</t>
        </is>
      </c>
      <c r="C168" t="inlineStr">
        <is>
          <t>GICS_INDUSTRY_NAME</t>
        </is>
      </c>
      <c r="D168" t="inlineStr">
        <is>
          <t>Household Products</t>
        </is>
      </c>
      <c r="E168" t="inlineStr">
        <is>
          <t>Consumer Staples</t>
        </is>
      </c>
      <c r="F168" t="inlineStr"/>
      <c r="G168" t="inlineStr"/>
      <c r="H168" t="inlineStr">
        <is>
          <t>0.93%</t>
        </is>
      </c>
      <c r="I168" t="inlineStr">
        <is>
          <t>0.00%</t>
        </is>
      </c>
    </row>
    <row r="169">
      <c r="A169" s="2" t="n">
        <v>45967</v>
      </c>
      <c r="B169" t="inlineStr">
        <is>
          <t>P2726</t>
        </is>
      </c>
      <c r="C169" t="inlineStr">
        <is>
          <t>GICS_INDUSTRY_NAME</t>
        </is>
      </c>
      <c r="D169" t="inlineStr">
        <is>
          <t>Life Sciences Tools &amp; Services</t>
        </is>
      </c>
      <c r="E169" t="inlineStr">
        <is>
          <t>Health Care</t>
        </is>
      </c>
      <c r="F169" t="inlineStr"/>
      <c r="G169" t="inlineStr"/>
      <c r="H169" t="inlineStr">
        <is>
          <t>0.90%</t>
        </is>
      </c>
      <c r="I169" t="inlineStr">
        <is>
          <t>0.00%</t>
        </is>
      </c>
    </row>
    <row r="170">
      <c r="A170" s="2" t="n">
        <v>45967</v>
      </c>
      <c r="B170" t="inlineStr">
        <is>
          <t>P2726</t>
        </is>
      </c>
      <c r="C170" t="inlineStr">
        <is>
          <t>GICS_INDUSTRY_NAME</t>
        </is>
      </c>
      <c r="D170" t="inlineStr">
        <is>
          <t>Electrical Equipment</t>
        </is>
      </c>
      <c r="E170" t="inlineStr">
        <is>
          <t>Industrials</t>
        </is>
      </c>
      <c r="F170" t="inlineStr"/>
      <c r="G170" t="inlineStr"/>
      <c r="H170" t="inlineStr">
        <is>
          <t>0.86%</t>
        </is>
      </c>
      <c r="I170" t="inlineStr">
        <is>
          <t>0.00%</t>
        </is>
      </c>
    </row>
    <row r="171">
      <c r="A171" s="2" t="n">
        <v>45967</v>
      </c>
      <c r="B171" t="inlineStr">
        <is>
          <t>P2726</t>
        </is>
      </c>
      <c r="C171" t="inlineStr">
        <is>
          <t>GICS_INDUSTRY_NAME</t>
        </is>
      </c>
      <c r="D171" t="inlineStr">
        <is>
          <t>Industrial Conglomerates</t>
        </is>
      </c>
      <c r="E171" t="inlineStr">
        <is>
          <t>Industrials</t>
        </is>
      </c>
      <c r="F171" t="inlineStr"/>
      <c r="G171" t="inlineStr"/>
      <c r="H171" t="inlineStr">
        <is>
          <t>0.84%</t>
        </is>
      </c>
      <c r="I171" t="inlineStr">
        <is>
          <t>0.00%</t>
        </is>
      </c>
    </row>
    <row r="172">
      <c r="A172" s="2" t="n">
        <v>45967</v>
      </c>
      <c r="B172" t="inlineStr">
        <is>
          <t>P2726</t>
        </is>
      </c>
      <c r="C172" t="inlineStr">
        <is>
          <t>GICS_INDUSTRY_NAME</t>
        </is>
      </c>
      <c r="D172" t="inlineStr">
        <is>
          <t>Tobacco</t>
        </is>
      </c>
      <c r="E172" t="inlineStr">
        <is>
          <t>Consumer Staples</t>
        </is>
      </c>
      <c r="F172" t="inlineStr"/>
      <c r="G172" t="inlineStr"/>
      <c r="H172" t="inlineStr">
        <is>
          <t>0.83%</t>
        </is>
      </c>
      <c r="I172" t="inlineStr">
        <is>
          <t>0.00%</t>
        </is>
      </c>
    </row>
    <row r="173">
      <c r="A173" s="2" t="n">
        <v>45967</v>
      </c>
      <c r="B173" t="inlineStr">
        <is>
          <t>P2726</t>
        </is>
      </c>
      <c r="C173" t="inlineStr">
        <is>
          <t>GICS_INDUSTRY_GROUP_NAME</t>
        </is>
      </c>
      <c r="D173" t="inlineStr">
        <is>
          <t>Telecommunication Services</t>
        </is>
      </c>
      <c r="E173" t="inlineStr">
        <is>
          <t>Communication Services</t>
        </is>
      </c>
      <c r="F173" t="inlineStr"/>
      <c r="G173" t="inlineStr"/>
      <c r="H173" t="inlineStr">
        <is>
          <t>0.80%</t>
        </is>
      </c>
      <c r="I173" t="inlineStr">
        <is>
          <t>0.00%</t>
        </is>
      </c>
    </row>
    <row r="174">
      <c r="A174" s="2" t="n">
        <v>45967</v>
      </c>
      <c r="B174" t="inlineStr">
        <is>
          <t>P2726</t>
        </is>
      </c>
      <c r="C174" t="inlineStr">
        <is>
          <t>GICS_INDUSTRY_NAME</t>
        </is>
      </c>
      <c r="D174" t="inlineStr">
        <is>
          <t>Diversified Telecommunication Services</t>
        </is>
      </c>
      <c r="E174" t="inlineStr">
        <is>
          <t>Communication Services</t>
        </is>
      </c>
      <c r="F174" t="inlineStr"/>
      <c r="G174" t="inlineStr"/>
      <c r="H174" t="inlineStr">
        <is>
          <t>0.80%</t>
        </is>
      </c>
      <c r="I174" t="inlineStr">
        <is>
          <t>0.00%</t>
        </is>
      </c>
    </row>
    <row r="175">
      <c r="A175" s="2" t="n">
        <v>45967</v>
      </c>
      <c r="B175" t="inlineStr">
        <is>
          <t>P2726</t>
        </is>
      </c>
      <c r="C175" t="inlineStr">
        <is>
          <t>GICS_INDUSTRY_NAME</t>
        </is>
      </c>
      <c r="D175" t="inlineStr">
        <is>
          <t>Consumer Finance</t>
        </is>
      </c>
      <c r="E175" t="inlineStr">
        <is>
          <t>Financials</t>
        </is>
      </c>
      <c r="F175" t="inlineStr"/>
      <c r="G175" t="inlineStr"/>
      <c r="H175" t="inlineStr">
        <is>
          <t>0.63%</t>
        </is>
      </c>
      <c r="I175" t="inlineStr">
        <is>
          <t>0.00%</t>
        </is>
      </c>
    </row>
    <row r="176">
      <c r="A176" s="2" t="n">
        <v>45967</v>
      </c>
      <c r="B176" t="inlineStr">
        <is>
          <t>P2726</t>
        </is>
      </c>
      <c r="C176" t="inlineStr">
        <is>
          <t>GICS_INDUSTRY_GROUP_NAME</t>
        </is>
      </c>
      <c r="D176" t="inlineStr">
        <is>
          <t>Consumer Durables &amp; Apparel</t>
        </is>
      </c>
      <c r="E176" t="inlineStr">
        <is>
          <t>Consumer Discretionary</t>
        </is>
      </c>
      <c r="F176" t="inlineStr"/>
      <c r="G176" t="inlineStr"/>
      <c r="H176" t="inlineStr">
        <is>
          <t>0.52%</t>
        </is>
      </c>
      <c r="I176" t="inlineStr">
        <is>
          <t>0.00%</t>
        </is>
      </c>
    </row>
    <row r="177">
      <c r="A177" s="2" t="n">
        <v>45967</v>
      </c>
      <c r="B177" t="inlineStr">
        <is>
          <t>P2726</t>
        </is>
      </c>
      <c r="C177" t="inlineStr">
        <is>
          <t>GICS_INDUSTRY_NAME</t>
        </is>
      </c>
      <c r="D177" t="inlineStr">
        <is>
          <t>Textiles, Apparel &amp; Luxury Goods</t>
        </is>
      </c>
      <c r="E177" t="inlineStr">
        <is>
          <t>Consumer Discretionary</t>
        </is>
      </c>
      <c r="F177" t="inlineStr"/>
      <c r="G177" t="inlineStr"/>
      <c r="H177" t="inlineStr">
        <is>
          <t>0.52%</t>
        </is>
      </c>
      <c r="I177" t="inlineStr">
        <is>
          <t>0.00%</t>
        </is>
      </c>
    </row>
    <row r="178">
      <c r="A178" s="2" t="n">
        <v>45967</v>
      </c>
      <c r="B178" t="inlineStr">
        <is>
          <t>P2726</t>
        </is>
      </c>
      <c r="C178" t="inlineStr">
        <is>
          <t>GICS_INDUSTRY_NAME</t>
        </is>
      </c>
      <c r="D178" t="inlineStr">
        <is>
          <t>Air Freight &amp; Logistics</t>
        </is>
      </c>
      <c r="E178" t="inlineStr">
        <is>
          <t>Industrials</t>
        </is>
      </c>
      <c r="F178" t="inlineStr"/>
      <c r="G178" t="inlineStr"/>
      <c r="H178" t="inlineStr">
        <is>
          <t>0.37%</t>
        </is>
      </c>
      <c r="I178" t="inlineStr">
        <is>
          <t>0.00%</t>
        </is>
      </c>
    </row>
    <row r="179">
      <c r="A179" s="2" t="n">
        <v>45967</v>
      </c>
      <c r="B179" t="inlineStr">
        <is>
          <t>P2726</t>
        </is>
      </c>
      <c r="C179" t="inlineStr">
        <is>
          <t>GICS_INDUSTRY_NAME</t>
        </is>
      </c>
      <c r="D179" t="inlineStr">
        <is>
          <t>Media</t>
        </is>
      </c>
      <c r="E179" t="inlineStr">
        <is>
          <t>Communication Services</t>
        </is>
      </c>
      <c r="F179" t="inlineStr"/>
      <c r="G179" t="inlineStr"/>
      <c r="H179" t="inlineStr">
        <is>
          <t>0.19%</t>
        </is>
      </c>
      <c r="I179" t="inlineStr">
        <is>
          <t>0.00%</t>
        </is>
      </c>
    </row>
    <row r="180">
      <c r="A180" s="2" t="n">
        <v>45967</v>
      </c>
      <c r="B180" t="inlineStr">
        <is>
          <t>P2726</t>
        </is>
      </c>
      <c r="C180" t="inlineStr">
        <is>
          <t>GICS_INDUSTRY_NAME</t>
        </is>
      </c>
      <c r="D180" t="inlineStr">
        <is>
          <t>Food Products</t>
        </is>
      </c>
      <c r="E180" t="inlineStr">
        <is>
          <t>Consumer Staples</t>
        </is>
      </c>
      <c r="F180" t="inlineStr"/>
      <c r="G180" t="inlineStr"/>
      <c r="H180" t="inlineStr">
        <is>
          <t>0.19%</t>
        </is>
      </c>
      <c r="I180" t="inlineStr">
        <is>
          <t>0.00%</t>
        </is>
      </c>
    </row>
    <row r="181">
      <c r="A181" s="2" t="n">
        <v>45967</v>
      </c>
      <c r="B181" t="inlineStr">
        <is>
          <t>TDVI</t>
        </is>
      </c>
      <c r="C181" t="inlineStr">
        <is>
          <t>GICS_INDUSTRY_GROUP_NAME</t>
        </is>
      </c>
      <c r="D181" t="inlineStr">
        <is>
          <t>Semiconductors &amp; Semiconductor Equipment</t>
        </is>
      </c>
      <c r="E181" t="inlineStr">
        <is>
          <t>Information Technology</t>
        </is>
      </c>
      <c r="F181" t="b">
        <v>1</v>
      </c>
      <c r="G181" t="inlineStr"/>
      <c r="H181" t="inlineStr">
        <is>
          <t>37.73%</t>
        </is>
      </c>
      <c r="I181" t="inlineStr">
        <is>
          <t>0.00%</t>
        </is>
      </c>
    </row>
    <row r="182">
      <c r="A182" s="2" t="n">
        <v>45967</v>
      </c>
      <c r="B182" t="inlineStr">
        <is>
          <t>TDVI</t>
        </is>
      </c>
      <c r="C182" t="inlineStr">
        <is>
          <t>GICS_INDUSTRY_NAME</t>
        </is>
      </c>
      <c r="D182" t="inlineStr">
        <is>
          <t>Semiconductors &amp; Semiconductor Equipment</t>
        </is>
      </c>
      <c r="E182" t="inlineStr">
        <is>
          <t>Information Technology</t>
        </is>
      </c>
      <c r="F182" t="b">
        <v>1</v>
      </c>
      <c r="G182" t="inlineStr"/>
      <c r="H182" t="inlineStr">
        <is>
          <t>37.73%</t>
        </is>
      </c>
      <c r="I182" t="inlineStr">
        <is>
          <t>0.00%</t>
        </is>
      </c>
    </row>
    <row r="183">
      <c r="A183" s="2" t="n">
        <v>45967</v>
      </c>
      <c r="B183" t="inlineStr">
        <is>
          <t>TDVI</t>
        </is>
      </c>
      <c r="C183" t="inlineStr">
        <is>
          <t>GICS_INDUSTRY_GROUP_NAME</t>
        </is>
      </c>
      <c r="D183" t="inlineStr">
        <is>
          <t>Software &amp; Services</t>
        </is>
      </c>
      <c r="E183" t="inlineStr">
        <is>
          <t>Information Technology</t>
        </is>
      </c>
      <c r="F183" t="b">
        <v>1</v>
      </c>
      <c r="G183" t="inlineStr"/>
      <c r="H183" t="inlineStr">
        <is>
          <t>31.20%</t>
        </is>
      </c>
      <c r="I183" t="inlineStr">
        <is>
          <t>0.00%</t>
        </is>
      </c>
    </row>
    <row r="184">
      <c r="A184" s="2" t="n">
        <v>45967</v>
      </c>
      <c r="B184" t="inlineStr">
        <is>
          <t>TDVI</t>
        </is>
      </c>
      <c r="C184" t="inlineStr">
        <is>
          <t>GICS_INDUSTRY_NAME</t>
        </is>
      </c>
      <c r="D184" t="inlineStr">
        <is>
          <t>Software</t>
        </is>
      </c>
      <c r="E184" t="inlineStr">
        <is>
          <t>Information Technology</t>
        </is>
      </c>
      <c r="F184" t="inlineStr"/>
      <c r="G184" t="inlineStr"/>
      <c r="H184" t="inlineStr">
        <is>
          <t>20.26%</t>
        </is>
      </c>
      <c r="I184" t="inlineStr">
        <is>
          <t>0.00%</t>
        </is>
      </c>
    </row>
    <row r="185">
      <c r="A185" s="2" t="n">
        <v>45967</v>
      </c>
      <c r="B185" t="inlineStr">
        <is>
          <t>TDVI</t>
        </is>
      </c>
      <c r="C185" t="inlineStr">
        <is>
          <t>GICS_INDUSTRY_GROUP_NAME</t>
        </is>
      </c>
      <c r="D185" t="inlineStr">
        <is>
          <t>Technology Hardware &amp; Equipment</t>
        </is>
      </c>
      <c r="E185" t="inlineStr">
        <is>
          <t>Information Technology</t>
        </is>
      </c>
      <c r="F185" t="inlineStr"/>
      <c r="G185" t="inlineStr"/>
      <c r="H185" t="inlineStr">
        <is>
          <t>16.25%</t>
        </is>
      </c>
      <c r="I185" t="inlineStr">
        <is>
          <t>0.00%</t>
        </is>
      </c>
    </row>
    <row r="186">
      <c r="A186" s="2" t="n">
        <v>45967</v>
      </c>
      <c r="B186" t="inlineStr">
        <is>
          <t>TDVI</t>
        </is>
      </c>
      <c r="C186" t="inlineStr">
        <is>
          <t>GICS_INDUSTRY_NAME</t>
        </is>
      </c>
      <c r="D186" t="inlineStr">
        <is>
          <t>IT Services</t>
        </is>
      </c>
      <c r="E186" t="inlineStr">
        <is>
          <t>Information Technology</t>
        </is>
      </c>
      <c r="F186" t="inlineStr"/>
      <c r="G186" t="inlineStr"/>
      <c r="H186" t="inlineStr">
        <is>
          <t>10.94%</t>
        </is>
      </c>
      <c r="I186" t="inlineStr">
        <is>
          <t>0.00%</t>
        </is>
      </c>
    </row>
    <row r="187">
      <c r="A187" s="2" t="n">
        <v>45967</v>
      </c>
      <c r="B187" t="inlineStr">
        <is>
          <t>TDVI</t>
        </is>
      </c>
      <c r="C187" t="inlineStr">
        <is>
          <t>GICS_INDUSTRY_GROUP_NAME</t>
        </is>
      </c>
      <c r="D187" t="inlineStr">
        <is>
          <t>Telecommunication Services</t>
        </is>
      </c>
      <c r="E187" t="inlineStr">
        <is>
          <t>Communication Services</t>
        </is>
      </c>
      <c r="F187" t="inlineStr"/>
      <c r="G187" t="inlineStr"/>
      <c r="H187" t="inlineStr">
        <is>
          <t>10.65%</t>
        </is>
      </c>
      <c r="I187" t="inlineStr">
        <is>
          <t>0.00%</t>
        </is>
      </c>
    </row>
    <row r="188">
      <c r="A188" s="2" t="n">
        <v>45967</v>
      </c>
      <c r="B188" t="inlineStr">
        <is>
          <t>TDVI</t>
        </is>
      </c>
      <c r="C188" t="inlineStr">
        <is>
          <t>GICS_INDUSTRY_NAME</t>
        </is>
      </c>
      <c r="D188" t="inlineStr">
        <is>
          <t>Diversified Telecommunication Services</t>
        </is>
      </c>
      <c r="E188" t="inlineStr">
        <is>
          <t>Communication Services</t>
        </is>
      </c>
      <c r="F188" t="inlineStr"/>
      <c r="G188" t="inlineStr"/>
      <c r="H188" t="inlineStr">
        <is>
          <t>5.99%</t>
        </is>
      </c>
      <c r="I188" t="inlineStr">
        <is>
          <t>0.00%</t>
        </is>
      </c>
    </row>
    <row r="189">
      <c r="A189" s="2" t="n">
        <v>45967</v>
      </c>
      <c r="B189" t="inlineStr">
        <is>
          <t>TDVI</t>
        </is>
      </c>
      <c r="C189" t="inlineStr">
        <is>
          <t>GICS_INDUSTRY_NAME</t>
        </is>
      </c>
      <c r="D189" t="inlineStr">
        <is>
          <t>Technology Hardware, Storage &amp; Peripherals</t>
        </is>
      </c>
      <c r="E189" t="inlineStr">
        <is>
          <t>Information Technology</t>
        </is>
      </c>
      <c r="F189" t="inlineStr"/>
      <c r="G189" t="inlineStr"/>
      <c r="H189" t="inlineStr">
        <is>
          <t>5.76%</t>
        </is>
      </c>
      <c r="I189" t="inlineStr">
        <is>
          <t>0.00%</t>
        </is>
      </c>
    </row>
    <row r="190">
      <c r="A190" s="2" t="n">
        <v>45967</v>
      </c>
      <c r="B190" t="inlineStr">
        <is>
          <t>TDVI</t>
        </is>
      </c>
      <c r="C190" t="inlineStr">
        <is>
          <t>GICS_INDUSTRY_NAME</t>
        </is>
      </c>
      <c r="D190" t="inlineStr">
        <is>
          <t>Electronic Equipment, Instruments &amp; Components</t>
        </is>
      </c>
      <c r="E190" t="inlineStr">
        <is>
          <t>Information Technology</t>
        </is>
      </c>
      <c r="F190" t="inlineStr"/>
      <c r="G190" t="inlineStr"/>
      <c r="H190" t="inlineStr">
        <is>
          <t>5.33%</t>
        </is>
      </c>
      <c r="I190" t="inlineStr">
        <is>
          <t>0.00%</t>
        </is>
      </c>
    </row>
    <row r="191">
      <c r="A191" s="2" t="n">
        <v>45967</v>
      </c>
      <c r="B191" t="inlineStr">
        <is>
          <t>TDVI</t>
        </is>
      </c>
      <c r="C191" t="inlineStr">
        <is>
          <t>GICS_INDUSTRY_NAME</t>
        </is>
      </c>
      <c r="D191" t="inlineStr">
        <is>
          <t>Communications Equipment</t>
        </is>
      </c>
      <c r="E191" t="inlineStr">
        <is>
          <t>Information Technology</t>
        </is>
      </c>
      <c r="F191" t="inlineStr"/>
      <c r="G191" t="inlineStr"/>
      <c r="H191" t="inlineStr">
        <is>
          <t>5.16%</t>
        </is>
      </c>
      <c r="I191" t="inlineStr">
        <is>
          <t>0.00%</t>
        </is>
      </c>
    </row>
    <row r="192">
      <c r="A192" s="2" t="n">
        <v>45967</v>
      </c>
      <c r="B192" t="inlineStr">
        <is>
          <t>TDVI</t>
        </is>
      </c>
      <c r="C192" t="inlineStr">
        <is>
          <t>GICS_INDUSTRY_NAME</t>
        </is>
      </c>
      <c r="D192" t="inlineStr">
        <is>
          <t>Wireless Telecommunication Services</t>
        </is>
      </c>
      <c r="E192" t="inlineStr">
        <is>
          <t>Communication Services</t>
        </is>
      </c>
      <c r="F192" t="inlineStr"/>
      <c r="G192" t="inlineStr"/>
      <c r="H192" t="inlineStr">
        <is>
          <t>4.66%</t>
        </is>
      </c>
      <c r="I192" t="inlineStr">
        <is>
          <t>0.00%</t>
        </is>
      </c>
    </row>
    <row r="193">
      <c r="A193" s="2" t="n">
        <v>45967</v>
      </c>
      <c r="B193" t="inlineStr">
        <is>
          <t>TDVI</t>
        </is>
      </c>
      <c r="C193" t="inlineStr">
        <is>
          <t>GICS_INDUSTRY_GROUP_NAME</t>
        </is>
      </c>
      <c r="D193" t="inlineStr">
        <is>
          <t>Commercial &amp; Professional Services</t>
        </is>
      </c>
      <c r="E193" t="inlineStr">
        <is>
          <t>Industrials</t>
        </is>
      </c>
      <c r="F193" t="inlineStr"/>
      <c r="G193" t="inlineStr"/>
      <c r="H193" t="inlineStr">
        <is>
          <t>2.22%</t>
        </is>
      </c>
      <c r="I193" t="inlineStr">
        <is>
          <t>0.00%</t>
        </is>
      </c>
    </row>
    <row r="194">
      <c r="A194" s="2" t="n">
        <v>45967</v>
      </c>
      <c r="B194" t="inlineStr">
        <is>
          <t>TDVI</t>
        </is>
      </c>
      <c r="C194" t="inlineStr">
        <is>
          <t>GICS_INDUSTRY_NAME</t>
        </is>
      </c>
      <c r="D194" t="inlineStr">
        <is>
          <t>Professional Services</t>
        </is>
      </c>
      <c r="E194" t="inlineStr">
        <is>
          <t>Industrials</t>
        </is>
      </c>
      <c r="F194" t="inlineStr"/>
      <c r="G194" t="inlineStr"/>
      <c r="H194" t="inlineStr">
        <is>
          <t>2.22%</t>
        </is>
      </c>
      <c r="I194" t="inlineStr">
        <is>
          <t>0.00%</t>
        </is>
      </c>
    </row>
    <row r="195">
      <c r="A195" s="2" t="n">
        <v>45967</v>
      </c>
      <c r="B195" t="inlineStr">
        <is>
          <t>TDVI</t>
        </is>
      </c>
      <c r="C195" t="inlineStr">
        <is>
          <t>GICS_INDUSTRY_GROUP_NAME</t>
        </is>
      </c>
      <c r="D195" t="inlineStr">
        <is>
          <t>Media &amp; Entertainment</t>
        </is>
      </c>
      <c r="E195" t="inlineStr">
        <is>
          <t>Communication Services</t>
        </is>
      </c>
      <c r="F195" t="inlineStr"/>
      <c r="G195" t="inlineStr"/>
      <c r="H195" t="inlineStr">
        <is>
          <t>1.95%</t>
        </is>
      </c>
      <c r="I195" t="inlineStr">
        <is>
          <t>0.00%</t>
        </is>
      </c>
    </row>
    <row r="196">
      <c r="A196" s="2" t="n">
        <v>45967</v>
      </c>
      <c r="B196" t="inlineStr">
        <is>
          <t>TDVI</t>
        </is>
      </c>
      <c r="C196" t="inlineStr">
        <is>
          <t>GICS_INDUSTRY_NAME</t>
        </is>
      </c>
      <c r="D196" t="inlineStr">
        <is>
          <t>Media</t>
        </is>
      </c>
      <c r="E196" t="inlineStr">
        <is>
          <t>Communication Services</t>
        </is>
      </c>
      <c r="F196" t="inlineStr"/>
      <c r="G196" t="inlineStr"/>
      <c r="H196" t="inlineStr">
        <is>
          <t>1.53%</t>
        </is>
      </c>
      <c r="I196" t="inlineStr">
        <is>
          <t>0.00%</t>
        </is>
      </c>
    </row>
    <row r="197">
      <c r="A197" s="2" t="n">
        <v>45967</v>
      </c>
      <c r="B197" t="inlineStr">
        <is>
          <t>TDVI</t>
        </is>
      </c>
      <c r="C197" t="inlineStr">
        <is>
          <t>GICS_INDUSTRY_NAME</t>
        </is>
      </c>
      <c r="D197" t="inlineStr">
        <is>
          <t>Interactive Media &amp; Services</t>
        </is>
      </c>
      <c r="E197" t="inlineStr">
        <is>
          <t>Communication Services</t>
        </is>
      </c>
      <c r="F197" t="inlineStr"/>
      <c r="G197" t="inlineStr"/>
      <c r="H197" t="inlineStr">
        <is>
          <t>0.43%</t>
        </is>
      </c>
      <c r="I197"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50" customWidth="1" min="1" max="1"/>
    <col width="8" customWidth="1" min="2" max="2"/>
    <col width="31" customWidth="1" min="3" max="3"/>
    <col width="27" customWidth="1" min="4" max="4"/>
    <col width="41" customWidth="1" min="5" max="5"/>
    <col width="27" customWidth="1" min="6" max="6"/>
    <col width="20" customWidth="1" min="7" max="7"/>
    <col width="19"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45967</v>
      </c>
      <c r="B2" t="inlineStr">
        <is>
          <t>P2726</t>
        </is>
      </c>
      <c r="C2" s="3">
        <f>IF(K2/J2&gt;=0.8,"PASS","FAIL")</f>
        <v/>
      </c>
      <c r="D2" s="3" t="n">
        <v>32598667.54</v>
      </c>
      <c r="E2" s="3" t="n">
        <v>2368664.739535999</v>
      </c>
      <c r="F2" s="3" t="n">
        <v>3761835.86</v>
      </c>
      <c r="G2" s="3" t="n">
        <v>0</v>
      </c>
      <c r="H2" s="3" t="n">
        <v>88057.41015625</v>
      </c>
      <c r="I2" s="3" t="n">
        <v>0</v>
      </c>
      <c r="J2" s="3" t="n">
        <v>35055389.68969224</v>
      </c>
      <c r="K2" s="3" t="n">
        <v>34967332.27953599</v>
      </c>
      <c r="L2" s="4">
        <f>K2/J2</f>
        <v/>
      </c>
      <c r="M2" s="3" t="n">
        <v>36448560.81015625</v>
      </c>
      <c r="N2" s="3" t="n">
        <v>36360503.4</v>
      </c>
      <c r="O2" s="4">
        <f>N2/M2</f>
        <v/>
      </c>
      <c r="P2" t="inlineStr">
        <is>
          <t>Yes</t>
        </is>
      </c>
    </row>
    <row r="3">
      <c r="A3" s="2" t="n">
        <v>45967</v>
      </c>
      <c r="B3" t="inlineStr">
        <is>
          <t>P21026</t>
        </is>
      </c>
      <c r="C3" s="3">
        <f>IF(K3/J3&gt;=0.8,"PASS","FAIL")</f>
        <v/>
      </c>
      <c r="D3" s="3" t="n">
        <v>21428794.3</v>
      </c>
      <c r="E3" s="3" t="n">
        <v>1572553.96293</v>
      </c>
      <c r="F3" s="3" t="n">
        <v>3729596.930000001</v>
      </c>
      <c r="G3" s="3" t="n">
        <v>0</v>
      </c>
      <c r="H3" s="3" t="n">
        <v>59034.65087890625</v>
      </c>
      <c r="I3" s="3" t="n">
        <v>0</v>
      </c>
      <c r="J3" s="3" t="n">
        <v>23060382.91380891</v>
      </c>
      <c r="K3" s="3" t="n">
        <v>23001348.26293</v>
      </c>
      <c r="L3" s="4">
        <f>K3/J3</f>
        <v/>
      </c>
      <c r="M3" s="3" t="n">
        <v>25217425.88087891</v>
      </c>
      <c r="N3" s="3" t="n">
        <v>25158391.23</v>
      </c>
      <c r="O3" s="4">
        <f>N3/M3</f>
        <v/>
      </c>
      <c r="P3" t="inlineStr">
        <is>
          <t>Yes</t>
        </is>
      </c>
    </row>
    <row r="4">
      <c r="A4" s="2" t="n">
        <v>45967</v>
      </c>
      <c r="B4" t="inlineStr">
        <is>
          <t>TDVI</t>
        </is>
      </c>
      <c r="C4" s="3">
        <f>IF(K4/J4&gt;=0.8,"PASS","FAIL")</f>
        <v/>
      </c>
      <c r="D4" s="3" t="n">
        <v>195866580.3</v>
      </c>
      <c r="E4" s="3" t="n">
        <v>563666.8400000001</v>
      </c>
      <c r="F4" s="3" t="n">
        <v>-1750</v>
      </c>
      <c r="G4" s="3" t="n">
        <v>33719669.12</v>
      </c>
      <c r="H4" s="3" t="n">
        <v>412314.68</v>
      </c>
      <c r="I4" s="3" t="n">
        <v>33568316.95999999</v>
      </c>
      <c r="J4" s="3" t="n">
        <v>230562230.94</v>
      </c>
      <c r="K4" s="3" t="n">
        <v>229586249.42</v>
      </c>
      <c r="L4" s="4">
        <f>K4/J4</f>
        <v/>
      </c>
      <c r="M4" s="3" t="n">
        <v>229996814.1</v>
      </c>
      <c r="N4" s="3" t="n">
        <v>229586249.42</v>
      </c>
      <c r="O4" s="4">
        <f>N4/M4</f>
        <v/>
      </c>
      <c r="P4" t="inlineStr">
        <is>
          <t>No</t>
        </is>
      </c>
    </row>
    <row r="5">
      <c r="A5" s="2" t="n">
        <v>45967</v>
      </c>
      <c r="B5" t="inlineStr">
        <is>
          <t>DOGG</t>
        </is>
      </c>
      <c r="C5" s="3">
        <f>IF(K5/J5&gt;=0.8,"PASS","FAIL")</f>
        <v/>
      </c>
      <c r="D5" s="3" t="n">
        <v>18508704.8</v>
      </c>
      <c r="E5" s="3" t="n">
        <v>20713541.34466658</v>
      </c>
      <c r="F5" s="3" t="n">
        <v>-9982293.365618259</v>
      </c>
      <c r="G5" s="3" t="n">
        <v>3371965133.708334</v>
      </c>
      <c r="H5" s="3" t="n">
        <v>25497.49</v>
      </c>
      <c r="I5" s="3" t="n">
        <v>3351277089.853668</v>
      </c>
      <c r="J5" s="3" t="n">
        <v>3411212877.343001</v>
      </c>
      <c r="K5" s="3" t="n">
        <v>3411187379.853001</v>
      </c>
      <c r="L5" s="4">
        <f>K5/J5</f>
        <v/>
      </c>
      <c r="M5" s="3" t="n">
        <v>3380517042.632716</v>
      </c>
      <c r="N5" s="3" t="n">
        <v>3380491545.142716</v>
      </c>
      <c r="O5" s="4">
        <f>N5/M5</f>
        <v/>
      </c>
      <c r="P5" t="inlineStr">
        <is>
          <t>Yes</t>
        </is>
      </c>
    </row>
    <row r="6">
      <c r="A6" s="2" t="n">
        <v>45967</v>
      </c>
      <c r="B6" t="inlineStr">
        <is>
          <t>KNG</t>
        </is>
      </c>
      <c r="C6" s="3">
        <f>IF(K6/J6&gt;=0.8,"PASS","FAIL")</f>
        <v/>
      </c>
      <c r="D6" s="3" t="n">
        <v>3484252667.78</v>
      </c>
      <c r="E6" s="3" t="n">
        <v>244463335.700694</v>
      </c>
      <c r="F6" s="3" t="n">
        <v>-18104096</v>
      </c>
      <c r="G6" s="3" t="n">
        <v>33719669.12</v>
      </c>
      <c r="H6" s="3" t="n">
        <v>3630161.14</v>
      </c>
      <c r="I6" s="3" t="n">
        <v>0</v>
      </c>
      <c r="J6" s="3" t="n">
        <v>3766065833.740694</v>
      </c>
      <c r="K6" s="3" t="n">
        <v>3762435672.600694</v>
      </c>
      <c r="L6" s="4">
        <f>K6/J6</f>
        <v/>
      </c>
      <c r="M6" s="3" t="n">
        <v>3503498402.04</v>
      </c>
      <c r="N6" s="3" t="n">
        <v>3499868240.9</v>
      </c>
      <c r="O6" s="4">
        <f>N6/M6</f>
        <v/>
      </c>
      <c r="P6" t="inlineStr">
        <is>
          <t>Yes</t>
        </is>
      </c>
    </row>
    <row r="7">
      <c r="A7" t="inlineStr">
        <is>
          <t>* Note: Some funds' 80% policies include the options positions while others only include equity exposure.</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 CCET = Cash, Cash Equivalents, and T-bills (less than 1-year maturity).</t>
        </is>
      </c>
      <c r="B8" t="inlineStr"/>
      <c r="C8" t="inlineStr"/>
      <c r="D8" t="inlineStr"/>
      <c r="E8" t="inlineStr"/>
      <c r="F8" t="inlineStr"/>
      <c r="G8" t="inlineStr"/>
      <c r="H8" t="inlineStr"/>
      <c r="I8" t="inlineStr"/>
      <c r="J8" t="inlineStr"/>
      <c r="K8" t="inlineStr"/>
      <c r="L8" t="inlineStr"/>
      <c r="M8" t="inlineStr"/>
      <c r="N8" t="inlineStr"/>
      <c r="O8" t="inlineStr"/>
      <c r="P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50" customWidth="1" min="1" max="1"/>
    <col width="8" customWidth="1" min="2" max="2"/>
    <col width="19" customWidth="1" min="3" max="3"/>
    <col width="19" customWidth="1" min="4" max="4"/>
    <col width="26" customWidth="1" min="5" max="5"/>
    <col width="32" customWidth="1" min="6" max="6"/>
    <col width="30" customWidth="1" min="7" max="7"/>
    <col width="41" customWidth="1" min="8" max="8"/>
    <col width="48" customWidth="1" min="9" max="9"/>
    <col width="14" customWidth="1" min="10" max="10"/>
    <col width="30" customWidth="1" min="11" max="11"/>
    <col width="15" customWidth="1" min="12" max="12"/>
    <col width="10" customWidth="1" min="13" max="13"/>
    <col width="42" customWidth="1" min="14" max="14"/>
    <col width="50" customWidth="1" min="15" max="15"/>
    <col width="34" customWidth="1" min="16" max="16"/>
    <col width="42" customWidth="1" min="17" max="17"/>
    <col width="43" customWidth="1" min="18" max="18"/>
    <col width="50" customWidth="1" min="19" max="19"/>
    <col width="40" customWidth="1" min="20" max="20"/>
    <col width="20" customWidth="1" min="21" max="21"/>
    <col width="12"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NAV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NAV Shares, Vest Weight, Vest Ownership of Float)</t>
        </is>
      </c>
      <c r="T1" s="1" t="inlineStr">
        <is>
          <t>Max Ownership % of Float in 75% bucket</t>
        </is>
      </c>
      <c r="U1" s="1" t="inlineStr">
        <is>
          <t>OCC Market Value</t>
        </is>
      </c>
      <c r="V1" s="1" t="inlineStr">
        <is>
          <t>OCC Weight</t>
        </is>
      </c>
      <c r="W1" s="1" t="inlineStr">
        <is>
          <t>Notes</t>
        </is>
      </c>
    </row>
    <row r="2">
      <c r="A2" s="2" t="n">
        <v>45967</v>
      </c>
      <c r="B2" t="inlineStr">
        <is>
          <t>P2726</t>
        </is>
      </c>
      <c r="C2" t="inlineStr">
        <is>
          <t>diversified</t>
        </is>
      </c>
      <c r="D2" t="inlineStr">
        <is>
          <t>non-diversified</t>
        </is>
      </c>
      <c r="E2" s="3">
        <f>IF(C2=D2,"PASS","FAIL")</f>
        <v/>
      </c>
      <c r="F2" s="3">
        <f>IF(L2/J2&gt;=0.75,"PASS","FAIL")</f>
        <v/>
      </c>
      <c r="G2" s="3">
        <f>IF(O2="None","PASS","FAIL")</f>
        <v/>
      </c>
      <c r="H2" s="3">
        <f>IF(T2="","",IF(T2&lt;=0.1,"PASS","FAIL"))</f>
        <v/>
      </c>
      <c r="I2" s="3">
        <f>IF(U2=0,"PASS",IF(U2&lt;=0.05*L2,"PASS","FAIL"))</f>
        <v/>
      </c>
      <c r="J2" s="3" t="n">
        <v>0</v>
      </c>
      <c r="K2" s="5" t="n">
        <v>0</v>
      </c>
      <c r="L2" s="3" t="n">
        <v>32349814.58</v>
      </c>
      <c r="M2" s="3" t="n">
        <v>0</v>
      </c>
      <c r="N2" s="3" t="n">
        <v>29785337.06</v>
      </c>
      <c r="O2" t="inlineStr">
        <is>
          <t>(None, 9,108, 2,455,553.16), (None, 4,480, 2,226,984.00), (None, 6,343, 1,807,848.98), (None, 5,932, 1,440,049.28), (None, 3,909, 1,389,726.31), (None, 1,304, 807,046.76), (None, 1,745, 775,162.95), (None, 2,327, 727,840.34), (None, 9,213, 654,316.52), (None, 1,733, 583,801.68), (None, 1,304, 541,577.28), (None, 4,651, 532,011.50), (None, 5,161, 523,188.48), (None, 1,768, 500,432.40), (None, 2,645, 471,048.05), (None, 822, 454,382.16), (None, 1,361, 415,172.47), (None, 1,224, 393,568.44), (None, 2,011, 375,926.67), (None, 607, 345,596.46), (None, 4,199, 343,405.00), (None, 1,635, 326,378.70), (None, 1,358, 322,780.60), (None, 1,476, 322,231.04), (None, 5,518, 293,679.22), (None, 1,674, 293,097.40), (None, 2,307, 287,617.65), (None, 256, 280,744.12), (None, 1,769, 270,525.86), (None, 839, 261,262.38), (None, 474, 258,347.72), (None, 1,761, 257,324.93), (None, 832, 248,077.12), (None, 315, 247,682.70), (None, 2,752, 236,691.08), (None, 630, 232,494.10), (None, 3,184, 219,590.04), (None, 2,743, 208,385.71), (None, 867, 207,441.09), (None, 2,238, 203,404.20), (None, 558, 203,339.34), (None, 1,244, 203,105.48), (None, 1,578, 195,672.00), (None, 1,277, 189,937.30), (None, 497, 187,487.80), (None, 2,025, 186,513.00), (None, 38, 186,163.90), (None, 940, 184,575.00), (None, 320, 180,926.60), (None, 2,113, 180,875.14), (None, 2,720, 168,298.80), (None, 254, 165,888.56), (None, 930, 161,062.00), (None, 690, 160,695.70), (None, 187, 160,574.99), (None, 818, 159,824.38), (None, 1,127, 159,551.66), (None, 1,563, 157,328.55), (None, 146, 156,138.24), (None, 1,706, 153,467.36), (None, 320, 150,619.60), (None, 1,499, 141,025.80), (None, 449, 139,788.91), (None, 567, 136,783.78), (None, 3,610, 134,356.40), (None, 5,422, 134,065.28), (None, 1,674, 131,236.84), (None, 399, 130,595.65), (None, 263, 128,230.00), (None, 1,041, 127,319.40), (None, 583, 126,978.17), (None, 3,181, 126,568.42), (None, 265, 124,215.80), (None, 764, 122,794.32), (None, 1,083, 119,645.67), (None, 1,369, 117,228.54), (None, 4,734, 117,119.90), (None, 537, 113,104.79), (None, 685, 112,201.25), (None, 1,316, 107,173.52), (None, 715, 102,031.55), (None, 309, 97,161.96), (None, 717, 94,258.33), (None, 360, 83,269.00), (None, 1,392, 79,567.84), (None, 1,694, 78,556.22), (None, 703, 65,792.80), (None, 2,284, 62,226.04), (None, 1,098, 61,666.62), (None, 1,290, 60,418.50), (None, 216, 55,430.76), (None, 830, 54,981.80), (None, 548, 48,847.20), (None, 611, 47,071.97), (None, 204, 9,184.08)</t>
        </is>
      </c>
      <c r="P2" t="inlineStr">
        <is>
          <t>NVDA</t>
        </is>
      </c>
      <c r="Q2" s="5" t="n">
        <v>0.08593219207255191</v>
      </c>
      <c r="R2" s="5" t="n">
        <v>0.9140678079274481</v>
      </c>
      <c r="S2" t="inlineStr">
        <is>
          <t>(None, 9,108, 0.00%, 0.0000616%), (None, 4,480, 0.00%, 0.0000603%), (None, 6,343, 0.00%, 0.0000565%), (None, 5,932, 0.00%, 0.0000555%), (None, 3,909, 0.00%, 0.0000828%), (None, 1,304, 0.00%, 0.0000599%), (None, 1,745, 0.00%, 0.0000525%), (None, 2,327, 0.00%, 0.0000855%), (None, 9,213, 0.00%, 0.0002332%), (None, 1,733, 0.00%, 0.0001027%), (None, 1,304, 0.00%, 0.0002793%), (None, 4,651, 0.00%, 0.0001103%), (None, 5,161, 0.00%, 0.0000647%), (None, 1,768, 0.00%, 0.0004492%), (None, 2,645, 0.00%, 0.0005650%), (None, 822, 0.00%, 0.0000922%), (None, 1,361, 0.00%, 0.0001290%), (None, 1,224, 0.00%, 0.0001351%), (None, 2,011, 0.00%, 0.0000835%), (None, 607, 0.00%, 0.0001297%), (None, 4,199, 0.00%, 0.0002016%), (None, 1,635, 0.00%, 0.0004058%), (None, 1,358, 0.00%, 0.0000834%), (None, 1,476, 0.00%, 0.0000835%), (None, 5,518, 0.00%, 0.0000756%), (None, 1,674, 0.00%, 0.0001249%), (None, 2,307, 0.00%, 0.0001327%), (None, 256, 0.00%, 0.0000060%), (None, 1,769, 0.00%, 0.0000879%), (None, 839, 0.00%, 0.0000898%), (None, 474, 0.00%, 0.0001337%), (None, 1,761, 0.00%, 0.0000754%), (None, 832, 0.00%, 0.0001168%), (None, 315, 0.00%, 0.0001050%), (None, 2,752, 0.00%, 0.0000877%), (None, 630, 0.00%, 0.0000633%), (None, 3,184, 0.00%, 0.0000740%), (None, 2,743, 0.00%, 0.0004163%), (None, 867, 0.00%, 0.0000911%), (None, 2,238, 0.00%, 0.0002034%), (None, 558, 0.00%, 0.0000810%), (None, 1,244, 0.00%, 0.0000783%), (None, 1,578, 0.00%, 0.0002028%), (None, 1,277, 0.00%, 0.0000820%), (None, 497, 0.00%, 0.0001280%), (None, 2,025, 0.00%, 0.0000975%), (None, 38, 0.00%, 0.0001179%), (None, 940, 0.00%, 0.0001237%), (None, 320, 0.00%, 0.0000852%), (None, 2,113, 0.00%, 0.0000851%), (None, 2,720, 0.00%, 0.0002287%), (None, 254, 0.00%, 0.0000911%), (None, 930, 0.00%, 0.0000868%), (None, 690, 0.00%, 0.0000866%), (None, 187, 0.00%, 0.0000901%), (None, 818, 0.00%, 0.0001288%), (None, 1,127, 0.00%, 0.0000824%), (None, 1,563, 0.00%, 0.0000874%), (None, 146, 0.00%, 0.0000941%), (None, 1,706, 0.00%, 0.0001330%), (None, 320, 0.00%, 0.0001184%), (None, 1,499, 0.00%, 0.0000844%), (None, 449, 0.00%, 0.0000834%), (None, 567, 0.00%, 0.0000910%), (None, 3,610, 0.00%, 0.0000757%), (None, 5,422, 0.00%, 0.0000765%), (None, 1,674, 0.00%, 0.0001319%), (None, 399, 0.00%, 0.0000953%), (None, 263, 0.00%, 0.0000848%), (None, 1,041, 0.00%, 0.0000839%), (None, 583, 0.00%, 0.0000983%), (None, 3,181, 0.00%, 0.0000754%), (None, 265, 0.00%, 0.0001145%), (None, 764, 0.00%, 0.0000841%), (None, 1,083, 0.00%, 0.0000607%), (None, 1,369, 0.00%, 0.0001108%), (None, 4,734, 0.00%, 0.0000833%), (None, 537, 0.00%, 0.0000760%), (None, 685, 0.00%, 0.0001289%), (None, 1,316, 0.00%, 0.0001157%), (None, 715, 0.00%, 0.0000642%), (None, 309, 0.00%, 0.0001390%), (None, 717, 0.00%, 0.0001276%), (None, 360, 0.00%, 0.0000642%), (None, 1,392, 0.00%, 0.0000829%), (None, 1,694, 0.00%, 0.0000832%), (None, 703, 0.00%, 0.0000951%), (None, 2,284, 0.00%, 0.0000628%), (None, 1,098, 0.00%, 0.0000851%), (None, 1,290, 0.00%, 0.0000830%), (None, 216, 0.00%, 0.0000915%), (None, 830, 0.00%, 0.0000887%), (None, 548, 0.00%, 0.0001210%), (None, 611, 0.00%, 0.0000758%), (None, 204, 0.00%, 0.0001285%), (None, 0, 0.00%, 0.0000000%), (None, 0, 0.00%, 0.0000000%), (None, 0, 0.00%, 0.0000000%), (None, 0, 0.00%, 0.0000000%), (None, 0, 0.00%, 0.0000000%), (None, 0, 0.00%, 0.0000000%), (None, 0, 0.00%, 0.0000000%)</t>
        </is>
      </c>
      <c r="T2" s="5" t="n">
        <v>5.649939570211553e-06</v>
      </c>
      <c r="U2" s="3" t="n">
        <v>3761835.86</v>
      </c>
      <c r="V2" s="5" t="n">
        <v>0</v>
      </c>
      <c r="W2" t="inlineStr"/>
    </row>
    <row r="3">
      <c r="A3" s="2" t="n">
        <v>45967</v>
      </c>
      <c r="B3" t="inlineStr">
        <is>
          <t>P21026</t>
        </is>
      </c>
      <c r="C3" t="inlineStr">
        <is>
          <t>diversified</t>
        </is>
      </c>
      <c r="D3" t="inlineStr">
        <is>
          <t>non-diversified</t>
        </is>
      </c>
      <c r="E3" s="3">
        <f>IF(C3=D3,"PASS","FAIL")</f>
        <v/>
      </c>
      <c r="F3" s="3">
        <f>IF(L3/J3&gt;=0.75,"PASS","FAIL")</f>
        <v/>
      </c>
      <c r="G3" s="3">
        <f>IF(O3="None","PASS","FAIL")</f>
        <v/>
      </c>
      <c r="H3" s="3">
        <f>IF(T3="","",IF(T3&lt;=0.1,"PASS","FAIL"))</f>
        <v/>
      </c>
      <c r="I3" s="3">
        <f>IF(U3=0,"PASS",IF(U3&lt;=0.05*L3,"PASS","FAIL"))</f>
        <v/>
      </c>
      <c r="J3" s="3" t="n">
        <v>0</v>
      </c>
      <c r="K3" s="5" t="n">
        <v>0</v>
      </c>
      <c r="L3" s="3" t="n">
        <v>21396984.42</v>
      </c>
      <c r="M3" s="3" t="n">
        <v>0</v>
      </c>
      <c r="N3" s="3" t="n">
        <v>19577950.94</v>
      </c>
      <c r="O3" t="inlineStr">
        <is>
          <t>(None, 5,988, 1,614,311.76), (None, 2,945, 1,463,943.50), (None, 4,170, 1,188,511.98), (None, 3,900, 946,712.00), (None, 2,570, 913,691.30), (None, 857, 530,397.58), (None, 1,147, 509,688.77), (None, 1,530, 478,540.60), (None, 6,057, 430,170.28), (None, 1,139, 383,707.44), (None, 857, 355,929.24), (None, 3,058, 349,745.00), (None, 3,393, 343,983.24), (None, 1,162, 328,904.10), (None, 1,739, 309,698.51), (None, 540, 298,357.20), (None, 895, 273,066.65), (None, 805, 258,841.80), (None, 1,322, 247,118.34), (None, 399, 227,212.22), (None, 2,761, 225,738.00), (None, 1,075, 214,591.50), (None, 893, 212,258.10), (None, 971, 211,883.84), (None, 3,628, 193,086.12), (None, 1,100, 192,595.00), (None, 1,517, 189,121.15), (None, 168, 184,299.36), (None, 1,163, 177,854.22), (None, 551, 171,285.42), (None, 1,158, 169,212.54), (None, 311, 169,059.58), (None, 547, 163,030.27), (None, 207, 162,624.06), (None, 1,809, 155,581.36), (None, 414, 152,784.98), (None, 2,093, 144,344.58), (None, 1,803, 136,973.91), (None, 570, 136,377.90), (None, 1,471, 133,693.90), (None, 818, 133,551.56), (None, 367, 133,484.91), (None, 1,037, 128,588.00), (None, 839, 124,776.10), (None, 327, 123,329.80), (None, 1,331, 122,587.72), (None, 25, 122,476.25), (None, 618, 121,347.00), (None, 1,389, 118,896.42), (None, 210, 118,668.80), (None, 1,788, 110,629.32), (None, 167, 109,157.88), (None, 611, 105,811.20), (None, 454, 105,802.62), (None, 123, 105,628.71), (None, 537, 104,988.67), (None, 741, 104,904.78), (None, 1,028, 103,448.80), (None, 96, 102,666.24), (None, 1,122, 100,942.32), (None, 210, 98,327.80), (None, 985, 92,652.00), (None, 295, 91,188.05), (None, 373, 89,991.82), (None, 2,373, 88,314.52), (None, 3,565, 88,148.10), (None, 1,101, 86,274.66), (None, 262, 85,748.70), (None, 173, 84,770.00), (None, 684, 83,645.60), (None, 383, 83,435.17), (None, 2,091, 83,197.62), (None, 174, 81,592.08), (None, 502, 80,762.76), (None, 712, 78,658.88), (None, 900, 77,064.00), (None, 3,112, 76,973.20), (None, 353, 74,341.51), (None, 450, 73,714.50), (None, 865, 70,606.30), (None, 470, 67,189.90), (None, 203, 63,831.32), (None, 471, 61,921.79), (None, 236, 54,581.60), (None, 915, 52,288.05), (None, 1,114, 51,684.82), (None, 462, 43,239.20), (None, 1,501, 40,892.31), (None, 722, 40,549.18), (None, 848, 39,716.80), (None, 142, 36,758.12), (None, 546, 36,163.96), (None, 360, 32,087.00), (None, 402, 30,992.54), (None, 134, 6,032.68)</t>
        </is>
      </c>
      <c r="P3" t="inlineStr">
        <is>
          <t>NVDA</t>
        </is>
      </c>
      <c r="Q3" s="5" t="n">
        <v>0.08540887463991526</v>
      </c>
      <c r="R3" s="5" t="n">
        <v>0.9145911253600847</v>
      </c>
      <c r="S3" t="inlineStr">
        <is>
          <t>(None, 5,988, 0.00%, 0.0000405%), (None, 2,945, 0.00%, 0.0000396%), (None, 4,170, 0.00%, 0.0000371%), (None, 3,900, 0.00%, 0.0000365%), (None, 2,570, 0.00%, 0.0000544%), (None, 857, 0.00%, 0.0000394%), (None, 1,147, 0.00%, 0.0000345%), (None, 1,530, 0.00%, 0.0000562%), (None, 6,057, 0.00%, 0.0001533%), (None, 1,139, 0.00%, 0.0000675%), (None, 857, 0.00%, 0.0001835%), (None, 3,058, 0.00%, 0.0000725%), (None, 3,393, 0.00%, 0.0000426%), (None, 1,162, 0.00%, 0.0002953%), (None, 1,739, 0.00%, 0.0003715%), (None, 540, 0.00%, 0.0000606%), (None, 895, 0.00%, 0.0000848%), (None, 805, 0.00%, 0.0000889%), (None, 1,322, 0.00%, 0.0000549%), (None, 399, 0.00%, 0.0000853%), (None, 2,761, 0.00%, 0.0001326%), (None, 1,075, 0.00%, 0.0002668%), (None, 893, 0.00%, 0.0000549%), (None, 971, 0.00%, 0.0000549%), (None, 3,628, 0.00%, 0.0000497%), (None, 1,100, 0.00%, 0.0000820%), (None, 1,517, 0.00%, 0.0000872%), (None, 168, 0.00%, 0.0000040%), (None, 1,163, 0.00%, 0.0000578%), (None, 551, 0.00%, 0.0000589%), (None, 1,158, 0.00%, 0.0000496%), (None, 311, 0.00%, 0.0000877%), (None, 547, 0.00%, 0.0000768%), (None, 207, 0.00%, 0.0000690%), (None, 1,809, 0.00%, 0.0000576%), (None, 414, 0.00%, 0.0000416%), (None, 2,093, 0.00%, 0.0000487%), (None, 1,803, 0.00%, 0.0002736%), (None, 570, 0.00%, 0.0000599%), (None, 1,471, 0.00%, 0.0001337%), (None, 818, 0.00%, 0.0000515%), (None, 367, 0.00%, 0.0000533%), (None, 1,037, 0.00%, 0.0001333%), (None, 839, 0.00%, 0.0000539%), (None, 327, 0.00%, 0.0000842%), (None, 1,331, 0.00%, 0.0000641%), (None, 25, 0.00%, 0.0000776%), (None, 618, 0.00%, 0.0000813%), (None, 1,389, 0.00%, 0.0000560%), (None, 210, 0.00%, 0.0000559%), (None, 1,788, 0.00%, 0.0001503%), (None, 167, 0.00%, 0.0000599%), (None, 611, 0.00%, 0.0000570%), (None, 454, 0.00%, 0.0000570%), (None, 123, 0.00%, 0.0000593%), (None, 537, 0.00%, 0.0000846%), (None, 741, 0.00%, 0.0000542%), (None, 1,028, 0.00%, 0.0000575%), (None, 96, 0.00%, 0.0000619%), (None, 1,122, 0.00%, 0.0000875%), (None, 210, 0.00%, 0.0000777%), (None, 985, 0.00%, 0.0000554%), (None, 295, 0.00%, 0.0000548%), (None, 373, 0.00%, 0.0000599%), (None, 2,373, 0.00%, 0.0000497%), (None, 3,565, 0.00%, 0.0000503%), (None, 1,101, 0.00%, 0.0000867%), (None, 262, 0.00%, 0.0000626%), (None, 173, 0.00%, 0.0000558%), (None, 684, 0.00%, 0.0000551%), (None, 383, 0.00%, 0.0000646%), (None, 2,091, 0.00%, 0.0000496%), (None, 174, 0.00%, 0.0000752%), (None, 502, 0.00%, 0.0000552%), (None, 712, 0.00%, 0.0000399%), (None, 900, 0.00%, 0.0000728%), (None, 3,112, 0.00%, 0.0000547%), (None, 353, 0.00%, 0.0000500%), (None, 450, 0.00%, 0.0000847%), (None, 865, 0.00%, 0.0000761%), (None, 470, 0.00%, 0.0000422%), (None, 203, 0.00%, 0.0000913%), (None, 471, 0.00%, 0.0000838%), (None, 236, 0.00%, 0.0000421%), (None, 915, 0.00%, 0.0000545%), (None, 1,114, 0.00%, 0.0000547%), (None, 462, 0.00%, 0.0000625%), (None, 1,501, 0.00%, 0.0000413%), (None, 722, 0.00%, 0.0000560%), (None, 848, 0.00%, 0.0000546%), (None, 142, 0.00%, 0.0000602%), (None, 546, 0.00%, 0.0000584%), (None, 360, 0.00%, 0.0000795%), (None, 402, 0.00%, 0.0000499%), (None, 134, 0.00%, 0.0000844%), (None, 0, 0.00%, 0.0000000%), (None, 0, 0.00%, 0.0000000%), (None, 0, 0.00%, 0.0000000%), (None, 0, 0.00%, 0.0000000%), (None, 0, 0.00%, 0.0000000%), (None, 0, 0.00%, 0.0000000%), (None, 0, 0.00%, 0.0000000%)</t>
        </is>
      </c>
      <c r="T3" s="5" t="n">
        <v>3.714648360150431e-06</v>
      </c>
      <c r="U3" s="3" t="n">
        <v>3729596.930000001</v>
      </c>
      <c r="V3" s="5" t="n">
        <v>0</v>
      </c>
      <c r="W3" t="inlineStr"/>
    </row>
    <row r="4">
      <c r="A4" s="2" t="n">
        <v>45967</v>
      </c>
      <c r="B4" t="inlineStr">
        <is>
          <t>TDVI</t>
        </is>
      </c>
      <c r="C4" t="inlineStr">
        <is>
          <t>non-diversified</t>
        </is>
      </c>
      <c r="D4" t="inlineStr">
        <is>
          <t>non-diversified</t>
        </is>
      </c>
      <c r="E4" s="3">
        <f>IF(C4=D4,"PASS","FAIL")</f>
        <v/>
      </c>
      <c r="F4" s="3">
        <f>IF(L4/J4&gt;=0.75,"PASS","FAIL")</f>
        <v/>
      </c>
      <c r="G4" s="3">
        <f>IF(O4="None","PASS","FAIL")</f>
        <v/>
      </c>
      <c r="H4" s="3">
        <f>IF(T4="","",IF(T4&lt;=0.1,"PASS","FAIL"))</f>
        <v/>
      </c>
      <c r="I4" s="3">
        <f>IF(U4=0,"PASS",IF(U4&lt;=0.05*L4,"PASS","FAIL"))</f>
        <v/>
      </c>
      <c r="J4" s="3" t="n">
        <v>0</v>
      </c>
      <c r="K4" s="5" t="n">
        <v>0</v>
      </c>
      <c r="L4" s="3" t="n">
        <v>196395980.87</v>
      </c>
      <c r="M4" s="3" t="n">
        <v>0</v>
      </c>
      <c r="N4" s="3" t="n">
        <v>176771782.32</v>
      </c>
      <c r="O4" t="inlineStr">
        <is>
          <t>(None, 50,041, 17,794,079.19), (None, 29,370, 14,599,827.00), (None, 58,401, 14,238,163.80), (None, 73,497, 11,860,945.86), (None, 32,230, 9,322,205.20), (None, 46,294, 8,018,120.80), (None, 22,321, 5,212,623.13), (None, 31,546, 5,116,445.74), (None, 20,290, 4,725,135.20), (None, 16,520, 3,952,740.40), (None, 53,848, 3,825,361.92), (None, 101,291, 3,728,521.71), (None, 38,835, 3,412,043.10), (None, 84,115, 3,349,459.30), (None, 2,772, 3,344,140.80), (None, 225,616, 3,296,249.76), (None, 127,020, 3,142,474.80), (None, 4,721, 3,085,834.44), (None, 7,875, 3,064,162.50), (None, 109,521, 2,991,018.51), (None, 14,764, 2,967,711.64), (None, 20,084, 2,773,801.24), (None, 9,859, 2,745,435.73), (None, 101,640, 2,659,918.80), (None, 10,327, 2,504,297.50), (None, 11,814, 2,439,000.30), (None, 50,959, 2,433,801.84), (None, 40,979, 2,432,103.65), (None, 14,639, 2,183,846.02), (None, 15,628, 2,171,823.16), (None, 82,030, 1,919,502.00), (None, 22,377, 1,629,716.91), (None, 1,621, 1,231,262.97), (None, 165,817, 1,145,795.47), (None, 9,989, 1,136,448.53), (None, 15,047, 1,062,920.08), (None, 873, 836,395.11), (None, 1,789, 795,174.72), (None, 21,910, 788,321.80), (None, 5,386, 762,442.16), (None, 30,298, 755,935.10), (None, 27,666, 704,099.70), (None, 5,293, 632,354.71), (None, 7,474, 630,656.12), (None, 61,422, 598,250.28), (None, 3,040, 592,070.40), (None, 7,016, 586,958.56), (None, 1,175, 447,404.75), (None, 1,636, 415,347.68), (None, 2,600, 390,052.00), (None, 16,747, 342,978.56), (None, 9,967, 325,422.55), (None, 5,460, 323,778.00), (None, 9,059, 318,423.85), (None, 5,477, 258,350.09), (None, 6,192, 239,011.20), (None, 14,074, 237,850.60), (None, 15,319, 235,453.03), (None, 18,541, 232,504.14), (None, 2,280, 217,443.60), (None, 1,581, 213,972.54), (None, 2,457, 210,564.90), (None, 2,987, 194,184.87), (None, 17,678, 187,210.02), (None, 4,364, 181,891.52), (None, 4,157, 180,372.23), (None, 4,136, 173,257.04), (None, 41,315, 171,044.10), (None, 1,007, 165,158.07), (None, 4,314, 158,021.82), (None, 1,610, 145,737.20), (None, 8,668, 126,379.44), (None, 17,268, 126,229.08), (None, 3,075, 118,141.50), (None, 1,509, 117,928.35), (None, 3,383, 108,323.66), (None, 4,884, 108,082.92), (None, 2,801, 102,292.52), (None, 12,812, 101,278.86), (None, 35,678, 93,119.58), (None, 3,729, 88,153.56), (None, 3,696, 80,868.48), (None, 1,719, 75,636.00), (None, 1,633, 74,089.21), (None, 4,864, 66,782.72), (None, 3,945, 55,230.00), (None, 2,653, 47,196.87), (None, 537, 30,974.16), (None, 1,649, 30,951.73), (None, 2,443, 27,508.18), (None, 1,650, 20,130.00), (None, 68, 7,453.48)</t>
        </is>
      </c>
      <c r="P4" t="inlineStr">
        <is>
          <t>IBM</t>
        </is>
      </c>
      <c r="Q4" s="5" t="n">
        <v>0.0972260119347319</v>
      </c>
      <c r="R4" s="5" t="n">
        <v>0.9027739880652681</v>
      </c>
      <c r="S4" t="inlineStr">
        <is>
          <t>(None, 50,041, 0.00%, 0.0010597%), (None, 29,370, 0.00%, 0.0003952%), (None, 58,401, 0.00%, 0.0020486%), (None, 73,497, 0.00%, 0.0080888%), (None, 32,230, 0.00%, 0.0006214%), (None, 46,294, 0.00%, 0.0043225%), (None, 22,321, 0.00%, 0.0028019%), (None, 31,546, 0.00%, 0.0025116%), (None, 20,290, 0.00%, 0.0041244%), (None, 16,520, 0.00%, 0.0017353%), (None, 53,848, 0.00%, 0.0013629%), (None, 101,291, 0.00%, 10129100.0000000%), (None, 38,835, 0.00%, 0.0045296%), (None, 84,115, 0.00%, 0.0019949%), (None, 2,772, 0.00%, 0.0021097%), (None, 225,616, 0.00%, 22561600.0000000%), (None, 127,020, 0.00%, 0.0017917%), (None, 4,721, 0.00%, 0.0016933%), (None, 7,875, 0.00%, 0.0047282%), (None, 109,521, 0.00%, 0.0030134%), (None, 14,764, 0.00%, 0.0013200%), (None, 20,084, 0.00%, 0.0016408%), (None, 9,859, 0.00%, 0.0046165%), (None, 101,640, 0.00%, 0.0108741%), (None, 10,327, 0.00%, 0.0035103%), (None, 11,814, 0.00%, 0.0046942%), (None, 50,959, 0.00%, 0.0305071%), (None, 40,979, 0.00%, 0.0075824%), (None, 14,639, 0.00%, 0.0043451%), (None, 15,628, 0.00%, 0.0035135%), (None, 82,030, 0.00%, 0.0062170%), (None, 22,377, 0.00%, 0.0046363%), (None, 1,621, 0.00%, 0.0026794%), (None, 165,817, 0.00%, 0.0028877%), (None, 9,989, 0.00%, 0.0050040%), (None, 15,047, 0.00%, 0.0101204%), (None, 873, 0.00%, 0.0018223%), (None, 1,789, 0.00%, 0.0016621%), (None, 21,910, 0.00%, 0.0086941%), (None, 5,386, 0.00%, 0.0041369%), (None, 30,298, 0.00%, 0.0616801%), (None, 27,666, 0.00%, 0.0044860%), (None, 5,293, 0.00%, 529300.0000000%), (None, 7,474, 0.00%, 0.0030628%), (None, 61,422, 0.00%, 0.0019752%), (None, 3,040, 0.00%, 0.0023777%), (None, 7,016, 0.00%, 0.0063786%), (None, 1,175, 0.00%, 0.0045641%), (None, 1,636, 0.00%, 0.0001332%), (None, 2,600, 0.00%, 0.0031926%), (None, 16,747, 0.00%, 0.0016906%), (None, 9,967, 0.00%, 0.0042220%), (None, 5,460, 0.00%, 0.0155833%), (None, 9,059, 0.00%, 0.0036647%), (None, 5,477, 0.00%, 0.0067343%), (None, 6,192, 0.00%, 0.0311256%), (None, 14,074, 0.00%, 0.0134364%), (None, 15,319, 0.00%, 0.0006906%), (None, 18,541, 0.00%, 0.0011370%), (None, 2,280, 0.00%, 0.0067091%), (None, 1,581, 0.00%, 0.0033255%), (None, 2,457, 0.00%, 0.0016207%), (None, 2,987, 0.00%, 0.0049091%), (None, 17,678, 0.00%, 0.0112596%), (None, 4,364, 0.00%, 0.0034365%), (None, 4,157, 0.00%, 0.0002279%), (None, 4,136, 0.00%, 0.0005332%), (None, 41,315, 0.00%, 0.0007286%), (None, 1,007, 0.00%, 0.0017896%), (None, 4,314, 0.00%, 0.0069293%), (None, 1,610, 0.00%, 0.0034983%), (None, 8,668, 0.00%, 0.0070191%), (None, 17,268, 0.00%, 0.0006876%), (None, 3,075, 0.00%, 0.0058970%), (None, 1,509, 0.00%, 0.0052910%), (None, 3,383, 0.00%, 0.0034722%), (None, 4,884, 0.00%, 0.0020777%), (None, 2,801, 0.00%, 0.0050618%), (None, 12,812, 0.00%, 0.0073421%), (None, 35,678, 0.00%, 0.0003403%), (None, 3,729, 0.00%, 0.0004179%), (None, 3,696, 0.00%, 0.0075276%), (None, 1,719, 0.00%, 0.0055643%), (None, 1,633, 0.00%, 0.0045769%), (None, 4,864, 0.00%, 0.0054257%), (None, 3,945, 0.00%, 0.0036024%), (None, 2,653, 0.00%, 0.0036988%), (None, 537, 0.00%, 0.0021271%), (None, 1,649, 0.00%, 0.0060780%), (None, 2,443, 0.00%, 0.0044501%), (None, 1,650, 0.00%, 0.0043390%), (None, 68, 0.00%, 0.0014740%)</t>
        </is>
      </c>
      <c r="T4" s="5" t="n">
        <v>225616</v>
      </c>
      <c r="U4" s="3" t="n">
        <v>1750</v>
      </c>
      <c r="V4" s="5" t="n">
        <v>0</v>
      </c>
      <c r="W4" t="inlineStr"/>
    </row>
    <row r="5">
      <c r="A5" s="2" t="n">
        <v>45967</v>
      </c>
      <c r="B5" t="inlineStr">
        <is>
          <t>DOGG</t>
        </is>
      </c>
      <c r="C5" t="inlineStr">
        <is>
          <t>non-diversified</t>
        </is>
      </c>
      <c r="D5" t="inlineStr">
        <is>
          <t>non-diversified</t>
        </is>
      </c>
      <c r="E5" s="3">
        <f>IF(C5=D5,"PASS","FAIL")</f>
        <v/>
      </c>
      <c r="F5" s="3">
        <f>IF(L5/J5&gt;=0.75,"PASS","FAIL")</f>
        <v/>
      </c>
      <c r="G5" s="3">
        <f>IF(O5="None","PASS","FAIL")</f>
        <v/>
      </c>
      <c r="H5" s="3">
        <f>IF(T5="","",IF(T5&lt;=0.1,"PASS","FAIL"))</f>
        <v/>
      </c>
      <c r="I5" s="3">
        <f>IF(U5=0,"PASS",IF(U5&lt;=0.05*L5,"PASS","FAIL"))</f>
        <v/>
      </c>
      <c r="J5" s="3" t="n">
        <v>0</v>
      </c>
      <c r="K5" s="5" t="n">
        <v>0</v>
      </c>
      <c r="L5" s="3" t="n">
        <v>42324728.1</v>
      </c>
      <c r="M5" s="3" t="n">
        <v>0</v>
      </c>
      <c r="N5" s="3" t="n">
        <v>40138236.14203212</v>
      </c>
      <c r="O5" t="inlineStr">
        <is>
          <t>(None, 6,772, 2,138,088.21), (None, 6,772, 2,113,235.48), (None, 13,155, 1,922,340.73), (None, 13,155, 1,922,292.15), (None, 27,636, 1,908,973.21), (None, 27,636, 1,906,793.16), (None, 6,376, 1,902,778.31), (None, 12,435, 1,901,991.51), (None, 12,435, 1,901,760.90), (None, 6,376, 1,899,878.16), (None, 20,738, 1,779,031.48), (None, 20,738, 1,776,007.64), (None, 24,157, 1,723,688.22), (None, 24,157, 1,715,742.28), (None, 8,597, 1,608,705.12), (None, 8,597, 1,606,017.09), (None, 4,734, 1,500,757.98), (None, 4,734, 1,468,076.28), (None, 6,772, 1,283,408.70), (None, 8,597, 1,058,513.20), (None, 27,636, 1,044,250.13), (None, 24,157, 1,035,921.09), (None, 6,376, 900,639.53), (None, 4,734, 859,709.46), (None, 12,435, 822,228.08), (None, 13,155, 411,461.00), (None, 20,738, 25,947.04)</t>
        </is>
      </c>
      <c r="P5" t="inlineStr">
        <is>
          <t>VZ</t>
        </is>
      </c>
      <c r="Q5" s="5" t="n">
        <v>0.05092936902446402</v>
      </c>
      <c r="R5" s="5" t="n">
        <v>0.949070630975536</v>
      </c>
      <c r="S5" t="inlineStr">
        <is>
          <t>(None, 6,772, 0.00%, 0.0012576%), (None, 6,772, 0.00%, 0.0012576%), (None, 13,155, 0.00%, 0.0005630%), (None, 13,155, 0.00%, 0.0005630%), (None, 27,636, 0.00%, 0.0006425%), (None, 27,636, 0.00%, 0.0006425%), (None, 6,376, 0.00%, 0.0008953%), (None, 12,435, 0.00%, 0.0006176%), (None, 12,435, 0.00%, 0.0006176%), (None, 6,376, 0.00%, 0.0008953%), (None, 20,738, 0.00%, 0.0008355%), (None, 20,738, 0.00%, 0.0008355%), (None, 24,157, 0.00%, 0.0006114%), (None, 24,157, 0.00%, 0.0006114%), (None, 8,597, 0.00%, 0.0003568%), (None, 8,597, 0.00%, 0.0003568%), (None, 4,734, 0.00%, 0.0005065%), (None, 4,734, 0.00%, 0.0005065%), (None, 6,772, 0.00%, 0.0012576%), (None, 8,597, 0.00%, 0.0003568%), (None, 27,636, 0.00%, 0.0006425%), (None, 24,157, 0.00%, 0.0006114%), (None, 6,376, 0.00%, 0.0008953%), (None, 4,734, 0.00%, 0.0005065%), (None, 12,435, 0.00%, 0.0006176%), (None, 13,155, 0.00%, 0.0005630%), (None, 20,738, 0.00%, 0.0008355%)</t>
        </is>
      </c>
      <c r="T5" s="5" t="n">
        <v>1.257612389821956e-05</v>
      </c>
      <c r="U5" s="3" t="n">
        <v>9982293.365618259</v>
      </c>
      <c r="V5" s="5" t="n">
        <v>0</v>
      </c>
      <c r="W5" t="inlineStr"/>
    </row>
    <row r="6">
      <c r="A6" s="2" t="n">
        <v>45967</v>
      </c>
      <c r="B6" t="inlineStr">
        <is>
          <t>KNG</t>
        </is>
      </c>
      <c r="C6" t="inlineStr">
        <is>
          <t>diversified</t>
        </is>
      </c>
      <c r="D6" t="inlineStr">
        <is>
          <t>non-diversified</t>
        </is>
      </c>
      <c r="E6" s="3">
        <f>IF(C6=D6,"PASS","FAIL")</f>
        <v/>
      </c>
      <c r="F6" s="3">
        <f>IF(L6/J6&gt;=0.75,"PASS","FAIL")</f>
        <v/>
      </c>
      <c r="G6" s="3">
        <f>IF(O6="None","PASS","FAIL")</f>
        <v/>
      </c>
      <c r="H6" s="3">
        <f>IF(T6="","",IF(T6&lt;=0.1,"PASS","FAIL"))</f>
        <v/>
      </c>
      <c r="I6" s="3">
        <f>IF(U6=0,"PASS",IF(U6&lt;=0.05*L6,"PASS","FAIL"))</f>
        <v/>
      </c>
      <c r="J6" s="3" t="n">
        <v>0</v>
      </c>
      <c r="K6" s="5" t="n">
        <v>0</v>
      </c>
      <c r="L6" s="3" t="n">
        <v>3473165460.15</v>
      </c>
      <c r="M6" s="3" t="n">
        <v>0</v>
      </c>
      <c r="N6" s="3" t="n">
        <v>3404314356.02</v>
      </c>
      <c r="O6" t="inlineStr">
        <is>
          <t>(None, 406,012, 58,229,438.76), (None, 435,246, 57,507,196.84), (None, 100,454, 56,397,130.12), (None, 3,398,584, 55,357,988.64), (None, 179,557, 55,022,167.94), (None, 308,004, 54,341,674.28), (None, 478,669, 54,165,465.30), (None, 377,786, 53,684,320.76), (None, 332,054, 53,194,174.52), (None, 2,285,280, 52,595,640.00), (None, 203,928, 52,425,777.12), (None, 186,693, 52,407,513.65), (None, 107,609, 52,332,170.00), (None, 396,776, 51,906,526.24), (None, 6,342,075, 51,834,286.50), (None, 152,627, 51,579,136.10), (None, 492,835, 51,557,740.20), (None, 154,652, 51,414,526.32), (None, 502,379, 51,233,094.85), (None, 450,043, 51,162,164.50), (None, 565,624, 51,081,476.24), (None, 623,183, 51,014,531.00), (None, 186,370, 50,979,505.80), (None, 291,499, 50,910,284.52), (None, 331,841, 50,653,690.54), (None, 220,476, 50,628,596.32), (None, 53,331, 50,604,860.46), (None, 585,843, 50,458,610.03), (None, 403,474, 50,381,076.30), (None, 472,146, 50,220,288.36), (None, 706,024, 50,105,206.96), (None, 729,056, 50,093,995.36), (None, 745,695, 50,032,251.65), (None, 267,568, 49,997,848.96), (None, 195,384, 49,962,173.84), (None, 646,437, 49,898,596.99), (None, 204,082, 49,789,711.60), (None, 166,472, 49,617,125.52), (None, 756,957, 49,613,190.06), (None, 339,188, 49,523,179.44), (None, 225,750, 49,408,260.00), (None, 1,211,842, 49,368,716.34), (None, 266,738, 49,257,668.82), (None, 506,420, 49,052,635.80), (None, 511,134, 48,963,727.92), (None, 481,841, 48,937,757.88), (None, 211,984, 48,902,658.40), (None, 274,438, 48,650,916.82), (None, 549,080, 48,629,042.00), (None, 1,837,824, 48,597,630.72), (None, 388,563, 48,559,603.89), (None, 538,316, 48,425,899.96), (None, 856,554, 48,242,536.82), (None, 752,763, 48,111,141.15), (None, 505,330, 48,052,601.10), (None, 656,800, 47,880,015.00), (None, 337,349, 47,755,557.42), (None, 114,741, 47,652,472.12), (None, 187,045, 47,315,435.70), (None, 833,863, 47,284,749.36), (None, 436,829, 46,417,983.12), (None, 2,137,660, 46,415,815.20), (None, 181,808, 45,877,001.88), (None, 178,065, 45,148,040.30), (None, 101,433, 45,052,379.84), (None, 159,957, 44,950,292.06), (None, 578,750, 44,220,005.00), (None, 429,453, 43,269,478.81)</t>
        </is>
      </c>
      <c r="P6" t="inlineStr">
        <is>
          <t>CAH</t>
        </is>
      </c>
      <c r="Q6" s="5" t="n">
        <v>0.01780341779551427</v>
      </c>
      <c r="R6" s="5" t="n">
        <v>0.9821965822044857</v>
      </c>
      <c r="S6" t="inlineStr">
        <is>
          <t>(None, 406,012, 0.00%, 0.3436784%), (None, 435,246, 0.00%, 0.3247598%), (None, 100,454, 0.00%, 0.0214655%), (None, 3,398,584, 0.00%, 0.1773975%), (None, 179,557, 0.00%, 0.0192094%), (None, 308,004, 0.00%, 0.2245693%), (None, 478,669, 0.00%, 0.0913292%), (None, 377,786, 0.00%, 0.1650739%), (None, 332,054, 0.00%, 0.2128299%), (None, 2,285,280, 0.00%, 0.4386582%), (None, 203,928, 0.00%, 0.0916310%), (None, 186,693, 0.00%, 0.0474381%), (None, 107,609, 0.00%, 0.0347126%), (None, 396,776, 0.00%, 0.0706258%), (None, 6,342,075, 0.00%, 0.2747438%), (None, 152,627, 0.00%, 0.0565033%), (None, 492,835, 0.00%, 0.4619525%), (None, 154,652, 0.00%, 0.0623865%), (None, 502,379, 0.00%, 0.2301988%), (None, 450,043, 0.00%, 0.0106717%), (None, 565,624, 0.00%, 0.4805744%), (None, 623,183, 0.00%, 0.0299232%), (None, 186,370, 0.00%, 0.2590508%), (None, 291,499, 0.00%, 0.1802790%), (None, 331,841, 0.00%, 0.0164806%), (None, 220,476, 0.00%, 0.3924017%), (None, 53,331, 0.00%, 0.1121593%), (None, 585,843, 0.00%, 0.2439690%), (None, 403,474, 0.00%, 0.0232032%), (None, 472,146, 0.00%, 0.2885239%), (None, 706,024, 0.00%, 0.1881782%), (None, 729,056, 0.00%, 0.0169484%), (None, 745,695, 0.00%, 0.4814508%), (None, 267,568, 0.00%, 0.0111057%), (None, 195,384, 0.00%, 0.3033724%), (None, 646,437, 0.00%, 0.0801966%), (None, 204,082, 0.00%, 0.0703488%), (None, 166,472, 0.00%, 0.0233758%), (None, 756,957, 0.00%, 0.6676749%), (None, 339,188, 0.00%, 0.0145155%), (None, 225,750, 0.00%, 0.0127731%), (None, 1,211,842, 0.00%, 0.1055578%), (None, 266,738, 0.00%, 0.0663747%), (None, 506,420, 0.00%, 0.1403076%), (None, 511,134, 0.00%, 0.5924815%), (None, 481,841, 0.00%, 0.0060435%), (None, 211,984, 0.00%, 0.0377868%), (None, 274,438, 0.00%, 0.0957473%), (None, 549,080, 0.00%, 0.1212642%), (None, 1,837,824, 0.00%, 0.6053261%), (None, 388,563, 0.00%, 0.2793197%), (None, 538,316, 0.00%, 0.0419679%), (None, 856,554, 0.00%, 0.0931132%), (None, 752,763, 0.00%, 0.2972529%), (None, 505,330, 0.00%, 0.2251916%), (None, 656,800, 0.00%, 0.1371588%), (None, 337,349, 0.00%, 0.0246719%), (None, 114,741, 0.00%, 0.0245725%), (None, 187,045, 0.00%, 0.0660386%), (None, 833,863, 0.00%, 0.1735155%), (None, 436,829, 0.00%, 0.3581141%), (None, 2,137,660, 0.00%, 0.3886666%), (None, 181,808, 0.00%, 0.0513411%), (None, 178,065, 0.00%, 0.4758559%), (None, 101,433, 0.00%, 0.0942358%), (None, 159,957, 0.00%, 0.3463092%), (None, 578,750, 0.00%, 0.1695122%), (None, 429,453, 0.00%, 0.1294085%)</t>
        </is>
      </c>
      <c r="T6" s="5" t="n">
        <v>0.006676748512200092</v>
      </c>
      <c r="U6" s="3" t="n">
        <v>18104096</v>
      </c>
      <c r="V6" s="5" t="n">
        <v>0</v>
      </c>
      <c r="W6" t="inlineStr"/>
    </row>
    <row r="7">
      <c r="A7" t="inlineStr">
        <is>
          <t>* To be classified as a diversified company under the 1940 Act, at least 75% of the value of the fund's total assets must be invested in:</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1) cash and cash items (including receivables),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 2) government securities,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3) securities of other investment companies, and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4) other securities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xml:space="preserve">* </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 Compliance Conditions: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 Condition 40 Act 1: 75% of the fund must be invested in diversified assets.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 Condition 40 Act 2a: No single issuer in the 75% can exceed 5% of total assets.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 Condition 40 Act 2b: No single issuer in the 75% can exceed 10% of the issuer's voting securities.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cols>
    <col width="50" customWidth="1" min="1" max="1"/>
    <col width="8" customWidth="1" min="2" max="2"/>
    <col width="17" customWidth="1" min="3" max="3"/>
    <col width="31" customWidth="1" min="4" max="4"/>
    <col width="28" customWidth="1" min="5" max="5"/>
    <col width="22" customWidth="1" min="6" max="6"/>
    <col width="19" customWidth="1" min="7" max="7"/>
    <col width="14" customWidth="1" min="8" max="8"/>
    <col width="25" customWidth="1" min="9" max="9"/>
    <col width="10" customWidth="1" min="10" max="10"/>
    <col width="23"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45967</v>
      </c>
      <c r="B2" t="inlineStr">
        <is>
          <t>P2726</t>
        </is>
      </c>
      <c r="C2" t="inlineStr">
        <is>
          <t>PASS</t>
        </is>
      </c>
      <c r="D2" s="3">
        <f>IF(I2/H2&gt;=0.5,"PASS","FAIL")</f>
        <v/>
      </c>
      <c r="E2" s="3">
        <f>IF(L2&lt;=0.5,"PASS","FAIL")</f>
        <v/>
      </c>
      <c r="F2" t="inlineStr">
        <is>
          <t>PASS</t>
        </is>
      </c>
      <c r="G2" t="inlineStr">
        <is>
          <t>PASS</t>
        </is>
      </c>
      <c r="H2" s="3" t="n">
        <v>0</v>
      </c>
      <c r="I2" s="3" t="n">
        <v>36360503.4</v>
      </c>
      <c r="J2" s="3" t="n">
        <v>0</v>
      </c>
      <c r="K2" s="5" t="n">
        <v>0</v>
      </c>
      <c r="L2" s="5" t="n">
        <v>1.12422852718558</v>
      </c>
      <c r="M2" s="3" t="n">
        <v>107</v>
      </c>
      <c r="N2" t="inlineStr">
        <is>
          <t>(, 8.59%), (, 7.59%), (, 6.88%), (, 5.90%), (, 5.59%), (, 4.45%), (, 4.30%), (, 3.22%), (, 2.49%), (, 2.40%), (, 2.25%), (, 2.02%), (, 1.82%), (, 1.80%), (, 1.67%), (, 1.64%), (, 1.62%), (, 1.55%), (, 1.46%), (, 1.40%), (, 1.28%), (, 1.22%), (, 1.16%), (, 1.07%), (, 1.06%), (, 1.01%), (, 1.00%), (, 1.00%), (, 0.91%), (, 0.91%), (, 0.89%), (, 0.87%), (, 0.84%), (, 0.81%), (, 0.80%), (, 0.80%), (, 0.77%), (, 0.77%), (, 0.73%), (, 0.72%), (, 0.68%), (, 0.64%), (, 0.64%), (, 0.63%), (, 0.63%), (, 0.63%), (, 0.60%), (, 0.59%), (, 0.58%), (, 0.58%), (, 0.58%), (, 0.57%), (, 0.56%), (, 0.56%), (, 0.54%), (, 0.52%), (, 0.51%), (, 0.50%), (, 0.50%), (, 0.50%), (, 0.49%), (, 0.49%), (, 0.49%), (, 0.48%), (, 0.47%), (, 0.47%), (, 0.44%), (, 0.43%), (, 0.42%), (, 0.42%), (, 0.41%), (, 0.41%), (, 0.40%), (, 0.40%), (, 0.39%), (, 0.39%), (, 0.39%), (, 0.38%), (, 0.38%), (, 0.37%), (, 0.36%), (, 0.36%), (, 0.35%), (, 0.35%), (, 0.33%), (, 0.32%), (, 0.30%), (, 0.29%), (, 0.26%), (, 0.25%), (, 0.24%), (, 0.21%), (, 0.20%), (, 0.19%), (, 0.19%), (, 0.19%), (, 0.17%), (, 0.17%), (, 0.15%), (, 0.15%), (, 0.06%), (, 0.03%), (, 0.00%), (, 0.00%), (, 0.00%), (, 0.00%), (, 0.00%)</t>
        </is>
      </c>
      <c r="O2" s="5" t="n">
        <v>0</v>
      </c>
      <c r="P2" t="inlineStr">
        <is>
          <t>None</t>
        </is>
      </c>
      <c r="Q2" t="inlineStr">
        <is>
          <t>TSLA (2.40%)</t>
        </is>
      </c>
      <c r="R2" t="inlineStr">
        <is>
          <t>JPM (2.25%)</t>
        </is>
      </c>
    </row>
    <row r="3">
      <c r="A3" s="2" t="n">
        <v>45967</v>
      </c>
      <c r="B3" t="inlineStr">
        <is>
          <t>P21026</t>
        </is>
      </c>
      <c r="C3" t="inlineStr">
        <is>
          <t>PASS</t>
        </is>
      </c>
      <c r="D3" s="3">
        <f>IF(I3/H3&gt;=0.5,"PASS","FAIL")</f>
        <v/>
      </c>
      <c r="E3" s="3">
        <f>IF(L3&lt;=0.5,"PASS","FAIL")</f>
        <v/>
      </c>
      <c r="F3" t="inlineStr">
        <is>
          <t>PASS</t>
        </is>
      </c>
      <c r="G3" t="inlineStr">
        <is>
          <t>PASS</t>
        </is>
      </c>
      <c r="H3" s="3" t="n">
        <v>0</v>
      </c>
      <c r="I3" s="3" t="n">
        <v>25158391.23</v>
      </c>
      <c r="J3" s="3" t="n">
        <v>0</v>
      </c>
      <c r="K3" s="5" t="n">
        <v>0</v>
      </c>
      <c r="L3" s="5" t="n">
        <v>1.176037180570139</v>
      </c>
      <c r="M3" s="3" t="n">
        <v>107</v>
      </c>
      <c r="N3" t="inlineStr">
        <is>
          <t>(, 8.54%), (, 8.21%), (, 7.54%), (, 6.84%), (, 5.55%), (, 4.67%), (, 4.42%), (, 4.27%), (, 3.32%), (, 2.48%), (, 2.38%), (, 2.24%), (, 2.01%), (, 1.79%), (, 1.66%), (, 1.63%), (, 1.61%), (, 1.54%), (, 1.45%), (, 1.39%), (, 1.28%), (, 1.21%), (, 1.15%), (, 1.06%), (, 1.05%), (, 1.00%), (, 0.99%), (, 0.99%), (, 0.90%), (, 0.90%), (, 0.89%), (, 0.88%), (, 0.86%), (, 0.83%), (, 0.80%), (, 0.79%), (, 0.79%), (, 0.76%), (, 0.76%), (, 0.73%), (, 0.71%), (, 0.67%), (, 0.64%), (, 0.64%), (, 0.62%), (, 0.62%), (, 0.62%), (, 0.60%), (, 0.58%), (, 0.58%), (, 0.57%), (, 0.57%), (, 0.57%), (, 0.56%), (, 0.55%), (, 0.52%), (, 0.51%), (, 0.49%), (, 0.49%), (, 0.49%), (, 0.49%), (, 0.49%), (, 0.48%), (, 0.48%), (, 0.47%), (, 0.46%), (, 0.43%), (, 0.43%), (, 0.42%), (, 0.41%), (, 0.41%), (, 0.40%), (, 0.40%), (, 0.40%), (, 0.39%), (, 0.39%), (, 0.39%), (, 0.38%), (, 0.38%), (, 0.38%), (, 0.37%), (, 0.36%), (, 0.36%), (, 0.35%), (, 0.34%), (, 0.33%), (, 0.31%), (, 0.30%), (, 0.29%), (, 0.26%), (, 0.24%), (, 0.24%), (, 0.20%), (, 0.19%), (, 0.19%), (, 0.19%), (, 0.17%), (, 0.17%), (, 0.15%), (, 0.14%), (, 0.10%), (, 0.03%), (, 0.00%), (, 0.00%), (, 0.00%), (, 0.00%), (, 0.00%)</t>
        </is>
      </c>
      <c r="O3" s="5" t="n">
        <v>0</v>
      </c>
      <c r="P3" t="inlineStr">
        <is>
          <t>None</t>
        </is>
      </c>
      <c r="Q3" t="inlineStr">
        <is>
          <t>AVGO (4.27%)</t>
        </is>
      </c>
      <c r="R3" t="inlineStr">
        <is>
          <t>nan (3.32%)</t>
        </is>
      </c>
    </row>
    <row r="4">
      <c r="A4" s="2" t="n">
        <v>45967</v>
      </c>
      <c r="B4" t="inlineStr">
        <is>
          <t>TDVI</t>
        </is>
      </c>
      <c r="C4" t="inlineStr">
        <is>
          <t>PASS</t>
        </is>
      </c>
      <c r="D4" s="3">
        <f>IF(I4/H4&gt;=0.5,"PASS","FAIL")</f>
        <v/>
      </c>
      <c r="E4" s="3">
        <f>IF(L4&lt;=0.5,"PASS","FAIL")</f>
        <v/>
      </c>
      <c r="F4" t="inlineStr">
        <is>
          <t>FAIL</t>
        </is>
      </c>
      <c r="G4" t="inlineStr">
        <is>
          <t>PASS</t>
        </is>
      </c>
      <c r="H4" s="3" t="n">
        <v>0</v>
      </c>
      <c r="I4" s="3" t="n">
        <v>195864830.3</v>
      </c>
      <c r="J4" s="3" t="n">
        <v>0</v>
      </c>
      <c r="K4" s="5" t="n">
        <v>0</v>
      </c>
      <c r="L4" s="5" t="n">
        <v>0.9973044225871891</v>
      </c>
      <c r="M4" s="3" t="n">
        <v>93</v>
      </c>
      <c r="N4" t="inlineStr">
        <is>
          <t>(, 9.72%), (, 9.06%), (, 7.43%), (, 7.25%), (, 6.04%), (, 4.75%), (, 4.08%), (, 2.65%), (, 2.61%), (, 2.41%), (, 2.01%), (, 1.95%), (, 1.90%), (, 1.74%), (, 1.71%), (, 1.70%), (, 1.68%), (, 1.60%), (, 1.57%), (, 1.56%), (, 1.52%), (, 1.51%), (, 1.41%), (, 1.40%), (, 1.35%), (, 1.28%), (, 1.24%), (, 1.24%), (, 1.24%), (, 1.11%), (, 1.11%), (, 0.98%), (, 0.83%), (, 0.63%), (, 0.58%), (, 0.58%), (, 0.54%), (, 0.43%), (, 0.40%), (, 0.40%), (, 0.39%), (, 0.38%), (, 0.36%), (, 0.32%), (, 0.32%), (, 0.30%), (, 0.30%), (, 0.30%), (, 0.23%), (, 0.21%), (, 0.20%), (, 0.17%), (, 0.17%), (, 0.16%), (, 0.16%), (, 0.13%), (, 0.12%), (, 0.12%), (, 0.12%), (, 0.12%), (, 0.11%), (, 0.11%), (, 0.11%), (, 0.10%), (, 0.10%), (, 0.09%), (, 0.09%), (, 0.09%), (, 0.09%), (, 0.08%), (, 0.08%), (, 0.07%), (, 0.06%), (, 0.06%), (, 0.06%), (, 0.06%), (, 0.06%), (, 0.06%), (, 0.05%), (, 0.05%), (, 0.05%), (, 0.04%), (, 0.04%), (, 0.04%), (, 0.04%), (, 0.03%), (, 0.03%), (, 0.02%), (, 0.02%), (, 0.02%), (, 0.01%), (, 0.01%), (, 0.00%)</t>
        </is>
      </c>
      <c r="O4" s="5" t="n">
        <v>0</v>
      </c>
      <c r="P4" t="inlineStr">
        <is>
          <t>None</t>
        </is>
      </c>
      <c r="Q4" t="inlineStr">
        <is>
          <t>AMAT (2.65%)</t>
        </is>
      </c>
      <c r="R4" t="inlineStr">
        <is>
          <t>LRCX (2.61%)</t>
        </is>
      </c>
    </row>
    <row r="5">
      <c r="A5" s="2" t="n">
        <v>45967</v>
      </c>
      <c r="B5" t="inlineStr">
        <is>
          <t>DOGG</t>
        </is>
      </c>
      <c r="C5" t="inlineStr">
        <is>
          <t>PASS</t>
        </is>
      </c>
      <c r="D5" s="3">
        <f>IF(I5/H5&gt;=0.5,"PASS","FAIL")</f>
        <v/>
      </c>
      <c r="E5" s="3">
        <f>IF(L5&lt;=0.5,"PASS","FAIL")</f>
        <v/>
      </c>
      <c r="F5" t="inlineStr">
        <is>
          <t>PASS</t>
        </is>
      </c>
      <c r="G5" t="inlineStr">
        <is>
          <t>PASS</t>
        </is>
      </c>
      <c r="H5" s="3" t="n">
        <v>0</v>
      </c>
      <c r="I5" s="3" t="n">
        <v>45543821.03438175</v>
      </c>
      <c r="J5" s="3" t="n">
        <v>0</v>
      </c>
      <c r="K5" s="5" t="n">
        <v>0</v>
      </c>
      <c r="L5" s="5" t="n">
        <v>1.076057025736256</v>
      </c>
      <c r="M5" s="3" t="n">
        <v>30</v>
      </c>
      <c r="N5" t="inlineStr">
        <is>
          <t>(, 5.09%), (, 5.08%), (, 5.05%), (, 4.99%), (, 4.54%), (, 4.54%), (, 4.51%), (, 4.51%), (, 4.50%), (, 4.49%), (, 4.49%), (, 4.49%), (, 4.20%), (, 4.20%), (, 4.07%), (, 4.05%), (, 3.80%), (, 3.79%), (, 3.55%), (, 3.47%), (, 3.03%), (, 2.60%), (, 2.50%), (, 2.47%), (, 2.45%), (, 2.13%), (, 2.03%), (, 1.94%), (, 0.97%), (, 0.06%)</t>
        </is>
      </c>
      <c r="O5" s="5" t="n">
        <v>0</v>
      </c>
      <c r="P5" t="inlineStr">
        <is>
          <t>None</t>
        </is>
      </c>
      <c r="Q5" t="inlineStr">
        <is>
          <t>CVX (4.49%)</t>
        </is>
      </c>
      <c r="R5" t="inlineStr">
        <is>
          <t>MCD (4.49%)</t>
        </is>
      </c>
    </row>
    <row r="6">
      <c r="A6" s="2" t="n">
        <v>45967</v>
      </c>
      <c r="B6" t="inlineStr">
        <is>
          <t>KNG</t>
        </is>
      </c>
      <c r="C6" t="inlineStr">
        <is>
          <t>PASS</t>
        </is>
      </c>
      <c r="D6" s="3">
        <f>IF(I6/H6&gt;=0.5,"PASS","FAIL")</f>
        <v/>
      </c>
      <c r="E6" s="3">
        <f>IF(L6&lt;=0.5,"PASS","FAIL")</f>
        <v/>
      </c>
      <c r="F6" t="inlineStr">
        <is>
          <t>PASS</t>
        </is>
      </c>
      <c r="G6" t="inlineStr">
        <is>
          <t>PASS</t>
        </is>
      </c>
      <c r="H6" s="3" t="n">
        <v>0</v>
      </c>
      <c r="I6" s="3" t="n">
        <v>3466148571.78</v>
      </c>
      <c r="J6" s="3" t="n">
        <v>0</v>
      </c>
      <c r="K6" s="5" t="n">
        <v>0</v>
      </c>
      <c r="L6" s="5" t="n">
        <v>0.9979796849731148</v>
      </c>
      <c r="M6" s="3" t="n">
        <v>69</v>
      </c>
      <c r="N6" t="inlineStr">
        <is>
          <t>(, 1.78%), (, 1.68%), (, 1.66%), (, 1.62%), (, 1.59%), (, 1.58%), (, 1.56%), (, 1.56%), (, 1.55%), (, 1.53%), (, 1.51%), (, 1.51%), (, 1.51%), (, 1.51%), (, 1.49%), (, 1.49%), (, 1.49%), (, 1.48%), (, 1.48%), (, 1.48%), (, 1.47%), (, 1.47%), (, 1.47%), (, 1.47%), (, 1.47%), (, 1.46%), (, 1.46%), (, 1.46%), (, 1.45%), (, 1.45%), (, 1.45%), (, 1.44%), (, 1.44%), (, 1.44%), (, 1.44%), (, 1.44%), (, 1.44%), (, 1.43%), (, 1.43%), (, 1.43%), (, 1.43%), (, 1.42%), (, 1.42%), (, 1.42%), (, 1.41%), (, 1.41%), (, 1.41%), (, 1.41%), (, 1.40%), (, 1.40%), (, 1.40%), (, 1.40%), (, 1.39%), (, 1.39%), (, 1.39%), (, 1.38%), (, 1.38%), (, 1.37%), (, 1.37%), (, 1.36%), (, 1.36%), (, 1.34%), (, 1.34%), (, 1.32%), (, 1.30%), (, 1.30%), (, 1.29%), (, 1.27%), (, 1.25%)</t>
        </is>
      </c>
      <c r="O6" s="5" t="n">
        <v>0</v>
      </c>
      <c r="P6" t="inlineStr">
        <is>
          <t>None</t>
        </is>
      </c>
      <c r="Q6" t="inlineStr">
        <is>
          <t>KO (1.44%)</t>
        </is>
      </c>
      <c r="R6" t="inlineStr">
        <is>
          <t>SWK (1.44%)</t>
        </is>
      </c>
    </row>
    <row r="7">
      <c r="A7" t="inlineStr">
        <is>
          <t>* IRS Condition 1: 90% of income must come from qualifying sources.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 IRS Condition 2a: At least 50% of assets must be allocated to qualifying securities.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 IRS Condition 2a5: for 50% of portfolio, no issuer is more than 5% of fund assets.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 IRS Condition 2a10: for 50% of portfolio, fund doesn't hold more than 10% of any issuer's outstanding float.</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 IRS Condition 2b: No single issuer may constitute more than 25% of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21" customWidth="1" min="5" max="5"/>
    <col width="28" customWidth="1" min="6" max="6"/>
    <col width="29"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45967</v>
      </c>
      <c r="B2" t="inlineStr">
        <is>
          <t>P2726</t>
        </is>
      </c>
      <c r="C2" s="3" t="n">
        <v>0</v>
      </c>
      <c r="D2" s="3" t="n">
        <v>0</v>
      </c>
      <c r="E2" s="5" t="n">
        <v>0</v>
      </c>
      <c r="F2" s="5" t="n">
        <v>0</v>
      </c>
      <c r="G2" s="3">
        <f>IF(E2&lt;=0.15,"PASS","FAIL")</f>
        <v/>
      </c>
      <c r="H2" s="3">
        <f>IF(F2&gt;=0.85,"PASS","FAIL")</f>
        <v/>
      </c>
    </row>
    <row r="3">
      <c r="A3" s="2" t="n">
        <v>45967</v>
      </c>
      <c r="B3" t="inlineStr">
        <is>
          <t>P21026</t>
        </is>
      </c>
      <c r="C3" s="3" t="n">
        <v>0</v>
      </c>
      <c r="D3" s="3" t="n">
        <v>0</v>
      </c>
      <c r="E3" s="5" t="n">
        <v>0</v>
      </c>
      <c r="F3" s="5" t="n">
        <v>0</v>
      </c>
      <c r="G3" s="3">
        <f>IF(E3&lt;=0.15,"PASS","FAIL")</f>
        <v/>
      </c>
      <c r="H3" s="3">
        <f>IF(F3&gt;=0.85,"PASS","FAIL")</f>
        <v/>
      </c>
    </row>
    <row r="4">
      <c r="A4" s="2" t="n">
        <v>45967</v>
      </c>
      <c r="B4" t="inlineStr">
        <is>
          <t>TDVI</t>
        </is>
      </c>
      <c r="C4" s="3" t="n">
        <v>0</v>
      </c>
      <c r="D4" s="3" t="n">
        <v>0</v>
      </c>
      <c r="E4" s="5" t="n">
        <v>0</v>
      </c>
      <c r="F4" s="5" t="n">
        <v>0</v>
      </c>
      <c r="G4" s="3">
        <f>IF(E4&lt;=0.15,"PASS","FAIL")</f>
        <v/>
      </c>
      <c r="H4" s="3">
        <f>IF(F4&gt;=0.85,"PASS","FAIL")</f>
        <v/>
      </c>
    </row>
    <row r="5">
      <c r="A5" s="2" t="n">
        <v>45967</v>
      </c>
      <c r="B5" t="inlineStr">
        <is>
          <t>DOGG</t>
        </is>
      </c>
      <c r="C5" s="3" t="n">
        <v>0</v>
      </c>
      <c r="D5" s="3" t="n">
        <v>0</v>
      </c>
      <c r="E5" s="5" t="n">
        <v>0</v>
      </c>
      <c r="F5" s="5" t="n">
        <v>0</v>
      </c>
      <c r="G5" s="3">
        <f>IF(E5&lt;=0.15,"PASS","FAIL")</f>
        <v/>
      </c>
      <c r="H5" s="3">
        <f>IF(F5&gt;=0.85,"PASS","FAIL")</f>
        <v/>
      </c>
    </row>
    <row r="6">
      <c r="A6" s="2" t="n">
        <v>45967</v>
      </c>
      <c r="B6" t="inlineStr">
        <is>
          <t>KNG</t>
        </is>
      </c>
      <c r="C6" s="3" t="n">
        <v>0</v>
      </c>
      <c r="D6" s="3" t="n">
        <v>0</v>
      </c>
      <c r="E6" s="5" t="n">
        <v>0</v>
      </c>
      <c r="F6" s="5" t="n">
        <v>0</v>
      </c>
      <c r="G6" s="3">
        <f>IF(E6&lt;=0.15,"PASS","FAIL")</f>
        <v/>
      </c>
      <c r="H6" s="3">
        <f>IF(F6&gt;=0.85,"PASS","FAIL")</f>
        <v/>
      </c>
    </row>
    <row r="7">
      <c r="A7" t="inlineStr">
        <is>
          <t>* We search for tags in Bloomberg for any illiquid or restricted securities.</t>
        </is>
      </c>
      <c r="B7" t="inlineStr"/>
      <c r="C7" t="inlineStr"/>
      <c r="D7" t="inlineStr"/>
      <c r="E7" t="inlineStr"/>
      <c r="F7" t="inlineStr"/>
      <c r="G7" t="inlineStr"/>
      <c r="H7" t="inlineStr"/>
    </row>
    <row r="8">
      <c r="A8" t="inlineStr">
        <is>
          <t>* If none, it reports 'None'.</t>
        </is>
      </c>
      <c r="B8" t="inlineStr"/>
      <c r="C8" t="inlineStr"/>
      <c r="D8" t="inlineStr"/>
      <c r="E8" t="inlineStr"/>
      <c r="F8" t="inlineStr"/>
      <c r="G8" t="inlineStr"/>
      <c r="H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0" customWidth="1" min="1" max="1"/>
    <col width="8" customWidth="1" min="2" max="2"/>
    <col width="22" customWidth="1" min="3" max="3"/>
    <col width="16" customWidth="1" min="4" max="4"/>
  </cols>
  <sheetData>
    <row r="1">
      <c r="A1" s="1" t="inlineStr">
        <is>
          <t>Date</t>
        </is>
      </c>
      <c r="B1" s="1" t="inlineStr">
        <is>
          <t>Fund</t>
        </is>
      </c>
      <c r="C1" s="1" t="inlineStr">
        <is>
          <t>Real Estate Exposure</t>
        </is>
      </c>
      <c r="D1" s="1" t="inlineStr">
        <is>
          <t>Total Exposure</t>
        </is>
      </c>
    </row>
    <row r="2">
      <c r="A2" s="2" t="n">
        <v>45967</v>
      </c>
      <c r="B2" t="inlineStr">
        <is>
          <t>P2726</t>
        </is>
      </c>
      <c r="C2" s="3" t="n">
        <v>0.01444991729867496</v>
      </c>
      <c r="D2" s="3" t="n">
        <v>32598667.54</v>
      </c>
    </row>
    <row r="3">
      <c r="A3" s="2" t="n">
        <v>45967</v>
      </c>
      <c r="B3" t="inlineStr">
        <is>
          <t>P21026</t>
        </is>
      </c>
      <c r="C3" s="3" t="n">
        <v>0.01445244681825146</v>
      </c>
      <c r="D3" s="3" t="n">
        <v>21428794.3</v>
      </c>
    </row>
    <row r="4">
      <c r="A4" s="2" t="n">
        <v>45967</v>
      </c>
      <c r="B4" t="inlineStr">
        <is>
          <t>TDVI</t>
        </is>
      </c>
      <c r="C4" s="3" t="n">
        <v>0</v>
      </c>
      <c r="D4" s="3" t="n">
        <v>195866580.3</v>
      </c>
    </row>
    <row r="5">
      <c r="A5" s="2" t="n">
        <v>45967</v>
      </c>
      <c r="B5" t="inlineStr">
        <is>
          <t>DOGG</t>
        </is>
      </c>
      <c r="C5" s="3" t="n">
        <v>0</v>
      </c>
      <c r="D5" s="3" t="n">
        <v>18508704.8</v>
      </c>
    </row>
    <row r="6">
      <c r="A6" s="2" t="n">
        <v>45967</v>
      </c>
      <c r="B6" t="inlineStr">
        <is>
          <t>KNG</t>
        </is>
      </c>
      <c r="C6" s="3" t="n">
        <v>0.04228347729840996</v>
      </c>
      <c r="D6" s="3" t="n">
        <v>3484252667.78</v>
      </c>
    </row>
    <row r="7">
      <c r="A7" t="inlineStr">
        <is>
          <t>* We search for tags in Bloomberg for any fund holdings categorized as real estate.</t>
        </is>
      </c>
      <c r="B7" t="inlineStr"/>
      <c r="C7" t="inlineStr"/>
      <c r="D7" t="inlineStr"/>
    </row>
    <row r="8">
      <c r="A8" t="inlineStr">
        <is>
          <t>* If none, it reports 'None'.</t>
        </is>
      </c>
      <c r="B8" t="inlineStr"/>
      <c r="C8" t="inlineStr"/>
      <c r="D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0" customWidth="1" min="1" max="1"/>
    <col width="8" customWidth="1" min="2" max="2"/>
    <col width="22" customWidth="1" min="3" max="3"/>
  </cols>
  <sheetData>
    <row r="1">
      <c r="A1" s="1" t="inlineStr">
        <is>
          <t>Date</t>
        </is>
      </c>
      <c r="B1" s="1" t="inlineStr">
        <is>
          <t>Fund</t>
        </is>
      </c>
      <c r="C1" s="1" t="inlineStr">
        <is>
          <t>Commodities Exposure</t>
        </is>
      </c>
    </row>
    <row r="2">
      <c r="A2" s="2" t="n">
        <v>45967</v>
      </c>
      <c r="B2" t="inlineStr">
        <is>
          <t>P2726</t>
        </is>
      </c>
      <c r="C2" s="3" t="n">
        <v>0</v>
      </c>
    </row>
    <row r="3">
      <c r="A3" s="2" t="n">
        <v>45967</v>
      </c>
      <c r="B3" t="inlineStr">
        <is>
          <t>P21026</t>
        </is>
      </c>
      <c r="C3" s="3" t="n">
        <v>0</v>
      </c>
    </row>
    <row r="4">
      <c r="A4" s="2" t="n">
        <v>45967</v>
      </c>
      <c r="B4" t="inlineStr">
        <is>
          <t>TDVI</t>
        </is>
      </c>
      <c r="C4" s="3" t="n">
        <v>0</v>
      </c>
    </row>
    <row r="5">
      <c r="A5" s="2" t="n">
        <v>45967</v>
      </c>
      <c r="B5" t="inlineStr">
        <is>
          <t>DOGG</t>
        </is>
      </c>
      <c r="C5" s="3" t="n">
        <v>0</v>
      </c>
    </row>
    <row r="6">
      <c r="A6" s="2" t="n">
        <v>45967</v>
      </c>
      <c r="B6" t="inlineStr">
        <is>
          <t>KNG</t>
        </is>
      </c>
      <c r="C6" s="3" t="n">
        <v>0</v>
      </c>
    </row>
    <row r="7">
      <c r="A7" t="inlineStr">
        <is>
          <t>* We search for tags in Bloomberg for any fund holdings categorized as commodities.</t>
        </is>
      </c>
      <c r="B7" t="inlineStr"/>
      <c r="C7" t="inlineStr"/>
    </row>
    <row r="8">
      <c r="A8" t="inlineStr">
        <is>
          <t>* If none, it reports 'None'.</t>
        </is>
      </c>
      <c r="B8" t="inlineStr"/>
      <c r="C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0" customWidth="1" min="1" max="1"/>
    <col width="8" customWidth="1" min="2" max="2"/>
    <col width="14"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45967</v>
      </c>
      <c r="B2" t="inlineStr">
        <is>
          <t>P2726</t>
        </is>
      </c>
      <c r="C2" s="3" t="n">
        <v>0</v>
      </c>
      <c r="D2" t="inlineStr">
        <is>
          <t>None</t>
        </is>
      </c>
      <c r="E2" s="5" t="n">
        <v>0</v>
      </c>
      <c r="F2" s="3" t="n">
        <v>0</v>
      </c>
      <c r="G2" s="5">
        <f>IF(E2&lt;=0.03,"PASS","FAIL")</f>
        <v/>
      </c>
      <c r="H2" s="3">
        <f>IF(F2/C2&lt;=0.05,"PASS","FAIL")</f>
        <v/>
      </c>
      <c r="I2" s="3">
        <f>IF(F2/C2&lt;=0.10,"PASS","FAIL")</f>
        <v/>
      </c>
      <c r="J2" s="3">
        <f>IF(AND(G2="PASS",H2="PASS",I2="PASS"),"PASS","FAIL")</f>
        <v/>
      </c>
    </row>
    <row r="3">
      <c r="A3" s="2" t="n">
        <v>45967</v>
      </c>
      <c r="B3" t="inlineStr">
        <is>
          <t>P21026</t>
        </is>
      </c>
      <c r="C3" s="3" t="n">
        <v>0</v>
      </c>
      <c r="D3" t="inlineStr">
        <is>
          <t>None</t>
        </is>
      </c>
      <c r="E3" s="5" t="n">
        <v>0</v>
      </c>
      <c r="F3" s="3" t="n">
        <v>0</v>
      </c>
      <c r="G3" s="5">
        <f>IF(E3&lt;=0.03,"PASS","FAIL")</f>
        <v/>
      </c>
      <c r="H3" s="3">
        <f>IF(F3/C3&lt;=0.05,"PASS","FAIL")</f>
        <v/>
      </c>
      <c r="I3" s="3">
        <f>IF(F3/C3&lt;=0.10,"PASS","FAIL")</f>
        <v/>
      </c>
      <c r="J3" s="3">
        <f>IF(AND(G3="PASS",H3="PASS",I3="PASS"),"PASS","FAIL")</f>
        <v/>
      </c>
    </row>
    <row r="4">
      <c r="A4" s="2" t="n">
        <v>45967</v>
      </c>
      <c r="B4" t="inlineStr">
        <is>
          <t>TDVI</t>
        </is>
      </c>
      <c r="C4" s="3" t="n">
        <v>0</v>
      </c>
      <c r="D4" t="inlineStr">
        <is>
          <t>None</t>
        </is>
      </c>
      <c r="E4" s="5" t="n">
        <v>0</v>
      </c>
      <c r="F4" s="3" t="n">
        <v>0</v>
      </c>
      <c r="G4" s="5">
        <f>IF(E4&lt;=0.03,"PASS","FAIL")</f>
        <v/>
      </c>
      <c r="H4" s="3">
        <f>IF(F4/C4&lt;=0.05,"PASS","FAIL")</f>
        <v/>
      </c>
      <c r="I4" s="3">
        <f>IF(F4/C4&lt;=0.10,"PASS","FAIL")</f>
        <v/>
      </c>
      <c r="J4" s="3">
        <f>IF(AND(G4="PASS",H4="PASS",I4="PASS"),"PASS","FAIL")</f>
        <v/>
      </c>
    </row>
    <row r="5">
      <c r="A5" s="2" t="n">
        <v>45967</v>
      </c>
      <c r="B5" t="inlineStr">
        <is>
          <t>DOGG</t>
        </is>
      </c>
      <c r="C5" s="3" t="n">
        <v>0</v>
      </c>
      <c r="D5" t="inlineStr">
        <is>
          <t>None</t>
        </is>
      </c>
      <c r="E5" s="5" t="n">
        <v>0</v>
      </c>
      <c r="F5" s="3" t="n">
        <v>0</v>
      </c>
      <c r="G5" s="5">
        <f>IF(E5&lt;=0.03,"PASS","FAIL")</f>
        <v/>
      </c>
      <c r="H5" s="3">
        <f>IF(F5/C5&lt;=0.05,"PASS","FAIL")</f>
        <v/>
      </c>
      <c r="I5" s="3">
        <f>IF(F5/C5&lt;=0.10,"PASS","FAIL")</f>
        <v/>
      </c>
      <c r="J5" s="3">
        <f>IF(AND(G5="PASS",H5="PASS",I5="PASS"),"PASS","FAIL")</f>
        <v/>
      </c>
    </row>
    <row r="6">
      <c r="A6" s="2" t="n">
        <v>45967</v>
      </c>
      <c r="B6" t="inlineStr">
        <is>
          <t>KNG</t>
        </is>
      </c>
      <c r="C6" s="3" t="n">
        <v>0</v>
      </c>
      <c r="D6" t="inlineStr">
        <is>
          <t>None</t>
        </is>
      </c>
      <c r="E6" s="5" t="n">
        <v>0</v>
      </c>
      <c r="F6" s="3" t="n">
        <v>0</v>
      </c>
      <c r="G6" s="5">
        <f>IF(E6&lt;=0.03,"PASS","FAIL")</f>
        <v/>
      </c>
      <c r="H6" s="3">
        <f>IF(F6/C6&lt;=0.05,"PASS","FAIL")</f>
        <v/>
      </c>
      <c r="I6" s="3">
        <f>IF(F6/C6&lt;=0.10,"PASS","FAIL")</f>
        <v/>
      </c>
      <c r="J6" s="3">
        <f>IF(AND(G6="PASS",H6="PASS",I6="PASS"),"PASS","FAIL")</f>
        <v/>
      </c>
    </row>
    <row r="7">
      <c r="A7"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7" t="inlineStr"/>
      <c r="C7" t="inlineStr"/>
      <c r="D7" t="inlineStr"/>
      <c r="E7" t="inlineStr"/>
      <c r="F7" t="inlineStr"/>
      <c r="G7" t="inlineStr"/>
      <c r="H7" t="inlineStr"/>
      <c r="I7" t="inlineStr"/>
      <c r="J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0" customWidth="1" min="1" max="1"/>
    <col width="8" customWidth="1" min="2" max="2"/>
    <col width="11" customWidth="1" min="3" max="3"/>
    <col width="14" customWidth="1" min="4" max="4"/>
    <col width="50" customWidth="1" min="5" max="5"/>
  </cols>
  <sheetData>
    <row r="1">
      <c r="A1" s="1" t="inlineStr">
        <is>
          <t>Date</t>
        </is>
      </c>
      <c r="B1" s="1" t="inlineStr">
        <is>
          <t>Fund</t>
        </is>
      </c>
      <c r="C1" s="1" t="inlineStr">
        <is>
          <t>Compliant</t>
        </is>
      </c>
      <c r="D1" s="1" t="inlineStr">
        <is>
          <t>Total Assets</t>
        </is>
      </c>
      <c r="E1" s="1" t="inlineStr">
        <is>
          <t>Insurance Holdings</t>
        </is>
      </c>
    </row>
    <row r="2">
      <c r="A2" s="2" t="n">
        <v>45967</v>
      </c>
      <c r="B2" t="inlineStr">
        <is>
          <t>P2726</t>
        </is>
      </c>
      <c r="C2" t="inlineStr">
        <is>
          <t>PASS</t>
        </is>
      </c>
      <c r="D2" s="3" t="n">
        <v>0</v>
      </c>
      <c r="E2" t="inlineStr">
        <is>
          <t>CB (0.00045%), MET (0.00042%)</t>
        </is>
      </c>
    </row>
    <row r="3">
      <c r="A3" s="2" t="n">
        <v>45967</v>
      </c>
      <c r="B3" t="inlineStr">
        <is>
          <t>P21026</t>
        </is>
      </c>
      <c r="C3" t="inlineStr">
        <is>
          <t>PASS</t>
        </is>
      </c>
      <c r="D3" s="3" t="n">
        <v>0</v>
      </c>
      <c r="E3" t="inlineStr">
        <is>
          <t>CB (0.00030%), MET (0.00027%)</t>
        </is>
      </c>
    </row>
    <row r="4">
      <c r="A4" s="2" t="n">
        <v>45967</v>
      </c>
      <c r="B4" t="inlineStr">
        <is>
          <t>TDVI</t>
        </is>
      </c>
      <c r="C4" t="inlineStr">
        <is>
          <t>PASS</t>
        </is>
      </c>
      <c r="D4" s="3" t="n">
        <v>0</v>
      </c>
      <c r="E4" t="inlineStr">
        <is>
          <t>None</t>
        </is>
      </c>
    </row>
    <row r="5">
      <c r="A5" s="2" t="n">
        <v>45967</v>
      </c>
      <c r="B5" t="inlineStr">
        <is>
          <t>DOGG</t>
        </is>
      </c>
      <c r="C5" t="inlineStr">
        <is>
          <t>PASS</t>
        </is>
      </c>
      <c r="D5" s="3" t="n">
        <v>0</v>
      </c>
      <c r="E5" t="inlineStr">
        <is>
          <t>None</t>
        </is>
      </c>
    </row>
    <row r="6">
      <c r="A6" s="2" t="n">
        <v>45967</v>
      </c>
      <c r="B6" t="inlineStr">
        <is>
          <t>KNG</t>
        </is>
      </c>
      <c r="C6" t="inlineStr">
        <is>
          <t>PASS</t>
        </is>
      </c>
      <c r="D6" s="3" t="n">
        <v>0</v>
      </c>
      <c r="E6" t="inlineStr">
        <is>
          <t>AFL (0.09133%), BRO (0.16951%), CB (0.04744%), CINF (0.21283%), ERIE (0.34631%)</t>
        </is>
      </c>
    </row>
    <row r="7">
      <c r="A7" t="inlineStr">
        <is>
          <t>* The Fund may not own more than 10% of the total outstanding voting stock of an insurance company.</t>
        </is>
      </c>
      <c r="B7" t="inlineStr"/>
      <c r="C7" t="inlineStr"/>
      <c r="D7" t="inlineStr"/>
      <c r="E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8" customWidth="1" min="2" max="2"/>
    <col width="29" customWidth="1" min="3" max="3"/>
    <col width="21" customWidth="1" min="4" max="4"/>
    <col width="29" customWidth="1" min="5" max="5"/>
    <col width="50" customWidth="1" min="6" max="6"/>
    <col width="50" customWidth="1" min="7" max="7"/>
    <col width="50" customWidth="1" min="8" max="8"/>
    <col width="14" customWidth="1" min="9" max="9"/>
    <col width="23" customWidth="1" min="10" max="10"/>
    <col width="1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45967</v>
      </c>
      <c r="B2" t="inlineStr">
        <is>
          <t>P2726</t>
        </is>
      </c>
      <c r="C2" s="3">
        <f>IF(K2&lt;=0.05,"PASS","FAIL")</f>
        <v/>
      </c>
      <c r="D2" t="inlineStr">
        <is>
          <t>PASS</t>
        </is>
      </c>
      <c r="E2" s="3">
        <f>IF(L2&lt;=0.05,"PASS","FAIL")</f>
        <v/>
      </c>
      <c r="F2" s="3">
        <f>IF(AND(C2="PASS",D2="PASS",E2="PASS",F2="PASS"),"PASS","FAIL")</f>
        <v/>
      </c>
      <c r="G2" t="inlineStr">
        <is>
          <t>None (0.00008%), None (0.00009%), None (0.00009%), None (0.00011%), None (0.00009%), None (0.00008%), None (0.00008%), None (0.00008%), None (0.00008%), None (0.00009%)</t>
        </is>
      </c>
      <c r="H2" t="inlineStr">
        <is>
          <t>None (0.00%), None (0.00%), None (0.00%), None (0.00%), None (0.00%), None (0.00%), None (0.00%), None (0.00%), None (0.00%), None (0.00%)</t>
        </is>
      </c>
      <c r="I2" s="3" t="n">
        <v>0</v>
      </c>
      <c r="J2" s="5" t="n">
        <v>1.050250309657135e-06</v>
      </c>
      <c r="K2" s="5" t="n">
        <v>0</v>
      </c>
    </row>
    <row r="3">
      <c r="A3" s="2" t="n">
        <v>45967</v>
      </c>
      <c r="B3" t="inlineStr">
        <is>
          <t>P21026</t>
        </is>
      </c>
      <c r="C3" s="3">
        <f>IF(K3&lt;=0.05,"PASS","FAIL")</f>
        <v/>
      </c>
      <c r="D3" t="inlineStr">
        <is>
          <t>PASS</t>
        </is>
      </c>
      <c r="E3" s="3">
        <f>IF(L3&lt;=0.05,"PASS","FAIL")</f>
        <v/>
      </c>
      <c r="F3" s="3">
        <f>IF(AND(C3="PASS",D3="PASS",E3="PASS",F3="PASS"),"PASS","FAIL")</f>
        <v/>
      </c>
      <c r="G3" t="inlineStr">
        <is>
          <t>None (0.00005%), None (0.00006%), None (0.00006%), None (0.00007%), None (0.00006%), None (0.00005%), None (0.00006%), None (0.00006%), None (0.00005%), None (0.00006%)</t>
        </is>
      </c>
      <c r="H3" t="inlineStr">
        <is>
          <t>None (0.00%), None (0.00%), None (0.00%), None (0.00%), None (0.00%), None (0.00%), None (0.00%), None (0.00%), None (0.00%), None (0.00%)</t>
        </is>
      </c>
      <c r="I3" s="3" t="n">
        <v>0</v>
      </c>
      <c r="J3" s="5" t="n">
        <v>6.901644892032601e-07</v>
      </c>
      <c r="K3" s="5" t="n">
        <v>0</v>
      </c>
    </row>
    <row r="4">
      <c r="A4" s="2" t="n">
        <v>45967</v>
      </c>
      <c r="B4" t="inlineStr">
        <is>
          <t>TDVI</t>
        </is>
      </c>
      <c r="C4" s="3">
        <f>IF(K4&lt;=0.05,"PASS","FAIL")</f>
        <v/>
      </c>
      <c r="D4" t="inlineStr">
        <is>
          <t>PASS</t>
        </is>
      </c>
      <c r="E4" s="3">
        <f>IF(L4&lt;=0.05,"PASS","FAIL")</f>
        <v/>
      </c>
      <c r="F4" s="3">
        <f>IF(AND(C4="PASS",D4="PASS",E4="PASS",F4="PASS"),"PASS","FAIL")</f>
        <v/>
      </c>
      <c r="G4" t="inlineStr">
        <is>
          <t>None</t>
        </is>
      </c>
      <c r="H4" t="inlineStr">
        <is>
          <t>None</t>
        </is>
      </c>
      <c r="I4" s="3" t="n">
        <v>0</v>
      </c>
      <c r="J4" s="5" t="n">
        <v>0</v>
      </c>
      <c r="K4" s="5" t="n">
        <v>0</v>
      </c>
    </row>
    <row r="5">
      <c r="A5" s="2" t="n">
        <v>45967</v>
      </c>
      <c r="B5" t="inlineStr">
        <is>
          <t>DOGG</t>
        </is>
      </c>
      <c r="C5" s="3">
        <f>IF(K5&lt;=0.05,"PASS","FAIL")</f>
        <v/>
      </c>
      <c r="D5" t="inlineStr">
        <is>
          <t>PASS</t>
        </is>
      </c>
      <c r="E5" s="3">
        <f>IF(L5&lt;=0.05,"PASS","FAIL")</f>
        <v/>
      </c>
      <c r="F5" s="3">
        <f>IF(AND(C5="PASS",D5="PASS",E5="PASS",F5="PASS"),"PASS","FAIL")</f>
        <v/>
      </c>
      <c r="G5" t="inlineStr">
        <is>
          <t>None</t>
        </is>
      </c>
      <c r="H5" t="inlineStr">
        <is>
          <t>None</t>
        </is>
      </c>
      <c r="I5" s="3" t="n">
        <v>0</v>
      </c>
      <c r="J5" s="5" t="n">
        <v>0</v>
      </c>
      <c r="K5" s="5" t="n">
        <v>0</v>
      </c>
    </row>
    <row r="6">
      <c r="A6" s="2" t="n">
        <v>45967</v>
      </c>
      <c r="B6" t="inlineStr">
        <is>
          <t>KNG</t>
        </is>
      </c>
      <c r="C6" s="3">
        <f>IF(K6&lt;=0.05,"PASS","FAIL")</f>
        <v/>
      </c>
      <c r="D6" t="inlineStr">
        <is>
          <t>PASS</t>
        </is>
      </c>
      <c r="E6" s="3">
        <f>IF(L6&lt;=0.05,"PASS","FAIL")</f>
        <v/>
      </c>
      <c r="F6" s="3">
        <f>IF(AND(C6="PASS",D6="PASS",E6="PASS",F6="PASS"),"PASS","FAIL")</f>
        <v/>
      </c>
      <c r="G6" t="inlineStr">
        <is>
          <t>None (0.43866%), None (0.47586%), None (0.03471%), None (0.23020%)</t>
        </is>
      </c>
      <c r="H6" t="inlineStr">
        <is>
          <t>None (0.00%), None (0.00%), None (0.00%), None (0.00%)</t>
        </is>
      </c>
      <c r="I6" s="3" t="n">
        <v>0</v>
      </c>
      <c r="J6" s="5" t="n">
        <v>0.004758559206668958</v>
      </c>
      <c r="K6" s="5" t="n">
        <v>0</v>
      </c>
    </row>
    <row r="7">
      <c r="A7"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7" t="inlineStr"/>
      <c r="C7" t="inlineStr"/>
      <c r="D7" t="inlineStr"/>
      <c r="E7" t="inlineStr"/>
      <c r="F7" t="inlineStr"/>
      <c r="G7" t="inlineStr"/>
      <c r="H7" t="inlineStr"/>
      <c r="I7" t="inlineStr"/>
      <c r="J7" t="inlineStr"/>
      <c r="K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2025-11-20T03:47:05Z</dcterms:created>
  <dcterms:modified xmlns:dcterms="http://purl.org/dc/terms/" xmlns:xsi="http://www.w3.org/2001/XMLSchema-instance" xsi:type="dcterms:W3CDTF">2025-11-20T03:47:06Z</dcterms:modified>
</cp:coreProperties>
</file>