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CS_Compliance" sheetId="1" state="visible" r:id="rId1"/>
    <sheet xmlns:r="http://schemas.openxmlformats.org/officeDocument/2006/relationships" name="GICS_Calculations" sheetId="2" state="visible" r:id="rId2"/>
    <sheet xmlns:r="http://schemas.openxmlformats.org/officeDocument/2006/relationships" name="Prospectus_80pct" sheetId="3" state="visible" r:id="rId3"/>
    <sheet xmlns:r="http://schemas.openxmlformats.org/officeDocument/2006/relationships" name="40Act_Diversification" sheetId="4" state="visible" r:id="rId4"/>
    <sheet xmlns:r="http://schemas.openxmlformats.org/officeDocument/2006/relationships" name="IRS_Diversification" sheetId="5" state="visible" r:id="rId5"/>
    <sheet xmlns:r="http://schemas.openxmlformats.org/officeDocument/2006/relationships" name="Illiquid" sheetId="6" state="visible" r:id="rId6"/>
    <sheet xmlns:r="http://schemas.openxmlformats.org/officeDocument/2006/relationships" name="Real_Estate" sheetId="7" state="visible" r:id="rId7"/>
    <sheet xmlns:r="http://schemas.openxmlformats.org/officeDocument/2006/relationships" name="Commodities" sheetId="8" state="visible" r:id="rId8"/>
    <sheet xmlns:r="http://schemas.openxmlformats.org/officeDocument/2006/relationships" name="12d1_Other_Investment_Companies" sheetId="9" state="visible" r:id="rId9"/>
    <sheet xmlns:r="http://schemas.openxmlformats.org/officeDocument/2006/relationships" name="12d2_Insurance_Companies" sheetId="10" state="visible" r:id="rId10"/>
    <sheet xmlns:r="http://schemas.openxmlformats.org/officeDocument/2006/relationships" name="12d3_Securities_Business" sheetId="11" state="visible" r:id="rId11"/>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4" fontId="0" fillId="0" borderId="0" pivotButton="0" quotePrefix="0" xfId="0"/>
    <xf numFmtId="10"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50" customWidth="1" min="1" max="1"/>
    <col width="8" customWidth="1" min="2" max="2"/>
    <col width="25" customWidth="1" min="3" max="3"/>
    <col width="22" customWidth="1" min="4" max="4"/>
    <col width="28" customWidth="1" min="5" max="5"/>
    <col width="29" customWidth="1" min="6" max="6"/>
    <col width="35" customWidth="1" min="7" max="7"/>
    <col width="36" customWidth="1" min="8" max="8"/>
    <col width="27" customWidth="1" min="9" max="9"/>
  </cols>
  <sheetData>
    <row r="1">
      <c r="A1" s="1" t="inlineStr">
        <is>
          <t>Date</t>
        </is>
      </c>
      <c r="B1" s="1" t="inlineStr">
        <is>
          <t>Fund</t>
        </is>
      </c>
      <c r="C1" s="1" t="inlineStr">
        <is>
          <t>Overall GICS Compliance</t>
        </is>
      </c>
      <c r="D1" s="1" t="inlineStr">
        <is>
          <t>Industry Exceeds 25%</t>
        </is>
      </c>
      <c r="E1" s="1" t="inlineStr">
        <is>
          <t>Industry Group Exceeds 25%</t>
        </is>
      </c>
      <c r="F1" s="1" t="inlineStr">
        <is>
          <t>Index Industry Exceeds 25%?</t>
        </is>
      </c>
      <c r="G1" s="1" t="inlineStr">
        <is>
          <t>Index Industry Group Exceeds 25%?</t>
        </is>
      </c>
      <c r="H1" s="1" t="inlineStr">
        <is>
          <t>Can Fund exceed 25% if Index does?</t>
        </is>
      </c>
      <c r="I1" s="1" t="inlineStr">
        <is>
          <t>Exceptions to Conc Policy</t>
        </is>
      </c>
    </row>
    <row r="2">
      <c r="A2" s="2" t="n">
        <v>45965</v>
      </c>
      <c r="B2" t="inlineStr">
        <is>
          <t>P20127</t>
        </is>
      </c>
      <c r="C2" t="inlineStr">
        <is>
          <t>FAIL</t>
        </is>
      </c>
      <c r="D2" t="b">
        <v>0</v>
      </c>
      <c r="E2" t="b">
        <v>0</v>
      </c>
      <c r="F2" t="b">
        <v>0</v>
      </c>
      <c r="G2" t="b">
        <v>0</v>
      </c>
      <c r="H2" t="inlineStr">
        <is>
          <t>No</t>
        </is>
      </c>
      <c r="I2" t="inlineStr"/>
    </row>
    <row r="3">
      <c r="A3" t="inlineStr">
        <is>
          <t>* Certain funds may not have more than 25% of total assets in any industry or group of industries. However, other funds may have more than 25% of total assets in an industry or group of industries if (1) the fund’s Underlying ETF invests more than 25% of its assets in that industry or group of industries or (2) the fund is specifically permitted to concentrate in a specified industry or group of industries in its fundamental investment policy (such as information technology). Therefore, some funds have additional info listed about their underlying ETF (represented by an index) or have a note that they can concentrate in a certain industry or group of industries.</t>
        </is>
      </c>
      <c r="B3" t="inlineStr"/>
      <c r="C3" t="inlineStr"/>
      <c r="D3" t="inlineStr"/>
      <c r="E3" t="inlineStr"/>
      <c r="F3" t="inlineStr"/>
      <c r="G3" t="inlineStr"/>
      <c r="H3" t="inlineStr"/>
      <c r="I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2" customWidth="1" min="1" max="1"/>
    <col width="8" customWidth="1" min="2" max="2"/>
    <col width="26" customWidth="1" min="3" max="3"/>
    <col width="48" customWidth="1" min="4" max="4"/>
    <col width="18" customWidth="1" min="5" max="5"/>
    <col width="21" customWidth="1" min="6" max="6"/>
    <col width="22" customWidth="1" min="7" max="7"/>
    <col width="13" customWidth="1" min="8" max="8"/>
    <col width="14" customWidth="1" min="9" max="9"/>
  </cols>
  <sheetData>
    <row r="1">
      <c r="A1" s="1" t="inlineStr">
        <is>
          <t>Date</t>
        </is>
      </c>
      <c r="B1" s="1" t="inlineStr">
        <is>
          <t>Fund</t>
        </is>
      </c>
      <c r="C1" s="1" t="inlineStr">
        <is>
          <t>GICS_Class</t>
        </is>
      </c>
      <c r="D1" s="1" t="inlineStr">
        <is>
          <t>GICS_Class Value</t>
        </is>
      </c>
      <c r="E1" s="1" t="inlineStr">
        <is>
          <t>GICS_SECTOR_NAME</t>
        </is>
      </c>
      <c r="F1" s="1" t="inlineStr">
        <is>
          <t>Exceeding_Fund_25%?</t>
        </is>
      </c>
      <c r="G1" s="1" t="inlineStr">
        <is>
          <t>Exceeding_Index_25%?</t>
        </is>
      </c>
      <c r="H1" s="1" t="inlineStr">
        <is>
          <t>Fund_Weight</t>
        </is>
      </c>
      <c r="I1" s="1" t="inlineStr">
        <is>
          <t>Index_Weight</t>
        </is>
      </c>
    </row>
    <row r="2">
      <c r="A2" s="2" t="n">
        <v>45965</v>
      </c>
      <c r="B2" t="inlineStr">
        <is>
          <t>P20127</t>
        </is>
      </c>
      <c r="C2" t="inlineStr">
        <is>
          <t>GICS_INDUSTRY_GROUP_NAME</t>
        </is>
      </c>
      <c r="D2" t="inlineStr">
        <is>
          <t>Semiconductors &amp; Semiconductor Equipment</t>
        </is>
      </c>
      <c r="E2" t="inlineStr">
        <is>
          <t>N/A</t>
        </is>
      </c>
      <c r="F2" t="inlineStr"/>
      <c r="G2" t="inlineStr"/>
      <c r="H2" t="inlineStr">
        <is>
          <t>15.93%</t>
        </is>
      </c>
      <c r="I2" t="inlineStr">
        <is>
          <t>14.93%</t>
        </is>
      </c>
    </row>
    <row r="3">
      <c r="A3" s="2" t="n">
        <v>45965</v>
      </c>
      <c r="B3" t="inlineStr">
        <is>
          <t>P20127</t>
        </is>
      </c>
      <c r="C3" t="inlineStr">
        <is>
          <t>GICS_INDUSTRY_NAME</t>
        </is>
      </c>
      <c r="D3" t="inlineStr">
        <is>
          <t>Semiconductors &amp; Semiconductor Equipment</t>
        </is>
      </c>
      <c r="E3" t="inlineStr">
        <is>
          <t>N/A</t>
        </is>
      </c>
      <c r="F3" t="inlineStr"/>
      <c r="G3" t="inlineStr"/>
      <c r="H3" t="inlineStr">
        <is>
          <t>15.93%</t>
        </is>
      </c>
      <c r="I3" t="inlineStr">
        <is>
          <t>14.93%</t>
        </is>
      </c>
    </row>
    <row r="4">
      <c r="A4" s="2" t="n">
        <v>45965</v>
      </c>
      <c r="B4" t="inlineStr">
        <is>
          <t>P20127</t>
        </is>
      </c>
      <c r="C4" t="inlineStr">
        <is>
          <t>GICS_INDUSTRY_GROUP_NAME</t>
        </is>
      </c>
      <c r="D4" t="inlineStr">
        <is>
          <t>Software &amp; Services</t>
        </is>
      </c>
      <c r="E4" t="inlineStr">
        <is>
          <t>N/A</t>
        </is>
      </c>
      <c r="F4" t="inlineStr"/>
      <c r="G4" t="inlineStr"/>
      <c r="H4" t="inlineStr">
        <is>
          <t>10.31%</t>
        </is>
      </c>
      <c r="I4" t="inlineStr">
        <is>
          <t>11.70%</t>
        </is>
      </c>
    </row>
    <row r="5">
      <c r="A5" s="2" t="n">
        <v>45965</v>
      </c>
      <c r="B5" t="inlineStr">
        <is>
          <t>P20127</t>
        </is>
      </c>
      <c r="C5" t="inlineStr">
        <is>
          <t>GICS_INDUSTRY_GROUP_NAME</t>
        </is>
      </c>
      <c r="D5" t="inlineStr">
        <is>
          <t>Technology Hardware &amp; Equipment</t>
        </is>
      </c>
      <c r="E5" t="inlineStr">
        <is>
          <t>N/A</t>
        </is>
      </c>
      <c r="F5" t="inlineStr"/>
      <c r="G5" t="inlineStr"/>
      <c r="H5" t="inlineStr">
        <is>
          <t>9.52%</t>
        </is>
      </c>
      <c r="I5" t="inlineStr">
        <is>
          <t>9.05%</t>
        </is>
      </c>
    </row>
    <row r="6">
      <c r="A6" s="2" t="n">
        <v>45965</v>
      </c>
      <c r="B6" t="inlineStr">
        <is>
          <t>P20127</t>
        </is>
      </c>
      <c r="C6" t="inlineStr">
        <is>
          <t>GICS_INDUSTRY_GROUP_NAME</t>
        </is>
      </c>
      <c r="D6" t="inlineStr">
        <is>
          <t>Media &amp; Entertainment</t>
        </is>
      </c>
      <c r="E6" t="inlineStr">
        <is>
          <t>N/A</t>
        </is>
      </c>
      <c r="F6" t="inlineStr"/>
      <c r="G6" t="inlineStr"/>
      <c r="H6" t="inlineStr">
        <is>
          <t>9.26%</t>
        </is>
      </c>
      <c r="I6" t="inlineStr">
        <is>
          <t>9.25%</t>
        </is>
      </c>
    </row>
    <row r="7">
      <c r="A7" s="2" t="n">
        <v>45965</v>
      </c>
      <c r="B7" t="inlineStr">
        <is>
          <t>P20127</t>
        </is>
      </c>
      <c r="C7" t="inlineStr">
        <is>
          <t>GICS_INDUSTRY_NAME</t>
        </is>
      </c>
      <c r="D7" t="inlineStr">
        <is>
          <t>Software</t>
        </is>
      </c>
      <c r="E7" t="inlineStr">
        <is>
          <t>N/A</t>
        </is>
      </c>
      <c r="F7" t="inlineStr"/>
      <c r="G7" t="inlineStr"/>
      <c r="H7" t="inlineStr">
        <is>
          <t>9.12%</t>
        </is>
      </c>
      <c r="I7" t="inlineStr">
        <is>
          <t>10.59%</t>
        </is>
      </c>
    </row>
    <row r="8">
      <c r="A8" s="2" t="n">
        <v>45965</v>
      </c>
      <c r="B8" t="inlineStr">
        <is>
          <t>P20127</t>
        </is>
      </c>
      <c r="C8" t="inlineStr">
        <is>
          <t>GICS_INDUSTRY_NAME</t>
        </is>
      </c>
      <c r="D8" t="inlineStr">
        <is>
          <t>Interactive Media &amp; Services</t>
        </is>
      </c>
      <c r="E8" t="inlineStr">
        <is>
          <t>N/A</t>
        </is>
      </c>
      <c r="F8" t="inlineStr"/>
      <c r="G8" t="inlineStr"/>
      <c r="H8" t="inlineStr">
        <is>
          <t>7.85%</t>
        </is>
      </c>
      <c r="I8" t="inlineStr">
        <is>
          <t>7.84%</t>
        </is>
      </c>
    </row>
    <row r="9">
      <c r="A9" s="2" t="n">
        <v>45965</v>
      </c>
      <c r="B9" t="inlineStr">
        <is>
          <t>P20127</t>
        </is>
      </c>
      <c r="C9" t="inlineStr">
        <is>
          <t>GICS_INDUSTRY_NAME</t>
        </is>
      </c>
      <c r="D9" t="inlineStr">
        <is>
          <t>Technology Hardware, Storage &amp; Peripherals</t>
        </is>
      </c>
      <c r="E9" t="inlineStr">
        <is>
          <t>N/A</t>
        </is>
      </c>
      <c r="F9" t="inlineStr"/>
      <c r="G9" t="inlineStr"/>
      <c r="H9" t="inlineStr">
        <is>
          <t>7.50%</t>
        </is>
      </c>
      <c r="I9" t="inlineStr">
        <is>
          <t>7.02%</t>
        </is>
      </c>
    </row>
    <row r="10">
      <c r="A10" s="2" t="n">
        <v>45965</v>
      </c>
      <c r="B10" t="inlineStr">
        <is>
          <t>P20127</t>
        </is>
      </c>
      <c r="C10" t="inlineStr">
        <is>
          <t>GICS_INDUSTRY_GROUP_NAME</t>
        </is>
      </c>
      <c r="D10" t="inlineStr">
        <is>
          <t>Financial Services</t>
        </is>
      </c>
      <c r="E10" t="inlineStr">
        <is>
          <t>N/A</t>
        </is>
      </c>
      <c r="F10" t="inlineStr"/>
      <c r="G10" t="inlineStr"/>
      <c r="H10" t="inlineStr">
        <is>
          <t>6.62%</t>
        </is>
      </c>
      <c r="I10" t="inlineStr">
        <is>
          <t>7.82%</t>
        </is>
      </c>
    </row>
    <row r="11">
      <c r="A11" s="2" t="n">
        <v>45965</v>
      </c>
      <c r="B11" t="inlineStr">
        <is>
          <t>P20127</t>
        </is>
      </c>
      <c r="C11" t="inlineStr">
        <is>
          <t>GICS_INDUSTRY_GROUP_NAME</t>
        </is>
      </c>
      <c r="D11" t="inlineStr">
        <is>
          <t>Capital Goods</t>
        </is>
      </c>
      <c r="E11" t="inlineStr">
        <is>
          <t>N/A</t>
        </is>
      </c>
      <c r="F11" t="inlineStr"/>
      <c r="G11" t="inlineStr"/>
      <c r="H11" t="inlineStr">
        <is>
          <t>6.27%</t>
        </is>
      </c>
      <c r="I11" t="inlineStr">
        <is>
          <t>6.27%</t>
        </is>
      </c>
    </row>
    <row r="12">
      <c r="A12" s="2" t="n">
        <v>45965</v>
      </c>
      <c r="B12" t="inlineStr">
        <is>
          <t>P20127</t>
        </is>
      </c>
      <c r="C12" t="inlineStr">
        <is>
          <t>GICS_INDUSTRY_GROUP_NAME</t>
        </is>
      </c>
      <c r="D12" t="inlineStr">
        <is>
          <t>Consumer Discretionary Distribution &amp; Retail</t>
        </is>
      </c>
      <c r="E12" t="inlineStr">
        <is>
          <t>N/A</t>
        </is>
      </c>
      <c r="F12" t="inlineStr"/>
      <c r="G12" t="inlineStr"/>
      <c r="H12" t="inlineStr">
        <is>
          <t>5.80%</t>
        </is>
      </c>
      <c r="I12" t="inlineStr">
        <is>
          <t>5.80%</t>
        </is>
      </c>
    </row>
    <row r="13">
      <c r="A13" s="2" t="n">
        <v>45965</v>
      </c>
      <c r="B13" t="inlineStr">
        <is>
          <t>P20127</t>
        </is>
      </c>
      <c r="C13" t="inlineStr">
        <is>
          <t>GICS_INDUSTRY_GROUP_NAME</t>
        </is>
      </c>
      <c r="D13" t="inlineStr">
        <is>
          <t>Pharmaceuticals, Biotechnology &amp; Life Sciences</t>
        </is>
      </c>
      <c r="E13" t="inlineStr">
        <is>
          <t>N/A</t>
        </is>
      </c>
      <c r="F13" t="inlineStr"/>
      <c r="G13" t="inlineStr"/>
      <c r="H13" t="inlineStr">
        <is>
          <t>4.89%</t>
        </is>
      </c>
      <c r="I13" t="inlineStr">
        <is>
          <t>5.61%</t>
        </is>
      </c>
    </row>
    <row r="14">
      <c r="A14" s="2" t="n">
        <v>45965</v>
      </c>
      <c r="B14" t="inlineStr">
        <is>
          <t>P20127</t>
        </is>
      </c>
      <c r="C14" t="inlineStr">
        <is>
          <t>GICS_INDUSTRY_NAME</t>
        </is>
      </c>
      <c r="D14" t="inlineStr">
        <is>
          <t>Broadline Retail</t>
        </is>
      </c>
      <c r="E14" t="inlineStr">
        <is>
          <t>N/A</t>
        </is>
      </c>
      <c r="F14" t="inlineStr"/>
      <c r="G14" t="inlineStr"/>
      <c r="H14" t="inlineStr">
        <is>
          <t>4.50%</t>
        </is>
      </c>
      <c r="I14" t="inlineStr">
        <is>
          <t>4.50%</t>
        </is>
      </c>
    </row>
    <row r="15">
      <c r="A15" s="2" t="n">
        <v>45965</v>
      </c>
      <c r="B15" t="inlineStr">
        <is>
          <t>P20127</t>
        </is>
      </c>
      <c r="C15" t="inlineStr">
        <is>
          <t>GICS_INDUSTRY_GROUP_NAME</t>
        </is>
      </c>
      <c r="D15" t="inlineStr">
        <is>
          <t>Banks</t>
        </is>
      </c>
      <c r="E15" t="inlineStr">
        <is>
          <t>N/A</t>
        </is>
      </c>
      <c r="F15" t="inlineStr"/>
      <c r="G15" t="inlineStr"/>
      <c r="H15" t="inlineStr">
        <is>
          <t>4.47%</t>
        </is>
      </c>
      <c r="I15" t="inlineStr">
        <is>
          <t>3.70%</t>
        </is>
      </c>
    </row>
    <row r="16">
      <c r="A16" s="2" t="n">
        <v>45965</v>
      </c>
      <c r="B16" t="inlineStr">
        <is>
          <t>P20127</t>
        </is>
      </c>
      <c r="C16" t="inlineStr">
        <is>
          <t>GICS_INDUSTRY_NAME</t>
        </is>
      </c>
      <c r="D16" t="inlineStr">
        <is>
          <t>Banks</t>
        </is>
      </c>
      <c r="E16" t="inlineStr">
        <is>
          <t>N/A</t>
        </is>
      </c>
      <c r="F16" t="inlineStr"/>
      <c r="G16" t="inlineStr"/>
      <c r="H16" t="inlineStr">
        <is>
          <t>4.47%</t>
        </is>
      </c>
      <c r="I16" t="inlineStr">
        <is>
          <t>3.70%</t>
        </is>
      </c>
    </row>
    <row r="17">
      <c r="A17" s="2" t="n">
        <v>45965</v>
      </c>
      <c r="B17" t="inlineStr">
        <is>
          <t>P20127</t>
        </is>
      </c>
      <c r="C17" t="inlineStr">
        <is>
          <t>GICS_INDUSTRY_GROUP_NAME</t>
        </is>
      </c>
      <c r="D17" t="inlineStr">
        <is>
          <t>Health Care Equipment &amp; Services</t>
        </is>
      </c>
      <c r="E17" t="inlineStr">
        <is>
          <t>N/A</t>
        </is>
      </c>
      <c r="F17" t="inlineStr"/>
      <c r="G17" t="inlineStr"/>
      <c r="H17" t="inlineStr">
        <is>
          <t>4.02%</t>
        </is>
      </c>
      <c r="I17" t="inlineStr">
        <is>
          <t>3.37%</t>
        </is>
      </c>
    </row>
    <row r="18">
      <c r="A18" s="2" t="n">
        <v>45965</v>
      </c>
      <c r="B18" t="inlineStr">
        <is>
          <t>P20127</t>
        </is>
      </c>
      <c r="C18" t="inlineStr">
        <is>
          <t>GICS_INDUSTRY_NAME</t>
        </is>
      </c>
      <c r="D18" t="inlineStr">
        <is>
          <t>Financial Services</t>
        </is>
      </c>
      <c r="E18" t="inlineStr">
        <is>
          <t>N/A</t>
        </is>
      </c>
      <c r="F18" t="inlineStr"/>
      <c r="G18" t="inlineStr"/>
      <c r="H18" t="inlineStr">
        <is>
          <t>3.34%</t>
        </is>
      </c>
      <c r="I18" t="inlineStr">
        <is>
          <t>5.04%</t>
        </is>
      </c>
    </row>
    <row r="19">
      <c r="A19" s="2" t="n">
        <v>45965</v>
      </c>
      <c r="B19" t="inlineStr">
        <is>
          <t>P20127</t>
        </is>
      </c>
      <c r="C19" t="inlineStr">
        <is>
          <t>GICS_INDUSTRY_NAME</t>
        </is>
      </c>
      <c r="D19" t="inlineStr">
        <is>
          <t>Aerospace &amp; Defense</t>
        </is>
      </c>
      <c r="E19" t="inlineStr">
        <is>
          <t>N/A</t>
        </is>
      </c>
      <c r="F19" t="inlineStr"/>
      <c r="G19" t="inlineStr"/>
      <c r="H19" t="inlineStr">
        <is>
          <t>3.11%</t>
        </is>
      </c>
      <c r="I19" t="inlineStr">
        <is>
          <t>3.11%</t>
        </is>
      </c>
    </row>
    <row r="20">
      <c r="A20" s="2" t="n">
        <v>45965</v>
      </c>
      <c r="B20" t="inlineStr">
        <is>
          <t>P20127</t>
        </is>
      </c>
      <c r="C20" t="inlineStr">
        <is>
          <t>GICS_INDUSTRY_GROUP_NAME</t>
        </is>
      </c>
      <c r="D20" t="inlineStr">
        <is>
          <t>Energy</t>
        </is>
      </c>
      <c r="E20" t="inlineStr">
        <is>
          <t>N/A</t>
        </is>
      </c>
      <c r="F20" t="inlineStr"/>
      <c r="G20" t="inlineStr"/>
      <c r="H20" t="inlineStr">
        <is>
          <t>2.81%</t>
        </is>
      </c>
      <c r="I20" t="inlineStr">
        <is>
          <t>2.81%</t>
        </is>
      </c>
    </row>
    <row r="21">
      <c r="A21" s="2" t="n">
        <v>45965</v>
      </c>
      <c r="B21" t="inlineStr">
        <is>
          <t>P20127</t>
        </is>
      </c>
      <c r="C21" t="inlineStr">
        <is>
          <t>GICS_INDUSTRY_NAME</t>
        </is>
      </c>
      <c r="D21" t="inlineStr">
        <is>
          <t>Oil, Gas &amp; Consumable Fuels</t>
        </is>
      </c>
      <c r="E21" t="inlineStr">
        <is>
          <t>N/A</t>
        </is>
      </c>
      <c r="F21" t="inlineStr"/>
      <c r="G21" t="inlineStr"/>
      <c r="H21" t="inlineStr">
        <is>
          <t>2.81%</t>
        </is>
      </c>
      <c r="I21" t="inlineStr">
        <is>
          <t>2.81%</t>
        </is>
      </c>
    </row>
    <row r="22">
      <c r="A22" s="2" t="n">
        <v>45965</v>
      </c>
      <c r="B22" t="inlineStr">
        <is>
          <t>P20127</t>
        </is>
      </c>
      <c r="C22" t="inlineStr">
        <is>
          <t>GICS_INDUSTRY_NAME</t>
        </is>
      </c>
      <c r="D22" t="inlineStr">
        <is>
          <t>Capital Markets</t>
        </is>
      </c>
      <c r="E22" t="inlineStr">
        <is>
          <t>N/A</t>
        </is>
      </c>
      <c r="F22" t="inlineStr"/>
      <c r="G22" t="inlineStr"/>
      <c r="H22" t="inlineStr">
        <is>
          <t>2.67%</t>
        </is>
      </c>
      <c r="I22" t="inlineStr">
        <is>
          <t>2.28%</t>
        </is>
      </c>
    </row>
    <row r="23">
      <c r="A23" s="2" t="n">
        <v>45965</v>
      </c>
      <c r="B23" t="inlineStr">
        <is>
          <t>P20127</t>
        </is>
      </c>
      <c r="C23" t="inlineStr">
        <is>
          <t>GICS_INDUSTRY_GROUP_NAME</t>
        </is>
      </c>
      <c r="D23" t="inlineStr">
        <is>
          <t>Automobiles &amp; Components</t>
        </is>
      </c>
      <c r="E23" t="inlineStr">
        <is>
          <t>N/A</t>
        </is>
      </c>
      <c r="F23" t="inlineStr"/>
      <c r="G23" t="inlineStr"/>
      <c r="H23" t="inlineStr">
        <is>
          <t>2.36%</t>
        </is>
      </c>
      <c r="I23" t="inlineStr">
        <is>
          <t>2.36%</t>
        </is>
      </c>
    </row>
    <row r="24">
      <c r="A24" s="2" t="n">
        <v>45965</v>
      </c>
      <c r="B24" t="inlineStr">
        <is>
          <t>P20127</t>
        </is>
      </c>
      <c r="C24" t="inlineStr">
        <is>
          <t>GICS_INDUSTRY_NAME</t>
        </is>
      </c>
      <c r="D24" t="inlineStr">
        <is>
          <t>Automobiles</t>
        </is>
      </c>
      <c r="E24" t="inlineStr">
        <is>
          <t>N/A</t>
        </is>
      </c>
      <c r="F24" t="inlineStr"/>
      <c r="G24" t="inlineStr"/>
      <c r="H24" t="inlineStr">
        <is>
          <t>2.36%</t>
        </is>
      </c>
      <c r="I24" t="inlineStr">
        <is>
          <t>2.36%</t>
        </is>
      </c>
    </row>
    <row r="25">
      <c r="A25" s="2" t="n">
        <v>45965</v>
      </c>
      <c r="B25" t="inlineStr">
        <is>
          <t>P20127</t>
        </is>
      </c>
      <c r="C25" t="inlineStr">
        <is>
          <t>GICS_INDUSTRY_GROUP_NAME</t>
        </is>
      </c>
      <c r="D25" t="inlineStr">
        <is>
          <t>Utilities</t>
        </is>
      </c>
      <c r="E25" t="inlineStr">
        <is>
          <t>N/A</t>
        </is>
      </c>
      <c r="F25" t="inlineStr"/>
      <c r="G25" t="inlineStr"/>
      <c r="H25" t="inlineStr">
        <is>
          <t>2.27%</t>
        </is>
      </c>
      <c r="I25" t="inlineStr">
        <is>
          <t>2.27%</t>
        </is>
      </c>
    </row>
    <row r="26">
      <c r="A26" s="2" t="n">
        <v>45965</v>
      </c>
      <c r="B26" t="inlineStr">
        <is>
          <t>P20127</t>
        </is>
      </c>
      <c r="C26" t="inlineStr">
        <is>
          <t>GICS_INDUSTRY_NAME</t>
        </is>
      </c>
      <c r="D26" t="inlineStr">
        <is>
          <t>Electric Utilities</t>
        </is>
      </c>
      <c r="E26" t="inlineStr">
        <is>
          <t>N/A</t>
        </is>
      </c>
      <c r="F26" t="inlineStr"/>
      <c r="G26" t="inlineStr"/>
      <c r="H26" t="inlineStr">
        <is>
          <t>2.27%</t>
        </is>
      </c>
      <c r="I26" t="inlineStr">
        <is>
          <t>2.27%</t>
        </is>
      </c>
    </row>
    <row r="27">
      <c r="A27" s="2" t="n">
        <v>45965</v>
      </c>
      <c r="B27" t="inlineStr">
        <is>
          <t>P20127</t>
        </is>
      </c>
      <c r="C27" t="inlineStr">
        <is>
          <t>GICS_INDUSTRY_NAME</t>
        </is>
      </c>
      <c r="D27" t="inlineStr">
        <is>
          <t>Pharmaceuticals</t>
        </is>
      </c>
      <c r="E27" t="inlineStr">
        <is>
          <t>N/A</t>
        </is>
      </c>
      <c r="F27" t="inlineStr"/>
      <c r="G27" t="inlineStr"/>
      <c r="H27" t="inlineStr">
        <is>
          <t>2.25%</t>
        </is>
      </c>
      <c r="I27" t="inlineStr">
        <is>
          <t>3.40%</t>
        </is>
      </c>
    </row>
    <row r="28">
      <c r="A28" s="2" t="n">
        <v>45965</v>
      </c>
      <c r="B28" t="inlineStr">
        <is>
          <t>P20127</t>
        </is>
      </c>
      <c r="C28" t="inlineStr">
        <is>
          <t>GICS_INDUSTRY_GROUP_NAME</t>
        </is>
      </c>
      <c r="D28" t="inlineStr">
        <is>
          <t>Insurance</t>
        </is>
      </c>
      <c r="E28" t="inlineStr">
        <is>
          <t>N/A</t>
        </is>
      </c>
      <c r="F28" t="inlineStr"/>
      <c r="G28" t="inlineStr"/>
      <c r="H28" t="inlineStr">
        <is>
          <t>2.20%</t>
        </is>
      </c>
      <c r="I28" t="inlineStr">
        <is>
          <t>1.81%</t>
        </is>
      </c>
    </row>
    <row r="29">
      <c r="A29" s="2" t="n">
        <v>45965</v>
      </c>
      <c r="B29" t="inlineStr">
        <is>
          <t>P20127</t>
        </is>
      </c>
      <c r="C29" t="inlineStr">
        <is>
          <t>GICS_INDUSTRY_NAME</t>
        </is>
      </c>
      <c r="D29" t="inlineStr">
        <is>
          <t>Insurance</t>
        </is>
      </c>
      <c r="E29" t="inlineStr">
        <is>
          <t>N/A</t>
        </is>
      </c>
      <c r="F29" t="inlineStr"/>
      <c r="G29" t="inlineStr"/>
      <c r="H29" t="inlineStr">
        <is>
          <t>2.20%</t>
        </is>
      </c>
      <c r="I29" t="inlineStr">
        <is>
          <t>1.81%</t>
        </is>
      </c>
    </row>
    <row r="30">
      <c r="A30" s="2" t="n">
        <v>45965</v>
      </c>
      <c r="B30" t="inlineStr">
        <is>
          <t>P20127</t>
        </is>
      </c>
      <c r="C30" t="inlineStr">
        <is>
          <t>GICS_INDUSTRY_GROUP_NAME</t>
        </is>
      </c>
      <c r="D30" t="inlineStr">
        <is>
          <t>Food, Beverage &amp; Tobacco</t>
        </is>
      </c>
      <c r="E30" t="inlineStr">
        <is>
          <t>N/A</t>
        </is>
      </c>
      <c r="F30" t="inlineStr"/>
      <c r="G30" t="inlineStr"/>
      <c r="H30" t="inlineStr">
        <is>
          <t>2.16%</t>
        </is>
      </c>
      <c r="I30" t="inlineStr">
        <is>
          <t>2.16%</t>
        </is>
      </c>
    </row>
    <row r="31">
      <c r="A31" s="2" t="n">
        <v>45965</v>
      </c>
      <c r="B31" t="inlineStr">
        <is>
          <t>P20127</t>
        </is>
      </c>
      <c r="C31" t="inlineStr">
        <is>
          <t>GICS_INDUSTRY_NAME</t>
        </is>
      </c>
      <c r="D31" t="inlineStr">
        <is>
          <t>Health Care Equipment &amp; Supplies</t>
        </is>
      </c>
      <c r="E31" t="inlineStr">
        <is>
          <t>N/A</t>
        </is>
      </c>
      <c r="F31" t="inlineStr"/>
      <c r="G31" t="inlineStr"/>
      <c r="H31" t="inlineStr">
        <is>
          <t>2.11%</t>
        </is>
      </c>
      <c r="I31" t="inlineStr">
        <is>
          <t>1.77%</t>
        </is>
      </c>
    </row>
    <row r="32">
      <c r="A32" s="2" t="n">
        <v>45965</v>
      </c>
      <c r="B32" t="inlineStr">
        <is>
          <t>P20127</t>
        </is>
      </c>
      <c r="C32" t="inlineStr">
        <is>
          <t>GICS_INDUSTRY_NAME</t>
        </is>
      </c>
      <c r="D32" t="inlineStr">
        <is>
          <t>Communications Equipment</t>
        </is>
      </c>
      <c r="E32" t="inlineStr">
        <is>
          <t>N/A</t>
        </is>
      </c>
      <c r="F32" t="inlineStr"/>
      <c r="G32" t="inlineStr"/>
      <c r="H32" t="inlineStr">
        <is>
          <t>2.03%</t>
        </is>
      </c>
      <c r="I32" t="inlineStr">
        <is>
          <t>2.03%</t>
        </is>
      </c>
    </row>
    <row r="33">
      <c r="A33" s="2" t="n">
        <v>45965</v>
      </c>
      <c r="B33" t="inlineStr">
        <is>
          <t>P20127</t>
        </is>
      </c>
      <c r="C33" t="inlineStr">
        <is>
          <t>GICS_INDUSTRY_NAME</t>
        </is>
      </c>
      <c r="D33" t="inlineStr">
        <is>
          <t>Health Care Providers &amp; Services</t>
        </is>
      </c>
      <c r="E33" t="inlineStr">
        <is>
          <t>N/A</t>
        </is>
      </c>
      <c r="F33" t="inlineStr"/>
      <c r="G33" t="inlineStr"/>
      <c r="H33" t="inlineStr">
        <is>
          <t>1.91%</t>
        </is>
      </c>
      <c r="I33" t="inlineStr">
        <is>
          <t>1.60%</t>
        </is>
      </c>
    </row>
    <row r="34">
      <c r="A34" s="2" t="n">
        <v>45965</v>
      </c>
      <c r="B34" t="inlineStr">
        <is>
          <t>P20127</t>
        </is>
      </c>
      <c r="C34" t="inlineStr">
        <is>
          <t>GICS_INDUSTRY_NAME</t>
        </is>
      </c>
      <c r="D34" t="inlineStr">
        <is>
          <t>Biotechnology</t>
        </is>
      </c>
      <c r="E34" t="inlineStr">
        <is>
          <t>N/A</t>
        </is>
      </c>
      <c r="F34" t="inlineStr"/>
      <c r="G34" t="inlineStr"/>
      <c r="H34" t="inlineStr">
        <is>
          <t>1.75%</t>
        </is>
      </c>
      <c r="I34" t="inlineStr">
        <is>
          <t>1.47%</t>
        </is>
      </c>
    </row>
    <row r="35">
      <c r="A35" s="2" t="n">
        <v>45965</v>
      </c>
      <c r="B35" t="inlineStr">
        <is>
          <t>P20127</t>
        </is>
      </c>
      <c r="C35" t="inlineStr">
        <is>
          <t>GICS_INDUSTRY_GROUP_NAME</t>
        </is>
      </c>
      <c r="D35" t="inlineStr">
        <is>
          <t>Consumer Staples Distribution &amp; Retail</t>
        </is>
      </c>
      <c r="E35" t="inlineStr">
        <is>
          <t>N/A</t>
        </is>
      </c>
      <c r="F35" t="inlineStr"/>
      <c r="G35" t="inlineStr"/>
      <c r="H35" t="inlineStr">
        <is>
          <t>1.74%</t>
        </is>
      </c>
      <c r="I35" t="inlineStr">
        <is>
          <t>1.76%</t>
        </is>
      </c>
    </row>
    <row r="36">
      <c r="A36" s="2" t="n">
        <v>45965</v>
      </c>
      <c r="B36" t="inlineStr">
        <is>
          <t>P20127</t>
        </is>
      </c>
      <c r="C36" t="inlineStr">
        <is>
          <t>GICS_INDUSTRY_NAME</t>
        </is>
      </c>
      <c r="D36" t="inlineStr">
        <is>
          <t>Consumer Staples Distribution &amp; Retail</t>
        </is>
      </c>
      <c r="E36" t="inlineStr">
        <is>
          <t>N/A</t>
        </is>
      </c>
      <c r="F36" t="inlineStr"/>
      <c r="G36" t="inlineStr"/>
      <c r="H36" t="inlineStr">
        <is>
          <t>1.74%</t>
        </is>
      </c>
      <c r="I36" t="inlineStr">
        <is>
          <t>1.76%</t>
        </is>
      </c>
    </row>
    <row r="37">
      <c r="A37" s="2" t="n">
        <v>45965</v>
      </c>
      <c r="B37" t="inlineStr">
        <is>
          <t>P20127</t>
        </is>
      </c>
      <c r="C37" t="inlineStr">
        <is>
          <t>GICS_INDUSTRY_GROUP_NAME</t>
        </is>
      </c>
      <c r="D37" t="inlineStr">
        <is>
          <t>Materials</t>
        </is>
      </c>
      <c r="E37" t="inlineStr">
        <is>
          <t>N/A</t>
        </is>
      </c>
      <c r="F37" t="inlineStr"/>
      <c r="G37" t="inlineStr"/>
      <c r="H37" t="inlineStr">
        <is>
          <t>1.69%</t>
        </is>
      </c>
      <c r="I37" t="inlineStr">
        <is>
          <t>1.68%</t>
        </is>
      </c>
    </row>
    <row r="38">
      <c r="A38" s="2" t="n">
        <v>45965</v>
      </c>
      <c r="B38" t="inlineStr">
        <is>
          <t>P20127</t>
        </is>
      </c>
      <c r="C38" t="inlineStr">
        <is>
          <t>GICS_INDUSTRY_NAME</t>
        </is>
      </c>
      <c r="D38" t="inlineStr">
        <is>
          <t>Chemicals</t>
        </is>
      </c>
      <c r="E38" t="inlineStr">
        <is>
          <t>N/A</t>
        </is>
      </c>
      <c r="F38" t="inlineStr"/>
      <c r="G38" t="inlineStr"/>
      <c r="H38" t="inlineStr">
        <is>
          <t>1.69%</t>
        </is>
      </c>
      <c r="I38" t="inlineStr">
        <is>
          <t>1.68%</t>
        </is>
      </c>
    </row>
    <row r="39">
      <c r="A39" s="2" t="n">
        <v>45965</v>
      </c>
      <c r="B39" t="inlineStr">
        <is>
          <t>P20127</t>
        </is>
      </c>
      <c r="C39" t="inlineStr">
        <is>
          <t>GICS_INDUSTRY_GROUP_NAME</t>
        </is>
      </c>
      <c r="D39" t="inlineStr">
        <is>
          <t>Consumer Services</t>
        </is>
      </c>
      <c r="E39" t="inlineStr">
        <is>
          <t>N/A</t>
        </is>
      </c>
      <c r="F39" t="inlineStr"/>
      <c r="G39" t="inlineStr"/>
      <c r="H39" t="inlineStr">
        <is>
          <t>1.66%</t>
        </is>
      </c>
      <c r="I39" t="inlineStr">
        <is>
          <t>1.66%</t>
        </is>
      </c>
    </row>
    <row r="40">
      <c r="A40" s="2" t="n">
        <v>45965</v>
      </c>
      <c r="B40" t="inlineStr">
        <is>
          <t>P20127</t>
        </is>
      </c>
      <c r="C40" t="inlineStr">
        <is>
          <t>GICS_INDUSTRY_NAME</t>
        </is>
      </c>
      <c r="D40" t="inlineStr">
        <is>
          <t>Hotels, Restaurants &amp; Leisure</t>
        </is>
      </c>
      <c r="E40" t="inlineStr">
        <is>
          <t>N/A</t>
        </is>
      </c>
      <c r="F40" t="inlineStr"/>
      <c r="G40" t="inlineStr"/>
      <c r="H40" t="inlineStr">
        <is>
          <t>1.66%</t>
        </is>
      </c>
      <c r="I40" t="inlineStr">
        <is>
          <t>1.66%</t>
        </is>
      </c>
    </row>
    <row r="41">
      <c r="A41" s="2" t="n">
        <v>45965</v>
      </c>
      <c r="B41" t="inlineStr">
        <is>
          <t>P20127</t>
        </is>
      </c>
      <c r="C41" t="inlineStr">
        <is>
          <t>GICS_INDUSTRY_NAME</t>
        </is>
      </c>
      <c r="D41" t="inlineStr">
        <is>
          <t>Machinery</t>
        </is>
      </c>
      <c r="E41" t="inlineStr">
        <is>
          <t>N/A</t>
        </is>
      </c>
      <c r="F41" t="inlineStr"/>
      <c r="G41" t="inlineStr"/>
      <c r="H41" t="inlineStr">
        <is>
          <t>1.47%</t>
        </is>
      </c>
      <c r="I41" t="inlineStr">
        <is>
          <t>1.47%</t>
        </is>
      </c>
    </row>
    <row r="42">
      <c r="A42" s="2" t="n">
        <v>45965</v>
      </c>
      <c r="B42" t="inlineStr">
        <is>
          <t>P20127</t>
        </is>
      </c>
      <c r="C42" t="inlineStr">
        <is>
          <t>GICS_INDUSTRY_GROUP_NAME</t>
        </is>
      </c>
      <c r="D42" t="inlineStr">
        <is>
          <t>Equity Real Estate Investment Trusts</t>
        </is>
      </c>
      <c r="E42" t="inlineStr">
        <is>
          <t>N/A</t>
        </is>
      </c>
      <c r="F42" t="inlineStr"/>
      <c r="G42" t="inlineStr"/>
      <c r="H42" t="inlineStr">
        <is>
          <t>1.45%</t>
        </is>
      </c>
      <c r="I42" t="inlineStr">
        <is>
          <t>1.45%</t>
        </is>
      </c>
    </row>
    <row r="43">
      <c r="A43" s="2" t="n">
        <v>45965</v>
      </c>
      <c r="B43" t="inlineStr">
        <is>
          <t>P20127</t>
        </is>
      </c>
      <c r="C43" t="inlineStr">
        <is>
          <t>GICS_INDUSTRY_NAME</t>
        </is>
      </c>
      <c r="D43" t="inlineStr">
        <is>
          <t>Specialized REITs</t>
        </is>
      </c>
      <c r="E43" t="inlineStr">
        <is>
          <t>N/A</t>
        </is>
      </c>
      <c r="F43" t="inlineStr"/>
      <c r="G43" t="inlineStr"/>
      <c r="H43" t="inlineStr">
        <is>
          <t>1.45%</t>
        </is>
      </c>
      <c r="I43" t="inlineStr">
        <is>
          <t>1.45%</t>
        </is>
      </c>
    </row>
    <row r="44">
      <c r="A44" s="2" t="n">
        <v>45965</v>
      </c>
      <c r="B44" t="inlineStr">
        <is>
          <t>P20127</t>
        </is>
      </c>
      <c r="C44" t="inlineStr">
        <is>
          <t>GICS_INDUSTRY_GROUP_NAME</t>
        </is>
      </c>
      <c r="D44" t="inlineStr">
        <is>
          <t>Transportation</t>
        </is>
      </c>
      <c r="E44" t="inlineStr">
        <is>
          <t>N/A</t>
        </is>
      </c>
      <c r="F44" t="inlineStr"/>
      <c r="G44" t="inlineStr"/>
      <c r="H44" t="inlineStr">
        <is>
          <t>1.34%</t>
        </is>
      </c>
      <c r="I44" t="inlineStr">
        <is>
          <t>1.34%</t>
        </is>
      </c>
    </row>
    <row r="45">
      <c r="A45" s="2" t="n">
        <v>45965</v>
      </c>
      <c r="B45" t="inlineStr">
        <is>
          <t>P20127</t>
        </is>
      </c>
      <c r="C45" t="inlineStr">
        <is>
          <t>GICS_INDUSTRY_NAME</t>
        </is>
      </c>
      <c r="D45" t="inlineStr">
        <is>
          <t>Specialty Retail</t>
        </is>
      </c>
      <c r="E45" t="inlineStr">
        <is>
          <t>N/A</t>
        </is>
      </c>
      <c r="F45" t="inlineStr"/>
      <c r="G45" t="inlineStr"/>
      <c r="H45" t="inlineStr">
        <is>
          <t>1.30%</t>
        </is>
      </c>
      <c r="I45" t="inlineStr">
        <is>
          <t>1.30%</t>
        </is>
      </c>
    </row>
    <row r="46">
      <c r="A46" s="2" t="n">
        <v>45965</v>
      </c>
      <c r="B46" t="inlineStr">
        <is>
          <t>P20127</t>
        </is>
      </c>
      <c r="C46" t="inlineStr">
        <is>
          <t>GICS_INDUSTRY_NAME</t>
        </is>
      </c>
      <c r="D46" t="inlineStr">
        <is>
          <t>Entertainment</t>
        </is>
      </c>
      <c r="E46" t="inlineStr">
        <is>
          <t>N/A</t>
        </is>
      </c>
      <c r="F46" t="inlineStr"/>
      <c r="G46" t="inlineStr"/>
      <c r="H46" t="inlineStr">
        <is>
          <t>1.22%</t>
        </is>
      </c>
      <c r="I46" t="inlineStr">
        <is>
          <t>1.22%</t>
        </is>
      </c>
    </row>
    <row r="47">
      <c r="A47" s="2" t="n">
        <v>45965</v>
      </c>
      <c r="B47" t="inlineStr">
        <is>
          <t>P20127</t>
        </is>
      </c>
      <c r="C47" t="inlineStr">
        <is>
          <t>GICS_INDUSTRY_NAME</t>
        </is>
      </c>
      <c r="D47" t="inlineStr">
        <is>
          <t>IT Services</t>
        </is>
      </c>
      <c r="E47" t="inlineStr">
        <is>
          <t>N/A</t>
        </is>
      </c>
      <c r="F47" t="inlineStr"/>
      <c r="G47" t="inlineStr"/>
      <c r="H47" t="inlineStr">
        <is>
          <t>1.19%</t>
        </is>
      </c>
      <c r="I47" t="inlineStr">
        <is>
          <t>1.11%</t>
        </is>
      </c>
    </row>
    <row r="48">
      <c r="A48" s="2" t="n">
        <v>45965</v>
      </c>
      <c r="B48" t="inlineStr">
        <is>
          <t>P20127</t>
        </is>
      </c>
      <c r="C48" t="inlineStr">
        <is>
          <t>GICS_INDUSTRY_NAME</t>
        </is>
      </c>
      <c r="D48" t="inlineStr">
        <is>
          <t>Beverages</t>
        </is>
      </c>
      <c r="E48" t="inlineStr">
        <is>
          <t>N/A</t>
        </is>
      </c>
      <c r="F48" t="inlineStr"/>
      <c r="G48" t="inlineStr"/>
      <c r="H48" t="inlineStr">
        <is>
          <t>1.16%</t>
        </is>
      </c>
      <c r="I48" t="inlineStr">
        <is>
          <t>1.16%</t>
        </is>
      </c>
    </row>
    <row r="49">
      <c r="A49" s="2" t="n">
        <v>45965</v>
      </c>
      <c r="B49" t="inlineStr">
        <is>
          <t>P20127</t>
        </is>
      </c>
      <c r="C49" t="inlineStr">
        <is>
          <t>GICS_INDUSTRY_GROUP_NAME</t>
        </is>
      </c>
      <c r="D49" t="inlineStr">
        <is>
          <t>Commercial &amp; Professional Services</t>
        </is>
      </c>
      <c r="E49" t="inlineStr">
        <is>
          <t>N/A</t>
        </is>
      </c>
      <c r="F49" t="inlineStr"/>
      <c r="G49" t="inlineStr"/>
      <c r="H49" t="inlineStr">
        <is>
          <t>1.00%</t>
        </is>
      </c>
      <c r="I49" t="inlineStr">
        <is>
          <t>1.00%</t>
        </is>
      </c>
    </row>
    <row r="50">
      <c r="A50" s="2" t="n">
        <v>45965</v>
      </c>
      <c r="B50" t="inlineStr">
        <is>
          <t>P20127</t>
        </is>
      </c>
      <c r="C50" t="inlineStr">
        <is>
          <t>GICS_INDUSTRY_NAME</t>
        </is>
      </c>
      <c r="D50" t="inlineStr">
        <is>
          <t>Commercial Services &amp; Supplies</t>
        </is>
      </c>
      <c r="E50" t="inlineStr">
        <is>
          <t>N/A</t>
        </is>
      </c>
      <c r="F50" t="inlineStr"/>
      <c r="G50" t="inlineStr"/>
      <c r="H50" t="inlineStr">
        <is>
          <t>1.00%</t>
        </is>
      </c>
      <c r="I50" t="inlineStr">
        <is>
          <t>1.00%</t>
        </is>
      </c>
    </row>
    <row r="51">
      <c r="A51" s="2" t="n">
        <v>45965</v>
      </c>
      <c r="B51" t="inlineStr">
        <is>
          <t>P20127</t>
        </is>
      </c>
      <c r="C51" t="inlineStr">
        <is>
          <t>GICS_INDUSTRY_NAME</t>
        </is>
      </c>
      <c r="D51" t="inlineStr">
        <is>
          <t>Ground Transportation</t>
        </is>
      </c>
      <c r="E51" t="inlineStr">
        <is>
          <t>N/A</t>
        </is>
      </c>
      <c r="F51" t="inlineStr"/>
      <c r="G51" t="inlineStr"/>
      <c r="H51" t="inlineStr">
        <is>
          <t>0.97%</t>
        </is>
      </c>
      <c r="I51" t="inlineStr">
        <is>
          <t>0.97%</t>
        </is>
      </c>
    </row>
    <row r="52">
      <c r="A52" s="2" t="n">
        <v>45965</v>
      </c>
      <c r="B52" t="inlineStr">
        <is>
          <t>P20127</t>
        </is>
      </c>
      <c r="C52" t="inlineStr">
        <is>
          <t>GICS_INDUSTRY_GROUP_NAME</t>
        </is>
      </c>
      <c r="D52" t="inlineStr">
        <is>
          <t>Household &amp; Personal Products</t>
        </is>
      </c>
      <c r="E52" t="inlineStr">
        <is>
          <t>N/A</t>
        </is>
      </c>
      <c r="F52" t="inlineStr"/>
      <c r="G52" t="inlineStr"/>
      <c r="H52" t="inlineStr">
        <is>
          <t>0.93%</t>
        </is>
      </c>
      <c r="I52" t="inlineStr">
        <is>
          <t>0.93%</t>
        </is>
      </c>
    </row>
    <row r="53">
      <c r="A53" s="2" t="n">
        <v>45965</v>
      </c>
      <c r="B53" t="inlineStr">
        <is>
          <t>P20127</t>
        </is>
      </c>
      <c r="C53" t="inlineStr">
        <is>
          <t>GICS_INDUSTRY_NAME</t>
        </is>
      </c>
      <c r="D53" t="inlineStr">
        <is>
          <t>Household Products</t>
        </is>
      </c>
      <c r="E53" t="inlineStr">
        <is>
          <t>N/A</t>
        </is>
      </c>
      <c r="F53" t="inlineStr"/>
      <c r="G53" t="inlineStr"/>
      <c r="H53" t="inlineStr">
        <is>
          <t>0.93%</t>
        </is>
      </c>
      <c r="I53" t="inlineStr">
        <is>
          <t>0.93%</t>
        </is>
      </c>
    </row>
    <row r="54">
      <c r="A54" s="2" t="n">
        <v>45965</v>
      </c>
      <c r="B54" t="inlineStr">
        <is>
          <t>P20127</t>
        </is>
      </c>
      <c r="C54" t="inlineStr">
        <is>
          <t>GICS_INDUSTRY_NAME</t>
        </is>
      </c>
      <c r="D54" t="inlineStr">
        <is>
          <t>Life Sciences Tools &amp; Services</t>
        </is>
      </c>
      <c r="E54" t="inlineStr">
        <is>
          <t>N/A</t>
        </is>
      </c>
      <c r="F54" t="inlineStr"/>
      <c r="G54" t="inlineStr"/>
      <c r="H54" t="inlineStr">
        <is>
          <t>0.89%</t>
        </is>
      </c>
      <c r="I54" t="inlineStr">
        <is>
          <t>0.75%</t>
        </is>
      </c>
    </row>
    <row r="55">
      <c r="A55" s="2" t="n">
        <v>45965</v>
      </c>
      <c r="B55" t="inlineStr">
        <is>
          <t>P20127</t>
        </is>
      </c>
      <c r="C55" t="inlineStr">
        <is>
          <t>GICS_INDUSTRY_NAME</t>
        </is>
      </c>
      <c r="D55" t="inlineStr">
        <is>
          <t>Electrical Equipment</t>
        </is>
      </c>
      <c r="E55" t="inlineStr">
        <is>
          <t>N/A</t>
        </is>
      </c>
      <c r="F55" t="inlineStr"/>
      <c r="G55" t="inlineStr"/>
      <c r="H55" t="inlineStr">
        <is>
          <t>0.87%</t>
        </is>
      </c>
      <c r="I55" t="inlineStr">
        <is>
          <t>0.87%</t>
        </is>
      </c>
    </row>
    <row r="56">
      <c r="A56" s="2" t="n">
        <v>45965</v>
      </c>
      <c r="B56" t="inlineStr">
        <is>
          <t>P20127</t>
        </is>
      </c>
      <c r="C56" t="inlineStr">
        <is>
          <t>GICS_INDUSTRY_NAME</t>
        </is>
      </c>
      <c r="D56" t="inlineStr">
        <is>
          <t>Industrial Conglomerates</t>
        </is>
      </c>
      <c r="E56" t="inlineStr">
        <is>
          <t>N/A</t>
        </is>
      </c>
      <c r="F56" t="inlineStr"/>
      <c r="G56" t="inlineStr"/>
      <c r="H56" t="inlineStr">
        <is>
          <t>0.82%</t>
        </is>
      </c>
      <c r="I56" t="inlineStr">
        <is>
          <t>0.82%</t>
        </is>
      </c>
    </row>
    <row r="57">
      <c r="A57" s="2" t="n">
        <v>45965</v>
      </c>
      <c r="B57" t="inlineStr">
        <is>
          <t>P20127</t>
        </is>
      </c>
      <c r="C57" t="inlineStr">
        <is>
          <t>GICS_INDUSTRY_NAME</t>
        </is>
      </c>
      <c r="D57" t="inlineStr">
        <is>
          <t>Tobacco</t>
        </is>
      </c>
      <c r="E57" t="inlineStr">
        <is>
          <t>N/A</t>
        </is>
      </c>
      <c r="F57" t="inlineStr"/>
      <c r="G57" t="inlineStr"/>
      <c r="H57" t="inlineStr">
        <is>
          <t>0.82%</t>
        </is>
      </c>
      <c r="I57" t="inlineStr">
        <is>
          <t>0.82%</t>
        </is>
      </c>
    </row>
    <row r="58">
      <c r="A58" s="2" t="n">
        <v>45965</v>
      </c>
      <c r="B58" t="inlineStr">
        <is>
          <t>P20127</t>
        </is>
      </c>
      <c r="C58" t="inlineStr">
        <is>
          <t>GICS_INDUSTRY_GROUP_NAME</t>
        </is>
      </c>
      <c r="D58" t="inlineStr">
        <is>
          <t>Telecommunication Services</t>
        </is>
      </c>
      <c r="E58" t="inlineStr">
        <is>
          <t>N/A</t>
        </is>
      </c>
      <c r="F58" t="inlineStr"/>
      <c r="G58" t="inlineStr"/>
      <c r="H58" t="inlineStr">
        <is>
          <t>0.78%</t>
        </is>
      </c>
      <c r="I58" t="inlineStr">
        <is>
          <t>0.78%</t>
        </is>
      </c>
    </row>
    <row r="59">
      <c r="A59" s="2" t="n">
        <v>45965</v>
      </c>
      <c r="B59" t="inlineStr">
        <is>
          <t>P20127</t>
        </is>
      </c>
      <c r="C59" t="inlineStr">
        <is>
          <t>GICS_INDUSTRY_NAME</t>
        </is>
      </c>
      <c r="D59" t="inlineStr">
        <is>
          <t>Diversified Telecommunication Services</t>
        </is>
      </c>
      <c r="E59" t="inlineStr">
        <is>
          <t>N/A</t>
        </is>
      </c>
      <c r="F59" t="inlineStr"/>
      <c r="G59" t="inlineStr"/>
      <c r="H59" t="inlineStr">
        <is>
          <t>0.78%</t>
        </is>
      </c>
      <c r="I59" t="inlineStr">
        <is>
          <t>0.78%</t>
        </is>
      </c>
    </row>
    <row r="60">
      <c r="A60" s="2" t="n">
        <v>45965</v>
      </c>
      <c r="B60" t="inlineStr">
        <is>
          <t>P20127</t>
        </is>
      </c>
      <c r="C60" t="inlineStr">
        <is>
          <t>GICS_INDUSTRY_NAME</t>
        </is>
      </c>
      <c r="D60" t="inlineStr">
        <is>
          <t>Consumer Finance</t>
        </is>
      </c>
      <c r="E60" t="inlineStr">
        <is>
          <t>N/A</t>
        </is>
      </c>
      <c r="F60" t="inlineStr"/>
      <c r="G60" t="inlineStr"/>
      <c r="H60" t="inlineStr">
        <is>
          <t>0.61%</t>
        </is>
      </c>
      <c r="I60" t="inlineStr">
        <is>
          <t>0.51%</t>
        </is>
      </c>
    </row>
    <row r="61">
      <c r="A61" s="2" t="n">
        <v>45965</v>
      </c>
      <c r="B61" t="inlineStr">
        <is>
          <t>P20127</t>
        </is>
      </c>
      <c r="C61" t="inlineStr">
        <is>
          <t>GICS_INDUSTRY_GROUP_NAME</t>
        </is>
      </c>
      <c r="D61" t="inlineStr">
        <is>
          <t>Consumer Durables &amp; Apparel</t>
        </is>
      </c>
      <c r="E61" t="inlineStr">
        <is>
          <t>N/A</t>
        </is>
      </c>
      <c r="F61" t="inlineStr"/>
      <c r="G61" t="inlineStr"/>
      <c r="H61" t="inlineStr">
        <is>
          <t>0.51%</t>
        </is>
      </c>
      <c r="I61" t="inlineStr">
        <is>
          <t>0.51%</t>
        </is>
      </c>
    </row>
    <row r="62">
      <c r="A62" s="2" t="n">
        <v>45965</v>
      </c>
      <c r="B62" t="inlineStr">
        <is>
          <t>P20127</t>
        </is>
      </c>
      <c r="C62" t="inlineStr">
        <is>
          <t>GICS_INDUSTRY_NAME</t>
        </is>
      </c>
      <c r="D62" t="inlineStr">
        <is>
          <t>Textiles, Apparel &amp; Luxury Goods</t>
        </is>
      </c>
      <c r="E62" t="inlineStr">
        <is>
          <t>N/A</t>
        </is>
      </c>
      <c r="F62" t="inlineStr"/>
      <c r="G62" t="inlineStr"/>
      <c r="H62" t="inlineStr">
        <is>
          <t>0.51%</t>
        </is>
      </c>
      <c r="I62" t="inlineStr">
        <is>
          <t>0.51%</t>
        </is>
      </c>
    </row>
    <row r="63">
      <c r="A63" s="2" t="n">
        <v>45965</v>
      </c>
      <c r="B63" t="inlineStr">
        <is>
          <t>P20127</t>
        </is>
      </c>
      <c r="C63" t="inlineStr">
        <is>
          <t>GICS_INDUSTRY_NAME</t>
        </is>
      </c>
      <c r="D63" t="inlineStr">
        <is>
          <t>Air Freight &amp; Logistics</t>
        </is>
      </c>
      <c r="E63" t="inlineStr">
        <is>
          <t>N/A</t>
        </is>
      </c>
      <c r="F63" t="inlineStr"/>
      <c r="G63" t="inlineStr"/>
      <c r="H63" t="inlineStr">
        <is>
          <t>0.36%</t>
        </is>
      </c>
      <c r="I63" t="inlineStr">
        <is>
          <t>0.36%</t>
        </is>
      </c>
    </row>
    <row r="64">
      <c r="A64" s="2" t="n">
        <v>45965</v>
      </c>
      <c r="B64" t="inlineStr">
        <is>
          <t>P20127</t>
        </is>
      </c>
      <c r="C64" t="inlineStr">
        <is>
          <t>GICS_INDUSTRY_NAME</t>
        </is>
      </c>
      <c r="D64" t="inlineStr">
        <is>
          <t>Media</t>
        </is>
      </c>
      <c r="E64" t="inlineStr">
        <is>
          <t>N/A</t>
        </is>
      </c>
      <c r="F64" t="inlineStr"/>
      <c r="G64" t="inlineStr"/>
      <c r="H64" t="inlineStr">
        <is>
          <t>0.19%</t>
        </is>
      </c>
      <c r="I64" t="inlineStr">
        <is>
          <t>0.19%</t>
        </is>
      </c>
    </row>
    <row r="65">
      <c r="A65" s="2" t="n">
        <v>45965</v>
      </c>
      <c r="B65" t="inlineStr">
        <is>
          <t>P20127</t>
        </is>
      </c>
      <c r="C65" t="inlineStr">
        <is>
          <t>GICS_INDUSTRY_NAME</t>
        </is>
      </c>
      <c r="D65" t="inlineStr">
        <is>
          <t>Food Products</t>
        </is>
      </c>
      <c r="E65" t="inlineStr">
        <is>
          <t>N/A</t>
        </is>
      </c>
      <c r="F65" t="inlineStr"/>
      <c r="G65" t="inlineStr"/>
      <c r="H65" t="inlineStr">
        <is>
          <t>0.19%</t>
        </is>
      </c>
      <c r="I65" t="inlineStr">
        <is>
          <t>0.19%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50" customWidth="1" min="1" max="1"/>
    <col width="8" customWidth="1" min="2" max="2"/>
    <col width="31" customWidth="1" min="3" max="3"/>
    <col width="27" customWidth="1" min="4" max="4"/>
    <col width="41" customWidth="1" min="5" max="5"/>
    <col width="27" customWidth="1" min="6" max="6"/>
    <col width="20" customWidth="1" min="7" max="7"/>
    <col width="18" customWidth="1" min="8" max="8"/>
    <col width="20" customWidth="1" min="9" max="9"/>
    <col width="18" customWidth="1" min="10" max="10"/>
    <col width="19" customWidth="1" min="11" max="11"/>
    <col width="9" customWidth="1" min="12" max="12"/>
    <col width="28" customWidth="1" min="13" max="13"/>
    <col width="26" customWidth="1" min="14" max="14"/>
    <col width="14" customWidth="1" min="15" max="15"/>
    <col width="27" customWidth="1" min="16" max="16"/>
  </cols>
  <sheetData>
    <row r="1">
      <c r="A1" s="1" t="inlineStr">
        <is>
          <t>Date</t>
        </is>
      </c>
      <c r="B1" s="1" t="inlineStr">
        <is>
          <t>Fund</t>
        </is>
      </c>
      <c r="C1" s="1" t="inlineStr">
        <is>
          <t>Prospectus 80% Compliance</t>
        </is>
      </c>
      <c r="D1" s="1" t="inlineStr">
        <is>
          <t>Total Equity Market Value</t>
        </is>
      </c>
      <c r="E1" s="1" t="inlineStr">
        <is>
          <t>Total Option Delta Notional Value (DAN)</t>
        </is>
      </c>
      <c r="F1" s="1" t="inlineStr">
        <is>
          <t>Total Option Market Value</t>
        </is>
      </c>
      <c r="G1" s="1" t="inlineStr">
        <is>
          <t>Total T-Bill Value</t>
        </is>
      </c>
      <c r="H1" s="1" t="inlineStr">
        <is>
          <t>Total Cash Value</t>
        </is>
      </c>
      <c r="I1" s="1" t="inlineStr">
        <is>
          <t>Max(CCET - DAN, 0)</t>
        </is>
      </c>
      <c r="J1" s="1" t="inlineStr">
        <is>
          <t>Denominator</t>
        </is>
      </c>
      <c r="K1" s="1" t="inlineStr">
        <is>
          <t>Numerator</t>
        </is>
      </c>
      <c r="L1" s="1" t="inlineStr">
        <is>
          <t>Formula</t>
        </is>
      </c>
      <c r="M1" s="1" t="inlineStr">
        <is>
          <t>Denominator (Market Value)</t>
        </is>
      </c>
      <c r="N1" s="1" t="inlineStr">
        <is>
          <t>Numerator (Market Value)</t>
        </is>
      </c>
      <c r="O1" s="1" t="inlineStr">
        <is>
          <t>Formula (MV)</t>
        </is>
      </c>
      <c r="P1" s="1" t="inlineStr">
        <is>
          <t>Options in Scope for 80%?</t>
        </is>
      </c>
    </row>
    <row r="2">
      <c r="A2" s="2" t="n">
        <v>45965</v>
      </c>
      <c r="B2" t="inlineStr">
        <is>
          <t>P20127</t>
        </is>
      </c>
      <c r="C2" s="3">
        <f>IF(K2/J2&gt;=0.8,"PASS","FAIL")</f>
        <v/>
      </c>
      <c r="D2" s="3" t="n">
        <v>92234537.20000002</v>
      </c>
      <c r="E2" s="3" t="n">
        <v>3669218.962575002</v>
      </c>
      <c r="F2" s="3" t="n">
        <v>17165489.28</v>
      </c>
      <c r="G2" s="3" t="n">
        <v>0</v>
      </c>
      <c r="H2" s="3" t="n">
        <v>121115.388671875</v>
      </c>
      <c r="I2" s="3" t="n">
        <v>0</v>
      </c>
      <c r="J2" s="3" t="n">
        <v>96024871.5512469</v>
      </c>
      <c r="K2" s="3" t="n">
        <v>95903756.16257502</v>
      </c>
      <c r="L2" s="4">
        <f>K2/J2</f>
        <v/>
      </c>
      <c r="M2" s="3" t="n">
        <v>109521141.8686719</v>
      </c>
      <c r="N2" s="3" t="n">
        <v>109400026.48</v>
      </c>
      <c r="O2" s="4">
        <f>N2/M2</f>
        <v/>
      </c>
      <c r="P2" t="inlineStr">
        <is>
          <t>Yes</t>
        </is>
      </c>
    </row>
    <row r="3">
      <c r="A3" t="inlineStr">
        <is>
          <t>* Note: Some funds' 80% policies include the options positions while others only include equity exposure.</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 CCET = Cash, Cash Equivalents, and T-bills (less than 1-year maturity).</t>
        </is>
      </c>
      <c r="B4" t="inlineStr"/>
      <c r="C4" t="inlineStr"/>
      <c r="D4" t="inlineStr"/>
      <c r="E4" t="inlineStr"/>
      <c r="F4" t="inlineStr"/>
      <c r="G4" t="inlineStr"/>
      <c r="H4" t="inlineStr"/>
      <c r="I4" t="inlineStr"/>
      <c r="J4" t="inlineStr"/>
      <c r="K4" t="inlineStr"/>
      <c r="L4" t="inlineStr"/>
      <c r="M4" t="inlineStr"/>
      <c r="N4" t="inlineStr"/>
      <c r="O4" t="inlineStr"/>
      <c r="P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2"/>
  <sheetViews>
    <sheetView workbookViewId="0">
      <selection activeCell="A1" sqref="A1"/>
    </sheetView>
  </sheetViews>
  <sheetFormatPr baseColWidth="8" defaultRowHeight="15"/>
  <cols>
    <col width="50" customWidth="1" min="1" max="1"/>
    <col width="8" customWidth="1" min="2" max="2"/>
    <col width="19" customWidth="1" min="3" max="3"/>
    <col width="19" customWidth="1" min="4" max="4"/>
    <col width="26" customWidth="1" min="5" max="5"/>
    <col width="32" customWidth="1" min="6" max="6"/>
    <col width="30" customWidth="1" min="7" max="7"/>
    <col width="41" customWidth="1" min="8" max="8"/>
    <col width="48" customWidth="1" min="9" max="9"/>
    <col width="14" customWidth="1" min="10" max="10"/>
    <col width="30" customWidth="1" min="11" max="11"/>
    <col width="13" customWidth="1" min="12" max="12"/>
    <col width="10" customWidth="1" min="13" max="13"/>
    <col width="42" customWidth="1" min="14" max="14"/>
    <col width="50" customWidth="1" min="15" max="15"/>
    <col width="34" customWidth="1" min="16" max="16"/>
    <col width="42" customWidth="1" min="17" max="17"/>
    <col width="43" customWidth="1" min="18" max="18"/>
    <col width="50" customWidth="1" min="19" max="19"/>
    <col width="40" customWidth="1" min="20" max="20"/>
    <col width="18" customWidth="1" min="21" max="21"/>
    <col width="20" customWidth="1" min="22" max="22"/>
    <col width="7" customWidth="1" min="23" max="23"/>
  </cols>
  <sheetData>
    <row r="1">
      <c r="A1" s="1" t="inlineStr">
        <is>
          <t>Date</t>
        </is>
      </c>
      <c r="B1" s="1" t="inlineStr">
        <is>
          <t>Fund</t>
        </is>
      </c>
      <c r="C1" s="1" t="inlineStr">
        <is>
          <t>Fund Registration</t>
        </is>
      </c>
      <c r="D1" s="1" t="inlineStr">
        <is>
          <t>Fund Status Today</t>
        </is>
      </c>
      <c r="E1" s="1" t="inlineStr">
        <is>
          <t>Registration Match</t>
        </is>
      </c>
      <c r="F1" s="1" t="inlineStr">
        <is>
          <t>Condition 40 Act 1</t>
        </is>
      </c>
      <c r="G1" s="1" t="inlineStr">
        <is>
          <t>Condition 40 Act 2a</t>
        </is>
      </c>
      <c r="H1" s="1" t="inlineStr">
        <is>
          <t>Condition 40 Act 2b</t>
        </is>
      </c>
      <c r="I1" s="1" t="inlineStr">
        <is>
          <t>Condition 2a OCC</t>
        </is>
      </c>
      <c r="J1" s="1" t="inlineStr">
        <is>
          <t>Total Assets</t>
        </is>
      </c>
      <c r="K1" s="1" t="inlineStr">
        <is>
          <t>Non-Qualifying Assets Weight</t>
        </is>
      </c>
      <c r="L1" s="1" t="inlineStr">
        <is>
          <t>Net Assets</t>
        </is>
      </c>
      <c r="M1" s="1" t="inlineStr">
        <is>
          <t>Expenses</t>
        </is>
      </c>
      <c r="N1" s="1" t="inlineStr">
        <is>
          <t>Issuer Limited Assets (Condition 2a) Sum</t>
        </is>
      </c>
      <c r="O1" s="1" t="inlineStr">
        <is>
          <t>Issuer Limited Assets (Condition 2a) (Ticker, NAV Shares, Mkt Value)</t>
        </is>
      </c>
      <c r="P1" s="1" t="inlineStr">
        <is>
          <t>Excluded Securities (25% Bucket)</t>
        </is>
      </c>
      <c r="Q1" s="1" t="inlineStr">
        <is>
          <t>Cumulative Weight of Excluded Securities</t>
        </is>
      </c>
      <c r="R1" s="1" t="inlineStr">
        <is>
          <t>Cumulative Weight of Remaining Securities</t>
        </is>
      </c>
      <c r="S1" s="1" t="inlineStr">
        <is>
          <t>Remaining Securities (Ticker, NAV Shares, Vest Weight, Vest Ownership of Float)</t>
        </is>
      </c>
      <c r="T1" s="1" t="inlineStr">
        <is>
          <t>Max Ownership % of Float in 75% bucket</t>
        </is>
      </c>
      <c r="U1" s="1" t="inlineStr">
        <is>
          <t>OCC Market Value</t>
        </is>
      </c>
      <c r="V1" s="1" t="inlineStr">
        <is>
          <t>OCC Weight</t>
        </is>
      </c>
      <c r="W1" s="1" t="inlineStr">
        <is>
          <t>Notes</t>
        </is>
      </c>
    </row>
    <row r="2">
      <c r="A2" s="2" t="n">
        <v>45965</v>
      </c>
      <c r="B2" t="inlineStr">
        <is>
          <t>P20127</t>
        </is>
      </c>
      <c r="C2" t="inlineStr">
        <is>
          <t>diversified</t>
        </is>
      </c>
      <c r="D2" t="inlineStr">
        <is>
          <t>diversified</t>
        </is>
      </c>
      <c r="E2" s="3">
        <f>IF(C2=D2,"PASS","FAIL")</f>
        <v/>
      </c>
      <c r="F2" s="3">
        <f>IF(L2/J2&gt;=0.75,"PASS","FAIL")</f>
        <v/>
      </c>
      <c r="G2" s="3">
        <f>IF(O2="None","PASS","FAIL")</f>
        <v/>
      </c>
      <c r="H2" s="3">
        <f>IF(T2="","",IF(T2&lt;=0.1,"PASS","FAIL"))</f>
        <v/>
      </c>
      <c r="I2" s="3">
        <f>IF(U2=0,"PASS",IF(U2&lt;=0.05*L2,"PASS","FAIL"))</f>
        <v/>
      </c>
      <c r="J2" s="3" t="n">
        <v>100811416.78</v>
      </c>
      <c r="K2" s="5" t="n">
        <v>0</v>
      </c>
      <c r="L2" s="3" t="n">
        <v>92751299.73999999</v>
      </c>
      <c r="M2" s="3" t="n">
        <v>6776.51</v>
      </c>
      <c r="N2" s="3" t="n">
        <v>0</v>
      </c>
      <c r="O2" t="inlineStr">
        <is>
          <t>None</t>
        </is>
      </c>
      <c r="P2" t="inlineStr">
        <is>
          <t>NVDA, AAPL, MSFT</t>
        </is>
      </c>
      <c r="Q2" s="5" t="n">
        <v>0.2330859879117852</v>
      </c>
      <c r="R2" s="5" t="n">
        <v>0.7669140120882149</v>
      </c>
      <c r="S2" t="inlineStr">
        <is>
          <t>(GOOGLE, 17,801, 4.90%, 0.0001586%), (AMZN, 16,647, 4.09%, 0.0001557%), (AVGO, 10,991, 3.83%, 0.0002327%), (META, 3,660, 2.27%, 0.0001681%), (TSLA, 4,898, 2.15%, 0.0001473%), (JPM, 6,521, 2.00%, 0.0002395%), (CSCO, 25,855, 1.85%, 0.0006540%), (V, 4,855, 1.64%, 0.0002858%), (LIN, 3,658, 1.52%, 0.0007834%), (XOM, 13,052, 1.48%, 0.0003095%), (WMT, 14,384, 1.45%, 0.0001804%), (CB, 4,953, 1.40%, 0.0012585%), (AMT, 7,421, 1.33%, 0.0015852%), (MA, 2,303, 1.26%, 0.0002584%), (GE, 3,819, 1.15%, 0.0003621%), (UNH, 3,406, 1.12%, 0.0003760%), (JNJ, 5,595, 1.04%, 0.0002322%), (NEE, 11,785, 0.95%, 0.0005659%), (AMD, 3,819, 0.94%, 0.0002346%), (CAT, 1,704, 0.92%, 0.0003641%), (WM, 4,588, 0.91%, 0.0011388%), (ABBV, 4,107, 0.88%, 0.0002324%), (RTX, 4,696, 0.82%, 0.0003502%), (BAC, 15,462, 0.82%, 0.0002117%), (ABT, 6,419, 0.80%, 0.0003691%), (NFLX, 718, 0.78%, 0.0001694%), (CVX, 4,963, 0.75%, 0.0002483%), (PG, 4,942, 0.72%, 0.0002115%), (IBM, 2,358, 0.70%, 0.0002523%), (ISRG, 1,318, 0.70%, 0.0003718%), (MCD, 2,335, 0.69%, 0.0003279%), (GS, 882, 0.69%, 0.0002941%), (HD, 1,767, 0.67%, 0.0001775%), (WFC, 7,712, 0.66%, 0.0002457%), (CRM, 2,438, 0.61%, 0.0002561%), (KO, 8,935, 0.61%, 0.0002077%), (MET, 7,685, 0.61%, 0.0011556%), (SO, 6,279, 0.58%, 0.0005531%), (MS, 3,485, 0.57%, 0.0002193%), (AXP, 1,564, 0.56%, 0.0002270%), (DUK, 4,427, 0.54%, 0.0005697%), (BKNG, 108, 0.53%, 0.0003351%), (UBER, 5,681, 0.53%, 0.0002734%), (PM, 3,583, 0.52%, 0.0002302%), (ETN, 1,394, 0.52%, 0.0003589%), (BA, 2,638, 0.52%, 0.0003471%), (TMO, 889, 0.50%, 0.0002366%), (MRK, 5,879, 0.49%, 0.0002354%), (INTU, 715, 0.47%, 0.0002565%), (NKE, 7,634, 0.46%, 0.0006419%), (NOW, 525, 0.46%, 0.0002524%), (PEP, 3,162, 0.45%, 0.0002313%), (HON, 2,294, 0.45%, 0.0003613%), (QCOM, 2,614, 0.45%, 0.0002423%), (AMAT, 1,940, 0.44%, 0.0002435%), (C, 4,381, 0.44%, 0.0002380%), (BLK, 409, 0.43%, 0.0002641%), (MDT, 4,746, 0.43%, 0.0003700%), (DE, 898, 0.42%, 0.0003322%), (SCHW, 4,200, 0.39%, 0.0002314%), (ACN, 1,593, 0.38%, 0.0002558%), (ADBE, 1,122, 0.37%, 0.0002680%), (INTC, 10,150, 0.37%, 0.0002182%), (T, 15,216, 0.37%, 0.0009912%), (AMGN, 1,249, 0.37%, 0.0002319%), (SPGI, 738, 0.36%, 0.0002381%), (CVS, 4,657, 0.36%, 0.0003669%), (UNP, 1,636, 0.36%, 0.0002758%), (LMT, 744, 0.36%, 0.0003215%), (GILD, 2,896, 0.35%, 0.0002332%), (VZ, 8,927, 0.35%, 0.0002117%), (TXN, 2,147, 0.34%, 0.0002363%), (DIS, 3,040, 0.34%, 0.0001691%), (COP, 3,841, 0.33%, 0.0003075%), (PFE, 13,170, 0.32%, 0.0002316%), (DHR, 1,494, 0.32%, 0.0002115%), (MMM, 1,921, 0.31%, 0.0003616%), (SBUX, 3,694, 0.29%, 0.0003250%), (TJX, 2,006, 0.28%, 0.0001802%), (EMR, 2,012, 0.27%, 0.0003575%), (ELV, 858, 0.27%, 0.0003861%), (LOW, 1,009, 0.24%, 0.0001799%), (MO, 3,906, 0.22%, 0.0002327%), (BMY, 4,713, 0.21%, 0.0002315%), (UPS, 1,973, 0.18%, 0.0002681%), (CMCSA, 6,409, 0.17%, 0.0001763%), (MDLZ, 3,082, 0.17%, 0.0002388%), (USB, 3,613, 0.17%, 0.0002324%), (PYPL, 2,329, 0.15%, 0.0002489%), (FDX, 606, 0.15%, 0.0002568%), (TGT, 1,527, 0.14%, 0.0003360%), (CL, 1,714, 0.13%, 0.0002126%), (SOLS, 582, 0.03%, 0.0003667%), (LLY, 0, 0.00%, 0.0000000%), (PLTR, 0, 0.00%, 0.0000000%), (ORCL, 0, 0.00%, 0.0000000%), (COST, 0, 0.00%, 0.0000000%), (BRK/B, 0, 0.00%, 0.0000000%), (nan, 0, -0.00%, 0.0000000%), (nan, 0, -0.01%, 0.0000000%)</t>
        </is>
      </c>
      <c r="T2" s="5" t="n">
        <v>1.585187204179204e-05</v>
      </c>
      <c r="U2" s="3" t="n">
        <v>17165489.28</v>
      </c>
      <c r="V2" s="5" t="n">
        <v>0.1702732669401931</v>
      </c>
      <c r="W2" t="inlineStr"/>
    </row>
    <row r="3">
      <c r="A3" t="inlineStr">
        <is>
          <t>* To be classified as a diversified company under the 1940 Act, at least 75% of the value of the fund's total assets must be invested in:</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 1) cash and cash items (including receivables),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 2) government securities,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 3) securities of other investment companies, and</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 4) other securities</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 xml:space="preserve">* </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 Compliance Conditions:</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 Condition 40 Act 1: 75% of the fund must be invested in diversified assets.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 Condition 40 Act 2a: No single issuer in the 75% can exceed 5% of total assets.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 Condition 40 Act 2b: No single issuer in the 75% can exceed 10% of the issuer's voting securities.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50" customWidth="1" min="1" max="1"/>
    <col width="8" customWidth="1" min="2" max="2"/>
    <col width="17" customWidth="1" min="3" max="3"/>
    <col width="31" customWidth="1" min="4" max="4"/>
    <col width="28" customWidth="1" min="5" max="5"/>
    <col width="22" customWidth="1" min="6" max="6"/>
    <col width="19" customWidth="1" min="7" max="7"/>
    <col width="14" customWidth="1" min="8" max="8"/>
    <col width="25" customWidth="1" min="9" max="9"/>
    <col width="10" customWidth="1" min="10" max="10"/>
    <col width="23" customWidth="1" min="11" max="11"/>
    <col width="30" customWidth="1" min="12" max="12"/>
    <col width="24" customWidth="1" min="13" max="13"/>
    <col width="50" customWidth="1" min="14" max="14"/>
    <col width="21" customWidth="1" min="15" max="15"/>
    <col width="50" customWidth="1" min="16" max="16"/>
    <col width="27" customWidth="1" min="17" max="17"/>
    <col width="34" customWidth="1" min="18" max="18"/>
  </cols>
  <sheetData>
    <row r="1">
      <c r="A1" s="1" t="inlineStr">
        <is>
          <t>Date</t>
        </is>
      </c>
      <c r="B1" s="1" t="inlineStr">
        <is>
          <t>Fund</t>
        </is>
      </c>
      <c r="C1" s="1" t="inlineStr">
        <is>
          <t>condition_IRS_1</t>
        </is>
      </c>
      <c r="D1" s="1" t="inlineStr">
        <is>
          <t>condition_IRS_2_a_50</t>
        </is>
      </c>
      <c r="E1" s="1" t="inlineStr">
        <is>
          <t>condition_IRS_2_a_5</t>
        </is>
      </c>
      <c r="F1" s="1" t="inlineStr">
        <is>
          <t>condition_IRS_2_a_10</t>
        </is>
      </c>
      <c r="G1" s="1" t="inlineStr">
        <is>
          <t>condition_IRS_2_b</t>
        </is>
      </c>
      <c r="H1" s="1" t="inlineStr">
        <is>
          <t>total_assets</t>
        </is>
      </c>
      <c r="I1" s="1" t="inlineStr">
        <is>
          <t>qualifying_assets_value</t>
        </is>
      </c>
      <c r="J1" s="1" t="inlineStr">
        <is>
          <t>expenses</t>
        </is>
      </c>
      <c r="K1" s="1" t="inlineStr">
        <is>
          <t>five_pct_gross_assets</t>
        </is>
      </c>
      <c r="L1" s="1" t="inlineStr">
        <is>
          <t>sum_large_securities_weights</t>
        </is>
      </c>
      <c r="M1" s="1" t="inlineStr">
        <is>
          <t>large_securities_count</t>
        </is>
      </c>
      <c r="N1" s="1" t="inlineStr">
        <is>
          <t>large_securities</t>
        </is>
      </c>
      <c r="O1" s="1" t="inlineStr">
        <is>
          <t>overlap_weight</t>
        </is>
      </c>
      <c r="P1" s="1" t="inlineStr">
        <is>
          <t>overlap_constituents</t>
        </is>
      </c>
      <c r="Q1" s="1" t="inlineStr">
        <is>
          <t>bottom_50_largest_holding</t>
        </is>
      </c>
      <c r="R1" s="1" t="inlineStr">
        <is>
          <t>bottom_50_second_largest_holding</t>
        </is>
      </c>
    </row>
    <row r="2">
      <c r="A2" s="2" t="n">
        <v>45965</v>
      </c>
      <c r="B2" t="inlineStr">
        <is>
          <t>P20127</t>
        </is>
      </c>
      <c r="C2" t="inlineStr">
        <is>
          <t>PASS</t>
        </is>
      </c>
      <c r="D2" s="3">
        <f>IF(I2/H2&gt;=0.5,"PASS","FAIL")</f>
        <v/>
      </c>
      <c r="E2" s="3">
        <f>IF(L2&lt;=0.5,"PASS","FAIL")</f>
        <v/>
      </c>
      <c r="F2" t="inlineStr">
        <is>
          <t>PASS</t>
        </is>
      </c>
      <c r="G2" t="inlineStr">
        <is>
          <t>PASS</t>
        </is>
      </c>
      <c r="H2" s="3" t="n">
        <v>100811416.78</v>
      </c>
      <c r="I2" s="3" t="n">
        <v>98451919.21816</v>
      </c>
      <c r="J2" s="3" t="n">
        <v>6776.51</v>
      </c>
      <c r="K2" s="5" t="n">
        <v>5040570.839000001</v>
      </c>
      <c r="L2" s="5" t="n">
        <v>0.3097446853509721</v>
      </c>
      <c r="M2" s="3" t="n">
        <v>4</v>
      </c>
      <c r="N2" t="inlineStr">
        <is>
          <t>(NVDA, 9.72%), (AAPL, 8.10%), (MSFT, 7.61%), (GOOGLE, 5.55%)</t>
        </is>
      </c>
      <c r="O2" s="5" t="n">
        <v>0.06167339193067931</v>
      </c>
      <c r="P2" t="inlineStr">
        <is>
          <t>AAPL: 6.83%, ABBV: 0.64%, ABT: 0.37%, ACN: 0.26%, ADBE: 0.24%, AMAT: 0.33%, AMD: 0.72%, AMGN: 0.27%, AMT: 0.14%, AMZN: 4.22%, AVGO: 2.92%, AXP: 0.34%, BA: 0.26%, BAC: 0.62%, BKNG: 0.28%, BLK: 0.26%, BMY: 0.16%, BRK/B: 1.49%, C: 0.32%, CAT: 0.46%, CB: 0.18%, CL: 0.10%, CMCSA: 0.17%, COP: 0.19%, COST: 0.70%, CRM: 0.43%, CSCO: 0.50%, CVS: 0.17%, CVX: 0.51%, DE: 0.20%, DHR: 0.23%, DIS: 0.34%, DUK: 0.16%, ELV: 0.12%, EMR: 0.13%, ETN: 0.26%, FDX: 0.09%, GE: 0.56%, GILD: 0.26%, GOOG: 2.27%, GS: 0.41%, HD: 0.64%, HON: 0.21%, IBM: 0.49%, INTC: 0.30%, INTU: 0.32%, ISRG: 0.33%, JNJ: 0.77%, JPM: 1.45%, KO: 0.45%, LIN: 0.33%, LLY: 1.22%, LMT: 0.17%, LOW: 0.23%, MA: 0.77%, MCD: 0.36%, MDLZ: 0.13%, MDT: 0.20%, MET: 0.08%, META: 2.37%, MMM: 0.15%, MO: 0.16%, MRK: 0.35%, MS: 0.34%, MSFT: 6.57%, NEE: 0.29%, NFLX: 0.80%, NKE: 0.13%, NOW: 0.33%, NVDA: 8.63%, ORCL: 0.73%, PEP: 0.34%, PFE: 0.24%, PG: 0.59%, PLTR: 0.81%, PM: 0.38%, PYPL: 0.11%, QCOM: 0.33%, RTX: 0.41%, SBUX: 0.16%, SCHW: 0.27%, SO: 0.18%, SOLS: 0.01%, SPGI: 0.27%, T: 0.30%, TGT: 0.07%, TJX: 0.27%, TMO: 0.36%, TSLA: 2.25%, TXN: 0.25%, UBER: 0.36%, UNH: 0.52%, UNP: 0.22%, UPS: 0.12%, USB: 0.12%, V: 0.98%, VZ: 0.28%, WFC: 0.48%, WM: 0.12%, WMT: 0.76%, XOM: 0.83%</t>
        </is>
      </c>
      <c r="Q2" t="inlineStr">
        <is>
          <t>V (1.87%)</t>
        </is>
      </c>
      <c r="R2" t="inlineStr">
        <is>
          <t>XOM (1.68%)</t>
        </is>
      </c>
    </row>
    <row r="3">
      <c r="A3" t="inlineStr">
        <is>
          <t>* IRS Condition 1: 90% of income must come from qualifying sources.</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 IRS Condition 2a: At least 50% of assets must be allocated to qualifying securities.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 IRS Condition 2a5: for 50% of portfolio, no issuer is more than 5% of fund assets.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 IRS Condition 2a10: for 50% of portfolio, fund doesn't hold more than 10% of any issuer's outstanding float.</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 IRS Condition 2b: No single issuer may constitute more than 25% of assets.</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50" customWidth="1" min="1" max="1"/>
    <col width="8" customWidth="1" min="2" max="2"/>
    <col width="14" customWidth="1" min="3" max="3"/>
    <col width="22" customWidth="1" min="4" max="4"/>
    <col width="21" customWidth="1" min="5" max="5"/>
    <col width="28" customWidth="1" min="6" max="6"/>
    <col width="29" customWidth="1" min="7" max="7"/>
    <col width="32" customWidth="1" min="8" max="8"/>
  </cols>
  <sheetData>
    <row r="1">
      <c r="A1" s="1" t="inlineStr">
        <is>
          <t>Date</t>
        </is>
      </c>
      <c r="B1" s="1" t="inlineStr">
        <is>
          <t>Fund</t>
        </is>
      </c>
      <c r="C1" s="1" t="inlineStr">
        <is>
          <t>Total Assets</t>
        </is>
      </c>
      <c r="D1" s="1" t="inlineStr">
        <is>
          <t>Total Illiquid Value</t>
        </is>
      </c>
      <c r="E1" s="1" t="inlineStr">
        <is>
          <t>Illiquid Percentage</t>
        </is>
      </c>
      <c r="F1" s="1" t="inlineStr">
        <is>
          <t>Equity Holdings Percentage</t>
        </is>
      </c>
      <c r="G1" s="1" t="inlineStr">
        <is>
          <t>Max 15% Illiquid Compliance</t>
        </is>
      </c>
      <c r="H1" s="1" t="inlineStr">
        <is>
          <t>Equity Holdings 85% Compliance</t>
        </is>
      </c>
    </row>
    <row r="2">
      <c r="A2" s="2" t="n">
        <v>45965</v>
      </c>
      <c r="B2" t="inlineStr">
        <is>
          <t>P20127</t>
        </is>
      </c>
      <c r="C2" s="3" t="n">
        <v>100811416.78</v>
      </c>
      <c r="D2" s="3" t="n">
        <v>0</v>
      </c>
      <c r="E2" s="5" t="n">
        <v>0</v>
      </c>
      <c r="F2" s="5" t="n">
        <v>0.9149215450595517</v>
      </c>
      <c r="G2" s="3">
        <f>IF(E2&lt;=0.15,"PASS","FAIL")</f>
        <v/>
      </c>
      <c r="H2" s="3">
        <f>IF(F2&gt;=0.85,"PASS","FAIL")</f>
        <v/>
      </c>
    </row>
    <row r="3">
      <c r="A3" t="inlineStr">
        <is>
          <t>* We search for tags in Bloomberg for any illiquid or restricted securities.</t>
        </is>
      </c>
      <c r="B3" t="inlineStr"/>
      <c r="C3" t="inlineStr"/>
      <c r="D3" t="inlineStr"/>
      <c r="E3" t="inlineStr"/>
      <c r="F3" t="inlineStr"/>
      <c r="G3" t="inlineStr"/>
      <c r="H3" t="inlineStr"/>
    </row>
    <row r="4">
      <c r="A4" t="inlineStr">
        <is>
          <t>* If none, it reports 'None'.</t>
        </is>
      </c>
      <c r="B4" t="inlineStr"/>
      <c r="C4" t="inlineStr"/>
      <c r="D4" t="inlineStr"/>
      <c r="E4" t="inlineStr"/>
      <c r="F4" t="inlineStr"/>
      <c r="G4" t="inlineStr"/>
      <c r="H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50" customWidth="1" min="1" max="1"/>
    <col width="8" customWidth="1" min="2" max="2"/>
    <col width="22" customWidth="1" min="3" max="3"/>
    <col width="19" customWidth="1" min="4" max="4"/>
  </cols>
  <sheetData>
    <row r="1">
      <c r="A1" s="1" t="inlineStr">
        <is>
          <t>Date</t>
        </is>
      </c>
      <c r="B1" s="1" t="inlineStr">
        <is>
          <t>Fund</t>
        </is>
      </c>
      <c r="C1" s="1" t="inlineStr">
        <is>
          <t>Real Estate Exposure</t>
        </is>
      </c>
      <c r="D1" s="1" t="inlineStr">
        <is>
          <t>Total Exposure</t>
        </is>
      </c>
    </row>
    <row r="2">
      <c r="A2" s="2" t="n">
        <v>45965</v>
      </c>
      <c r="B2" t="inlineStr">
        <is>
          <t>P20127</t>
        </is>
      </c>
      <c r="C2" s="3" t="n">
        <v>0.01451058779747419</v>
      </c>
      <c r="D2" s="3" t="n">
        <v>92234537.20000002</v>
      </c>
    </row>
    <row r="3">
      <c r="A3" t="inlineStr">
        <is>
          <t>* We search for tags in Bloomberg for any fund holdings categorized as real estate.</t>
        </is>
      </c>
      <c r="B3" t="inlineStr"/>
      <c r="C3" t="inlineStr"/>
      <c r="D3" t="inlineStr"/>
    </row>
    <row r="4">
      <c r="A4" t="inlineStr">
        <is>
          <t>* If none, it reports 'None'.</t>
        </is>
      </c>
      <c r="B4" t="inlineStr"/>
      <c r="C4" t="inlineStr"/>
      <c r="D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0" customWidth="1" min="1" max="1"/>
    <col width="8" customWidth="1" min="2" max="2"/>
    <col width="22" customWidth="1" min="3" max="3"/>
  </cols>
  <sheetData>
    <row r="1">
      <c r="A1" s="1" t="inlineStr">
        <is>
          <t>Date</t>
        </is>
      </c>
      <c r="B1" s="1" t="inlineStr">
        <is>
          <t>Fund</t>
        </is>
      </c>
      <c r="C1" s="1" t="inlineStr">
        <is>
          <t>Commodities Exposure</t>
        </is>
      </c>
    </row>
    <row r="2">
      <c r="A2" s="2" t="n">
        <v>45965</v>
      </c>
      <c r="B2" t="inlineStr">
        <is>
          <t>P20127</t>
        </is>
      </c>
      <c r="C2" s="3" t="n">
        <v>0</v>
      </c>
    </row>
    <row r="3">
      <c r="A3" t="inlineStr">
        <is>
          <t>* We search for tags in Bloomberg for any fund holdings categorized as commodities.</t>
        </is>
      </c>
      <c r="B3" t="inlineStr"/>
      <c r="C3" t="inlineStr"/>
    </row>
    <row r="4">
      <c r="A4" t="inlineStr">
        <is>
          <t>* If none, it reports 'None'.</t>
        </is>
      </c>
      <c r="B4" t="inlineStr"/>
      <c r="C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50" customWidth="1" min="1" max="1"/>
    <col width="8" customWidth="1" min="2" max="2"/>
    <col width="14" customWidth="1" min="3" max="3"/>
    <col width="22" customWidth="1" min="4" max="4"/>
    <col width="17" customWidth="1" min="5" max="5"/>
    <col width="25" customWidth="1" min="6" max="6"/>
    <col width="29" customWidth="1" min="7" max="7"/>
    <col width="32" customWidth="1" min="8" max="8"/>
    <col width="32" customWidth="1" min="9" max="9"/>
    <col width="50" customWidth="1" min="10" max="10"/>
  </cols>
  <sheetData>
    <row r="1">
      <c r="A1" s="1" t="inlineStr">
        <is>
          <t>Date</t>
        </is>
      </c>
      <c r="B1" s="1" t="inlineStr">
        <is>
          <t>Fund</t>
        </is>
      </c>
      <c r="C1" s="1" t="inlineStr">
        <is>
          <t>Total Assets</t>
        </is>
      </c>
      <c r="D1" s="1" t="inlineStr">
        <is>
          <t>Investment Companies</t>
        </is>
      </c>
      <c r="E1" s="1" t="inlineStr">
        <is>
          <t>Ownership % Max</t>
        </is>
      </c>
      <c r="F1" s="1" t="inlineStr">
        <is>
          <t>Equity Market Value Sum</t>
        </is>
      </c>
      <c r="G1" s="1" t="inlineStr">
        <is>
          <t>Test 1 (&lt;=3% Ownership)</t>
        </is>
      </c>
      <c r="H1" s="1" t="inlineStr">
        <is>
          <t>Test 2 (&lt;=5% Total Assets)</t>
        </is>
      </c>
      <c r="I1" s="1" t="inlineStr">
        <is>
          <t>Test 3 (&lt;=10% Total Assets)</t>
        </is>
      </c>
      <c r="J1" s="1" t="inlineStr">
        <is>
          <t>12d1(a) Compliant</t>
        </is>
      </c>
    </row>
    <row r="2">
      <c r="A2" s="2" t="n">
        <v>45965</v>
      </c>
      <c r="B2" t="inlineStr">
        <is>
          <t>P20127</t>
        </is>
      </c>
      <c r="C2" s="3" t="n">
        <v>100811416.78</v>
      </c>
      <c r="D2" t="inlineStr">
        <is>
          <t>None</t>
        </is>
      </c>
      <c r="E2" s="5" t="n">
        <v>0</v>
      </c>
      <c r="F2" s="3" t="n">
        <v>0</v>
      </c>
      <c r="G2" s="5">
        <f>IF(E2&lt;=0.03,"PASS","FAIL")</f>
        <v/>
      </c>
      <c r="H2" s="3">
        <f>IF(F2/C2&lt;=0.05,"PASS","FAIL")</f>
        <v/>
      </c>
      <c r="I2" s="3">
        <f>IF(F2/C2&lt;=0.10,"PASS","FAIL")</f>
        <v/>
      </c>
      <c r="J2" s="3">
        <f>IF(AND(G2="PASS",H2="PASS",I2="PASS"),"PASS","FAIL")</f>
        <v/>
      </c>
    </row>
    <row r="3">
      <c r="A3" t="inlineStr">
        <is>
          <t>* The Fund will not purchase or otherwise acquire: (i) more than 3% of the total outstanding voting stock of the acquired company; (ii) securities issued by the acquired company having an aggregate value in excess of 5% of the value of the total assets of the acquiring company; or (iii) securities issued by the acquired company and all other investment companies (other than treasury stock of the acquiring company) having an aggregate value in excess of 10% of the value of the total assets of the acquiring company.</t>
        </is>
      </c>
      <c r="B3" t="inlineStr"/>
      <c r="C3" t="inlineStr"/>
      <c r="D3" t="inlineStr"/>
      <c r="E3" t="inlineStr"/>
      <c r="F3" t="inlineStr"/>
      <c r="G3" t="inlineStr"/>
      <c r="H3" t="inlineStr"/>
      <c r="I3" t="inlineStr"/>
      <c r="J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50" customWidth="1" min="1" max="1"/>
    <col width="8" customWidth="1" min="2" max="2"/>
    <col width="11" customWidth="1" min="3" max="3"/>
    <col width="14" customWidth="1" min="4" max="4"/>
    <col width="31" customWidth="1" min="5" max="5"/>
  </cols>
  <sheetData>
    <row r="1">
      <c r="A1" s="1" t="inlineStr">
        <is>
          <t>Date</t>
        </is>
      </c>
      <c r="B1" s="1" t="inlineStr">
        <is>
          <t>Fund</t>
        </is>
      </c>
      <c r="C1" s="1" t="inlineStr">
        <is>
          <t>Compliant</t>
        </is>
      </c>
      <c r="D1" s="1" t="inlineStr">
        <is>
          <t>Total Assets</t>
        </is>
      </c>
      <c r="E1" s="1" t="inlineStr">
        <is>
          <t>Insurance Holdings</t>
        </is>
      </c>
    </row>
    <row r="2">
      <c r="A2" s="2" t="n">
        <v>45965</v>
      </c>
      <c r="B2" t="inlineStr">
        <is>
          <t>P20127</t>
        </is>
      </c>
      <c r="C2" t="inlineStr">
        <is>
          <t>PASS</t>
        </is>
      </c>
      <c r="D2" s="3" t="n">
        <v>100811416.78</v>
      </c>
      <c r="E2" t="inlineStr">
        <is>
          <t>CB (0.00126%), MET (0.00116%)</t>
        </is>
      </c>
    </row>
    <row r="3">
      <c r="A3" t="inlineStr">
        <is>
          <t>* The Fund may not own more than 10% of the total outstanding voting stock of an insurance company.</t>
        </is>
      </c>
      <c r="B3" t="inlineStr"/>
      <c r="C3" t="inlineStr"/>
      <c r="D3" t="inlineStr"/>
      <c r="E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50" customWidth="1" min="1" max="1"/>
    <col width="8" customWidth="1" min="2" max="2"/>
    <col width="29" customWidth="1" min="3" max="3"/>
    <col width="21" customWidth="1" min="4" max="4"/>
    <col width="29" customWidth="1" min="5" max="5"/>
    <col width="50" customWidth="1" min="6" max="6"/>
    <col width="50" customWidth="1" min="7" max="7"/>
    <col width="50" customWidth="1" min="8" max="8"/>
    <col width="14" customWidth="1" min="9" max="9"/>
    <col width="24" customWidth="1" min="10" max="10"/>
    <col width="22" customWidth="1" min="11" max="11"/>
  </cols>
  <sheetData>
    <row r="1">
      <c r="A1" s="1" t="inlineStr">
        <is>
          <t>Date</t>
        </is>
      </c>
      <c r="B1" s="1" t="inlineStr">
        <is>
          <t>Fund</t>
        </is>
      </c>
      <c r="C1" s="1" t="inlineStr">
        <is>
          <t>Rule 1 (&lt;=5% equities)</t>
        </is>
      </c>
      <c r="D1" s="1" t="inlineStr">
        <is>
          <t>Rule 2 (&lt;=10% debt)</t>
        </is>
      </c>
      <c r="E1" s="1" t="inlineStr">
        <is>
          <t>Rule 3 (&lt;=5% total assets)</t>
        </is>
      </c>
      <c r="F1" s="1" t="inlineStr">
        <is>
          <t>12d3 Sec Biz Compliant</t>
        </is>
      </c>
      <c r="G1" s="1" t="inlineStr">
        <is>
          <t>SEC-Related Businesses (Shs Out %)</t>
        </is>
      </c>
      <c r="H1" s="1" t="inlineStr">
        <is>
          <t>Combined Holdings (Portfolio %)</t>
        </is>
      </c>
      <c r="I1" s="1" t="inlineStr">
        <is>
          <t>Total Assets</t>
        </is>
      </c>
      <c r="J1" s="1" t="inlineStr">
        <is>
          <t>Max Ownership %</t>
        </is>
      </c>
      <c r="K1" s="1" t="inlineStr">
        <is>
          <t>Max Weight</t>
        </is>
      </c>
    </row>
    <row r="2">
      <c r="A2" s="2" t="n">
        <v>45965</v>
      </c>
      <c r="B2" t="inlineStr">
        <is>
          <t>P20127</t>
        </is>
      </c>
      <c r="C2" s="3">
        <f>IF(K2&lt;=0.05,"PASS","FAIL")</f>
        <v/>
      </c>
      <c r="D2" t="inlineStr">
        <is>
          <t>PASS</t>
        </is>
      </c>
      <c r="E2" s="3">
        <f>IF(L2&lt;=0.05,"PASS","FAIL")</f>
        <v/>
      </c>
      <c r="F2" s="3">
        <f>IF(AND(C2="PASS",D2="PASS",E2="PASS",F2="PASS"),"PASS","FAIL")</f>
        <v/>
      </c>
      <c r="G2" t="inlineStr">
        <is>
          <t>BAC (0.00021%), BLK (0.00026%), C (0.00024%), GS (0.00029%), JPM (0.00024%), MS (0.00022%), SCHW (0.00023%), SPGI (0.00024%), USB (0.00023%), WFC (0.00025%)</t>
        </is>
      </c>
      <c r="H2" t="inlineStr">
        <is>
          <t>BAC (0.82%), BLK (0.43%), C (0.44%), GS (0.69%), JPM (2.00%), MS (0.57%), SCHW (0.39%), SPGI (0.36%), USB (0.17%), WFC (0.66%)</t>
        </is>
      </c>
      <c r="I2" s="3" t="n">
        <v>100811416.78</v>
      </c>
      <c r="J2" s="5" t="n">
        <v>2.940700867039978e-06</v>
      </c>
      <c r="K2" s="5" t="n">
        <v>0.01996995295079911</v>
      </c>
    </row>
    <row r="3">
      <c r="A3" t="inlineStr">
        <is>
          <t>* Notwithstanding section 12(d)(3) of the Act, an acquiring company may acquire any security issued by a person that, in its most recent fiscal year, derived more than 15 percent of its gross revenues from securities related activities, provided that: (1) Immediately after the acquisition of any equity security, the acquiring company owns not more than 5% of the outstanding securities of that class of the issuer's equity securities; (2) Immediately after the acquisition of any debt security, the acquiring company owns not more than 10% of the outstanding principal amount of the issuer's debt securities; and (3) Immediately after any such acquisition, the acquiring company has invested not more than 5% of the value of its total assets in the securities of the issuer.</t>
        </is>
      </c>
      <c r="B3" t="inlineStr"/>
      <c r="C3" t="inlineStr"/>
      <c r="D3" t="inlineStr"/>
      <c r="E3" t="inlineStr"/>
      <c r="F3" t="inlineStr"/>
      <c r="G3" t="inlineStr"/>
      <c r="H3" t="inlineStr"/>
      <c r="I3" t="inlineStr"/>
      <c r="J3" t="inlineStr"/>
      <c r="K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2025-11-06T12:25:51Z</dcterms:created>
  <dcterms:modified xmlns:dcterms="http://purl.org/dc/terms/" xmlns:xsi="http://www.w3.org/2001/XMLSchema-instance" xsi:type="dcterms:W3CDTF">2025-11-06T12:25:51Z</dcterms:modified>
</cp:coreProperties>
</file>