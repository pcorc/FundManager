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Act_Diversification" sheetId="1" state="visible" r:id="rId1"/>
    <sheet xmlns:r="http://schemas.openxmlformats.org/officeDocument/2006/relationships" name="IRS_Diver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9" customWidth="1" min="3" max="3"/>
    <col width="32" customWidth="1" min="4" max="4"/>
    <col width="25" customWidth="1" min="5" max="5"/>
    <col width="41" customWidth="1" min="6" max="6"/>
    <col width="48" customWidth="1" min="7" max="7"/>
    <col width="14" customWidth="1" min="8" max="8"/>
    <col width="30" customWidth="1" min="9" max="9"/>
    <col width="13" customWidth="1" min="10" max="10"/>
    <col width="10" customWidth="1" min="11" max="11"/>
    <col width="42" customWidth="1" min="12" max="12"/>
    <col width="50" customWidth="1" min="13" max="13"/>
    <col width="50" customWidth="1" min="14" max="14"/>
    <col width="42" customWidth="1" min="15" max="15"/>
    <col width="43" customWidth="1" min="16" max="16"/>
    <col width="50" customWidth="1" min="17" max="17"/>
    <col width="40" customWidth="1" min="18" max="18"/>
    <col width="18" customWidth="1" min="19" max="19"/>
    <col width="20" customWidth="1" min="20" max="20"/>
    <col width="7" customWidth="1" min="21" max="21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Fund Registration</t>
        </is>
      </c>
      <c r="D1" s="1" t="inlineStr">
        <is>
          <t>Condition 40 Act 1</t>
        </is>
      </c>
      <c r="E1" s="1" t="inlineStr">
        <is>
          <t>Condition 40 Act 2a</t>
        </is>
      </c>
      <c r="F1" s="1" t="inlineStr">
        <is>
          <t>Condition 40 Act 2b</t>
        </is>
      </c>
      <c r="G1" s="1" t="inlineStr">
        <is>
          <t>Condition 2a OCC</t>
        </is>
      </c>
      <c r="H1" s="1" t="inlineStr">
        <is>
          <t>Total Assets</t>
        </is>
      </c>
      <c r="I1" s="1" t="inlineStr">
        <is>
          <t>Non-Qualifying Assets Weight</t>
        </is>
      </c>
      <c r="J1" s="1" t="inlineStr">
        <is>
          <t>Net Assets</t>
        </is>
      </c>
      <c r="K1" s="1" t="inlineStr">
        <is>
          <t>Expenses</t>
        </is>
      </c>
      <c r="L1" s="1" t="inlineStr">
        <is>
          <t>Issuer Limited Assets (Condition 2a) Sum</t>
        </is>
      </c>
      <c r="M1" s="1" t="inlineStr">
        <is>
          <t>Issuer Limited Assets (Condition 2a) (Ticker, Shares, Mkt Value)</t>
        </is>
      </c>
      <c r="N1" s="1" t="inlineStr">
        <is>
          <t>Excluded Securities (25% Bucket)</t>
        </is>
      </c>
      <c r="O1" s="1" t="inlineStr">
        <is>
          <t>Cumulative Weight of Excluded Securities</t>
        </is>
      </c>
      <c r="P1" s="1" t="inlineStr">
        <is>
          <t>Cumulative Weight of Remaining Securities</t>
        </is>
      </c>
      <c r="Q1" s="1" t="inlineStr">
        <is>
          <t>Remaining Securities (Ticker, Shares Held, Vest Weight, Vest Ownership of Float)</t>
        </is>
      </c>
      <c r="R1" s="1" t="inlineStr">
        <is>
          <t>Max Ownership % of Float in 75% bucket</t>
        </is>
      </c>
      <c r="S1" s="1" t="inlineStr">
        <is>
          <t>OCC Market Value</t>
        </is>
      </c>
      <c r="T1" s="1" t="inlineStr">
        <is>
          <t>OCC Weight</t>
        </is>
      </c>
      <c r="U1" s="1" t="inlineStr">
        <is>
          <t>Notes</t>
        </is>
      </c>
    </row>
    <row r="2">
      <c r="A2" s="2" t="n">
        <v>45868</v>
      </c>
      <c r="B2" t="inlineStr">
        <is>
          <t>R21126</t>
        </is>
      </c>
      <c r="C2" t="inlineStr">
        <is>
          <t>diversified</t>
        </is>
      </c>
      <c r="D2" s="3">
        <f>IF(J2/H2&gt;=0.75,"PASS","FAIL")</f>
        <v/>
      </c>
      <c r="E2" s="3">
        <f>IF(L2=0,"PASS","FAIL")</f>
        <v/>
      </c>
      <c r="F2" s="3">
        <f>IF(R2="","",IF(R2&lt;=0.1,"PASS","FAIL"))</f>
        <v/>
      </c>
      <c r="G2" s="3">
        <f>IF(S2=0,"PASS",IF(S2&lt;=0.05*J2,"PASS","FAIL"))</f>
        <v/>
      </c>
      <c r="H2" s="3" t="n">
        <v>55353192.68</v>
      </c>
      <c r="I2" s="4" t="n">
        <v>0</v>
      </c>
      <c r="J2" s="3" t="n">
        <v>50052275.03</v>
      </c>
      <c r="K2" s="3" t="n">
        <v>3659.76</v>
      </c>
      <c r="L2" s="3" t="n">
        <v>0</v>
      </c>
      <c r="M2" t="inlineStr">
        <is>
          <t>None</t>
        </is>
      </c>
      <c r="N2" t="inlineStr">
        <is>
          <t>BK, MSFT, EBAY, JPM, GOOGLE, META, BKNG, RJF, BLK, MLI, AMAT, V</t>
        </is>
      </c>
      <c r="O2" s="4" t="n">
        <v>0.2688360657319756</v>
      </c>
      <c r="P2" s="4" t="n">
        <v>0.7311639342680244</v>
      </c>
      <c r="Q2" t="inlineStr">
        <is>
          <t>(EWBC, 0, 1.87%, 0.0074132%), (EA, 0, 1.86%, 0.0026431%), (AXP, 0, 1.82%, 0.0004840%), (NVDA, 0, 1.79%, 0.0000227%), (HIG, 0, 1.78%, 0.0028401%), (ADP, 0, 1.78%, 0.0007808%), (TRV, 0, 1.76%, 0.0016856%), (KLAC, 0, 1.75%, 0.0007961%), (SNA, 0, 1.72%, 0.0056665%), (PHM, 0, 1.71%, 0.0043029%), (UNM, 0, 1.71%, 0.0078068%), (PCAR, 0, 1.67%, 0.0017797%), (ROST, 0, 1.65%, 0.0020247%), (CRM, 0, 1.62%, 0.0003557%), (CB, 0, 1.60%, 0.0008474%), (CTSH, 0, 1.58%, 0.0024751%), (SYF, 0, 1.56%, 0.0034270%), (PAYC, 0, 1.53%, 0.0062478%), (BKR, 0, 1.44%, 0.0017816%), (WSM, 0, 1.43%, 0.0034313%), (LEN, 0, 1.41%, 0.0031175%), (ACN, 0, 1.39%, 0.0004521%), (QCOM, 0, 1.37%, 0.0004419%), (ELV, 0, 1.20%, 0.0010187%), (DHI, 0, 1.20%, 0.0015747%), (AFL, 0, 1.16%, 0.0012208%), (AAPL, 0, 1.16%, 0.0000208%), (LRCX, 0, 1.09%, 0.0004848%), (CSCO, 0, 1.09%, 0.0002237%), (ODFL, 0, 1.07%, 0.0019270%), (GE, 0, 1.05%, 0.0002023%), (STT, 0, 1.00%, 0.0017550%), (MPWR, 0, 1.00%, 0.0015744%), (CF, 0, 0.94%, 0.0034586%), (PNC, 0, 0.91%, 0.0006666%), (MTB, 0, 0.90%, 0.0016969%), (AMP, 0, 0.89%, 0.0010279%), (XOM, 0, 0.83%, 0.0000962%), (COST, 0, 0.82%, 0.0001106%), (ABT, 0, 0.82%, 0.0002029%), (CSL, 0, 0.81%, 0.0026301%), (EOG, 0, 0.81%, 0.0006762%), (EG, 0, 0.75%, 0.0029571%), (GEV, 0, 0.59%, 0.0001843%), (NTRS, 0, 0.54%, 0.0012030%), (CRBG, 0, 0.50%, 0.0014511%), (MA, 0, 0.48%, 0.0000533%), (JNJ, 0, 0.46%, 0.0000633%), (DOV, 0, 0.44%, 0.0009697%), (ACM, 0, 0.44%, 0.0016256%), (WTFC, 0, 0.43%, 0.0027378%), (CINF, 0, 0.43%, 0.0010146%), (MCK, 0, 0.42%, 0.0002645%), (SLM, 0, 0.42%, 0.0035978%), (MTG, 0, 0.41%, 0.0039957%), (EQH, 0, 0.40%, 0.0014726%), (JXN, 0, 0.40%, 0.0036869%), (NUE, 0, 0.39%, 0.0006626%), (ALL, 0, 0.39%, 0.0004277%), (LNC, 0, 0.38%, 0.0032763%), (NKE, 0, 0.38%, 0.0002332%), (ADM, 0, 0.38%, 0.0007886%), (PGR, 0, 0.36%, 0.0001416%), (FANG, 0, 0.32%, 0.0004090%)</t>
        </is>
      </c>
      <c r="R2" s="4" t="n">
        <v>7.806793601435473e-05</v>
      </c>
      <c r="S2" s="3" t="n">
        <v>10439065.61</v>
      </c>
      <c r="T2" s="4" t="n">
        <v>0.1885901265054184</v>
      </c>
      <c r="U2" t="inlineStr"/>
    </row>
    <row r="3">
      <c r="A3" t="inlineStr">
        <is>
          <t>* To be classified as a diversified company under the 1940 Act, at least 75% of the value of the fund's total assets must be invested in: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* 1) cash and cash items (including receivables),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* 2) government securities,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* 3) securities of other investment companies, 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* 4) other securities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 xml:space="preserve">* 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* Compliance Conditions: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* Condition 40 Act 1: 75% of the fund must be invested in diversified assets.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* Condition 40 Act 2a: No single issuer in the 75% can exceed 5% of total assets.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* Condition 40 Act 2b: No single issuer in the 75% can exceed 10% of the issuer's voting securities.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7" customWidth="1" min="3" max="3"/>
    <col width="31" customWidth="1" min="4" max="4"/>
    <col width="28" customWidth="1" min="5" max="5"/>
    <col width="22" customWidth="1" min="6" max="6"/>
    <col width="19" customWidth="1" min="7" max="7"/>
    <col width="14" customWidth="1" min="8" max="8"/>
    <col width="25" customWidth="1" min="9" max="9"/>
    <col width="10" customWidth="1" min="10" max="10"/>
    <col width="23" customWidth="1" min="11" max="11"/>
    <col width="30" customWidth="1" min="12" max="12"/>
    <col width="24" customWidth="1" min="13" max="13"/>
    <col width="18" customWidth="1" min="14" max="14"/>
    <col width="21" customWidth="1" min="15" max="15"/>
    <col width="50" customWidth="1" min="16" max="16"/>
    <col width="27" customWidth="1" min="17" max="17"/>
    <col width="34" customWidth="1" min="18" max="18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condition_IRS_1</t>
        </is>
      </c>
      <c r="D1" s="1" t="inlineStr">
        <is>
          <t>condition_IRS_2_a_50</t>
        </is>
      </c>
      <c r="E1" s="1" t="inlineStr">
        <is>
          <t>condition_IRS_2_a_5</t>
        </is>
      </c>
      <c r="F1" s="1" t="inlineStr">
        <is>
          <t>condition_IRS_2_a_10</t>
        </is>
      </c>
      <c r="G1" s="1" t="inlineStr">
        <is>
          <t>condition_IRS_2_b</t>
        </is>
      </c>
      <c r="H1" s="1" t="inlineStr">
        <is>
          <t>total_assets</t>
        </is>
      </c>
      <c r="I1" s="1" t="inlineStr">
        <is>
          <t>qualifying_assets_value</t>
        </is>
      </c>
      <c r="J1" s="1" t="inlineStr">
        <is>
          <t>expenses</t>
        </is>
      </c>
      <c r="K1" s="1" t="inlineStr">
        <is>
          <t>five_pct_gross_assets</t>
        </is>
      </c>
      <c r="L1" s="1" t="inlineStr">
        <is>
          <t>sum_large_securities_weights</t>
        </is>
      </c>
      <c r="M1" s="1" t="inlineStr">
        <is>
          <t>large_securities_count</t>
        </is>
      </c>
      <c r="N1" s="1" t="inlineStr">
        <is>
          <t>large_securities</t>
        </is>
      </c>
      <c r="O1" s="1" t="inlineStr">
        <is>
          <t>overlap_weight</t>
        </is>
      </c>
      <c r="P1" s="1" t="inlineStr">
        <is>
          <t>overlap_constituents</t>
        </is>
      </c>
      <c r="Q1" s="1" t="inlineStr">
        <is>
          <t>bottom_50_largest_holding</t>
        </is>
      </c>
      <c r="R1" s="1" t="inlineStr">
        <is>
          <t>bottom_50_second_largest_holding</t>
        </is>
      </c>
    </row>
    <row r="2">
      <c r="A2" s="2" t="n">
        <v>45868</v>
      </c>
      <c r="B2" t="inlineStr">
        <is>
          <t>R21126</t>
        </is>
      </c>
      <c r="C2" t="inlineStr">
        <is>
          <t>PASS</t>
        </is>
      </c>
      <c r="D2" s="3">
        <f>IF(I2/H2&gt;=0.5,"PASS","FAIL")</f>
        <v/>
      </c>
      <c r="E2" s="3">
        <f>IF(L2&lt;=0.5,"PASS","FAIL")</f>
        <v/>
      </c>
      <c r="F2" t="inlineStr">
        <is>
          <t>PASS</t>
        </is>
      </c>
      <c r="G2" t="inlineStr">
        <is>
          <t>PASS</t>
        </is>
      </c>
      <c r="H2" s="3" t="n">
        <v>55353192.68</v>
      </c>
      <c r="I2" s="3" t="n">
        <v>52212881.67206001</v>
      </c>
      <c r="J2" s="3" t="n">
        <v>3659.76</v>
      </c>
      <c r="K2" s="4" t="n">
        <v>2767659.634</v>
      </c>
      <c r="L2" s="4" t="n">
        <v>0</v>
      </c>
      <c r="M2" s="3" t="n">
        <v>0</v>
      </c>
      <c r="N2" t="inlineStr">
        <is>
          <t>None</t>
        </is>
      </c>
      <c r="O2" s="4" t="n">
        <v>0.03760052801456583</v>
      </c>
      <c r="P2" t="inlineStr">
        <is>
          <t>AAPL: 5.84%, ABT: 0.41%, ACN: 0.32%, ADM: 0.05%, ADP: 0.23%, AFL: 0.09%, ALL: 0.10%, AMAT: 0.28%, AMP: 0.09%, AXP: 0.32%, BK: 0.13%, BKNG: 0.34%, BKR: 0.08%, BLK: 0.30%, CB: 0.18%, CF: 0.03%, CINF: 0.04%, COST: 0.77%, CRM: 0.47%, CSCO: 0.50%, CTSH: 0.07%, DHI: 0.08%, DOV: 0.05%, EA: 0.06%, EBAY: 0.07%, EG: 0.03%, ELV: 0.12%, EOG: 0.12%, FANG: 0.05%, GE: 0.53%, GEV: 0.32%, GOOGL: 2.11%, HIG: 0.07%, JNJ: 0.75%, JPM: 1.53%, KLAC: 0.22%, LEN: 0.05%, LRCX: 0.23%, MA: 0.85%, MCK: 0.16%, META: 2.81%, MPWR: 0.06%, MSFT: 7.05%, MTB: 0.06%, NKE: 0.17%, NTRS: 0.05%, NUE: 0.06%, NVDA: 7.92%, ODFL: 0.06%, PAYC: 0.02%, PCAR: 0.10%, PGR: 0.26%, PHM: 0.04%, PNC: 0.14%, QCOM: 0.33%, RJF: 0.06%, ROST: 0.08%, SNA: 0.03%, STT: 0.06%, SYF: 0.05%, TRV: 0.11%, V: 1.11%, WSM: 0.04%, XOM: 0.90%</t>
        </is>
      </c>
      <c r="Q2" t="inlineStr">
        <is>
          <t>AAPL (1.90%)</t>
        </is>
      </c>
      <c r="R2" t="inlineStr">
        <is>
          <t>UNM (1.89%)</t>
        </is>
      </c>
    </row>
    <row r="3">
      <c r="A3" t="inlineStr">
        <is>
          <t>* IRS Condition 1: 90% of income must come from qualifying sources.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* IRS Condition 2a: At least 50% of assets must be allocated to qualifying securities.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* IRS Condition 2a5: for 50% of portfolio, no issuer is more than 5% of fund assets.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* IRS Condition 2a10: for 50% of portfolio, fund doesn't hold more than 10% of any issuer's outstanding float.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* IRS Condition 2b: No single issuer may constitute more than 25% of assets.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2025-11-01T18:15:32Z</dcterms:created>
  <dcterms:modified xmlns:dcterms="http://purl.org/dc/terms/" xmlns:xsi="http://www.w3.org/2001/XMLSchema-instance" xsi:type="dcterms:W3CDTF">2025-11-01T18:15:32Z</dcterms:modified>
</cp:coreProperties>
</file>