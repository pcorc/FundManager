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ICS_Compliance" sheetId="1" state="visible" r:id="rId1"/>
    <sheet xmlns:r="http://schemas.openxmlformats.org/officeDocument/2006/relationships" name="GICS_Calculations" sheetId="2" state="visible" r:id="rId2"/>
    <sheet xmlns:r="http://schemas.openxmlformats.org/officeDocument/2006/relationships" name="Prospectus_80pct" sheetId="3" state="visible" r:id="rId3"/>
    <sheet xmlns:r="http://schemas.openxmlformats.org/officeDocument/2006/relationships" name="40Act_Diversification" sheetId="4" state="visible" r:id="rId4"/>
    <sheet xmlns:r="http://schemas.openxmlformats.org/officeDocument/2006/relationships" name="IRS_Diversification" sheetId="5" state="visible" r:id="rId5"/>
  </sheets>
  <definedNames/>
  <calcPr calcId="124519" fullCalcOnLoad="1"/>
</workbook>
</file>

<file path=xl/styles.xml><?xml version="1.0" encoding="utf-8"?>
<styleSheet xmlns="http://schemas.openxmlformats.org/spreadsheetml/2006/main">
  <numFmts count="3">
    <numFmt numFmtId="164" formatCode="yyyy-mm-dd"/>
    <numFmt numFmtId="165" formatCode="YYYY-MM-DD"/>
    <numFmt numFmtId="166" formatCode="0.00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4" fontId="0" fillId="0" borderId="0" pivotButton="0" quotePrefix="0" xfId="0"/>
    <xf numFmtId="10" fontId="0"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50" customWidth="1" min="1" max="1"/>
    <col width="6" customWidth="1" min="2" max="2"/>
    <col width="25" customWidth="1" min="3" max="3"/>
    <col width="22" customWidth="1" min="4" max="4"/>
    <col width="28" customWidth="1" min="5" max="5"/>
    <col width="29" customWidth="1" min="6" max="6"/>
    <col width="35" customWidth="1" min="7" max="7"/>
    <col width="36" customWidth="1" min="8" max="8"/>
    <col width="31" customWidth="1" min="9" max="9"/>
  </cols>
  <sheetData>
    <row r="1">
      <c r="A1" s="1" t="inlineStr">
        <is>
          <t>Date</t>
        </is>
      </c>
      <c r="B1" s="1" t="inlineStr">
        <is>
          <t>Fund</t>
        </is>
      </c>
      <c r="C1" s="1" t="inlineStr">
        <is>
          <t>Overall GICS Compliance</t>
        </is>
      </c>
      <c r="D1" s="1" t="inlineStr">
        <is>
          <t>Industry Exceeds 25%</t>
        </is>
      </c>
      <c r="E1" s="1" t="inlineStr">
        <is>
          <t>Industry Group Exceeds 25%</t>
        </is>
      </c>
      <c r="F1" s="1" t="inlineStr">
        <is>
          <t>Index Industry Exceeds 25%?</t>
        </is>
      </c>
      <c r="G1" s="1" t="inlineStr">
        <is>
          <t>Index Industry Group Exceeds 25%?</t>
        </is>
      </c>
      <c r="H1" s="1" t="inlineStr">
        <is>
          <t>Can Fund exceed 25% if Index does?</t>
        </is>
      </c>
      <c r="I1" s="1" t="inlineStr">
        <is>
          <t>Exceptions to Conc Policy</t>
        </is>
      </c>
    </row>
    <row r="2">
      <c r="A2" s="2" t="n">
        <v>45975</v>
      </c>
      <c r="B2" t="inlineStr">
        <is>
          <t>FDND</t>
        </is>
      </c>
      <c r="C2" t="inlineStr">
        <is>
          <t>FAIL</t>
        </is>
      </c>
      <c r="D2" t="b">
        <v>0</v>
      </c>
      <c r="E2" t="b">
        <v>1</v>
      </c>
      <c r="F2" t="b">
        <v>0</v>
      </c>
      <c r="G2" t="b">
        <v>0</v>
      </c>
      <c r="H2" t="inlineStr">
        <is>
          <t>Yes</t>
        </is>
      </c>
      <c r="I2" t="inlineStr"/>
    </row>
    <row r="3">
      <c r="A3" s="2" t="n">
        <v>45975</v>
      </c>
      <c r="B3" t="inlineStr">
        <is>
          <t>FGSI</t>
        </is>
      </c>
      <c r="C3" t="inlineStr">
        <is>
          <t>PASS</t>
        </is>
      </c>
      <c r="D3" t="b">
        <v>0</v>
      </c>
      <c r="E3" t="b">
        <v>0</v>
      </c>
      <c r="F3" t="b">
        <v>0</v>
      </c>
      <c r="G3" t="b">
        <v>0</v>
      </c>
      <c r="H3" t="inlineStr">
        <is>
          <t>No</t>
        </is>
      </c>
      <c r="I3" t="inlineStr"/>
    </row>
    <row r="4">
      <c r="A4" s="2" t="n">
        <v>45975</v>
      </c>
      <c r="B4" t="inlineStr">
        <is>
          <t>KNG</t>
        </is>
      </c>
      <c r="C4" t="inlineStr">
        <is>
          <t>PASS</t>
        </is>
      </c>
      <c r="D4" t="b">
        <v>0</v>
      </c>
      <c r="E4" t="b">
        <v>0</v>
      </c>
      <c r="F4" t="b">
        <v>0</v>
      </c>
      <c r="G4" t="b">
        <v>0</v>
      </c>
      <c r="H4" t="inlineStr">
        <is>
          <t>Yes</t>
        </is>
      </c>
      <c r="I4" t="inlineStr"/>
    </row>
    <row r="5">
      <c r="A5" s="2" t="n">
        <v>45975</v>
      </c>
      <c r="B5" t="inlineStr">
        <is>
          <t>RDVI</t>
        </is>
      </c>
      <c r="C5" t="inlineStr">
        <is>
          <t>PASS</t>
        </is>
      </c>
      <c r="D5" t="b">
        <v>0</v>
      </c>
      <c r="E5" t="b">
        <v>0</v>
      </c>
      <c r="F5" t="b">
        <v>0</v>
      </c>
      <c r="G5" t="b">
        <v>0</v>
      </c>
      <c r="H5" t="inlineStr">
        <is>
          <t>No</t>
        </is>
      </c>
      <c r="I5" t="inlineStr"/>
    </row>
    <row r="6">
      <c r="A6" s="2" t="n">
        <v>45975</v>
      </c>
      <c r="B6" t="inlineStr">
        <is>
          <t>SDVD</t>
        </is>
      </c>
      <c r="C6" t="inlineStr">
        <is>
          <t>PASS</t>
        </is>
      </c>
      <c r="D6" t="b">
        <v>0</v>
      </c>
      <c r="E6" t="b">
        <v>0</v>
      </c>
      <c r="F6" t="b">
        <v>0</v>
      </c>
      <c r="G6" t="b">
        <v>0</v>
      </c>
      <c r="H6" t="inlineStr">
        <is>
          <t>No</t>
        </is>
      </c>
      <c r="I6" t="inlineStr"/>
    </row>
    <row r="7">
      <c r="A7" s="2" t="n">
        <v>45975</v>
      </c>
      <c r="B7" t="inlineStr">
        <is>
          <t>TDVI</t>
        </is>
      </c>
      <c r="C7" t="inlineStr">
        <is>
          <t>PASS</t>
        </is>
      </c>
      <c r="D7" t="b">
        <v>1</v>
      </c>
      <c r="E7" t="b">
        <v>1</v>
      </c>
      <c r="F7" t="b">
        <v>0</v>
      </c>
      <c r="G7" t="b">
        <v>0</v>
      </c>
      <c r="H7" t="inlineStr">
        <is>
          <t>No</t>
        </is>
      </c>
      <c r="I7" t="inlineStr">
        <is>
          <t>Information Technology Sector</t>
        </is>
      </c>
    </row>
    <row r="8">
      <c r="A8" t="inlineStr">
        <is>
          <t>* Certain funds may not have more than 25% of total assets in any industry or group of industries. However, other funds may have more than 25% of total assets in an industry or group of industries if (1) the fund’s Underlying ETF invests more than 25% of its assets in that industry or group of industries or (2) the fund is specifically permitted to concentrate in a specified industry or group of industries in its fundamental investment policy (such as information technology). Therefore, some funds have additional info listed about their underlying ETF (represented by an index) or have a note that they can concentrate in a certain industry or group of industries.</t>
        </is>
      </c>
      <c r="B8" t="inlineStr"/>
      <c r="C8" t="inlineStr"/>
      <c r="D8" t="inlineStr"/>
      <c r="E8" t="inlineStr"/>
      <c r="F8" t="inlineStr"/>
      <c r="G8" t="inlineStr"/>
      <c r="H8" t="inlineStr"/>
      <c r="I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52"/>
  <sheetViews>
    <sheetView workbookViewId="0">
      <selection activeCell="A1" sqref="A1"/>
    </sheetView>
  </sheetViews>
  <sheetFormatPr baseColWidth="8" defaultRowHeight="15"/>
  <cols>
    <col width="12" customWidth="1" min="1" max="1"/>
    <col width="6" customWidth="1" min="2" max="2"/>
    <col width="26" customWidth="1" min="3" max="3"/>
    <col width="48" customWidth="1" min="4" max="4"/>
    <col width="24" customWidth="1" min="5" max="5"/>
    <col width="21" customWidth="1" min="6" max="6"/>
    <col width="22" customWidth="1" min="7" max="7"/>
    <col width="13" customWidth="1" min="8" max="8"/>
    <col width="14" customWidth="1" min="9" max="9"/>
  </cols>
  <sheetData>
    <row r="1">
      <c r="A1" s="1" t="inlineStr">
        <is>
          <t>Date</t>
        </is>
      </c>
      <c r="B1" s="1" t="inlineStr">
        <is>
          <t>Fund</t>
        </is>
      </c>
      <c r="C1" s="1" t="inlineStr">
        <is>
          <t>GICS_Class</t>
        </is>
      </c>
      <c r="D1" s="1" t="inlineStr">
        <is>
          <t>GICS_Class Value</t>
        </is>
      </c>
      <c r="E1" s="1" t="inlineStr">
        <is>
          <t>GICS_SECTOR_NAME</t>
        </is>
      </c>
      <c r="F1" s="1" t="inlineStr">
        <is>
          <t>Exceeding_Fund_25%?</t>
        </is>
      </c>
      <c r="G1" s="1" t="inlineStr">
        <is>
          <t>Exceeding_Index_25%?</t>
        </is>
      </c>
      <c r="H1" s="1" t="inlineStr">
        <is>
          <t>Fund_Weight</t>
        </is>
      </c>
      <c r="I1" s="1" t="inlineStr">
        <is>
          <t>Index_Weight</t>
        </is>
      </c>
    </row>
    <row r="2">
      <c r="A2" s="2" t="n">
        <v>45975</v>
      </c>
      <c r="B2" t="inlineStr">
        <is>
          <t>FDND</t>
        </is>
      </c>
      <c r="C2" t="inlineStr">
        <is>
          <t>GICS_INDUSTRY_GROUP_NAME</t>
        </is>
      </c>
      <c r="D2" t="inlineStr">
        <is>
          <t>Media &amp; Entertainment</t>
        </is>
      </c>
      <c r="E2" t="inlineStr">
        <is>
          <t>Communication Services</t>
        </is>
      </c>
      <c r="F2" t="b">
        <v>1</v>
      </c>
      <c r="G2" t="inlineStr"/>
      <c r="H2" t="inlineStr">
        <is>
          <t>32.63%</t>
        </is>
      </c>
      <c r="I2" t="inlineStr">
        <is>
          <t>0.00%</t>
        </is>
      </c>
    </row>
    <row r="3">
      <c r="A3" s="2" t="n">
        <v>45975</v>
      </c>
      <c r="B3" t="inlineStr">
        <is>
          <t>FDND</t>
        </is>
      </c>
      <c r="C3" t="inlineStr">
        <is>
          <t>GICS_INDUSTRY_GROUP_NAME</t>
        </is>
      </c>
      <c r="D3" t="inlineStr">
        <is>
          <t>Software &amp; Services</t>
        </is>
      </c>
      <c r="E3" t="inlineStr">
        <is>
          <t>Information Technology</t>
        </is>
      </c>
      <c r="F3" t="inlineStr"/>
      <c r="G3" t="inlineStr"/>
      <c r="H3" t="inlineStr">
        <is>
          <t>23.56%</t>
        </is>
      </c>
      <c r="I3" t="inlineStr">
        <is>
          <t>0.00%</t>
        </is>
      </c>
    </row>
    <row r="4">
      <c r="A4" s="2" t="n">
        <v>45975</v>
      </c>
      <c r="B4" t="inlineStr">
        <is>
          <t>FDND</t>
        </is>
      </c>
      <c r="C4" t="inlineStr">
        <is>
          <t>GICS_INDUSTRY_NAME</t>
        </is>
      </c>
      <c r="D4" t="inlineStr">
        <is>
          <t>Interactive Media &amp; Services</t>
        </is>
      </c>
      <c r="E4" t="inlineStr">
        <is>
          <t>Communication Services</t>
        </is>
      </c>
      <c r="F4" t="inlineStr"/>
      <c r="G4" t="inlineStr"/>
      <c r="H4" t="inlineStr">
        <is>
          <t>20.65%</t>
        </is>
      </c>
      <c r="I4" t="inlineStr">
        <is>
          <t>0.00%</t>
        </is>
      </c>
    </row>
    <row r="5">
      <c r="A5" s="2" t="n">
        <v>45975</v>
      </c>
      <c r="B5" t="inlineStr">
        <is>
          <t>FDND</t>
        </is>
      </c>
      <c r="C5" t="inlineStr">
        <is>
          <t>GICS_INDUSTRY_NAME</t>
        </is>
      </c>
      <c r="D5" t="inlineStr">
        <is>
          <t>Software</t>
        </is>
      </c>
      <c r="E5" t="inlineStr">
        <is>
          <t>Information Technology</t>
        </is>
      </c>
      <c r="F5" t="inlineStr"/>
      <c r="G5" t="inlineStr"/>
      <c r="H5" t="inlineStr">
        <is>
          <t>14.08%</t>
        </is>
      </c>
      <c r="I5" t="inlineStr">
        <is>
          <t>0.00%</t>
        </is>
      </c>
    </row>
    <row r="6">
      <c r="A6" s="2" t="n">
        <v>45975</v>
      </c>
      <c r="B6" t="inlineStr">
        <is>
          <t>FDND</t>
        </is>
      </c>
      <c r="C6" t="inlineStr">
        <is>
          <t>GICS_INDUSTRY_GROUP_NAME</t>
        </is>
      </c>
      <c r="D6" t="inlineStr">
        <is>
          <t>Consumer Discretionary Distribution &amp; Retail</t>
        </is>
      </c>
      <c r="E6" t="inlineStr">
        <is>
          <t>Consumer Discretionary</t>
        </is>
      </c>
      <c r="F6" t="inlineStr"/>
      <c r="G6" t="inlineStr"/>
      <c r="H6" t="inlineStr">
        <is>
          <t>14.03%</t>
        </is>
      </c>
      <c r="I6" t="inlineStr">
        <is>
          <t>0.00%</t>
        </is>
      </c>
    </row>
    <row r="7">
      <c r="A7" s="2" t="n">
        <v>45975</v>
      </c>
      <c r="B7" t="inlineStr">
        <is>
          <t>FDND</t>
        </is>
      </c>
      <c r="C7" t="inlineStr">
        <is>
          <t>GICS_INDUSTRY_NAME</t>
        </is>
      </c>
      <c r="D7" t="inlineStr">
        <is>
          <t>Broadline Retail</t>
        </is>
      </c>
      <c r="E7" t="inlineStr">
        <is>
          <t>Consumer Discretionary</t>
        </is>
      </c>
      <c r="F7" t="inlineStr"/>
      <c r="G7" t="inlineStr"/>
      <c r="H7" t="inlineStr">
        <is>
          <t>12.25%</t>
        </is>
      </c>
      <c r="I7" t="inlineStr">
        <is>
          <t>0.00%</t>
        </is>
      </c>
    </row>
    <row r="8">
      <c r="A8" s="2" t="n">
        <v>45975</v>
      </c>
      <c r="B8" t="inlineStr">
        <is>
          <t>FDND</t>
        </is>
      </c>
      <c r="C8" t="inlineStr">
        <is>
          <t>GICS_INDUSTRY_NAME</t>
        </is>
      </c>
      <c r="D8" t="inlineStr">
        <is>
          <t>Entertainment</t>
        </is>
      </c>
      <c r="E8" t="inlineStr">
        <is>
          <t>Communication Services</t>
        </is>
      </c>
      <c r="F8" t="inlineStr"/>
      <c r="G8" t="inlineStr"/>
      <c r="H8" t="inlineStr">
        <is>
          <t>11.98%</t>
        </is>
      </c>
      <c r="I8" t="inlineStr">
        <is>
          <t>0.00%</t>
        </is>
      </c>
    </row>
    <row r="9">
      <c r="A9" s="2" t="n">
        <v>45975</v>
      </c>
      <c r="B9" t="inlineStr">
        <is>
          <t>FDND</t>
        </is>
      </c>
      <c r="C9" t="inlineStr">
        <is>
          <t>GICS_INDUSTRY_GROUP_NAME</t>
        </is>
      </c>
      <c r="D9" t="inlineStr">
        <is>
          <t>Consumer Services</t>
        </is>
      </c>
      <c r="E9" t="inlineStr">
        <is>
          <t>Consumer Discretionary</t>
        </is>
      </c>
      <c r="F9" t="inlineStr"/>
      <c r="G9" t="inlineStr"/>
      <c r="H9" t="inlineStr">
        <is>
          <t>11.90%</t>
        </is>
      </c>
      <c r="I9" t="inlineStr">
        <is>
          <t>0.00%</t>
        </is>
      </c>
    </row>
    <row r="10">
      <c r="A10" s="2" t="n">
        <v>45975</v>
      </c>
      <c r="B10" t="inlineStr">
        <is>
          <t>FDND</t>
        </is>
      </c>
      <c r="C10" t="inlineStr">
        <is>
          <t>GICS_INDUSTRY_GROUP_NAME</t>
        </is>
      </c>
      <c r="D10" t="inlineStr">
        <is>
          <t>Technology Hardware &amp; Equipment</t>
        </is>
      </c>
      <c r="E10" t="inlineStr">
        <is>
          <t>Information Technology</t>
        </is>
      </c>
      <c r="F10" t="inlineStr"/>
      <c r="G10" t="inlineStr"/>
      <c r="H10" t="inlineStr">
        <is>
          <t>11.84%</t>
        </is>
      </c>
      <c r="I10" t="inlineStr">
        <is>
          <t>0.00%</t>
        </is>
      </c>
    </row>
    <row r="11">
      <c r="A11" s="2" t="n">
        <v>45975</v>
      </c>
      <c r="B11" t="inlineStr">
        <is>
          <t>FDND</t>
        </is>
      </c>
      <c r="C11" t="inlineStr">
        <is>
          <t>GICS_INDUSTRY_NAME</t>
        </is>
      </c>
      <c r="D11" t="inlineStr">
        <is>
          <t>Communications Equipment</t>
        </is>
      </c>
      <c r="E11" t="inlineStr">
        <is>
          <t>Information Technology</t>
        </is>
      </c>
      <c r="F11" t="inlineStr"/>
      <c r="G11" t="inlineStr"/>
      <c r="H11" t="inlineStr">
        <is>
          <t>11.84%</t>
        </is>
      </c>
      <c r="I11" t="inlineStr">
        <is>
          <t>0.00%</t>
        </is>
      </c>
    </row>
    <row r="12">
      <c r="A12" s="2" t="n">
        <v>45975</v>
      </c>
      <c r="B12" t="inlineStr">
        <is>
          <t>FDND</t>
        </is>
      </c>
      <c r="C12" t="inlineStr">
        <is>
          <t>GICS_INDUSTRY_NAME</t>
        </is>
      </c>
      <c r="D12" t="inlineStr">
        <is>
          <t>Hotels, Restaurants &amp; Leisure</t>
        </is>
      </c>
      <c r="E12" t="inlineStr">
        <is>
          <t>Consumer Discretionary</t>
        </is>
      </c>
      <c r="F12" t="inlineStr"/>
      <c r="G12" t="inlineStr"/>
      <c r="H12" t="inlineStr">
        <is>
          <t>11.61%</t>
        </is>
      </c>
      <c r="I12" t="inlineStr">
        <is>
          <t>0.00%</t>
        </is>
      </c>
    </row>
    <row r="13">
      <c r="A13" s="2" t="n">
        <v>45975</v>
      </c>
      <c r="B13" t="inlineStr">
        <is>
          <t>FDND</t>
        </is>
      </c>
      <c r="C13" t="inlineStr">
        <is>
          <t>GICS_INDUSTRY_NAME</t>
        </is>
      </c>
      <c r="D13" t="inlineStr">
        <is>
          <t>IT Services</t>
        </is>
      </c>
      <c r="E13" t="inlineStr">
        <is>
          <t>Information Technology</t>
        </is>
      </c>
      <c r="F13" t="inlineStr"/>
      <c r="G13" t="inlineStr"/>
      <c r="H13" t="inlineStr">
        <is>
          <t>9.49%</t>
        </is>
      </c>
      <c r="I13" t="inlineStr">
        <is>
          <t>0.00%</t>
        </is>
      </c>
    </row>
    <row r="14">
      <c r="A14" s="2" t="n">
        <v>45975</v>
      </c>
      <c r="B14" t="inlineStr">
        <is>
          <t>FDND</t>
        </is>
      </c>
      <c r="C14" t="inlineStr">
        <is>
          <t>GICS_INDUSTRY_GROUP_NAME</t>
        </is>
      </c>
      <c r="D14" t="inlineStr">
        <is>
          <t>Financial Services</t>
        </is>
      </c>
      <c r="E14" t="inlineStr">
        <is>
          <t>Financials</t>
        </is>
      </c>
      <c r="F14" t="inlineStr"/>
      <c r="G14" t="inlineStr"/>
      <c r="H14" t="inlineStr">
        <is>
          <t>2.43%</t>
        </is>
      </c>
      <c r="I14" t="inlineStr">
        <is>
          <t>0.00%</t>
        </is>
      </c>
    </row>
    <row r="15">
      <c r="A15" s="2" t="n">
        <v>45975</v>
      </c>
      <c r="B15" t="inlineStr">
        <is>
          <t>FDND</t>
        </is>
      </c>
      <c r="C15" t="inlineStr">
        <is>
          <t>GICS_INDUSTRY_NAME</t>
        </is>
      </c>
      <c r="D15" t="inlineStr">
        <is>
          <t>Financial Services</t>
        </is>
      </c>
      <c r="E15" t="inlineStr">
        <is>
          <t>Financials</t>
        </is>
      </c>
      <c r="F15" t="inlineStr"/>
      <c r="G15" t="inlineStr"/>
      <c r="H15" t="inlineStr">
        <is>
          <t>2.43%</t>
        </is>
      </c>
      <c r="I15" t="inlineStr">
        <is>
          <t>0.00%</t>
        </is>
      </c>
    </row>
    <row r="16">
      <c r="A16" s="2" t="n">
        <v>45975</v>
      </c>
      <c r="B16" t="inlineStr">
        <is>
          <t>FDND</t>
        </is>
      </c>
      <c r="C16" t="inlineStr">
        <is>
          <t>GICS_INDUSTRY_GROUP_NAME</t>
        </is>
      </c>
      <c r="D16" t="inlineStr">
        <is>
          <t>Commercial &amp; Professional Services</t>
        </is>
      </c>
      <c r="E16" t="inlineStr">
        <is>
          <t>Industrials</t>
        </is>
      </c>
      <c r="F16" t="inlineStr"/>
      <c r="G16" t="inlineStr"/>
      <c r="H16" t="inlineStr">
        <is>
          <t>1.82%</t>
        </is>
      </c>
      <c r="I16" t="inlineStr">
        <is>
          <t>0.00%</t>
        </is>
      </c>
    </row>
    <row r="17">
      <c r="A17" s="2" t="n">
        <v>45975</v>
      </c>
      <c r="B17" t="inlineStr">
        <is>
          <t>FDND</t>
        </is>
      </c>
      <c r="C17" t="inlineStr">
        <is>
          <t>GICS_INDUSTRY_GROUP_NAME</t>
        </is>
      </c>
      <c r="D17" t="inlineStr">
        <is>
          <t>Health Care Equipment &amp; Services</t>
        </is>
      </c>
      <c r="E17" t="inlineStr">
        <is>
          <t>Health Care</t>
        </is>
      </c>
      <c r="F17" t="inlineStr"/>
      <c r="G17" t="inlineStr"/>
      <c r="H17" t="inlineStr">
        <is>
          <t>1.79%</t>
        </is>
      </c>
      <c r="I17" t="inlineStr">
        <is>
          <t>0.00%</t>
        </is>
      </c>
    </row>
    <row r="18">
      <c r="A18" s="2" t="n">
        <v>45975</v>
      </c>
      <c r="B18" t="inlineStr">
        <is>
          <t>FDND</t>
        </is>
      </c>
      <c r="C18" t="inlineStr">
        <is>
          <t>GICS_INDUSTRY_NAME</t>
        </is>
      </c>
      <c r="D18" t="inlineStr">
        <is>
          <t>Health Care Technology</t>
        </is>
      </c>
      <c r="E18" t="inlineStr">
        <is>
          <t>Health Care</t>
        </is>
      </c>
      <c r="F18" t="inlineStr"/>
      <c r="G18" t="inlineStr"/>
      <c r="H18" t="inlineStr">
        <is>
          <t>1.79%</t>
        </is>
      </c>
      <c r="I18" t="inlineStr">
        <is>
          <t>0.00%</t>
        </is>
      </c>
    </row>
    <row r="19">
      <c r="A19" s="2" t="n">
        <v>45975</v>
      </c>
      <c r="B19" t="inlineStr">
        <is>
          <t>FDND</t>
        </is>
      </c>
      <c r="C19" t="inlineStr">
        <is>
          <t>GICS_INDUSTRY_NAME</t>
        </is>
      </c>
      <c r="D19" t="inlineStr">
        <is>
          <t>Specialty Retail</t>
        </is>
      </c>
      <c r="E19" t="inlineStr">
        <is>
          <t>Consumer Discretionary</t>
        </is>
      </c>
      <c r="F19" t="inlineStr"/>
      <c r="G19" t="inlineStr"/>
      <c r="H19" t="inlineStr">
        <is>
          <t>1.78%</t>
        </is>
      </c>
      <c r="I19" t="inlineStr">
        <is>
          <t>0.00%</t>
        </is>
      </c>
    </row>
    <row r="20">
      <c r="A20" s="2" t="n">
        <v>45975</v>
      </c>
      <c r="B20" t="inlineStr">
        <is>
          <t>FDND</t>
        </is>
      </c>
      <c r="C20" t="inlineStr">
        <is>
          <t>GICS_INDUSTRY_NAME</t>
        </is>
      </c>
      <c r="D20" t="inlineStr">
        <is>
          <t>Commercial Services &amp; Supplies</t>
        </is>
      </c>
      <c r="E20" t="inlineStr">
        <is>
          <t>Industrials</t>
        </is>
      </c>
      <c r="F20" t="inlineStr"/>
      <c r="G20" t="inlineStr"/>
      <c r="H20" t="inlineStr">
        <is>
          <t>1.48%</t>
        </is>
      </c>
      <c r="I20" t="inlineStr">
        <is>
          <t>0.00%</t>
        </is>
      </c>
    </row>
    <row r="21">
      <c r="A21" s="2" t="n">
        <v>45975</v>
      </c>
      <c r="B21" t="inlineStr">
        <is>
          <t>FDND</t>
        </is>
      </c>
      <c r="C21" t="inlineStr">
        <is>
          <t>GICS_INDUSTRY_NAME</t>
        </is>
      </c>
      <c r="D21" t="inlineStr">
        <is>
          <t>Professional Services</t>
        </is>
      </c>
      <c r="E21" t="inlineStr">
        <is>
          <t>Industrials</t>
        </is>
      </c>
      <c r="F21" t="inlineStr"/>
      <c r="G21" t="inlineStr"/>
      <c r="H21" t="inlineStr">
        <is>
          <t>0.34%</t>
        </is>
      </c>
      <c r="I21" t="inlineStr">
        <is>
          <t>0.00%</t>
        </is>
      </c>
    </row>
    <row r="22">
      <c r="A22" s="2" t="n">
        <v>45975</v>
      </c>
      <c r="B22" t="inlineStr">
        <is>
          <t>FDND</t>
        </is>
      </c>
      <c r="C22" t="inlineStr">
        <is>
          <t>GICS_INDUSTRY_NAME</t>
        </is>
      </c>
      <c r="D22" t="inlineStr">
        <is>
          <t>Diversified Consumer Services</t>
        </is>
      </c>
      <c r="E22" t="inlineStr">
        <is>
          <t>Consumer Discretionary</t>
        </is>
      </c>
      <c r="F22" t="inlineStr"/>
      <c r="G22" t="inlineStr"/>
      <c r="H22" t="inlineStr">
        <is>
          <t>0.30%</t>
        </is>
      </c>
      <c r="I22" t="inlineStr">
        <is>
          <t>0.00%</t>
        </is>
      </c>
    </row>
    <row r="23">
      <c r="A23" s="2" t="n">
        <v>45975</v>
      </c>
      <c r="B23" t="inlineStr">
        <is>
          <t>FGSI</t>
        </is>
      </c>
      <c r="C23" t="inlineStr">
        <is>
          <t>GICS_INDUSTRY_GROUP_NAME</t>
        </is>
      </c>
      <c r="D23" t="inlineStr">
        <is>
          <t>Financial Services</t>
        </is>
      </c>
      <c r="E23" t="inlineStr">
        <is>
          <t>Financials</t>
        </is>
      </c>
      <c r="F23" t="inlineStr"/>
      <c r="G23" t="inlineStr"/>
      <c r="H23" t="inlineStr">
        <is>
          <t>18.67%</t>
        </is>
      </c>
      <c r="I23" t="inlineStr">
        <is>
          <t>0.00%</t>
        </is>
      </c>
    </row>
    <row r="24">
      <c r="A24" s="2" t="n">
        <v>45975</v>
      </c>
      <c r="B24" t="inlineStr">
        <is>
          <t>FGSI</t>
        </is>
      </c>
      <c r="C24" t="inlineStr">
        <is>
          <t>GICS_INDUSTRY_GROUP_NAME</t>
        </is>
      </c>
      <c r="D24" t="inlineStr">
        <is>
          <t>Software &amp; Services</t>
        </is>
      </c>
      <c r="E24" t="inlineStr">
        <is>
          <t>Information Technology</t>
        </is>
      </c>
      <c r="F24" t="inlineStr"/>
      <c r="G24" t="inlineStr"/>
      <c r="H24" t="inlineStr">
        <is>
          <t>16.05%</t>
        </is>
      </c>
      <c r="I24" t="inlineStr">
        <is>
          <t>0.00%</t>
        </is>
      </c>
    </row>
    <row r="25">
      <c r="A25" s="2" t="n">
        <v>45975</v>
      </c>
      <c r="B25" t="inlineStr">
        <is>
          <t>FGSI</t>
        </is>
      </c>
      <c r="C25" t="inlineStr">
        <is>
          <t>GICS_INDUSTRY_NAME</t>
        </is>
      </c>
      <c r="D25" t="inlineStr">
        <is>
          <t>Software</t>
        </is>
      </c>
      <c r="E25" t="inlineStr">
        <is>
          <t>Information Technology</t>
        </is>
      </c>
      <c r="F25" t="inlineStr"/>
      <c r="G25" t="inlineStr"/>
      <c r="H25" t="inlineStr">
        <is>
          <t>13.97%</t>
        </is>
      </c>
      <c r="I25" t="inlineStr">
        <is>
          <t>0.00%</t>
        </is>
      </c>
    </row>
    <row r="26">
      <c r="A26" s="2" t="n">
        <v>45975</v>
      </c>
      <c r="B26" t="inlineStr">
        <is>
          <t>FGSI</t>
        </is>
      </c>
      <c r="C26" t="inlineStr">
        <is>
          <t>GICS_INDUSTRY_NAME</t>
        </is>
      </c>
      <c r="D26" t="inlineStr">
        <is>
          <t>Capital Markets</t>
        </is>
      </c>
      <c r="E26" t="inlineStr">
        <is>
          <t>Financials</t>
        </is>
      </c>
      <c r="F26" t="inlineStr"/>
      <c r="G26" t="inlineStr"/>
      <c r="H26" t="inlineStr">
        <is>
          <t>10.44%</t>
        </is>
      </c>
      <c r="I26" t="inlineStr">
        <is>
          <t>0.00%</t>
        </is>
      </c>
    </row>
    <row r="27">
      <c r="A27" s="2" t="n">
        <v>45975</v>
      </c>
      <c r="B27" t="inlineStr">
        <is>
          <t>FGSI</t>
        </is>
      </c>
      <c r="C27" t="inlineStr">
        <is>
          <t>GICS_INDUSTRY_NAME</t>
        </is>
      </c>
      <c r="D27" t="inlineStr">
        <is>
          <t>Financial Services</t>
        </is>
      </c>
      <c r="E27" t="inlineStr">
        <is>
          <t>Financials</t>
        </is>
      </c>
      <c r="F27" t="inlineStr"/>
      <c r="G27" t="inlineStr"/>
      <c r="H27" t="inlineStr">
        <is>
          <t>8.22%</t>
        </is>
      </c>
      <c r="I27" t="inlineStr">
        <is>
          <t>0.00%</t>
        </is>
      </c>
    </row>
    <row r="28">
      <c r="A28" s="2" t="n">
        <v>45975</v>
      </c>
      <c r="B28" t="inlineStr">
        <is>
          <t>FGSI</t>
        </is>
      </c>
      <c r="C28" t="inlineStr">
        <is>
          <t>GICS_INDUSTRY_GROUP_NAME</t>
        </is>
      </c>
      <c r="D28" t="inlineStr">
        <is>
          <t>Technology Hardware &amp; Equipment</t>
        </is>
      </c>
      <c r="E28" t="inlineStr">
        <is>
          <t>Information Technology</t>
        </is>
      </c>
      <c r="F28" t="inlineStr"/>
      <c r="G28" t="inlineStr"/>
      <c r="H28" t="inlineStr">
        <is>
          <t>7.45%</t>
        </is>
      </c>
      <c r="I28" t="inlineStr">
        <is>
          <t>0.00%</t>
        </is>
      </c>
    </row>
    <row r="29">
      <c r="A29" s="2" t="n">
        <v>45975</v>
      </c>
      <c r="B29" t="inlineStr">
        <is>
          <t>FGSI</t>
        </is>
      </c>
      <c r="C29" t="inlineStr">
        <is>
          <t>GICS_INDUSTRY_GROUP_NAME</t>
        </is>
      </c>
      <c r="D29" t="inlineStr">
        <is>
          <t>Pharmaceuticals, Biotechnology &amp; Life Sciences</t>
        </is>
      </c>
      <c r="E29" t="inlineStr">
        <is>
          <t>Health Care</t>
        </is>
      </c>
      <c r="F29" t="inlineStr"/>
      <c r="G29" t="inlineStr"/>
      <c r="H29" t="inlineStr">
        <is>
          <t>7.30%</t>
        </is>
      </c>
      <c r="I29" t="inlineStr">
        <is>
          <t>0.00%</t>
        </is>
      </c>
    </row>
    <row r="30">
      <c r="A30" s="2" t="n">
        <v>45975</v>
      </c>
      <c r="B30" t="inlineStr">
        <is>
          <t>FGSI</t>
        </is>
      </c>
      <c r="C30" t="inlineStr">
        <is>
          <t>GICS_INDUSTRY_GROUP_NAME</t>
        </is>
      </c>
      <c r="D30" t="inlineStr">
        <is>
          <t>Media &amp; Entertainment</t>
        </is>
      </c>
      <c r="E30" t="inlineStr">
        <is>
          <t>Communication Services</t>
        </is>
      </c>
      <c r="F30" t="inlineStr"/>
      <c r="G30" t="inlineStr"/>
      <c r="H30" t="inlineStr">
        <is>
          <t>7.09%</t>
        </is>
      </c>
      <c r="I30" t="inlineStr">
        <is>
          <t>0.00%</t>
        </is>
      </c>
    </row>
    <row r="31">
      <c r="A31" s="2" t="n">
        <v>45975</v>
      </c>
      <c r="B31" t="inlineStr">
        <is>
          <t>FGSI</t>
        </is>
      </c>
      <c r="C31" t="inlineStr">
        <is>
          <t>GICS_INDUSTRY_GROUP_NAME</t>
        </is>
      </c>
      <c r="D31" t="inlineStr">
        <is>
          <t>Semiconductors &amp; Semiconductor Equipment</t>
        </is>
      </c>
      <c r="E31" t="inlineStr">
        <is>
          <t>Information Technology</t>
        </is>
      </c>
      <c r="F31" t="inlineStr"/>
      <c r="G31" t="inlineStr"/>
      <c r="H31" t="inlineStr">
        <is>
          <t>6.06%</t>
        </is>
      </c>
      <c r="I31" t="inlineStr">
        <is>
          <t>0.00%</t>
        </is>
      </c>
    </row>
    <row r="32">
      <c r="A32" s="2" t="n">
        <v>45975</v>
      </c>
      <c r="B32" t="inlineStr">
        <is>
          <t>FGSI</t>
        </is>
      </c>
      <c r="C32" t="inlineStr">
        <is>
          <t>GICS_INDUSTRY_NAME</t>
        </is>
      </c>
      <c r="D32" t="inlineStr">
        <is>
          <t>Semiconductors &amp; Semiconductor Equipment</t>
        </is>
      </c>
      <c r="E32" t="inlineStr">
        <is>
          <t>Information Technology</t>
        </is>
      </c>
      <c r="F32" t="inlineStr"/>
      <c r="G32" t="inlineStr"/>
      <c r="H32" t="inlineStr">
        <is>
          <t>6.06%</t>
        </is>
      </c>
      <c r="I32" t="inlineStr">
        <is>
          <t>0.00%</t>
        </is>
      </c>
    </row>
    <row r="33">
      <c r="A33" s="2" t="n">
        <v>45975</v>
      </c>
      <c r="B33" t="inlineStr">
        <is>
          <t>FGSI</t>
        </is>
      </c>
      <c r="C33" t="inlineStr">
        <is>
          <t>GICS_INDUSTRY_NAME</t>
        </is>
      </c>
      <c r="D33" t="inlineStr">
        <is>
          <t>Communications Equipment</t>
        </is>
      </c>
      <c r="E33" t="inlineStr">
        <is>
          <t>Information Technology</t>
        </is>
      </c>
      <c r="F33" t="inlineStr"/>
      <c r="G33" t="inlineStr"/>
      <c r="H33" t="inlineStr">
        <is>
          <t>5.25%</t>
        </is>
      </c>
      <c r="I33" t="inlineStr">
        <is>
          <t>0.00%</t>
        </is>
      </c>
    </row>
    <row r="34">
      <c r="A34" s="2" t="n">
        <v>45975</v>
      </c>
      <c r="B34" t="inlineStr">
        <is>
          <t>FGSI</t>
        </is>
      </c>
      <c r="C34" t="inlineStr">
        <is>
          <t>GICS_INDUSTRY_NAME</t>
        </is>
      </c>
      <c r="D34" t="inlineStr">
        <is>
          <t>Biotechnology</t>
        </is>
      </c>
      <c r="E34" t="inlineStr">
        <is>
          <t>Health Care</t>
        </is>
      </c>
      <c r="F34" t="inlineStr"/>
      <c r="G34" t="inlineStr"/>
      <c r="H34" t="inlineStr">
        <is>
          <t>4.67%</t>
        </is>
      </c>
      <c r="I34" t="inlineStr">
        <is>
          <t>0.00%</t>
        </is>
      </c>
    </row>
    <row r="35">
      <c r="A35" s="2" t="n">
        <v>45975</v>
      </c>
      <c r="B35" t="inlineStr">
        <is>
          <t>FGSI</t>
        </is>
      </c>
      <c r="C35" t="inlineStr">
        <is>
          <t>GICS_INDUSTRY_GROUP_NAME</t>
        </is>
      </c>
      <c r="D35" t="inlineStr">
        <is>
          <t>Energy</t>
        </is>
      </c>
      <c r="E35" t="inlineStr">
        <is>
          <t>Energy</t>
        </is>
      </c>
      <c r="F35" t="inlineStr"/>
      <c r="G35" t="inlineStr"/>
      <c r="H35" t="inlineStr">
        <is>
          <t>4.55%</t>
        </is>
      </c>
      <c r="I35" t="inlineStr">
        <is>
          <t>0.00%</t>
        </is>
      </c>
    </row>
    <row r="36">
      <c r="A36" s="2" t="n">
        <v>45975</v>
      </c>
      <c r="B36" t="inlineStr">
        <is>
          <t>FGSI</t>
        </is>
      </c>
      <c r="C36" t="inlineStr">
        <is>
          <t>GICS_INDUSTRY_NAME</t>
        </is>
      </c>
      <c r="D36" t="inlineStr">
        <is>
          <t>Energy Equipment &amp; Services</t>
        </is>
      </c>
      <c r="E36" t="inlineStr">
        <is>
          <t>Energy</t>
        </is>
      </c>
      <c r="F36" t="inlineStr"/>
      <c r="G36" t="inlineStr"/>
      <c r="H36" t="inlineStr">
        <is>
          <t>4.55%</t>
        </is>
      </c>
      <c r="I36" t="inlineStr">
        <is>
          <t>0.00%</t>
        </is>
      </c>
    </row>
    <row r="37">
      <c r="A37" s="2" t="n">
        <v>45975</v>
      </c>
      <c r="B37" t="inlineStr">
        <is>
          <t>FGSI</t>
        </is>
      </c>
      <c r="C37" t="inlineStr">
        <is>
          <t>GICS_INDUSTRY_GROUP_NAME</t>
        </is>
      </c>
      <c r="D37" t="inlineStr">
        <is>
          <t>Capital Goods</t>
        </is>
      </c>
      <c r="E37" t="inlineStr">
        <is>
          <t>Industrials</t>
        </is>
      </c>
      <c r="F37" t="inlineStr"/>
      <c r="G37" t="inlineStr"/>
      <c r="H37" t="inlineStr">
        <is>
          <t>4.09%</t>
        </is>
      </c>
      <c r="I37" t="inlineStr">
        <is>
          <t>0.00%</t>
        </is>
      </c>
    </row>
    <row r="38">
      <c r="A38" s="2" t="n">
        <v>45975</v>
      </c>
      <c r="B38" t="inlineStr">
        <is>
          <t>FGSI</t>
        </is>
      </c>
      <c r="C38" t="inlineStr">
        <is>
          <t>GICS_INDUSTRY_GROUP_NAME</t>
        </is>
      </c>
      <c r="D38" t="inlineStr">
        <is>
          <t>Consumer Staples Distribution &amp; Retail</t>
        </is>
      </c>
      <c r="E38" t="inlineStr">
        <is>
          <t>Consumer Staples</t>
        </is>
      </c>
      <c r="F38" t="inlineStr"/>
      <c r="G38" t="inlineStr"/>
      <c r="H38" t="inlineStr">
        <is>
          <t>3.99%</t>
        </is>
      </c>
      <c r="I38" t="inlineStr">
        <is>
          <t>0.00%</t>
        </is>
      </c>
    </row>
    <row r="39">
      <c r="A39" s="2" t="n">
        <v>45975</v>
      </c>
      <c r="B39" t="inlineStr">
        <is>
          <t>FGSI</t>
        </is>
      </c>
      <c r="C39" t="inlineStr">
        <is>
          <t>GICS_INDUSTRY_NAME</t>
        </is>
      </c>
      <c r="D39" t="inlineStr">
        <is>
          <t>Consumer Staples Distribution &amp; Retail</t>
        </is>
      </c>
      <c r="E39" t="inlineStr">
        <is>
          <t>Consumer Staples</t>
        </is>
      </c>
      <c r="F39" t="inlineStr"/>
      <c r="G39" t="inlineStr"/>
      <c r="H39" t="inlineStr">
        <is>
          <t>3.99%</t>
        </is>
      </c>
      <c r="I39" t="inlineStr">
        <is>
          <t>0.00%</t>
        </is>
      </c>
    </row>
    <row r="40">
      <c r="A40" s="2" t="n">
        <v>45975</v>
      </c>
      <c r="B40" t="inlineStr">
        <is>
          <t>FGSI</t>
        </is>
      </c>
      <c r="C40" t="inlineStr">
        <is>
          <t>GICS_INDUSTRY_GROUP_NAME</t>
        </is>
      </c>
      <c r="D40" t="inlineStr">
        <is>
          <t>Commercial &amp; Professional Services</t>
        </is>
      </c>
      <c r="E40" t="inlineStr">
        <is>
          <t>Industrials</t>
        </is>
      </c>
      <c r="F40" t="inlineStr"/>
      <c r="G40" t="inlineStr"/>
      <c r="H40" t="inlineStr">
        <is>
          <t>3.76%</t>
        </is>
      </c>
      <c r="I40" t="inlineStr">
        <is>
          <t>0.00%</t>
        </is>
      </c>
    </row>
    <row r="41">
      <c r="A41" s="2" t="n">
        <v>45975</v>
      </c>
      <c r="B41" t="inlineStr">
        <is>
          <t>FGSI</t>
        </is>
      </c>
      <c r="C41" t="inlineStr">
        <is>
          <t>GICS_INDUSTRY_GROUP_NAME</t>
        </is>
      </c>
      <c r="D41" t="inlineStr">
        <is>
          <t>Health Care Equipment &amp; Services</t>
        </is>
      </c>
      <c r="E41" t="inlineStr">
        <is>
          <t>Health Care</t>
        </is>
      </c>
      <c r="F41" t="inlineStr"/>
      <c r="G41" t="inlineStr"/>
      <c r="H41" t="inlineStr">
        <is>
          <t>3.68%</t>
        </is>
      </c>
      <c r="I41" t="inlineStr">
        <is>
          <t>0.00%</t>
        </is>
      </c>
    </row>
    <row r="42">
      <c r="A42" s="2" t="n">
        <v>45975</v>
      </c>
      <c r="B42" t="inlineStr">
        <is>
          <t>FGSI</t>
        </is>
      </c>
      <c r="C42" t="inlineStr">
        <is>
          <t>GICS_INDUSTRY_NAME</t>
        </is>
      </c>
      <c r="D42" t="inlineStr">
        <is>
          <t>Health Care Equipment &amp; Supplies</t>
        </is>
      </c>
      <c r="E42" t="inlineStr">
        <is>
          <t>Health Care</t>
        </is>
      </c>
      <c r="F42" t="inlineStr"/>
      <c r="G42" t="inlineStr"/>
      <c r="H42" t="inlineStr">
        <is>
          <t>3.68%</t>
        </is>
      </c>
      <c r="I42" t="inlineStr">
        <is>
          <t>0.00%</t>
        </is>
      </c>
    </row>
    <row r="43">
      <c r="A43" s="2" t="n">
        <v>45975</v>
      </c>
      <c r="B43" t="inlineStr">
        <is>
          <t>FGSI</t>
        </is>
      </c>
      <c r="C43" t="inlineStr">
        <is>
          <t>GICS_INDUSTRY_GROUP_NAME</t>
        </is>
      </c>
      <c r="D43" t="inlineStr">
        <is>
          <t>Consumer Durables &amp; Apparel</t>
        </is>
      </c>
      <c r="E43" t="inlineStr">
        <is>
          <t>Consumer Discretionary</t>
        </is>
      </c>
      <c r="F43" t="inlineStr"/>
      <c r="G43" t="inlineStr"/>
      <c r="H43" t="inlineStr">
        <is>
          <t>3.56%</t>
        </is>
      </c>
      <c r="I43" t="inlineStr">
        <is>
          <t>0.00%</t>
        </is>
      </c>
    </row>
    <row r="44">
      <c r="A44" s="2" t="n">
        <v>45975</v>
      </c>
      <c r="B44" t="inlineStr">
        <is>
          <t>FGSI</t>
        </is>
      </c>
      <c r="C44" t="inlineStr">
        <is>
          <t>GICS_INDUSTRY_NAME</t>
        </is>
      </c>
      <c r="D44" t="inlineStr">
        <is>
          <t>Household Durables</t>
        </is>
      </c>
      <c r="E44" t="inlineStr">
        <is>
          <t>Consumer Discretionary</t>
        </is>
      </c>
      <c r="F44" t="inlineStr"/>
      <c r="G44" t="inlineStr"/>
      <c r="H44" t="inlineStr">
        <is>
          <t>3.56%</t>
        </is>
      </c>
      <c r="I44" t="inlineStr">
        <is>
          <t>0.00%</t>
        </is>
      </c>
    </row>
    <row r="45">
      <c r="A45" s="2" t="n">
        <v>45975</v>
      </c>
      <c r="B45" t="inlineStr">
        <is>
          <t>FGSI</t>
        </is>
      </c>
      <c r="C45" t="inlineStr">
        <is>
          <t>GICS_INDUSTRY_GROUP_NAME</t>
        </is>
      </c>
      <c r="D45" t="inlineStr">
        <is>
          <t>Consumer Services</t>
        </is>
      </c>
      <c r="E45" t="inlineStr">
        <is>
          <t>Consumer Discretionary</t>
        </is>
      </c>
      <c r="F45" t="inlineStr"/>
      <c r="G45" t="inlineStr"/>
      <c r="H45" t="inlineStr">
        <is>
          <t>3.55%</t>
        </is>
      </c>
      <c r="I45" t="inlineStr">
        <is>
          <t>0.00%</t>
        </is>
      </c>
    </row>
    <row r="46">
      <c r="A46" s="2" t="n">
        <v>45975</v>
      </c>
      <c r="B46" t="inlineStr">
        <is>
          <t>FGSI</t>
        </is>
      </c>
      <c r="C46" t="inlineStr">
        <is>
          <t>GICS_INDUSTRY_NAME</t>
        </is>
      </c>
      <c r="D46" t="inlineStr">
        <is>
          <t>Hotels, Restaurants &amp; Leisure</t>
        </is>
      </c>
      <c r="E46" t="inlineStr">
        <is>
          <t>Consumer Discretionary</t>
        </is>
      </c>
      <c r="F46" t="inlineStr"/>
      <c r="G46" t="inlineStr"/>
      <c r="H46" t="inlineStr">
        <is>
          <t>3.55%</t>
        </is>
      </c>
      <c r="I46" t="inlineStr">
        <is>
          <t>0.00%</t>
        </is>
      </c>
    </row>
    <row r="47">
      <c r="A47" s="2" t="n">
        <v>45975</v>
      </c>
      <c r="B47" t="inlineStr">
        <is>
          <t>FGSI</t>
        </is>
      </c>
      <c r="C47" t="inlineStr">
        <is>
          <t>GICS_INDUSTRY_NAME</t>
        </is>
      </c>
      <c r="D47" t="inlineStr">
        <is>
          <t>Interactive Media &amp; Services</t>
        </is>
      </c>
      <c r="E47" t="inlineStr">
        <is>
          <t>Communication Services</t>
        </is>
      </c>
      <c r="F47" t="inlineStr"/>
      <c r="G47" t="inlineStr"/>
      <c r="H47" t="inlineStr">
        <is>
          <t>3.44%</t>
        </is>
      </c>
      <c r="I47" t="inlineStr">
        <is>
          <t>0.00%</t>
        </is>
      </c>
    </row>
    <row r="48">
      <c r="A48" s="2" t="n">
        <v>45975</v>
      </c>
      <c r="B48" t="inlineStr">
        <is>
          <t>FGSI</t>
        </is>
      </c>
      <c r="C48" t="inlineStr">
        <is>
          <t>GICS_INDUSTRY_NAME</t>
        </is>
      </c>
      <c r="D48" t="inlineStr">
        <is>
          <t>Pharmaceuticals</t>
        </is>
      </c>
      <c r="E48" t="inlineStr">
        <is>
          <t>Health Care</t>
        </is>
      </c>
      <c r="F48" t="inlineStr"/>
      <c r="G48" t="inlineStr"/>
      <c r="H48" t="inlineStr">
        <is>
          <t>2.63%</t>
        </is>
      </c>
      <c r="I48" t="inlineStr">
        <is>
          <t>0.00%</t>
        </is>
      </c>
    </row>
    <row r="49">
      <c r="A49" s="2" t="n">
        <v>45975</v>
      </c>
      <c r="B49" t="inlineStr">
        <is>
          <t>FGSI</t>
        </is>
      </c>
      <c r="C49" t="inlineStr">
        <is>
          <t>GICS_INDUSTRY_NAME</t>
        </is>
      </c>
      <c r="D49" t="inlineStr">
        <is>
          <t>Electronic Equipment, Instruments &amp; Components</t>
        </is>
      </c>
      <c r="E49" t="inlineStr">
        <is>
          <t>Information Technology</t>
        </is>
      </c>
      <c r="F49" t="inlineStr"/>
      <c r="G49" t="inlineStr"/>
      <c r="H49" t="inlineStr">
        <is>
          <t>2.19%</t>
        </is>
      </c>
      <c r="I49" t="inlineStr">
        <is>
          <t>0.00%</t>
        </is>
      </c>
    </row>
    <row r="50">
      <c r="A50" s="2" t="n">
        <v>45975</v>
      </c>
      <c r="B50" t="inlineStr">
        <is>
          <t>FGSI</t>
        </is>
      </c>
      <c r="C50" t="inlineStr">
        <is>
          <t>GICS_INDUSTRY_NAME</t>
        </is>
      </c>
      <c r="D50" t="inlineStr">
        <is>
          <t>Machinery</t>
        </is>
      </c>
      <c r="E50" t="inlineStr">
        <is>
          <t>Industrials</t>
        </is>
      </c>
      <c r="F50" t="inlineStr"/>
      <c r="G50" t="inlineStr"/>
      <c r="H50" t="inlineStr">
        <is>
          <t>2.16%</t>
        </is>
      </c>
      <c r="I50" t="inlineStr">
        <is>
          <t>0.00%</t>
        </is>
      </c>
    </row>
    <row r="51">
      <c r="A51" s="2" t="n">
        <v>45975</v>
      </c>
      <c r="B51" t="inlineStr">
        <is>
          <t>FGSI</t>
        </is>
      </c>
      <c r="C51" t="inlineStr">
        <is>
          <t>GICS_INDUSTRY_GROUP_NAME</t>
        </is>
      </c>
      <c r="D51" t="inlineStr">
        <is>
          <t>Food, Beverage &amp; Tobacco</t>
        </is>
      </c>
      <c r="E51" t="inlineStr">
        <is>
          <t>Consumer Staples</t>
        </is>
      </c>
      <c r="F51" t="inlineStr"/>
      <c r="G51" t="inlineStr"/>
      <c r="H51" t="inlineStr">
        <is>
          <t>2.09%</t>
        </is>
      </c>
      <c r="I51" t="inlineStr">
        <is>
          <t>0.00%</t>
        </is>
      </c>
    </row>
    <row r="52">
      <c r="A52" s="2" t="n">
        <v>45975</v>
      </c>
      <c r="B52" t="inlineStr">
        <is>
          <t>FGSI</t>
        </is>
      </c>
      <c r="C52" t="inlineStr">
        <is>
          <t>GICS_INDUSTRY_NAME</t>
        </is>
      </c>
      <c r="D52" t="inlineStr">
        <is>
          <t>Beverages</t>
        </is>
      </c>
      <c r="E52" t="inlineStr">
        <is>
          <t>Consumer Staples</t>
        </is>
      </c>
      <c r="F52" t="inlineStr"/>
      <c r="G52" t="inlineStr"/>
      <c r="H52" t="inlineStr">
        <is>
          <t>2.09%</t>
        </is>
      </c>
      <c r="I52" t="inlineStr">
        <is>
          <t>0.00%</t>
        </is>
      </c>
    </row>
    <row r="53">
      <c r="A53" s="2" t="n">
        <v>45975</v>
      </c>
      <c r="B53" t="inlineStr">
        <is>
          <t>FGSI</t>
        </is>
      </c>
      <c r="C53" t="inlineStr">
        <is>
          <t>GICS_INDUSTRY_GROUP_NAME</t>
        </is>
      </c>
      <c r="D53" t="inlineStr">
        <is>
          <t>Consumer Discretionary Distribution &amp; Retail</t>
        </is>
      </c>
      <c r="E53" t="inlineStr">
        <is>
          <t>Consumer Discretionary</t>
        </is>
      </c>
      <c r="F53" t="inlineStr"/>
      <c r="G53" t="inlineStr"/>
      <c r="H53" t="inlineStr">
        <is>
          <t>2.09%</t>
        </is>
      </c>
      <c r="I53" t="inlineStr">
        <is>
          <t>0.00%</t>
        </is>
      </c>
    </row>
    <row r="54">
      <c r="A54" s="2" t="n">
        <v>45975</v>
      </c>
      <c r="B54" t="inlineStr">
        <is>
          <t>FGSI</t>
        </is>
      </c>
      <c r="C54" t="inlineStr">
        <is>
          <t>GICS_INDUSTRY_NAME</t>
        </is>
      </c>
      <c r="D54" t="inlineStr">
        <is>
          <t>Specialty Retail</t>
        </is>
      </c>
      <c r="E54" t="inlineStr">
        <is>
          <t>Consumer Discretionary</t>
        </is>
      </c>
      <c r="F54" t="inlineStr"/>
      <c r="G54" t="inlineStr"/>
      <c r="H54" t="inlineStr">
        <is>
          <t>2.09%</t>
        </is>
      </c>
      <c r="I54" t="inlineStr">
        <is>
          <t>0.00%</t>
        </is>
      </c>
    </row>
    <row r="55">
      <c r="A55" s="2" t="n">
        <v>45975</v>
      </c>
      <c r="B55" t="inlineStr">
        <is>
          <t>FGSI</t>
        </is>
      </c>
      <c r="C55" t="inlineStr">
        <is>
          <t>GICS_INDUSTRY_NAME</t>
        </is>
      </c>
      <c r="D55" t="inlineStr">
        <is>
          <t>IT Services</t>
        </is>
      </c>
      <c r="E55" t="inlineStr">
        <is>
          <t>Information Technology</t>
        </is>
      </c>
      <c r="F55" t="inlineStr"/>
      <c r="G55" t="inlineStr"/>
      <c r="H55" t="inlineStr">
        <is>
          <t>2.07%</t>
        </is>
      </c>
      <c r="I55" t="inlineStr">
        <is>
          <t>0.00%</t>
        </is>
      </c>
    </row>
    <row r="56">
      <c r="A56" s="2" t="n">
        <v>45975</v>
      </c>
      <c r="B56" t="inlineStr">
        <is>
          <t>FGSI</t>
        </is>
      </c>
      <c r="C56" t="inlineStr">
        <is>
          <t>GICS_INDUSTRY_GROUP_NAME</t>
        </is>
      </c>
      <c r="D56" t="inlineStr">
        <is>
          <t>Transportation</t>
        </is>
      </c>
      <c r="E56" t="inlineStr">
        <is>
          <t>Industrials</t>
        </is>
      </c>
      <c r="F56" t="inlineStr"/>
      <c r="G56" t="inlineStr"/>
      <c r="H56" t="inlineStr">
        <is>
          <t>2.04%</t>
        </is>
      </c>
      <c r="I56" t="inlineStr">
        <is>
          <t>0.00%</t>
        </is>
      </c>
    </row>
    <row r="57">
      <c r="A57" s="2" t="n">
        <v>45975</v>
      </c>
      <c r="B57" t="inlineStr">
        <is>
          <t>FGSI</t>
        </is>
      </c>
      <c r="C57" t="inlineStr">
        <is>
          <t>GICS_INDUSTRY_NAME</t>
        </is>
      </c>
      <c r="D57" t="inlineStr">
        <is>
          <t>Ground Transportation</t>
        </is>
      </c>
      <c r="E57" t="inlineStr">
        <is>
          <t>Industrials</t>
        </is>
      </c>
      <c r="F57" t="inlineStr"/>
      <c r="G57" t="inlineStr"/>
      <c r="H57" t="inlineStr">
        <is>
          <t>2.04%</t>
        </is>
      </c>
      <c r="I57" t="inlineStr">
        <is>
          <t>0.00%</t>
        </is>
      </c>
    </row>
    <row r="58">
      <c r="A58" s="2" t="n">
        <v>45975</v>
      </c>
      <c r="B58" t="inlineStr">
        <is>
          <t>FGSI</t>
        </is>
      </c>
      <c r="C58" t="inlineStr">
        <is>
          <t>GICS_INDUSTRY_GROUP_NAME</t>
        </is>
      </c>
      <c r="D58" t="inlineStr">
        <is>
          <t>Materials</t>
        </is>
      </c>
      <c r="E58" t="inlineStr">
        <is>
          <t>Materials</t>
        </is>
      </c>
      <c r="F58" t="inlineStr"/>
      <c r="G58" t="inlineStr"/>
      <c r="H58" t="inlineStr">
        <is>
          <t>1.99%</t>
        </is>
      </c>
      <c r="I58" t="inlineStr">
        <is>
          <t>0.00%</t>
        </is>
      </c>
    </row>
    <row r="59">
      <c r="A59" s="2" t="n">
        <v>45975</v>
      </c>
      <c r="B59" t="inlineStr">
        <is>
          <t>FGSI</t>
        </is>
      </c>
      <c r="C59" t="inlineStr">
        <is>
          <t>GICS_INDUSTRY_NAME</t>
        </is>
      </c>
      <c r="D59" t="inlineStr">
        <is>
          <t>Metals &amp; Mining</t>
        </is>
      </c>
      <c r="E59" t="inlineStr">
        <is>
          <t>Materials</t>
        </is>
      </c>
      <c r="F59" t="inlineStr"/>
      <c r="G59" t="inlineStr"/>
      <c r="H59" t="inlineStr">
        <is>
          <t>1.99%</t>
        </is>
      </c>
      <c r="I59" t="inlineStr">
        <is>
          <t>0.00%</t>
        </is>
      </c>
    </row>
    <row r="60">
      <c r="A60" s="2" t="n">
        <v>45975</v>
      </c>
      <c r="B60" t="inlineStr">
        <is>
          <t>FGSI</t>
        </is>
      </c>
      <c r="C60" t="inlineStr">
        <is>
          <t>GICS_INDUSTRY_GROUP_NAME</t>
        </is>
      </c>
      <c r="D60" t="inlineStr">
        <is>
          <t>Insurance</t>
        </is>
      </c>
      <c r="E60" t="inlineStr">
        <is>
          <t>Financials</t>
        </is>
      </c>
      <c r="F60" t="inlineStr"/>
      <c r="G60" t="inlineStr"/>
      <c r="H60" t="inlineStr">
        <is>
          <t>1.98%</t>
        </is>
      </c>
      <c r="I60" t="inlineStr">
        <is>
          <t>0.00%</t>
        </is>
      </c>
    </row>
    <row r="61">
      <c r="A61" s="2" t="n">
        <v>45975</v>
      </c>
      <c r="B61" t="inlineStr">
        <is>
          <t>FGSI</t>
        </is>
      </c>
      <c r="C61" t="inlineStr">
        <is>
          <t>GICS_INDUSTRY_NAME</t>
        </is>
      </c>
      <c r="D61" t="inlineStr">
        <is>
          <t>Insurance</t>
        </is>
      </c>
      <c r="E61" t="inlineStr">
        <is>
          <t>Financials</t>
        </is>
      </c>
      <c r="F61" t="inlineStr"/>
      <c r="G61" t="inlineStr"/>
      <c r="H61" t="inlineStr">
        <is>
          <t>1.98%</t>
        </is>
      </c>
      <c r="I61" t="inlineStr">
        <is>
          <t>0.00%</t>
        </is>
      </c>
    </row>
    <row r="62">
      <c r="A62" s="2" t="n">
        <v>45975</v>
      </c>
      <c r="B62" t="inlineStr">
        <is>
          <t>FGSI</t>
        </is>
      </c>
      <c r="C62" t="inlineStr">
        <is>
          <t>GICS_INDUSTRY_NAME</t>
        </is>
      </c>
      <c r="D62" t="inlineStr">
        <is>
          <t>Aerospace &amp; Defense</t>
        </is>
      </c>
      <c r="E62" t="inlineStr">
        <is>
          <t>Industrials</t>
        </is>
      </c>
      <c r="F62" t="inlineStr"/>
      <c r="G62" t="inlineStr"/>
      <c r="H62" t="inlineStr">
        <is>
          <t>1.93%</t>
        </is>
      </c>
      <c r="I62" t="inlineStr">
        <is>
          <t>0.00%</t>
        </is>
      </c>
    </row>
    <row r="63">
      <c r="A63" s="2" t="n">
        <v>45975</v>
      </c>
      <c r="B63" t="inlineStr">
        <is>
          <t>FGSI</t>
        </is>
      </c>
      <c r="C63" t="inlineStr">
        <is>
          <t>GICS_INDUSTRY_NAME</t>
        </is>
      </c>
      <c r="D63" t="inlineStr">
        <is>
          <t>Entertainment</t>
        </is>
      </c>
      <c r="E63" t="inlineStr">
        <is>
          <t>Communication Services</t>
        </is>
      </c>
      <c r="F63" t="inlineStr"/>
      <c r="G63" t="inlineStr"/>
      <c r="H63" t="inlineStr">
        <is>
          <t>1.93%</t>
        </is>
      </c>
      <c r="I63" t="inlineStr">
        <is>
          <t>0.00%</t>
        </is>
      </c>
    </row>
    <row r="64">
      <c r="A64" s="2" t="n">
        <v>45975</v>
      </c>
      <c r="B64" t="inlineStr">
        <is>
          <t>FGSI</t>
        </is>
      </c>
      <c r="C64" t="inlineStr">
        <is>
          <t>GICS_INDUSTRY_NAME</t>
        </is>
      </c>
      <c r="D64" t="inlineStr">
        <is>
          <t>Commercial Services &amp; Supplies</t>
        </is>
      </c>
      <c r="E64" t="inlineStr">
        <is>
          <t>Industrials</t>
        </is>
      </c>
      <c r="F64" t="inlineStr"/>
      <c r="G64" t="inlineStr"/>
      <c r="H64" t="inlineStr">
        <is>
          <t>1.91%</t>
        </is>
      </c>
      <c r="I64" t="inlineStr">
        <is>
          <t>0.00%</t>
        </is>
      </c>
    </row>
    <row r="65">
      <c r="A65" s="2" t="n">
        <v>45975</v>
      </c>
      <c r="B65" t="inlineStr">
        <is>
          <t>FGSI</t>
        </is>
      </c>
      <c r="C65" t="inlineStr">
        <is>
          <t>GICS_INDUSTRY_NAME</t>
        </is>
      </c>
      <c r="D65" t="inlineStr">
        <is>
          <t>Professional Services</t>
        </is>
      </c>
      <c r="E65" t="inlineStr">
        <is>
          <t>Industrials</t>
        </is>
      </c>
      <c r="F65" t="inlineStr"/>
      <c r="G65" t="inlineStr"/>
      <c r="H65" t="inlineStr">
        <is>
          <t>1.85%</t>
        </is>
      </c>
      <c r="I65" t="inlineStr">
        <is>
          <t>0.00%</t>
        </is>
      </c>
    </row>
    <row r="66">
      <c r="A66" s="2" t="n">
        <v>45975</v>
      </c>
      <c r="B66" t="inlineStr">
        <is>
          <t>FGSI</t>
        </is>
      </c>
      <c r="C66" t="inlineStr">
        <is>
          <t>GICS_INDUSTRY_NAME</t>
        </is>
      </c>
      <c r="D66" t="inlineStr">
        <is>
          <t>Media</t>
        </is>
      </c>
      <c r="E66" t="inlineStr">
        <is>
          <t>Communication Services</t>
        </is>
      </c>
      <c r="F66" t="inlineStr"/>
      <c r="G66" t="inlineStr"/>
      <c r="H66" t="inlineStr">
        <is>
          <t>1.73%</t>
        </is>
      </c>
      <c r="I66" t="inlineStr">
        <is>
          <t>0.00%</t>
        </is>
      </c>
    </row>
    <row r="67">
      <c r="A67" s="2" t="n">
        <v>45975</v>
      </c>
      <c r="B67" t="inlineStr">
        <is>
          <t>KNG</t>
        </is>
      </c>
      <c r="C67" t="inlineStr">
        <is>
          <t>GICS_INDUSTRY_GROUP_NAME</t>
        </is>
      </c>
      <c r="D67" t="inlineStr">
        <is>
          <t>Capital Goods</t>
        </is>
      </c>
      <c r="E67" t="inlineStr">
        <is>
          <t>Industrials</t>
        </is>
      </c>
      <c r="F67" t="inlineStr"/>
      <c r="G67" t="inlineStr"/>
      <c r="H67" t="inlineStr">
        <is>
          <t>15.82%</t>
        </is>
      </c>
      <c r="I67" t="inlineStr">
        <is>
          <t>0.00%</t>
        </is>
      </c>
    </row>
    <row r="68">
      <c r="A68" s="2" t="n">
        <v>45975</v>
      </c>
      <c r="B68" t="inlineStr">
        <is>
          <t>KNG</t>
        </is>
      </c>
      <c r="C68" t="inlineStr">
        <is>
          <t>GICS_INDUSTRY_GROUP_NAME</t>
        </is>
      </c>
      <c r="D68" t="inlineStr">
        <is>
          <t>Materials</t>
        </is>
      </c>
      <c r="E68" t="inlineStr">
        <is>
          <t>Materials</t>
        </is>
      </c>
      <c r="F68" t="inlineStr"/>
      <c r="G68" t="inlineStr"/>
      <c r="H68" t="inlineStr">
        <is>
          <t>11.97%</t>
        </is>
      </c>
      <c r="I68" t="inlineStr">
        <is>
          <t>0.00%</t>
        </is>
      </c>
    </row>
    <row r="69">
      <c r="A69" s="2" t="n">
        <v>45975</v>
      </c>
      <c r="B69" t="inlineStr">
        <is>
          <t>KNG</t>
        </is>
      </c>
      <c r="C69" t="inlineStr">
        <is>
          <t>GICS_INDUSTRY_GROUP_NAME</t>
        </is>
      </c>
      <c r="D69" t="inlineStr">
        <is>
          <t>Food, Beverage &amp; Tobacco</t>
        </is>
      </c>
      <c r="E69" t="inlineStr">
        <is>
          <t>Consumer Staples</t>
        </is>
      </c>
      <c r="F69" t="inlineStr"/>
      <c r="G69" t="inlineStr"/>
      <c r="H69" t="inlineStr">
        <is>
          <t>9.93%</t>
        </is>
      </c>
      <c r="I69" t="inlineStr">
        <is>
          <t>0.00%</t>
        </is>
      </c>
    </row>
    <row r="70">
      <c r="A70" s="2" t="n">
        <v>45975</v>
      </c>
      <c r="B70" t="inlineStr">
        <is>
          <t>KNG</t>
        </is>
      </c>
      <c r="C70" t="inlineStr">
        <is>
          <t>GICS_INDUSTRY_NAME</t>
        </is>
      </c>
      <c r="D70" t="inlineStr">
        <is>
          <t>Chemicals</t>
        </is>
      </c>
      <c r="E70" t="inlineStr">
        <is>
          <t>Materials</t>
        </is>
      </c>
      <c r="F70" t="inlineStr"/>
      <c r="G70" t="inlineStr"/>
      <c r="H70" t="inlineStr">
        <is>
          <t>8.89%</t>
        </is>
      </c>
      <c r="I70" t="inlineStr">
        <is>
          <t>0.00%</t>
        </is>
      </c>
    </row>
    <row r="71">
      <c r="A71" s="2" t="n">
        <v>45975</v>
      </c>
      <c r="B71" t="inlineStr">
        <is>
          <t>KNG</t>
        </is>
      </c>
      <c r="C71" t="inlineStr">
        <is>
          <t>GICS_INDUSTRY_NAME</t>
        </is>
      </c>
      <c r="D71" t="inlineStr">
        <is>
          <t>Machinery</t>
        </is>
      </c>
      <c r="E71" t="inlineStr">
        <is>
          <t>Industrials</t>
        </is>
      </c>
      <c r="F71" t="inlineStr"/>
      <c r="G71" t="inlineStr"/>
      <c r="H71" t="inlineStr">
        <is>
          <t>8.76%</t>
        </is>
      </c>
      <c r="I71" t="inlineStr">
        <is>
          <t>0.00%</t>
        </is>
      </c>
    </row>
    <row r="72">
      <c r="A72" s="2" t="n">
        <v>45975</v>
      </c>
      <c r="B72" t="inlineStr">
        <is>
          <t>KNG</t>
        </is>
      </c>
      <c r="C72" t="inlineStr">
        <is>
          <t>GICS_INDUSTRY_GROUP_NAME</t>
        </is>
      </c>
      <c r="D72" t="inlineStr">
        <is>
          <t>Household &amp; Personal Products</t>
        </is>
      </c>
      <c r="E72" t="inlineStr">
        <is>
          <t>Consumer Staples</t>
        </is>
      </c>
      <c r="F72" t="inlineStr"/>
      <c r="G72" t="inlineStr"/>
      <c r="H72" t="inlineStr">
        <is>
          <t>8.35%</t>
        </is>
      </c>
      <c r="I72" t="inlineStr">
        <is>
          <t>0.00%</t>
        </is>
      </c>
    </row>
    <row r="73">
      <c r="A73" s="2" t="n">
        <v>45975</v>
      </c>
      <c r="B73" t="inlineStr">
        <is>
          <t>KNG</t>
        </is>
      </c>
      <c r="C73" t="inlineStr">
        <is>
          <t>GICS_INDUSTRY_GROUP_NAME</t>
        </is>
      </c>
      <c r="D73" t="inlineStr">
        <is>
          <t>Insurance</t>
        </is>
      </c>
      <c r="E73" t="inlineStr">
        <is>
          <t>Financials</t>
        </is>
      </c>
      <c r="F73" t="inlineStr"/>
      <c r="G73" t="inlineStr"/>
      <c r="H73" t="inlineStr">
        <is>
          <t>7.24%</t>
        </is>
      </c>
      <c r="I73" t="inlineStr">
        <is>
          <t>0.00%</t>
        </is>
      </c>
    </row>
    <row r="74">
      <c r="A74" s="2" t="n">
        <v>45975</v>
      </c>
      <c r="B74" t="inlineStr">
        <is>
          <t>KNG</t>
        </is>
      </c>
      <c r="C74" t="inlineStr">
        <is>
          <t>GICS_INDUSTRY_NAME</t>
        </is>
      </c>
      <c r="D74" t="inlineStr">
        <is>
          <t>Insurance</t>
        </is>
      </c>
      <c r="E74" t="inlineStr">
        <is>
          <t>Financials</t>
        </is>
      </c>
      <c r="F74" t="inlineStr"/>
      <c r="G74" t="inlineStr"/>
      <c r="H74" t="inlineStr">
        <is>
          <t>7.24%</t>
        </is>
      </c>
      <c r="I74" t="inlineStr">
        <is>
          <t>0.00%</t>
        </is>
      </c>
    </row>
    <row r="75">
      <c r="A75" s="2" t="n">
        <v>45975</v>
      </c>
      <c r="B75" t="inlineStr">
        <is>
          <t>KNG</t>
        </is>
      </c>
      <c r="C75" t="inlineStr">
        <is>
          <t>GICS_INDUSTRY_NAME</t>
        </is>
      </c>
      <c r="D75" t="inlineStr">
        <is>
          <t>Household Products</t>
        </is>
      </c>
      <c r="E75" t="inlineStr">
        <is>
          <t>Consumer Staples</t>
        </is>
      </c>
      <c r="F75" t="inlineStr"/>
      <c r="G75" t="inlineStr"/>
      <c r="H75" t="inlineStr">
        <is>
          <t>6.76%</t>
        </is>
      </c>
      <c r="I75" t="inlineStr">
        <is>
          <t>0.00%</t>
        </is>
      </c>
    </row>
    <row r="76">
      <c r="A76" s="2" t="n">
        <v>45975</v>
      </c>
      <c r="B76" t="inlineStr">
        <is>
          <t>KNG</t>
        </is>
      </c>
      <c r="C76" t="inlineStr">
        <is>
          <t>GICS_INDUSTRY_GROUP_NAME</t>
        </is>
      </c>
      <c r="D76" t="inlineStr">
        <is>
          <t>Health Care Equipment &amp; Services</t>
        </is>
      </c>
      <c r="E76" t="inlineStr">
        <is>
          <t>Health Care</t>
        </is>
      </c>
      <c r="F76" t="inlineStr"/>
      <c r="G76" t="inlineStr"/>
      <c r="H76" t="inlineStr">
        <is>
          <t>6.30%</t>
        </is>
      </c>
      <c r="I76" t="inlineStr">
        <is>
          <t>0.00%</t>
        </is>
      </c>
    </row>
    <row r="77">
      <c r="A77" s="2" t="n">
        <v>45975</v>
      </c>
      <c r="B77" t="inlineStr">
        <is>
          <t>KNG</t>
        </is>
      </c>
      <c r="C77" t="inlineStr">
        <is>
          <t>GICS_INDUSTRY_GROUP_NAME</t>
        </is>
      </c>
      <c r="D77" t="inlineStr">
        <is>
          <t>Utilities</t>
        </is>
      </c>
      <c r="E77" t="inlineStr">
        <is>
          <t>Utilities</t>
        </is>
      </c>
      <c r="F77" t="inlineStr"/>
      <c r="G77" t="inlineStr"/>
      <c r="H77" t="inlineStr">
        <is>
          <t>5.82%</t>
        </is>
      </c>
      <c r="I77" t="inlineStr">
        <is>
          <t>0.00%</t>
        </is>
      </c>
    </row>
    <row r="78">
      <c r="A78" s="2" t="n">
        <v>45975</v>
      </c>
      <c r="B78" t="inlineStr">
        <is>
          <t>KNG</t>
        </is>
      </c>
      <c r="C78" t="inlineStr">
        <is>
          <t>GICS_INDUSTRY_GROUP_NAME</t>
        </is>
      </c>
      <c r="D78" t="inlineStr">
        <is>
          <t>Financial Services</t>
        </is>
      </c>
      <c r="E78" t="inlineStr">
        <is>
          <t>Financials</t>
        </is>
      </c>
      <c r="F78" t="inlineStr"/>
      <c r="G78" t="inlineStr"/>
      <c r="H78" t="inlineStr">
        <is>
          <t>5.74%</t>
        </is>
      </c>
      <c r="I78" t="inlineStr">
        <is>
          <t>0.00%</t>
        </is>
      </c>
    </row>
    <row r="79">
      <c r="A79" s="2" t="n">
        <v>45975</v>
      </c>
      <c r="B79" t="inlineStr">
        <is>
          <t>KNG</t>
        </is>
      </c>
      <c r="C79" t="inlineStr">
        <is>
          <t>GICS_INDUSTRY_NAME</t>
        </is>
      </c>
      <c r="D79" t="inlineStr">
        <is>
          <t>Capital Markets</t>
        </is>
      </c>
      <c r="E79" t="inlineStr">
        <is>
          <t>Financials</t>
        </is>
      </c>
      <c r="F79" t="inlineStr"/>
      <c r="G79" t="inlineStr"/>
      <c r="H79" t="inlineStr">
        <is>
          <t>5.74%</t>
        </is>
      </c>
      <c r="I79" t="inlineStr">
        <is>
          <t>0.00%</t>
        </is>
      </c>
    </row>
    <row r="80">
      <c r="A80" s="2" t="n">
        <v>45975</v>
      </c>
      <c r="B80" t="inlineStr">
        <is>
          <t>KNG</t>
        </is>
      </c>
      <c r="C80" t="inlineStr">
        <is>
          <t>GICS_INDUSTRY_NAME</t>
        </is>
      </c>
      <c r="D80" t="inlineStr">
        <is>
          <t>Food Products</t>
        </is>
      </c>
      <c r="E80" t="inlineStr">
        <is>
          <t>Consumer Staples</t>
        </is>
      </c>
      <c r="F80" t="inlineStr"/>
      <c r="G80" t="inlineStr"/>
      <c r="H80" t="inlineStr">
        <is>
          <t>5.64%</t>
        </is>
      </c>
      <c r="I80" t="inlineStr">
        <is>
          <t>0.00%</t>
        </is>
      </c>
    </row>
    <row r="81">
      <c r="A81" s="2" t="n">
        <v>45975</v>
      </c>
      <c r="B81" t="inlineStr">
        <is>
          <t>KNG</t>
        </is>
      </c>
      <c r="C81" t="inlineStr">
        <is>
          <t>GICS_INDUSTRY_NAME</t>
        </is>
      </c>
      <c r="D81" t="inlineStr">
        <is>
          <t>Health Care Equipment &amp; Supplies</t>
        </is>
      </c>
      <c r="E81" t="inlineStr">
        <is>
          <t>Health Care</t>
        </is>
      </c>
      <c r="F81" t="inlineStr"/>
      <c r="G81" t="inlineStr"/>
      <c r="H81" t="inlineStr">
        <is>
          <t>4.43%</t>
        </is>
      </c>
      <c r="I81" t="inlineStr">
        <is>
          <t>0.00%</t>
        </is>
      </c>
    </row>
    <row r="82">
      <c r="A82" s="2" t="n">
        <v>45975</v>
      </c>
      <c r="B82" t="inlineStr">
        <is>
          <t>KNG</t>
        </is>
      </c>
      <c r="C82" t="inlineStr">
        <is>
          <t>GICS_INDUSTRY_GROUP_NAME</t>
        </is>
      </c>
      <c r="D82" t="inlineStr">
        <is>
          <t>Pharmaceuticals, Biotechnology &amp; Life Sciences</t>
        </is>
      </c>
      <c r="E82" t="inlineStr">
        <is>
          <t>Health Care</t>
        </is>
      </c>
      <c r="F82" t="inlineStr"/>
      <c r="G82" t="inlineStr"/>
      <c r="H82" t="inlineStr">
        <is>
          <t>4.33%</t>
        </is>
      </c>
      <c r="I82" t="inlineStr">
        <is>
          <t>0.00%</t>
        </is>
      </c>
    </row>
    <row r="83">
      <c r="A83" s="2" t="n">
        <v>45975</v>
      </c>
      <c r="B83" t="inlineStr">
        <is>
          <t>KNG</t>
        </is>
      </c>
      <c r="C83" t="inlineStr">
        <is>
          <t>GICS_INDUSTRY_NAME</t>
        </is>
      </c>
      <c r="D83" t="inlineStr">
        <is>
          <t>Beverages</t>
        </is>
      </c>
      <c r="E83" t="inlineStr">
        <is>
          <t>Consumer Staples</t>
        </is>
      </c>
      <c r="F83" t="inlineStr"/>
      <c r="G83" t="inlineStr"/>
      <c r="H83" t="inlineStr">
        <is>
          <t>4.29%</t>
        </is>
      </c>
      <c r="I83" t="inlineStr">
        <is>
          <t>0.00%</t>
        </is>
      </c>
    </row>
    <row r="84">
      <c r="A84" s="2" t="n">
        <v>45975</v>
      </c>
      <c r="B84" t="inlineStr">
        <is>
          <t>KNG</t>
        </is>
      </c>
      <c r="C84" t="inlineStr">
        <is>
          <t>GICS_INDUSTRY_GROUP_NAME</t>
        </is>
      </c>
      <c r="D84" t="inlineStr">
        <is>
          <t>Equity Real Estate Investment Trusts</t>
        </is>
      </c>
      <c r="E84" t="inlineStr">
        <is>
          <t>Real Estate</t>
        </is>
      </c>
      <c r="F84" t="inlineStr"/>
      <c r="G84" t="inlineStr"/>
      <c r="H84" t="inlineStr">
        <is>
          <t>4.17%</t>
        </is>
      </c>
      <c r="I84" t="inlineStr">
        <is>
          <t>0.00%</t>
        </is>
      </c>
    </row>
    <row r="85">
      <c r="A85" s="2" t="n">
        <v>45975</v>
      </c>
      <c r="B85" t="inlineStr">
        <is>
          <t>KNG</t>
        </is>
      </c>
      <c r="C85" t="inlineStr">
        <is>
          <t>GICS_INDUSTRY_GROUP_NAME</t>
        </is>
      </c>
      <c r="D85" t="inlineStr">
        <is>
          <t>Consumer Staples Distribution &amp; Retail</t>
        </is>
      </c>
      <c r="E85" t="inlineStr">
        <is>
          <t>Consumer Staples</t>
        </is>
      </c>
      <c r="F85" t="inlineStr"/>
      <c r="G85" t="inlineStr"/>
      <c r="H85" t="inlineStr">
        <is>
          <t>4.16%</t>
        </is>
      </c>
      <c r="I85" t="inlineStr">
        <is>
          <t>0.00%</t>
        </is>
      </c>
    </row>
    <row r="86">
      <c r="A86" s="2" t="n">
        <v>45975</v>
      </c>
      <c r="B86" t="inlineStr">
        <is>
          <t>KNG</t>
        </is>
      </c>
      <c r="C86" t="inlineStr">
        <is>
          <t>GICS_INDUSTRY_NAME</t>
        </is>
      </c>
      <c r="D86" t="inlineStr">
        <is>
          <t>Consumer Staples Distribution &amp; Retail</t>
        </is>
      </c>
      <c r="E86" t="inlineStr">
        <is>
          <t>Consumer Staples</t>
        </is>
      </c>
      <c r="F86" t="inlineStr"/>
      <c r="G86" t="inlineStr"/>
      <c r="H86" t="inlineStr">
        <is>
          <t>4.16%</t>
        </is>
      </c>
      <c r="I86" t="inlineStr">
        <is>
          <t>0.00%</t>
        </is>
      </c>
    </row>
    <row r="87">
      <c r="A87" s="2" t="n">
        <v>45975</v>
      </c>
      <c r="B87" t="inlineStr">
        <is>
          <t>KNG</t>
        </is>
      </c>
      <c r="C87" t="inlineStr">
        <is>
          <t>GICS_INDUSTRY_GROUP_NAME</t>
        </is>
      </c>
      <c r="D87" t="inlineStr">
        <is>
          <t>Transportation</t>
        </is>
      </c>
      <c r="E87" t="inlineStr">
        <is>
          <t>Industrials</t>
        </is>
      </c>
      <c r="F87" t="inlineStr"/>
      <c r="G87" t="inlineStr"/>
      <c r="H87" t="inlineStr">
        <is>
          <t>3.45%</t>
        </is>
      </c>
      <c r="I87" t="inlineStr">
        <is>
          <t>0.00%</t>
        </is>
      </c>
    </row>
    <row r="88">
      <c r="A88" s="2" t="n">
        <v>45975</v>
      </c>
      <c r="B88" t="inlineStr">
        <is>
          <t>KNG</t>
        </is>
      </c>
      <c r="C88" t="inlineStr">
        <is>
          <t>GICS_INDUSTRY_NAME</t>
        </is>
      </c>
      <c r="D88" t="inlineStr">
        <is>
          <t>Air Freight &amp; Logistics</t>
        </is>
      </c>
      <c r="E88" t="inlineStr">
        <is>
          <t>Industrials</t>
        </is>
      </c>
      <c r="F88" t="inlineStr"/>
      <c r="G88" t="inlineStr"/>
      <c r="H88" t="inlineStr">
        <is>
          <t>3.45%</t>
        </is>
      </c>
      <c r="I88" t="inlineStr">
        <is>
          <t>0.00%</t>
        </is>
      </c>
    </row>
    <row r="89">
      <c r="A89" s="2" t="n">
        <v>45975</v>
      </c>
      <c r="B89" t="inlineStr">
        <is>
          <t>KNG</t>
        </is>
      </c>
      <c r="C89" t="inlineStr">
        <is>
          <t>GICS_INDUSTRY_GROUP_NAME</t>
        </is>
      </c>
      <c r="D89" t="inlineStr">
        <is>
          <t>Energy</t>
        </is>
      </c>
      <c r="E89" t="inlineStr">
        <is>
          <t>Energy</t>
        </is>
      </c>
      <c r="F89" t="inlineStr"/>
      <c r="G89" t="inlineStr"/>
      <c r="H89" t="inlineStr">
        <is>
          <t>2.99%</t>
        </is>
      </c>
      <c r="I89" t="inlineStr">
        <is>
          <t>0.00%</t>
        </is>
      </c>
    </row>
    <row r="90">
      <c r="A90" s="2" t="n">
        <v>45975</v>
      </c>
      <c r="B90" t="inlineStr">
        <is>
          <t>KNG</t>
        </is>
      </c>
      <c r="C90" t="inlineStr">
        <is>
          <t>GICS_INDUSTRY_NAME</t>
        </is>
      </c>
      <c r="D90" t="inlineStr">
        <is>
          <t>Oil, Gas &amp; Consumable Fuels</t>
        </is>
      </c>
      <c r="E90" t="inlineStr">
        <is>
          <t>Energy</t>
        </is>
      </c>
      <c r="F90" t="inlineStr"/>
      <c r="G90" t="inlineStr"/>
      <c r="H90" t="inlineStr">
        <is>
          <t>2.99%</t>
        </is>
      </c>
      <c r="I90" t="inlineStr">
        <is>
          <t>0.00%</t>
        </is>
      </c>
    </row>
    <row r="91">
      <c r="A91" s="2" t="n">
        <v>45975</v>
      </c>
      <c r="B91" t="inlineStr">
        <is>
          <t>KNG</t>
        </is>
      </c>
      <c r="C91" t="inlineStr">
        <is>
          <t>GICS_INDUSTRY_NAME</t>
        </is>
      </c>
      <c r="D91" t="inlineStr">
        <is>
          <t>Electric Utilities</t>
        </is>
      </c>
      <c r="E91" t="inlineStr">
        <is>
          <t>Utilities</t>
        </is>
      </c>
      <c r="F91" t="inlineStr"/>
      <c r="G91" t="inlineStr"/>
      <c r="H91" t="inlineStr">
        <is>
          <t>2.93%</t>
        </is>
      </c>
      <c r="I91" t="inlineStr">
        <is>
          <t>0.00%</t>
        </is>
      </c>
    </row>
    <row r="92">
      <c r="A92" s="2" t="n">
        <v>45975</v>
      </c>
      <c r="B92" t="inlineStr">
        <is>
          <t>KNG</t>
        </is>
      </c>
      <c r="C92" t="inlineStr">
        <is>
          <t>GICS_INDUSTRY_GROUP_NAME</t>
        </is>
      </c>
      <c r="D92" t="inlineStr">
        <is>
          <t>Software &amp; Services</t>
        </is>
      </c>
      <c r="E92" t="inlineStr">
        <is>
          <t>Information Technology</t>
        </is>
      </c>
      <c r="F92" t="inlineStr"/>
      <c r="G92" t="inlineStr"/>
      <c r="H92" t="inlineStr">
        <is>
          <t>2.83%</t>
        </is>
      </c>
      <c r="I92" t="inlineStr">
        <is>
          <t>0.00%</t>
        </is>
      </c>
    </row>
    <row r="93">
      <c r="A93" s="2" t="n">
        <v>45975</v>
      </c>
      <c r="B93" t="inlineStr">
        <is>
          <t>KNG</t>
        </is>
      </c>
      <c r="C93" t="inlineStr">
        <is>
          <t>GICS_INDUSTRY_NAME</t>
        </is>
      </c>
      <c r="D93" t="inlineStr">
        <is>
          <t>Trading Companies &amp; Distributors</t>
        </is>
      </c>
      <c r="E93" t="inlineStr">
        <is>
          <t>Industrials</t>
        </is>
      </c>
      <c r="F93" t="inlineStr"/>
      <c r="G93" t="inlineStr"/>
      <c r="H93" t="inlineStr">
        <is>
          <t>2.77%</t>
        </is>
      </c>
      <c r="I93" t="inlineStr">
        <is>
          <t>0.00%</t>
        </is>
      </c>
    </row>
    <row r="94">
      <c r="A94" s="2" t="n">
        <v>45975</v>
      </c>
      <c r="B94" t="inlineStr">
        <is>
          <t>KNG</t>
        </is>
      </c>
      <c r="C94" t="inlineStr">
        <is>
          <t>GICS_INDUSTRY_NAME</t>
        </is>
      </c>
      <c r="D94" t="inlineStr">
        <is>
          <t>Retail REITs</t>
        </is>
      </c>
      <c r="E94" t="inlineStr">
        <is>
          <t>Real Estate</t>
        </is>
      </c>
      <c r="F94" t="inlineStr"/>
      <c r="G94" t="inlineStr"/>
      <c r="H94" t="inlineStr">
        <is>
          <t>2.77%</t>
        </is>
      </c>
      <c r="I94" t="inlineStr">
        <is>
          <t>0.00%</t>
        </is>
      </c>
    </row>
    <row r="95">
      <c r="A95" s="2" t="n">
        <v>45975</v>
      </c>
      <c r="B95" t="inlineStr">
        <is>
          <t>KNG</t>
        </is>
      </c>
      <c r="C95" t="inlineStr">
        <is>
          <t>GICS_INDUSTRY_GROUP_NAME</t>
        </is>
      </c>
      <c r="D95" t="inlineStr">
        <is>
          <t>Consumer Discretionary Distribution &amp; Retail</t>
        </is>
      </c>
      <c r="E95" t="inlineStr">
        <is>
          <t>Consumer Discretionary</t>
        </is>
      </c>
      <c r="F95" t="inlineStr"/>
      <c r="G95" t="inlineStr"/>
      <c r="H95" t="inlineStr">
        <is>
          <t>2.75%</t>
        </is>
      </c>
      <c r="I95" t="inlineStr">
        <is>
          <t>0.00%</t>
        </is>
      </c>
    </row>
    <row r="96">
      <c r="A96" s="2" t="n">
        <v>45975</v>
      </c>
      <c r="B96" t="inlineStr">
        <is>
          <t>KNG</t>
        </is>
      </c>
      <c r="C96" t="inlineStr">
        <is>
          <t>GICS_INDUSTRY_GROUP_NAME</t>
        </is>
      </c>
      <c r="D96" t="inlineStr">
        <is>
          <t>Commercial &amp; Professional Services</t>
        </is>
      </c>
      <c r="E96" t="inlineStr">
        <is>
          <t>Industrials</t>
        </is>
      </c>
      <c r="F96" t="inlineStr"/>
      <c r="G96" t="inlineStr"/>
      <c r="H96" t="inlineStr">
        <is>
          <t>2.70%</t>
        </is>
      </c>
      <c r="I96" t="inlineStr">
        <is>
          <t>0.00%</t>
        </is>
      </c>
    </row>
    <row r="97">
      <c r="A97" s="2" t="n">
        <v>45975</v>
      </c>
      <c r="B97" t="inlineStr">
        <is>
          <t>KNG</t>
        </is>
      </c>
      <c r="C97" t="inlineStr">
        <is>
          <t>GICS_INDUSTRY_NAME</t>
        </is>
      </c>
      <c r="D97" t="inlineStr">
        <is>
          <t>Health Care Providers &amp; Services</t>
        </is>
      </c>
      <c r="E97" t="inlineStr">
        <is>
          <t>Health Care</t>
        </is>
      </c>
      <c r="F97" t="inlineStr"/>
      <c r="G97" t="inlineStr"/>
      <c r="H97" t="inlineStr">
        <is>
          <t>1.87%</t>
        </is>
      </c>
      <c r="I97" t="inlineStr">
        <is>
          <t>0.00%</t>
        </is>
      </c>
    </row>
    <row r="98">
      <c r="A98" s="2" t="n">
        <v>45975</v>
      </c>
      <c r="B98" t="inlineStr">
        <is>
          <t>KNG</t>
        </is>
      </c>
      <c r="C98" t="inlineStr">
        <is>
          <t>GICS_INDUSTRY_NAME</t>
        </is>
      </c>
      <c r="D98" t="inlineStr">
        <is>
          <t>Personal Care Products</t>
        </is>
      </c>
      <c r="E98" t="inlineStr">
        <is>
          <t>Consumer Staples</t>
        </is>
      </c>
      <c r="F98" t="inlineStr"/>
      <c r="G98" t="inlineStr"/>
      <c r="H98" t="inlineStr">
        <is>
          <t>1.60%</t>
        </is>
      </c>
      <c r="I98" t="inlineStr">
        <is>
          <t>0.00%</t>
        </is>
      </c>
    </row>
    <row r="99">
      <c r="A99" s="2" t="n">
        <v>45975</v>
      </c>
      <c r="B99" t="inlineStr">
        <is>
          <t>KNG</t>
        </is>
      </c>
      <c r="C99" t="inlineStr">
        <is>
          <t>GICS_INDUSTRY_NAME</t>
        </is>
      </c>
      <c r="D99" t="inlineStr">
        <is>
          <t>Metals &amp; Mining</t>
        </is>
      </c>
      <c r="E99" t="inlineStr">
        <is>
          <t>Materials</t>
        </is>
      </c>
      <c r="F99" t="inlineStr"/>
      <c r="G99" t="inlineStr"/>
      <c r="H99" t="inlineStr">
        <is>
          <t>1.57%</t>
        </is>
      </c>
      <c r="I99" t="inlineStr">
        <is>
          <t>0.00%</t>
        </is>
      </c>
    </row>
    <row r="100">
      <c r="A100" s="2" t="n">
        <v>45975</v>
      </c>
      <c r="B100" t="inlineStr">
        <is>
          <t>KNG</t>
        </is>
      </c>
      <c r="C100" t="inlineStr">
        <is>
          <t>GICS_INDUSTRY_NAME</t>
        </is>
      </c>
      <c r="D100" t="inlineStr">
        <is>
          <t>IT Services</t>
        </is>
      </c>
      <c r="E100" t="inlineStr">
        <is>
          <t>Information Technology</t>
        </is>
      </c>
      <c r="F100" t="inlineStr"/>
      <c r="G100" t="inlineStr"/>
      <c r="H100" t="inlineStr">
        <is>
          <t>1.55%</t>
        </is>
      </c>
      <c r="I100" t="inlineStr">
        <is>
          <t>0.00%</t>
        </is>
      </c>
    </row>
    <row r="101">
      <c r="A101" s="2" t="n">
        <v>45975</v>
      </c>
      <c r="B101" t="inlineStr">
        <is>
          <t>KNG</t>
        </is>
      </c>
      <c r="C101" t="inlineStr">
        <is>
          <t>GICS_INDUSTRY_NAME</t>
        </is>
      </c>
      <c r="D101" t="inlineStr">
        <is>
          <t>Containers &amp; Packaging</t>
        </is>
      </c>
      <c r="E101" t="inlineStr">
        <is>
          <t>Materials</t>
        </is>
      </c>
      <c r="F101" t="inlineStr"/>
      <c r="G101" t="inlineStr"/>
      <c r="H101" t="inlineStr">
        <is>
          <t>1.52%</t>
        </is>
      </c>
      <c r="I101" t="inlineStr">
        <is>
          <t>0.00%</t>
        </is>
      </c>
    </row>
    <row r="102">
      <c r="A102" s="2" t="n">
        <v>45975</v>
      </c>
      <c r="B102" t="inlineStr">
        <is>
          <t>KNG</t>
        </is>
      </c>
      <c r="C102" t="inlineStr">
        <is>
          <t>GICS_INDUSTRY_NAME</t>
        </is>
      </c>
      <c r="D102" t="inlineStr">
        <is>
          <t>Aerospace &amp; Defense</t>
        </is>
      </c>
      <c r="E102" t="inlineStr">
        <is>
          <t>Industrials</t>
        </is>
      </c>
      <c r="F102" t="inlineStr"/>
      <c r="G102" t="inlineStr"/>
      <c r="H102" t="inlineStr">
        <is>
          <t>1.48%</t>
        </is>
      </c>
      <c r="I102" t="inlineStr">
        <is>
          <t>0.00%</t>
        </is>
      </c>
    </row>
    <row r="103">
      <c r="A103" s="2" t="n">
        <v>45975</v>
      </c>
      <c r="B103" t="inlineStr">
        <is>
          <t>KNG</t>
        </is>
      </c>
      <c r="C103" t="inlineStr">
        <is>
          <t>GICS_INDUSTRY_NAME</t>
        </is>
      </c>
      <c r="D103" t="inlineStr">
        <is>
          <t>Biotechnology</t>
        </is>
      </c>
      <c r="E103" t="inlineStr">
        <is>
          <t>Health Care</t>
        </is>
      </c>
      <c r="F103" t="inlineStr"/>
      <c r="G103" t="inlineStr"/>
      <c r="H103" t="inlineStr">
        <is>
          <t>1.48%</t>
        </is>
      </c>
      <c r="I103" t="inlineStr">
        <is>
          <t>0.00%</t>
        </is>
      </c>
    </row>
    <row r="104">
      <c r="A104" s="2" t="n">
        <v>45975</v>
      </c>
      <c r="B104" t="inlineStr">
        <is>
          <t>KNG</t>
        </is>
      </c>
      <c r="C104" t="inlineStr">
        <is>
          <t>GICS_INDUSTRY_NAME</t>
        </is>
      </c>
      <c r="D104" t="inlineStr">
        <is>
          <t>Pharmaceuticals</t>
        </is>
      </c>
      <c r="E104" t="inlineStr">
        <is>
          <t>Health Care</t>
        </is>
      </c>
      <c r="F104" t="inlineStr"/>
      <c r="G104" t="inlineStr"/>
      <c r="H104" t="inlineStr">
        <is>
          <t>1.48%</t>
        </is>
      </c>
      <c r="I104" t="inlineStr">
        <is>
          <t>0.00%</t>
        </is>
      </c>
    </row>
    <row r="105">
      <c r="A105" s="2" t="n">
        <v>45975</v>
      </c>
      <c r="B105" t="inlineStr">
        <is>
          <t>KNG</t>
        </is>
      </c>
      <c r="C105" t="inlineStr">
        <is>
          <t>GICS_INDUSTRY_NAME</t>
        </is>
      </c>
      <c r="D105" t="inlineStr">
        <is>
          <t>Multi-Utilities</t>
        </is>
      </c>
      <c r="E105" t="inlineStr">
        <is>
          <t>Utilities</t>
        </is>
      </c>
      <c r="F105" t="inlineStr"/>
      <c r="G105" t="inlineStr"/>
      <c r="H105" t="inlineStr">
        <is>
          <t>1.45%</t>
        </is>
      </c>
      <c r="I105" t="inlineStr">
        <is>
          <t>0.00%</t>
        </is>
      </c>
    </row>
    <row r="106">
      <c r="A106" s="2" t="n">
        <v>45975</v>
      </c>
      <c r="B106" t="inlineStr">
        <is>
          <t>KNG</t>
        </is>
      </c>
      <c r="C106" t="inlineStr">
        <is>
          <t>GICS_INDUSTRY_GROUP_NAME</t>
        </is>
      </c>
      <c r="D106" t="inlineStr">
        <is>
          <t>Consumer Services</t>
        </is>
      </c>
      <c r="E106" t="inlineStr">
        <is>
          <t>Consumer Discretionary</t>
        </is>
      </c>
      <c r="F106" t="inlineStr"/>
      <c r="G106" t="inlineStr"/>
      <c r="H106" t="inlineStr">
        <is>
          <t>1.44%</t>
        </is>
      </c>
      <c r="I106" t="inlineStr">
        <is>
          <t>0.00%</t>
        </is>
      </c>
    </row>
    <row r="107">
      <c r="A107" s="2" t="n">
        <v>45975</v>
      </c>
      <c r="B107" t="inlineStr">
        <is>
          <t>KNG</t>
        </is>
      </c>
      <c r="C107" t="inlineStr">
        <is>
          <t>GICS_INDUSTRY_NAME</t>
        </is>
      </c>
      <c r="D107" t="inlineStr">
        <is>
          <t>Hotels, Restaurants &amp; Leisure</t>
        </is>
      </c>
      <c r="E107" t="inlineStr">
        <is>
          <t>Consumer Discretionary</t>
        </is>
      </c>
      <c r="F107" t="inlineStr"/>
      <c r="G107" t="inlineStr"/>
      <c r="H107" t="inlineStr">
        <is>
          <t>1.44%</t>
        </is>
      </c>
      <c r="I107" t="inlineStr">
        <is>
          <t>0.00%</t>
        </is>
      </c>
    </row>
    <row r="108">
      <c r="A108" s="2" t="n">
        <v>45975</v>
      </c>
      <c r="B108" t="inlineStr">
        <is>
          <t>KNG</t>
        </is>
      </c>
      <c r="C108" t="inlineStr">
        <is>
          <t>GICS_INDUSTRY_NAME</t>
        </is>
      </c>
      <c r="D108" t="inlineStr">
        <is>
          <t>Gas Utilities</t>
        </is>
      </c>
      <c r="E108" t="inlineStr">
        <is>
          <t>Utilities</t>
        </is>
      </c>
      <c r="F108" t="inlineStr"/>
      <c r="G108" t="inlineStr"/>
      <c r="H108" t="inlineStr">
        <is>
          <t>1.44%</t>
        </is>
      </c>
      <c r="I108" t="inlineStr">
        <is>
          <t>0.00%</t>
        </is>
      </c>
    </row>
    <row r="109">
      <c r="A109" s="2" t="n">
        <v>45975</v>
      </c>
      <c r="B109" t="inlineStr">
        <is>
          <t>KNG</t>
        </is>
      </c>
      <c r="C109" t="inlineStr">
        <is>
          <t>GICS_INDUSTRY_NAME</t>
        </is>
      </c>
      <c r="D109" t="inlineStr">
        <is>
          <t>Electrical Equipment</t>
        </is>
      </c>
      <c r="E109" t="inlineStr">
        <is>
          <t>Industrials</t>
        </is>
      </c>
      <c r="F109" t="inlineStr"/>
      <c r="G109" t="inlineStr"/>
      <c r="H109" t="inlineStr">
        <is>
          <t>1.43%</t>
        </is>
      </c>
      <c r="I109" t="inlineStr">
        <is>
          <t>0.00%</t>
        </is>
      </c>
    </row>
    <row r="110">
      <c r="A110" s="2" t="n">
        <v>45975</v>
      </c>
      <c r="B110" t="inlineStr">
        <is>
          <t>KNG</t>
        </is>
      </c>
      <c r="C110" t="inlineStr">
        <is>
          <t>GICS_INDUSTRY_NAME</t>
        </is>
      </c>
      <c r="D110" t="inlineStr">
        <is>
          <t>Commercial Services &amp; Supplies</t>
        </is>
      </c>
      <c r="E110" t="inlineStr">
        <is>
          <t>Industrials</t>
        </is>
      </c>
      <c r="F110" t="inlineStr"/>
      <c r="G110" t="inlineStr"/>
      <c r="H110" t="inlineStr">
        <is>
          <t>1.40%</t>
        </is>
      </c>
      <c r="I110" t="inlineStr">
        <is>
          <t>0.00%</t>
        </is>
      </c>
    </row>
    <row r="111">
      <c r="A111" s="2" t="n">
        <v>45975</v>
      </c>
      <c r="B111" t="inlineStr">
        <is>
          <t>KNG</t>
        </is>
      </c>
      <c r="C111" t="inlineStr">
        <is>
          <t>GICS_INDUSTRY_NAME</t>
        </is>
      </c>
      <c r="D111" t="inlineStr">
        <is>
          <t>Residential REITs</t>
        </is>
      </c>
      <c r="E111" t="inlineStr">
        <is>
          <t>Real Estate</t>
        </is>
      </c>
      <c r="F111" t="inlineStr"/>
      <c r="G111" t="inlineStr"/>
      <c r="H111" t="inlineStr">
        <is>
          <t>1.40%</t>
        </is>
      </c>
      <c r="I111" t="inlineStr">
        <is>
          <t>0.00%</t>
        </is>
      </c>
    </row>
    <row r="112">
      <c r="A112" s="2" t="n">
        <v>45975</v>
      </c>
      <c r="B112" t="inlineStr">
        <is>
          <t>KNG</t>
        </is>
      </c>
      <c r="C112" t="inlineStr">
        <is>
          <t>GICS_INDUSTRY_NAME</t>
        </is>
      </c>
      <c r="D112" t="inlineStr">
        <is>
          <t>Distributors</t>
        </is>
      </c>
      <c r="E112" t="inlineStr">
        <is>
          <t>Consumer Discretionary</t>
        </is>
      </c>
      <c r="F112" t="inlineStr"/>
      <c r="G112" t="inlineStr"/>
      <c r="H112" t="inlineStr">
        <is>
          <t>1.39%</t>
        </is>
      </c>
      <c r="I112" t="inlineStr">
        <is>
          <t>0.00%</t>
        </is>
      </c>
    </row>
    <row r="113">
      <c r="A113" s="2" t="n">
        <v>45975</v>
      </c>
      <c r="B113" t="inlineStr">
        <is>
          <t>KNG</t>
        </is>
      </c>
      <c r="C113" t="inlineStr">
        <is>
          <t>GICS_INDUSTRY_NAME</t>
        </is>
      </c>
      <c r="D113" t="inlineStr">
        <is>
          <t>Building Products</t>
        </is>
      </c>
      <c r="E113" t="inlineStr">
        <is>
          <t>Industrials</t>
        </is>
      </c>
      <c r="F113" t="inlineStr"/>
      <c r="G113" t="inlineStr"/>
      <c r="H113" t="inlineStr">
        <is>
          <t>1.38%</t>
        </is>
      </c>
      <c r="I113" t="inlineStr">
        <is>
          <t>0.00%</t>
        </is>
      </c>
    </row>
    <row r="114">
      <c r="A114" s="2" t="n">
        <v>45975</v>
      </c>
      <c r="B114" t="inlineStr">
        <is>
          <t>KNG</t>
        </is>
      </c>
      <c r="C114" t="inlineStr">
        <is>
          <t>GICS_INDUSTRY_NAME</t>
        </is>
      </c>
      <c r="D114" t="inlineStr">
        <is>
          <t>Life Sciences Tools &amp; Services</t>
        </is>
      </c>
      <c r="E114" t="inlineStr">
        <is>
          <t>Health Care</t>
        </is>
      </c>
      <c r="F114" t="inlineStr"/>
      <c r="G114" t="inlineStr"/>
      <c r="H114" t="inlineStr">
        <is>
          <t>1.37%</t>
        </is>
      </c>
      <c r="I114" t="inlineStr">
        <is>
          <t>0.00%</t>
        </is>
      </c>
    </row>
    <row r="115">
      <c r="A115" s="2" t="n">
        <v>45975</v>
      </c>
      <c r="B115" t="inlineStr">
        <is>
          <t>KNG</t>
        </is>
      </c>
      <c r="C115" t="inlineStr">
        <is>
          <t>GICS_INDUSTRY_NAME</t>
        </is>
      </c>
      <c r="D115" t="inlineStr">
        <is>
          <t>Specialty Retail</t>
        </is>
      </c>
      <c r="E115" t="inlineStr">
        <is>
          <t>Consumer Discretionary</t>
        </is>
      </c>
      <c r="F115" t="inlineStr"/>
      <c r="G115" t="inlineStr"/>
      <c r="H115" t="inlineStr">
        <is>
          <t>1.36%</t>
        </is>
      </c>
      <c r="I115" t="inlineStr">
        <is>
          <t>0.00%</t>
        </is>
      </c>
    </row>
    <row r="116">
      <c r="A116" s="2" t="n">
        <v>45975</v>
      </c>
      <c r="B116" t="inlineStr">
        <is>
          <t>KNG</t>
        </is>
      </c>
      <c r="C116" t="inlineStr">
        <is>
          <t>GICS_INDUSTRY_NAME</t>
        </is>
      </c>
      <c r="D116" t="inlineStr">
        <is>
          <t>Professional Services</t>
        </is>
      </c>
      <c r="E116" t="inlineStr">
        <is>
          <t>Industrials</t>
        </is>
      </c>
      <c r="F116" t="inlineStr"/>
      <c r="G116" t="inlineStr"/>
      <c r="H116" t="inlineStr">
        <is>
          <t>1.30%</t>
        </is>
      </c>
      <c r="I116" t="inlineStr">
        <is>
          <t>0.00%</t>
        </is>
      </c>
    </row>
    <row r="117">
      <c r="A117" s="2" t="n">
        <v>45975</v>
      </c>
      <c r="B117" t="inlineStr">
        <is>
          <t>KNG</t>
        </is>
      </c>
      <c r="C117" t="inlineStr">
        <is>
          <t>GICS_INDUSTRY_NAME</t>
        </is>
      </c>
      <c r="D117" t="inlineStr">
        <is>
          <t>Software</t>
        </is>
      </c>
      <c r="E117" t="inlineStr">
        <is>
          <t>Information Technology</t>
        </is>
      </c>
      <c r="F117" t="inlineStr"/>
      <c r="G117" t="inlineStr"/>
      <c r="H117" t="inlineStr">
        <is>
          <t>1.28%</t>
        </is>
      </c>
      <c r="I117" t="inlineStr">
        <is>
          <t>0.00%</t>
        </is>
      </c>
    </row>
    <row r="118">
      <c r="A118" s="2" t="n">
        <v>45975</v>
      </c>
      <c r="B118" t="inlineStr">
        <is>
          <t>RDVI</t>
        </is>
      </c>
      <c r="C118" t="inlineStr">
        <is>
          <t>GICS_INDUSTRY_GROUP_NAME</t>
        </is>
      </c>
      <c r="D118" t="inlineStr">
        <is>
          <t>Financial Services</t>
        </is>
      </c>
      <c r="E118" t="inlineStr">
        <is>
          <t>Financials</t>
        </is>
      </c>
      <c r="F118" t="inlineStr"/>
      <c r="G118" t="inlineStr"/>
      <c r="H118" t="inlineStr">
        <is>
          <t>15.40%</t>
        </is>
      </c>
      <c r="I118" t="inlineStr">
        <is>
          <t>0.00%</t>
        </is>
      </c>
    </row>
    <row r="119">
      <c r="A119" s="2" t="n">
        <v>45975</v>
      </c>
      <c r="B119" t="inlineStr">
        <is>
          <t>RDVI</t>
        </is>
      </c>
      <c r="C119" t="inlineStr">
        <is>
          <t>GICS_INDUSTRY_GROUP_NAME</t>
        </is>
      </c>
      <c r="D119" t="inlineStr">
        <is>
          <t>Semiconductors &amp; Semiconductor Equipment</t>
        </is>
      </c>
      <c r="E119" t="inlineStr">
        <is>
          <t>Information Technology</t>
        </is>
      </c>
      <c r="F119" t="inlineStr"/>
      <c r="G119" t="inlineStr"/>
      <c r="H119" t="inlineStr">
        <is>
          <t>13.87%</t>
        </is>
      </c>
      <c r="I119" t="inlineStr">
        <is>
          <t>0.00%</t>
        </is>
      </c>
    </row>
    <row r="120">
      <c r="A120" s="2" t="n">
        <v>45975</v>
      </c>
      <c r="B120" t="inlineStr">
        <is>
          <t>RDVI</t>
        </is>
      </c>
      <c r="C120" t="inlineStr">
        <is>
          <t>GICS_INDUSTRY_NAME</t>
        </is>
      </c>
      <c r="D120" t="inlineStr">
        <is>
          <t>Semiconductors &amp; Semiconductor Equipment</t>
        </is>
      </c>
      <c r="E120" t="inlineStr">
        <is>
          <t>Information Technology</t>
        </is>
      </c>
      <c r="F120" t="inlineStr"/>
      <c r="G120" t="inlineStr"/>
      <c r="H120" t="inlineStr">
        <is>
          <t>13.87%</t>
        </is>
      </c>
      <c r="I120" t="inlineStr">
        <is>
          <t>0.00%</t>
        </is>
      </c>
    </row>
    <row r="121">
      <c r="A121" s="2" t="n">
        <v>45975</v>
      </c>
      <c r="B121" t="inlineStr">
        <is>
          <t>RDVI</t>
        </is>
      </c>
      <c r="C121" t="inlineStr">
        <is>
          <t>GICS_INDUSTRY_GROUP_NAME</t>
        </is>
      </c>
      <c r="D121" t="inlineStr">
        <is>
          <t>Insurance</t>
        </is>
      </c>
      <c r="E121" t="inlineStr">
        <is>
          <t>Financials</t>
        </is>
      </c>
      <c r="F121" t="inlineStr"/>
      <c r="G121" t="inlineStr"/>
      <c r="H121" t="inlineStr">
        <is>
          <t>12.42%</t>
        </is>
      </c>
      <c r="I121" t="inlineStr">
        <is>
          <t>0.00%</t>
        </is>
      </c>
    </row>
    <row r="122">
      <c r="A122" s="2" t="n">
        <v>45975</v>
      </c>
      <c r="B122" t="inlineStr">
        <is>
          <t>RDVI</t>
        </is>
      </c>
      <c r="C122" t="inlineStr">
        <is>
          <t>GICS_INDUSTRY_NAME</t>
        </is>
      </c>
      <c r="D122" t="inlineStr">
        <is>
          <t>Insurance</t>
        </is>
      </c>
      <c r="E122" t="inlineStr">
        <is>
          <t>Financials</t>
        </is>
      </c>
      <c r="F122" t="inlineStr"/>
      <c r="G122" t="inlineStr"/>
      <c r="H122" t="inlineStr">
        <is>
          <t>12.42%</t>
        </is>
      </c>
      <c r="I122" t="inlineStr">
        <is>
          <t>0.00%</t>
        </is>
      </c>
    </row>
    <row r="123">
      <c r="A123" s="2" t="n">
        <v>45975</v>
      </c>
      <c r="B123" t="inlineStr">
        <is>
          <t>RDVI</t>
        </is>
      </c>
      <c r="C123" t="inlineStr">
        <is>
          <t>GICS_INDUSTRY_GROUP_NAME</t>
        </is>
      </c>
      <c r="D123" t="inlineStr">
        <is>
          <t>Capital Goods</t>
        </is>
      </c>
      <c r="E123" t="inlineStr">
        <is>
          <t>Industrials</t>
        </is>
      </c>
      <c r="F123" t="inlineStr"/>
      <c r="G123" t="inlineStr"/>
      <c r="H123" t="inlineStr">
        <is>
          <t>10.61%</t>
        </is>
      </c>
      <c r="I123" t="inlineStr">
        <is>
          <t>0.00%</t>
        </is>
      </c>
    </row>
    <row r="124">
      <c r="A124" s="2" t="n">
        <v>45975</v>
      </c>
      <c r="B124" t="inlineStr">
        <is>
          <t>RDVI</t>
        </is>
      </c>
      <c r="C124" t="inlineStr">
        <is>
          <t>GICS_INDUSTRY_NAME</t>
        </is>
      </c>
      <c r="D124" t="inlineStr">
        <is>
          <t>Capital Markets</t>
        </is>
      </c>
      <c r="E124" t="inlineStr">
        <is>
          <t>Financials</t>
        </is>
      </c>
      <c r="F124" t="inlineStr"/>
      <c r="G124" t="inlineStr"/>
      <c r="H124" t="inlineStr">
        <is>
          <t>8.57%</t>
        </is>
      </c>
      <c r="I124" t="inlineStr">
        <is>
          <t>0.00%</t>
        </is>
      </c>
    </row>
    <row r="125">
      <c r="A125" s="2" t="n">
        <v>45975</v>
      </c>
      <c r="B125" t="inlineStr">
        <is>
          <t>RDVI</t>
        </is>
      </c>
      <c r="C125" t="inlineStr">
        <is>
          <t>GICS_INDUSTRY_GROUP_NAME</t>
        </is>
      </c>
      <c r="D125" t="inlineStr">
        <is>
          <t>Media &amp; Entertainment</t>
        </is>
      </c>
      <c r="E125" t="inlineStr">
        <is>
          <t>Communication Services</t>
        </is>
      </c>
      <c r="F125" t="inlineStr"/>
      <c r="G125" t="inlineStr"/>
      <c r="H125" t="inlineStr">
        <is>
          <t>7.10%</t>
        </is>
      </c>
      <c r="I125" t="inlineStr">
        <is>
          <t>0.00%</t>
        </is>
      </c>
    </row>
    <row r="126">
      <c r="A126" s="2" t="n">
        <v>45975</v>
      </c>
      <c r="B126" t="inlineStr">
        <is>
          <t>RDVI</t>
        </is>
      </c>
      <c r="C126" t="inlineStr">
        <is>
          <t>GICS_INDUSTRY_GROUP_NAME</t>
        </is>
      </c>
      <c r="D126" t="inlineStr">
        <is>
          <t>Software &amp; Services</t>
        </is>
      </c>
      <c r="E126" t="inlineStr">
        <is>
          <t>Information Technology</t>
        </is>
      </c>
      <c r="F126" t="inlineStr"/>
      <c r="G126" t="inlineStr"/>
      <c r="H126" t="inlineStr">
        <is>
          <t>6.95%</t>
        </is>
      </c>
      <c r="I126" t="inlineStr">
        <is>
          <t>0.00%</t>
        </is>
      </c>
    </row>
    <row r="127">
      <c r="A127" s="2" t="n">
        <v>45975</v>
      </c>
      <c r="B127" t="inlineStr">
        <is>
          <t>RDVI</t>
        </is>
      </c>
      <c r="C127" t="inlineStr">
        <is>
          <t>GICS_INDUSTRY_GROUP_NAME</t>
        </is>
      </c>
      <c r="D127" t="inlineStr">
        <is>
          <t>Banks</t>
        </is>
      </c>
      <c r="E127" t="inlineStr">
        <is>
          <t>Financials</t>
        </is>
      </c>
      <c r="F127" t="inlineStr"/>
      <c r="G127" t="inlineStr"/>
      <c r="H127" t="inlineStr">
        <is>
          <t>6.81%</t>
        </is>
      </c>
      <c r="I127" t="inlineStr">
        <is>
          <t>0.00%</t>
        </is>
      </c>
    </row>
    <row r="128">
      <c r="A128" s="2" t="n">
        <v>45975</v>
      </c>
      <c r="B128" t="inlineStr">
        <is>
          <t>RDVI</t>
        </is>
      </c>
      <c r="C128" t="inlineStr">
        <is>
          <t>GICS_INDUSTRY_NAME</t>
        </is>
      </c>
      <c r="D128" t="inlineStr">
        <is>
          <t>Banks</t>
        </is>
      </c>
      <c r="E128" t="inlineStr">
        <is>
          <t>Financials</t>
        </is>
      </c>
      <c r="F128" t="inlineStr"/>
      <c r="G128" t="inlineStr"/>
      <c r="H128" t="inlineStr">
        <is>
          <t>6.81%</t>
        </is>
      </c>
      <c r="I128" t="inlineStr">
        <is>
          <t>0.00%</t>
        </is>
      </c>
    </row>
    <row r="129">
      <c r="A129" s="2" t="n">
        <v>45975</v>
      </c>
      <c r="B129" t="inlineStr">
        <is>
          <t>RDVI</t>
        </is>
      </c>
      <c r="C129" t="inlineStr">
        <is>
          <t>GICS_INDUSTRY_NAME</t>
        </is>
      </c>
      <c r="D129" t="inlineStr">
        <is>
          <t>Machinery</t>
        </is>
      </c>
      <c r="E129" t="inlineStr">
        <is>
          <t>Industrials</t>
        </is>
      </c>
      <c r="F129" t="inlineStr"/>
      <c r="G129" t="inlineStr"/>
      <c r="H129" t="inlineStr">
        <is>
          <t>6.42%</t>
        </is>
      </c>
      <c r="I129" t="inlineStr">
        <is>
          <t>0.00%</t>
        </is>
      </c>
    </row>
    <row r="130">
      <c r="A130" s="2" t="n">
        <v>45975</v>
      </c>
      <c r="B130" t="inlineStr">
        <is>
          <t>RDVI</t>
        </is>
      </c>
      <c r="C130" t="inlineStr">
        <is>
          <t>GICS_INDUSTRY_GROUP_NAME</t>
        </is>
      </c>
      <c r="D130" t="inlineStr">
        <is>
          <t>Consumer Discretionary Distribution &amp; Retail</t>
        </is>
      </c>
      <c r="E130" t="inlineStr">
        <is>
          <t>Consumer Discretionary</t>
        </is>
      </c>
      <c r="F130" t="inlineStr"/>
      <c r="G130" t="inlineStr"/>
      <c r="H130" t="inlineStr">
        <is>
          <t>6.18%</t>
        </is>
      </c>
      <c r="I130" t="inlineStr">
        <is>
          <t>0.00%</t>
        </is>
      </c>
    </row>
    <row r="131">
      <c r="A131" s="2" t="n">
        <v>45975</v>
      </c>
      <c r="B131" t="inlineStr">
        <is>
          <t>RDVI</t>
        </is>
      </c>
      <c r="C131" t="inlineStr">
        <is>
          <t>GICS_INDUSTRY_NAME</t>
        </is>
      </c>
      <c r="D131" t="inlineStr">
        <is>
          <t>Interactive Media &amp; Services</t>
        </is>
      </c>
      <c r="E131" t="inlineStr">
        <is>
          <t>Communication Services</t>
        </is>
      </c>
      <c r="F131" t="inlineStr"/>
      <c r="G131" t="inlineStr"/>
      <c r="H131" t="inlineStr">
        <is>
          <t>4.64%</t>
        </is>
      </c>
      <c r="I131" t="inlineStr">
        <is>
          <t>0.00%</t>
        </is>
      </c>
    </row>
    <row r="132">
      <c r="A132" s="2" t="n">
        <v>45975</v>
      </c>
      <c r="B132" t="inlineStr">
        <is>
          <t>RDVI</t>
        </is>
      </c>
      <c r="C132" t="inlineStr">
        <is>
          <t>GICS_INDUSTRY_GROUP_NAME</t>
        </is>
      </c>
      <c r="D132" t="inlineStr">
        <is>
          <t>Consumer Durables &amp; Apparel</t>
        </is>
      </c>
      <c r="E132" t="inlineStr">
        <is>
          <t>Consumer Discretionary</t>
        </is>
      </c>
      <c r="F132" t="inlineStr"/>
      <c r="G132" t="inlineStr"/>
      <c r="H132" t="inlineStr">
        <is>
          <t>4.14%</t>
        </is>
      </c>
      <c r="I132" t="inlineStr">
        <is>
          <t>0.00%</t>
        </is>
      </c>
    </row>
    <row r="133">
      <c r="A133" s="2" t="n">
        <v>45975</v>
      </c>
      <c r="B133" t="inlineStr">
        <is>
          <t>RDVI</t>
        </is>
      </c>
      <c r="C133" t="inlineStr">
        <is>
          <t>GICS_INDUSTRY_NAME</t>
        </is>
      </c>
      <c r="D133" t="inlineStr">
        <is>
          <t>Household Durables</t>
        </is>
      </c>
      <c r="E133" t="inlineStr">
        <is>
          <t>Consumer Discretionary</t>
        </is>
      </c>
      <c r="F133" t="inlineStr"/>
      <c r="G133" t="inlineStr"/>
      <c r="H133" t="inlineStr">
        <is>
          <t>4.14%</t>
        </is>
      </c>
      <c r="I133" t="inlineStr">
        <is>
          <t>0.00%</t>
        </is>
      </c>
    </row>
    <row r="134">
      <c r="A134" s="2" t="n">
        <v>45975</v>
      </c>
      <c r="B134" t="inlineStr">
        <is>
          <t>RDVI</t>
        </is>
      </c>
      <c r="C134" t="inlineStr">
        <is>
          <t>GICS_INDUSTRY_NAME</t>
        </is>
      </c>
      <c r="D134" t="inlineStr">
        <is>
          <t>Specialty Retail</t>
        </is>
      </c>
      <c r="E134" t="inlineStr">
        <is>
          <t>Consumer Discretionary</t>
        </is>
      </c>
      <c r="F134" t="inlineStr"/>
      <c r="G134" t="inlineStr"/>
      <c r="H134" t="inlineStr">
        <is>
          <t>3.99%</t>
        </is>
      </c>
      <c r="I134" t="inlineStr">
        <is>
          <t>0.00%</t>
        </is>
      </c>
    </row>
    <row r="135">
      <c r="A135" s="2" t="n">
        <v>45975</v>
      </c>
      <c r="B135" t="inlineStr">
        <is>
          <t>RDVI</t>
        </is>
      </c>
      <c r="C135" t="inlineStr">
        <is>
          <t>GICS_INDUSTRY_NAME</t>
        </is>
      </c>
      <c r="D135" t="inlineStr">
        <is>
          <t>Software</t>
        </is>
      </c>
      <c r="E135" t="inlineStr">
        <is>
          <t>Information Technology</t>
        </is>
      </c>
      <c r="F135" t="inlineStr"/>
      <c r="G135" t="inlineStr"/>
      <c r="H135" t="inlineStr">
        <is>
          <t>3.77%</t>
        </is>
      </c>
      <c r="I135" t="inlineStr">
        <is>
          <t>0.00%</t>
        </is>
      </c>
    </row>
    <row r="136">
      <c r="A136" s="2" t="n">
        <v>45975</v>
      </c>
      <c r="B136" t="inlineStr">
        <is>
          <t>RDVI</t>
        </is>
      </c>
      <c r="C136" t="inlineStr">
        <is>
          <t>GICS_INDUSTRY_NAME</t>
        </is>
      </c>
      <c r="D136" t="inlineStr">
        <is>
          <t>Consumer Finance</t>
        </is>
      </c>
      <c r="E136" t="inlineStr">
        <is>
          <t>Financials</t>
        </is>
      </c>
      <c r="F136" t="inlineStr"/>
      <c r="G136" t="inlineStr"/>
      <c r="H136" t="inlineStr">
        <is>
          <t>3.72%</t>
        </is>
      </c>
      <c r="I136" t="inlineStr">
        <is>
          <t>0.00%</t>
        </is>
      </c>
    </row>
    <row r="137">
      <c r="A137" s="2" t="n">
        <v>45975</v>
      </c>
      <c r="B137" t="inlineStr">
        <is>
          <t>RDVI</t>
        </is>
      </c>
      <c r="C137" t="inlineStr">
        <is>
          <t>GICS_INDUSTRY_GROUP_NAME</t>
        </is>
      </c>
      <c r="D137" t="inlineStr">
        <is>
          <t>Health Care Equipment &amp; Services</t>
        </is>
      </c>
      <c r="E137" t="inlineStr">
        <is>
          <t>Health Care</t>
        </is>
      </c>
      <c r="F137" t="inlineStr"/>
      <c r="G137" t="inlineStr"/>
      <c r="H137" t="inlineStr">
        <is>
          <t>3.46%</t>
        </is>
      </c>
      <c r="I137" t="inlineStr">
        <is>
          <t>0.00%</t>
        </is>
      </c>
    </row>
    <row r="138">
      <c r="A138" s="2" t="n">
        <v>45975</v>
      </c>
      <c r="B138" t="inlineStr">
        <is>
          <t>RDVI</t>
        </is>
      </c>
      <c r="C138" t="inlineStr">
        <is>
          <t>GICS_INDUSTRY_NAME</t>
        </is>
      </c>
      <c r="D138" t="inlineStr">
        <is>
          <t>IT Services</t>
        </is>
      </c>
      <c r="E138" t="inlineStr">
        <is>
          <t>Information Technology</t>
        </is>
      </c>
      <c r="F138" t="inlineStr"/>
      <c r="G138" t="inlineStr"/>
      <c r="H138" t="inlineStr">
        <is>
          <t>3.19%</t>
        </is>
      </c>
      <c r="I138" t="inlineStr">
        <is>
          <t>0.00%</t>
        </is>
      </c>
    </row>
    <row r="139">
      <c r="A139" s="2" t="n">
        <v>45975</v>
      </c>
      <c r="B139" t="inlineStr">
        <is>
          <t>RDVI</t>
        </is>
      </c>
      <c r="C139" t="inlineStr">
        <is>
          <t>GICS_INDUSTRY_NAME</t>
        </is>
      </c>
      <c r="D139" t="inlineStr">
        <is>
          <t>Financial Services</t>
        </is>
      </c>
      <c r="E139" t="inlineStr">
        <is>
          <t>Financials</t>
        </is>
      </c>
      <c r="F139" t="inlineStr"/>
      <c r="G139" t="inlineStr"/>
      <c r="H139" t="inlineStr">
        <is>
          <t>3.10%</t>
        </is>
      </c>
      <c r="I139" t="inlineStr">
        <is>
          <t>0.00%</t>
        </is>
      </c>
    </row>
    <row r="140">
      <c r="A140" s="2" t="n">
        <v>45975</v>
      </c>
      <c r="B140" t="inlineStr">
        <is>
          <t>RDVI</t>
        </is>
      </c>
      <c r="C140" t="inlineStr">
        <is>
          <t>GICS_INDUSTRY_GROUP_NAME</t>
        </is>
      </c>
      <c r="D140" t="inlineStr">
        <is>
          <t>Energy</t>
        </is>
      </c>
      <c r="E140" t="inlineStr">
        <is>
          <t>Energy</t>
        </is>
      </c>
      <c r="F140" t="inlineStr"/>
      <c r="G140" t="inlineStr"/>
      <c r="H140" t="inlineStr">
        <is>
          <t>3.02%</t>
        </is>
      </c>
      <c r="I140" t="inlineStr">
        <is>
          <t>0.00%</t>
        </is>
      </c>
    </row>
    <row r="141">
      <c r="A141" s="2" t="n">
        <v>45975</v>
      </c>
      <c r="B141" t="inlineStr">
        <is>
          <t>RDVI</t>
        </is>
      </c>
      <c r="C141" t="inlineStr">
        <is>
          <t>GICS_INDUSTRY_GROUP_NAME</t>
        </is>
      </c>
      <c r="D141" t="inlineStr">
        <is>
          <t>Commercial &amp; Professional Services</t>
        </is>
      </c>
      <c r="E141" t="inlineStr">
        <is>
          <t>Industrials</t>
        </is>
      </c>
      <c r="F141" t="inlineStr"/>
      <c r="G141" t="inlineStr"/>
      <c r="H141" t="inlineStr">
        <is>
          <t>2.67%</t>
        </is>
      </c>
      <c r="I141" t="inlineStr">
        <is>
          <t>0.00%</t>
        </is>
      </c>
    </row>
    <row r="142">
      <c r="A142" s="2" t="n">
        <v>45975</v>
      </c>
      <c r="B142" t="inlineStr">
        <is>
          <t>RDVI</t>
        </is>
      </c>
      <c r="C142" t="inlineStr">
        <is>
          <t>GICS_INDUSTRY_GROUP_NAME</t>
        </is>
      </c>
      <c r="D142" t="inlineStr">
        <is>
          <t>Technology Hardware &amp; Equipment</t>
        </is>
      </c>
      <c r="E142" t="inlineStr">
        <is>
          <t>Information Technology</t>
        </is>
      </c>
      <c r="F142" t="inlineStr"/>
      <c r="G142" t="inlineStr"/>
      <c r="H142" t="inlineStr">
        <is>
          <t>2.27%</t>
        </is>
      </c>
      <c r="I142" t="inlineStr">
        <is>
          <t>0.00%</t>
        </is>
      </c>
    </row>
    <row r="143">
      <c r="A143" s="2" t="n">
        <v>45975</v>
      </c>
      <c r="B143" t="inlineStr">
        <is>
          <t>RDVI</t>
        </is>
      </c>
      <c r="C143" t="inlineStr">
        <is>
          <t>GICS_INDUSTRY_NAME</t>
        </is>
      </c>
      <c r="D143" t="inlineStr">
        <is>
          <t>Professional Services</t>
        </is>
      </c>
      <c r="E143" t="inlineStr">
        <is>
          <t>Industrials</t>
        </is>
      </c>
      <c r="F143" t="inlineStr"/>
      <c r="G143" t="inlineStr"/>
      <c r="H143" t="inlineStr">
        <is>
          <t>2.21%</t>
        </is>
      </c>
      <c r="I143" t="inlineStr">
        <is>
          <t>0.00%</t>
        </is>
      </c>
    </row>
    <row r="144">
      <c r="A144" s="2" t="n">
        <v>45975</v>
      </c>
      <c r="B144" t="inlineStr">
        <is>
          <t>RDVI</t>
        </is>
      </c>
      <c r="C144" t="inlineStr">
        <is>
          <t>GICS_INDUSTRY_NAME</t>
        </is>
      </c>
      <c r="D144" t="inlineStr">
        <is>
          <t>Broadline Retail</t>
        </is>
      </c>
      <c r="E144" t="inlineStr">
        <is>
          <t>Consumer Discretionary</t>
        </is>
      </c>
      <c r="F144" t="inlineStr"/>
      <c r="G144" t="inlineStr"/>
      <c r="H144" t="inlineStr">
        <is>
          <t>2.19%</t>
        </is>
      </c>
      <c r="I144" t="inlineStr">
        <is>
          <t>0.00%</t>
        </is>
      </c>
    </row>
    <row r="145">
      <c r="A145" s="2" t="n">
        <v>45975</v>
      </c>
      <c r="B145" t="inlineStr">
        <is>
          <t>RDVI</t>
        </is>
      </c>
      <c r="C145" t="inlineStr">
        <is>
          <t>GICS_INDUSTRY_NAME</t>
        </is>
      </c>
      <c r="D145" t="inlineStr">
        <is>
          <t>Energy Equipment &amp; Services</t>
        </is>
      </c>
      <c r="E145" t="inlineStr">
        <is>
          <t>Energy</t>
        </is>
      </c>
      <c r="F145" t="inlineStr"/>
      <c r="G145" t="inlineStr"/>
      <c r="H145" t="inlineStr">
        <is>
          <t>2.15%</t>
        </is>
      </c>
      <c r="I145" t="inlineStr">
        <is>
          <t>0.00%</t>
        </is>
      </c>
    </row>
    <row r="146">
      <c r="A146" s="2" t="n">
        <v>45975</v>
      </c>
      <c r="B146" t="inlineStr">
        <is>
          <t>RDVI</t>
        </is>
      </c>
      <c r="C146" t="inlineStr">
        <is>
          <t>GICS_INDUSTRY_NAME</t>
        </is>
      </c>
      <c r="D146" t="inlineStr">
        <is>
          <t>Entertainment</t>
        </is>
      </c>
      <c r="E146" t="inlineStr">
        <is>
          <t>Communication Services</t>
        </is>
      </c>
      <c r="F146" t="inlineStr"/>
      <c r="G146" t="inlineStr"/>
      <c r="H146" t="inlineStr">
        <is>
          <t>1.92%</t>
        </is>
      </c>
      <c r="I146" t="inlineStr">
        <is>
          <t>0.00%</t>
        </is>
      </c>
    </row>
    <row r="147">
      <c r="A147" s="2" t="n">
        <v>45975</v>
      </c>
      <c r="B147" t="inlineStr">
        <is>
          <t>RDVI</t>
        </is>
      </c>
      <c r="C147" t="inlineStr">
        <is>
          <t>GICS_INDUSTRY_NAME</t>
        </is>
      </c>
      <c r="D147" t="inlineStr">
        <is>
          <t>Health Care Equipment &amp; Supplies</t>
        </is>
      </c>
      <c r="E147" t="inlineStr">
        <is>
          <t>Health Care</t>
        </is>
      </c>
      <c r="F147" t="inlineStr"/>
      <c r="G147" t="inlineStr"/>
      <c r="H147" t="inlineStr">
        <is>
          <t>1.80%</t>
        </is>
      </c>
      <c r="I147" t="inlineStr">
        <is>
          <t>0.00%</t>
        </is>
      </c>
    </row>
    <row r="148">
      <c r="A148" s="2" t="n">
        <v>45975</v>
      </c>
      <c r="B148" t="inlineStr">
        <is>
          <t>RDVI</t>
        </is>
      </c>
      <c r="C148" t="inlineStr">
        <is>
          <t>GICS_INDUSTRY_GROUP_NAME</t>
        </is>
      </c>
      <c r="D148" t="inlineStr">
        <is>
          <t>Consumer Services</t>
        </is>
      </c>
      <c r="E148" t="inlineStr">
        <is>
          <t>Consumer Discretionary</t>
        </is>
      </c>
      <c r="F148" t="inlineStr"/>
      <c r="G148" t="inlineStr"/>
      <c r="H148" t="inlineStr">
        <is>
          <t>1.78%</t>
        </is>
      </c>
      <c r="I148" t="inlineStr">
        <is>
          <t>0.00%</t>
        </is>
      </c>
    </row>
    <row r="149">
      <c r="A149" s="2" t="n">
        <v>45975</v>
      </c>
      <c r="B149" t="inlineStr">
        <is>
          <t>RDVI</t>
        </is>
      </c>
      <c r="C149" t="inlineStr">
        <is>
          <t>GICS_INDUSTRY_NAME</t>
        </is>
      </c>
      <c r="D149" t="inlineStr">
        <is>
          <t>Hotels, Restaurants &amp; Leisure</t>
        </is>
      </c>
      <c r="E149" t="inlineStr">
        <is>
          <t>Consumer Discretionary</t>
        </is>
      </c>
      <c r="F149" t="inlineStr"/>
      <c r="G149" t="inlineStr"/>
      <c r="H149" t="inlineStr">
        <is>
          <t>1.78%</t>
        </is>
      </c>
      <c r="I149" t="inlineStr">
        <is>
          <t>0.00%</t>
        </is>
      </c>
    </row>
    <row r="150">
      <c r="A150" s="2" t="n">
        <v>45975</v>
      </c>
      <c r="B150" t="inlineStr">
        <is>
          <t>RDVI</t>
        </is>
      </c>
      <c r="C150" t="inlineStr">
        <is>
          <t>GICS_INDUSTRY_NAME</t>
        </is>
      </c>
      <c r="D150" t="inlineStr">
        <is>
          <t>Aerospace &amp; Defense</t>
        </is>
      </c>
      <c r="E150" t="inlineStr">
        <is>
          <t>Industrials</t>
        </is>
      </c>
      <c r="F150" t="inlineStr"/>
      <c r="G150" t="inlineStr"/>
      <c r="H150" t="inlineStr">
        <is>
          <t>1.78%</t>
        </is>
      </c>
      <c r="I150" t="inlineStr">
        <is>
          <t>0.00%</t>
        </is>
      </c>
    </row>
    <row r="151">
      <c r="A151" s="2" t="n">
        <v>45975</v>
      </c>
      <c r="B151" t="inlineStr">
        <is>
          <t>RDVI</t>
        </is>
      </c>
      <c r="C151" t="inlineStr">
        <is>
          <t>GICS_INDUSTRY_NAME</t>
        </is>
      </c>
      <c r="D151" t="inlineStr">
        <is>
          <t>Health Care Providers &amp; Services</t>
        </is>
      </c>
      <c r="E151" t="inlineStr">
        <is>
          <t>Health Care</t>
        </is>
      </c>
      <c r="F151" t="inlineStr"/>
      <c r="G151" t="inlineStr"/>
      <c r="H151" t="inlineStr">
        <is>
          <t>1.65%</t>
        </is>
      </c>
      <c r="I151" t="inlineStr">
        <is>
          <t>0.00%</t>
        </is>
      </c>
    </row>
    <row r="152">
      <c r="A152" s="2" t="n">
        <v>45975</v>
      </c>
      <c r="B152" t="inlineStr">
        <is>
          <t>RDVI</t>
        </is>
      </c>
      <c r="C152" t="inlineStr">
        <is>
          <t>GICS_INDUSTRY_NAME</t>
        </is>
      </c>
      <c r="D152" t="inlineStr">
        <is>
          <t>Technology Hardware, Storage &amp; Peripherals</t>
        </is>
      </c>
      <c r="E152" t="inlineStr">
        <is>
          <t>Information Technology</t>
        </is>
      </c>
      <c r="F152" t="inlineStr"/>
      <c r="G152" t="inlineStr"/>
      <c r="H152" t="inlineStr">
        <is>
          <t>1.65%</t>
        </is>
      </c>
      <c r="I152" t="inlineStr">
        <is>
          <t>0.00%</t>
        </is>
      </c>
    </row>
    <row r="153">
      <c r="A153" s="2" t="n">
        <v>45975</v>
      </c>
      <c r="B153" t="inlineStr">
        <is>
          <t>RDVI</t>
        </is>
      </c>
      <c r="C153" t="inlineStr">
        <is>
          <t>GICS_INDUSTRY_NAME</t>
        </is>
      </c>
      <c r="D153" t="inlineStr">
        <is>
          <t>Construction &amp; Engineering</t>
        </is>
      </c>
      <c r="E153" t="inlineStr">
        <is>
          <t>Industrials</t>
        </is>
      </c>
      <c r="F153" t="inlineStr"/>
      <c r="G153" t="inlineStr"/>
      <c r="H153" t="inlineStr">
        <is>
          <t>1.08%</t>
        </is>
      </c>
      <c r="I153" t="inlineStr">
        <is>
          <t>0.00%</t>
        </is>
      </c>
    </row>
    <row r="154">
      <c r="A154" s="2" t="n">
        <v>45975</v>
      </c>
      <c r="B154" t="inlineStr">
        <is>
          <t>RDVI</t>
        </is>
      </c>
      <c r="C154" t="inlineStr">
        <is>
          <t>GICS_INDUSTRY_NAME</t>
        </is>
      </c>
      <c r="D154" t="inlineStr">
        <is>
          <t>Electrical Equipment</t>
        </is>
      </c>
      <c r="E154" t="inlineStr">
        <is>
          <t>Industrials</t>
        </is>
      </c>
      <c r="F154" t="inlineStr"/>
      <c r="G154" t="inlineStr"/>
      <c r="H154" t="inlineStr">
        <is>
          <t>1.02%</t>
        </is>
      </c>
      <c r="I154" t="inlineStr">
        <is>
          <t>0.00%</t>
        </is>
      </c>
    </row>
    <row r="155">
      <c r="A155" s="2" t="n">
        <v>45975</v>
      </c>
      <c r="B155" t="inlineStr">
        <is>
          <t>RDVI</t>
        </is>
      </c>
      <c r="C155" t="inlineStr">
        <is>
          <t>GICS_INDUSTRY_GROUP_NAME</t>
        </is>
      </c>
      <c r="D155" t="inlineStr">
        <is>
          <t>Consumer Staples Distribution &amp; Retail</t>
        </is>
      </c>
      <c r="E155" t="inlineStr">
        <is>
          <t>Consumer Staples</t>
        </is>
      </c>
      <c r="F155" t="inlineStr"/>
      <c r="G155" t="inlineStr"/>
      <c r="H155" t="inlineStr">
        <is>
          <t>0.89%</t>
        </is>
      </c>
      <c r="I155" t="inlineStr">
        <is>
          <t>0.00%</t>
        </is>
      </c>
    </row>
    <row r="156">
      <c r="A156" s="2" t="n">
        <v>45975</v>
      </c>
      <c r="B156" t="inlineStr">
        <is>
          <t>RDVI</t>
        </is>
      </c>
      <c r="C156" t="inlineStr">
        <is>
          <t>GICS_INDUSTRY_NAME</t>
        </is>
      </c>
      <c r="D156" t="inlineStr">
        <is>
          <t>Consumer Staples Distribution &amp; Retail</t>
        </is>
      </c>
      <c r="E156" t="inlineStr">
        <is>
          <t>Consumer Staples</t>
        </is>
      </c>
      <c r="F156" t="inlineStr"/>
      <c r="G156" t="inlineStr"/>
      <c r="H156" t="inlineStr">
        <is>
          <t>0.89%</t>
        </is>
      </c>
      <c r="I156" t="inlineStr">
        <is>
          <t>0.00%</t>
        </is>
      </c>
    </row>
    <row r="157">
      <c r="A157" s="2" t="n">
        <v>45975</v>
      </c>
      <c r="B157" t="inlineStr">
        <is>
          <t>RDVI</t>
        </is>
      </c>
      <c r="C157" t="inlineStr">
        <is>
          <t>GICS_INDUSTRY_NAME</t>
        </is>
      </c>
      <c r="D157" t="inlineStr">
        <is>
          <t>Oil, Gas &amp; Consumable Fuels</t>
        </is>
      </c>
      <c r="E157" t="inlineStr">
        <is>
          <t>Energy</t>
        </is>
      </c>
      <c r="F157" t="inlineStr"/>
      <c r="G157" t="inlineStr"/>
      <c r="H157" t="inlineStr">
        <is>
          <t>0.88%</t>
        </is>
      </c>
      <c r="I157" t="inlineStr">
        <is>
          <t>0.00%</t>
        </is>
      </c>
    </row>
    <row r="158">
      <c r="A158" s="2" t="n">
        <v>45975</v>
      </c>
      <c r="B158" t="inlineStr">
        <is>
          <t>RDVI</t>
        </is>
      </c>
      <c r="C158" t="inlineStr">
        <is>
          <t>GICS_INDUSTRY_GROUP_NAME</t>
        </is>
      </c>
      <c r="D158" t="inlineStr">
        <is>
          <t>Transportation</t>
        </is>
      </c>
      <c r="E158" t="inlineStr">
        <is>
          <t>Industrials</t>
        </is>
      </c>
      <c r="F158" t="inlineStr"/>
      <c r="G158" t="inlineStr"/>
      <c r="H158" t="inlineStr">
        <is>
          <t>0.71%</t>
        </is>
      </c>
      <c r="I158" t="inlineStr">
        <is>
          <t>0.00%</t>
        </is>
      </c>
    </row>
    <row r="159">
      <c r="A159" s="2" t="n">
        <v>45975</v>
      </c>
      <c r="B159" t="inlineStr">
        <is>
          <t>RDVI</t>
        </is>
      </c>
      <c r="C159" t="inlineStr">
        <is>
          <t>GICS_INDUSTRY_NAME</t>
        </is>
      </c>
      <c r="D159" t="inlineStr">
        <is>
          <t>Ground Transportation</t>
        </is>
      </c>
      <c r="E159" t="inlineStr">
        <is>
          <t>Industrials</t>
        </is>
      </c>
      <c r="F159" t="inlineStr"/>
      <c r="G159" t="inlineStr"/>
      <c r="H159" t="inlineStr">
        <is>
          <t>0.71%</t>
        </is>
      </c>
      <c r="I159" t="inlineStr">
        <is>
          <t>0.00%</t>
        </is>
      </c>
    </row>
    <row r="160">
      <c r="A160" s="2" t="n">
        <v>45975</v>
      </c>
      <c r="B160" t="inlineStr">
        <is>
          <t>RDVI</t>
        </is>
      </c>
      <c r="C160" t="inlineStr">
        <is>
          <t>GICS_INDUSTRY_GROUP_NAME</t>
        </is>
      </c>
      <c r="D160" t="inlineStr">
        <is>
          <t>Food, Beverage &amp; Tobacco</t>
        </is>
      </c>
      <c r="E160" t="inlineStr">
        <is>
          <t>Consumer Staples</t>
        </is>
      </c>
      <c r="F160" t="inlineStr"/>
      <c r="G160" t="inlineStr"/>
      <c r="H160" t="inlineStr">
        <is>
          <t>0.68%</t>
        </is>
      </c>
      <c r="I160" t="inlineStr">
        <is>
          <t>0.00%</t>
        </is>
      </c>
    </row>
    <row r="161">
      <c r="A161" s="2" t="n">
        <v>45975</v>
      </c>
      <c r="B161" t="inlineStr">
        <is>
          <t>RDVI</t>
        </is>
      </c>
      <c r="C161" t="inlineStr">
        <is>
          <t>GICS_INDUSTRY_NAME</t>
        </is>
      </c>
      <c r="D161" t="inlineStr">
        <is>
          <t>Beverages</t>
        </is>
      </c>
      <c r="E161" t="inlineStr">
        <is>
          <t>Consumer Staples</t>
        </is>
      </c>
      <c r="F161" t="inlineStr"/>
      <c r="G161" t="inlineStr"/>
      <c r="H161" t="inlineStr">
        <is>
          <t>0.68%</t>
        </is>
      </c>
      <c r="I161" t="inlineStr">
        <is>
          <t>0.00%</t>
        </is>
      </c>
    </row>
    <row r="162">
      <c r="A162" s="2" t="n">
        <v>45975</v>
      </c>
      <c r="B162" t="inlineStr">
        <is>
          <t>RDVI</t>
        </is>
      </c>
      <c r="C162" t="inlineStr">
        <is>
          <t>GICS_INDUSTRY_NAME</t>
        </is>
      </c>
      <c r="D162" t="inlineStr">
        <is>
          <t>Communications Equipment</t>
        </is>
      </c>
      <c r="E162" t="inlineStr">
        <is>
          <t>Information Technology</t>
        </is>
      </c>
      <c r="F162" t="inlineStr"/>
      <c r="G162" t="inlineStr"/>
      <c r="H162" t="inlineStr">
        <is>
          <t>0.63%</t>
        </is>
      </c>
      <c r="I162" t="inlineStr">
        <is>
          <t>0.00%</t>
        </is>
      </c>
    </row>
    <row r="163">
      <c r="A163" s="2" t="n">
        <v>45975</v>
      </c>
      <c r="B163" t="inlineStr">
        <is>
          <t>RDVI</t>
        </is>
      </c>
      <c r="C163" t="inlineStr">
        <is>
          <t>GICS_INDUSTRY_GROUP_NAME</t>
        </is>
      </c>
      <c r="D163" t="inlineStr">
        <is>
          <t>Pharmaceuticals, Biotechnology &amp; Life Sciences</t>
        </is>
      </c>
      <c r="E163" t="inlineStr">
        <is>
          <t>Health Care</t>
        </is>
      </c>
      <c r="F163" t="inlineStr"/>
      <c r="G163" t="inlineStr"/>
      <c r="H163" t="inlineStr">
        <is>
          <t>0.56%</t>
        </is>
      </c>
      <c r="I163" t="inlineStr">
        <is>
          <t>0.00%</t>
        </is>
      </c>
    </row>
    <row r="164">
      <c r="A164" s="2" t="n">
        <v>45975</v>
      </c>
      <c r="B164" t="inlineStr">
        <is>
          <t>RDVI</t>
        </is>
      </c>
      <c r="C164" t="inlineStr">
        <is>
          <t>GICS_INDUSTRY_NAME</t>
        </is>
      </c>
      <c r="D164" t="inlineStr">
        <is>
          <t>Pharmaceuticals</t>
        </is>
      </c>
      <c r="E164" t="inlineStr">
        <is>
          <t>Health Care</t>
        </is>
      </c>
      <c r="F164" t="inlineStr"/>
      <c r="G164" t="inlineStr"/>
      <c r="H164" t="inlineStr">
        <is>
          <t>0.56%</t>
        </is>
      </c>
      <c r="I164" t="inlineStr">
        <is>
          <t>0.00%</t>
        </is>
      </c>
    </row>
    <row r="165">
      <c r="A165" s="2" t="n">
        <v>45975</v>
      </c>
      <c r="B165" t="inlineStr">
        <is>
          <t>RDVI</t>
        </is>
      </c>
      <c r="C165" t="inlineStr">
        <is>
          <t>GICS_INDUSTRY_NAME</t>
        </is>
      </c>
      <c r="D165" t="inlineStr">
        <is>
          <t>Media</t>
        </is>
      </c>
      <c r="E165" t="inlineStr">
        <is>
          <t>Communication Services</t>
        </is>
      </c>
      <c r="F165" t="inlineStr"/>
      <c r="G165" t="inlineStr"/>
      <c r="H165" t="inlineStr">
        <is>
          <t>0.54%</t>
        </is>
      </c>
      <c r="I165" t="inlineStr">
        <is>
          <t>0.00%</t>
        </is>
      </c>
    </row>
    <row r="166">
      <c r="A166" s="2" t="n">
        <v>45975</v>
      </c>
      <c r="B166" t="inlineStr">
        <is>
          <t>RDVI</t>
        </is>
      </c>
      <c r="C166" t="inlineStr">
        <is>
          <t>GICS_INDUSTRY_NAME</t>
        </is>
      </c>
      <c r="D166" t="inlineStr">
        <is>
          <t>Commercial Services &amp; Supplies</t>
        </is>
      </c>
      <c r="E166" t="inlineStr">
        <is>
          <t>Industrials</t>
        </is>
      </c>
      <c r="F166" t="inlineStr"/>
      <c r="G166" t="inlineStr"/>
      <c r="H166" t="inlineStr">
        <is>
          <t>0.46%</t>
        </is>
      </c>
      <c r="I166" t="inlineStr">
        <is>
          <t>0.00%</t>
        </is>
      </c>
    </row>
    <row r="167">
      <c r="A167" s="2" t="n">
        <v>45975</v>
      </c>
      <c r="B167" t="inlineStr">
        <is>
          <t>RDVI</t>
        </is>
      </c>
      <c r="C167" t="inlineStr">
        <is>
          <t>GICS_INDUSTRY_GROUP_NAME</t>
        </is>
      </c>
      <c r="D167" t="inlineStr">
        <is>
          <t>Materials</t>
        </is>
      </c>
      <c r="E167" t="inlineStr">
        <is>
          <t>Materials</t>
        </is>
      </c>
      <c r="F167" t="inlineStr"/>
      <c r="G167" t="inlineStr"/>
      <c r="H167" t="inlineStr">
        <is>
          <t>0.45%</t>
        </is>
      </c>
      <c r="I167" t="inlineStr">
        <is>
          <t>0.00%</t>
        </is>
      </c>
    </row>
    <row r="168">
      <c r="A168" s="2" t="n">
        <v>45975</v>
      </c>
      <c r="B168" t="inlineStr">
        <is>
          <t>RDVI</t>
        </is>
      </c>
      <c r="C168" t="inlineStr">
        <is>
          <t>GICS_INDUSTRY_NAME</t>
        </is>
      </c>
      <c r="D168" t="inlineStr">
        <is>
          <t>Chemicals</t>
        </is>
      </c>
      <c r="E168" t="inlineStr">
        <is>
          <t>Materials</t>
        </is>
      </c>
      <c r="F168" t="inlineStr"/>
      <c r="G168" t="inlineStr"/>
      <c r="H168" t="inlineStr">
        <is>
          <t>0.45%</t>
        </is>
      </c>
      <c r="I168" t="inlineStr">
        <is>
          <t>0.00%</t>
        </is>
      </c>
    </row>
    <row r="169">
      <c r="A169" s="2" t="n">
        <v>45975</v>
      </c>
      <c r="B169" t="inlineStr">
        <is>
          <t>RDVI</t>
        </is>
      </c>
      <c r="C169" t="inlineStr">
        <is>
          <t>GICS_INDUSTRY_NAME</t>
        </is>
      </c>
      <c r="D169" t="inlineStr">
        <is>
          <t>Building Products</t>
        </is>
      </c>
      <c r="E169" t="inlineStr">
        <is>
          <t>Industrials</t>
        </is>
      </c>
      <c r="F169" t="inlineStr"/>
      <c r="G169" t="inlineStr"/>
      <c r="H169" t="inlineStr">
        <is>
          <t>0.32%</t>
        </is>
      </c>
      <c r="I169" t="inlineStr">
        <is>
          <t>0.00%</t>
        </is>
      </c>
    </row>
    <row r="170">
      <c r="A170" s="2" t="n">
        <v>45975</v>
      </c>
      <c r="B170" t="inlineStr">
        <is>
          <t>SDVD</t>
        </is>
      </c>
      <c r="C170" t="inlineStr">
        <is>
          <t>GICS_INDUSTRY_GROUP_NAME</t>
        </is>
      </c>
      <c r="D170" t="inlineStr">
        <is>
          <t>Capital Goods</t>
        </is>
      </c>
      <c r="E170" t="inlineStr">
        <is>
          <t>Industrials</t>
        </is>
      </c>
      <c r="F170" t="inlineStr"/>
      <c r="G170" t="inlineStr"/>
      <c r="H170" t="inlineStr">
        <is>
          <t>24.36%</t>
        </is>
      </c>
      <c r="I170" t="inlineStr">
        <is>
          <t>0.00%</t>
        </is>
      </c>
    </row>
    <row r="171">
      <c r="A171" s="2" t="n">
        <v>45975</v>
      </c>
      <c r="B171" t="inlineStr">
        <is>
          <t>SDVD</t>
        </is>
      </c>
      <c r="C171" t="inlineStr">
        <is>
          <t>GICS_INDUSTRY_GROUP_NAME</t>
        </is>
      </c>
      <c r="D171" t="inlineStr">
        <is>
          <t>Banks</t>
        </is>
      </c>
      <c r="E171" t="inlineStr">
        <is>
          <t>Financials</t>
        </is>
      </c>
      <c r="F171" t="inlineStr"/>
      <c r="G171" t="inlineStr"/>
      <c r="H171" t="inlineStr">
        <is>
          <t>14.41%</t>
        </is>
      </c>
      <c r="I171" t="inlineStr">
        <is>
          <t>0.00%</t>
        </is>
      </c>
    </row>
    <row r="172">
      <c r="A172" s="2" t="n">
        <v>45975</v>
      </c>
      <c r="B172" t="inlineStr">
        <is>
          <t>SDVD</t>
        </is>
      </c>
      <c r="C172" t="inlineStr">
        <is>
          <t>GICS_INDUSTRY_NAME</t>
        </is>
      </c>
      <c r="D172" t="inlineStr">
        <is>
          <t>Banks</t>
        </is>
      </c>
      <c r="E172" t="inlineStr">
        <is>
          <t>Financials</t>
        </is>
      </c>
      <c r="F172" t="inlineStr"/>
      <c r="G172" t="inlineStr"/>
      <c r="H172" t="inlineStr">
        <is>
          <t>14.41%</t>
        </is>
      </c>
      <c r="I172" t="inlineStr">
        <is>
          <t>0.00%</t>
        </is>
      </c>
    </row>
    <row r="173">
      <c r="A173" s="2" t="n">
        <v>45975</v>
      </c>
      <c r="B173" t="inlineStr">
        <is>
          <t>SDVD</t>
        </is>
      </c>
      <c r="C173" t="inlineStr">
        <is>
          <t>GICS_INDUSTRY_NAME</t>
        </is>
      </c>
      <c r="D173" t="inlineStr">
        <is>
          <t>Machinery</t>
        </is>
      </c>
      <c r="E173" t="inlineStr">
        <is>
          <t>Industrials</t>
        </is>
      </c>
      <c r="F173" t="inlineStr"/>
      <c r="G173" t="inlineStr"/>
      <c r="H173" t="inlineStr">
        <is>
          <t>10.90%</t>
        </is>
      </c>
      <c r="I173" t="inlineStr">
        <is>
          <t>0.00%</t>
        </is>
      </c>
    </row>
    <row r="174">
      <c r="A174" s="2" t="n">
        <v>45975</v>
      </c>
      <c r="B174" t="inlineStr">
        <is>
          <t>SDVD</t>
        </is>
      </c>
      <c r="C174" t="inlineStr">
        <is>
          <t>GICS_INDUSTRY_GROUP_NAME</t>
        </is>
      </c>
      <c r="D174" t="inlineStr">
        <is>
          <t>Insurance</t>
        </is>
      </c>
      <c r="E174" t="inlineStr">
        <is>
          <t>Financials</t>
        </is>
      </c>
      <c r="F174" t="inlineStr"/>
      <c r="G174" t="inlineStr"/>
      <c r="H174" t="inlineStr">
        <is>
          <t>8.82%</t>
        </is>
      </c>
      <c r="I174" t="inlineStr">
        <is>
          <t>0.00%</t>
        </is>
      </c>
    </row>
    <row r="175">
      <c r="A175" s="2" t="n">
        <v>45975</v>
      </c>
      <c r="B175" t="inlineStr">
        <is>
          <t>SDVD</t>
        </is>
      </c>
      <c r="C175" t="inlineStr">
        <is>
          <t>GICS_INDUSTRY_NAME</t>
        </is>
      </c>
      <c r="D175" t="inlineStr">
        <is>
          <t>Insurance</t>
        </is>
      </c>
      <c r="E175" t="inlineStr">
        <is>
          <t>Financials</t>
        </is>
      </c>
      <c r="F175" t="inlineStr"/>
      <c r="G175" t="inlineStr"/>
      <c r="H175" t="inlineStr">
        <is>
          <t>8.82%</t>
        </is>
      </c>
      <c r="I175" t="inlineStr">
        <is>
          <t>0.00%</t>
        </is>
      </c>
    </row>
    <row r="176">
      <c r="A176" s="2" t="n">
        <v>45975</v>
      </c>
      <c r="B176" t="inlineStr">
        <is>
          <t>SDVD</t>
        </is>
      </c>
      <c r="C176" t="inlineStr">
        <is>
          <t>GICS_INDUSTRY_GROUP_NAME</t>
        </is>
      </c>
      <c r="D176" t="inlineStr">
        <is>
          <t>Financial Services</t>
        </is>
      </c>
      <c r="E176" t="inlineStr">
        <is>
          <t>Financials</t>
        </is>
      </c>
      <c r="F176" t="inlineStr"/>
      <c r="G176" t="inlineStr"/>
      <c r="H176" t="inlineStr">
        <is>
          <t>8.20%</t>
        </is>
      </c>
      <c r="I176" t="inlineStr">
        <is>
          <t>0.00%</t>
        </is>
      </c>
    </row>
    <row r="177">
      <c r="A177" s="2" t="n">
        <v>45975</v>
      </c>
      <c r="B177" t="inlineStr">
        <is>
          <t>SDVD</t>
        </is>
      </c>
      <c r="C177" t="inlineStr">
        <is>
          <t>GICS_INDUSTRY_GROUP_NAME</t>
        </is>
      </c>
      <c r="D177" t="inlineStr">
        <is>
          <t>Commercial &amp; Professional Services</t>
        </is>
      </c>
      <c r="E177" t="inlineStr">
        <is>
          <t>Industrials</t>
        </is>
      </c>
      <c r="F177" t="inlineStr"/>
      <c r="G177" t="inlineStr"/>
      <c r="H177" t="inlineStr">
        <is>
          <t>7.22%</t>
        </is>
      </c>
      <c r="I177" t="inlineStr">
        <is>
          <t>0.00%</t>
        </is>
      </c>
    </row>
    <row r="178">
      <c r="A178" s="2" t="n">
        <v>45975</v>
      </c>
      <c r="B178" t="inlineStr">
        <is>
          <t>SDVD</t>
        </is>
      </c>
      <c r="C178" t="inlineStr">
        <is>
          <t>GICS_INDUSTRY_GROUP_NAME</t>
        </is>
      </c>
      <c r="D178" t="inlineStr">
        <is>
          <t>Consumer Durables &amp; Apparel</t>
        </is>
      </c>
      <c r="E178" t="inlineStr">
        <is>
          <t>Consumer Discretionary</t>
        </is>
      </c>
      <c r="F178" t="inlineStr"/>
      <c r="G178" t="inlineStr"/>
      <c r="H178" t="inlineStr">
        <is>
          <t>5.70%</t>
        </is>
      </c>
      <c r="I178" t="inlineStr">
        <is>
          <t>0.00%</t>
        </is>
      </c>
    </row>
    <row r="179">
      <c r="A179" s="2" t="n">
        <v>45975</v>
      </c>
      <c r="B179" t="inlineStr">
        <is>
          <t>SDVD</t>
        </is>
      </c>
      <c r="C179" t="inlineStr">
        <is>
          <t>GICS_INDUSTRY_NAME</t>
        </is>
      </c>
      <c r="D179" t="inlineStr">
        <is>
          <t>Professional Services</t>
        </is>
      </c>
      <c r="E179" t="inlineStr">
        <is>
          <t>Industrials</t>
        </is>
      </c>
      <c r="F179" t="inlineStr"/>
      <c r="G179" t="inlineStr"/>
      <c r="H179" t="inlineStr">
        <is>
          <t>4.53%</t>
        </is>
      </c>
      <c r="I179" t="inlineStr">
        <is>
          <t>0.00%</t>
        </is>
      </c>
    </row>
    <row r="180">
      <c r="A180" s="2" t="n">
        <v>45975</v>
      </c>
      <c r="B180" t="inlineStr">
        <is>
          <t>SDVD</t>
        </is>
      </c>
      <c r="C180" t="inlineStr">
        <is>
          <t>GICS_INDUSTRY_NAME</t>
        </is>
      </c>
      <c r="D180" t="inlineStr">
        <is>
          <t>Capital Markets</t>
        </is>
      </c>
      <c r="E180" t="inlineStr">
        <is>
          <t>Financials</t>
        </is>
      </c>
      <c r="F180" t="inlineStr"/>
      <c r="G180" t="inlineStr"/>
      <c r="H180" t="inlineStr">
        <is>
          <t>4.37%</t>
        </is>
      </c>
      <c r="I180" t="inlineStr">
        <is>
          <t>0.00%</t>
        </is>
      </c>
    </row>
    <row r="181">
      <c r="A181" s="2" t="n">
        <v>45975</v>
      </c>
      <c r="B181" t="inlineStr">
        <is>
          <t>SDVD</t>
        </is>
      </c>
      <c r="C181" t="inlineStr">
        <is>
          <t>GICS_INDUSTRY_NAME</t>
        </is>
      </c>
      <c r="D181" t="inlineStr">
        <is>
          <t>Building Products</t>
        </is>
      </c>
      <c r="E181" t="inlineStr">
        <is>
          <t>Industrials</t>
        </is>
      </c>
      <c r="F181" t="inlineStr"/>
      <c r="G181" t="inlineStr"/>
      <c r="H181" t="inlineStr">
        <is>
          <t>4.29%</t>
        </is>
      </c>
      <c r="I181" t="inlineStr">
        <is>
          <t>0.00%</t>
        </is>
      </c>
    </row>
    <row r="182">
      <c r="A182" s="2" t="n">
        <v>45975</v>
      </c>
      <c r="B182" t="inlineStr">
        <is>
          <t>SDVD</t>
        </is>
      </c>
      <c r="C182" t="inlineStr">
        <is>
          <t>GICS_INDUSTRY_NAME</t>
        </is>
      </c>
      <c r="D182" t="inlineStr">
        <is>
          <t>Construction &amp; Engineering</t>
        </is>
      </c>
      <c r="E182" t="inlineStr">
        <is>
          <t>Industrials</t>
        </is>
      </c>
      <c r="F182" t="inlineStr"/>
      <c r="G182" t="inlineStr"/>
      <c r="H182" t="inlineStr">
        <is>
          <t>4.16%</t>
        </is>
      </c>
      <c r="I182" t="inlineStr">
        <is>
          <t>0.00%</t>
        </is>
      </c>
    </row>
    <row r="183">
      <c r="A183" s="2" t="n">
        <v>45975</v>
      </c>
      <c r="B183" t="inlineStr">
        <is>
          <t>SDVD</t>
        </is>
      </c>
      <c r="C183" t="inlineStr">
        <is>
          <t>GICS_INDUSTRY_GROUP_NAME</t>
        </is>
      </c>
      <c r="D183" t="inlineStr">
        <is>
          <t>Materials</t>
        </is>
      </c>
      <c r="E183" t="inlineStr">
        <is>
          <t>Materials</t>
        </is>
      </c>
      <c r="F183" t="inlineStr"/>
      <c r="G183" t="inlineStr"/>
      <c r="H183" t="inlineStr">
        <is>
          <t>4.02%</t>
        </is>
      </c>
      <c r="I183" t="inlineStr">
        <is>
          <t>0.00%</t>
        </is>
      </c>
    </row>
    <row r="184">
      <c r="A184" s="2" t="n">
        <v>45975</v>
      </c>
      <c r="B184" t="inlineStr">
        <is>
          <t>SDVD</t>
        </is>
      </c>
      <c r="C184" t="inlineStr">
        <is>
          <t>GICS_INDUSTRY_GROUP_NAME</t>
        </is>
      </c>
      <c r="D184" t="inlineStr">
        <is>
          <t>Energy</t>
        </is>
      </c>
      <c r="E184" t="inlineStr">
        <is>
          <t>Energy</t>
        </is>
      </c>
      <c r="F184" t="inlineStr"/>
      <c r="G184" t="inlineStr"/>
      <c r="H184" t="inlineStr">
        <is>
          <t>3.71%</t>
        </is>
      </c>
      <c r="I184" t="inlineStr">
        <is>
          <t>0.00%</t>
        </is>
      </c>
    </row>
    <row r="185">
      <c r="A185" s="2" t="n">
        <v>45975</v>
      </c>
      <c r="B185" t="inlineStr">
        <is>
          <t>SDVD</t>
        </is>
      </c>
      <c r="C185" t="inlineStr">
        <is>
          <t>GICS_INDUSTRY_GROUP_NAME</t>
        </is>
      </c>
      <c r="D185" t="inlineStr">
        <is>
          <t>Food, Beverage &amp; Tobacco</t>
        </is>
      </c>
      <c r="E185" t="inlineStr">
        <is>
          <t>Consumer Staples</t>
        </is>
      </c>
      <c r="F185" t="inlineStr"/>
      <c r="G185" t="inlineStr"/>
      <c r="H185" t="inlineStr">
        <is>
          <t>3.52%</t>
        </is>
      </c>
      <c r="I185" t="inlineStr">
        <is>
          <t>0.00%</t>
        </is>
      </c>
    </row>
    <row r="186">
      <c r="A186" s="2" t="n">
        <v>45975</v>
      </c>
      <c r="B186" t="inlineStr">
        <is>
          <t>SDVD</t>
        </is>
      </c>
      <c r="C186" t="inlineStr">
        <is>
          <t>GICS_INDUSTRY_GROUP_NAME</t>
        </is>
      </c>
      <c r="D186" t="inlineStr">
        <is>
          <t>Software &amp; Services</t>
        </is>
      </c>
      <c r="E186" t="inlineStr">
        <is>
          <t>Information Technology</t>
        </is>
      </c>
      <c r="F186" t="inlineStr"/>
      <c r="G186" t="inlineStr"/>
      <c r="H186" t="inlineStr">
        <is>
          <t>3.44%</t>
        </is>
      </c>
      <c r="I186" t="inlineStr">
        <is>
          <t>0.00%</t>
        </is>
      </c>
    </row>
    <row r="187">
      <c r="A187" s="2" t="n">
        <v>45975</v>
      </c>
      <c r="B187" t="inlineStr">
        <is>
          <t>SDVD</t>
        </is>
      </c>
      <c r="C187" t="inlineStr">
        <is>
          <t>GICS_INDUSTRY_NAME</t>
        </is>
      </c>
      <c r="D187" t="inlineStr">
        <is>
          <t>Software</t>
        </is>
      </c>
      <c r="E187" t="inlineStr">
        <is>
          <t>Information Technology</t>
        </is>
      </c>
      <c r="F187" t="inlineStr"/>
      <c r="G187" t="inlineStr"/>
      <c r="H187" t="inlineStr">
        <is>
          <t>3.23%</t>
        </is>
      </c>
      <c r="I187" t="inlineStr">
        <is>
          <t>0.00%</t>
        </is>
      </c>
    </row>
    <row r="188">
      <c r="A188" s="2" t="n">
        <v>45975</v>
      </c>
      <c r="B188" t="inlineStr">
        <is>
          <t>SDVD</t>
        </is>
      </c>
      <c r="C188" t="inlineStr">
        <is>
          <t>GICS_INDUSTRY_NAME</t>
        </is>
      </c>
      <c r="D188" t="inlineStr">
        <is>
          <t>Household Durables</t>
        </is>
      </c>
      <c r="E188" t="inlineStr">
        <is>
          <t>Consumer Discretionary</t>
        </is>
      </c>
      <c r="F188" t="inlineStr"/>
      <c r="G188" t="inlineStr"/>
      <c r="H188" t="inlineStr">
        <is>
          <t>3.05%</t>
        </is>
      </c>
      <c r="I188" t="inlineStr">
        <is>
          <t>0.00%</t>
        </is>
      </c>
    </row>
    <row r="189">
      <c r="A189" s="2" t="n">
        <v>45975</v>
      </c>
      <c r="B189" t="inlineStr">
        <is>
          <t>SDVD</t>
        </is>
      </c>
      <c r="C189" t="inlineStr">
        <is>
          <t>GICS_INDUSTRY_GROUP_NAME</t>
        </is>
      </c>
      <c r="D189" t="inlineStr">
        <is>
          <t>Consumer Services</t>
        </is>
      </c>
      <c r="E189" t="inlineStr">
        <is>
          <t>Consumer Discretionary</t>
        </is>
      </c>
      <c r="F189" t="inlineStr"/>
      <c r="G189" t="inlineStr"/>
      <c r="H189" t="inlineStr">
        <is>
          <t>2.93%</t>
        </is>
      </c>
      <c r="I189" t="inlineStr">
        <is>
          <t>0.00%</t>
        </is>
      </c>
    </row>
    <row r="190">
      <c r="A190" s="2" t="n">
        <v>45975</v>
      </c>
      <c r="B190" t="inlineStr">
        <is>
          <t>SDVD</t>
        </is>
      </c>
      <c r="C190" t="inlineStr">
        <is>
          <t>GICS_INDUSTRY_GROUP_NAME</t>
        </is>
      </c>
      <c r="D190" t="inlineStr">
        <is>
          <t>Health Care Equipment &amp; Services</t>
        </is>
      </c>
      <c r="E190" t="inlineStr">
        <is>
          <t>Health Care</t>
        </is>
      </c>
      <c r="F190" t="inlineStr"/>
      <c r="G190" t="inlineStr"/>
      <c r="H190" t="inlineStr">
        <is>
          <t>2.91%</t>
        </is>
      </c>
      <c r="I190" t="inlineStr">
        <is>
          <t>0.00%</t>
        </is>
      </c>
    </row>
    <row r="191">
      <c r="A191" s="2" t="n">
        <v>45975</v>
      </c>
      <c r="B191" t="inlineStr">
        <is>
          <t>SDVD</t>
        </is>
      </c>
      <c r="C191" t="inlineStr">
        <is>
          <t>GICS_INDUSTRY_NAME</t>
        </is>
      </c>
      <c r="D191" t="inlineStr">
        <is>
          <t>Financial Services</t>
        </is>
      </c>
      <c r="E191" t="inlineStr">
        <is>
          <t>Financials</t>
        </is>
      </c>
      <c r="F191" t="inlineStr"/>
      <c r="G191" t="inlineStr"/>
      <c r="H191" t="inlineStr">
        <is>
          <t>2.79%</t>
        </is>
      </c>
      <c r="I191" t="inlineStr">
        <is>
          <t>0.00%</t>
        </is>
      </c>
    </row>
    <row r="192">
      <c r="A192" s="2" t="n">
        <v>45975</v>
      </c>
      <c r="B192" t="inlineStr">
        <is>
          <t>SDVD</t>
        </is>
      </c>
      <c r="C192" t="inlineStr">
        <is>
          <t>GICS_INDUSTRY_NAME</t>
        </is>
      </c>
      <c r="D192" t="inlineStr">
        <is>
          <t>Commercial Services &amp; Supplies</t>
        </is>
      </c>
      <c r="E192" t="inlineStr">
        <is>
          <t>Industrials</t>
        </is>
      </c>
      <c r="F192" t="inlineStr"/>
      <c r="G192" t="inlineStr"/>
      <c r="H192" t="inlineStr">
        <is>
          <t>2.68%</t>
        </is>
      </c>
      <c r="I192" t="inlineStr">
        <is>
          <t>0.00%</t>
        </is>
      </c>
    </row>
    <row r="193">
      <c r="A193" s="2" t="n">
        <v>45975</v>
      </c>
      <c r="B193" t="inlineStr">
        <is>
          <t>SDVD</t>
        </is>
      </c>
      <c r="C193" t="inlineStr">
        <is>
          <t>GICS_INDUSTRY_NAME</t>
        </is>
      </c>
      <c r="D193" t="inlineStr">
        <is>
          <t>Energy Equipment &amp; Services</t>
        </is>
      </c>
      <c r="E193" t="inlineStr">
        <is>
          <t>Energy</t>
        </is>
      </c>
      <c r="F193" t="inlineStr"/>
      <c r="G193" t="inlineStr"/>
      <c r="H193" t="inlineStr">
        <is>
          <t>2.68%</t>
        </is>
      </c>
      <c r="I193" t="inlineStr">
        <is>
          <t>0.00%</t>
        </is>
      </c>
    </row>
    <row r="194">
      <c r="A194" s="2" t="n">
        <v>45975</v>
      </c>
      <c r="B194" t="inlineStr">
        <is>
          <t>SDVD</t>
        </is>
      </c>
      <c r="C194" t="inlineStr">
        <is>
          <t>GICS_INDUSTRY_NAME</t>
        </is>
      </c>
      <c r="D194" t="inlineStr">
        <is>
          <t>Textiles, Apparel &amp; Luxury Goods</t>
        </is>
      </c>
      <c r="E194" t="inlineStr">
        <is>
          <t>Consumer Discretionary</t>
        </is>
      </c>
      <c r="F194" t="inlineStr"/>
      <c r="G194" t="inlineStr"/>
      <c r="H194" t="inlineStr">
        <is>
          <t>2.65%</t>
        </is>
      </c>
      <c r="I194" t="inlineStr">
        <is>
          <t>0.00%</t>
        </is>
      </c>
    </row>
    <row r="195">
      <c r="A195" s="2" t="n">
        <v>45975</v>
      </c>
      <c r="B195" t="inlineStr">
        <is>
          <t>SDVD</t>
        </is>
      </c>
      <c r="C195" t="inlineStr">
        <is>
          <t>GICS_INDUSTRY_NAME</t>
        </is>
      </c>
      <c r="D195" t="inlineStr">
        <is>
          <t>Diversified Consumer Services</t>
        </is>
      </c>
      <c r="E195" t="inlineStr">
        <is>
          <t>Consumer Discretionary</t>
        </is>
      </c>
      <c r="F195" t="inlineStr"/>
      <c r="G195" t="inlineStr"/>
      <c r="H195" t="inlineStr">
        <is>
          <t>2.56%</t>
        </is>
      </c>
      <c r="I195" t="inlineStr">
        <is>
          <t>0.00%</t>
        </is>
      </c>
    </row>
    <row r="196">
      <c r="A196" s="2" t="n">
        <v>45975</v>
      </c>
      <c r="B196" t="inlineStr">
        <is>
          <t>SDVD</t>
        </is>
      </c>
      <c r="C196" t="inlineStr">
        <is>
          <t>GICS_INDUSTRY_GROUP_NAME</t>
        </is>
      </c>
      <c r="D196" t="inlineStr">
        <is>
          <t>Consumer Discretionary Distribution &amp; Retail</t>
        </is>
      </c>
      <c r="E196" t="inlineStr">
        <is>
          <t>Consumer Discretionary</t>
        </is>
      </c>
      <c r="F196" t="inlineStr"/>
      <c r="G196" t="inlineStr"/>
      <c r="H196" t="inlineStr">
        <is>
          <t>2.55%</t>
        </is>
      </c>
      <c r="I196" t="inlineStr">
        <is>
          <t>0.00%</t>
        </is>
      </c>
    </row>
    <row r="197">
      <c r="A197" s="2" t="n">
        <v>45975</v>
      </c>
      <c r="B197" t="inlineStr">
        <is>
          <t>SDVD</t>
        </is>
      </c>
      <c r="C197" t="inlineStr">
        <is>
          <t>GICS_INDUSTRY_NAME</t>
        </is>
      </c>
      <c r="D197" t="inlineStr">
        <is>
          <t>Electrical Equipment</t>
        </is>
      </c>
      <c r="E197" t="inlineStr">
        <is>
          <t>Industrials</t>
        </is>
      </c>
      <c r="F197" t="inlineStr"/>
      <c r="G197" t="inlineStr"/>
      <c r="H197" t="inlineStr">
        <is>
          <t>2.55%</t>
        </is>
      </c>
      <c r="I197" t="inlineStr">
        <is>
          <t>0.00%</t>
        </is>
      </c>
    </row>
    <row r="198">
      <c r="A198" s="2" t="n">
        <v>45975</v>
      </c>
      <c r="B198" t="inlineStr">
        <is>
          <t>SDVD</t>
        </is>
      </c>
      <c r="C198" t="inlineStr">
        <is>
          <t>GICS_INDUSTRY_NAME</t>
        </is>
      </c>
      <c r="D198" t="inlineStr">
        <is>
          <t>Food Products</t>
        </is>
      </c>
      <c r="E198" t="inlineStr">
        <is>
          <t>Consumer Staples</t>
        </is>
      </c>
      <c r="F198" t="inlineStr"/>
      <c r="G198" t="inlineStr"/>
      <c r="H198" t="inlineStr">
        <is>
          <t>2.22%</t>
        </is>
      </c>
      <c r="I198" t="inlineStr">
        <is>
          <t>0.00%</t>
        </is>
      </c>
    </row>
    <row r="199">
      <c r="A199" s="2" t="n">
        <v>45975</v>
      </c>
      <c r="B199" t="inlineStr">
        <is>
          <t>SDVD</t>
        </is>
      </c>
      <c r="C199" t="inlineStr">
        <is>
          <t>GICS_INDUSTRY_GROUP_NAME</t>
        </is>
      </c>
      <c r="D199" t="inlineStr">
        <is>
          <t>Media &amp; Entertainment</t>
        </is>
      </c>
      <c r="E199" t="inlineStr">
        <is>
          <t>Communication Services</t>
        </is>
      </c>
      <c r="F199" t="inlineStr"/>
      <c r="G199" t="inlineStr"/>
      <c r="H199" t="inlineStr">
        <is>
          <t>2.13%</t>
        </is>
      </c>
      <c r="I199" t="inlineStr">
        <is>
          <t>0.00%</t>
        </is>
      </c>
    </row>
    <row r="200">
      <c r="A200" s="2" t="n">
        <v>45975</v>
      </c>
      <c r="B200" t="inlineStr">
        <is>
          <t>SDVD</t>
        </is>
      </c>
      <c r="C200" t="inlineStr">
        <is>
          <t>GICS_INDUSTRY_NAME</t>
        </is>
      </c>
      <c r="D200" t="inlineStr">
        <is>
          <t>Media</t>
        </is>
      </c>
      <c r="E200" t="inlineStr">
        <is>
          <t>Communication Services</t>
        </is>
      </c>
      <c r="F200" t="inlineStr"/>
      <c r="G200" t="inlineStr"/>
      <c r="H200" t="inlineStr">
        <is>
          <t>2.13%</t>
        </is>
      </c>
      <c r="I200" t="inlineStr">
        <is>
          <t>0.00%</t>
        </is>
      </c>
    </row>
    <row r="201">
      <c r="A201" s="2" t="n">
        <v>45975</v>
      </c>
      <c r="B201" t="inlineStr">
        <is>
          <t>SDVD</t>
        </is>
      </c>
      <c r="C201" t="inlineStr">
        <is>
          <t>GICS_INDUSTRY_NAME</t>
        </is>
      </c>
      <c r="D201" t="inlineStr">
        <is>
          <t>Health Care Providers &amp; Services</t>
        </is>
      </c>
      <c r="E201" t="inlineStr">
        <is>
          <t>Health Care</t>
        </is>
      </c>
      <c r="F201" t="inlineStr"/>
      <c r="G201" t="inlineStr"/>
      <c r="H201" t="inlineStr">
        <is>
          <t>2.12%</t>
        </is>
      </c>
      <c r="I201" t="inlineStr">
        <is>
          <t>0.00%</t>
        </is>
      </c>
    </row>
    <row r="202">
      <c r="A202" s="2" t="n">
        <v>45975</v>
      </c>
      <c r="B202" t="inlineStr">
        <is>
          <t>SDVD</t>
        </is>
      </c>
      <c r="C202" t="inlineStr">
        <is>
          <t>GICS_INDUSTRY_NAME</t>
        </is>
      </c>
      <c r="D202" t="inlineStr">
        <is>
          <t>Specialty Retail</t>
        </is>
      </c>
      <c r="E202" t="inlineStr">
        <is>
          <t>Consumer Discretionary</t>
        </is>
      </c>
      <c r="F202" t="inlineStr"/>
      <c r="G202" t="inlineStr"/>
      <c r="H202" t="inlineStr">
        <is>
          <t>1.93%</t>
        </is>
      </c>
      <c r="I202" t="inlineStr">
        <is>
          <t>0.00%</t>
        </is>
      </c>
    </row>
    <row r="203">
      <c r="A203" s="2" t="n">
        <v>45975</v>
      </c>
      <c r="B203" t="inlineStr">
        <is>
          <t>SDVD</t>
        </is>
      </c>
      <c r="C203" t="inlineStr">
        <is>
          <t>GICS_INDUSTRY_NAME</t>
        </is>
      </c>
      <c r="D203" t="inlineStr">
        <is>
          <t>Chemicals</t>
        </is>
      </c>
      <c r="E203" t="inlineStr">
        <is>
          <t>Materials</t>
        </is>
      </c>
      <c r="F203" t="inlineStr"/>
      <c r="G203" t="inlineStr"/>
      <c r="H203" t="inlineStr">
        <is>
          <t>1.73%</t>
        </is>
      </c>
      <c r="I203" t="inlineStr">
        <is>
          <t>0.00%</t>
        </is>
      </c>
    </row>
    <row r="204">
      <c r="A204" s="2" t="n">
        <v>45975</v>
      </c>
      <c r="B204" t="inlineStr">
        <is>
          <t>SDVD</t>
        </is>
      </c>
      <c r="C204" t="inlineStr">
        <is>
          <t>GICS_INDUSTRY_NAME</t>
        </is>
      </c>
      <c r="D204" t="inlineStr">
        <is>
          <t>Aerospace &amp; Defense</t>
        </is>
      </c>
      <c r="E204" t="inlineStr">
        <is>
          <t>Industrials</t>
        </is>
      </c>
      <c r="F204" t="inlineStr"/>
      <c r="G204" t="inlineStr"/>
      <c r="H204" t="inlineStr">
        <is>
          <t>1.64%</t>
        </is>
      </c>
      <c r="I204" t="inlineStr">
        <is>
          <t>0.00%</t>
        </is>
      </c>
    </row>
    <row r="205">
      <c r="A205" s="2" t="n">
        <v>45975</v>
      </c>
      <c r="B205" t="inlineStr">
        <is>
          <t>SDVD</t>
        </is>
      </c>
      <c r="C205" t="inlineStr">
        <is>
          <t>GICS_INDUSTRY_NAME</t>
        </is>
      </c>
      <c r="D205" t="inlineStr">
        <is>
          <t>Metals &amp; Mining</t>
        </is>
      </c>
      <c r="E205" t="inlineStr">
        <is>
          <t>Materials</t>
        </is>
      </c>
      <c r="F205" t="inlineStr"/>
      <c r="G205" t="inlineStr"/>
      <c r="H205" t="inlineStr">
        <is>
          <t>1.61%</t>
        </is>
      </c>
      <c r="I205" t="inlineStr">
        <is>
          <t>0.00%</t>
        </is>
      </c>
    </row>
    <row r="206">
      <c r="A206" s="2" t="n">
        <v>45975</v>
      </c>
      <c r="B206" t="inlineStr">
        <is>
          <t>SDVD</t>
        </is>
      </c>
      <c r="C206" t="inlineStr">
        <is>
          <t>GICS_INDUSTRY_GROUP_NAME</t>
        </is>
      </c>
      <c r="D206" t="inlineStr">
        <is>
          <t>Technology Hardware &amp; Equipment</t>
        </is>
      </c>
      <c r="E206" t="inlineStr">
        <is>
          <t>Information Technology</t>
        </is>
      </c>
      <c r="F206" t="inlineStr"/>
      <c r="G206" t="inlineStr"/>
      <c r="H206" t="inlineStr">
        <is>
          <t>1.33%</t>
        </is>
      </c>
      <c r="I206" t="inlineStr">
        <is>
          <t>0.00%</t>
        </is>
      </c>
    </row>
    <row r="207">
      <c r="A207" s="2" t="n">
        <v>45975</v>
      </c>
      <c r="B207" t="inlineStr">
        <is>
          <t>SDVD</t>
        </is>
      </c>
      <c r="C207" t="inlineStr">
        <is>
          <t>GICS_INDUSTRY_GROUP_NAME</t>
        </is>
      </c>
      <c r="D207" t="inlineStr">
        <is>
          <t>Household &amp; Personal Products</t>
        </is>
      </c>
      <c r="E207" t="inlineStr">
        <is>
          <t>Consumer Staples</t>
        </is>
      </c>
      <c r="F207" t="inlineStr"/>
      <c r="G207" t="inlineStr"/>
      <c r="H207" t="inlineStr">
        <is>
          <t>1.08%</t>
        </is>
      </c>
      <c r="I207" t="inlineStr">
        <is>
          <t>0.00%</t>
        </is>
      </c>
    </row>
    <row r="208">
      <c r="A208" s="2" t="n">
        <v>45975</v>
      </c>
      <c r="B208" t="inlineStr">
        <is>
          <t>SDVD</t>
        </is>
      </c>
      <c r="C208" t="inlineStr">
        <is>
          <t>GICS_INDUSTRY_NAME</t>
        </is>
      </c>
      <c r="D208" t="inlineStr">
        <is>
          <t>Beverages</t>
        </is>
      </c>
      <c r="E208" t="inlineStr">
        <is>
          <t>Consumer Staples</t>
        </is>
      </c>
      <c r="F208" t="inlineStr"/>
      <c r="G208" t="inlineStr"/>
      <c r="H208" t="inlineStr">
        <is>
          <t>1.07%</t>
        </is>
      </c>
      <c r="I208" t="inlineStr">
        <is>
          <t>0.00%</t>
        </is>
      </c>
    </row>
    <row r="209">
      <c r="A209" s="2" t="n">
        <v>45975</v>
      </c>
      <c r="B209" t="inlineStr">
        <is>
          <t>SDVD</t>
        </is>
      </c>
      <c r="C209" t="inlineStr">
        <is>
          <t>GICS_INDUSTRY_NAME</t>
        </is>
      </c>
      <c r="D209" t="inlineStr">
        <is>
          <t>Oil, Gas &amp; Consumable Fuels</t>
        </is>
      </c>
      <c r="E209" t="inlineStr">
        <is>
          <t>Energy</t>
        </is>
      </c>
      <c r="F209" t="inlineStr"/>
      <c r="G209" t="inlineStr"/>
      <c r="H209" t="inlineStr">
        <is>
          <t>1.04%</t>
        </is>
      </c>
      <c r="I209" t="inlineStr">
        <is>
          <t>0.00%</t>
        </is>
      </c>
    </row>
    <row r="210">
      <c r="A210" s="2" t="n">
        <v>45975</v>
      </c>
      <c r="B210" t="inlineStr">
        <is>
          <t>SDVD</t>
        </is>
      </c>
      <c r="C210" t="inlineStr">
        <is>
          <t>GICS_INDUSTRY_NAME</t>
        </is>
      </c>
      <c r="D210" t="inlineStr">
        <is>
          <t>Consumer Finance</t>
        </is>
      </c>
      <c r="E210" t="inlineStr">
        <is>
          <t>Financials</t>
        </is>
      </c>
      <c r="F210" t="inlineStr"/>
      <c r="G210" t="inlineStr"/>
      <c r="H210" t="inlineStr">
        <is>
          <t>1.03%</t>
        </is>
      </c>
      <c r="I210" t="inlineStr">
        <is>
          <t>0.00%</t>
        </is>
      </c>
    </row>
    <row r="211">
      <c r="A211" s="2" t="n">
        <v>45975</v>
      </c>
      <c r="B211" t="inlineStr">
        <is>
          <t>SDVD</t>
        </is>
      </c>
      <c r="C211" t="inlineStr">
        <is>
          <t>GICS_INDUSTRY_GROUP_NAME</t>
        </is>
      </c>
      <c r="D211" t="inlineStr">
        <is>
          <t>Consumer Staples Distribution &amp; Retail</t>
        </is>
      </c>
      <c r="E211" t="inlineStr">
        <is>
          <t>Consumer Staples</t>
        </is>
      </c>
      <c r="F211" t="inlineStr"/>
      <c r="G211" t="inlineStr"/>
      <c r="H211" t="inlineStr">
        <is>
          <t>1.00%</t>
        </is>
      </c>
      <c r="I211" t="inlineStr">
        <is>
          <t>0.00%</t>
        </is>
      </c>
    </row>
    <row r="212">
      <c r="A212" s="2" t="n">
        <v>45975</v>
      </c>
      <c r="B212" t="inlineStr">
        <is>
          <t>SDVD</t>
        </is>
      </c>
      <c r="C212" t="inlineStr">
        <is>
          <t>GICS_INDUSTRY_NAME</t>
        </is>
      </c>
      <c r="D212" t="inlineStr">
        <is>
          <t>Consumer Staples Distribution &amp; Retail</t>
        </is>
      </c>
      <c r="E212" t="inlineStr">
        <is>
          <t>Consumer Staples</t>
        </is>
      </c>
      <c r="F212" t="inlineStr"/>
      <c r="G212" t="inlineStr"/>
      <c r="H212" t="inlineStr">
        <is>
          <t>1.00%</t>
        </is>
      </c>
      <c r="I212" t="inlineStr">
        <is>
          <t>0.00%</t>
        </is>
      </c>
    </row>
    <row r="213">
      <c r="A213" s="2" t="n">
        <v>45975</v>
      </c>
      <c r="B213" t="inlineStr">
        <is>
          <t>SDVD</t>
        </is>
      </c>
      <c r="C213" t="inlineStr">
        <is>
          <t>GICS_INDUSTRY_NAME</t>
        </is>
      </c>
      <c r="D213" t="inlineStr">
        <is>
          <t>Electronic Equipment, Instruments &amp; Components</t>
        </is>
      </c>
      <c r="E213" t="inlineStr">
        <is>
          <t>Information Technology</t>
        </is>
      </c>
      <c r="F213" t="inlineStr"/>
      <c r="G213" t="inlineStr"/>
      <c r="H213" t="inlineStr">
        <is>
          <t>0.88%</t>
        </is>
      </c>
      <c r="I213" t="inlineStr">
        <is>
          <t>0.00%</t>
        </is>
      </c>
    </row>
    <row r="214">
      <c r="A214" s="2" t="n">
        <v>45975</v>
      </c>
      <c r="B214" t="inlineStr">
        <is>
          <t>SDVD</t>
        </is>
      </c>
      <c r="C214" t="inlineStr">
        <is>
          <t>GICS_INDUSTRY_GROUP_NAME</t>
        </is>
      </c>
      <c r="D214" t="inlineStr">
        <is>
          <t>Utilities</t>
        </is>
      </c>
      <c r="E214" t="inlineStr">
        <is>
          <t>Utilities</t>
        </is>
      </c>
      <c r="F214" t="inlineStr"/>
      <c r="G214" t="inlineStr"/>
      <c r="H214" t="inlineStr">
        <is>
          <t>0.86%</t>
        </is>
      </c>
      <c r="I214" t="inlineStr">
        <is>
          <t>0.00%</t>
        </is>
      </c>
    </row>
    <row r="215">
      <c r="A215" s="2" t="n">
        <v>45975</v>
      </c>
      <c r="B215" t="inlineStr">
        <is>
          <t>SDVD</t>
        </is>
      </c>
      <c r="C215" t="inlineStr">
        <is>
          <t>GICS_INDUSTRY_NAME</t>
        </is>
      </c>
      <c r="D215" t="inlineStr">
        <is>
          <t>Electric Utilities</t>
        </is>
      </c>
      <c r="E215" t="inlineStr">
        <is>
          <t>Utilities</t>
        </is>
      </c>
      <c r="F215" t="inlineStr"/>
      <c r="G215" t="inlineStr"/>
      <c r="H215" t="inlineStr">
        <is>
          <t>0.86%</t>
        </is>
      </c>
      <c r="I215" t="inlineStr">
        <is>
          <t>0.00%</t>
        </is>
      </c>
    </row>
    <row r="216">
      <c r="A216" s="2" t="n">
        <v>45975</v>
      </c>
      <c r="B216" t="inlineStr">
        <is>
          <t>SDVD</t>
        </is>
      </c>
      <c r="C216" t="inlineStr">
        <is>
          <t>GICS_INDUSTRY_NAME</t>
        </is>
      </c>
      <c r="D216" t="inlineStr">
        <is>
          <t>Trading Companies &amp; Distributors</t>
        </is>
      </c>
      <c r="E216" t="inlineStr">
        <is>
          <t>Industrials</t>
        </is>
      </c>
      <c r="F216" t="inlineStr"/>
      <c r="G216" t="inlineStr"/>
      <c r="H216" t="inlineStr">
        <is>
          <t>0.82%</t>
        </is>
      </c>
      <c r="I216" t="inlineStr">
        <is>
          <t>0.00%</t>
        </is>
      </c>
    </row>
    <row r="217">
      <c r="A217" s="2" t="n">
        <v>45975</v>
      </c>
      <c r="B217" t="inlineStr">
        <is>
          <t>SDVD</t>
        </is>
      </c>
      <c r="C217" t="inlineStr">
        <is>
          <t>GICS_INDUSTRY_NAME</t>
        </is>
      </c>
      <c r="D217" t="inlineStr">
        <is>
          <t>Health Care Equipment &amp; Supplies</t>
        </is>
      </c>
      <c r="E217" t="inlineStr">
        <is>
          <t>Health Care</t>
        </is>
      </c>
      <c r="F217" t="inlineStr"/>
      <c r="G217" t="inlineStr"/>
      <c r="H217" t="inlineStr">
        <is>
          <t>0.79%</t>
        </is>
      </c>
      <c r="I217" t="inlineStr">
        <is>
          <t>0.00%</t>
        </is>
      </c>
    </row>
    <row r="218">
      <c r="A218" s="2" t="n">
        <v>45975</v>
      </c>
      <c r="B218" t="inlineStr">
        <is>
          <t>SDVD</t>
        </is>
      </c>
      <c r="C218" t="inlineStr">
        <is>
          <t>GICS_INDUSTRY_GROUP_NAME</t>
        </is>
      </c>
      <c r="D218" t="inlineStr">
        <is>
          <t>Semiconductors &amp; Semiconductor Equipment</t>
        </is>
      </c>
      <c r="E218" t="inlineStr">
        <is>
          <t>Information Technology</t>
        </is>
      </c>
      <c r="F218" t="inlineStr"/>
      <c r="G218" t="inlineStr"/>
      <c r="H218" t="inlineStr">
        <is>
          <t>0.66%</t>
        </is>
      </c>
      <c r="I218" t="inlineStr">
        <is>
          <t>0.00%</t>
        </is>
      </c>
    </row>
    <row r="219">
      <c r="A219" s="2" t="n">
        <v>45975</v>
      </c>
      <c r="B219" t="inlineStr">
        <is>
          <t>SDVD</t>
        </is>
      </c>
      <c r="C219" t="inlineStr">
        <is>
          <t>GICS_INDUSTRY_NAME</t>
        </is>
      </c>
      <c r="D219" t="inlineStr">
        <is>
          <t>Semiconductors &amp; Semiconductor Equipment</t>
        </is>
      </c>
      <c r="E219" t="inlineStr">
        <is>
          <t>Information Technology</t>
        </is>
      </c>
      <c r="F219" t="inlineStr"/>
      <c r="G219" t="inlineStr"/>
      <c r="H219" t="inlineStr">
        <is>
          <t>0.66%</t>
        </is>
      </c>
      <c r="I219" t="inlineStr">
        <is>
          <t>0.00%</t>
        </is>
      </c>
    </row>
    <row r="220">
      <c r="A220" s="2" t="n">
        <v>45975</v>
      </c>
      <c r="B220" t="inlineStr">
        <is>
          <t>SDVD</t>
        </is>
      </c>
      <c r="C220" t="inlineStr">
        <is>
          <t>GICS_INDUSTRY_GROUP_NAME</t>
        </is>
      </c>
      <c r="D220" t="inlineStr">
        <is>
          <t>Automobiles &amp; Components</t>
        </is>
      </c>
      <c r="E220" t="inlineStr">
        <is>
          <t>Consumer Discretionary</t>
        </is>
      </c>
      <c r="F220" t="inlineStr"/>
      <c r="G220" t="inlineStr"/>
      <c r="H220" t="inlineStr">
        <is>
          <t>0.64%</t>
        </is>
      </c>
      <c r="I220" t="inlineStr">
        <is>
          <t>0.00%</t>
        </is>
      </c>
    </row>
    <row r="221">
      <c r="A221" s="2" t="n">
        <v>45975</v>
      </c>
      <c r="B221" t="inlineStr">
        <is>
          <t>SDVD</t>
        </is>
      </c>
      <c r="C221" t="inlineStr">
        <is>
          <t>GICS_INDUSTRY_NAME</t>
        </is>
      </c>
      <c r="D221" t="inlineStr">
        <is>
          <t>Automobile Components</t>
        </is>
      </c>
      <c r="E221" t="inlineStr">
        <is>
          <t>Consumer Discretionary</t>
        </is>
      </c>
      <c r="F221" t="inlineStr"/>
      <c r="G221" t="inlineStr"/>
      <c r="H221" t="inlineStr">
        <is>
          <t>0.64%</t>
        </is>
      </c>
      <c r="I221" t="inlineStr">
        <is>
          <t>0.00%</t>
        </is>
      </c>
    </row>
    <row r="222">
      <c r="A222" s="2" t="n">
        <v>45975</v>
      </c>
      <c r="B222" t="inlineStr">
        <is>
          <t>SDVD</t>
        </is>
      </c>
      <c r="C222" t="inlineStr">
        <is>
          <t>GICS_INDUSTRY_NAME</t>
        </is>
      </c>
      <c r="D222" t="inlineStr">
        <is>
          <t>Broadline Retail</t>
        </is>
      </c>
      <c r="E222" t="inlineStr">
        <is>
          <t>Consumer Discretionary</t>
        </is>
      </c>
      <c r="F222" t="inlineStr"/>
      <c r="G222" t="inlineStr"/>
      <c r="H222" t="inlineStr">
        <is>
          <t>0.62%</t>
        </is>
      </c>
      <c r="I222" t="inlineStr">
        <is>
          <t>0.00%</t>
        </is>
      </c>
    </row>
    <row r="223">
      <c r="A223" s="2" t="n">
        <v>45975</v>
      </c>
      <c r="B223" t="inlineStr">
        <is>
          <t>SDVD</t>
        </is>
      </c>
      <c r="C223" t="inlineStr">
        <is>
          <t>GICS_INDUSTRY_NAME</t>
        </is>
      </c>
      <c r="D223" t="inlineStr">
        <is>
          <t>Personal Care Products</t>
        </is>
      </c>
      <c r="E223" t="inlineStr">
        <is>
          <t>Consumer Staples</t>
        </is>
      </c>
      <c r="F223" t="inlineStr"/>
      <c r="G223" t="inlineStr"/>
      <c r="H223" t="inlineStr">
        <is>
          <t>0.56%</t>
        </is>
      </c>
      <c r="I223" t="inlineStr">
        <is>
          <t>0.00%</t>
        </is>
      </c>
    </row>
    <row r="224">
      <c r="A224" s="2" t="n">
        <v>45975</v>
      </c>
      <c r="B224" t="inlineStr">
        <is>
          <t>SDVD</t>
        </is>
      </c>
      <c r="C224" t="inlineStr">
        <is>
          <t>GICS_INDUSTRY_NAME</t>
        </is>
      </c>
      <c r="D224" t="inlineStr">
        <is>
          <t>Household Products</t>
        </is>
      </c>
      <c r="E224" t="inlineStr">
        <is>
          <t>Consumer Staples</t>
        </is>
      </c>
      <c r="F224" t="inlineStr"/>
      <c r="G224" t="inlineStr"/>
      <c r="H224" t="inlineStr">
        <is>
          <t>0.52%</t>
        </is>
      </c>
      <c r="I224" t="inlineStr">
        <is>
          <t>0.00%</t>
        </is>
      </c>
    </row>
    <row r="225">
      <c r="A225" s="2" t="n">
        <v>45975</v>
      </c>
      <c r="B225" t="inlineStr">
        <is>
          <t>SDVD</t>
        </is>
      </c>
      <c r="C225" t="inlineStr">
        <is>
          <t>GICS_INDUSTRY_NAME</t>
        </is>
      </c>
      <c r="D225" t="inlineStr">
        <is>
          <t>Technology Hardware, Storage &amp; Peripherals</t>
        </is>
      </c>
      <c r="E225" t="inlineStr">
        <is>
          <t>Information Technology</t>
        </is>
      </c>
      <c r="F225" t="inlineStr"/>
      <c r="G225" t="inlineStr"/>
      <c r="H225" t="inlineStr">
        <is>
          <t>0.45%</t>
        </is>
      </c>
      <c r="I225" t="inlineStr">
        <is>
          <t>0.00%</t>
        </is>
      </c>
    </row>
    <row r="226">
      <c r="A226" s="2" t="n">
        <v>45975</v>
      </c>
      <c r="B226" t="inlineStr">
        <is>
          <t>SDVD</t>
        </is>
      </c>
      <c r="C226" t="inlineStr">
        <is>
          <t>GICS_INDUSTRY_NAME</t>
        </is>
      </c>
      <c r="D226" t="inlineStr">
        <is>
          <t>Hotels, Restaurants &amp; Leisure</t>
        </is>
      </c>
      <c r="E226" t="inlineStr">
        <is>
          <t>Consumer Discretionary</t>
        </is>
      </c>
      <c r="F226" t="inlineStr"/>
      <c r="G226" t="inlineStr"/>
      <c r="H226" t="inlineStr">
        <is>
          <t>0.37%</t>
        </is>
      </c>
      <c r="I226" t="inlineStr">
        <is>
          <t>0.00%</t>
        </is>
      </c>
    </row>
    <row r="227">
      <c r="A227" s="2" t="n">
        <v>45975</v>
      </c>
      <c r="B227" t="inlineStr">
        <is>
          <t>SDVD</t>
        </is>
      </c>
      <c r="C227" t="inlineStr">
        <is>
          <t>GICS_INDUSTRY_GROUP_NAME</t>
        </is>
      </c>
      <c r="D227" t="inlineStr">
        <is>
          <t>Telecommunication Services</t>
        </is>
      </c>
      <c r="E227" t="inlineStr">
        <is>
          <t>Communication Services</t>
        </is>
      </c>
      <c r="F227" t="inlineStr"/>
      <c r="G227" t="inlineStr"/>
      <c r="H227" t="inlineStr">
        <is>
          <t>0.36%</t>
        </is>
      </c>
      <c r="I227" t="inlineStr">
        <is>
          <t>0.00%</t>
        </is>
      </c>
    </row>
    <row r="228">
      <c r="A228" s="2" t="n">
        <v>45975</v>
      </c>
      <c r="B228" t="inlineStr">
        <is>
          <t>SDVD</t>
        </is>
      </c>
      <c r="C228" t="inlineStr">
        <is>
          <t>GICS_INDUSTRY_NAME</t>
        </is>
      </c>
      <c r="D228" t="inlineStr">
        <is>
          <t>Diversified Telecommunication Services</t>
        </is>
      </c>
      <c r="E228" t="inlineStr">
        <is>
          <t>Communication Services</t>
        </is>
      </c>
      <c r="F228" t="inlineStr"/>
      <c r="G228" t="inlineStr"/>
      <c r="H228" t="inlineStr">
        <is>
          <t>0.36%</t>
        </is>
      </c>
      <c r="I228" t="inlineStr">
        <is>
          <t>0.00%</t>
        </is>
      </c>
    </row>
    <row r="229">
      <c r="A229" s="2" t="n">
        <v>45975</v>
      </c>
      <c r="B229" t="inlineStr">
        <is>
          <t>SDVD</t>
        </is>
      </c>
      <c r="C229" t="inlineStr">
        <is>
          <t>GICS_INDUSTRY_NAME</t>
        </is>
      </c>
      <c r="D229" t="inlineStr">
        <is>
          <t>Containers &amp; Packaging</t>
        </is>
      </c>
      <c r="E229" t="inlineStr">
        <is>
          <t>Materials</t>
        </is>
      </c>
      <c r="F229" t="inlineStr"/>
      <c r="G229" t="inlineStr"/>
      <c r="H229" t="inlineStr">
        <is>
          <t>0.35%</t>
        </is>
      </c>
      <c r="I229" t="inlineStr">
        <is>
          <t>0.00%</t>
        </is>
      </c>
    </row>
    <row r="230">
      <c r="A230" s="2" t="n">
        <v>45975</v>
      </c>
      <c r="B230" t="inlineStr">
        <is>
          <t>SDVD</t>
        </is>
      </c>
      <c r="C230" t="inlineStr">
        <is>
          <t>GICS_INDUSTRY_NAME</t>
        </is>
      </c>
      <c r="D230" t="inlineStr">
        <is>
          <t>Construction Materials</t>
        </is>
      </c>
      <c r="E230" t="inlineStr">
        <is>
          <t>Materials</t>
        </is>
      </c>
      <c r="F230" t="inlineStr"/>
      <c r="G230" t="inlineStr"/>
      <c r="H230" t="inlineStr">
        <is>
          <t>0.24%</t>
        </is>
      </c>
      <c r="I230" t="inlineStr">
        <is>
          <t>0.00%</t>
        </is>
      </c>
    </row>
    <row r="231">
      <c r="A231" s="2" t="n">
        <v>45975</v>
      </c>
      <c r="B231" t="inlineStr">
        <is>
          <t>SDVD</t>
        </is>
      </c>
      <c r="C231" t="inlineStr">
        <is>
          <t>GICS_INDUSTRY_NAME</t>
        </is>
      </c>
      <c r="D231" t="inlineStr">
        <is>
          <t>Tobacco</t>
        </is>
      </c>
      <c r="E231" t="inlineStr">
        <is>
          <t>Consumer Staples</t>
        </is>
      </c>
      <c r="F231" t="inlineStr"/>
      <c r="G231" t="inlineStr"/>
      <c r="H231" t="inlineStr">
        <is>
          <t>0.23%</t>
        </is>
      </c>
      <c r="I231" t="inlineStr">
        <is>
          <t>0.00%</t>
        </is>
      </c>
    </row>
    <row r="232">
      <c r="A232" s="2" t="n">
        <v>45975</v>
      </c>
      <c r="B232" t="inlineStr">
        <is>
          <t>SDVD</t>
        </is>
      </c>
      <c r="C232" t="inlineStr">
        <is>
          <t>GICS_INDUSTRY_NAME</t>
        </is>
      </c>
      <c r="D232" t="inlineStr">
        <is>
          <t>IT Services</t>
        </is>
      </c>
      <c r="E232" t="inlineStr">
        <is>
          <t>Information Technology</t>
        </is>
      </c>
      <c r="F232" t="inlineStr"/>
      <c r="G232" t="inlineStr"/>
      <c r="H232" t="inlineStr">
        <is>
          <t>0.21%</t>
        </is>
      </c>
      <c r="I232" t="inlineStr">
        <is>
          <t>0.00%</t>
        </is>
      </c>
    </row>
    <row r="233">
      <c r="A233" s="2" t="n">
        <v>45975</v>
      </c>
      <c r="B233" t="inlineStr">
        <is>
          <t>SDVD</t>
        </is>
      </c>
      <c r="C233" t="inlineStr">
        <is>
          <t>GICS_INDUSTRY_GROUP_NAME</t>
        </is>
      </c>
      <c r="D233" t="inlineStr">
        <is>
          <t>Transportation</t>
        </is>
      </c>
      <c r="E233" t="inlineStr">
        <is>
          <t>Industrials</t>
        </is>
      </c>
      <c r="F233" t="inlineStr"/>
      <c r="G233" t="inlineStr"/>
      <c r="H233" t="inlineStr">
        <is>
          <t>0.15%</t>
        </is>
      </c>
      <c r="I233" t="inlineStr">
        <is>
          <t>0.00%</t>
        </is>
      </c>
    </row>
    <row r="234">
      <c r="A234" s="2" t="n">
        <v>45975</v>
      </c>
      <c r="B234" t="inlineStr">
        <is>
          <t>SDVD</t>
        </is>
      </c>
      <c r="C234" t="inlineStr">
        <is>
          <t>GICS_INDUSTRY_NAME</t>
        </is>
      </c>
      <c r="D234" t="inlineStr">
        <is>
          <t>Air Freight &amp; Logistics</t>
        </is>
      </c>
      <c r="E234" t="inlineStr">
        <is>
          <t>Industrials</t>
        </is>
      </c>
      <c r="F234" t="inlineStr"/>
      <c r="G234" t="inlineStr"/>
      <c r="H234" t="inlineStr">
        <is>
          <t>0.15%</t>
        </is>
      </c>
      <c r="I234" t="inlineStr">
        <is>
          <t>0.00%</t>
        </is>
      </c>
    </row>
    <row r="235">
      <c r="A235" s="2" t="n">
        <v>45975</v>
      </c>
      <c r="B235" t="inlineStr">
        <is>
          <t>SDVD</t>
        </is>
      </c>
      <c r="C235" t="inlineStr">
        <is>
          <t>GICS_INDUSTRY_NAME</t>
        </is>
      </c>
      <c r="D235" t="inlineStr">
        <is>
          <t>Paper &amp; Forest Products</t>
        </is>
      </c>
      <c r="E235" t="inlineStr">
        <is>
          <t>Materials</t>
        </is>
      </c>
      <c r="F235" t="inlineStr"/>
      <c r="G235" t="inlineStr"/>
      <c r="H235" t="inlineStr">
        <is>
          <t>0.10%</t>
        </is>
      </c>
      <c r="I235" t="inlineStr">
        <is>
          <t>0.00%</t>
        </is>
      </c>
    </row>
    <row r="236">
      <c r="A236" s="2" t="n">
        <v>45975</v>
      </c>
      <c r="B236" t="inlineStr">
        <is>
          <t>TDVI</t>
        </is>
      </c>
      <c r="C236" t="inlineStr">
        <is>
          <t>GICS_INDUSTRY_GROUP_NAME</t>
        </is>
      </c>
      <c r="D236" t="inlineStr">
        <is>
          <t>Semiconductors &amp; Semiconductor Equipment</t>
        </is>
      </c>
      <c r="E236" t="inlineStr">
        <is>
          <t>Information Technology</t>
        </is>
      </c>
      <c r="F236" t="b">
        <v>1</v>
      </c>
      <c r="G236" t="inlineStr"/>
      <c r="H236" t="inlineStr">
        <is>
          <t>37.36%</t>
        </is>
      </c>
      <c r="I236" t="inlineStr">
        <is>
          <t>0.00%</t>
        </is>
      </c>
    </row>
    <row r="237">
      <c r="A237" s="2" t="n">
        <v>45975</v>
      </c>
      <c r="B237" t="inlineStr">
        <is>
          <t>TDVI</t>
        </is>
      </c>
      <c r="C237" t="inlineStr">
        <is>
          <t>GICS_INDUSTRY_NAME</t>
        </is>
      </c>
      <c r="D237" t="inlineStr">
        <is>
          <t>Semiconductors &amp; Semiconductor Equipment</t>
        </is>
      </c>
      <c r="E237" t="inlineStr">
        <is>
          <t>Information Technology</t>
        </is>
      </c>
      <c r="F237" t="b">
        <v>1</v>
      </c>
      <c r="G237" t="inlineStr"/>
      <c r="H237" t="inlineStr">
        <is>
          <t>37.36%</t>
        </is>
      </c>
      <c r="I237" t="inlineStr">
        <is>
          <t>0.00%</t>
        </is>
      </c>
    </row>
    <row r="238">
      <c r="A238" s="2" t="n">
        <v>45975</v>
      </c>
      <c r="B238" t="inlineStr">
        <is>
          <t>TDVI</t>
        </is>
      </c>
      <c r="C238" t="inlineStr">
        <is>
          <t>GICS_INDUSTRY_GROUP_NAME</t>
        </is>
      </c>
      <c r="D238" t="inlineStr">
        <is>
          <t>Software &amp; Services</t>
        </is>
      </c>
      <c r="E238" t="inlineStr">
        <is>
          <t>Information Technology</t>
        </is>
      </c>
      <c r="F238" t="b">
        <v>1</v>
      </c>
      <c r="G238" t="inlineStr"/>
      <c r="H238" t="inlineStr">
        <is>
          <t>31.23%</t>
        </is>
      </c>
      <c r="I238" t="inlineStr">
        <is>
          <t>0.00%</t>
        </is>
      </c>
    </row>
    <row r="239">
      <c r="A239" s="2" t="n">
        <v>45975</v>
      </c>
      <c r="B239" t="inlineStr">
        <is>
          <t>TDVI</t>
        </is>
      </c>
      <c r="C239" t="inlineStr">
        <is>
          <t>GICS_INDUSTRY_NAME</t>
        </is>
      </c>
      <c r="D239" t="inlineStr">
        <is>
          <t>Software</t>
        </is>
      </c>
      <c r="E239" t="inlineStr">
        <is>
          <t>Information Technology</t>
        </is>
      </c>
      <c r="F239" t="inlineStr"/>
      <c r="G239" t="inlineStr"/>
      <c r="H239" t="inlineStr">
        <is>
          <t>20.29%</t>
        </is>
      </c>
      <c r="I239" t="inlineStr">
        <is>
          <t>0.00%</t>
        </is>
      </c>
    </row>
    <row r="240">
      <c r="A240" s="2" t="n">
        <v>45975</v>
      </c>
      <c r="B240" t="inlineStr">
        <is>
          <t>TDVI</t>
        </is>
      </c>
      <c r="C240" t="inlineStr">
        <is>
          <t>GICS_INDUSTRY_GROUP_NAME</t>
        </is>
      </c>
      <c r="D240" t="inlineStr">
        <is>
          <t>Technology Hardware &amp; Equipment</t>
        </is>
      </c>
      <c r="E240" t="inlineStr">
        <is>
          <t>Information Technology</t>
        </is>
      </c>
      <c r="F240" t="inlineStr"/>
      <c r="G240" t="inlineStr"/>
      <c r="H240" t="inlineStr">
        <is>
          <t>16.01%</t>
        </is>
      </c>
      <c r="I240" t="inlineStr">
        <is>
          <t>0.00%</t>
        </is>
      </c>
    </row>
    <row r="241">
      <c r="A241" s="2" t="n">
        <v>45975</v>
      </c>
      <c r="B241" t="inlineStr">
        <is>
          <t>TDVI</t>
        </is>
      </c>
      <c r="C241" t="inlineStr">
        <is>
          <t>GICS_INDUSTRY_GROUP_NAME</t>
        </is>
      </c>
      <c r="D241" t="inlineStr">
        <is>
          <t>Telecommunication Services</t>
        </is>
      </c>
      <c r="E241" t="inlineStr">
        <is>
          <t>Communication Services</t>
        </is>
      </c>
      <c r="F241" t="inlineStr"/>
      <c r="G241" t="inlineStr"/>
      <c r="H241" t="inlineStr">
        <is>
          <t>11.14%</t>
        </is>
      </c>
      <c r="I241" t="inlineStr">
        <is>
          <t>0.00%</t>
        </is>
      </c>
    </row>
    <row r="242">
      <c r="A242" s="2" t="n">
        <v>45975</v>
      </c>
      <c r="B242" t="inlineStr">
        <is>
          <t>TDVI</t>
        </is>
      </c>
      <c r="C242" t="inlineStr">
        <is>
          <t>GICS_INDUSTRY_NAME</t>
        </is>
      </c>
      <c r="D242" t="inlineStr">
        <is>
          <t>IT Services</t>
        </is>
      </c>
      <c r="E242" t="inlineStr">
        <is>
          <t>Information Technology</t>
        </is>
      </c>
      <c r="F242" t="inlineStr"/>
      <c r="G242" t="inlineStr"/>
      <c r="H242" t="inlineStr">
        <is>
          <t>10.94%</t>
        </is>
      </c>
      <c r="I242" t="inlineStr">
        <is>
          <t>0.00%</t>
        </is>
      </c>
    </row>
    <row r="243">
      <c r="A243" s="2" t="n">
        <v>45975</v>
      </c>
      <c r="B243" t="inlineStr">
        <is>
          <t>TDVI</t>
        </is>
      </c>
      <c r="C243" t="inlineStr">
        <is>
          <t>GICS_INDUSTRY_NAME</t>
        </is>
      </c>
      <c r="D243" t="inlineStr">
        <is>
          <t>Diversified Telecommunication Services</t>
        </is>
      </c>
      <c r="E243" t="inlineStr">
        <is>
          <t>Communication Services</t>
        </is>
      </c>
      <c r="F243" t="inlineStr"/>
      <c r="G243" t="inlineStr"/>
      <c r="H243" t="inlineStr">
        <is>
          <t>6.11%</t>
        </is>
      </c>
      <c r="I243" t="inlineStr">
        <is>
          <t>0.00%</t>
        </is>
      </c>
    </row>
    <row r="244">
      <c r="A244" s="2" t="n">
        <v>45975</v>
      </c>
      <c r="B244" t="inlineStr">
        <is>
          <t>TDVI</t>
        </is>
      </c>
      <c r="C244" t="inlineStr">
        <is>
          <t>GICS_INDUSTRY_NAME</t>
        </is>
      </c>
      <c r="D244" t="inlineStr">
        <is>
          <t>Technology Hardware, Storage &amp; Peripherals</t>
        </is>
      </c>
      <c r="E244" t="inlineStr">
        <is>
          <t>Information Technology</t>
        </is>
      </c>
      <c r="F244" t="inlineStr"/>
      <c r="G244" t="inlineStr"/>
      <c r="H244" t="inlineStr">
        <is>
          <t>5.52%</t>
        </is>
      </c>
      <c r="I244" t="inlineStr">
        <is>
          <t>0.00%</t>
        </is>
      </c>
    </row>
    <row r="245">
      <c r="A245" s="2" t="n">
        <v>45975</v>
      </c>
      <c r="B245" t="inlineStr">
        <is>
          <t>TDVI</t>
        </is>
      </c>
      <c r="C245" t="inlineStr">
        <is>
          <t>GICS_INDUSTRY_NAME</t>
        </is>
      </c>
      <c r="D245" t="inlineStr">
        <is>
          <t>Electronic Equipment, Instruments &amp; Components</t>
        </is>
      </c>
      <c r="E245" t="inlineStr">
        <is>
          <t>Information Technology</t>
        </is>
      </c>
      <c r="F245" t="inlineStr"/>
      <c r="G245" t="inlineStr"/>
      <c r="H245" t="inlineStr">
        <is>
          <t>5.25%</t>
        </is>
      </c>
      <c r="I245" t="inlineStr">
        <is>
          <t>0.00%</t>
        </is>
      </c>
    </row>
    <row r="246">
      <c r="A246" s="2" t="n">
        <v>45975</v>
      </c>
      <c r="B246" t="inlineStr">
        <is>
          <t>TDVI</t>
        </is>
      </c>
      <c r="C246" t="inlineStr">
        <is>
          <t>GICS_INDUSTRY_NAME</t>
        </is>
      </c>
      <c r="D246" t="inlineStr">
        <is>
          <t>Communications Equipment</t>
        </is>
      </c>
      <c r="E246" t="inlineStr">
        <is>
          <t>Information Technology</t>
        </is>
      </c>
      <c r="F246" t="inlineStr"/>
      <c r="G246" t="inlineStr"/>
      <c r="H246" t="inlineStr">
        <is>
          <t>5.23%</t>
        </is>
      </c>
      <c r="I246" t="inlineStr">
        <is>
          <t>0.00%</t>
        </is>
      </c>
    </row>
    <row r="247">
      <c r="A247" s="2" t="n">
        <v>45975</v>
      </c>
      <c r="B247" t="inlineStr">
        <is>
          <t>TDVI</t>
        </is>
      </c>
      <c r="C247" t="inlineStr">
        <is>
          <t>GICS_INDUSTRY_NAME</t>
        </is>
      </c>
      <c r="D247" t="inlineStr">
        <is>
          <t>Wireless Telecommunication Services</t>
        </is>
      </c>
      <c r="E247" t="inlineStr">
        <is>
          <t>Communication Services</t>
        </is>
      </c>
      <c r="F247" t="inlineStr"/>
      <c r="G247" t="inlineStr"/>
      <c r="H247" t="inlineStr">
        <is>
          <t>5.03%</t>
        </is>
      </c>
      <c r="I247" t="inlineStr">
        <is>
          <t>0.00%</t>
        </is>
      </c>
    </row>
    <row r="248">
      <c r="A248" s="2" t="n">
        <v>45975</v>
      </c>
      <c r="B248" t="inlineStr">
        <is>
          <t>TDVI</t>
        </is>
      </c>
      <c r="C248" t="inlineStr">
        <is>
          <t>GICS_INDUSTRY_GROUP_NAME</t>
        </is>
      </c>
      <c r="D248" t="inlineStr">
        <is>
          <t>Commercial &amp; Professional Services</t>
        </is>
      </c>
      <c r="E248" t="inlineStr">
        <is>
          <t>Industrials</t>
        </is>
      </c>
      <c r="F248" t="inlineStr"/>
      <c r="G248" t="inlineStr"/>
      <c r="H248" t="inlineStr">
        <is>
          <t>2.27%</t>
        </is>
      </c>
      <c r="I248" t="inlineStr">
        <is>
          <t>0.00%</t>
        </is>
      </c>
    </row>
    <row r="249">
      <c r="A249" s="2" t="n">
        <v>45975</v>
      </c>
      <c r="B249" t="inlineStr">
        <is>
          <t>TDVI</t>
        </is>
      </c>
      <c r="C249" t="inlineStr">
        <is>
          <t>GICS_INDUSTRY_NAME</t>
        </is>
      </c>
      <c r="D249" t="inlineStr">
        <is>
          <t>Professional Services</t>
        </is>
      </c>
      <c r="E249" t="inlineStr">
        <is>
          <t>Industrials</t>
        </is>
      </c>
      <c r="F249" t="inlineStr"/>
      <c r="G249" t="inlineStr"/>
      <c r="H249" t="inlineStr">
        <is>
          <t>2.27%</t>
        </is>
      </c>
      <c r="I249" t="inlineStr">
        <is>
          <t>0.00%</t>
        </is>
      </c>
    </row>
    <row r="250">
      <c r="A250" s="2" t="n">
        <v>45975</v>
      </c>
      <c r="B250" t="inlineStr">
        <is>
          <t>TDVI</t>
        </is>
      </c>
      <c r="C250" t="inlineStr">
        <is>
          <t>GICS_INDUSTRY_GROUP_NAME</t>
        </is>
      </c>
      <c r="D250" t="inlineStr">
        <is>
          <t>Media &amp; Entertainment</t>
        </is>
      </c>
      <c r="E250" t="inlineStr">
        <is>
          <t>Communication Services</t>
        </is>
      </c>
      <c r="F250" t="inlineStr"/>
      <c r="G250" t="inlineStr"/>
      <c r="H250" t="inlineStr">
        <is>
          <t>2.00%</t>
        </is>
      </c>
      <c r="I250" t="inlineStr">
        <is>
          <t>0.00%</t>
        </is>
      </c>
    </row>
    <row r="251">
      <c r="A251" s="2" t="n">
        <v>45975</v>
      </c>
      <c r="B251" t="inlineStr">
        <is>
          <t>TDVI</t>
        </is>
      </c>
      <c r="C251" t="inlineStr">
        <is>
          <t>GICS_INDUSTRY_NAME</t>
        </is>
      </c>
      <c r="D251" t="inlineStr">
        <is>
          <t>Media</t>
        </is>
      </c>
      <c r="E251" t="inlineStr">
        <is>
          <t>Communication Services</t>
        </is>
      </c>
      <c r="F251" t="inlineStr"/>
      <c r="G251" t="inlineStr"/>
      <c r="H251" t="inlineStr">
        <is>
          <t>1.57%</t>
        </is>
      </c>
      <c r="I251" t="inlineStr">
        <is>
          <t>0.00%</t>
        </is>
      </c>
    </row>
    <row r="252">
      <c r="A252" s="2" t="n">
        <v>45975</v>
      </c>
      <c r="B252" t="inlineStr">
        <is>
          <t>TDVI</t>
        </is>
      </c>
      <c r="C252" t="inlineStr">
        <is>
          <t>GICS_INDUSTRY_NAME</t>
        </is>
      </c>
      <c r="D252" t="inlineStr">
        <is>
          <t>Interactive Media &amp; Services</t>
        </is>
      </c>
      <c r="E252" t="inlineStr">
        <is>
          <t>Communication Services</t>
        </is>
      </c>
      <c r="F252" t="inlineStr"/>
      <c r="G252" t="inlineStr"/>
      <c r="H252" t="inlineStr">
        <is>
          <t>0.43%</t>
        </is>
      </c>
      <c r="I252" t="inlineStr">
        <is>
          <t>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cols>
    <col width="50" customWidth="1" min="1" max="1"/>
    <col width="6" customWidth="1" min="2" max="2"/>
    <col width="31" customWidth="1" min="3" max="3"/>
    <col width="27" customWidth="1" min="4" max="4"/>
    <col width="41" customWidth="1" min="5" max="5"/>
    <col width="27" customWidth="1" min="6" max="6"/>
    <col width="20" customWidth="1" min="7" max="7"/>
    <col width="18" customWidth="1" min="8" max="8"/>
    <col width="20" customWidth="1" min="9" max="9"/>
    <col width="20" customWidth="1" min="10" max="10"/>
    <col width="20" customWidth="1" min="11" max="11"/>
    <col width="9" customWidth="1" min="12" max="12"/>
    <col width="28" customWidth="1" min="13" max="13"/>
    <col width="26" customWidth="1" min="14" max="14"/>
    <col width="14" customWidth="1" min="15" max="15"/>
    <col width="27" customWidth="1" min="16" max="16"/>
  </cols>
  <sheetData>
    <row r="1">
      <c r="A1" s="1" t="inlineStr">
        <is>
          <t>Date</t>
        </is>
      </c>
      <c r="B1" s="1" t="inlineStr">
        <is>
          <t>Fund</t>
        </is>
      </c>
      <c r="C1" s="1" t="inlineStr">
        <is>
          <t>Prospectus 80% Compliance</t>
        </is>
      </c>
      <c r="D1" s="1" t="inlineStr">
        <is>
          <t>Total Equity Market Value</t>
        </is>
      </c>
      <c r="E1" s="1" t="inlineStr">
        <is>
          <t>Total Option Delta Notional Value (DAN)</t>
        </is>
      </c>
      <c r="F1" s="1" t="inlineStr">
        <is>
          <t>Total Option Market Value</t>
        </is>
      </c>
      <c r="G1" s="1" t="inlineStr">
        <is>
          <t>Total T-Bill Value</t>
        </is>
      </c>
      <c r="H1" s="1" t="inlineStr">
        <is>
          <t>Total Cash Value</t>
        </is>
      </c>
      <c r="I1" s="1" t="inlineStr">
        <is>
          <t>Max(CCET - DAN, 0)</t>
        </is>
      </c>
      <c r="J1" s="1" t="inlineStr">
        <is>
          <t>Denominator</t>
        </is>
      </c>
      <c r="K1" s="1" t="inlineStr">
        <is>
          <t>Numerator</t>
        </is>
      </c>
      <c r="L1" s="1" t="inlineStr">
        <is>
          <t>Formula</t>
        </is>
      </c>
      <c r="M1" s="1" t="inlineStr">
        <is>
          <t>Denominator (Market Value)</t>
        </is>
      </c>
      <c r="N1" s="1" t="inlineStr">
        <is>
          <t>Numerator (Market Value)</t>
        </is>
      </c>
      <c r="O1" s="1" t="inlineStr">
        <is>
          <t>Formula (MV)</t>
        </is>
      </c>
      <c r="P1" s="1" t="inlineStr">
        <is>
          <t>Options in Scope for 80%?</t>
        </is>
      </c>
    </row>
    <row r="2">
      <c r="A2" s="2" t="n">
        <v>45975</v>
      </c>
      <c r="B2" t="inlineStr">
        <is>
          <t>TDVI</t>
        </is>
      </c>
      <c r="C2" s="3">
        <f>IF(K2/J2&gt;=0.8,"PASS","FAIL")</f>
        <v/>
      </c>
      <c r="D2" s="3" t="n">
        <v>196484680.05</v>
      </c>
      <c r="E2" s="3" t="n">
        <v>0</v>
      </c>
      <c r="F2" s="3" t="n">
        <v>0</v>
      </c>
      <c r="G2" s="3" t="n">
        <v>33753456.23</v>
      </c>
      <c r="H2" s="3" t="n">
        <v>417963.26</v>
      </c>
      <c r="I2" s="3" t="n">
        <v>34171419.48999999</v>
      </c>
      <c r="J2" s="3" t="n">
        <v>230656099.54</v>
      </c>
      <c r="K2" s="3" t="n">
        <v>230238136.28</v>
      </c>
      <c r="L2" s="4">
        <f>K2/J2</f>
        <v/>
      </c>
      <c r="M2" s="3" t="n">
        <v>230656099.54</v>
      </c>
      <c r="N2" s="3" t="n">
        <v>230238136.28</v>
      </c>
      <c r="O2" s="4">
        <f>N2/M2</f>
        <v/>
      </c>
      <c r="P2" t="inlineStr">
        <is>
          <t>No</t>
        </is>
      </c>
    </row>
    <row r="3">
      <c r="A3" s="2" t="n">
        <v>45975</v>
      </c>
      <c r="B3" t="inlineStr">
        <is>
          <t>FDND</t>
        </is>
      </c>
      <c r="C3" s="3">
        <f>IF(K3/J3&gt;=0.8,"PASS","FAIL")</f>
        <v/>
      </c>
      <c r="D3" s="3" t="n">
        <v>10264853.48</v>
      </c>
      <c r="E3" s="3" t="n">
        <v>0</v>
      </c>
      <c r="F3" s="3" t="n">
        <v>0</v>
      </c>
      <c r="G3" s="3" t="n">
        <v>33753456.23</v>
      </c>
      <c r="H3" s="3" t="n">
        <v>20343.47</v>
      </c>
      <c r="I3" s="3" t="n">
        <v>33773799.7</v>
      </c>
      <c r="J3" s="3" t="n">
        <v>44038653.18</v>
      </c>
      <c r="K3" s="3" t="n">
        <v>44018309.70999999</v>
      </c>
      <c r="L3" s="4">
        <f>K3/J3</f>
        <v/>
      </c>
      <c r="M3" s="3" t="n">
        <v>44038653.18</v>
      </c>
      <c r="N3" s="3" t="n">
        <v>44018309.70999999</v>
      </c>
      <c r="O3" s="4">
        <f>N3/M3</f>
        <v/>
      </c>
      <c r="P3" t="inlineStr">
        <is>
          <t>No</t>
        </is>
      </c>
    </row>
    <row r="4">
      <c r="A4" s="2" t="n">
        <v>45975</v>
      </c>
      <c r="B4" t="inlineStr">
        <is>
          <t>RDVI</t>
        </is>
      </c>
      <c r="C4" s="3">
        <f>IF(K4/J4&gt;=0.8,"PASS","FAIL")</f>
        <v/>
      </c>
      <c r="D4" s="3" t="n">
        <v>2482024006.72</v>
      </c>
      <c r="E4" s="3" t="n">
        <v>0</v>
      </c>
      <c r="F4" s="3" t="n">
        <v>0</v>
      </c>
      <c r="G4" s="3" t="n">
        <v>33753456.23</v>
      </c>
      <c r="H4" s="3" t="n">
        <v>5106282.9</v>
      </c>
      <c r="I4" s="3" t="n">
        <v>38859739.13</v>
      </c>
      <c r="J4" s="3" t="n">
        <v>2520883745.85</v>
      </c>
      <c r="K4" s="3" t="n">
        <v>2515777462.95</v>
      </c>
      <c r="L4" s="4">
        <f>K4/J4</f>
        <v/>
      </c>
      <c r="M4" s="3" t="n">
        <v>2520883745.85</v>
      </c>
      <c r="N4" s="3" t="n">
        <v>2515777462.95</v>
      </c>
      <c r="O4" s="4">
        <f>N4/M4</f>
        <v/>
      </c>
      <c r="P4" t="inlineStr">
        <is>
          <t>No</t>
        </is>
      </c>
    </row>
    <row r="5">
      <c r="A5" s="2" t="n">
        <v>45975</v>
      </c>
      <c r="B5" t="inlineStr">
        <is>
          <t>SDVD</t>
        </is>
      </c>
      <c r="C5" s="3">
        <f>IF(K5/J5&gt;=0.8,"PASS","FAIL")</f>
        <v/>
      </c>
      <c r="D5" s="3" t="n">
        <v>672208431.3550001</v>
      </c>
      <c r="E5" s="3" t="n">
        <v>0</v>
      </c>
      <c r="F5" s="3" t="n">
        <v>0</v>
      </c>
      <c r="G5" s="3" t="n">
        <v>33753456.23</v>
      </c>
      <c r="H5" s="3" t="n">
        <v>1325693.37</v>
      </c>
      <c r="I5" s="3" t="n">
        <v>35079149.59999999</v>
      </c>
      <c r="J5" s="3" t="n">
        <v>707287580.9550002</v>
      </c>
      <c r="K5" s="3" t="n">
        <v>705961887.5850002</v>
      </c>
      <c r="L5" s="4">
        <f>K5/J5</f>
        <v/>
      </c>
      <c r="M5" s="3" t="n">
        <v>707287580.9550002</v>
      </c>
      <c r="N5" s="3" t="n">
        <v>705961887.5850002</v>
      </c>
      <c r="O5" s="4">
        <f>N5/M5</f>
        <v/>
      </c>
      <c r="P5" t="inlineStr">
        <is>
          <t>No</t>
        </is>
      </c>
    </row>
    <row r="6">
      <c r="A6" s="2" t="n">
        <v>45975</v>
      </c>
      <c r="B6" t="inlineStr">
        <is>
          <t>KNG</t>
        </is>
      </c>
      <c r="C6" s="3">
        <f>IF(K6/J6&gt;=0.8,"PASS","FAIL")</f>
        <v/>
      </c>
      <c r="D6" s="3" t="n">
        <v>3529373290.715</v>
      </c>
      <c r="E6" s="3" t="n">
        <v>0</v>
      </c>
      <c r="F6" s="3" t="n">
        <v>0</v>
      </c>
      <c r="G6" s="3" t="n">
        <v>33753456.23</v>
      </c>
      <c r="H6" s="3" t="n">
        <v>19988187.29</v>
      </c>
      <c r="I6" s="3" t="n">
        <v>53741643.52</v>
      </c>
      <c r="J6" s="3" t="n">
        <v>3583114934.235</v>
      </c>
      <c r="K6" s="3" t="n">
        <v>3563126746.945</v>
      </c>
      <c r="L6" s="4">
        <f>K6/J6</f>
        <v/>
      </c>
      <c r="M6" s="3" t="n">
        <v>3583114934.235</v>
      </c>
      <c r="N6" s="3" t="n">
        <v>3563126746.945</v>
      </c>
      <c r="O6" s="4">
        <f>N6/M6</f>
        <v/>
      </c>
      <c r="P6" t="inlineStr">
        <is>
          <t>Yes</t>
        </is>
      </c>
    </row>
    <row r="7">
      <c r="A7" s="2" t="n">
        <v>45975</v>
      </c>
      <c r="B7" t="inlineStr">
        <is>
          <t>FGSI</t>
        </is>
      </c>
      <c r="C7" s="3">
        <f>IF(K7/J7&gt;=0.8,"PASS","FAIL")</f>
        <v/>
      </c>
      <c r="D7" s="3" t="n">
        <v>3002556.72</v>
      </c>
      <c r="E7" s="3" t="n">
        <v>0</v>
      </c>
      <c r="F7" s="3" t="n">
        <v>0</v>
      </c>
      <c r="G7" s="3" t="n">
        <v>33753456.23</v>
      </c>
      <c r="H7" s="3" t="n">
        <v>13038.39</v>
      </c>
      <c r="I7" s="3" t="n">
        <v>33766494.62</v>
      </c>
      <c r="J7" s="3" t="n">
        <v>36769051.34</v>
      </c>
      <c r="K7" s="3" t="n">
        <v>36756012.95</v>
      </c>
      <c r="L7" s="4">
        <f>K7/J7</f>
        <v/>
      </c>
      <c r="M7" s="3" t="n">
        <v>36769051.34</v>
      </c>
      <c r="N7" s="3" t="n">
        <v>36756012.95</v>
      </c>
      <c r="O7" s="4">
        <f>N7/M7</f>
        <v/>
      </c>
      <c r="P7" t="inlineStr">
        <is>
          <t>Yes</t>
        </is>
      </c>
    </row>
    <row r="8">
      <c r="A8" s="2" t="n">
        <v>45975</v>
      </c>
      <c r="B8" t="inlineStr">
        <is>
          <t>DOGG</t>
        </is>
      </c>
      <c r="C8" s="3">
        <f>IF(K8/J8&gt;=0.8,"PASS","FAIL")</f>
        <v/>
      </c>
      <c r="D8" s="3" t="n">
        <v>18310204.76</v>
      </c>
      <c r="E8" s="3" t="n">
        <v>0</v>
      </c>
      <c r="F8" s="3" t="n">
        <v>0</v>
      </c>
      <c r="G8" s="3" t="n">
        <v>33753456.23</v>
      </c>
      <c r="H8" s="3" t="n">
        <v>56728.65</v>
      </c>
      <c r="I8" s="3" t="n">
        <v>33810184.88</v>
      </c>
      <c r="J8" s="3" t="n">
        <v>52120389.63999999</v>
      </c>
      <c r="K8" s="3" t="n">
        <v>52063660.98999999</v>
      </c>
      <c r="L8" s="4">
        <f>K8/J8</f>
        <v/>
      </c>
      <c r="M8" s="3" t="n">
        <v>52120389.63999999</v>
      </c>
      <c r="N8" s="3" t="n">
        <v>52063660.98999999</v>
      </c>
      <c r="O8" s="4">
        <f>N8/M8</f>
        <v/>
      </c>
      <c r="P8" t="inlineStr">
        <is>
          <t>Yes</t>
        </is>
      </c>
    </row>
    <row r="9">
      <c r="A9" t="inlineStr">
        <is>
          <t>* Note: Some funds' 80% policies include the options positions while others only include equity exposure.</t>
        </is>
      </c>
      <c r="B9" t="inlineStr"/>
      <c r="C9" t="inlineStr"/>
      <c r="D9" t="inlineStr"/>
      <c r="E9" t="inlineStr"/>
      <c r="F9" t="inlineStr"/>
      <c r="G9" t="inlineStr"/>
      <c r="H9" t="inlineStr"/>
      <c r="I9" t="inlineStr"/>
      <c r="J9" t="inlineStr"/>
      <c r="K9" t="inlineStr"/>
      <c r="L9" t="inlineStr"/>
      <c r="M9" t="inlineStr"/>
      <c r="N9" t="inlineStr"/>
      <c r="O9" t="inlineStr"/>
      <c r="P9" t="inlineStr"/>
    </row>
    <row r="10">
      <c r="A10" t="inlineStr">
        <is>
          <t>* CCET = Cash, Cash Equivalents, and T-bills (less than 1-year maturity).</t>
        </is>
      </c>
      <c r="B10" t="inlineStr"/>
      <c r="C10" t="inlineStr"/>
      <c r="D10" t="inlineStr"/>
      <c r="E10" t="inlineStr"/>
      <c r="F10" t="inlineStr"/>
      <c r="G10" t="inlineStr"/>
      <c r="H10" t="inlineStr"/>
      <c r="I10" t="inlineStr"/>
      <c r="J10" t="inlineStr"/>
      <c r="K10" t="inlineStr"/>
      <c r="L10" t="inlineStr"/>
      <c r="M10" t="inlineStr"/>
      <c r="N10" t="inlineStr"/>
      <c r="O10" t="inlineStr"/>
      <c r="P1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8"/>
  <sheetViews>
    <sheetView workbookViewId="0">
      <selection activeCell="A1" sqref="A1"/>
    </sheetView>
  </sheetViews>
  <sheetFormatPr baseColWidth="8" defaultRowHeight="15"/>
  <cols>
    <col width="50" customWidth="1" min="1" max="1"/>
    <col width="6" customWidth="1" min="2" max="2"/>
    <col width="19" customWidth="1" min="3" max="3"/>
    <col width="19" customWidth="1" min="4" max="4"/>
    <col width="26" customWidth="1" min="5" max="5"/>
    <col width="32" customWidth="1" min="6" max="6"/>
    <col width="30" customWidth="1" min="7" max="7"/>
    <col width="41" customWidth="1" min="8" max="8"/>
    <col width="48" customWidth="1" min="9" max="9"/>
    <col width="14" customWidth="1" min="10" max="10"/>
    <col width="30" customWidth="1" min="11" max="11"/>
    <col width="15" customWidth="1" min="12" max="12"/>
    <col width="10" customWidth="1" min="13" max="13"/>
    <col width="42" customWidth="1" min="14" max="14"/>
    <col width="50" customWidth="1" min="15" max="15"/>
    <col width="34" customWidth="1" min="16" max="16"/>
    <col width="42" customWidth="1" min="17" max="17"/>
    <col width="43" customWidth="1" min="18" max="18"/>
    <col width="50" customWidth="1" min="19" max="19"/>
    <col width="40" customWidth="1" min="20" max="20"/>
    <col width="18" customWidth="1" min="21" max="21"/>
    <col width="12" customWidth="1" min="22" max="22"/>
    <col width="7" customWidth="1" min="23" max="23"/>
  </cols>
  <sheetData>
    <row r="1">
      <c r="A1" s="1" t="inlineStr">
        <is>
          <t>Date</t>
        </is>
      </c>
      <c r="B1" s="1" t="inlineStr">
        <is>
          <t>Fund</t>
        </is>
      </c>
      <c r="C1" s="1" t="inlineStr">
        <is>
          <t>Fund Registration</t>
        </is>
      </c>
      <c r="D1" s="1" t="inlineStr">
        <is>
          <t>Fund Status Today</t>
        </is>
      </c>
      <c r="E1" s="1" t="inlineStr">
        <is>
          <t>Registration Match</t>
        </is>
      </c>
      <c r="F1" s="1" t="inlineStr">
        <is>
          <t>Condition 40 Act 1</t>
        </is>
      </c>
      <c r="G1" s="1" t="inlineStr">
        <is>
          <t>Condition 40 Act 2a</t>
        </is>
      </c>
      <c r="H1" s="1" t="inlineStr">
        <is>
          <t>Condition 40 Act 2b</t>
        </is>
      </c>
      <c r="I1" s="1" t="inlineStr">
        <is>
          <t>Condition 2a OCC</t>
        </is>
      </c>
      <c r="J1" s="1" t="inlineStr">
        <is>
          <t>Total Assets</t>
        </is>
      </c>
      <c r="K1" s="1" t="inlineStr">
        <is>
          <t>Non-Qualifying Assets Weight</t>
        </is>
      </c>
      <c r="L1" s="1" t="inlineStr">
        <is>
          <t>Net Assets</t>
        </is>
      </c>
      <c r="M1" s="1" t="inlineStr">
        <is>
          <t>Expenses</t>
        </is>
      </c>
      <c r="N1" s="1" t="inlineStr">
        <is>
          <t>Issuer Limited Assets (Condition 2a) Sum</t>
        </is>
      </c>
      <c r="O1" s="1" t="inlineStr">
        <is>
          <t>Issuer Limited Assets (Condition 2a) (Ticker, IIV Shares, Mkt Value)</t>
        </is>
      </c>
      <c r="P1" s="1" t="inlineStr">
        <is>
          <t>Excluded Securities (25% Bucket)</t>
        </is>
      </c>
      <c r="Q1" s="1" t="inlineStr">
        <is>
          <t>Cumulative Weight of Excluded Securities</t>
        </is>
      </c>
      <c r="R1" s="1" t="inlineStr">
        <is>
          <t>Cumulative Weight of Remaining Securities</t>
        </is>
      </c>
      <c r="S1" s="1" t="inlineStr">
        <is>
          <t>Remaining Securities (Ticker, IIV Shares, Vest Weight, Vest Ownership of Float)</t>
        </is>
      </c>
      <c r="T1" s="1" t="inlineStr">
        <is>
          <t>Max Ownership % of Float in 75% bucket</t>
        </is>
      </c>
      <c r="U1" s="1" t="inlineStr">
        <is>
          <t>OCC Market Value</t>
        </is>
      </c>
      <c r="V1" s="1" t="inlineStr">
        <is>
          <t>OCC Weight</t>
        </is>
      </c>
      <c r="W1" s="1" t="inlineStr">
        <is>
          <t>Notes</t>
        </is>
      </c>
    </row>
    <row r="2">
      <c r="A2" s="2" t="n">
        <v>45975</v>
      </c>
      <c r="B2" t="inlineStr">
        <is>
          <t>TDVI</t>
        </is>
      </c>
      <c r="C2" t="inlineStr">
        <is>
          <t>non-diversified</t>
        </is>
      </c>
      <c r="D2" t="inlineStr">
        <is>
          <t>non-diversified</t>
        </is>
      </c>
      <c r="E2" s="3">
        <f>IF(C2=D2,"PASS","FAIL")</f>
        <v/>
      </c>
      <c r="F2" s="3">
        <f>IF(L2/J2&gt;=0.75,"PASS","FAIL")</f>
        <v/>
      </c>
      <c r="G2" s="3">
        <f>IF(O2="None","PASS","FAIL")</f>
        <v/>
      </c>
      <c r="H2" s="3">
        <f>IF(T2="","",IF(T2&lt;=0.1,"PASS","FAIL"))</f>
        <v/>
      </c>
      <c r="I2" s="3">
        <f>IF(U2=0,"PASS",IF(U2&lt;=0.05*L2,"PASS","FAIL"))</f>
        <v/>
      </c>
      <c r="J2" s="3" t="n">
        <v>0</v>
      </c>
      <c r="K2" s="5" t="n">
        <v>0</v>
      </c>
      <c r="L2" s="3" t="n">
        <v>196747047.98</v>
      </c>
      <c r="M2" s="3" t="n">
        <v>0</v>
      </c>
      <c r="N2" s="3" t="n">
        <v>177341760.87</v>
      </c>
      <c r="O2" t="inlineStr">
        <is>
          <t>(AVGO, 51,220, 17,558,609.12), (MSFT, 30,062, 15,352,846.74), (ORCL, 59,776, 13,334,898.30), (TXN, 75,228, 11,998,345.65), (TSM, 32,988, 9,405,326.04), (QCOM, 47,385, 8,252,393.34), (AMAT, 22,847, 5,168,622.69), (ADI, 20,767, 4,883,128.21), (LRCX, 32,288, 4,792,059.72), (CSCO, 55,115, 4,303,494.00), (CRM, 16,909, 4,124,432.82), (RCI, 103,676, 3,982,115.34), (VZ, 86,095, 3,538,715.04), (TU, 230,927, 3,363,465.30), (T, 130,012, 3,330,410.55), (TMUS, 15,110, 3,268,642.16), (GLW, 39,750, 3,265,249.46), (KLAC, 2,837, 3,221,468.80), (INTU, 4,832, 3,204,077.17), (CMCSA, 112,098, 3,087,034.65), (MSI, 8,061, 3,065,678.64), (APH, 20,558, 2,752,235.46), (TIGO, 52,158, 2,627,829.96), (STX, 10,091, 2,608,179.21), (HPQ, 104,034, 2,554,578.73), (TEL, 10,569, 2,511,188.73), (NXPI, 12,092, 2,385,895.50), (TRI, 15,997, 2,260,055.82), (MCHP, 41,943, 2,245,411.28), (DELL, 14,985, 2,006,400.00), (HPE, 83,961, 1,918,838.67), (CTSH, 22,903, 1,664,958.74), (NOK, 169,720, 1,143,400.08), (NTAP, 10,224, 1,120,008.96), (SWKS, 15,400, 1,026,772.20), (UI, 1,660, 927,768.16), (ROP, 1,831, 823,933.50), (MPWR, 893, 823,570.05), (CDW, 5,513, 800,551.44), (GEN, 28,316, 756,864.90), (OTEX, 22,426, 756,048.64), (LOGI, 5,417, 640,140.48), (SSNC, 7,650, 639,366.42), (ERIC, 62,869, 611,708.76), (LDOS, 3,112, 596,242.15), (DOX, 7,182, 558,950.60), (CCOI, 31,010, 544,822.20), (IDCC, 1,201, 419,870.20), (SAP, 1,675, 410,425.25), (SNX, 2,662, 401,260.84), (TLK, 17,142, 360,016.80), (MTCH, 10,202, 329,643.36), (JOYY, 5,587, 328,314.60), (AMKR, 9,271, 294,085.44), (AVT, 5,605, 260,723.85), (VIV, 18,575, 240,201.42), (IRDM, 14,404, 238,523.34), (ITRN, 6,339, 232,280.66), (ASX, 15,678, 229,333.17), (SIMO, 2,332, 202,711.38), (DLB, 3,059, 200,679.16), (ENTG, 2,516, 196,952.48), (OLED, 1,617, 189,381.43), (KBR, 4,465, 188,137.04), (WB, 18,093, 182,216.78), (TEF, 42,288, 181,599.99), (CHT, 4,234, 179,564.06), (RELX, 4,255, 176,024.47), (PAYC, 1,030, 171,601.96), (CNXC, 4,415, 155,893.40), (SAIC, 1,649, 146,134.38), (YOU, 3,461, 127,065.55), (UMC, 17,673, 126,328.02), (CSGS, 1,545, 120,974.50), (VSH, 8,871, 117,597.68), (KLIC, 3,147, 117,091.16), (INGM, 4,998, 99,879.84), (POWI, 2,866, 99,302.00), (HIMX, 13,113, 97,139.80), (WIT, 36,518, 96,870.75), (MGIC, 3,784, 90,826.14), (STM, 3,817, 89,158.80), (KARO, 1,758, 79,360.48), (BHE, 1,672, 72,524.55), (OPRA, 4,978, 67,084.64), (ADEA, 4,037, 51,992.98), (ATEN, 2,715, 47,537.82), (CNXN, 550, 32,444.50), (HCKT, 1,688, 31,180.50), (SHEN, 2,502, 25,906.05), (OSPN, 1,689, 21,424.97), (CLMB, 68, 7,760.30)</t>
        </is>
      </c>
      <c r="P2" t="inlineStr">
        <is>
          <t>IBM</t>
        </is>
      </c>
      <c r="Q2" s="5" t="n">
        <v>0.09729711005344255</v>
      </c>
      <c r="R2" s="5" t="n">
        <v>0.9027028899465575</v>
      </c>
      <c r="S2" t="inlineStr">
        <is>
          <t>(AVGO, 51,272, 0.00%, 0.0010857%), (MSFT, 30,093, 0.00%, 0.0004049%), (ORCL, 59,838, 0.00%, 0.0020990%), (TXN, 75,305, 0.00%, 0.0082878%), (TSM, 33,022, 0.00%, 0.0006367%), (QCOM, 47,433, 0.00%, 0.0044289%), (AMAT, 22,869, 0.00%, 0.0028707%), (ADI, 20,789, 0.00%, 0.0042258%), (LRCX, 32,322, 0.00%, 0.0025733%), (CSCO, 55,173, 0.00%, 0.0013957%), (CRM, 16,927, 0.00%, 0.0017780%), (RCI, 103,782, 0.00%, 10378200.0000000%), (VZ, 86,184, 0.00%, 0.0020440%), (TU, 231,166, 0.00%, 23116600.0000000%), (T, 130,145, 0.00%, 0.0018358%), (TMUS, 15,127, 0.00%, 0.0013524%), (GLW, 39,791, 0.00%, 0.0046411%), (KLAC, 2,840, 0.00%, 0.0021615%), (INTU, 4,837, 0.00%, 0.0017349%), (CMCSA, 112,215, 0.00%, 0.0030875%), (MSI, 8,068, 0.00%, 0.0048440%), (APH, 20,579, 0.00%, 0.0016812%), (TIGO, 52,212, 0.00%, 0.0312572%), (STX, 10,101, 0.00%, 0.0047299%), (HPQ, 104,141, 0.00%, 0.0111416%), (TEL, 10,581, 0.00%, 0.0035967%), (NXPI, 12,105, 0.00%, 0.0048098%), (TRI, 16,014, 0.00%, 0.0036003%), (MCHP, 41,986, 0.00%, 0.0077688%), (DELL, 15,000, 0.00%, 0.0044523%), (HPE, 84,049, 0.00%, 0.0063700%), (CTSH, 22,927, 0.00%, 0.0047503%), (NOK, 169,896, 0.00%, 0.0029587%), (NTAP, 10,234, 0.00%, 0.0051268%), (SWKS, 15,417, 0.00%, 0.0103693%), (UI, 1,661, 0.00%, 0.0027455%), (ROP, 1,833, 0.00%, 0.0017029%), (MPWR, 895, 0.00%, 0.0018682%), (CDW, 5,518, 0.00%, 0.0042383%), (GEN, 28,347, 0.00%, 0.0045964%), (OTEX, 22,448, 0.00%, 0.0089075%), (LOGI, 5,424, 0.00%, 542400.0000000%), (SSNC, 7,658, 0.00%, 0.0031382%), (ERIC, 62,933, 0.00%, 0.0020238%), (LDOS, 3,115, 0.00%, 0.0024363%), (DOX, 7,190, 0.00%, 0.0065368%), (CCOI, 31,044, 0.00%, 0.0631988%), (IDCC, 1,205, 0.00%, 0.0046806%), (SAP, 1,675, 0.00%, 0.0001363%), (SNX, 2,663, 0.00%, 0.0032700%), (TLK, 17,160, 0.00%, 0.0017322%), (MTCH, 10,212, 0.00%, 0.0043258%), (JOYY, 5,595, 0.00%, 0.0159686%), (AMKR, 9,283, 0.00%, 0.0037554%), (AVT, 5,613, 0.00%, 0.0069016%), (VIV, 18,322, 0.00%, 0.0011236%), (IRDM, 14,421, 0.00%, 0.0137676%), (ITRN, 6,343, 0.00%, 0.0318847%), (ASX, 15,697, 0.00%, 0.0007099%), (SIMO, 2,337, 0.00%, 0.0068768%), (DLB, 3,061, 0.00%, 0.0050029%), (ENTG, 2,516, 0.00%, 0.0016596%), (OLED, 1,621, 0.00%, 0.0034096%), (KBR, 4,472, 0.00%, 0.0035215%), (WB, 18,113, 0.00%, 0.0115367%), (TEF, 42,331, 0.00%, 0.0007466%), (CHT, 4,237, 0.00%, 0.0005462%), (RELX, 4,259, 0.00%, 0.0002335%), (PAYC, 1,033, 0.00%, 0.0018358%), (CNXC, 4,420, 0.00%, 0.0070996%), (SAIC, 1,649, 0.00%, 0.0035831%), (YOU, 3,467, 0.00%, 0.0035584%), (UMC, 17,693, 0.00%, 0.0007045%), (CSGS, 1,546, 0.00%, 0.0054207%), (VSH, 8,882, 0.00%, 0.0071924%), (KLIC, 3,151, 0.00%, 0.0060427%), (INGM, 5,004, 0.00%, 0.0021287%), (POWI, 2,870, 0.00%, 0.0051865%), (HIMX, 13,127, 0.00%, 0.0075226%), (WIT, 36,555, 0.00%, 0.0003487%), (MGIC, 3,786, 0.00%, 0.0077109%), (STM, 3,820, 0.00%, 0.0004281%), (KARO, 1,762, 0.00%, 0.0057035%), (BHE, 1,673, 0.00%, 0.0046890%), (OPRA, 4,984, 0.00%, 0.0055595%), (ADEA, 4,043, 0.00%, 0.0036919%), (ATEN, 2,718, 0.00%, 0.0037894%), (CNXN, 550, 0.00%, 0.0021786%), (HCKT, 1,690, 0.00%, 0.0062291%), (SHEN, 2,503, 0.00%, 0.0045594%), (OSPN, 1,691, 0.00%, 0.0044468%), (CLMB, 71, 0.00%, 0.0015390%)</t>
        </is>
      </c>
      <c r="T2" s="5" t="n">
        <v>231166</v>
      </c>
      <c r="U2" s="3" t="n">
        <v>0</v>
      </c>
      <c r="V2" s="5" t="n">
        <v>0</v>
      </c>
      <c r="W2" t="inlineStr"/>
    </row>
    <row r="3">
      <c r="A3" s="2" t="n">
        <v>45975</v>
      </c>
      <c r="B3" t="inlineStr">
        <is>
          <t>FDND</t>
        </is>
      </c>
      <c r="C3" t="inlineStr">
        <is>
          <t>non-diversified</t>
        </is>
      </c>
      <c r="D3" t="inlineStr">
        <is>
          <t>non-diversified</t>
        </is>
      </c>
      <c r="E3" s="3">
        <f>IF(C3=D3,"PASS","FAIL")</f>
        <v/>
      </c>
      <c r="F3" s="3">
        <f>IF(L3/J3&gt;=0.75,"PASS","FAIL")</f>
        <v/>
      </c>
      <c r="G3" s="3">
        <f>IF(O3="None","PASS","FAIL")</f>
        <v/>
      </c>
      <c r="H3" s="3">
        <f>IF(T3="","",IF(T3&lt;=0.1,"PASS","FAIL"))</f>
        <v/>
      </c>
      <c r="I3" s="3">
        <f>IF(U3=0,"PASS",IF(U3&lt;=0.05*L3,"PASS","FAIL"))</f>
        <v/>
      </c>
      <c r="J3" s="3" t="n">
        <v>0</v>
      </c>
      <c r="K3" s="5" t="n">
        <v>0</v>
      </c>
      <c r="L3" s="3" t="n">
        <v>10277360.54</v>
      </c>
      <c r="M3" s="3" t="n">
        <v>0</v>
      </c>
      <c r="N3" s="3" t="n">
        <v>9018759.420000002</v>
      </c>
      <c r="O3" t="inlineStr">
        <is>
          <t>(AMZN, 4,676, 1,098,349.20), (NFLX, 858, 955,354.03), (META, 1,432, 873,356.18), (CSCO, 7,997, 624,312.00), (CRM, 1,998, 487,320.00), (BKNG, 89, 449,272.89), (ANET, 3,215, 422,748.66), (SNOW, 1,385, 356,486.74), (DASH, 1,537, 318,304.48), (RBLX, 2,678, 274,212.68), (NET, 1,299, 273,780.00), (PYPL, 3,967, 249,418.51), (DDOG, 1,342, 248,653.44), (ABNB, 1,782, 217,561.66), (WDAY, 897, 207,276.36), (VEEV, 624, 183,350.00), (CVNA, 573, 182,709.94), (EBAY, 1,898, 159,231.15), (CPRT, 3,694, 151,872.76), (FLUT, 730, 145,161.98), (CIEN, 587, 112,725.48), (TEAM, 686, 104,279.73), (ZM, 1,081, 91,126.04), (VRSN, 349, 88,255.12), (HUBS, 219, 86,802.84), (GDDY, 575, 74,577.50), (NTNX, 1,113, 73,423.74), (CRWV, 908, 70,242.88), (DKNG, 2,062, 61,023.54), (OKTA, 694, 58,338.30), (DOCU, 839, 56,918.40), (FFIV, 239, 55,926.00), (AKAM, 595, 51,953.32), (PAYC, 208, 34,552.96), (DUOL, 165, 30,536.55), (CFLT, 1,212, 28,262.90), (DBX, 769, 23,346.84), (BOX, 601, 19,270.02), (MARA, 1,538, 18,464.60)</t>
        </is>
      </c>
      <c r="P3" t="inlineStr">
        <is>
          <t>GOOGLE</t>
        </is>
      </c>
      <c r="Q3" s="5" t="n">
        <v>0.1212465063524958</v>
      </c>
      <c r="R3" s="5" t="n">
        <v>0.8787534936475041</v>
      </c>
      <c r="S3" t="inlineStr">
        <is>
          <t>(AMZN, 4,680, 0.00%, 0.0000438%), (NFLX, 859, 0.00%, 0.0000203%), (META, 1,433, 0.00%, 0.0000658%), (CSCO, 8,004, 0.00%, 0.0002025%), (CRM, 2,000, 0.00%, 0.0002101%), (BKNG, 89, 0.00%, 0.0002761%), (ANET, 3,218, 0.00%, 0.0002555%), (SNOW, 1,387, 0.00%, 0.0004094%), (DASH, 1,538, 0.00%, 0.0003785%), (RBLX, 2,681, 0.00%, 0.0004094%), (NET, 1,300, 0.00%, 0.0004124%), (PYPL, 3,971, 0.00%, 0.0004244%), (DDOG, 1,344, 0.00%, 0.0004130%), (ABNB, 1,783, 0.00%, 0.0004192%), (WDAY, 898, 0.00%, 0.0004138%), (VEEV, 625, 0.00%, 0.0003813%), (CVNA, 574, 0.00%, 0.0004059%), (EBAY, 1,899, 0.00%, 0.0004201%), (CPRT, 3,697, 0.00%, 0.0003820%), (FLUT, 731, 0.00%, 0.0004178%), (CIEN, 588, 0.00%, 0.0004169%), (TEAM, 687, 0.00%, 0.0004088%), (ZM, 1,082, 0.00%, 0.0004061%), (VRSN, 349, 0.00%, 0.0003765%), (HUBS, 219, 0.00%, 0.0004181%), (GDDY, 575, 0.00%, 0.0004255%), (NTNX, 1,114, 0.00%, 0.0004144%), (CRWV, 908, 0.00%, 0.0002350%), (DKNG, 2,063, 0.00%, 0.0004144%), (OKTA, 695, 0.00%, 0.0004126%), (DOCU, 840, 0.00%, 0.0004177%), (FFIV, 239, 0.00%, 0.0004114%), (AKAM, 596, 0.00%, 0.0004143%), (PAYC, 208, 0.00%, 0.0003697%), (DUOL, 165, 0.00%, 0.0004124%), (CFLT, 1,213, 0.00%, 0.0004060%), (DBX, 769, 0.00%, 0.0004208%), (BOX, 602, 0.00%, 0.0004155%), (MARA, 1,540, 0.00%, 0.0004072%), (nan, 0, 0.00%, 0.0000000%)</t>
        </is>
      </c>
      <c r="T3" s="5" t="n">
        <v>4.254796450537807e-06</v>
      </c>
      <c r="U3" s="3" t="n">
        <v>0</v>
      </c>
      <c r="V3" s="5" t="n">
        <v>0</v>
      </c>
      <c r="W3" t="inlineStr"/>
    </row>
    <row r="4">
      <c r="A4" s="2" t="n">
        <v>45975</v>
      </c>
      <c r="B4" t="inlineStr">
        <is>
          <t>RDVI</t>
        </is>
      </c>
      <c r="C4" t="inlineStr">
        <is>
          <t>non-diversified</t>
        </is>
      </c>
      <c r="D4" t="inlineStr">
        <is>
          <t>non-diversified</t>
        </is>
      </c>
      <c r="E4" s="3">
        <f>IF(C4=D4,"PASS","FAIL")</f>
        <v/>
      </c>
      <c r="F4" s="3">
        <f>IF(L4/J4&gt;=0.75,"PASS","FAIL")</f>
        <v/>
      </c>
      <c r="G4" s="3">
        <f>IF(O4="None","PASS","FAIL")</f>
        <v/>
      </c>
      <c r="H4" s="3">
        <f>IF(T4="","",IF(T4&lt;=0.1,"PASS","FAIL"))</f>
        <v/>
      </c>
      <c r="I4" s="3">
        <f>IF(U4=0,"PASS",IF(U4&lt;=0.05*L4,"PASS","FAIL"))</f>
        <v/>
      </c>
      <c r="J4" s="3" t="n">
        <v>0</v>
      </c>
      <c r="K4" s="5" t="n">
        <v>0</v>
      </c>
      <c r="L4" s="3" t="n">
        <v>2479958063.18</v>
      </c>
      <c r="M4" s="3" t="n">
        <v>0</v>
      </c>
      <c r="N4" s="3" t="n">
        <v>2410410598.279999</v>
      </c>
      <c r="O4" t="inlineStr">
        <is>
          <t>(KLAC, 62,873, 71,542,696.72), (AMAT, 286,095, 64,858,767.73), (NVDA, 328,165, 62,597,498.22), (LRCX, 407,074, 60,536,040.60), (MLI, 557,109, 59,747,751.36), (BK, 512,321, 56,773,683.36), (EBAY, 647,673, 54,472,481.70), (AXP, 150,998, 54,096,696.90), (MSFT, 104,615, 53,534,207.76), (BKR, 1,091,097, 53,331,281.52), (JPM, 172,617, 52,567,642.62), (ROST, 319,239, 51,420,767.02), (TRV, 173,483, 49,993,631.22), (HIG, 369,354, 49,589,283.40), (CB, 162,404, 48,133,843.55), (EWBC, 465,455, 48,003,676.22), (PHM, 402,509, 47,790,822.17), (EA, 236,081, 47,610,002.70), (WSM, 260,350, 47,591,064.80), (UNM, 602,315, 46,501,733.38), (RJF, 290,570, 46,262,175.96), (MPWR, 49,937, 46,087,716.15), (SNA, 137,351, 45,460,024.68), (V, 133,856, 44,309,475.26), (BKNG, 8,712, 44,149,895.46), (GE, 144,318, 44,126,657.66), (META, 71,179, 43,509,958.86), (CTSH, 589,106, 42,911,811.58), (PCAR, 447,094, 42,868,482.58), (AAPL, 149,640, 40,888,196.18), (CRM, 163,398, 39,935,386.68), (STT, 335,843, 39,359,540.28), (QCOM, 222,031, 38,747,781.72), (SYF, 522,707, 38,321,379.36), (ADP, 148,745, 37,759,509.46), (BLK, 34,317, 36,411,120.98), (ACN, 147,270, 36,221,685.57), (ABT, 257,565, 33,737,404.14), (PNC, 181,871, 33,563,639.79), (LEN, 265,813, 32,290,590.42), (ELV, 86,098, 28,140,633.78), (ACM, 199,289, 26,689,579.84), (GEV, 43,453, 25,209,111.21), (ALL, 113,260, 24,346,623.00), (AFL, 206,546, 23,689,189.88), (MA, 42,878, 23,471,847.30), (DHI, 158,906, 22,701,632.84), (COST, 23,884, 22,115,523.78), (AMP, 44,549, 20,465,272.00), (PGR, 88,718, 20,037,417.12), (ODFL, 132,770, 17,618,382.20), (PAYC, 102,285, 17,042,583.04), (COKE, 105,497, 16,883,160.96), (CSCO, 198,919, 15,563,574.00), (JNJ, 70,954, 13,943,162.52), (NTRS, 105,967, 13,539,646.15), (FOXA, 207,195, 13,475,243.32), (MCK, 15,306, 12,926,923.59), (BAC, 243,785, 12,864,302.42), (CINF, 73,695, 12,115,324.10), (MET, 152,025, 11,992,049.52), (XOM, 99,844, 11,947,489.95), (LNC, 289,762, 11,928,234.96), (VLTO, 116,482, 11,541,158.86), (DOV, 61,951, 11,378,893.68), (CF, 131,375, 11,205,805.84), (MTB, 58,938, 11,053,636.08), (RMD, 45,055, 11,048,614.16), (WTFC, 85,346, 10,983,249.80), (EG, 30,398, 9,945,447.78), (EOG, 88,396, 9,787,953.60), (EQH, 205,400, 9,213,348.56), (CSL, 25,785, 7,929,576.72)</t>
        </is>
      </c>
      <c r="P4" t="inlineStr">
        <is>
          <t>GOOGLE</t>
        </is>
      </c>
      <c r="Q4" s="5" t="n">
        <v>0.02887686267894853</v>
      </c>
      <c r="R4" s="5" t="n">
        <v>0.9711231373210515</v>
      </c>
      <c r="S4" t="inlineStr">
        <is>
          <t>(KLAC, 63,071, 0.00%, 0.0480021%), (AMAT, 286,973, 0.00%, 0.0360228%), (NVDA, 329,166, 0.00%, 0.0013546%), (LRCX, 408,310, 0.00%, 0.0325080%), (MLI, 558,808, 0.00%, 0.5033690%), (BK, 513,882, 0.00%, 0.0736908%), (EBAY, 649,642, 0.00%, 0.1437261%), (AXP, 151,455, 0.00%, 0.0219866%), (MSFT, 104,932, 0.00%, 0.0014118%), (BKR, 1,094,424, 0.00%, 0.1109093%), (JPM, 173,142, 0.00%, 0.0063602%), (ROST, 320,219, 0.00%, 0.0984604%), (TRV, 174,018, 0.00%, 0.0780128%), (HIG, 370,484, 0.00%, 0.1329566%), (CB, 162,895, 0.00%, 0.0413911%), (EWBC, 466,871, 0.00%, 0.3393313%), (PHM, 403,741, 0.00%, 0.2071349%), (EA, 236,795, 0.00%, 0.0949441%), (WSM, 261,145, 0.00%, 0.2144218%), (UNM, 604,154, 0.00%, 0.3610526%), (RJF, 291,452, 0.00%, 0.1461762%), (MPWR, 50,085, 0.00%, 0.1045463%), (SNA, 137,766, 0.00%, 0.2648961%), (V, 134,263, 0.00%, 0.0079557%), (BKNG, 8,746, 0.00%, 0.0271330%), (GE, 144,763, 0.00%, 0.0137240%), (META, 71,391, 0.00%, 0.0032780%), (CTSH, 590,909, 0.00%, 0.1224310%), (PCAR, 448,462, 0.00%, 0.0853881%), (AAPL, 150,098, 0.00%, 0.0010158%), (CRM, 163,898, 0.00%, 0.0172162%), (STT, 336,867, 0.00%, 0.1206058%), (QCOM, 222,714, 0.00%, 0.0207950%), (SYF, 524,304, 0.00%, 0.1455708%), (ADP, 149,194, 0.00%, 0.0368882%), (BLK, 34,417, 0.00%, 0.0221829%), (ACN, 147,717, 0.00%, 0.0237162%), (ABT, 258,346, 0.00%, 0.0148571%), (PNC, 182,421, 0.00%, 0.0465172%), (LEN, 266,622, 0.00%, 0.1191322%), (ELV, 86,366, 0.00%, 0.0388618%), (ACM, 199,892, 0.00%, 0.1509233%), (GEV, 43,591, 0.00%, 0.0160662%), (ALL, 113,610, 0.00%, 0.0434153%), (AFL, 207,182, 0.00%, 0.0395300%), (MA, 43,010, 0.00%, 0.0048258%), (DHI, 159,388, 0.00%, 0.0541261%), (COST, 23,961, 0.00%, 0.0054066%), (AMP, 44,684, 0.00%, 0.0480961%), (PGR, 88,984, 0.00%, 0.0151747%), (ODFL, 133,180, 0.00%, 0.0636925%), (PAYC, 102,592, 0.00%, 0.1823242%), (COKE, 105,824, 0.00%, 0.1403455%), (CSCO, 199,533, 0.00%, 0.0050474%), (JNJ, 71,164, 0.00%, 0.0029537%), (NTRS, 106,285, 0.00%, 0.0562005%), (FOXA, 207,823, 0.00%, 0.0997415%), (MCK, 15,351, 0.00%, 0.0124373%), (BAC, 244,522, 0.00%, 0.0033485%), (CINF, 73,919, 0.00%, 0.0473784%), (MET, 152,493, 0.00%, 0.0231439%), (XOM, 100,155, 0.00%, 0.0023749%), (LNC, 290,649, 0.00%, 0.1530222%), (VLTO, 116,837, 0.00%, 0.0470553%), (DOV, 62,139, 0.00%, 0.0453063%), (CF, 131,771, 0.00%, 0.0844823%), (MTB, 59,123, 0.00%, 0.0384688%), (RMD, 45,196, 0.00%, 0.0309633%), (WTFC, 85,606, 0.00%, 0.1278252%), (EG, 30,486, 0.00%, 0.0726237%), (EOG, 88,659, 0.00%, 0.0163397%), (EQH, 206,023, 0.00%, 0.0719023%), (CSL, 25,868, 0.00%, 0.0619062%)</t>
        </is>
      </c>
      <c r="T4" s="5" t="n">
        <v>0.005033689565963089</v>
      </c>
      <c r="U4" s="3" t="n">
        <v>0</v>
      </c>
      <c r="V4" s="5" t="n">
        <v>0</v>
      </c>
      <c r="W4" t="inlineStr"/>
    </row>
    <row r="5">
      <c r="A5" s="2" t="n">
        <v>45975</v>
      </c>
      <c r="B5" t="inlineStr">
        <is>
          <t>SDVD</t>
        </is>
      </c>
      <c r="C5" t="inlineStr">
        <is>
          <t>non-diversified</t>
        </is>
      </c>
      <c r="D5" t="inlineStr">
        <is>
          <t>non-diversified</t>
        </is>
      </c>
      <c r="E5" s="3">
        <f>IF(C5=D5,"PASS","FAIL")</f>
        <v/>
      </c>
      <c r="F5" s="3">
        <f>IF(L5/J5&gt;=0.75,"PASS","FAIL")</f>
        <v/>
      </c>
      <c r="G5" s="3">
        <f>IF(O5="None","PASS","FAIL")</f>
        <v/>
      </c>
      <c r="H5" s="3">
        <f>IF(T5="","",IF(T5&lt;=0.1,"PASS","FAIL"))</f>
        <v/>
      </c>
      <c r="I5" s="3">
        <f>IF(U5=0,"PASS",IF(U5&lt;=0.05*L5,"PASS","FAIL"))</f>
        <v/>
      </c>
      <c r="J5" s="3" t="n">
        <v>0</v>
      </c>
      <c r="K5" s="5" t="n">
        <v>0</v>
      </c>
      <c r="L5" s="3" t="n">
        <v>673314206.22</v>
      </c>
      <c r="M5" s="3" t="n">
        <v>0</v>
      </c>
      <c r="N5" s="3" t="n">
        <v>661718924.1550001</v>
      </c>
      <c r="O5" t="inlineStr">
        <is>
          <t>(IDCC, 25,319, 8,829,818.04), (ENS, 58,897, 8,106,666.48), (YOU, 207,618, 7,616,016.60), (MLI, 67,466, 7,219,879.92), (COKE, 45,139, 7,207,857.66), (WWD, 27,339, 7,126,680.16), (IBP, 28,284, 7,091,938.10), (EME, 11,358, 7,045,948.62), (IBKR, 106,090, 7,011,329.52), (RL, 21,073, 6,991,576.16), (WFRD, 93,867, 6,783,190.00), (ITT, 36,456, 6,738,973.20), (FOXA, 103,465, 6,714,571.04), (PSMT, 57,428, 6,707,916.00), (ACM, 49,954, 6,675,599.44), (NYT, 102,955, 6,588,761.24), (WMS, 45,341, 6,546,043.92), (CBOE, 25,258, 6,531,088.00), (WTS, 23,871, 6,446,747.44), (J, 41,590, 6,427,779.48), (NOV, 405,777, 6,384,505.08), (WRB, 82,448, 6,354,040.00), (NTRS, 49,153, 6,267,205.83), (CADE, 162,559, 6,249,422.23), (MTG, 214,076, 6,044,443.86), (AIZ, 26,402, 6,040,262.16), (PRDO, 189,861, 5,913,702.48), (ULS, 67,940, 5,891,520.00), (OTTR, 70,011, 5,813,339.04), (EWBC, 56,395, 5,803,572.08), (WSM, 31,594, 5,762,793.28), (AGO, 65,040, 5,693,558.54), (UNM, 73,057, 5,628,123.37), (WTFC, 43,432, 5,577,329.30), (AIT, 22,251, 5,544,588.16), (FBP, 273,349, 5,526,558.40), (SNA, 16,656, 5,501,426.56), (SEIC, 66,949, 5,466,005.70), (IBOC, 82,234, 5,447,966.52), (G, 120,970, 5,435,236.31), (FELE, 57,434, 5,352,521.46), (LMAT, 60,248, 5,333,020.44), (MZTI, 31,061, 5,324,302.14), (SSD, 32,312, 5,309,257.80), (AOS, 81,533, 5,283,237.18), (OFG, 129,591, 5,244,013.58), (HBAN, 331,956, 5,226,323.96), (CFR, 42,309, 5,199,119.10), (GGG, 64,739, 5,193,399.40), (EFSC, 96,482, 5,163,437.49), (RGA, 27,273, 5,151,216.87), (CALM, 56,553, 5,120,873.41), (OZK, 115,777, 5,110,308.00), (PRI, 19,951, 5,073,378.50), (SSB, 56,425, 5,018,844.38), (ATMU, 105,250, 5,018,588.16), (BCO, 44,257, 4,932,248.25), (DCI, 56,865, 4,870,387.69), (WHD, 115,505, 4,815,031.55), (ALG, 28,739, 4,672,874.25), (SYF, 62,608, 4,580,184.85), (POWL, 13,843, 4,567,109.64), (ALSN, 55,610, 4,549,173.53), (LNC, 110,509, 4,539,311.28), (CHE, 10,385, 4,527,646.20), (LECO, 19,920, 4,506,014.61), (GHC, 4,174, 4,475,655.50), (CAH, 21,720, 4,464,743.80), (INGR, 41,324, 4,452,817.60), (OLED, 37,755, 4,415,005.70), (THG, 24,267, 4,404,019.90), (DKS, 20,322, 4,400,559.00), (OSW, 211,075, 4,383,707.25), (NIC, 34,859, 4,350,783.00), (BHE, 99,609, 4,321,821.60), (AXS, 41,995, 4,296,192.93), (BRC, 57,268, 4,292,046.72), (RDN, 119,627, 4,223,018.18), (DDS, 6,564, 4,171,862.19), (TPR, 40,335, 4,094,124.52), (UMBF, 37,685, 4,088,739.60), (TOL, 31,303, 4,083,812.88), (PAYC, 24,114, 4,009,306.20), (KTB, 55,586, 4,000,856.67), (FULT, 223,332, 3,974,398.96), (HOMB, 143,483, 3,919,116.90), (CW, 7,007, 3,868,090.28), (MSA, 24,587, 3,845,984.32), (PRIM, 31,940, 3,773,620.76), (IPAR, 43,115, 3,772,866.79), (HCC, 47,342, 3,733,069.08), (DLB, 55,811, 3,662,181.60), (CBSH, 66,537, 3,564,497.38), (UNF, 21,953, 3,541,886.40), (ENSG, 19,837, 3,532,005.95), (AYI, 9,968, 3,496,288.72), (CSGS, 44,120, 3,455,598.25), (IEX, 20,476, 3,371,222.55), (FSS, 30,663, 3,368,030.34), (TGLS, 72,377, 3,255,498.54), (ESI, 123,675, 3,204,845.43), (CINF, 18,860, 3,093,776.40), (RGLD, 16,585, 3,084,963.83), (ALLE, 19,110, 3,084,228.75), (PHM, 25,589, 3,031,692.44), (NTAP, 27,404, 3,001,829.76), (ACT, 79,402, 2,996,094.40), (LEA, 27,782, 2,948,270.18), (ESNT, 47,276, 2,906,332.98), (LZB, 93,063, 2,827,942.92), (WINA, 6,685, 2,823,339.20), (HWC, 47,957, 2,816,160.00), (EXPO, 39,408, 2,758,643.42), (CF, 31,978, 2,721,875.28), (BCPC, 17,316, 2,716,791.00), (SHOO, 71,019, 2,695,391.52), (RJF, 16,842, 2,676,029.07), (HL, 179,660, 2,625,386.60), (SFBS, 35,794, 2,552,673.75), (WDFC, 12,714, 2,521,331.50), (HRB, 54,480, 2,413,954.56), (IDT, 46,161, 2,389,515.72), (PKG, 11,844, 2,337,648.66), (CSW, 8,754, 2,202,427.79), (MTH, 32,903, 2,197,881.68), (CSL, 6,946, 2,131,066.08), (MTX, 36,429, 2,086,355.64), (NHC, 13,472, 1,727,698.20), (ORI, 38,251, 1,697,984.10), (FTV, 31,945, 1,649,538.66), (LDOS, 8,607, 1,648,614.33), (CNR, 19,816, 1,633,726.58), (NSSC, 40,181, 1,622,796.30), (PEGA, 28,203, 1,604,818.65), (USLM, 13,361, 1,597,271.12), (BOKF, 14,545, 1,565,750.92), (TPB, 15,365, 1,556,763.60), (INDB, 22,329, 1,545,726.00), (JKHY, 9,366, 1,537,359.46), (SIGI, 19,545, 1,534,364.84), (VLTO, 14,399, 1,423,518.58), (FHI, 28,792, 1,416,742.04), (VRSN, 5,593, 1,415,622.24), (CTRA, 53,268, 1,404,317.10), (PNFP, 15,727, 1,403,693.20), (PHIN, 25,380, 1,378,058.50), (CMC, 23,071, 1,361,966.16), (EBC, 76,357, 1,346,626.12), (ZION, 26,355, 1,345,907.60), (FRME, 36,824, 1,335,661.44), (RNR, 4,975, 1,312,051.46), (WING, 5,558, 1,295,334.18), (CNO, 31,296, 1,290,903.25), (KBH, 21,391, 1,287,965.44), (ESAB, 11,167, 1,248,918.00), (PFG, 14,653, 1,238,921.49), (WKC, 49,163, 1,230,692.08), (FCF, 75,587, 1,208,950.92), (PRG, 43,385, 1,204,147.52), (DOV, 6,563, 1,203,098.40), (EG, 3,673, 1,199,221.48), (WAFD, 38,909, 1,190,518.08), (TEX, 25,978, 1,189,545.75), (TXRH, 7,087, 1,187,145.43), (MGY, 51,310, 1,181,142.00), (SLM, 42,425, 1,171,951.20), (TNC, 16,105, 1,163,774.99), (NBHC, 29,814, 1,096,023.20), (EQH, 23,713, 1,061,429.20), (LII, 2,170, 1,024,569.50), (ATKR, 15,093, 981,976.05), (OMC, 13,577, 981,677.93), (HUBG, 27,561, 980,441.98), (SPB, 16,847, 963,271.68), (TPL, 912, 935,724.75), (IOSP, 12,000, 889,894.99), (TNET, 15,234, 849,257.90), (KMPR, 19,908, 763,004.83), (SLVM, 15,421, 692,304.60), (SM, 31,497, 594,857.88)</t>
        </is>
      </c>
      <c r="P5" t="inlineStr">
        <is>
          <t>FIX</t>
        </is>
      </c>
      <c r="Q5" s="5" t="n">
        <v>0.0155789185837743</v>
      </c>
      <c r="R5" s="5" t="n">
        <v>0.9844210814162258</v>
      </c>
      <c r="S5" t="inlineStr">
        <is>
          <t>(IDCC, 25,341, 0.00%, 0.0984325%), (ENS, 58,949, 0.00%, 0.1597138%), (YOU, 207,804, 0.00%, 0.2132802%), (MLI, 67,526, 0.00%, 0.0608268%), (COKE, 45,179, 0.00%, 0.0599171%), (WWD, 27,364, 0.00%, 0.0456324%), (IBP, 28,310, 0.00%, 0.1043673%), (EME, 11,367, 0.00%, 0.0253921%), (IBKR, 106,184, 0.00%, 0.0238421%), (RL, 21,092, 0.00%, 0.0544178%), (WFRD, 93,950, 0.00%, 0.1309772%), (ITT, 36,490, 0.00%, 0.0467821%), (FOXA, 103,556, 0.00%, 0.0497001%), (PSMT, 57,480, 0.00%, 0.1860870%), (ACM, 49,997, 0.00%, 0.0377489%), (NYT, 103,046, 0.00%, 0.0637786%), (WMS, 45,383, 0.00%, 0.0583595%), (CBOE, 25,280, 0.00%, 0.0241580%), (WTS, 23,891, 0.00%, 0.0871723%), (J, 41,628, 0.00%, 0.0348245%), (NOV, 406,139, 0.00%, 0.1113463%), (WRB, 82,520, 0.00%, 0.0217146%), (NTRS, 49,197, 0.00%, 0.0260140%), (CADE, 162,703, 0.00%, 0.0886542%), (MTG, 214,266, 0.00%, 0.0957652%), (AIZ, 26,424, 0.00%, 0.0527624%), (PRDO, 190,029, 0.00%, 0.2954317%), (ULS, 68,000, 0.00%, 0.1083599%), (OTTR, 70,074, 0.00%, 0.1672190%), (EWBC, 56,444, 0.00%, 0.0410246%), (WSM, 31,622, 0.00%, 0.0259643%), (AGO, 65,099, 0.00%, 0.1411847%), (UNM, 73,121, 0.00%, 0.0436983%), (WTFC, 43,471, 0.00%, 0.0649100%), (AIT, 22,271, 0.00%, 0.0590462%), (FBP, 273,592, 0.00%, 0.1732287%), (SNA, 16,672, 0.00%, 0.0320569%), (SEIC, 67,010, 0.00%, 0.0547291%), (IBOC, 82,308, 0.00%, 0.1324048%), (G, 121,079, 0.00%, 0.0702256%), (FELE, 57,486, 0.00%, 0.1291519%), (LMAT, 60,301, 0.00%, 0.2658072%), (MZTI, 31,089, 0.00%, 0.1131085%), (SSD, 32,340, 0.00%, 0.0780042%), (AOS, 81,607, 0.00%, 0.0719816%), (OFG, 129,706, 0.00%, 0.2950867%), (HBAN, 332,252, 0.00%, 0.0212218%), (CFR, 42,345, 0.00%, 0.0662250%), (GGG, 64,796, 0.00%, 0.0390822%), (EFSC, 96,567, 0.00%, 0.2609150%), (RGA, 27,297, 0.00%, 0.0415392%), (CALM, 56,603, 0.00%, 0.1167082%), (OZK, 115,880, 0.00%, 0.1035772%), (PRI, 19,970, 0.00%, 0.0625704%), (SSB, 56,474, 0.00%, 0.0561844%), (ATMU, 105,344, 0.00%, 0.1292440%), (BCO, 44,295, 0.00%, 0.1066180%), (DCI, 56,917, 0.00%, 0.0491378%), (WHD, 115,607, 0.00%, 0.1679355%), (ALG, 28,765, 0.00%, 0.2374245%), (SYF, 62,665, 0.00%, 0.0173987%), (POWL, 13,854, 0.00%, 0.1147942%), (ALSN, 55,661, 0.00%, 0.0668772%), (LNC, 110,607, 0.00%, 0.0582329%), (CHE, 10,395, 0.00%, 0.0733892%), (LECO, 19,939, 0.00%, 0.0362355%), (GHC, 4,177, 0.00%, 0.1229101%), (CAH, 21,740, 0.00%, 0.0091500%), (INGR, 41,360, 0.00%, 0.0651030%), (OLED, 37,790, 0.00%, 0.0794872%), (THG, 24,290, 0.00%, 0.0682611%), (DKS, 20,340, 0.00%, 0.0307689%), (OSW, 211,263, 0.00%, 0.2072173%), (NIC, 34,890, 0.00%, 0.2357604%), (BHE, 99,696, 0.00%, 0.2794254%), (AXS, 42,033, 0.00%, 0.0545616%), (BRC, 57,319, 0.00%, 0.1313508%), (RDN, 119,734, 0.00%, 0.0883717%), (DDS, 6,571, 0.00%, 0.0565163%), (TPR, 40,372, 0.00%, 0.0197274%), (UMBF, 37,719, 0.00%, 0.0496599%), (TOL, 31,332, 0.00%, 0.0325078%), (PAYC, 24,135, 0.00%, 0.0428922%), (KTB, 55,637, 0.00%, 0.1000780%), (FULT, 223,532, 0.00%, 0.1237761%), (HOMB, 143,610, 0.00%, 0.0730682%), (CW, 7,013, 0.00%, 0.0190185%), (MSA, 24,608, 0.00%, 0.0628524%), (PRIM, 31,969, 0.00%, 0.0591664%), (IPAR, 43,153, 0.00%, 0.1345809%), (HCC, 47,386, 0.00%, 0.0901386%), (DLB, 55,860, 0.00%, 0.0912982%), (CBSH, 66,595, 0.00%, 0.0502928%), (UNF, 21,972, 0.00%, 0.1510579%), (ENSG, 19,855, 0.00%, 0.0342772%), (AYI, 9,976, 0.00%, 0.0325875%), (CSGS, 44,161, 0.00%, 0.1548412%), (IEX, 20,495, 0.00%, 0.0273816%), (FSS, 30,691, 0.00%, 0.0504715%), (TGLS, 72,441, 0.00%, 0.1555548%), (ESI, 123,787, 0.00%, 0.0511517%), (CINF, 18,876, 0.00%, 0.0120986%), (RGLD, 16,601, 0.00%, 0.0196699%), (ALLE, 19,127, 0.00%, 0.0222324%), (PHM, 25,612, 0.00%, 0.0131400%), (NTAP, 27,429, 0.00%, 0.0137407%), (ACT, 79,472, 0.00%, 0.0550376%), (LEA, 27,806, 0.00%, 0.0536069%), (ESNT, 47,319, 0.00%, 0.0489515%), (LZB, 93,147, 0.00%, 0.2260452%), (WINA, 6,688, 0.00%, 0.1877528%), (HWC, 48,000, 0.00%, 0.0574073%), (EXPO, 39,443, 0.00%, 0.0790643%), (CF, 32,007, 0.00%, 0.0205206%), (BCPC, 17,332, 0.00%, 0.0535165%), (SHOO, 71,081, 0.00%, 0.0978296%), (RJF, 16,859, 0.00%, 0.0084555%), (HL, 179,821, 0.00%, 0.0268350%), (SFBS, 35,827, 0.00%, 0.0655910%), (WDFC, 12,725, 0.00%, 0.0940653%), (HRB, 54,528, 0.00%, 0.0431306%), (IDT, 46,201, 0.00%, 0.1966145%), (PKG, 11,853, 0.00%, 0.0131734%), (CSW, 8,761, 0.00%, 0.0525029%), (MTH, 32,932, 0.00%, 0.0467740%), (CSL, 6,952, 0.00%, 0.0166372%), (MTX, 36,462, 0.00%, 0.1171120%), (NHC, 13,485, 0.00%, 0.0869145%), (ORI, 38,286, 0.00%, 0.0154722%), (FTV, 31,974, 0.00%, 0.0100670%), (LDOS, 8,613, 0.00%, 0.0067365%), (CNR, 19,834, 0.00%, 0.0387084%), (NSSC, 40,218, 0.00%, 0.1127682%), (PEGA, 28,229, 0.00%, 0.0166324%), (USLM, 13,373, 0.00%, 0.0466944%), (BOKF, 14,557, 0.00%, 0.0230159%), (TPB, 15,380, 0.00%, 0.0806470%), (INDB, 22,350, 0.00%, 0.0450811%), (JKHY, 9,373, 0.00%, 0.0129502%), (SIGI, 19,561, 0.00%, 0.0323809%), (VLTO, 14,411, 0.00%, 0.0058039%), (FHI, 28,819, 0.00%, 0.0371676%), (VRSN, 5,598, 0.00%, 0.0060388%), (CTRA, 53,315, 0.00%, 0.0070024%), (PNFP, 15,740, 0.00%, 0.0202899%), (PHIN, 25,402, 0.00%, 0.0660776%), (CMC, 23,092, 0.00%, 0.0208096%), (EBC, 76,426, 0.00%, 0.0320530%), (ZION, 26,380, 0.00%, 0.0178677%), (FRME, 36,856, 0.00%, 0.0637371%), (RNR, 4,978, 0.00%, 0.0107960%), (WING, 5,562, 0.00%, 0.0200167%), (CNO, 31,325, 0.00%, 0.0328514%), (KBH, 21,409, 0.00%, 0.0330566%), (ESAB, 11,176, 0.00%, 0.0184085%), (PFG, 14,667, 0.00%, 0.0066761%), (WKC, 49,208, 0.00%, 0.0885693%), (FCF, 75,654, 0.00%, 0.0729083%), (PRG, 43,424, 0.00%, 0.1098074%), (DOV, 6,570, 0.00%, 0.0047903%), (EG, 3,676, 0.00%, 0.0087570%), (WAFD, 38,944, 0.00%, 0.0498091%), (TEX, 26,001, 0.00%, 0.0396357%), (TXRH, 7,094, 0.00%, 0.0107247%), (MGY, 51,354, 0.00%, 0.0280389%), (SLM, 42,462, 0.00%, 0.0209133%), (TNC, 16,121, 0.00%, 0.0889387%), (NBHC, 29,840, 0.00%, 0.0789002%), (EQH, 23,735, 0.00%, 0.0082835%), (LII, 2,173, 0.00%, 0.0061957%), (ATKR, 15,105, 0.00%, 0.0448809%), (OMC, 13,591, 0.00%, 0.0070426%), (HUBG, 27,587, 0.00%, 0.0455392%), (SPB, 16,864, 0.00%, 0.0696657%), (TPL, 915, 0.00%, 0.0039818%), (IOSP, 12,011, 0.00%, 0.0484753%), (TNET, 15,247, 0.00%, 0.0317445%), (KMPR, 19,927, 0.00%, 0.0340360%), (SLVM, 15,436, 0.00%, 0.0391397%), (SM, 31,524, 0.00%, 0.0275189%), (nan, 0, 0.00%, 0.0000000%)</t>
        </is>
      </c>
      <c r="T5" s="5" t="n">
        <v>0.002954317059914357</v>
      </c>
      <c r="U5" s="3" t="n">
        <v>0</v>
      </c>
      <c r="V5" s="5" t="n">
        <v>0</v>
      </c>
      <c r="W5" t="inlineStr"/>
    </row>
    <row r="6">
      <c r="A6" s="2" t="n">
        <v>45975</v>
      </c>
      <c r="B6" t="inlineStr">
        <is>
          <t>KNG</t>
        </is>
      </c>
      <c r="C6" t="inlineStr">
        <is>
          <t>diversified</t>
        </is>
      </c>
      <c r="D6" t="inlineStr">
        <is>
          <t>non-diversified</t>
        </is>
      </c>
      <c r="E6" s="3">
        <f>IF(C6=D6,"PASS","FAIL")</f>
        <v/>
      </c>
      <c r="F6" s="3">
        <f>IF(L6/J6&gt;=0.75,"PASS","FAIL")</f>
        <v/>
      </c>
      <c r="G6" s="3">
        <f>IF(O6="None","PASS","FAIL")</f>
        <v/>
      </c>
      <c r="H6" s="3">
        <f>IF(T6="","",IF(T6&lt;=0.1,"PASS","FAIL"))</f>
        <v/>
      </c>
      <c r="I6" s="3">
        <f>IF(U6=0,"PASS",IF(U6&lt;=0.05*L6,"PASS","FAIL"))</f>
        <v/>
      </c>
      <c r="J6" s="3" t="n">
        <v>0</v>
      </c>
      <c r="K6" s="5" t="n">
        <v>0</v>
      </c>
      <c r="L6" s="3" t="n">
        <v>3517802439.09</v>
      </c>
      <c r="M6" s="3" t="n">
        <v>0</v>
      </c>
      <c r="N6" s="3" t="n">
        <v>3463278652.875</v>
      </c>
      <c r="O6" t="inlineStr">
        <is>
          <t>(ALB, 562,496, 64,765,789.44), (CHRW, 403,772, 61,696,361.60), (EXPD, 432,838, 59,913,435.96), (KVUE, 3,380,511, 56,319,313.26), (DOV, 306,300, 56,089,656.00), (NUE, 375,698, 55,520,650.44), (CAT, 99,902, 55,348,705.06), (CB, 185,661, 54,860,968.89), (IBM, 178,565, 54,585,534.85), (AFL, 476,021, 54,428,241.14), (CINF, 330,222, 54,123,385.80), (SJM, 416,515, 53,491,151.10), (AMCR, 6,307,027, 53,483,588.96), (XOM, 372,855, 53,388,835.95), (SPGI, 107,017, 52,855,696.30), (BDX, 272,918, 52,684,090.72), (APD, 202,800, 52,594,152.00), (ABT, 401,242, 52,398,192.78), (GD, 151,787, 52,252,674.75), (ABBV, 224,502, 52,165,284.72), (JNJ, 266,088, 52,134,621.84), (CVX, 330,009, 52,016,018.58), (NEE, 619,735, 51,983,371.80), (KO, 725,024, 51,592,707.84), (ES, 702,120, 51,465,396.00), (MDT, 535,340, 51,323,045.80), (ED, 503,620, 51,198,009.20), (SHW, 153,796, 51,087,955.28), (BF/B, 1,827,664, 50,936,995.68), (MCD, 165,552, 50,829,430.56), (TROW, 499,603, 50,819,617.16), (ATO, 289,791, 50,748,199.92), (NDSN, 219,260, 50,489,000.20), (BEN, 2,272,648, 50,384,606.16), (EMR, 394,584, 50,341,026.72), (CL, 642,861, 50,175,301.05), (PG, 337,316, 49,811,453.72), (CTAS, 265,266, 49,530,467.52), (ITW, 202,954, 49,514,687.38), (ESS, 194,304, 49,467,855.36), (FRT, 508,310, 49,321,319.30), (GPC, 386,419, 49,175,681.94), (GWW, 53,035, 49,121,547.35), (WMT, 479,177, 49,106,058.96), (TGT, 546,048, 49,089,715.20), (CHD, 582,603, 48,996,912.30), (PNR, 469,538, 48,986,899.54), (PEP, 335,485, 48,930,487.25), (MKC, 748,603, 48,906,233.99), (SYY, 653,168, 48,798,181.28), (PPG, 502,538, 48,761,262.14), (FAST, 1,205,146, 48,748,155.70), (AOS, 752,773, 48,734,524.02), (SWK, 741,575, 48,684,398.75), (ADM, 829,255, 48,602,635.55), (FDS, 177,081, 48,504,256.71), (WST, 185,338, 48,439,939.68), (O, 851,818, 48,383,262.40), (LIN, 114,109, 48,312,609.51), (HRL, 2,125,844, 48,129,108.16), (ECL, 186,013, 48,099,241.54), (LOW, 210,816, 48,034,425.60), (BRO, 575,550, 46,446,885.00), (ADP, 180,800, 45,758,672.00), (ERIE, 159,069, 45,585,994.02), (ROP, 100,873, 45,342,413.50), (CLX, 434,413, 45,039,939.84), (KMB, 427,077, 44,422,414.16)</t>
        </is>
      </c>
      <c r="P6" t="inlineStr">
        <is>
          <t>CAH</t>
        </is>
      </c>
      <c r="Q6" s="5" t="n">
        <v>0.01878861561569036</v>
      </c>
      <c r="R6" s="5" t="n">
        <v>0.9812113843843097</v>
      </c>
      <c r="S6" t="inlineStr">
        <is>
          <t>(ALB, 562,496, 0.00%, 0.4779167%), (CHRW, 403,772, 0.00%, 0.3417823%), (EXPD, 432,838, 0.00%, 0.3229631%), (KVUE, 3,380,511, 0.00%, 0.1764541%), (DOV, 306,300, 0.00%, 0.2233269%), (NUE, 375,698, 0.00%, 0.1641616%), (CAT, 99,902, 0.00%, 0.0213475%), (CB, 185,661, 0.00%, 0.0471759%), (IBM, 178,565, 0.00%, 0.0191033%), (AFL, 476,021, 0.00%, 0.0908240%), (CINF, 330,222, 0.00%, 0.2116557%), (SJM, 490,115, 0.00%, 0.4594030%), (AMCR, 6,307,027, 0.00%, 0.2732255%), (XOM, 447,555, 0.00%, 0.0106127%), (SPGI, 107,017, 0.00%, 0.0345216%), (BDX, 272,918, 0.00%, 0.0952170%), (APD, 202,800, 0.00%, 0.0911241%), (ABT, 401,242, 0.00%, 0.0230748%), (GD, 151,787, 0.00%, 0.0561923%), (ABBV, 224,502, 0.00%, 0.0127025%), (JNJ, 266,088, 0.00%, 0.0110442%), (CVX, 330,009, 0.00%, 0.0163896%), (NEE, 619,735, 0.00%, 0.0297576%), (KO, 725,024, 0.00%, 0.0168547%), (ES, 702,120, 0.00%, 0.1871376%), (MDT, 535,340, 0.00%, 0.0417359%), (ED, 503,620, 0.00%, 0.1395318%), (SHW, 153,796, 0.00%, 0.0620412%), (BF/B, 1,827,664, 0.00%, 0.6019797%), (MCD, 165,552, 0.00%, 0.0232466%), (TROW, 499,603, 0.00%, 0.2289268%), (ATO, 289,791, 0.00%, 0.1792226%), (NDSN, 219,260, 0.00%, 0.3902375%), (BEN, 2,272,648, 0.00%, 0.4362334%), (EMR, 394,584, 0.00%, 0.0702357%), (CL, 642,861, 0.00%, 0.0797530%), (PG, 337,316, 0.00%, 0.0144354%), (CTAS, 265,266, 0.00%, 0.0660085%), (ITW, 202,954, 0.00%, 0.0699600%), (ESS, 194,304, 0.00%, 0.3016955%), (FRT, 508,310, 0.00%, 0.5892081%), (GPC, 386,419, 0.00%, 0.2777785%), (GWW, 53,035, 0.00%, 0.1115368%), (WMT, 479,177, 0.00%, 0.0060101%), (TGT, 546,048, 0.00%, 0.1201693%), (CHD, 582,603, 0.00%, 0.2426197%), (PNR, 469,538, 0.00%, 0.2869302%), (PEP, 335,485, 0.00%, 0.0245356%), (MKC, 748,603, 0.00%, 0.2956102%), (SYY, 653,168, 0.00%, 0.1364003%), (PPG, 502,538, 0.00%, 0.2239474%), (FAST, 1,205,146, 0.00%, 0.1049746%), (AOS, 752,773, 0.00%, 0.6639843%), (SWK, 741,575, 0.00%, 0.4787907%), (ADM, 829,255, 0.00%, 0.1725567%), (FDS, 177,081, 0.00%, 0.4732263%), (WST, 185,338, 0.00%, 0.2576164%), (O, 851,818, 0.00%, 0.0925984%), (LIN, 114,109, 0.00%, 0.0244371%), (HRL, 2,125,844, 0.00%, 0.3865182%), (ECL, 186,013, 0.00%, 0.0656743%), (LOW, 210,816, 0.00%, 0.0375903%), (BRO, 575,550, 0.00%, 0.1685750%), (ADP, 180,800, 0.00%, 0.0447028%), (ERIE, 159,069, 0.00%, 0.3443867%), (ROP, 100,873, 0.00%, 0.0937156%), (CLX, 434,413, 0.00%, 0.3561334%), (KMB, 427,077, 0.00%, 0.1286925%)</t>
        </is>
      </c>
      <c r="T6" s="5" t="n">
        <v>0.006639843488830144</v>
      </c>
      <c r="U6" s="3" t="n">
        <v>0</v>
      </c>
      <c r="V6" s="5" t="n">
        <v>0</v>
      </c>
      <c r="W6" t="inlineStr"/>
    </row>
    <row r="7">
      <c r="A7" s="2" t="n">
        <v>45975</v>
      </c>
      <c r="B7" t="inlineStr">
        <is>
          <t>FGSI</t>
        </is>
      </c>
      <c r="C7" t="inlineStr">
        <is>
          <t>non-diversified</t>
        </is>
      </c>
      <c r="D7" t="inlineStr">
        <is>
          <t>non-diversified</t>
        </is>
      </c>
      <c r="E7" s="3">
        <f>IF(C7=D7,"PASS","FAIL")</f>
        <v/>
      </c>
      <c r="F7" s="3">
        <f>IF(L7/J7&gt;=0.75,"PASS","FAIL")</f>
        <v/>
      </c>
      <c r="G7" s="3">
        <f>IF(O7="None","PASS","FAIL")</f>
        <v/>
      </c>
      <c r="H7" s="3">
        <f>IF(T7="","",IF(T7&lt;=0.1,"PASS","FAIL"))</f>
        <v/>
      </c>
      <c r="I7" s="3">
        <f>IF(U7=0,"PASS",IF(U7&lt;=0.05*L7,"PASS","FAIL"))</f>
        <v/>
      </c>
      <c r="J7" s="3" t="n">
        <v>0</v>
      </c>
      <c r="K7" s="5" t="n">
        <v>0</v>
      </c>
      <c r="L7" s="3" t="n">
        <v>3007407.61</v>
      </c>
      <c r="M7" s="3" t="n">
        <v>0</v>
      </c>
      <c r="N7" s="3" t="n">
        <v>2923610.160000001</v>
      </c>
      <c r="O7" t="inlineStr">
        <is>
          <t>(INCY, 705, 73,529.90), (SLB, 1,893, 70,001.30), (BKR, 1,366, 66,711.37), (UTHR, 142, 66,695.20), (CBOE, 258, 66,654.30), (APO, 508, 66,606.00), (APH, 492, 65,800.08), (CAT, 117, 64,821.51), (NVDA, 337, 64,277.46), (MNST, 879, 62,824.11), (TJX, 429, 62,814.40), (MCO, 130, 62,811.88), (INTU, 93, 62,266.54), (GDDY, 480, 62,256.00), (SCHW, 655, 62,014.23), (IBKR, 933, 61,672.02), (UBER, 669, 61,385.40), (FTNT, 739, 60,991.71), (PANW, 297, 60,959.25), (COST, 66, 60,916.68), (AVGO, 177, 60,615.42), (CPAY, 216, 60,558.19), (AMP, 132, 60,456.00), (DT, 1,282, 60,189.40), (MA, 109, 60,030.30), (ABNB, 490, 59,911.82), (CDNS, 189, 59,836.70), (NEM, 679, 59,791.80), (V, 180, 59,733.62), (MMC, 325, 59,596.06), (PHM, 496, 58,829.89), (WMT, 573, 58,823.52), (NOC, 103, 58,032.00), (NFLX, 51, 57,832.84), (NOW, 69, 57,829.24), (APP, 103, 57,443.10), (CPRT, 1,392, 57,306.60), (MPWR, 61, 57,051.78), (ANET, 432, 56,751.84), (RMD, 231, 56,470.26), (ADP, 219, 55,679.80), (DXCM, 927, 53,937.74), (MSI, 139, 52,817.22), (META, 85, 52,413.56), (TTD, 1,236, 51,867.41), (PINS, 1,906, 50,817.58), (FFIV, 205, 48,204.00), (GRMN, 247, 48,144.24), (CMG, 1,474, 46,628.89)</t>
        </is>
      </c>
      <c r="P7" t="inlineStr">
        <is>
          <t>LLY</t>
        </is>
      </c>
      <c r="Q7" s="5" t="n">
        <v>0.02625070167990963</v>
      </c>
      <c r="R7" s="5" t="n">
        <v>0.9737492983200904</v>
      </c>
      <c r="S7" t="inlineStr">
        <is>
          <t>(INCY, 706, 0.00%, 0.0003596%), (SLB, 1,895, 0.00%, 0.0001268%), (BKR, 1,369, 0.00%, 0.0001387%), (UTHR, 143, 0.00%, 0.0003321%), (CBOE, 258, 0.00%, 0.0002465%), (APO, 510, 0.00%, 0.0000879%), (APH, 492, 0.00%, 0.0000402%), (CAT, 117, 0.00%, 0.0000250%), (NVDA, 338, 0.00%, 0.0000014%), (MNST, 881, 0.00%, 0.0000902%), (TJX, 430, 0.00%, 0.0000386%), (MCO, 131, 0.00%, 0.0000734%), (INTU, 94, 0.00%, 0.0000337%), (GDDY, 480, 0.00%, 0.0003552%), (SCHW, 657, 0.00%, 0.0000370%), (IBKR, 934, 0.00%, 0.0002097%), (UBER, 670, 0.00%, 0.0000322%), (FTNT, 741, 0.00%, 0.0000996%), (PANW, 297, 0.00%, 0.0000441%), (COST, 66, 0.00%, 0.0000149%), (AVGO, 177, 0.00%, 0.0000037%), (CPAY, 217, 0.00%, 0.0003102%), (AMP, 132, 0.00%, 0.0001421%), (DT, 1,285, 0.00%, 0.0004262%), (MA, 110, 0.00%, 0.0000123%), (ABNB, 491, 0.00%, 0.0001154%), (CDNS, 190, 0.00%, 0.0000698%), (NEM, 681, 0.00%, 0.0000624%), (V, 181, 0.00%, 0.0000107%), (MMC, 326, 0.00%, 0.0000665%), (PHM, 497, 0.00%, 0.0002550%), (WMT, 574, 0.00%, 0.0000072%), (NOC, 104, 0.00%, 0.0000729%), (NFLX, 52, 0.00%, 0.0000012%), (NOW, 68, 0.00%, 0.0000328%), (APP, 103, 0.00%, 0.0000335%), (CPRT, 1,395, 0.00%, 0.0001441%), (MPWR, 62, 0.00%, 0.0001294%), (ANET, 432, 0.00%, 0.0000343%), (RMD, 231, 0.00%, 0.0001583%), (ADP, 220, 0.00%, 0.0000544%), (DXCM, 929, 0.00%, 0.0002382%), (MSI, 139, 0.00%, 0.0000835%), (META, 86, 0.00%, 0.0000039%), (TTD, 1,237, 0.00%, 0.0002809%), (PINS, 1,909, 0.00%, 0.0003204%), (FFIV, 206, 0.00%, 0.0003546%), (GRMN, 248, 0.00%, 0.0001289%), (CMG, 1,477, 0.00%, 0.0001117%)</t>
        </is>
      </c>
      <c r="T7" s="5" t="n">
        <v>4.262188615611285e-06</v>
      </c>
      <c r="U7" s="3" t="n">
        <v>0</v>
      </c>
      <c r="V7" s="5" t="n">
        <v>0</v>
      </c>
      <c r="W7" t="inlineStr"/>
    </row>
    <row r="8">
      <c r="A8" s="2" t="n">
        <v>45975</v>
      </c>
      <c r="B8" t="inlineStr">
        <is>
          <t>DOGG</t>
        </is>
      </c>
      <c r="C8" t="inlineStr">
        <is>
          <t>non-diversified</t>
        </is>
      </c>
      <c r="D8" t="inlineStr">
        <is>
          <t>non-diversified</t>
        </is>
      </c>
      <c r="E8" s="3">
        <f>IF(C8=D8,"PASS","FAIL")</f>
        <v/>
      </c>
      <c r="F8" s="3">
        <f>IF(L8/J8&gt;=0.75,"PASS","FAIL")</f>
        <v/>
      </c>
      <c r="G8" s="3">
        <f>IF(O8="None","PASS","FAIL")</f>
        <v/>
      </c>
      <c r="H8" s="3">
        <f>IF(T8="","",IF(T8&lt;=0.1,"PASS","FAIL"))</f>
        <v/>
      </c>
      <c r="I8" s="3">
        <f>IF(U8=0,"PASS",IF(U8&lt;=0.05*L8,"PASS","FAIL"))</f>
        <v/>
      </c>
      <c r="J8" s="3" t="n">
        <v>0</v>
      </c>
      <c r="K8" s="5" t="n">
        <v>0</v>
      </c>
      <c r="L8" s="3" t="n">
        <v>43929498.02</v>
      </c>
      <c r="M8" s="3" t="n">
        <v>0</v>
      </c>
      <c r="N8" s="3" t="n">
        <v>48267203.16</v>
      </c>
      <c r="O8" t="inlineStr">
        <is>
          <t>(VZ, 54,032, 2,167,926.94), (VZ, 54,032, 2,167,926.94), (VZ, 54,032, 2,167,926.94), (CVX, 12,415, 1,907,517.24), (CVX, 12,415, 1,907,517.24), (CVX, 12,415, 1,907,517.24), (MCD, 6,366, 1,905,735.21), (MCD, 6,366, 1,905,735.21), (MCD, 6,366, 1,905,735.21), (PG, 13,134, 1,892,095.71), (PG, 13,134, 1,892,095.71), (PG, 13,134, 1,892,095.71), (MRK, 20,701, 1,871,780.48), (MRK, 20,701, 1,871,780.48), (MRK, 20,701, 1,871,780.48), (CSCO, 24,114, 1,829,490.00), (CSCO, 24,114, 1,829,490.00), (CSCO, 24,114, 1,829,490.00), (JNJ, 8,580, 1,631,313.18), (JNJ, 8,580, 1,631,313.18), (JNJ, 8,580, 1,631,313.18), (KO, 27,590, 1,486,817.04), (KO, 27,590, 1,486,817.04), (KO, 27,590, 1,486,817.04), (IBM, 4,723, 1,396,391.92), (IBM, 4,723, 1,396,391.92), (IBM, 4,723, 1,396,391.92)</t>
        </is>
      </c>
      <c r="P8" t="inlineStr">
        <is>
          <t>AMGN</t>
        </is>
      </c>
      <c r="Q8" s="5" t="n">
        <v>0.05056140270459662</v>
      </c>
      <c r="R8" s="5" t="n">
        <v>0.9494385972954034</v>
      </c>
      <c r="S8" t="inlineStr">
        <is>
          <t>(VZ, 52,799, 0.00%, 0.0012522%), (VZ, 52,799, 0.00%, 0.0012522%), (VZ, 52,799, 0.00%, 0.0012522%), (CVX, 12,102, 0.00%, 0.0006010%), (CVX, 12,102, 0.00%, 0.0006010%), (CVX, 12,102, 0.00%, 0.0006010%), (MCD, 6,207, 0.00%, 0.0008716%), (MCD, 6,207, 0.00%, 0.0008716%), (MCD, 6,207, 0.00%, 0.0008716%), (PG, 12,813, 0.00%, 0.0005483%), (PG, 12,813, 0.00%, 0.0005483%), (PG, 12,813, 0.00%, 0.0005483%), (MRK, 20,144, 0.00%, 0.0008116%), (MRK, 20,144, 0.00%, 0.0008116%), (MRK, 20,144, 0.00%, 0.0008116%), (CSCO, 23,455, 0.00%, 0.0005933%), (CSCO, 23,455, 0.00%, 0.0005933%), (CSCO, 23,455, 0.00%, 0.0005933%), (JNJ, 8,326, 0.00%, 0.0003456%), (JNJ, 8,326, 0.00%, 0.0003456%), (JNJ, 8,326, 0.00%, 0.0003456%), (KO, 20,894, 0.00%, 0.0004857%), (KO, 20,894, 0.00%, 0.0004857%), (KO, 20,894, 0.00%, 0.0004857%), (IBM, 4,568, 0.00%, 0.0004887%), (IBM, 4,568, 0.00%, 0.0004887%), (IBM, 4,568, 0.00%, 0.0004887%)</t>
        </is>
      </c>
      <c r="T8" s="5" t="n">
        <v>1.252221965290501e-05</v>
      </c>
      <c r="U8" s="3" t="n">
        <v>0</v>
      </c>
      <c r="V8" s="5" t="n">
        <v>0</v>
      </c>
      <c r="W8" t="inlineStr"/>
    </row>
    <row r="9">
      <c r="A9" t="inlineStr">
        <is>
          <t>* To be classified as a diversified company under the 1940 Act, at least 75% of the value of the fund's total assets must be invested in:</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row>
    <row r="10">
      <c r="A10" t="inlineStr">
        <is>
          <t>* 1) cash and cash items (including receivables),</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row>
    <row r="11">
      <c r="A11" t="inlineStr">
        <is>
          <t>* 2) government securities,</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row>
    <row r="12">
      <c r="A12" t="inlineStr">
        <is>
          <t>* 3) securities of other investment companies, and</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is>
          <t>* 4) other securities</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row>
    <row r="14">
      <c r="A14" t="inlineStr">
        <is>
          <t xml:space="preserve">* </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row>
    <row r="15">
      <c r="A15" t="inlineStr">
        <is>
          <t>* Compliance Conditions:</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row>
    <row r="16">
      <c r="A16" t="inlineStr">
        <is>
          <t>* Condition 40 Act 1: 75% of the fund must be invested in diversified assets.</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 Condition 40 Act 2a: No single issuer in the 75% can exceed 5% of total assets.</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row>
    <row r="18">
      <c r="A18" t="inlineStr">
        <is>
          <t>* Condition 40 Act 2b: No single issuer in the 75% can exceed 10% of the issuer's voting securities.</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3"/>
  <sheetViews>
    <sheetView workbookViewId="0">
      <selection activeCell="A1" sqref="A1"/>
    </sheetView>
  </sheetViews>
  <sheetFormatPr baseColWidth="8" defaultRowHeight="15"/>
  <cols>
    <col width="50" customWidth="1" min="1" max="1"/>
    <col width="6" customWidth="1" min="2" max="2"/>
    <col width="17" customWidth="1" min="3" max="3"/>
    <col width="31" customWidth="1" min="4" max="4"/>
    <col width="28" customWidth="1" min="5" max="5"/>
    <col width="22" customWidth="1" min="6" max="6"/>
    <col width="19" customWidth="1" min="7" max="7"/>
    <col width="14" customWidth="1" min="8" max="8"/>
    <col width="25" customWidth="1" min="9" max="9"/>
    <col width="10" customWidth="1" min="10" max="10"/>
    <col width="23" customWidth="1" min="11" max="11"/>
    <col width="30" customWidth="1" min="12" max="12"/>
    <col width="24" customWidth="1" min="13" max="13"/>
    <col width="50" customWidth="1" min="14" max="14"/>
    <col width="16" customWidth="1" min="15" max="15"/>
    <col width="22" customWidth="1" min="16" max="16"/>
    <col width="27" customWidth="1" min="17" max="17"/>
    <col width="34" customWidth="1" min="18" max="18"/>
  </cols>
  <sheetData>
    <row r="1">
      <c r="A1" s="1" t="inlineStr">
        <is>
          <t>Date</t>
        </is>
      </c>
      <c r="B1" s="1" t="inlineStr">
        <is>
          <t>Fund</t>
        </is>
      </c>
      <c r="C1" s="1" t="inlineStr">
        <is>
          <t>condition_IRS_1</t>
        </is>
      </c>
      <c r="D1" s="1" t="inlineStr">
        <is>
          <t>condition_IRS_2_a_50</t>
        </is>
      </c>
      <c r="E1" s="1" t="inlineStr">
        <is>
          <t>condition_IRS_2_a_5</t>
        </is>
      </c>
      <c r="F1" s="1" t="inlineStr">
        <is>
          <t>condition_IRS_2_a_10</t>
        </is>
      </c>
      <c r="G1" s="1" t="inlineStr">
        <is>
          <t>condition_IRS_2_b</t>
        </is>
      </c>
      <c r="H1" s="1" t="inlineStr">
        <is>
          <t>total_assets</t>
        </is>
      </c>
      <c r="I1" s="1" t="inlineStr">
        <is>
          <t>qualifying_assets_value</t>
        </is>
      </c>
      <c r="J1" s="1" t="inlineStr">
        <is>
          <t>expenses</t>
        </is>
      </c>
      <c r="K1" s="1" t="inlineStr">
        <is>
          <t>five_pct_gross_assets</t>
        </is>
      </c>
      <c r="L1" s="1" t="inlineStr">
        <is>
          <t>sum_large_securities_weights</t>
        </is>
      </c>
      <c r="M1" s="1" t="inlineStr">
        <is>
          <t>large_securities_count</t>
        </is>
      </c>
      <c r="N1" s="1" t="inlineStr">
        <is>
          <t>large_securities</t>
        </is>
      </c>
      <c r="O1" s="1" t="inlineStr">
        <is>
          <t>overlap_weight</t>
        </is>
      </c>
      <c r="P1" s="1" t="inlineStr">
        <is>
          <t>overlap_constituents</t>
        </is>
      </c>
      <c r="Q1" s="1" t="inlineStr">
        <is>
          <t>bottom_50_largest_holding</t>
        </is>
      </c>
      <c r="R1" s="1" t="inlineStr">
        <is>
          <t>bottom_50_second_largest_holding</t>
        </is>
      </c>
    </row>
    <row r="2">
      <c r="A2" s="2" t="n">
        <v>45975</v>
      </c>
      <c r="B2" t="inlineStr">
        <is>
          <t>TDVI</t>
        </is>
      </c>
      <c r="C2" t="inlineStr">
        <is>
          <t>PASS</t>
        </is>
      </c>
      <c r="D2" s="3">
        <f>IF(I2/H2&gt;=0.5,"PASS","FAIL")</f>
        <v/>
      </c>
      <c r="E2" s="3">
        <f>IF(L2&lt;=0.5,"PASS","FAIL")</f>
        <v/>
      </c>
      <c r="F2" t="inlineStr">
        <is>
          <t>FAIL</t>
        </is>
      </c>
      <c r="G2" t="inlineStr">
        <is>
          <t>PASS</t>
        </is>
      </c>
      <c r="H2" s="3" t="n">
        <v>0</v>
      </c>
      <c r="I2" s="3" t="n">
        <v>196484680.05</v>
      </c>
      <c r="J2" s="3" t="n">
        <v>0</v>
      </c>
      <c r="K2" s="5" t="n">
        <v>0</v>
      </c>
      <c r="L2" s="5" t="n">
        <v>0.9986664708177644</v>
      </c>
      <c r="M2" s="3" t="n">
        <v>94</v>
      </c>
      <c r="N2" t="inlineStr">
        <is>
          <t>(IBM, 9.73%), (AVGO, 8.92%), (MSFT, 7.80%), (ORCL, 6.78%), (TXN, 6.10%), (TSM, 4.78%), (QCOM, 4.19%), (AMAT, 2.63%), (ADI, 2.48%), (LRCX, 2.44%), (CSCO, 2.19%), (CRM, 2.10%), (RCI, 2.02%), (VZ, 1.80%), (TU, 1.71%), (T, 1.69%), (TMUS, 1.66%), (GLW, 1.66%), (KLAC, 1.64%), (INTU, 1.63%), (CMCSA, 1.57%), (MSI, 1.56%), (APH, 1.40%), (TIGO, 1.34%), (STX, 1.33%), (HPQ, 1.30%), (TEL, 1.28%), (NXPI, 1.21%), (TRI, 1.15%), (MCHP, 1.14%), (DELL, 1.02%), (HPE, 0.98%), (CTSH, 0.85%), (NOK, 0.58%), (NTAP, 0.57%), (SWKS, 0.52%), (UI, 0.47%), (ROP, 0.42%), (MPWR, 0.42%), (CDW, 0.41%), (GEN, 0.38%), (OTEX, 0.38%), (LOGI, 0.33%), (SSNC, 0.32%), (ERIC, 0.31%), (LDOS, 0.30%), (DOX, 0.28%), (CCOI, 0.28%), (IDCC, 0.21%), (SAP, 0.21%), (SNX, 0.20%), (TLK, 0.18%), (MTCH, 0.17%), (JOYY, 0.17%), (AMKR, 0.15%), (AVT, 0.13%), (VIV, 0.12%), (IRDM, 0.12%), (ITRN, 0.12%), (ASX, 0.12%), (SIMO, 0.10%), (DLB, 0.10%), (ENTG, 0.10%), (OLED, 0.10%), (KBR, 0.10%), (WB, 0.09%), (TEF, 0.09%), (CHT, 0.09%), (RELX, 0.09%), (PAYC, 0.09%), (CNXC, 0.08%), (SAIC, 0.07%), (YOU, 0.06%), (UMC, 0.06%), (CSGS, 0.06%), (VSH, 0.06%), (KLIC, 0.06%), (INGM, 0.05%), (POWI, 0.05%), (HIMX, 0.05%), (WIT, 0.05%), (MGIC, 0.05%), (STM, 0.05%), (KARO, 0.04%), (BHE, 0.04%), (OPRA, 0.03%), (ADEA, 0.03%), (ATEN, 0.02%), (CNXN, 0.02%), (HCKT, 0.02%), (SHEN, 0.01%), (OSPN, 0.01%), (CLMB, 0.00%), (nan, 0.00%)</t>
        </is>
      </c>
      <c r="O2" s="5" t="n">
        <v>0</v>
      </c>
      <c r="P2" t="inlineStr">
        <is>
          <t>None</t>
        </is>
      </c>
      <c r="Q2" t="inlineStr">
        <is>
          <t>AMAT (2.63%)</t>
        </is>
      </c>
      <c r="R2" t="inlineStr">
        <is>
          <t>ADI (2.48%)</t>
        </is>
      </c>
    </row>
    <row r="3">
      <c r="A3" s="2" t="n">
        <v>45975</v>
      </c>
      <c r="B3" t="inlineStr">
        <is>
          <t>FDND</t>
        </is>
      </c>
      <c r="C3" t="inlineStr">
        <is>
          <t>PASS</t>
        </is>
      </c>
      <c r="D3" s="3">
        <f>IF(I3/H3&gt;=0.5,"PASS","FAIL")</f>
        <v/>
      </c>
      <c r="E3" s="3">
        <f>IF(L3&lt;=0.5,"PASS","FAIL")</f>
        <v/>
      </c>
      <c r="F3" t="inlineStr">
        <is>
          <t>PASS</t>
        </is>
      </c>
      <c r="G3" t="inlineStr">
        <is>
          <t>PASS</t>
        </is>
      </c>
      <c r="H3" s="3" t="n">
        <v>0</v>
      </c>
      <c r="I3" s="3" t="n">
        <v>10264853.48</v>
      </c>
      <c r="J3" s="3" t="n">
        <v>0</v>
      </c>
      <c r="K3" s="5" t="n">
        <v>0</v>
      </c>
      <c r="L3" s="5" t="n">
        <v>0.9987830474613283</v>
      </c>
      <c r="M3" s="3" t="n">
        <v>41</v>
      </c>
      <c r="N3" t="inlineStr">
        <is>
          <t>(GOOGLE, 12.12%), (AMZN, 10.69%), (NFLX, 9.30%), (META, 8.50%), (CSCO, 6.07%), (CRM, 4.74%), (BKNG, 4.37%), (ANET, 4.11%), (SNOW, 3.47%), (DASH, 3.10%), (RBLX, 2.67%), (NET, 2.66%), (PYPL, 2.43%), (DDOG, 2.42%), (ABNB, 2.12%), (WDAY, 2.02%), (VEEV, 1.78%), (CVNA, 1.78%), (EBAY, 1.55%), (CPRT, 1.48%), (FLUT, 1.41%), (CIEN, 1.10%), (TEAM, 1.01%), (ZM, 0.89%), (VRSN, 0.86%), (HUBS, 0.84%), (GDDY, 0.73%), (NTNX, 0.71%), (CRWV, 0.68%), (DKNG, 0.59%), (OKTA, 0.57%), (DOCU, 0.55%), (FFIV, 0.54%), (AKAM, 0.51%), (PAYC, 0.34%), (DUOL, 0.30%), (CFLT, 0.28%), (DBX, 0.23%), (BOX, 0.19%), (MARA, 0.18%), (nan, 0.00%)</t>
        </is>
      </c>
      <c r="O3" s="5" t="n">
        <v>0</v>
      </c>
      <c r="P3" t="inlineStr">
        <is>
          <t>None</t>
        </is>
      </c>
      <c r="Q3" t="inlineStr">
        <is>
          <t>CRM (4.74%)</t>
        </is>
      </c>
      <c r="R3" t="inlineStr">
        <is>
          <t>BKNG (4.37%)</t>
        </is>
      </c>
    </row>
    <row r="4">
      <c r="A4" s="2" t="n">
        <v>45975</v>
      </c>
      <c r="B4" t="inlineStr">
        <is>
          <t>RDVI</t>
        </is>
      </c>
      <c r="C4" t="inlineStr">
        <is>
          <t>PASS</t>
        </is>
      </c>
      <c r="D4" s="3">
        <f>IF(I4/H4&gt;=0.5,"PASS","FAIL")</f>
        <v/>
      </c>
      <c r="E4" s="3">
        <f>IF(L4&lt;=0.5,"PASS","FAIL")</f>
        <v/>
      </c>
      <c r="F4" t="inlineStr">
        <is>
          <t>PASS</t>
        </is>
      </c>
      <c r="G4" t="inlineStr">
        <is>
          <t>PASS</t>
        </is>
      </c>
      <c r="H4" s="3" t="n">
        <v>0</v>
      </c>
      <c r="I4" s="3" t="n">
        <v>2482024006.719999</v>
      </c>
      <c r="J4" s="3" t="n">
        <v>0</v>
      </c>
      <c r="K4" s="5" t="n">
        <v>0</v>
      </c>
      <c r="L4" s="5" t="n">
        <v>1.000833055836981</v>
      </c>
      <c r="M4" s="3" t="n">
        <v>75</v>
      </c>
      <c r="N4" t="inlineStr">
        <is>
          <t>(GOOGLE, 2.89%), (KLAC, 2.88%), (AMAT, 2.62%), (NVDA, 2.52%), (LRCX, 2.44%), (MLI, 2.41%), (BK, 2.29%), (EBAY, 2.20%), (AXP, 2.18%), (MSFT, 2.16%), (BKR, 2.15%), (JPM, 2.12%), (ROST, 2.07%), (TRV, 2.02%), (HIG, 2.00%), (CB, 1.94%), (EWBC, 1.94%), (PHM, 1.93%), (EA, 1.92%), (WSM, 1.92%), (UNM, 1.88%), (RJF, 1.87%), (MPWR, 1.86%), (SNA, 1.83%), (V, 1.79%), (BKNG, 1.78%), (GE, 1.78%), (META, 1.75%), (CTSH, 1.73%), (PCAR, 1.73%), (AAPL, 1.65%), (CRM, 1.61%), (STT, 1.59%), (QCOM, 1.56%), (SYF, 1.55%), (ADP, 1.52%), (BLK, 1.47%), (ACN, 1.46%), (ABT, 1.36%), (PNC, 1.35%), (LEN, 1.30%), (ELV, 1.13%), (ACM, 1.08%), (GEV, 1.02%), (ALL, 0.98%), (AFL, 0.96%), (MA, 0.95%), (DHI, 0.92%), (COST, 0.89%), (AMP, 0.83%), (PGR, 0.81%), (ODFL, 0.71%), (PAYC, 0.69%), (COKE, 0.68%), (CSCO, 0.63%), (JNJ, 0.56%), (NTRS, 0.55%), (FOXA, 0.54%), (MCK, 0.52%), (BAC, 0.52%), (CINF, 0.49%), (MET, 0.48%), (XOM, 0.48%), (LNC, 0.48%), (VLTO, 0.47%), (DOV, 0.46%), (CF, 0.45%), (MTB, 0.45%), (RMD, 0.45%), (WTFC, 0.44%), (EG, 0.40%), (EOG, 0.39%), (EQH, 0.37%), (CSL, 0.32%), (nan, 0.00%)</t>
        </is>
      </c>
      <c r="O4" s="5" t="n">
        <v>0</v>
      </c>
      <c r="P4" t="inlineStr">
        <is>
          <t>None</t>
        </is>
      </c>
      <c r="Q4" t="inlineStr">
        <is>
          <t>MPWR (1.86%)</t>
        </is>
      </c>
      <c r="R4" t="inlineStr">
        <is>
          <t>SNA (1.83%)</t>
        </is>
      </c>
    </row>
    <row r="5">
      <c r="A5" s="2" t="n">
        <v>45975</v>
      </c>
      <c r="B5" t="inlineStr">
        <is>
          <t>SDVD</t>
        </is>
      </c>
      <c r="C5" t="inlineStr">
        <is>
          <t>PASS</t>
        </is>
      </c>
      <c r="D5" s="3">
        <f>IF(I5/H5&gt;=0.5,"PASS","FAIL")</f>
        <v/>
      </c>
      <c r="E5" s="3">
        <f>IF(L5&lt;=0.5,"PASS","FAIL")</f>
        <v/>
      </c>
      <c r="F5" t="inlineStr">
        <is>
          <t>PASS</t>
        </is>
      </c>
      <c r="G5" t="inlineStr">
        <is>
          <t>PASS</t>
        </is>
      </c>
      <c r="H5" s="3" t="n">
        <v>0</v>
      </c>
      <c r="I5" s="3" t="n">
        <v>672208431.355</v>
      </c>
      <c r="J5" s="3" t="n">
        <v>0</v>
      </c>
      <c r="K5" s="5" t="n">
        <v>0</v>
      </c>
      <c r="L5" s="5" t="n">
        <v>0.9983577134497015</v>
      </c>
      <c r="M5" s="3" t="n">
        <v>182</v>
      </c>
      <c r="N5" t="inlineStr">
        <is>
          <t>(FIX, 1.56%), (IDCC, 1.31%), (ENS, 1.20%), (YOU, 1.13%), (MLI, 1.07%), (COKE, 1.07%), (WWD, 1.06%), (IBP, 1.05%), (EME, 1.05%), (IBKR, 1.04%), (RL, 1.04%), (WFRD, 1.01%), (ITT, 1.00%), (FOXA, 1.00%), (PSMT, 1.00%), (ACM, 0.99%), (NYT, 0.98%), (WMS, 0.97%), (CBOE, 0.97%), (WTS, 0.96%), (J, 0.95%), (NOV, 0.95%), (WRB, 0.94%), (NTRS, 0.93%), (CADE, 0.93%), (MTG, 0.90%), (AIZ, 0.90%), (PRDO, 0.88%), (ULS, 0.88%), (OTTR, 0.86%), (EWBC, 0.86%), (WSM, 0.86%), (AGO, 0.85%), (UNM, 0.84%), (WTFC, 0.83%), (AIT, 0.82%), (FBP, 0.82%), (SNA, 0.82%), (SEIC, 0.81%), (IBOC, 0.81%), (G, 0.81%), (FELE, 0.79%), (LMAT, 0.79%), (MZTI, 0.79%), (SSD, 0.79%), (AOS, 0.78%), (OFG, 0.78%), (HBAN, 0.78%), (CFR, 0.77%), (GGG, 0.77%), (EFSC, 0.77%), (RGA, 0.77%), (CALM, 0.76%), (OZK, 0.76%), (PRI, 0.75%), (SSB, 0.75%), (ATMU, 0.75%), (BCO, 0.73%), (DCI, 0.72%), (WHD, 0.72%), (ALG, 0.69%), (SYF, 0.68%), (POWL, 0.68%), (ALSN, 0.68%), (LNC, 0.67%), (CHE, 0.67%), (LECO, 0.67%), (GHC, 0.66%), (CAH, 0.66%), (INGR, 0.66%), (OLED, 0.66%), (THG, 0.65%), (DKS, 0.65%), (OSW, 0.65%), (NIC, 0.65%), (BHE, 0.64%), (AXS, 0.64%), (BRC, 0.64%), (RDN, 0.63%), (DDS, 0.62%), (TPR, 0.61%), (UMBF, 0.61%), (TOL, 0.61%), (PAYC, 0.60%), (KTB, 0.59%), (FULT, 0.59%), (HOMB, 0.58%), (CW, 0.57%), (MSA, 0.57%), (PRIM, 0.56%), (IPAR, 0.56%), (HCC, 0.55%), (DLB, 0.54%), (CBSH, 0.53%), (UNF, 0.53%), (ENSG, 0.52%), (AYI, 0.52%), (CSGS, 0.51%), (IEX, 0.50%), (FSS, 0.50%), (TGLS, 0.48%), (ESI, 0.48%), (CINF, 0.46%), (RGLD, 0.46%), (ALLE, 0.46%), (PHM, 0.45%), (NTAP, 0.45%), (ACT, 0.44%), (LEA, 0.44%), (ESNT, 0.43%), (LZB, 0.42%), (WINA, 0.42%), (HWC, 0.42%), (EXPO, 0.41%), (CF, 0.40%), (BCPC, 0.40%), (SHOO, 0.40%), (RJF, 0.40%), (HL, 0.39%), (SFBS, 0.38%), (WDFC, 0.37%), (HRB, 0.36%), (IDT, 0.35%), (PKG, 0.35%), (CSW, 0.33%), (MTH, 0.33%), (CSL, 0.32%), (MTX, 0.31%), (NHC, 0.26%), (ORI, 0.25%), (FTV, 0.24%), (LDOS, 0.24%), (CNR, 0.24%), (NSSC, 0.24%), (PEGA, 0.24%), (USLM, 0.24%), (BOKF, 0.23%), (TPB, 0.23%), (INDB, 0.23%), (JKHY, 0.23%), (SIGI, 0.23%), (VLTO, 0.21%), (FHI, 0.21%), (VRSN, 0.21%), (CTRA, 0.21%), (PNFP, 0.21%), (PHIN, 0.20%), (CMC, 0.20%), (EBC, 0.20%), (ZION, 0.20%), (FRME, 0.20%), (RNR, 0.19%), (WING, 0.19%), (CNO, 0.19%), (KBH, 0.19%), (ESAB, 0.19%), (PFG, 0.18%), (WKC, 0.18%), (FCF, 0.18%), (PRG, 0.18%), (DOV, 0.18%), (EG, 0.18%), (WAFD, 0.18%), (TEX, 0.18%), (TXRH, 0.18%), (MGY, 0.18%), (SLM, 0.17%), (TNC, 0.17%), (NBHC, 0.16%), (EQH, 0.16%), (LII, 0.15%), (ATKR, 0.15%), (OMC, 0.15%), (HUBG, 0.15%), (SPB, 0.14%), (TPL, 0.14%), (IOSP, 0.13%), (TNET, 0.13%), (KMPR, 0.11%), (SLVM, 0.10%), (SM, 0.09%), (nan, 0.00%)</t>
        </is>
      </c>
      <c r="O5" s="5" t="n">
        <v>0</v>
      </c>
      <c r="P5" t="inlineStr">
        <is>
          <t>None</t>
        </is>
      </c>
      <c r="Q5" t="inlineStr">
        <is>
          <t>PRI (0.75%)</t>
        </is>
      </c>
      <c r="R5" t="inlineStr">
        <is>
          <t>SSB (0.75%)</t>
        </is>
      </c>
    </row>
    <row r="6">
      <c r="A6" s="2" t="n">
        <v>45975</v>
      </c>
      <c r="B6" t="inlineStr">
        <is>
          <t>KNG</t>
        </is>
      </c>
      <c r="C6" t="inlineStr">
        <is>
          <t>PASS</t>
        </is>
      </c>
      <c r="D6" s="3">
        <f>IF(I6/H6&gt;=0.5,"PASS","FAIL")</f>
        <v/>
      </c>
      <c r="E6" s="3">
        <f>IF(L6&lt;=0.5,"PASS","FAIL")</f>
        <v/>
      </c>
      <c r="F6" t="inlineStr">
        <is>
          <t>PASS</t>
        </is>
      </c>
      <c r="G6" t="inlineStr">
        <is>
          <t>PASS</t>
        </is>
      </c>
      <c r="H6" s="3" t="n">
        <v>0</v>
      </c>
      <c r="I6" s="3" t="n">
        <v>3529373290.715</v>
      </c>
      <c r="J6" s="3" t="n">
        <v>0</v>
      </c>
      <c r="K6" s="5" t="n">
        <v>0</v>
      </c>
      <c r="L6" s="5" t="n">
        <v>1.003289227244948</v>
      </c>
      <c r="M6" s="3" t="n">
        <v>69</v>
      </c>
      <c r="N6" t="inlineStr">
        <is>
          <t>(CAH, 1.88%), (ALB, 1.84%), (CHRW, 1.75%), (EXPD, 1.70%), (KVUE, 1.60%), (DOV, 1.59%), (NUE, 1.58%), (CAT, 1.57%), (CB, 1.56%), (IBM, 1.55%), (AFL, 1.55%), (CINF, 1.54%), (SJM, 1.52%), (AMCR, 1.52%), (XOM, 1.52%), (SPGI, 1.50%), (BDX, 1.50%), (APD, 1.50%), (ABT, 1.49%), (GD, 1.49%), (ABBV, 1.48%), (JNJ, 1.48%), (CVX, 1.48%), (NEE, 1.48%), (KO, 1.47%), (ES, 1.46%), (MDT, 1.46%), (ED, 1.46%), (SHW, 1.45%), (BF/B, 1.45%), (MCD, 1.44%), (TROW, 1.44%), (ATO, 1.44%), (NDSN, 1.44%), (BEN, 1.43%), (EMR, 1.43%), (CL, 1.43%), (PG, 1.42%), (CTAS, 1.41%), (ITW, 1.41%), (ESS, 1.41%), (FRT, 1.40%), (GPC, 1.40%), (GWW, 1.40%), (WMT, 1.40%), (TGT, 1.40%), (CHD, 1.39%), (PNR, 1.39%), (PEP, 1.39%), (MKC, 1.39%), (SYY, 1.39%), (PPG, 1.39%), (FAST, 1.39%), (AOS, 1.39%), (SWK, 1.38%), (ADM, 1.38%), (FDS, 1.38%), (WST, 1.38%), (O, 1.38%), (LIN, 1.37%), (HRL, 1.37%), (ECL, 1.37%), (LOW, 1.37%), (BRO, 1.32%), (ADP, 1.30%), (ERIE, 1.30%), (ROP, 1.29%), (CLX, 1.28%), (KMB, 1.26%)</t>
        </is>
      </c>
      <c r="O6" s="5" t="n">
        <v>0</v>
      </c>
      <c r="P6" t="inlineStr">
        <is>
          <t>None</t>
        </is>
      </c>
      <c r="Q6" t="inlineStr">
        <is>
          <t>ATO (1.44%)</t>
        </is>
      </c>
      <c r="R6" t="inlineStr">
        <is>
          <t>NDSN (1.44%)</t>
        </is>
      </c>
    </row>
    <row r="7">
      <c r="A7" s="2" t="n">
        <v>45975</v>
      </c>
      <c r="B7" t="inlineStr">
        <is>
          <t>FGSI</t>
        </is>
      </c>
      <c r="C7" t="inlineStr">
        <is>
          <t>PASS</t>
        </is>
      </c>
      <c r="D7" s="3">
        <f>IF(I7/H7&gt;=0.5,"PASS","FAIL")</f>
        <v/>
      </c>
      <c r="E7" s="3">
        <f>IF(L7&lt;=0.5,"PASS","FAIL")</f>
        <v/>
      </c>
      <c r="F7" t="inlineStr">
        <is>
          <t>PASS</t>
        </is>
      </c>
      <c r="G7" t="inlineStr">
        <is>
          <t>PASS</t>
        </is>
      </c>
      <c r="H7" s="3" t="n">
        <v>0</v>
      </c>
      <c r="I7" s="3" t="n">
        <v>3002556.720000001</v>
      </c>
      <c r="J7" s="3" t="n">
        <v>0</v>
      </c>
      <c r="K7" s="5" t="n">
        <v>0</v>
      </c>
      <c r="L7" s="5" t="n">
        <v>0.9983870194436331</v>
      </c>
      <c r="M7" s="3" t="n">
        <v>51</v>
      </c>
      <c r="N7" t="inlineStr">
        <is>
          <t>(LLY, 2.63%), (INCY, 2.44%), (SLB, 2.33%), (BKR, 2.22%), (UTHR, 2.22%), (CBOE, 2.22%), (APO, 2.21%), (APH, 2.19%), (CAT, 2.16%), (NVDA, 2.14%), (MNST, 2.09%), (TJX, 2.09%), (MCO, 2.09%), (INTU, 2.07%), (GDDY, 2.07%), (SCHW, 2.06%), (IBKR, 2.05%), (UBER, 2.04%), (FTNT, 2.03%), (PANW, 2.03%), (COST, 2.03%), (AVGO, 2.02%), (CPAY, 2.01%), (AMP, 2.01%), (DT, 2.00%), (MA, 2.00%), (ABNB, 1.99%), (CDNS, 1.99%), (NEM, 1.99%), (V, 1.99%), (MMC, 1.98%), (PHM, 1.96%), (WMT, 1.96%), (NOC, 1.93%), (NFLX, 1.92%), (NOW, 1.92%), (APP, 1.91%), (CPRT, 1.91%), (MPWR, 1.90%), (ANET, 1.89%), (RMD, 1.88%), (ADP, 1.85%), (DXCM, 1.79%), (MSI, 1.76%), (META, 1.74%), (TTD, 1.72%), (PINS, 1.69%), (FFIV, 1.60%), (GRMN, 1.60%), (CMG, 1.55%), (nan, 0.00%)</t>
        </is>
      </c>
      <c r="O7" s="5" t="n">
        <v>0</v>
      </c>
      <c r="P7" t="inlineStr">
        <is>
          <t>None</t>
        </is>
      </c>
      <c r="Q7" t="inlineStr">
        <is>
          <t>AMP (2.01%)</t>
        </is>
      </c>
      <c r="R7" t="inlineStr">
        <is>
          <t>DT (2.00%)</t>
        </is>
      </c>
    </row>
    <row r="8">
      <c r="A8" s="2" t="n">
        <v>45975</v>
      </c>
      <c r="B8" t="inlineStr">
        <is>
          <t>DOGG</t>
        </is>
      </c>
      <c r="C8" t="inlineStr">
        <is>
          <t>PASS</t>
        </is>
      </c>
      <c r="D8" s="3">
        <f>IF(I8/H8&gt;=0.5,"PASS","FAIL")</f>
        <v/>
      </c>
      <c r="E8" s="3">
        <f>IF(L8&lt;=0.5,"PASS","FAIL")</f>
        <v/>
      </c>
      <c r="F8" t="inlineStr">
        <is>
          <t>PASS</t>
        </is>
      </c>
      <c r="G8" t="inlineStr">
        <is>
          <t>PASS</t>
        </is>
      </c>
      <c r="H8" s="3" t="n">
        <v>0</v>
      </c>
      <c r="I8" s="3" t="n">
        <v>54930614.28000001</v>
      </c>
      <c r="J8" s="3" t="n">
        <v>0</v>
      </c>
      <c r="K8" s="5" t="n">
        <v>0</v>
      </c>
      <c r="L8" s="5" t="n">
        <v>1.250426632578216</v>
      </c>
      <c r="M8" s="3" t="n">
        <v>30</v>
      </c>
      <c r="N8" t="inlineStr">
        <is>
          <t>(AMGN, 5.06%), (AMGN, 5.06%), (AMGN, 5.06%), (VZ, 4.94%), (VZ, 4.94%), (VZ, 4.94%), (CVX, 4.34%), (CVX, 4.34%), (CVX, 4.34%), (MCD, 4.34%), (MCD, 4.34%), (MCD, 4.34%), (PG, 4.31%), (PG, 4.31%), (PG, 4.31%), (MRK, 4.26%), (MRK, 4.26%), (MRK, 4.26%), (CSCO, 4.16%), (CSCO, 4.16%), (CSCO, 4.16%), (JNJ, 3.71%), (JNJ, 3.71%), (JNJ, 3.71%), (KO, 3.38%), (KO, 3.38%), (KO, 3.38%), (IBM, 3.18%), (IBM, 3.18%), (IBM, 3.18%)</t>
        </is>
      </c>
      <c r="O8" s="5" t="n">
        <v>0</v>
      </c>
      <c r="P8" t="inlineStr">
        <is>
          <t>None</t>
        </is>
      </c>
      <c r="Q8" t="inlineStr">
        <is>
          <t>MCD (4.34%)</t>
        </is>
      </c>
      <c r="R8" t="inlineStr">
        <is>
          <t>MCD (4.34%)</t>
        </is>
      </c>
    </row>
    <row r="9">
      <c r="A9" t="inlineStr">
        <is>
          <t>* IRS Condition 1: 90% of income must come from qualifying sources.</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row>
    <row r="10">
      <c r="A10" t="inlineStr">
        <is>
          <t>* IRS Condition 2a: At least 50% of assets must be allocated to qualifying securities.</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row>
    <row r="11">
      <c r="A11" t="inlineStr">
        <is>
          <t>* IRS Condition 2a5: for 50% of portfolio, no issuer is more than 5% of fund assets.</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row>
    <row r="12">
      <c r="A12" t="inlineStr">
        <is>
          <t>* IRS Condition 2a10: for 50% of portfolio, fund doesn't hold more than 10% of any issuer's outstanding float.</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row>
    <row r="13">
      <c r="A13" t="inlineStr">
        <is>
          <t>* IRS Condition 2b: No single issuer may constitute more than 25% of assets.</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2025-11-18T20:53:03Z</dcterms:created>
  <dcterms:modified xmlns:dcterms="http://purl.org/dc/terms/" xmlns:xsi="http://www.w3.org/2001/XMLSchema-instance" xsi:type="dcterms:W3CDTF">2025-11-18T20:53:03Z</dcterms:modified>
</cp:coreProperties>
</file>