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 Summary" sheetId="1" state="visible" r:id="rId1"/>
    <sheet xmlns:r="http://schemas.openxmlformats.org/officeDocument/2006/relationships" name="P3727" sheetId="2" state="visible" r:id="rId2"/>
    <sheet xmlns:r="http://schemas.openxmlformats.org/officeDocument/2006/relationships" name="TDV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NAV Reconciliation Summary - 2025-11-06</t>
        </is>
      </c>
    </row>
    <row r="3">
      <c r="A3" s="2" t="inlineStr">
        <is>
          <t>Fund</t>
        </is>
      </c>
      <c r="B3" s="2" t="inlineStr">
        <is>
          <t>Date</t>
        </is>
      </c>
      <c r="C3" s="2" t="inlineStr">
        <is>
          <t>Expected TNA</t>
        </is>
      </c>
      <c r="D3" s="2" t="inlineStr">
        <is>
          <t>Custodian TNA</t>
        </is>
      </c>
      <c r="E3" s="2" t="inlineStr">
        <is>
          <t>TNA Diff ($)</t>
        </is>
      </c>
      <c r="F3" s="2" t="inlineStr">
        <is>
          <t>Expected NAV</t>
        </is>
      </c>
      <c r="G3" s="2" t="inlineStr">
        <is>
          <t>Custodian NAV</t>
        </is>
      </c>
      <c r="H3" s="2" t="inlineStr">
        <is>
          <t>NAV Diff ($)</t>
        </is>
      </c>
      <c r="I3" s="2" t="inlineStr">
        <is>
          <t>Shares Outstanding</t>
        </is>
      </c>
      <c r="J3" s="2" t="inlineStr">
        <is>
          <t>NAV Good (2-dec)</t>
        </is>
      </c>
      <c r="K3" s="2" t="inlineStr">
        <is>
          <t>NAV Good (4-dec)</t>
        </is>
      </c>
    </row>
    <row r="4">
      <c r="A4" t="inlineStr">
        <is>
          <t>P3727</t>
        </is>
      </c>
      <c r="B4" t="inlineStr">
        <is>
          <t>2025-11-06</t>
        </is>
      </c>
      <c r="C4" s="3" t="n">
        <v>72095880.49000001</v>
      </c>
      <c r="D4" s="3" t="n">
        <v>71256818.51000001</v>
      </c>
      <c r="E4" s="3" t="n">
        <v>-839061.9800000042</v>
      </c>
      <c r="F4" s="4" t="n">
        <v>234081.8100000011</v>
      </c>
      <c r="G4" s="4" t="n">
        <v>24.64</v>
      </c>
      <c r="H4" s="4" t="n">
        <v>-234057.1700000011</v>
      </c>
      <c r="I4" s="5" t="n">
        <v>2891361.8</v>
      </c>
      <c r="J4" s="6" t="inlineStr">
        <is>
          <t>FAIL</t>
        </is>
      </c>
      <c r="K4" s="6" t="inlineStr">
        <is>
          <t>FAIL</t>
        </is>
      </c>
    </row>
    <row r="5">
      <c r="A5" t="inlineStr">
        <is>
          <t>TDVI</t>
        </is>
      </c>
      <c r="B5" t="inlineStr">
        <is>
          <t>2025-11-06</t>
        </is>
      </c>
      <c r="C5" s="3" t="n">
        <v>199428903</v>
      </c>
      <c r="D5" s="3" t="n">
        <v>196395980.87</v>
      </c>
      <c r="E5" s="3" t="n">
        <v>-3032922.129999995</v>
      </c>
      <c r="F5" s="4" t="n">
        <v>28.69</v>
      </c>
      <c r="G5" s="4" t="n">
        <v>28.26</v>
      </c>
      <c r="H5" s="4" t="n">
        <v>-0.4299999999999997</v>
      </c>
      <c r="I5" s="5" t="n">
        <v>6950002</v>
      </c>
      <c r="J5" s="6" t="inlineStr">
        <is>
          <t>FAIL</t>
        </is>
      </c>
      <c r="K5" s="6" t="inlineStr">
        <is>
          <t>FAIL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P3727 - NAV Reconciliation - 2025-11-06</t>
        </is>
      </c>
    </row>
    <row r="3">
      <c r="A3" s="7" t="inlineStr">
        <is>
          <t>NAV CALCULATION SUMMARY</t>
        </is>
      </c>
    </row>
    <row r="5">
      <c r="A5" t="inlineStr">
        <is>
          <t>Beginning TNA (T-1)</t>
        </is>
      </c>
      <c r="C5" s="3" t="n">
        <v>71861823.53</v>
      </c>
    </row>
    <row r="6">
      <c r="A6" t="inlineStr">
        <is>
          <t>Adjusted Beginning TNA</t>
        </is>
      </c>
      <c r="C6" s="3" t="n">
        <v>71861823.53</v>
      </c>
    </row>
    <row r="8">
      <c r="A8" s="8" t="inlineStr">
        <is>
          <t>Gain/Loss Components:</t>
        </is>
      </c>
    </row>
    <row r="9">
      <c r="A9" t="inlineStr">
        <is>
          <t xml:space="preserve">  Equity G/L</t>
        </is>
      </c>
      <c r="C9" s="3" t="n">
        <v>0</v>
      </c>
    </row>
    <row r="10">
      <c r="A10" t="inlineStr">
        <is>
          <t xml:space="preserve">  Equity G/L (Adjusted)</t>
        </is>
      </c>
      <c r="C10" s="3" t="n">
        <v>0</v>
      </c>
    </row>
    <row r="11">
      <c r="A11" t="inlineStr">
        <is>
          <t xml:space="preserve">  Option G/L</t>
        </is>
      </c>
      <c r="C11" s="3">
        <f>H136</f>
        <v/>
      </c>
    </row>
    <row r="12">
      <c r="A12" t="inlineStr">
        <is>
          <t xml:space="preserve">  Option G/L (Adjusted)</t>
        </is>
      </c>
      <c r="C12" s="3">
        <f>I136</f>
        <v/>
      </c>
    </row>
    <row r="13">
      <c r="A13" t="inlineStr">
        <is>
          <t xml:space="preserve">  Flex Option G/L</t>
        </is>
      </c>
      <c r="C13" s="3">
        <f>H149</f>
        <v/>
      </c>
    </row>
    <row r="14">
      <c r="A14" t="inlineStr">
        <is>
          <t xml:space="preserve">  Flex Option G/L (Adjusted)</t>
        </is>
      </c>
      <c r="C14" s="3">
        <f>I149</f>
        <v/>
      </c>
    </row>
    <row r="16">
      <c r="A16" t="inlineStr">
        <is>
          <t>Expenses</t>
        </is>
      </c>
      <c r="C16" s="3" t="n">
        <v>-0</v>
      </c>
    </row>
    <row r="18">
      <c r="A18" s="8" t="inlineStr">
        <is>
          <t>Expected TNA</t>
        </is>
      </c>
      <c r="C18" s="3">
        <f>C6+I136+I149+C16</f>
        <v/>
      </c>
    </row>
    <row r="19">
      <c r="A19" s="8" t="inlineStr">
        <is>
          <t>Custodian TNA</t>
        </is>
      </c>
      <c r="C19" s="3" t="n">
        <v>71256818.51000001</v>
      </c>
    </row>
    <row r="20">
      <c r="A20" t="inlineStr">
        <is>
          <t>TNA Difference</t>
        </is>
      </c>
      <c r="C20" s="3">
        <f>C19-C18</f>
        <v/>
      </c>
    </row>
    <row r="22">
      <c r="A22" t="inlineStr">
        <is>
          <t>Shares Outstanding</t>
        </is>
      </c>
      <c r="C22" s="5" t="n">
        <v>2891361.8</v>
      </c>
    </row>
    <row r="24">
      <c r="A24" s="8" t="inlineStr">
        <is>
          <t>Expected NAV</t>
        </is>
      </c>
      <c r="C24" s="4">
        <f>IF(C22&lt;&gt;0,C18/C22,0)</f>
        <v/>
      </c>
    </row>
    <row r="25">
      <c r="A25" s="8" t="inlineStr">
        <is>
          <t>Custodian NAV</t>
        </is>
      </c>
      <c r="C25" s="4" t="n">
        <v>24.64</v>
      </c>
    </row>
    <row r="26">
      <c r="A26" t="inlineStr">
        <is>
          <t>NAV Difference</t>
        </is>
      </c>
      <c r="C26" s="4">
        <f>C25-C24</f>
        <v/>
      </c>
    </row>
    <row r="28">
      <c r="A28" t="inlineStr">
        <is>
          <t>NAV Good (2 decimal)</t>
        </is>
      </c>
      <c r="C28">
        <f>IF(ABS(ROUND(C26,2))&lt;=0.01,"PASS","FAIL")</f>
        <v/>
      </c>
    </row>
    <row r="29">
      <c r="A29" t="inlineStr">
        <is>
          <t>NAV Good (4 decimal)</t>
        </is>
      </c>
      <c r="C29">
        <f>IF(ABS(ROUND(C26,4))&lt;=0.0001,"PASS","FAIL")</f>
        <v/>
      </c>
    </row>
    <row r="39">
      <c r="A39" s="7" t="inlineStr">
        <is>
          <t>EQUITY GAIN/LOSS DETAIL</t>
        </is>
      </c>
    </row>
    <row r="41">
      <c r="A41" t="inlineStr">
        <is>
          <t>No equity holdings with gain/loss</t>
        </is>
      </c>
    </row>
    <row r="44">
      <c r="A44" s="7" t="inlineStr">
        <is>
          <t>OPTION GAIN/LOSS DETAIL</t>
        </is>
      </c>
    </row>
    <row r="46">
      <c r="A46" s="9" t="inlineStr">
        <is>
          <t>Ticker</t>
        </is>
      </c>
      <c r="B46" s="9" t="inlineStr">
        <is>
          <t>Qty T-1</t>
        </is>
      </c>
      <c r="C46" s="9" t="inlineStr">
        <is>
          <t>Qty T</t>
        </is>
      </c>
      <c r="D46" s="9" t="inlineStr">
        <is>
          <t>Price T-1
(Raw)</t>
        </is>
      </c>
      <c r="E46" s="9" t="inlineStr">
        <is>
          <t>Price T
(Raw)</t>
        </is>
      </c>
      <c r="F46" s="9" t="inlineStr">
        <is>
          <t>Price T-1
(Adj)</t>
        </is>
      </c>
      <c r="G46" s="9" t="inlineStr">
        <is>
          <t>Price T
(Adj)</t>
        </is>
      </c>
      <c r="H46" s="9" t="inlineStr">
        <is>
          <t>G/L</t>
        </is>
      </c>
      <c r="I46" s="9" t="inlineStr">
        <is>
          <t>G/L Adj</t>
        </is>
      </c>
    </row>
    <row r="47">
      <c r="A47" t="inlineStr">
        <is>
          <t>AAPL US 11/07/25 C272.5</t>
        </is>
      </c>
      <c r="B47" s="5" t="n">
        <v>-44</v>
      </c>
      <c r="C47" s="5" t="n">
        <v>-44</v>
      </c>
      <c r="D47" s="3" t="n">
        <v>1.09</v>
      </c>
      <c r="E47" s="3" t="n">
        <v>0.63</v>
      </c>
      <c r="F47" s="3" t="n">
        <v>1.09</v>
      </c>
      <c r="G47" s="3" t="n">
        <v>0.63</v>
      </c>
      <c r="H47" s="3">
        <f>(E47-D47)*C47*100</f>
        <v/>
      </c>
      <c r="I47" s="3">
        <f>(G47-F47)*C47*100</f>
        <v/>
      </c>
    </row>
    <row r="48">
      <c r="A48" t="inlineStr">
        <is>
          <t>ABBV US 11/07/25 C217.5</t>
        </is>
      </c>
      <c r="B48" s="5" t="n">
        <v>-7</v>
      </c>
      <c r="C48" s="5" t="n">
        <v>-7</v>
      </c>
      <c r="D48" s="3" t="n">
        <v>1.4</v>
      </c>
      <c r="E48" s="3" t="n">
        <v>2.68</v>
      </c>
      <c r="F48" s="3" t="n">
        <v>1.4</v>
      </c>
      <c r="G48" s="3" t="n">
        <v>2.68</v>
      </c>
      <c r="H48" s="3">
        <f>(E48-D48)*C48*100</f>
        <v/>
      </c>
      <c r="I48" s="3">
        <f>(G48-F48)*C48*100</f>
        <v/>
      </c>
    </row>
    <row r="49">
      <c r="A49" t="inlineStr">
        <is>
          <t>ABT US 11/07/25 C124</t>
        </is>
      </c>
      <c r="B49" s="5" t="n">
        <v>-11</v>
      </c>
      <c r="C49" s="5" t="n">
        <v>-11</v>
      </c>
      <c r="D49" s="3" t="n">
        <v>1.02</v>
      </c>
      <c r="E49" s="3" t="n">
        <v>1.07</v>
      </c>
      <c r="F49" s="3" t="n">
        <v>1.02</v>
      </c>
      <c r="G49" s="3" t="n">
        <v>1.07</v>
      </c>
      <c r="H49" s="3">
        <f>(E49-D49)*C49*100</f>
        <v/>
      </c>
      <c r="I49" s="3">
        <f>(G49-F49)*C49*100</f>
        <v/>
      </c>
    </row>
    <row r="50">
      <c r="A50" t="inlineStr">
        <is>
          <t>ACN US 11/07/25 C250</t>
        </is>
      </c>
      <c r="B50" s="5" t="n">
        <v>-3</v>
      </c>
      <c r="C50" s="5" t="n">
        <v>-3</v>
      </c>
      <c r="D50" s="3" t="n">
        <v>2.15</v>
      </c>
      <c r="E50" s="3" t="n">
        <v>0.28</v>
      </c>
      <c r="F50" s="3" t="n">
        <v>2.15</v>
      </c>
      <c r="G50" s="3" t="n">
        <v>0.28</v>
      </c>
      <c r="H50" s="3">
        <f>(E50-D50)*C50*100</f>
        <v/>
      </c>
      <c r="I50" s="3">
        <f>(G50-F50)*C50*100</f>
        <v/>
      </c>
    </row>
    <row r="51">
      <c r="A51" t="inlineStr">
        <is>
          <t>ADBE US 11/07/25 C340</t>
        </is>
      </c>
      <c r="B51" s="5" t="n">
        <v>-2</v>
      </c>
      <c r="C51" s="5" t="n">
        <v>-2</v>
      </c>
      <c r="D51" s="3" t="n">
        <v>2.25</v>
      </c>
      <c r="E51" s="3" t="n">
        <v>0.17</v>
      </c>
      <c r="F51" s="3" t="n">
        <v>2.25</v>
      </c>
      <c r="G51" s="3" t="n">
        <v>0.17</v>
      </c>
      <c r="H51" s="3">
        <f>(E51-D51)*C51*100</f>
        <v/>
      </c>
      <c r="I51" s="3">
        <f>(G51-F51)*C51*100</f>
        <v/>
      </c>
    </row>
    <row r="52">
      <c r="A52" t="inlineStr">
        <is>
          <t>AMAT US 11/07/25 C235</t>
        </is>
      </c>
      <c r="B52" s="5" t="n">
        <v>-3</v>
      </c>
      <c r="C52" s="5" t="n">
        <v>-3</v>
      </c>
      <c r="D52" s="3" t="n">
        <v>7.89</v>
      </c>
      <c r="E52" s="3" t="n">
        <v>2.2</v>
      </c>
      <c r="F52" s="3" t="n">
        <v>7.89</v>
      </c>
      <c r="G52" s="3" t="n">
        <v>2.2</v>
      </c>
      <c r="H52" s="3">
        <f>(E52-D52)*C52*100</f>
        <v/>
      </c>
      <c r="I52" s="3">
        <f>(G52-F52)*C52*100</f>
        <v/>
      </c>
    </row>
    <row r="53">
      <c r="A53" t="inlineStr">
        <is>
          <t>AMD US 11/07/25 C260</t>
        </is>
      </c>
      <c r="B53" s="5" t="n">
        <v>-6</v>
      </c>
      <c r="C53" s="5" t="n">
        <v>-6</v>
      </c>
      <c r="D53" s="3" t="n">
        <v>3.81</v>
      </c>
      <c r="E53" s="3" t="n">
        <v>0.04</v>
      </c>
      <c r="F53" s="3" t="n">
        <v>3.81</v>
      </c>
      <c r="G53" s="3" t="n">
        <v>0.04</v>
      </c>
      <c r="H53" s="3">
        <f>(E53-D53)*C53*100</f>
        <v/>
      </c>
      <c r="I53" s="3">
        <f>(G53-F53)*C53*100</f>
        <v/>
      </c>
    </row>
    <row r="54">
      <c r="A54" t="inlineStr">
        <is>
          <t>AMGN US 11/07/25 C297.5</t>
        </is>
      </c>
      <c r="B54" s="5" t="n">
        <v>-2</v>
      </c>
      <c r="C54" s="5" t="n">
        <v>-2</v>
      </c>
      <c r="D54" s="3" t="n">
        <v>22.5</v>
      </c>
      <c r="E54" s="3" t="n">
        <v>19.11</v>
      </c>
      <c r="F54" s="3" t="n">
        <v>22.5</v>
      </c>
      <c r="G54" s="3" t="n">
        <v>19.11</v>
      </c>
      <c r="H54" s="3">
        <f>(E54-D54)*C54*100</f>
        <v/>
      </c>
      <c r="I54" s="3">
        <f>(G54-F54)*C54*100</f>
        <v/>
      </c>
    </row>
    <row r="55">
      <c r="A55" t="inlineStr">
        <is>
          <t>AMZN US 11/07/25 C245</t>
        </is>
      </c>
      <c r="B55" s="5" t="n">
        <v>-28</v>
      </c>
      <c r="C55" s="5" t="n">
        <v>-28</v>
      </c>
      <c r="D55" s="3" t="n">
        <v>6.22</v>
      </c>
      <c r="E55" s="3" t="n">
        <v>1.04</v>
      </c>
      <c r="F55" s="3" t="n">
        <v>6.22</v>
      </c>
      <c r="G55" s="3" t="n">
        <v>1.04</v>
      </c>
      <c r="H55" s="3">
        <f>(E55-D55)*C55*100</f>
        <v/>
      </c>
      <c r="I55" s="3">
        <f>(G55-F55)*C55*100</f>
        <v/>
      </c>
    </row>
    <row r="56">
      <c r="A56" t="inlineStr">
        <is>
          <t>AVGO US 11/07/25 C372.5</t>
        </is>
      </c>
      <c r="B56" s="5" t="n">
        <v>-19</v>
      </c>
      <c r="C56" s="5" t="n">
        <v>-19</v>
      </c>
      <c r="D56" s="3" t="n">
        <v>1.31</v>
      </c>
      <c r="E56" s="3" t="n">
        <v>0.25</v>
      </c>
      <c r="F56" s="3" t="n">
        <v>1.31</v>
      </c>
      <c r="G56" s="3" t="n">
        <v>0.25</v>
      </c>
      <c r="H56" s="3">
        <f>(E56-D56)*C56*100</f>
        <v/>
      </c>
      <c r="I56" s="3">
        <f>(G56-F56)*C56*100</f>
        <v/>
      </c>
    </row>
    <row r="57">
      <c r="A57" t="inlineStr">
        <is>
          <t>AXP US 11/07/25 C360</t>
        </is>
      </c>
      <c r="B57" s="5" t="n">
        <v>-3</v>
      </c>
      <c r="C57" s="5" t="n">
        <v>-3</v>
      </c>
      <c r="D57" s="3" t="n">
        <v>7.47</v>
      </c>
      <c r="E57" s="3" t="n">
        <v>7.38</v>
      </c>
      <c r="F57" s="3" t="n">
        <v>7.47</v>
      </c>
      <c r="G57" s="3" t="n">
        <v>7.38</v>
      </c>
      <c r="H57" s="3">
        <f>(E57-D57)*C57*100</f>
        <v/>
      </c>
      <c r="I57" s="3">
        <f>(G57-F57)*C57*100</f>
        <v/>
      </c>
    </row>
    <row r="58">
      <c r="A58" t="inlineStr">
        <is>
          <t>BA US 11/07/25 C200</t>
        </is>
      </c>
      <c r="B58" s="5" t="n">
        <v>-4</v>
      </c>
      <c r="C58" s="5" t="n">
        <v>-4</v>
      </c>
      <c r="D58" s="3" t="n">
        <v>1.22</v>
      </c>
      <c r="E58" s="3" t="n">
        <v>0.45</v>
      </c>
      <c r="F58" s="3" t="n">
        <v>1.22</v>
      </c>
      <c r="G58" s="3" t="n">
        <v>0.45</v>
      </c>
      <c r="H58" s="3">
        <f>(E58-D58)*C58*100</f>
        <v/>
      </c>
      <c r="I58" s="3">
        <f>(G58-F58)*C58*100</f>
        <v/>
      </c>
    </row>
    <row r="59">
      <c r="A59" t="inlineStr">
        <is>
          <t>BAC US 11/07/25 C53.5</t>
        </is>
      </c>
      <c r="B59" s="5" t="n">
        <v>-26</v>
      </c>
      <c r="C59" s="5" t="n">
        <v>-26</v>
      </c>
      <c r="D59" s="3" t="n">
        <v>0.15</v>
      </c>
      <c r="E59" s="3" t="n">
        <v>0.25</v>
      </c>
      <c r="F59" s="3" t="n">
        <v>0.15</v>
      </c>
      <c r="G59" s="3" t="n">
        <v>0.25</v>
      </c>
      <c r="H59" s="3">
        <f>(E59-D59)*C59*100</f>
        <v/>
      </c>
      <c r="I59" s="3">
        <f>(G59-F59)*C59*100</f>
        <v/>
      </c>
    </row>
    <row r="60">
      <c r="A60" t="inlineStr">
        <is>
          <t>BLK US 11/07/25 C1085</t>
        </is>
      </c>
      <c r="B60" s="5" t="n">
        <v>-1</v>
      </c>
      <c r="C60" s="5" t="n">
        <v>-1</v>
      </c>
      <c r="D60" s="3" t="n">
        <v>4</v>
      </c>
      <c r="E60" s="3" t="n">
        <v>1.45</v>
      </c>
      <c r="F60" s="3" t="n">
        <v>4</v>
      </c>
      <c r="G60" s="3" t="n">
        <v>1.45</v>
      </c>
      <c r="H60" s="3">
        <f>(E60-D60)*C60*100</f>
        <v/>
      </c>
      <c r="I60" s="3">
        <f>(G60-F60)*C60*100</f>
        <v/>
      </c>
    </row>
    <row r="61">
      <c r="A61" t="inlineStr">
        <is>
          <t>BMY US 11/07/25 C46</t>
        </is>
      </c>
      <c r="B61" s="5" t="n">
        <v>-8</v>
      </c>
      <c r="C61" s="5" t="n">
        <v>-8</v>
      </c>
      <c r="D61" s="3" t="n">
        <v>0.72</v>
      </c>
      <c r="E61" s="3" t="n">
        <v>0.87</v>
      </c>
      <c r="F61" s="3" t="n">
        <v>0.72</v>
      </c>
      <c r="G61" s="3" t="n">
        <v>0.87</v>
      </c>
      <c r="H61" s="3">
        <f>(E61-D61)*C61*100</f>
        <v/>
      </c>
      <c r="I61" s="3">
        <f>(G61-F61)*C61*100</f>
        <v/>
      </c>
    </row>
    <row r="62">
      <c r="A62" t="inlineStr">
        <is>
          <t>C US 11/07/25 C101</t>
        </is>
      </c>
      <c r="B62" s="5" t="n">
        <v>-7</v>
      </c>
      <c r="C62" s="5" t="n">
        <v>-7</v>
      </c>
      <c r="D62" s="3" t="n">
        <v>1.55</v>
      </c>
      <c r="E62" s="3" t="n">
        <v>0.75</v>
      </c>
      <c r="F62" s="3" t="n">
        <v>1.55</v>
      </c>
      <c r="G62" s="3" t="n">
        <v>0.75</v>
      </c>
      <c r="H62" s="3">
        <f>(E62-D62)*C62*100</f>
        <v/>
      </c>
      <c r="I62" s="3">
        <f>(G62-F62)*C62*100</f>
        <v/>
      </c>
    </row>
    <row r="63">
      <c r="A63" t="inlineStr">
        <is>
          <t>CAT US 11/07/25 C580</t>
        </is>
      </c>
      <c r="B63" s="5" t="n">
        <v>-3</v>
      </c>
      <c r="C63" s="5" t="n">
        <v>-3</v>
      </c>
      <c r="D63" s="3" t="n">
        <v>3.3</v>
      </c>
      <c r="E63" s="3" t="n">
        <v>1.3</v>
      </c>
      <c r="F63" s="3" t="n">
        <v>3.3</v>
      </c>
      <c r="G63" s="3" t="n">
        <v>1.3</v>
      </c>
      <c r="H63" s="3">
        <f>(E63-D63)*C63*100</f>
        <v/>
      </c>
      <c r="I63" s="3">
        <f>(G63-F63)*C63*100</f>
        <v/>
      </c>
    </row>
    <row r="64">
      <c r="A64" t="inlineStr">
        <is>
          <t>CL US 11/07/25 C77</t>
        </is>
      </c>
      <c r="B64" s="5" t="n">
        <v>-3</v>
      </c>
      <c r="C64" s="5" t="n">
        <v>-3</v>
      </c>
      <c r="D64" s="3" t="n">
        <v>0.55</v>
      </c>
      <c r="E64" s="3" t="n">
        <v>0.7</v>
      </c>
      <c r="F64" s="3" t="n">
        <v>0.55</v>
      </c>
      <c r="G64" s="3" t="n">
        <v>0.7</v>
      </c>
      <c r="H64" s="3">
        <f>(E64-D64)*C64*100</f>
        <v/>
      </c>
      <c r="I64" s="3">
        <f>(G64-F64)*C64*100</f>
        <v/>
      </c>
    </row>
    <row r="65">
      <c r="A65" t="inlineStr">
        <is>
          <t>CMCSA US 11/07/25 C27.5</t>
        </is>
      </c>
      <c r="B65" s="5" t="n">
        <v>-11</v>
      </c>
      <c r="C65" s="5" t="n">
        <v>-11</v>
      </c>
      <c r="D65" s="3" t="n">
        <v>0.64</v>
      </c>
      <c r="E65" s="3" t="n">
        <v>0.25</v>
      </c>
      <c r="F65" s="3" t="n">
        <v>0.64</v>
      </c>
      <c r="G65" s="3" t="n">
        <v>0.25</v>
      </c>
      <c r="H65" s="3">
        <f>(E65-D65)*C65*100</f>
        <v/>
      </c>
      <c r="I65" s="3">
        <f>(G65-F65)*C65*100</f>
        <v/>
      </c>
    </row>
    <row r="66">
      <c r="A66" t="inlineStr">
        <is>
          <t>COP US 11/07/25 C89</t>
        </is>
      </c>
      <c r="B66" s="5" t="n">
        <v>-7</v>
      </c>
      <c r="C66" s="5" t="n">
        <v>-7</v>
      </c>
      <c r="D66" s="3" t="n">
        <v>0.79</v>
      </c>
      <c r="E66" s="3" t="n">
        <v>0.1</v>
      </c>
      <c r="F66" s="3" t="n">
        <v>0.79</v>
      </c>
      <c r="G66" s="3" t="n">
        <v>0.1</v>
      </c>
      <c r="H66" s="3">
        <f>(E66-D66)*C66*100</f>
        <v/>
      </c>
      <c r="I66" s="3">
        <f>(G66-F66)*C66*100</f>
        <v/>
      </c>
    </row>
    <row r="67">
      <c r="A67" t="inlineStr">
        <is>
          <t>CRM US 11/07/25 C260</t>
        </is>
      </c>
      <c r="B67" s="5" t="n">
        <v>-4</v>
      </c>
      <c r="C67" s="5" t="n">
        <v>-4</v>
      </c>
      <c r="D67" s="3" t="n">
        <v>0.85</v>
      </c>
      <c r="E67" s="3" t="n">
        <v>0.03</v>
      </c>
      <c r="F67" s="3" t="n">
        <v>0.85</v>
      </c>
      <c r="G67" s="3" t="n">
        <v>0.03</v>
      </c>
      <c r="H67" s="3">
        <f>(E67-D67)*C67*100</f>
        <v/>
      </c>
      <c r="I67" s="3">
        <f>(G67-F67)*C67*100</f>
        <v/>
      </c>
    </row>
    <row r="68">
      <c r="A68" t="inlineStr">
        <is>
          <t>CSCO US 11/07/25 C73</t>
        </is>
      </c>
      <c r="B68" s="5" t="n">
        <v>-44</v>
      </c>
      <c r="C68" s="5" t="n">
        <v>-44</v>
      </c>
      <c r="D68" s="3" t="n">
        <v>0.26</v>
      </c>
      <c r="E68" s="3" t="n">
        <v>0.07000000000000001</v>
      </c>
      <c r="F68" s="3" t="n">
        <v>0.26</v>
      </c>
      <c r="G68" s="3" t="n">
        <v>0.07000000000000001</v>
      </c>
      <c r="H68" s="3">
        <f>(E68-D68)*C68*100</f>
        <v/>
      </c>
      <c r="I68" s="3">
        <f>(G68-F68)*C68*100</f>
        <v/>
      </c>
    </row>
    <row r="69">
      <c r="A69" t="inlineStr">
        <is>
          <t>CVS US 11/07/25 C78</t>
        </is>
      </c>
      <c r="B69" s="5" t="n">
        <v>-8</v>
      </c>
      <c r="C69" s="5" t="n">
        <v>-8</v>
      </c>
      <c r="D69" s="3" t="n">
        <v>1.22</v>
      </c>
      <c r="E69" s="3" t="n">
        <v>1.1</v>
      </c>
      <c r="F69" s="3" t="n">
        <v>1.22</v>
      </c>
      <c r="G69" s="3" t="n">
        <v>1.1</v>
      </c>
      <c r="H69" s="3">
        <f>(E69-D69)*C69*100</f>
        <v/>
      </c>
      <c r="I69" s="3">
        <f>(G69-F69)*C69*100</f>
        <v/>
      </c>
    </row>
    <row r="70">
      <c r="A70" t="inlineStr">
        <is>
          <t>CVX US 11/07/25 C157.5</t>
        </is>
      </c>
      <c r="B70" s="5" t="n">
        <v>-8</v>
      </c>
      <c r="C70" s="5" t="n">
        <v>-8</v>
      </c>
      <c r="D70" s="3" t="n">
        <v>0.09</v>
      </c>
      <c r="E70" s="3" t="n">
        <v>0.05</v>
      </c>
      <c r="F70" s="3" t="n">
        <v>0.09</v>
      </c>
      <c r="G70" s="3" t="n">
        <v>0.05</v>
      </c>
      <c r="H70" s="3">
        <f>(E70-D70)*C70*100</f>
        <v/>
      </c>
      <c r="I70" s="3">
        <f>(G70-F70)*C70*100</f>
        <v/>
      </c>
    </row>
    <row r="71">
      <c r="A71" t="inlineStr">
        <is>
          <t>DE US 11/07/25 C462.5</t>
        </is>
      </c>
      <c r="B71" s="5" t="n">
        <v>-2</v>
      </c>
      <c r="C71" s="5" t="n">
        <v>-2</v>
      </c>
      <c r="D71" s="3" t="n">
        <v>13.63</v>
      </c>
      <c r="E71" s="3" t="n">
        <v>15.02</v>
      </c>
      <c r="F71" s="3" t="n">
        <v>13.63</v>
      </c>
      <c r="G71" s="3" t="n">
        <v>15.02</v>
      </c>
      <c r="H71" s="3">
        <f>(E71-D71)*C71*100</f>
        <v/>
      </c>
      <c r="I71" s="3">
        <f>(G71-F71)*C71*100</f>
        <v/>
      </c>
    </row>
    <row r="72">
      <c r="A72" t="inlineStr">
        <is>
          <t>DHR US 11/07/25 C215</t>
        </is>
      </c>
      <c r="B72" s="5" t="n">
        <v>-3</v>
      </c>
      <c r="C72" s="5" t="n">
        <v>-3</v>
      </c>
      <c r="D72" s="3" t="n">
        <v>0.8</v>
      </c>
      <c r="E72" s="3" t="n">
        <v>0.25</v>
      </c>
      <c r="F72" s="3" t="n">
        <v>0.8</v>
      </c>
      <c r="G72" s="3" t="n">
        <v>0.25</v>
      </c>
      <c r="H72" s="3">
        <f>(E72-D72)*C72*100</f>
        <v/>
      </c>
      <c r="I72" s="3">
        <f>(G72-F72)*C72*100</f>
        <v/>
      </c>
    </row>
    <row r="73">
      <c r="A73" t="inlineStr">
        <is>
          <t>DIS US 11/07/25 C113</t>
        </is>
      </c>
      <c r="B73" s="5" t="n">
        <v>-5</v>
      </c>
      <c r="C73" s="5" t="n">
        <v>-5</v>
      </c>
      <c r="D73" s="3" t="n">
        <v>0.35</v>
      </c>
      <c r="E73" s="3" t="n">
        <v>0.05</v>
      </c>
      <c r="F73" s="3" t="n">
        <v>0.35</v>
      </c>
      <c r="G73" s="3" t="n">
        <v>0.05</v>
      </c>
      <c r="H73" s="3">
        <f>(E73-D73)*C73*100</f>
        <v/>
      </c>
      <c r="I73" s="3">
        <f>(G73-F73)*C73*100</f>
        <v/>
      </c>
    </row>
    <row r="74">
      <c r="A74" t="inlineStr">
        <is>
          <t>EMR US 11/07/25 C140</t>
        </is>
      </c>
      <c r="B74" s="5" t="n">
        <v>-3</v>
      </c>
      <c r="C74" s="5" t="n">
        <v>-3</v>
      </c>
      <c r="D74" s="3" t="n">
        <v>0.4</v>
      </c>
      <c r="E74" s="3" t="n">
        <v>0.1</v>
      </c>
      <c r="F74" s="3" t="n">
        <v>0.4</v>
      </c>
      <c r="G74" s="3" t="n">
        <v>0.1</v>
      </c>
      <c r="H74" s="3">
        <f>(E74-D74)*C74*100</f>
        <v/>
      </c>
      <c r="I74" s="3">
        <f>(G74-F74)*C74*100</f>
        <v/>
      </c>
    </row>
    <row r="75">
      <c r="A75" t="inlineStr">
        <is>
          <t>ETN US 11/07/25 C385</t>
        </is>
      </c>
      <c r="B75" s="5" t="n">
        <v>-2</v>
      </c>
      <c r="C75" s="5" t="n">
        <v>-2</v>
      </c>
      <c r="D75" s="3" t="n">
        <v>7.59</v>
      </c>
      <c r="E75" s="3" t="n">
        <v>0.8</v>
      </c>
      <c r="F75" s="3" t="n">
        <v>7.59</v>
      </c>
      <c r="G75" s="3" t="n">
        <v>0.8</v>
      </c>
      <c r="H75" s="3">
        <f>(E75-D75)*C75*100</f>
        <v/>
      </c>
      <c r="I75" s="3">
        <f>(G75-F75)*C75*100</f>
        <v/>
      </c>
    </row>
    <row r="76">
      <c r="A76" t="inlineStr">
        <is>
          <t>FDX US 11/07/25 C255</t>
        </is>
      </c>
      <c r="B76" s="5" t="n">
        <v>-1</v>
      </c>
      <c r="C76" s="5" t="n">
        <v>-1</v>
      </c>
      <c r="D76" s="3" t="n">
        <v>3.85</v>
      </c>
      <c r="E76" s="3" t="n">
        <v>4.83</v>
      </c>
      <c r="F76" s="3" t="n">
        <v>3.85</v>
      </c>
      <c r="G76" s="3" t="n">
        <v>4.83</v>
      </c>
      <c r="H76" s="3">
        <f>(E76-D76)*C76*100</f>
        <v/>
      </c>
      <c r="I76" s="3">
        <f>(G76-F76)*C76*100</f>
        <v/>
      </c>
    </row>
    <row r="77">
      <c r="A77" t="inlineStr">
        <is>
          <t>GE US 11/07/25 C310</t>
        </is>
      </c>
      <c r="B77" s="5" t="n">
        <v>-6</v>
      </c>
      <c r="C77" s="5" t="n">
        <v>-6</v>
      </c>
      <c r="D77" s="3" t="n">
        <v>1.5</v>
      </c>
      <c r="E77" s="3" t="n">
        <v>0.75</v>
      </c>
      <c r="F77" s="3" t="n">
        <v>1.5</v>
      </c>
      <c r="G77" s="3" t="n">
        <v>0.75</v>
      </c>
      <c r="H77" s="3">
        <f>(E77-D77)*C77*100</f>
        <v/>
      </c>
      <c r="I77" s="3">
        <f>(G77-F77)*C77*100</f>
        <v/>
      </c>
    </row>
    <row r="78">
      <c r="A78" t="inlineStr">
        <is>
          <t>GILD US 11/07/25 C120</t>
        </is>
      </c>
      <c r="B78" s="5" t="n">
        <v>-5</v>
      </c>
      <c r="C78" s="5" t="n">
        <v>-5</v>
      </c>
      <c r="D78" s="3" t="n">
        <v>3.08</v>
      </c>
      <c r="E78" s="3" t="n">
        <v>3.8</v>
      </c>
      <c r="F78" s="3" t="n">
        <v>3.08</v>
      </c>
      <c r="G78" s="3" t="n">
        <v>3.8</v>
      </c>
      <c r="H78" s="3">
        <f>(E78-D78)*C78*100</f>
        <v/>
      </c>
      <c r="I78" s="3">
        <f>(G78-F78)*C78*100</f>
        <v/>
      </c>
    </row>
    <row r="79">
      <c r="A79" t="inlineStr">
        <is>
          <t>GOOG US 11/07/25 C282.5</t>
        </is>
      </c>
      <c r="B79" s="5" t="n">
        <v>-14</v>
      </c>
      <c r="C79" s="5" t="n">
        <v>-14</v>
      </c>
      <c r="D79" s="3" t="n">
        <v>4.34</v>
      </c>
      <c r="E79" s="3" t="n">
        <v>3.88</v>
      </c>
      <c r="F79" s="3" t="n">
        <v>4.34</v>
      </c>
      <c r="G79" s="3" t="n">
        <v>3.88</v>
      </c>
      <c r="H79" s="3">
        <f>(E79-D79)*C79*100</f>
        <v/>
      </c>
      <c r="I79" s="3">
        <f>(G79-F79)*C79*100</f>
        <v/>
      </c>
    </row>
    <row r="80">
      <c r="A80" t="inlineStr">
        <is>
          <t>GOOGL US 11/07/25 C280</t>
        </is>
      </c>
      <c r="B80" s="5" t="n">
        <v>-17</v>
      </c>
      <c r="C80" s="5" t="n">
        <v>-17</v>
      </c>
      <c r="D80" s="3" t="n">
        <v>5.74</v>
      </c>
      <c r="E80" s="3" t="n">
        <v>5.53</v>
      </c>
      <c r="F80" s="3" t="n">
        <v>5.74</v>
      </c>
      <c r="G80" s="3" t="n">
        <v>5.53</v>
      </c>
      <c r="H80" s="3">
        <f>(E80-D80)*C80*100</f>
        <v/>
      </c>
      <c r="I80" s="3">
        <f>(G80-F80)*C80*100</f>
        <v/>
      </c>
    </row>
    <row r="81">
      <c r="A81" t="inlineStr">
        <is>
          <t>GS US 11/07/25 C790</t>
        </is>
      </c>
      <c r="B81" s="5" t="n">
        <v>-1</v>
      </c>
      <c r="C81" s="5" t="n">
        <v>-1</v>
      </c>
      <c r="D81" s="3" t="n">
        <v>9.52</v>
      </c>
      <c r="E81" s="3" t="n">
        <v>4.05</v>
      </c>
      <c r="F81" s="3" t="n">
        <v>9.52</v>
      </c>
      <c r="G81" s="3" t="n">
        <v>4.05</v>
      </c>
      <c r="H81" s="3">
        <f>(E81-D81)*C81*100</f>
        <v/>
      </c>
      <c r="I81" s="3">
        <f>(G81-F81)*C81*100</f>
        <v/>
      </c>
    </row>
    <row r="82">
      <c r="A82" t="inlineStr">
        <is>
          <t>HD US 11/07/25 C380</t>
        </is>
      </c>
      <c r="B82" s="5" t="n">
        <v>-3</v>
      </c>
      <c r="C82" s="5" t="n">
        <v>-3</v>
      </c>
      <c r="D82" s="3" t="n">
        <v>1</v>
      </c>
      <c r="E82" s="3" t="n">
        <v>0.1</v>
      </c>
      <c r="F82" s="3" t="n">
        <v>1</v>
      </c>
      <c r="G82" s="3" t="n">
        <v>0.1</v>
      </c>
      <c r="H82" s="3">
        <f>(E82-D82)*C82*100</f>
        <v/>
      </c>
      <c r="I82" s="3">
        <f>(G82-F82)*C82*100</f>
        <v/>
      </c>
    </row>
    <row r="83">
      <c r="A83" t="inlineStr">
        <is>
          <t>HON US 11/07/25 C202.5</t>
        </is>
      </c>
      <c r="B83" s="5" t="n">
        <v>-4</v>
      </c>
      <c r="C83" s="5" t="n">
        <v>-4</v>
      </c>
      <c r="D83" s="3" t="n">
        <v>0.35</v>
      </c>
      <c r="E83" s="3" t="n">
        <v>2.15</v>
      </c>
      <c r="F83" s="3" t="n">
        <v>0.35</v>
      </c>
      <c r="G83" s="3" t="n">
        <v>2.15</v>
      </c>
      <c r="H83" s="3">
        <f>(E83-D83)*C83*100</f>
        <v/>
      </c>
      <c r="I83" s="3">
        <f>(G83-F83)*C83*100</f>
        <v/>
      </c>
    </row>
    <row r="84">
      <c r="A84" t="inlineStr">
        <is>
          <t>IBM US 11/07/25 C310</t>
        </is>
      </c>
      <c r="B84" s="5" t="n">
        <v>-4</v>
      </c>
      <c r="C84" s="5" t="n">
        <v>-4</v>
      </c>
      <c r="D84" s="3" t="n">
        <v>1.8</v>
      </c>
      <c r="E84" s="3" t="n">
        <v>4.29</v>
      </c>
      <c r="F84" s="3" t="n">
        <v>1.8</v>
      </c>
      <c r="G84" s="3" t="n">
        <v>4.29</v>
      </c>
      <c r="H84" s="3">
        <f>(E84-D84)*C84*100</f>
        <v/>
      </c>
      <c r="I84" s="3">
        <f>(G84-F84)*C84*100</f>
        <v/>
      </c>
    </row>
    <row r="85">
      <c r="A85" t="inlineStr">
        <is>
          <t>INTC US 11/07/25 C40</t>
        </is>
      </c>
      <c r="B85" s="5" t="n">
        <v>-17</v>
      </c>
      <c r="C85" s="5" t="n">
        <v>-17</v>
      </c>
      <c r="D85" s="3" t="n">
        <v>0.32</v>
      </c>
      <c r="E85" s="3" t="n">
        <v>0.08</v>
      </c>
      <c r="F85" s="3" t="n">
        <v>0.32</v>
      </c>
      <c r="G85" s="3" t="n">
        <v>0.08</v>
      </c>
      <c r="H85" s="3">
        <f>(E85-D85)*C85*100</f>
        <v/>
      </c>
      <c r="I85" s="3">
        <f>(G85-F85)*C85*100</f>
        <v/>
      </c>
    </row>
    <row r="86">
      <c r="A86" t="inlineStr">
        <is>
          <t>INTU US 11/07/25 C667.5</t>
        </is>
      </c>
      <c r="B86" s="5" t="n">
        <v>-1</v>
      </c>
      <c r="C86" s="5" t="n">
        <v>-1</v>
      </c>
      <c r="D86" s="3" t="n">
        <v>2.05</v>
      </c>
      <c r="E86" s="3" t="n">
        <v>1.36</v>
      </c>
      <c r="F86" s="3" t="n">
        <v>2.05</v>
      </c>
      <c r="G86" s="3" t="n">
        <v>1.36</v>
      </c>
      <c r="H86" s="3">
        <f>(E86-D86)*C86*100</f>
        <v/>
      </c>
      <c r="I86" s="3">
        <f>(G86-F86)*C86*100</f>
        <v/>
      </c>
    </row>
    <row r="87">
      <c r="A87" t="inlineStr">
        <is>
          <t>ISRG US 11/07/25 C535</t>
        </is>
      </c>
      <c r="B87" s="5" t="n">
        <v>-2</v>
      </c>
      <c r="C87" s="5" t="n">
        <v>-2</v>
      </c>
      <c r="D87" s="3" t="n">
        <v>16.45</v>
      </c>
      <c r="E87" s="3" t="n">
        <v>13</v>
      </c>
      <c r="F87" s="3" t="n">
        <v>16.45</v>
      </c>
      <c r="G87" s="3" t="n">
        <v>13</v>
      </c>
      <c r="H87" s="3">
        <f>(E87-D87)*C87*100</f>
        <v/>
      </c>
      <c r="I87" s="3">
        <f>(G87-F87)*C87*100</f>
        <v/>
      </c>
    </row>
    <row r="88">
      <c r="A88" t="inlineStr">
        <is>
          <t>JNJ US 11/07/25 C190</t>
        </is>
      </c>
      <c r="B88" s="5" t="n">
        <v>-10</v>
      </c>
      <c r="C88" s="5" t="n">
        <v>-10</v>
      </c>
      <c r="D88" s="3" t="n">
        <v>0.18</v>
      </c>
      <c r="E88" s="3" t="n">
        <v>0.14</v>
      </c>
      <c r="F88" s="3" t="n">
        <v>0.18</v>
      </c>
      <c r="G88" s="3" t="n">
        <v>0.14</v>
      </c>
      <c r="H88" s="3">
        <f>(E88-D88)*C88*100</f>
        <v/>
      </c>
      <c r="I88" s="3">
        <f>(G88-F88)*C88*100</f>
        <v/>
      </c>
    </row>
    <row r="89">
      <c r="A89" t="inlineStr">
        <is>
          <t>JPM US 11/07/25 C312.5</t>
        </is>
      </c>
      <c r="B89" s="5" t="n">
        <v>-11</v>
      </c>
      <c r="C89" s="5" t="n">
        <v>-11</v>
      </c>
      <c r="D89" s="3" t="n">
        <v>2.2</v>
      </c>
      <c r="E89" s="3" t="n">
        <v>2.48</v>
      </c>
      <c r="F89" s="3" t="n">
        <v>2.2</v>
      </c>
      <c r="G89" s="3" t="n">
        <v>2.48</v>
      </c>
      <c r="H89" s="3">
        <f>(E89-D89)*C89*100</f>
        <v/>
      </c>
      <c r="I89" s="3">
        <f>(G89-F89)*C89*100</f>
        <v/>
      </c>
    </row>
    <row r="90">
      <c r="A90" t="inlineStr">
        <is>
          <t>KO US 11/07/25 C69</t>
        </is>
      </c>
      <c r="B90" s="5" t="n">
        <v>-15</v>
      </c>
      <c r="C90" s="5" t="n">
        <v>-15</v>
      </c>
      <c r="D90" s="3" t="n">
        <v>0.21</v>
      </c>
      <c r="E90" s="3" t="n">
        <v>0.33</v>
      </c>
      <c r="F90" s="3" t="n">
        <v>0.21</v>
      </c>
      <c r="G90" s="3" t="n">
        <v>0.33</v>
      </c>
      <c r="H90" s="3">
        <f>(E90-D90)*C90*100</f>
        <v/>
      </c>
      <c r="I90" s="3">
        <f>(G90-F90)*C90*100</f>
        <v/>
      </c>
    </row>
    <row r="91">
      <c r="A91" t="inlineStr">
        <is>
          <t>LMT US 11/07/25 C492.5</t>
        </is>
      </c>
      <c r="B91" s="5" t="n">
        <v>-1</v>
      </c>
      <c r="C91" s="5" t="n">
        <v>-1</v>
      </c>
      <c r="D91" s="3" t="n">
        <v>0.2</v>
      </c>
      <c r="E91" s="3" t="n">
        <v>0.48</v>
      </c>
      <c r="F91" s="3" t="n">
        <v>0.2</v>
      </c>
      <c r="G91" s="3" t="n">
        <v>0.48</v>
      </c>
      <c r="H91" s="3">
        <f>(E91-D91)*C91*100</f>
        <v/>
      </c>
      <c r="I91" s="3">
        <f>(G91-F91)*C91*100</f>
        <v/>
      </c>
    </row>
    <row r="92">
      <c r="A92" t="inlineStr">
        <is>
          <t>LOW US 11/07/25 C237.5</t>
        </is>
      </c>
      <c r="B92" s="5" t="n">
        <v>-2</v>
      </c>
      <c r="C92" s="5" t="n">
        <v>-2</v>
      </c>
      <c r="D92" s="3" t="n">
        <v>0.75</v>
      </c>
      <c r="E92" s="3" t="n">
        <v>0.17</v>
      </c>
      <c r="F92" s="3" t="n">
        <v>0.75</v>
      </c>
      <c r="G92" s="3" t="n">
        <v>0.17</v>
      </c>
      <c r="H92" s="3">
        <f>(E92-D92)*C92*100</f>
        <v/>
      </c>
      <c r="I92" s="3">
        <f>(G92-F92)*C92*100</f>
        <v/>
      </c>
    </row>
    <row r="93">
      <c r="A93" t="inlineStr">
        <is>
          <t>MA US 11/07/25 C555</t>
        </is>
      </c>
      <c r="B93" s="5" t="n">
        <v>-4</v>
      </c>
      <c r="C93" s="5" t="n">
        <v>-4</v>
      </c>
      <c r="D93" s="3" t="n">
        <v>3.8</v>
      </c>
      <c r="E93" s="3" t="n">
        <v>2.07</v>
      </c>
      <c r="F93" s="3" t="n">
        <v>3.8</v>
      </c>
      <c r="G93" s="3" t="n">
        <v>2.07</v>
      </c>
      <c r="H93" s="3">
        <f>(E93-D93)*C93*100</f>
        <v/>
      </c>
      <c r="I93" s="3">
        <f>(G93-F93)*C93*100</f>
        <v/>
      </c>
    </row>
    <row r="94">
      <c r="A94" t="inlineStr">
        <is>
          <t>MCD US 11/07/25 C300</t>
        </is>
      </c>
      <c r="B94" s="5" t="n">
        <v>-4</v>
      </c>
      <c r="C94" s="5" t="n">
        <v>-4</v>
      </c>
      <c r="D94" s="3" t="n">
        <v>7.35</v>
      </c>
      <c r="E94" s="3" t="n">
        <v>1</v>
      </c>
      <c r="F94" s="3" t="n">
        <v>7.35</v>
      </c>
      <c r="G94" s="3" t="n">
        <v>1</v>
      </c>
      <c r="H94" s="3">
        <f>(E94-D94)*C94*100</f>
        <v/>
      </c>
      <c r="I94" s="3">
        <f>(G94-F94)*C94*100</f>
        <v/>
      </c>
    </row>
    <row r="95">
      <c r="A95" t="inlineStr">
        <is>
          <t>MDLZ US 11/07/25 C58</t>
        </is>
      </c>
      <c r="B95" s="5" t="n">
        <v>-5</v>
      </c>
      <c r="C95" s="5" t="n">
        <v>-5</v>
      </c>
      <c r="D95" s="3" t="n">
        <v>0.05</v>
      </c>
      <c r="E95" s="3" t="n">
        <v>0.1</v>
      </c>
      <c r="F95" s="3" t="n">
        <v>0.05</v>
      </c>
      <c r="G95" s="3" t="n">
        <v>0.1</v>
      </c>
      <c r="H95" s="3">
        <f>(E95-D95)*C95*100</f>
        <v/>
      </c>
      <c r="I95" s="3">
        <f>(G95-F95)*C95*100</f>
        <v/>
      </c>
    </row>
    <row r="96">
      <c r="A96" t="inlineStr">
        <is>
          <t>MDT US 11/07/25 C91</t>
        </is>
      </c>
      <c r="B96" s="5" t="n">
        <v>-8</v>
      </c>
      <c r="C96" s="5" t="n">
        <v>-8</v>
      </c>
      <c r="D96" s="3" t="n">
        <v>0.34</v>
      </c>
      <c r="E96" s="3" t="n">
        <v>0.35</v>
      </c>
      <c r="F96" s="3" t="n">
        <v>0.34</v>
      </c>
      <c r="G96" s="3" t="n">
        <v>0.35</v>
      </c>
      <c r="H96" s="3">
        <f>(E96-D96)*C96*100</f>
        <v/>
      </c>
      <c r="I96" s="3">
        <f>(G96-F96)*C96*100</f>
        <v/>
      </c>
    </row>
    <row r="97">
      <c r="A97" t="inlineStr">
        <is>
          <t>META US 11/07/25 C650</t>
        </is>
      </c>
      <c r="B97" s="5" t="n">
        <v>-6</v>
      </c>
      <c r="C97" s="5" t="n">
        <v>-6</v>
      </c>
      <c r="D97" s="3" t="n">
        <v>2.76</v>
      </c>
      <c r="E97" s="3" t="n">
        <v>0.17</v>
      </c>
      <c r="F97" s="3" t="n">
        <v>2.76</v>
      </c>
      <c r="G97" s="3" t="n">
        <v>0.17</v>
      </c>
      <c r="H97" s="3">
        <f>(E97-D97)*C97*100</f>
        <v/>
      </c>
      <c r="I97" s="3">
        <f>(G97-F97)*C97*100</f>
        <v/>
      </c>
    </row>
    <row r="98">
      <c r="A98" t="inlineStr">
        <is>
          <t>MMM US 11/07/25 C167.5</t>
        </is>
      </c>
      <c r="B98" s="5" t="n">
        <v>-3</v>
      </c>
      <c r="C98" s="5" t="n">
        <v>-3</v>
      </c>
      <c r="D98" s="3" t="n">
        <v>0.46</v>
      </c>
      <c r="E98" s="3" t="n">
        <v>0.18</v>
      </c>
      <c r="F98" s="3" t="n">
        <v>0.46</v>
      </c>
      <c r="G98" s="3" t="n">
        <v>0.18</v>
      </c>
      <c r="H98" s="3">
        <f>(E98-D98)*C98*100</f>
        <v/>
      </c>
      <c r="I98" s="3">
        <f>(G98-F98)*C98*100</f>
        <v/>
      </c>
    </row>
    <row r="99">
      <c r="A99" t="inlineStr">
        <is>
          <t>MO US 11/07/25 C57</t>
        </is>
      </c>
      <c r="B99" s="5" t="n">
        <v>-7</v>
      </c>
      <c r="C99" s="5" t="n">
        <v>-7</v>
      </c>
      <c r="D99" s="3" t="n">
        <v>0.48</v>
      </c>
      <c r="E99" s="3" t="n">
        <v>0.38</v>
      </c>
      <c r="F99" s="3" t="n">
        <v>0.48</v>
      </c>
      <c r="G99" s="3" t="n">
        <v>0.38</v>
      </c>
      <c r="H99" s="3">
        <f>(E99-D99)*C99*100</f>
        <v/>
      </c>
      <c r="I99" s="3">
        <f>(G99-F99)*C99*100</f>
        <v/>
      </c>
    </row>
    <row r="100">
      <c r="A100" t="inlineStr">
        <is>
          <t>MRK US 11/07/25 C86</t>
        </is>
      </c>
      <c r="B100" s="5" t="n">
        <v>-10</v>
      </c>
      <c r="C100" s="5" t="n">
        <v>-10</v>
      </c>
      <c r="D100" s="3" t="n">
        <v>0.32</v>
      </c>
      <c r="E100" s="3" t="n">
        <v>0.63</v>
      </c>
      <c r="F100" s="3" t="n">
        <v>0.32</v>
      </c>
      <c r="G100" s="3" t="n">
        <v>0.63</v>
      </c>
      <c r="H100" s="3">
        <f>(E100-D100)*C100*100</f>
        <v/>
      </c>
      <c r="I100" s="3">
        <f>(G100-F100)*C100*100</f>
        <v/>
      </c>
    </row>
    <row r="101">
      <c r="A101" t="inlineStr">
        <is>
          <t>MS US 11/07/25 C165</t>
        </is>
      </c>
      <c r="B101" s="5" t="n">
        <v>-6</v>
      </c>
      <c r="C101" s="5" t="n">
        <v>-6</v>
      </c>
      <c r="D101" s="3" t="n">
        <v>1.95</v>
      </c>
      <c r="E101" s="3" t="n">
        <v>0.63</v>
      </c>
      <c r="F101" s="3" t="n">
        <v>1.95</v>
      </c>
      <c r="G101" s="3" t="n">
        <v>0.63</v>
      </c>
      <c r="H101" s="3">
        <f>(E101-D101)*C101*100</f>
        <v/>
      </c>
      <c r="I101" s="3">
        <f>(G101-F101)*C101*100</f>
        <v/>
      </c>
    </row>
    <row r="102">
      <c r="A102" t="inlineStr">
        <is>
          <t>MSFT US 11/07/25 C520</t>
        </is>
      </c>
      <c r="B102" s="5" t="n">
        <v>-21</v>
      </c>
      <c r="C102" s="5" t="n">
        <v>-21</v>
      </c>
      <c r="D102" s="3" t="n">
        <v>0.52</v>
      </c>
      <c r="E102" s="3" t="n">
        <v>0.02</v>
      </c>
      <c r="F102" s="3" t="n">
        <v>0.52</v>
      </c>
      <c r="G102" s="3" t="n">
        <v>0.02</v>
      </c>
      <c r="H102" s="3">
        <f>(E102-D102)*C102*100</f>
        <v/>
      </c>
      <c r="I102" s="3">
        <f>(G102-F102)*C102*100</f>
        <v/>
      </c>
    </row>
    <row r="103">
      <c r="A103" t="inlineStr">
        <is>
          <t>NEE US 11/07/25 C82</t>
        </is>
      </c>
      <c r="B103" s="5" t="n">
        <v>-20</v>
      </c>
      <c r="C103" s="5" t="n">
        <v>-20</v>
      </c>
      <c r="D103" s="3" t="n">
        <v>0.75</v>
      </c>
      <c r="E103" s="3" t="n">
        <v>0.83</v>
      </c>
      <c r="F103" s="3" t="n">
        <v>0.75</v>
      </c>
      <c r="G103" s="3" t="n">
        <v>0.83</v>
      </c>
      <c r="H103" s="3">
        <f>(E103-D103)*C103*100</f>
        <v/>
      </c>
      <c r="I103" s="3">
        <f>(G103-F103)*C103*100</f>
        <v/>
      </c>
    </row>
    <row r="104">
      <c r="A104" t="inlineStr">
        <is>
          <t>NFLX US 11/07/25 C1125</t>
        </is>
      </c>
      <c r="B104" s="5" t="n">
        <v>-1</v>
      </c>
      <c r="C104" s="5" t="n">
        <v>-1</v>
      </c>
      <c r="D104" s="3" t="n">
        <v>2.62</v>
      </c>
      <c r="E104" s="3" t="n">
        <v>0.93</v>
      </c>
      <c r="F104" s="3" t="n">
        <v>2.62</v>
      </c>
      <c r="G104" s="3" t="n">
        <v>0.93</v>
      </c>
      <c r="H104" s="3">
        <f>(E104-D104)*C104*100</f>
        <v/>
      </c>
      <c r="I104" s="3">
        <f>(G104-F104)*C104*100</f>
        <v/>
      </c>
    </row>
    <row r="105">
      <c r="A105" t="inlineStr">
        <is>
          <t>NKE US 11/07/25 C64</t>
        </is>
      </c>
      <c r="B105" s="5" t="n">
        <v>-13</v>
      </c>
      <c r="C105" s="5" t="n">
        <v>-13</v>
      </c>
      <c r="D105" s="3" t="n">
        <v>0.21</v>
      </c>
      <c r="E105" s="3" t="n">
        <v>0.06</v>
      </c>
      <c r="F105" s="3" t="n">
        <v>0.21</v>
      </c>
      <c r="G105" s="3" t="n">
        <v>0.06</v>
      </c>
      <c r="H105" s="3">
        <f>(E105-D105)*C105*100</f>
        <v/>
      </c>
      <c r="I105" s="3">
        <f>(G105-F105)*C105*100</f>
        <v/>
      </c>
    </row>
    <row r="106">
      <c r="A106" t="inlineStr">
        <is>
          <t>NOW US 11/07/25 C915</t>
        </is>
      </c>
      <c r="B106" s="5" t="n">
        <v>-1</v>
      </c>
      <c r="C106" s="5" t="n">
        <v>-1</v>
      </c>
      <c r="D106" s="3" t="n">
        <v>1.4</v>
      </c>
      <c r="E106" s="3" t="n">
        <v>0.15</v>
      </c>
      <c r="F106" s="3" t="n">
        <v>1.4</v>
      </c>
      <c r="G106" s="3" t="n">
        <v>0.15</v>
      </c>
      <c r="H106" s="3">
        <f>(E106-D106)*C106*100</f>
        <v/>
      </c>
      <c r="I106" s="3">
        <f>(G106-F106)*C106*100</f>
        <v/>
      </c>
    </row>
    <row r="107">
      <c r="A107" t="inlineStr">
        <is>
          <t>NVDA US 11/07/25 C205</t>
        </is>
      </c>
      <c r="B107" s="5" t="n">
        <v>-71</v>
      </c>
      <c r="C107" s="5" t="n">
        <v>-71</v>
      </c>
      <c r="D107" s="3" t="n">
        <v>0.28</v>
      </c>
      <c r="E107" s="3" t="n">
        <v>0.03</v>
      </c>
      <c r="F107" s="3" t="n">
        <v>0.28</v>
      </c>
      <c r="G107" s="3" t="n">
        <v>0.03</v>
      </c>
      <c r="H107" s="3">
        <f>(E107-D107)*C107*100</f>
        <v/>
      </c>
      <c r="I107" s="3">
        <f>(G107-F107)*C107*100</f>
        <v/>
      </c>
    </row>
    <row r="108">
      <c r="A108" t="inlineStr">
        <is>
          <t>PEP US 11/07/25 C146</t>
        </is>
      </c>
      <c r="B108" s="5" t="n">
        <v>-5</v>
      </c>
      <c r="C108" s="5" t="n">
        <v>-5</v>
      </c>
      <c r="D108" s="3" t="n">
        <v>0.14</v>
      </c>
      <c r="E108" s="3" t="n">
        <v>0.03</v>
      </c>
      <c r="F108" s="3" t="n">
        <v>0.14</v>
      </c>
      <c r="G108" s="3" t="n">
        <v>0.03</v>
      </c>
      <c r="H108" s="3">
        <f>(E108-D108)*C108*100</f>
        <v/>
      </c>
      <c r="I108" s="3">
        <f>(G108-F108)*C108*100</f>
        <v/>
      </c>
    </row>
    <row r="109">
      <c r="A109" t="inlineStr">
        <is>
          <t>PFE US 11/07/25 C24.5</t>
        </is>
      </c>
      <c r="B109" s="5" t="n">
        <v>-22</v>
      </c>
      <c r="C109" s="5" t="n">
        <v>-22</v>
      </c>
      <c r="D109" s="3" t="n">
        <v>0.23</v>
      </c>
      <c r="E109" s="3" t="n">
        <v>0.4</v>
      </c>
      <c r="F109" s="3" t="n">
        <v>0.23</v>
      </c>
      <c r="G109" s="3" t="n">
        <v>0.4</v>
      </c>
      <c r="H109" s="3">
        <f>(E109-D109)*C109*100</f>
        <v/>
      </c>
      <c r="I109" s="3">
        <f>(G109-F109)*C109*100</f>
        <v/>
      </c>
    </row>
    <row r="110">
      <c r="A110" t="inlineStr">
        <is>
          <t>PG US 11/07/25 C150</t>
        </is>
      </c>
      <c r="B110" s="5" t="n">
        <v>-8</v>
      </c>
      <c r="C110" s="5" t="n">
        <v>-8</v>
      </c>
      <c r="D110" s="3" t="n">
        <v>0.06</v>
      </c>
      <c r="E110" s="3" t="n">
        <v>0.02</v>
      </c>
      <c r="F110" s="3" t="n">
        <v>0.06</v>
      </c>
      <c r="G110" s="3" t="n">
        <v>0.02</v>
      </c>
      <c r="H110" s="3">
        <f>(E110-D110)*C110*100</f>
        <v/>
      </c>
      <c r="I110" s="3">
        <f>(G110-F110)*C110*100</f>
        <v/>
      </c>
    </row>
    <row r="111">
      <c r="A111" t="inlineStr">
        <is>
          <t>PM US 11/07/25 C145</t>
        </is>
      </c>
      <c r="B111" s="5" t="n">
        <v>-6</v>
      </c>
      <c r="C111" s="5" t="n">
        <v>-6</v>
      </c>
      <c r="D111" s="3" t="n">
        <v>4.75</v>
      </c>
      <c r="E111" s="3" t="n">
        <v>4.95</v>
      </c>
      <c r="F111" s="3" t="n">
        <v>4.75</v>
      </c>
      <c r="G111" s="3" t="n">
        <v>4.95</v>
      </c>
      <c r="H111" s="3">
        <f>(E111-D111)*C111*100</f>
        <v/>
      </c>
      <c r="I111" s="3">
        <f>(G111-F111)*C111*100</f>
        <v/>
      </c>
    </row>
    <row r="112">
      <c r="A112" t="inlineStr">
        <is>
          <t>PYPL US 11/07/25 C69</t>
        </is>
      </c>
      <c r="B112" s="5" t="n">
        <v>-4</v>
      </c>
      <c r="C112" s="5" t="n">
        <v>-4</v>
      </c>
      <c r="D112" s="3" t="n">
        <v>0.52</v>
      </c>
      <c r="E112" s="3" t="n">
        <v>0.07000000000000001</v>
      </c>
      <c r="F112" s="3" t="n">
        <v>0.52</v>
      </c>
      <c r="G112" s="3" t="n">
        <v>0.07000000000000001</v>
      </c>
      <c r="H112" s="3">
        <f>(E112-D112)*C112*100</f>
        <v/>
      </c>
      <c r="I112" s="3">
        <f>(G112-F112)*C112*100</f>
        <v/>
      </c>
    </row>
    <row r="113">
      <c r="A113" t="inlineStr">
        <is>
          <t>QCOM US 11/07/25 C182.5</t>
        </is>
      </c>
      <c r="B113" s="5" t="n">
        <v>-4</v>
      </c>
      <c r="C113" s="5" t="n">
        <v>-4</v>
      </c>
      <c r="D113" s="3" t="n">
        <v>4.1</v>
      </c>
      <c r="E113" s="3" t="n">
        <v>0.07000000000000001</v>
      </c>
      <c r="F113" s="3" t="n">
        <v>4.1</v>
      </c>
      <c r="G113" s="3" t="n">
        <v>0.07000000000000001</v>
      </c>
      <c r="H113" s="3">
        <f>(E113-D113)*C113*100</f>
        <v/>
      </c>
      <c r="I113" s="3">
        <f>(G113-F113)*C113*100</f>
        <v/>
      </c>
    </row>
    <row r="114">
      <c r="A114" t="inlineStr">
        <is>
          <t>RTX US 11/07/25 C180</t>
        </is>
      </c>
      <c r="B114" s="5" t="n">
        <v>-8</v>
      </c>
      <c r="C114" s="5" t="n">
        <v>-8</v>
      </c>
      <c r="D114" s="3" t="n">
        <v>0.12</v>
      </c>
      <c r="E114" s="3" t="n">
        <v>0.05</v>
      </c>
      <c r="F114" s="3" t="n">
        <v>0.12</v>
      </c>
      <c r="G114" s="3" t="n">
        <v>0.05</v>
      </c>
      <c r="H114" s="3">
        <f>(E114-D114)*C114*100</f>
        <v/>
      </c>
      <c r="I114" s="3">
        <f>(G114-F114)*C114*100</f>
        <v/>
      </c>
    </row>
    <row r="115">
      <c r="A115" t="inlineStr">
        <is>
          <t>SBUX US 11/07/25 C80</t>
        </is>
      </c>
      <c r="B115" s="5" t="n">
        <v>-6</v>
      </c>
      <c r="C115" s="5" t="n">
        <v>-6</v>
      </c>
      <c r="D115" s="3" t="n">
        <v>2.59</v>
      </c>
      <c r="E115" s="3" t="n">
        <v>2.57</v>
      </c>
      <c r="F115" s="3" t="n">
        <v>2.59</v>
      </c>
      <c r="G115" s="3" t="n">
        <v>2.57</v>
      </c>
      <c r="H115" s="3">
        <f>(E115-D115)*C115*100</f>
        <v/>
      </c>
      <c r="I115" s="3">
        <f>(G115-F115)*C115*100</f>
        <v/>
      </c>
    </row>
    <row r="116">
      <c r="A116" t="inlineStr">
        <is>
          <t>SCHW US 11/07/25 C95</t>
        </is>
      </c>
      <c r="B116" s="5" t="n">
        <v>-7</v>
      </c>
      <c r="C116" s="5" t="n">
        <v>-7</v>
      </c>
      <c r="D116" s="3" t="n">
        <v>0.3</v>
      </c>
      <c r="E116" s="3" t="n">
        <v>0.45</v>
      </c>
      <c r="F116" s="3" t="n">
        <v>0.3</v>
      </c>
      <c r="G116" s="3" t="n">
        <v>0.45</v>
      </c>
      <c r="H116" s="3">
        <f>(E116-D116)*C116*100</f>
        <v/>
      </c>
      <c r="I116" s="3">
        <f>(G116-F116)*C116*100</f>
        <v/>
      </c>
    </row>
    <row r="117">
      <c r="A117" t="inlineStr">
        <is>
          <t>SO US 11/07/25 C94</t>
        </is>
      </c>
      <c r="B117" s="5" t="n">
        <v>-11</v>
      </c>
      <c r="C117" s="5" t="n">
        <v>-11</v>
      </c>
      <c r="D117" s="3" t="n">
        <v>0.15</v>
      </c>
      <c r="E117" s="3" t="n">
        <v>0.05</v>
      </c>
      <c r="F117" s="3" t="n">
        <v>0.15</v>
      </c>
      <c r="G117" s="3" t="n">
        <v>0.05</v>
      </c>
      <c r="H117" s="3">
        <f>(E117-D117)*C117*100</f>
        <v/>
      </c>
      <c r="I117" s="3">
        <f>(G117-F117)*C117*100</f>
        <v/>
      </c>
    </row>
    <row r="118">
      <c r="A118" t="inlineStr">
        <is>
          <t>SPGI US 11/07/25 C490</t>
        </is>
      </c>
      <c r="B118" s="5" t="n">
        <v>-1</v>
      </c>
      <c r="C118" s="5" t="n">
        <v>-1</v>
      </c>
      <c r="D118" s="3" t="n">
        <v>8.4</v>
      </c>
      <c r="E118" s="3" t="n">
        <v>6.4</v>
      </c>
      <c r="F118" s="3" t="n">
        <v>8.4</v>
      </c>
      <c r="G118" s="3" t="n">
        <v>6.4</v>
      </c>
      <c r="H118" s="3">
        <f>(E118-D118)*C118*100</f>
        <v/>
      </c>
      <c r="I118" s="3">
        <f>(G118-F118)*C118*100</f>
        <v/>
      </c>
    </row>
    <row r="119">
      <c r="A119" t="inlineStr">
        <is>
          <t>T US 11/07/25 C25</t>
        </is>
      </c>
      <c r="B119" s="5" t="n">
        <v>-26</v>
      </c>
      <c r="C119" s="5" t="n">
        <v>-26</v>
      </c>
      <c r="D119" s="3" t="n">
        <v>0.05</v>
      </c>
      <c r="E119" s="3" t="n">
        <v>0.05</v>
      </c>
      <c r="F119" s="3" t="n">
        <v>0.05</v>
      </c>
      <c r="G119" s="3" t="n">
        <v>0.05</v>
      </c>
      <c r="H119" s="3">
        <f>(E119-D119)*C119*100</f>
        <v/>
      </c>
      <c r="I119" s="3">
        <f>(G119-F119)*C119*100</f>
        <v/>
      </c>
    </row>
    <row r="120">
      <c r="A120" t="inlineStr">
        <is>
          <t>TGT US 11/07/25 C93</t>
        </is>
      </c>
      <c r="B120" s="5" t="n">
        <v>-3</v>
      </c>
      <c r="C120" s="5" t="n">
        <v>-3</v>
      </c>
      <c r="D120" s="3" t="n">
        <v>0.66</v>
      </c>
      <c r="E120" s="3" t="n">
        <v>0.07000000000000001</v>
      </c>
      <c r="F120" s="3" t="n">
        <v>0.66</v>
      </c>
      <c r="G120" s="3" t="n">
        <v>0.07000000000000001</v>
      </c>
      <c r="H120" s="3">
        <f>(E120-D120)*C120*100</f>
        <v/>
      </c>
      <c r="I120" s="3">
        <f>(G120-F120)*C120*100</f>
        <v/>
      </c>
    </row>
    <row r="121">
      <c r="A121" t="inlineStr">
        <is>
          <t>TJX US 11/07/25 C140</t>
        </is>
      </c>
      <c r="B121" s="5" t="n">
        <v>-3</v>
      </c>
      <c r="C121" s="5" t="n">
        <v>-3</v>
      </c>
      <c r="D121" s="3" t="n">
        <v>4.66</v>
      </c>
      <c r="E121" s="3" t="n">
        <v>3.82</v>
      </c>
      <c r="F121" s="3" t="n">
        <v>4.66</v>
      </c>
      <c r="G121" s="3" t="n">
        <v>3.82</v>
      </c>
      <c r="H121" s="3">
        <f>(E121-D121)*C121*100</f>
        <v/>
      </c>
      <c r="I121" s="3">
        <f>(G121-F121)*C121*100</f>
        <v/>
      </c>
    </row>
    <row r="122">
      <c r="A122" t="inlineStr">
        <is>
          <t>TMO US 11/07/25 C570</t>
        </is>
      </c>
      <c r="B122" s="5" t="n">
        <v>-2</v>
      </c>
      <c r="C122" s="5" t="n">
        <v>-2</v>
      </c>
      <c r="D122" s="3" t="n">
        <v>4.12</v>
      </c>
      <c r="E122" s="3" t="n">
        <v>1.87</v>
      </c>
      <c r="F122" s="3" t="n">
        <v>4.12</v>
      </c>
      <c r="G122" s="3" t="n">
        <v>1.87</v>
      </c>
      <c r="H122" s="3">
        <f>(E122-D122)*C122*100</f>
        <v/>
      </c>
      <c r="I122" s="3">
        <f>(G122-F122)*C122*100</f>
        <v/>
      </c>
    </row>
    <row r="123">
      <c r="A123" t="inlineStr">
        <is>
          <t>TSLA US 11/07/25 C455</t>
        </is>
      </c>
      <c r="B123" s="5" t="n">
        <v>-8</v>
      </c>
      <c r="C123" s="5" t="n">
        <v>-8</v>
      </c>
      <c r="D123" s="3" t="n">
        <v>15.1</v>
      </c>
      <c r="E123" s="3" t="n">
        <v>5.9</v>
      </c>
      <c r="F123" s="3" t="n">
        <v>15.1</v>
      </c>
      <c r="G123" s="3" t="n">
        <v>5.9</v>
      </c>
      <c r="H123" s="3">
        <f>(E123-D123)*C123*100</f>
        <v/>
      </c>
      <c r="I123" s="3">
        <f>(G123-F123)*C123*100</f>
        <v/>
      </c>
    </row>
    <row r="124">
      <c r="A124" t="inlineStr">
        <is>
          <t>TXN US 11/07/25 C160</t>
        </is>
      </c>
      <c r="B124" s="5" t="n">
        <v>-4</v>
      </c>
      <c r="C124" s="5" t="n">
        <v>-4</v>
      </c>
      <c r="D124" s="3" t="n">
        <v>4.25</v>
      </c>
      <c r="E124" s="3" t="n">
        <v>2.5</v>
      </c>
      <c r="F124" s="3" t="n">
        <v>4.25</v>
      </c>
      <c r="G124" s="3" t="n">
        <v>2.5</v>
      </c>
      <c r="H124" s="3">
        <f>(E124-D124)*C124*100</f>
        <v/>
      </c>
      <c r="I124" s="3">
        <f>(G124-F124)*C124*100</f>
        <v/>
      </c>
    </row>
    <row r="125">
      <c r="A125" t="inlineStr">
        <is>
          <t>UBER US 11/07/25 C97</t>
        </is>
      </c>
      <c r="B125" s="5" t="n">
        <v>-10</v>
      </c>
      <c r="C125" s="5" t="n">
        <v>-10</v>
      </c>
      <c r="D125" s="3" t="n">
        <v>0.2</v>
      </c>
      <c r="E125" s="3" t="n">
        <v>0.06</v>
      </c>
      <c r="F125" s="3" t="n">
        <v>0.2</v>
      </c>
      <c r="G125" s="3" t="n">
        <v>0.06</v>
      </c>
      <c r="H125" s="3">
        <f>(E125-D125)*C125*100</f>
        <v/>
      </c>
      <c r="I125" s="3">
        <f>(G125-F125)*C125*100</f>
        <v/>
      </c>
    </row>
    <row r="126">
      <c r="A126" t="inlineStr">
        <is>
          <t>UNH US 11/07/25 C340</t>
        </is>
      </c>
      <c r="B126" s="5" t="n">
        <v>-6</v>
      </c>
      <c r="C126" s="5" t="n">
        <v>-6</v>
      </c>
      <c r="D126" s="3" t="n">
        <v>0.53</v>
      </c>
      <c r="E126" s="3" t="n">
        <v>0.07000000000000001</v>
      </c>
      <c r="F126" s="3" t="n">
        <v>0.53</v>
      </c>
      <c r="G126" s="3" t="n">
        <v>0.07000000000000001</v>
      </c>
      <c r="H126" s="3">
        <f>(E126-D126)*C126*100</f>
        <v/>
      </c>
      <c r="I126" s="3">
        <f>(G126-F126)*C126*100</f>
        <v/>
      </c>
    </row>
    <row r="127">
      <c r="A127" t="inlineStr">
        <is>
          <t>UNP US 11/07/25 C220</t>
        </is>
      </c>
      <c r="B127" s="5" t="n">
        <v>-3</v>
      </c>
      <c r="C127" s="5" t="n">
        <v>-3</v>
      </c>
      <c r="D127" s="3" t="n">
        <v>0.87</v>
      </c>
      <c r="E127" s="3" t="n">
        <v>0.55</v>
      </c>
      <c r="F127" s="3" t="n">
        <v>0.87</v>
      </c>
      <c r="G127" s="3" t="n">
        <v>0.55</v>
      </c>
      <c r="H127" s="3">
        <f>(E127-D127)*C127*100</f>
        <v/>
      </c>
      <c r="I127" s="3">
        <f>(G127-F127)*C127*100</f>
        <v/>
      </c>
    </row>
    <row r="128">
      <c r="A128" t="inlineStr">
        <is>
          <t>UPS US 11/07/25 C97</t>
        </is>
      </c>
      <c r="B128" s="5" t="n">
        <v>-3</v>
      </c>
      <c r="C128" s="5" t="n">
        <v>-3</v>
      </c>
      <c r="D128" s="3" t="n">
        <v>0.07000000000000001</v>
      </c>
      <c r="E128" s="3" t="n">
        <v>0.04</v>
      </c>
      <c r="F128" s="3" t="n">
        <v>0.07000000000000001</v>
      </c>
      <c r="G128" s="3" t="n">
        <v>0.04</v>
      </c>
      <c r="H128" s="3">
        <f>(E128-D128)*C128*100</f>
        <v/>
      </c>
      <c r="I128" s="3">
        <f>(G128-F128)*C128*100</f>
        <v/>
      </c>
    </row>
    <row r="129">
      <c r="A129" t="inlineStr">
        <is>
          <t>USB US 11/07/25 C47</t>
        </is>
      </c>
      <c r="B129" s="5" t="n">
        <v>-6</v>
      </c>
      <c r="C129" s="5" t="n">
        <v>-6</v>
      </c>
      <c r="D129" s="3" t="n">
        <v>0.28</v>
      </c>
      <c r="E129" s="3" t="n">
        <v>0.06</v>
      </c>
      <c r="F129" s="3" t="n">
        <v>0.28</v>
      </c>
      <c r="G129" s="3" t="n">
        <v>0.06</v>
      </c>
      <c r="H129" s="3">
        <f>(E129-D129)*C129*100</f>
        <v/>
      </c>
      <c r="I129" s="3">
        <f>(G129-F129)*C129*100</f>
        <v/>
      </c>
    </row>
    <row r="130">
      <c r="A130" t="inlineStr">
        <is>
          <t>V US 11/07/25 C342.5</t>
        </is>
      </c>
      <c r="B130" s="5" t="n">
        <v>-8</v>
      </c>
      <c r="C130" s="5" t="n">
        <v>-8</v>
      </c>
      <c r="D130" s="3" t="n">
        <v>1.37</v>
      </c>
      <c r="E130" s="3" t="n">
        <v>0.3</v>
      </c>
      <c r="F130" s="3" t="n">
        <v>1.37</v>
      </c>
      <c r="G130" s="3" t="n">
        <v>0.3</v>
      </c>
      <c r="H130" s="3">
        <f>(E130-D130)*C130*100</f>
        <v/>
      </c>
      <c r="I130" s="3">
        <f>(G130-F130)*C130*100</f>
        <v/>
      </c>
    </row>
    <row r="131">
      <c r="A131" t="inlineStr">
        <is>
          <t>VZ US 11/07/25 C40</t>
        </is>
      </c>
      <c r="B131" s="5" t="n">
        <v>-15</v>
      </c>
      <c r="C131" s="5" t="n">
        <v>-15</v>
      </c>
      <c r="D131" s="3" t="n">
        <v>0.12</v>
      </c>
      <c r="E131" s="3" t="n">
        <v>0.11</v>
      </c>
      <c r="F131" s="3" t="n">
        <v>0.12</v>
      </c>
      <c r="G131" s="3" t="n">
        <v>0.11</v>
      </c>
      <c r="H131" s="3">
        <f>(E131-D131)*C131*100</f>
        <v/>
      </c>
      <c r="I131" s="3">
        <f>(G131-F131)*C131*100</f>
        <v/>
      </c>
    </row>
    <row r="132">
      <c r="A132" t="inlineStr">
        <is>
          <t>WFC US 11/07/25 C87</t>
        </is>
      </c>
      <c r="B132" s="5" t="n">
        <v>-13</v>
      </c>
      <c r="C132" s="5" t="n">
        <v>-13</v>
      </c>
      <c r="D132" s="3" t="n">
        <v>0.68</v>
      </c>
      <c r="E132" s="3" t="n">
        <v>0.13</v>
      </c>
      <c r="F132" s="3" t="n">
        <v>0.68</v>
      </c>
      <c r="G132" s="3" t="n">
        <v>0.13</v>
      </c>
      <c r="H132" s="3">
        <f>(E132-D132)*C132*100</f>
        <v/>
      </c>
      <c r="I132" s="3">
        <f>(G132-F132)*C132*100</f>
        <v/>
      </c>
    </row>
    <row r="133">
      <c r="A133" t="inlineStr">
        <is>
          <t>WMT US 11/07/25 C101</t>
        </is>
      </c>
      <c r="B133" s="5" t="n">
        <v>-24</v>
      </c>
      <c r="C133" s="5" t="n">
        <v>-24</v>
      </c>
      <c r="D133" s="3" t="n">
        <v>1.09</v>
      </c>
      <c r="E133" s="3" t="n">
        <v>1.13</v>
      </c>
      <c r="F133" s="3" t="n">
        <v>1.09</v>
      </c>
      <c r="G133" s="3" t="n">
        <v>1.13</v>
      </c>
      <c r="H133" s="3">
        <f>(E133-D133)*C133*100</f>
        <v/>
      </c>
      <c r="I133" s="3">
        <f>(G133-F133)*C133*100</f>
        <v/>
      </c>
    </row>
    <row r="134">
      <c r="A134" t="inlineStr">
        <is>
          <t>XOM US 11/07/25 C115</t>
        </is>
      </c>
      <c r="B134" s="5" t="n">
        <v>-22</v>
      </c>
      <c r="C134" s="5" t="n">
        <v>-22</v>
      </c>
      <c r="D134" s="3" t="n">
        <v>0.35</v>
      </c>
      <c r="E134" s="3" t="n">
        <v>0.44</v>
      </c>
      <c r="F134" s="3" t="n">
        <v>0.35</v>
      </c>
      <c r="G134" s="3" t="n">
        <v>0.44</v>
      </c>
      <c r="H134" s="3">
        <f>(E134-D134)*C134*100</f>
        <v/>
      </c>
      <c r="I134" s="3">
        <f>(G134-F134)*C134*100</f>
        <v/>
      </c>
    </row>
    <row r="136">
      <c r="A136" s="8" t="inlineStr">
        <is>
          <t>TOTAL</t>
        </is>
      </c>
      <c r="H136" s="3">
        <f>SUM(H47:H134)</f>
        <v/>
      </c>
      <c r="I136" s="3">
        <f>SUM(I47:I134)</f>
        <v/>
      </c>
    </row>
    <row r="139">
      <c r="A139" s="7" t="inlineStr">
        <is>
          <t>FLEX OPTION GAIN/LOSS DETAIL</t>
        </is>
      </c>
    </row>
    <row r="141">
      <c r="A141" s="9" t="inlineStr">
        <is>
          <t>Ticker</t>
        </is>
      </c>
      <c r="B141" s="9" t="inlineStr">
        <is>
          <t>Qty T-1</t>
        </is>
      </c>
      <c r="C141" s="9" t="inlineStr">
        <is>
          <t>Qty T</t>
        </is>
      </c>
      <c r="D141" s="9" t="inlineStr">
        <is>
          <t>Price T-1
(Raw)</t>
        </is>
      </c>
      <c r="E141" s="9" t="inlineStr">
        <is>
          <t>Price T
(Raw)</t>
        </is>
      </c>
      <c r="F141" s="9" t="inlineStr">
        <is>
          <t>Price T-1
(Adj)</t>
        </is>
      </c>
      <c r="G141" s="9" t="inlineStr">
        <is>
          <t>Price T
(Adj)</t>
        </is>
      </c>
      <c r="H141" s="9" t="inlineStr">
        <is>
          <t>G/L</t>
        </is>
      </c>
      <c r="I141" s="9" t="inlineStr">
        <is>
          <t>G/L Adj</t>
        </is>
      </c>
    </row>
    <row r="142">
      <c r="A142" t="inlineStr">
        <is>
          <t>SPX US 07/26/27 C5000</t>
        </is>
      </c>
      <c r="B142" s="5" t="n">
        <v>-36</v>
      </c>
      <c r="C142" s="5" t="n">
        <v>-36</v>
      </c>
      <c r="D142" s="3" t="n">
        <v>2181.9722</v>
      </c>
      <c r="E142" s="3" t="n">
        <v>2126.4503</v>
      </c>
      <c r="F142" s="3" t="n">
        <v>2181.9722</v>
      </c>
      <c r="G142" s="3" t="n">
        <v>2126.4503</v>
      </c>
      <c r="H142" s="3">
        <f>(E142-D142)*C142*100</f>
        <v/>
      </c>
      <c r="I142" s="3">
        <f>(G142-F142)*C142*100</f>
        <v/>
      </c>
    </row>
    <row r="143">
      <c r="A143" t="inlineStr">
        <is>
          <t>SPX US 07/26/27 C6000</t>
        </is>
      </c>
      <c r="B143" s="5" t="n">
        <v>36</v>
      </c>
      <c r="C143" s="5" t="n">
        <v>36</v>
      </c>
      <c r="D143" s="3" t="n">
        <v>1394.3053</v>
      </c>
      <c r="E143" s="3" t="n">
        <v>1346.1907</v>
      </c>
      <c r="F143" s="3" t="n">
        <v>1394.3053</v>
      </c>
      <c r="G143" s="3" t="n">
        <v>1346.1907</v>
      </c>
      <c r="H143" s="3">
        <f>(E143-D143)*C143*100</f>
        <v/>
      </c>
      <c r="I143" s="3">
        <f>(G143-F143)*C143*100</f>
        <v/>
      </c>
    </row>
    <row r="144">
      <c r="A144" t="inlineStr">
        <is>
          <t>SPX US 07/26/27 P5000</t>
        </is>
      </c>
      <c r="B144" s="5" t="n">
        <v>36</v>
      </c>
      <c r="C144" s="5" t="n">
        <v>36</v>
      </c>
      <c r="D144" s="3" t="n">
        <v>150.5812</v>
      </c>
      <c r="E144" s="3" t="n">
        <v>160.9424</v>
      </c>
      <c r="F144" s="3" t="n">
        <v>150.5812</v>
      </c>
      <c r="G144" s="3" t="n">
        <v>160.9424</v>
      </c>
      <c r="H144" s="3">
        <f>(E144-D144)*C144*100</f>
        <v/>
      </c>
      <c r="I144" s="3">
        <f>(G144-F144)*C144*100</f>
        <v/>
      </c>
    </row>
    <row r="145">
      <c r="A145" t="inlineStr">
        <is>
          <t>SPX US 07/26/27 P5459</t>
        </is>
      </c>
      <c r="B145" s="5" t="n">
        <v>130</v>
      </c>
      <c r="C145" s="5" t="n">
        <v>130</v>
      </c>
      <c r="D145" s="3" t="n">
        <v>210.0241</v>
      </c>
      <c r="E145" s="3" t="n">
        <v>223.8959</v>
      </c>
      <c r="F145" s="3" t="n">
        <v>210.0241</v>
      </c>
      <c r="G145" s="3" t="n">
        <v>223.8959</v>
      </c>
      <c r="H145" s="3">
        <f>(E145-D145)*C145*100</f>
        <v/>
      </c>
      <c r="I145" s="3">
        <f>(G145-F145)*C145*100</f>
        <v/>
      </c>
    </row>
    <row r="146">
      <c r="A146" t="inlineStr">
        <is>
          <t>SPX US 07/26/27 P6000</t>
        </is>
      </c>
      <c r="B146" s="5" t="n">
        <v>-36</v>
      </c>
      <c r="C146" s="5" t="n">
        <v>-36</v>
      </c>
      <c r="D146" s="3" t="n">
        <v>300.6343</v>
      </c>
      <c r="E146" s="3" t="n">
        <v>318.072</v>
      </c>
      <c r="F146" s="3" t="n">
        <v>300.6343</v>
      </c>
      <c r="G146" s="3" t="n">
        <v>318.072</v>
      </c>
      <c r="H146" s="3">
        <f>(E146-D146)*C146*100</f>
        <v/>
      </c>
      <c r="I146" s="3">
        <f>(G146-F146)*C146*100</f>
        <v/>
      </c>
    </row>
    <row r="147">
      <c r="A147" t="inlineStr">
        <is>
          <t>XSP US 07/26/27 P545.91</t>
        </is>
      </c>
      <c r="B147" s="5" t="n">
        <v>18</v>
      </c>
      <c r="C147" s="5" t="n">
        <v>18</v>
      </c>
      <c r="D147" s="3" t="n">
        <v>21.6921</v>
      </c>
      <c r="E147" s="3" t="n">
        <v>22.9797</v>
      </c>
      <c r="F147" s="3" t="n">
        <v>21.6921</v>
      </c>
      <c r="G147" s="3" t="n">
        <v>22.9797</v>
      </c>
      <c r="H147" s="3">
        <f>(E147-D147)*C147*100</f>
        <v/>
      </c>
      <c r="I147" s="3">
        <f>(G147-F147)*C147*100</f>
        <v/>
      </c>
    </row>
    <row r="149">
      <c r="A149" s="8" t="inlineStr">
        <is>
          <t>TOTAL</t>
        </is>
      </c>
      <c r="H149" s="3">
        <f>SUM(H142:H147)</f>
        <v/>
      </c>
      <c r="I149" s="3">
        <f>SUM(I142:I147)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TDVI - NAV Reconciliation - 2025-11-06</t>
        </is>
      </c>
    </row>
    <row r="3">
      <c r="A3" s="7" t="inlineStr">
        <is>
          <t>NAV CALCULATION SUMMARY</t>
        </is>
      </c>
    </row>
    <row r="5">
      <c r="A5" t="inlineStr">
        <is>
          <t>Beginning TNA (T-1)</t>
        </is>
      </c>
      <c r="C5" s="3" t="n">
        <v>199428903</v>
      </c>
    </row>
    <row r="6">
      <c r="A6" t="inlineStr">
        <is>
          <t>Adjusted Beginning TNA</t>
        </is>
      </c>
      <c r="C6" s="3" t="n">
        <v>199428903</v>
      </c>
    </row>
    <row r="8">
      <c r="A8" s="8" t="inlineStr">
        <is>
          <t>Gain/Loss Components:</t>
        </is>
      </c>
    </row>
    <row r="9">
      <c r="A9" t="inlineStr">
        <is>
          <t xml:space="preserve">  Equity G/L</t>
        </is>
      </c>
      <c r="C9" s="3" t="n">
        <v>0</v>
      </c>
    </row>
    <row r="10">
      <c r="A10" t="inlineStr">
        <is>
          <t xml:space="preserve">  Equity G/L (Adjusted)</t>
        </is>
      </c>
      <c r="C10" s="3" t="n">
        <v>0</v>
      </c>
    </row>
    <row r="12">
      <c r="A12" t="inlineStr">
        <is>
          <t>Expenses</t>
        </is>
      </c>
      <c r="C12" s="3" t="n">
        <v>-0</v>
      </c>
    </row>
    <row r="14">
      <c r="A14" s="8" t="inlineStr">
        <is>
          <t>Expected TNA</t>
        </is>
      </c>
      <c r="C14" s="3">
        <f>C6+C12</f>
        <v/>
      </c>
    </row>
    <row r="15">
      <c r="A15" s="8" t="inlineStr">
        <is>
          <t>Custodian TNA</t>
        </is>
      </c>
      <c r="C15" s="3" t="n">
        <v>196395980.87</v>
      </c>
    </row>
    <row r="16">
      <c r="A16" t="inlineStr">
        <is>
          <t>TNA Difference</t>
        </is>
      </c>
      <c r="C16" s="3">
        <f>C15-C14</f>
        <v/>
      </c>
    </row>
    <row r="18">
      <c r="A18" t="inlineStr">
        <is>
          <t>Shares Outstanding</t>
        </is>
      </c>
      <c r="C18" s="5" t="n">
        <v>6950002</v>
      </c>
    </row>
    <row r="20">
      <c r="A20" s="8" t="inlineStr">
        <is>
          <t>Expected NAV</t>
        </is>
      </c>
      <c r="C20" s="4">
        <f>IF(C18&lt;&gt;0,C14/C18,0)</f>
        <v/>
      </c>
    </row>
    <row r="21">
      <c r="A21" s="8" t="inlineStr">
        <is>
          <t>Custodian NAV</t>
        </is>
      </c>
      <c r="C21" s="4" t="n">
        <v>28.26</v>
      </c>
    </row>
    <row r="22">
      <c r="A22" t="inlineStr">
        <is>
          <t>NAV Difference</t>
        </is>
      </c>
      <c r="C22" s="4">
        <f>C21-C20</f>
        <v/>
      </c>
    </row>
    <row r="24">
      <c r="A24" t="inlineStr">
        <is>
          <t>NAV Good (2 decimal)</t>
        </is>
      </c>
      <c r="C24">
        <f>IF(ABS(ROUND(C22,2))&lt;=0.01,"PASS","FAIL")</f>
        <v/>
      </c>
    </row>
    <row r="25">
      <c r="A25" t="inlineStr">
        <is>
          <t>NAV Good (4 decimal)</t>
        </is>
      </c>
      <c r="C25">
        <f>IF(ABS(ROUND(C22,4))&lt;=0.0001,"PASS","FAIL")</f>
        <v/>
      </c>
    </row>
    <row r="39">
      <c r="A39" s="7" t="inlineStr">
        <is>
          <t>EQUITY GAIN/LOSS DETAIL</t>
        </is>
      </c>
    </row>
    <row r="41">
      <c r="A41" t="inlineStr">
        <is>
          <t>No equity holdings with gain/loss</t>
        </is>
      </c>
    </row>
    <row r="44">
      <c r="A44" s="7" t="inlineStr">
        <is>
          <t>OPTION GAIN/LOSS DETAIL</t>
        </is>
      </c>
    </row>
    <row r="46">
      <c r="A46" t="inlineStr">
        <is>
          <t>No option holdings with gain/loss</t>
        </is>
      </c>
    </row>
    <row r="49">
      <c r="A49" s="7" t="inlineStr">
        <is>
          <t>FLEX OPTION GAIN/LOSS DETAIL</t>
        </is>
      </c>
    </row>
    <row r="51">
      <c r="A51" t="inlineStr">
        <is>
          <t>No flex option holdings with gain/loss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2025-11-20T02:23:18Z</dcterms:created>
  <dcterms:modified xmlns:dcterms="http://purl.org/dc/terms/" xmlns:xsi="http://www.w3.org/2001/XMLSchema-instance" xsi:type="dcterms:W3CDTF">2025-11-20T02:23:18Z</dcterms:modified>
</cp:coreProperties>
</file>